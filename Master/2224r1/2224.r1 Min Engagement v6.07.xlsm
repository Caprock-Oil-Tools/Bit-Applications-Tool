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4\"/>
    </mc:Choice>
  </mc:AlternateContent>
  <xr:revisionPtr revIDLastSave="0" documentId="13_ncr:1_{F972AEDE-3DD5-44B4-AF5A-57EC48B748C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JA9" i="1" a="1"/>
  <c r="JA9" i="1" s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135" i="1"/>
  <c r="IF109" i="1"/>
  <c r="IF145" i="1"/>
  <c r="IF37" i="1"/>
  <c r="IF106" i="1"/>
  <c r="IF69" i="1"/>
  <c r="IF103" i="1"/>
  <c r="IF13" i="1"/>
  <c r="IF108" i="1"/>
  <c r="IF131" i="1"/>
  <c r="IF123" i="1"/>
  <c r="IF141" i="1"/>
  <c r="IF124" i="1"/>
  <c r="IF107" i="1"/>
  <c r="IF146" i="1"/>
  <c r="IF11" i="1"/>
  <c r="IF134" i="1"/>
  <c r="IF84" i="1"/>
  <c r="IF12" i="1"/>
  <c r="IF50" i="1"/>
  <c r="IF71" i="1"/>
  <c r="IF133" i="1"/>
  <c r="IF149" i="1"/>
  <c r="IF104" i="1"/>
  <c r="IF130" i="1"/>
  <c r="IF132" i="1"/>
  <c r="IF119" i="1"/>
  <c r="IF32" i="1"/>
  <c r="IF110" i="1"/>
  <c r="IF125" i="1"/>
  <c r="IF72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99" i="1" l="1"/>
  <c r="IV90" i="1"/>
  <c r="IV81" i="1"/>
  <c r="IQ90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5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7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1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9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98" i="1" l="1"/>
  <c r="IV89" i="1"/>
  <c r="IQ52" i="1"/>
  <c r="IQ56" i="1"/>
  <c r="IV78" i="1"/>
  <c r="IQ87" i="1"/>
  <c r="IV83" i="1"/>
  <c r="IQ92" i="1"/>
  <c r="IQ59" i="1"/>
  <c r="IV56" i="1"/>
  <c r="IQ96" i="1"/>
  <c r="IV87" i="1"/>
  <c r="Q98" i="1"/>
  <c r="IQ64" i="1"/>
  <c r="IV55" i="1"/>
  <c r="IU82" i="1"/>
  <c r="IE82" i="1" s="1"/>
  <c r="IP91" i="1"/>
  <c r="IQ97" i="1"/>
  <c r="IV88" i="1"/>
  <c r="AQ91" i="1"/>
  <c r="IU91" i="1"/>
  <c r="IE91" i="1" s="1"/>
  <c r="AD86" i="1"/>
  <c r="AH86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7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8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IU87" i="1" s="1"/>
  <c r="IE87" i="1" s="1"/>
  <c r="Q87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Q84" i="1"/>
  <c r="R83" i="1"/>
  <c r="X83" i="1" s="1"/>
  <c r="IP92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7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9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5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97" i="1" l="1"/>
  <c r="IP102" i="1"/>
  <c r="IP90" i="1"/>
  <c r="IP52" i="1"/>
  <c r="IP56" i="1"/>
  <c r="AM101" i="1"/>
  <c r="IP59" i="1"/>
  <c r="IU56" i="1"/>
  <c r="IE56" i="1" s="1"/>
  <c r="AQ92" i="1"/>
  <c r="IU92" i="1"/>
  <c r="IE92" i="1" s="1"/>
  <c r="IP28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IL91" i="1" s="1"/>
  <c r="W79" i="1"/>
  <c r="W80" i="1"/>
  <c r="W77" i="1"/>
  <c r="W78" i="1"/>
  <c r="IL87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2" i="1" l="1"/>
  <c r="IL90" i="1"/>
  <c r="IL89" i="1"/>
  <c r="IL88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IT89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9" i="1" l="1"/>
  <c r="IY90" i="1"/>
  <c r="IS98" i="1"/>
  <c r="IX89" i="1"/>
  <c r="IY81" i="1"/>
  <c r="IT90" i="1"/>
  <c r="IT97" i="1"/>
  <c r="IY88" i="1"/>
  <c r="IY83" i="1"/>
  <c r="IT92" i="1"/>
  <c r="IT96" i="1"/>
  <c r="IY87" i="1"/>
  <c r="IT98" i="1"/>
  <c r="IY89" i="1"/>
  <c r="IF89" i="1" s="1"/>
  <c r="IY82" i="1"/>
  <c r="IT91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IS95" i="1" s="1"/>
  <c r="AP85" i="1"/>
  <c r="AP84" i="1"/>
  <c r="AO84" i="1"/>
  <c r="IS93" i="1" s="1"/>
  <c r="AP83" i="1"/>
  <c r="AO83" i="1"/>
  <c r="AO81" i="1"/>
  <c r="AP81" i="1"/>
  <c r="AO82" i="1"/>
  <c r="AP82" i="1"/>
  <c r="AO79" i="1"/>
  <c r="IS88" i="1" s="1"/>
  <c r="AP79" i="1"/>
  <c r="AP80" i="1"/>
  <c r="AO80" i="1"/>
  <c r="IS89" i="1" s="1"/>
  <c r="AO77" i="1"/>
  <c r="IX77" i="1" s="1"/>
  <c r="IF77" i="1" s="1"/>
  <c r="AP77" i="1"/>
  <c r="AP78" i="1"/>
  <c r="AO78" i="1"/>
  <c r="IS87" i="1" s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83" i="1" l="1"/>
  <c r="IF83" i="1" s="1"/>
  <c r="IS92" i="1"/>
  <c r="IS96" i="1"/>
  <c r="IX87" i="1"/>
  <c r="IS58" i="1"/>
  <c r="IF87" i="1"/>
  <c r="IS99" i="1"/>
  <c r="IX90" i="1"/>
  <c r="IX82" i="1"/>
  <c r="IF82" i="1" s="1"/>
  <c r="IS91" i="1"/>
  <c r="IS52" i="1"/>
  <c r="IS56" i="1"/>
  <c r="IT29" i="1"/>
  <c r="IT55" i="1"/>
  <c r="IF90" i="1"/>
  <c r="IX81" i="1"/>
  <c r="IF81" i="1" s="1"/>
  <c r="IS90" i="1"/>
  <c r="IT60" i="1"/>
  <c r="IY57" i="1"/>
  <c r="IF57" i="1" s="1"/>
  <c r="IS97" i="1"/>
  <c r="IX88" i="1"/>
  <c r="IF88" i="1" s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<sst xmlns="http://schemas.openxmlformats.org/spreadsheetml/2006/main" count="734" uniqueCount="391">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</sst>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16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L26" sqref="L26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16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78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-0.44240133428242412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0.34220103207831276</v>
      </c>
      <c r="D9" s="704">
        <v>-1.0345031200614101</v>
      </c>
      <c r="E9" s="705">
        <v>-0.93969263802333458</v>
      </c>
      <c r="F9" s="703">
        <v>-8.8521302156295584E-2</v>
      </c>
      <c r="G9" s="706">
        <v>0.33036604714967333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0.34220103207831276</v>
      </c>
      <c r="P9" s="625">
        <f t="shared" ref="P9:P40" si="4">IF(M9="","",D9)</f>
        <v>-1.0345031200614101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0.34220103207831276</v>
      </c>
      <c r="S9" s="626">
        <f>IF(M9="","",P9)</f>
        <v>-1.0345031200614101</v>
      </c>
      <c r="T9" s="627">
        <f>IF(M9="","",X9*COS(RADIANS(W9)))</f>
        <v>0.34220103207831276</v>
      </c>
      <c r="U9" s="624">
        <f>IF(M9="","",X9*SIN(RADIANS(W9)))</f>
        <v>0</v>
      </c>
      <c r="V9" s="628">
        <f>IF(M9="","",Y9)</f>
        <v>-1.0345031200614101</v>
      </c>
      <c r="W9" s="583">
        <f t="shared" ref="W9:W14" si="5">IF(M9="","",IF(Q9-$Q$8&lt;0,360+Q9-$Q$8,Q9-$Q$8))</f>
        <v>0</v>
      </c>
      <c r="X9" s="629">
        <f>IF(M9="","",R9)</f>
        <v>0.34220103207831276</v>
      </c>
      <c r="Y9" s="630">
        <f>IF(M9="","",S9)</f>
        <v>-1.0345031200614101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-0.33036604714967333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-0.33036604714967333</v>
      </c>
      <c r="AG9" s="599">
        <f>IF(M9="","",DEGREES(ATAN2(-AF9,AE9)))</f>
        <v>14.999997834268271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-0.33036604714967333</v>
      </c>
      <c r="AN9" s="581">
        <f>IF(M9="","",DEGREES(ATAN2(-AM9,AL9)))</f>
        <v>14.999997834268271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6.6321706843848975</v>
      </c>
      <c r="AS9" s="51">
        <f>IF(M9="","",W9)</f>
        <v>0</v>
      </c>
      <c r="AT9" s="71">
        <f t="shared" ref="AT9:AT40" si="10">IF(M9="","",Y9+(((AS9-$AS$9)*$AS$6)*-1))</f>
        <v>-1.0345031200614101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78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7.4698968576757196E-17</v>
      </c>
      <c r="C10" s="708">
        <v>1.0852032729730712</v>
      </c>
      <c r="D10" s="709">
        <v>-0.83990253314604024</v>
      </c>
      <c r="E10" s="710">
        <v>-0.95371696400905337</v>
      </c>
      <c r="F10" s="708">
        <v>-7.7828366019961556E-2</v>
      </c>
      <c r="G10" s="711">
        <v>0.29045946017304536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7.4698968576757196E-17</v>
      </c>
      <c r="O10" s="629">
        <f t="shared" si="3"/>
        <v>1.0852032729730712</v>
      </c>
      <c r="P10" s="633">
        <f t="shared" si="4"/>
        <v>-0.83990253314604024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1.0852032729730712</v>
      </c>
      <c r="S10" s="634">
        <f t="shared" ref="S10:S105" si="80">IF(M10="","",P10)</f>
        <v>-0.83990253314604024</v>
      </c>
      <c r="T10" s="635">
        <f t="shared" ref="T10:T105" si="81">IF(M10="","",X10*COS(RADIANS(W10)))</f>
        <v>1.0852032729730712</v>
      </c>
      <c r="U10" s="629">
        <f t="shared" ref="U10:U105" si="82">IF(M10="","",X10*SIN(RADIANS(W10)))</f>
        <v>0</v>
      </c>
      <c r="V10" s="636">
        <f>IF(M10="","",Y10)</f>
        <v>-0.83990253314604024</v>
      </c>
      <c r="W10" s="585">
        <f t="shared" si="5"/>
        <v>0</v>
      </c>
      <c r="X10" s="629">
        <f t="shared" ref="X10:X105" si="83">IF(M10="","",R10)</f>
        <v>1.0852032729730712</v>
      </c>
      <c r="Y10" s="630">
        <f>IF(M10="","",S10)</f>
        <v>-0.83990253314604024</v>
      </c>
      <c r="Z10" s="632">
        <f t="shared" si="6"/>
        <v>0.95371696400905337</v>
      </c>
      <c r="AA10" s="629">
        <f t="shared" si="7"/>
        <v>7.7828366019961556E-2</v>
      </c>
      <c r="AB10" s="629">
        <f t="shared" si="8"/>
        <v>-0.29045946017304536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0.95371696400905337</v>
      </c>
      <c r="AE10" s="629">
        <f t="shared" ref="AE10:AE105" si="85">IF(M10="","",AA10*(1/SQRT(Z10^2+AA10^2+AB10^2)))</f>
        <v>7.7828366019961556E-2</v>
      </c>
      <c r="AF10" s="633">
        <f t="shared" ref="AF10:AF105" si="86">IF(M10="","",AB10*(1/SQRT(Z10^2+AA10^2+AB10^2)))</f>
        <v>-0.29045946017304536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17.49999747331298</v>
      </c>
      <c r="AI10" s="585">
        <f t="shared" ref="AI10:AI105" si="89">IF(M10="","",DEGREES(-ACOS(-AF10)))</f>
        <v>-73.114534769632428</v>
      </c>
      <c r="AJ10" s="586">
        <f t="shared" ref="AJ10:AJ105" si="90">IF(M10="","",DEGREES(ATAN2(-AE10,AD10)))</f>
        <v>94.665301948782698</v>
      </c>
      <c r="AK10" s="635">
        <f>IF(M10="","",(COS(RADIANS((90-$Q$8)-W10))*AD10)+(-SIN(RADIANS((90-$Q$8)-W10))*AE10))</f>
        <v>0.95371696400905337</v>
      </c>
      <c r="AL10" s="629">
        <f t="shared" ref="AL10:AL105" si="91">IF(M10="","",(SIN(RADIANS((90-$Q$8)-W10))*AD10)+(COS(RADIANS((90-$Q$8)-W10))*AE10))</f>
        <v>7.7828366019961556E-2</v>
      </c>
      <c r="AM10" s="634">
        <f t="shared" ref="AM10:AM105" si="92">IF(M10="","",AF10)</f>
        <v>-0.29045946017304536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17.49999747331298</v>
      </c>
      <c r="AP10" s="585">
        <f t="shared" ref="AP10:AP105" si="95">IF(M10="","",DEGREES(ATAN2(AK10,AL10)))</f>
        <v>4.6653019487827061</v>
      </c>
      <c r="AQ10" s="586">
        <f t="shared" si="9"/>
        <v>2.0997963809400044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-0.83990253314604024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1.0671281225251029E-16</v>
      </c>
      <c r="C11" s="708">
        <v>1.8270055102486189</v>
      </c>
      <c r="D11" s="709">
        <v>-0.64120193386503255</v>
      </c>
      <c r="E11" s="710">
        <v>-0.95371696400905337</v>
      </c>
      <c r="F11" s="708">
        <v>-7.7828366019961542E-2</v>
      </c>
      <c r="G11" s="711">
        <v>0.29045946017304536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1.0671281225251029E-16</v>
      </c>
      <c r="O11" s="629">
        <f t="shared" si="3"/>
        <v>1.8270055102486189</v>
      </c>
      <c r="P11" s="633">
        <f t="shared" si="4"/>
        <v>-0.64120193386503255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1.8270055102486189</v>
      </c>
      <c r="S11" s="634">
        <f t="shared" si="80"/>
        <v>-0.64120193386503255</v>
      </c>
      <c r="T11" s="635">
        <f t="shared" si="81"/>
        <v>1.8270055102486189</v>
      </c>
      <c r="U11" s="629">
        <f t="shared" si="82"/>
        <v>0</v>
      </c>
      <c r="V11" s="636">
        <f t="shared" ref="V11:V105" si="114">IF(M11="","",Y11)</f>
        <v>-0.64120193386503255</v>
      </c>
      <c r="W11" s="585">
        <f t="shared" si="5"/>
        <v>0</v>
      </c>
      <c r="X11" s="629">
        <f>IF(M11="","",R11)</f>
        <v>1.8270055102486189</v>
      </c>
      <c r="Y11" s="630">
        <f>IF(M11="","",S11)</f>
        <v>-0.64120193386503255</v>
      </c>
      <c r="Z11" s="632">
        <f t="shared" si="6"/>
        <v>0.95371696400905337</v>
      </c>
      <c r="AA11" s="629">
        <f t="shared" si="7"/>
        <v>7.7828366019961542E-2</v>
      </c>
      <c r="AB11" s="629">
        <f t="shared" si="8"/>
        <v>-0.29045946017304536</v>
      </c>
      <c r="AC11" s="636">
        <f t="shared" si="84"/>
        <v>1</v>
      </c>
      <c r="AD11" s="637">
        <f t="shared" ref="AD11:AD105" si="115">IF(M11="","",Z11*(1/SQRT(Z11^2+AA11^2+AB11^2)))</f>
        <v>0.95371696400905337</v>
      </c>
      <c r="AE11" s="629">
        <f t="shared" si="85"/>
        <v>7.7828366019961542E-2</v>
      </c>
      <c r="AF11" s="633">
        <f t="shared" si="86"/>
        <v>-0.29045946017304536</v>
      </c>
      <c r="AG11" s="602">
        <f>IF(M11="","",DEGREES(ATAN2(-AF11,AE11)))</f>
        <v>14.999997834268267</v>
      </c>
      <c r="AH11" s="603">
        <f t="shared" si="88"/>
        <v>17.49999747331298</v>
      </c>
      <c r="AI11" s="585">
        <f t="shared" si="89"/>
        <v>-73.114534769632428</v>
      </c>
      <c r="AJ11" s="586">
        <f t="shared" si="90"/>
        <v>94.665301948782698</v>
      </c>
      <c r="AK11" s="635">
        <f>IF(M11="","",(COS(RADIANS((90-$Q$8)-W11))*AD11)+(-SIN(RADIANS((90-$Q$8)-W11))*AE11))</f>
        <v>0.95371696400905337</v>
      </c>
      <c r="AL11" s="629">
        <f t="shared" si="91"/>
        <v>7.7828366019961542E-2</v>
      </c>
      <c r="AM11" s="634">
        <f t="shared" si="92"/>
        <v>-0.29045946017304536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17.49999747331298</v>
      </c>
      <c r="AP11" s="585">
        <f t="shared" si="95"/>
        <v>4.6653019487827052</v>
      </c>
      <c r="AQ11" s="586">
        <f t="shared" si="9"/>
        <v>1.2475968503308477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-0.64120193386503255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-3.1586992426743044E-16</v>
      </c>
      <c r="C12" s="708">
        <v>2.5688077475241666</v>
      </c>
      <c r="D12" s="709">
        <v>-0.44240133428242412</v>
      </c>
      <c r="E12" s="710">
        <v>-0.95371696400905337</v>
      </c>
      <c r="F12" s="708">
        <v>-7.7828366019961542E-2</v>
      </c>
      <c r="G12" s="711">
        <v>0.29045946017304536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-3.1586992426743044E-16</v>
      </c>
      <c r="O12" s="629">
        <f t="shared" si="3"/>
        <v>2.5688077475241666</v>
      </c>
      <c r="P12" s="633">
        <f t="shared" si="4"/>
        <v>-0.44240133428242412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2.5688077475241666</v>
      </c>
      <c r="S12" s="634">
        <f t="shared" si="80"/>
        <v>-0.44240133428242412</v>
      </c>
      <c r="T12" s="635">
        <f>IF(M12="","",X12*COS(RADIANS(W12)))</f>
        <v>2.5688077475241666</v>
      </c>
      <c r="U12" s="629">
        <f t="shared" si="82"/>
        <v>0</v>
      </c>
      <c r="V12" s="636">
        <f t="shared" si="114"/>
        <v>-0.44240133428242412</v>
      </c>
      <c r="W12" s="585">
        <f>IF(M12="","",IF(Q12-$Q$8&lt;0,360+Q12-$Q$8,Q12-$Q$8))</f>
        <v>0</v>
      </c>
      <c r="X12" s="629">
        <f t="shared" si="83"/>
        <v>2.5688077475241666</v>
      </c>
      <c r="Y12" s="630">
        <f>IF(M12="","",S12)</f>
        <v>-0.44240133428242412</v>
      </c>
      <c r="Z12" s="632">
        <f t="shared" si="6"/>
        <v>0.95371696400905337</v>
      </c>
      <c r="AA12" s="629">
        <f t="shared" si="7"/>
        <v>7.7828366019961542E-2</v>
      </c>
      <c r="AB12" s="629">
        <f t="shared" si="8"/>
        <v>-0.29045946017304536</v>
      </c>
      <c r="AC12" s="636">
        <f t="shared" si="84"/>
        <v>1</v>
      </c>
      <c r="AD12" s="637">
        <f t="shared" si="115"/>
        <v>0.95371696400905337</v>
      </c>
      <c r="AE12" s="629">
        <f t="shared" si="85"/>
        <v>7.7828366019961542E-2</v>
      </c>
      <c r="AF12" s="633">
        <f t="shared" si="86"/>
        <v>-0.29045946017304536</v>
      </c>
      <c r="AG12" s="602">
        <f t="shared" si="87"/>
        <v>14.999997834268267</v>
      </c>
      <c r="AH12" s="603">
        <f t="shared" si="88"/>
        <v>17.49999747331298</v>
      </c>
      <c r="AI12" s="585">
        <f t="shared" si="89"/>
        <v>-73.114534769632428</v>
      </c>
      <c r="AJ12" s="586">
        <f t="shared" si="90"/>
        <v>94.665301948782698</v>
      </c>
      <c r="AK12" s="635">
        <f t="shared" ref="AK12:AK105" si="211">IF(M12="","",(COS(RADIANS((90-$Q$8)-W12))*AD12)+(-SIN(RADIANS((90-$Q$8)-W12))*AE12))</f>
        <v>0.95371696400905337</v>
      </c>
      <c r="AL12" s="629">
        <f>IF(M12="","",(SIN(RADIANS((90-$Q$8)-W12))*AD12)+(COS(RADIANS((90-$Q$8)-W12))*AE12))</f>
        <v>7.7828366019961542E-2</v>
      </c>
      <c r="AM12" s="634">
        <f t="shared" si="92"/>
        <v>-0.29045946017304536</v>
      </c>
      <c r="AN12" s="581">
        <f>IF(M12="","",DEGREES(ATAN2(-AM12,AL12)))</f>
        <v>14.999997834268267</v>
      </c>
      <c r="AO12" s="582">
        <f t="shared" si="94"/>
        <v>17.49999747331298</v>
      </c>
      <c r="AP12" s="585">
        <f t="shared" si="95"/>
        <v>4.6653019487827052</v>
      </c>
      <c r="AQ12" s="586">
        <f t="shared" si="9"/>
        <v>0.88739390753843073</v>
      </c>
      <c r="AS12" s="52">
        <f t="shared" si="116"/>
        <v>0</v>
      </c>
      <c r="AT12" s="72">
        <f>IF(M12="","",Y12+(((AS12-$AS$9)*$AS$6)*-1))</f>
        <v>-0.44240133428242412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-6.0612877359425842E-16</v>
      </c>
      <c r="C13" s="708">
        <v>3.3105099844981134</v>
      </c>
      <c r="D13" s="709">
        <v>-0.24370073500141637</v>
      </c>
      <c r="E13" s="710">
        <v>-0.95371696400905337</v>
      </c>
      <c r="F13" s="708">
        <v>-7.7828366019961542E-2</v>
      </c>
      <c r="G13" s="711">
        <v>0.29045946017304536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-6.0612877359425842E-16</v>
      </c>
      <c r="O13" s="629">
        <f t="shared" si="3"/>
        <v>3.3105099844981134</v>
      </c>
      <c r="P13" s="633">
        <f t="shared" si="4"/>
        <v>-0.24370073500141637</v>
      </c>
      <c r="Q13" s="585">
        <f t="shared" si="113"/>
        <v>90.000000000000014</v>
      </c>
      <c r="R13" s="629">
        <f t="shared" si="79"/>
        <v>3.3105099844981134</v>
      </c>
      <c r="S13" s="634">
        <f t="shared" si="80"/>
        <v>-0.24370073500141637</v>
      </c>
      <c r="T13" s="635">
        <f>IF(M13="","",X13*COS(RADIANS(W13)))</f>
        <v>3.3105099844981134</v>
      </c>
      <c r="U13" s="629">
        <f t="shared" si="82"/>
        <v>8.2109322576170763E-16</v>
      </c>
      <c r="V13" s="636">
        <f t="shared" si="114"/>
        <v>-0.24370073500141637</v>
      </c>
      <c r="W13" s="585">
        <f t="shared" si="5"/>
        <v>1.4210854715202004E-14</v>
      </c>
      <c r="X13" s="629">
        <f t="shared" si="83"/>
        <v>3.3105099844981134</v>
      </c>
      <c r="Y13" s="630">
        <f>IF(M13="","",S13)</f>
        <v>-0.24370073500141637</v>
      </c>
      <c r="Z13" s="632">
        <f t="shared" si="6"/>
        <v>0.95371696400905337</v>
      </c>
      <c r="AA13" s="629">
        <f t="shared" si="7"/>
        <v>7.7828366019961542E-2</v>
      </c>
      <c r="AB13" s="629">
        <f t="shared" si="8"/>
        <v>-0.29045946017304536</v>
      </c>
      <c r="AC13" s="636">
        <f t="shared" si="84"/>
        <v>1</v>
      </c>
      <c r="AD13" s="637">
        <f>IF(M13="","",Z13*(1/SQRT(Z13^2+AA13^2+AB13^2)))</f>
        <v>0.95371696400905337</v>
      </c>
      <c r="AE13" s="629">
        <f t="shared" si="85"/>
        <v>7.7828366019961542E-2</v>
      </c>
      <c r="AF13" s="633">
        <f t="shared" si="86"/>
        <v>-0.29045946017304536</v>
      </c>
      <c r="AG13" s="602">
        <f>IF(M13="","",DEGREES(ATAN2(-AF13,AE13)))</f>
        <v>14.999997834268267</v>
      </c>
      <c r="AH13" s="603">
        <f t="shared" si="88"/>
        <v>17.49999747331298</v>
      </c>
      <c r="AI13" s="585">
        <f t="shared" si="89"/>
        <v>-73.114534769632428</v>
      </c>
      <c r="AJ13" s="586">
        <f t="shared" si="90"/>
        <v>94.665301948782698</v>
      </c>
      <c r="AK13" s="635">
        <f t="shared" si="211"/>
        <v>0.95371696400905337</v>
      </c>
      <c r="AL13" s="629">
        <f t="shared" si="91"/>
        <v>7.7828366019961306E-2</v>
      </c>
      <c r="AM13" s="634">
        <f t="shared" si="92"/>
        <v>-0.29045946017304536</v>
      </c>
      <c r="AN13" s="581">
        <f t="shared" si="93"/>
        <v>14.999997834268223</v>
      </c>
      <c r="AO13" s="582">
        <f t="shared" si="94"/>
        <v>17.49999747331298</v>
      </c>
      <c r="AP13" s="585">
        <f t="shared" si="95"/>
        <v>4.6653019487826901</v>
      </c>
      <c r="AQ13" s="586">
        <f t="shared" si="9"/>
        <v>0.68859990757765388</v>
      </c>
      <c r="AS13" s="52">
        <f t="shared" si="116"/>
        <v>1.4210854715202004E-14</v>
      </c>
      <c r="AT13" s="72">
        <f t="shared" si="10"/>
        <v>-0.24370073500141637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9.0629007989822385E-3</v>
      </c>
      <c r="C14" s="708">
        <v>4.0887022872851011</v>
      </c>
      <c r="D14" s="709">
        <v>-7.9300239169521627E-2</v>
      </c>
      <c r="E14" s="710">
        <v>-0.96546731236921079</v>
      </c>
      <c r="F14" s="708">
        <v>1.1834967664535697E-3</v>
      </c>
      <c r="G14" s="711">
        <v>0.26052153093741887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9.0629007989822385E-3</v>
      </c>
      <c r="O14" s="629">
        <f t="shared" si="3"/>
        <v>4.0887022872851011</v>
      </c>
      <c r="P14" s="633">
        <f t="shared" si="4"/>
        <v>-7.9300239169521627E-2</v>
      </c>
      <c r="Q14" s="585">
        <f t="shared" si="113"/>
        <v>89.873000018336526</v>
      </c>
      <c r="R14" s="629">
        <f t="shared" si="79"/>
        <v>4.0887123315563922</v>
      </c>
      <c r="S14" s="634">
        <f t="shared" si="80"/>
        <v>-7.9300239169521627E-2</v>
      </c>
      <c r="T14" s="635">
        <f t="shared" si="81"/>
        <v>4.0887022872851011</v>
      </c>
      <c r="U14" s="629">
        <f t="shared" si="82"/>
        <v>-9.0629007989811421E-3</v>
      </c>
      <c r="V14" s="636">
        <f t="shared" si="114"/>
        <v>-7.9300239169521627E-2</v>
      </c>
      <c r="W14" s="585">
        <f t="shared" si="5"/>
        <v>359.87300001833654</v>
      </c>
      <c r="X14" s="629">
        <f t="shared" si="83"/>
        <v>4.0887123315563922</v>
      </c>
      <c r="Y14" s="630">
        <f t="shared" ref="Y14:Y75" si="223">IF(M14="","",S14)</f>
        <v>-7.9300239169521627E-2</v>
      </c>
      <c r="Z14" s="632">
        <f t="shared" si="6"/>
        <v>0.96546731236921079</v>
      </c>
      <c r="AA14" s="629">
        <f t="shared" si="7"/>
        <v>-1.1834967664535697E-3</v>
      </c>
      <c r="AB14" s="629">
        <f t="shared" si="8"/>
        <v>-0.26052153093741887</v>
      </c>
      <c r="AC14" s="636">
        <f t="shared" si="84"/>
        <v>1</v>
      </c>
      <c r="AD14" s="637">
        <f>IF(M14="","",Z14*(1/SQRT(Z14^2+AA14^2+AB14^2)))</f>
        <v>0.96546731236921079</v>
      </c>
      <c r="AE14" s="629">
        <f t="shared" si="85"/>
        <v>-1.1834967664535697E-3</v>
      </c>
      <c r="AF14" s="633">
        <f t="shared" si="86"/>
        <v>-0.26052153093741887</v>
      </c>
      <c r="AG14" s="602">
        <f t="shared" si="87"/>
        <v>-0.26028137899362275</v>
      </c>
      <c r="AH14" s="603">
        <f t="shared" si="88"/>
        <v>15.101169717372066</v>
      </c>
      <c r="AI14" s="585">
        <f t="shared" si="89"/>
        <v>-74.898989812930253</v>
      </c>
      <c r="AJ14" s="586">
        <f t="shared" si="90"/>
        <v>89.929765270194267</v>
      </c>
      <c r="AK14" s="635">
        <f>IF(M14="","",(COS(RADIANS((90-$Q$8)-W14))*AD14)+(-SIN(RADIANS((90-$Q$8)-W14))*AE14))</f>
        <v>0.96546756391495392</v>
      </c>
      <c r="AL14" s="629">
        <f t="shared" si="91"/>
        <v>9.5652817403740721E-4</v>
      </c>
      <c r="AM14" s="634">
        <f t="shared" si="92"/>
        <v>-0.26052153093741887</v>
      </c>
      <c r="AN14" s="581">
        <f t="shared" si="93"/>
        <v>0.21036564960600868</v>
      </c>
      <c r="AO14" s="582">
        <f t="shared" si="94"/>
        <v>15.101114396084593</v>
      </c>
      <c r="AP14" s="585">
        <f>IF(M14="","",DEGREES(ATAN2(AK14,AL14)))</f>
        <v>5.6765251857726864E-2</v>
      </c>
      <c r="AQ14" s="586">
        <f t="shared" si="9"/>
        <v>0.55754831552761641</v>
      </c>
      <c r="AS14" s="52">
        <f t="shared" si="116"/>
        <v>-0.12699998166345949</v>
      </c>
      <c r="AT14" s="72">
        <f t="shared" si="10"/>
        <v>-7.9212044737810891E-2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4.6865968857116531E-2</v>
      </c>
      <c r="C15" s="708">
        <v>4.8380876051985604</v>
      </c>
      <c r="D15" s="709">
        <v>-8.4700255455970611E-2</v>
      </c>
      <c r="E15" s="710">
        <v>-0.96262044978606109</v>
      </c>
      <c r="F15" s="708">
        <v>0.10153054619051495</v>
      </c>
      <c r="G15" s="711">
        <v>0.25110439630547549</v>
      </c>
      <c r="H15" s="710">
        <v>0.314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1.1279999999999999</v>
      </c>
      <c r="N15" s="632">
        <f t="shared" si="2"/>
        <v>4.6865968857116531E-2</v>
      </c>
      <c r="O15" s="629">
        <f t="shared" si="3"/>
        <v>4.8380876051985604</v>
      </c>
      <c r="P15" s="633">
        <f t="shared" si="4"/>
        <v>-8.4700255455970611E-2</v>
      </c>
      <c r="Q15" s="585">
        <f t="shared" si="113"/>
        <v>89.445000080132075</v>
      </c>
      <c r="R15" s="629">
        <f t="shared" si="79"/>
        <v>4.8383145923568112</v>
      </c>
      <c r="S15" s="634">
        <f t="shared" si="80"/>
        <v>-8.4700255455970611E-2</v>
      </c>
      <c r="T15" s="635">
        <f t="shared" si="81"/>
        <v>4.8380876051985604</v>
      </c>
      <c r="U15" s="629">
        <f t="shared" si="82"/>
        <v>-4.6865968857112764E-2</v>
      </c>
      <c r="V15" s="636">
        <f t="shared" si="114"/>
        <v>-8.4700255455970611E-2</v>
      </c>
      <c r="W15" s="585">
        <f t="shared" ref="W15:W78" si="224">IF(M15="","",IF(Q15-$Q$8&lt;0,360+Q15-$Q$8,Q15-$Q$8))</f>
        <v>359.4450000801321</v>
      </c>
      <c r="X15" s="629">
        <f>IF(M15="","",R15)</f>
        <v>4.8383145923568112</v>
      </c>
      <c r="Y15" s="630">
        <f>IF(M15="","",S15)</f>
        <v>-8.4700255455970611E-2</v>
      </c>
      <c r="Z15" s="632">
        <f t="shared" si="6"/>
        <v>0.96262044978606109</v>
      </c>
      <c r="AA15" s="629">
        <f t="shared" si="7"/>
        <v>-0.10153054619051495</v>
      </c>
      <c r="AB15" s="629">
        <f t="shared" si="8"/>
        <v>-0.25110439630547549</v>
      </c>
      <c r="AC15" s="636">
        <f t="shared" si="84"/>
        <v>1</v>
      </c>
      <c r="AD15" s="637">
        <f t="shared" si="115"/>
        <v>0.96262044978606109</v>
      </c>
      <c r="AE15" s="629">
        <f t="shared" si="85"/>
        <v>-0.10153054619051495</v>
      </c>
      <c r="AF15" s="633">
        <f t="shared" si="86"/>
        <v>-0.25110439630547549</v>
      </c>
      <c r="AG15" s="602">
        <f t="shared" si="87"/>
        <v>-22.015256231271017</v>
      </c>
      <c r="AH15" s="603">
        <f t="shared" si="88"/>
        <v>15.715088976995148</v>
      </c>
      <c r="AI15" s="585">
        <f t="shared" si="89"/>
        <v>-75.457125713812275</v>
      </c>
      <c r="AJ15" s="586">
        <f t="shared" si="90"/>
        <v>83.979098315843245</v>
      </c>
      <c r="AK15" s="635">
        <f t="shared" si="211"/>
        <v>0.96355875688634984</v>
      </c>
      <c r="AL15" s="629">
        <f t="shared" si="91"/>
        <v>-9.2201432655327917E-2</v>
      </c>
      <c r="AM15" s="634">
        <f t="shared" si="92"/>
        <v>-0.25110439630547549</v>
      </c>
      <c r="AN15" s="581">
        <f>IF(M15="","",DEGREES(ATAN2(-AM15,AL15)))</f>
        <v>-20.162410391450091</v>
      </c>
      <c r="AO15" s="582">
        <f t="shared" si="94"/>
        <v>15.515364229104467</v>
      </c>
      <c r="AP15" s="585">
        <f t="shared" si="95"/>
        <v>-5.4659017642888736</v>
      </c>
      <c r="AQ15" s="586">
        <f t="shared" si="9"/>
        <v>0.47117135497289342</v>
      </c>
      <c r="AS15" s="52">
        <f t="shared" si="116"/>
        <v>-0.5549999198678961</v>
      </c>
      <c r="AT15" s="72">
        <f t="shared" si="10"/>
        <v>-8.4314838844951237E-2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78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0.11181877824766108</v>
      </c>
      <c r="C16" s="708">
        <v>5.5654936021412631</v>
      </c>
      <c r="D16" s="709">
        <v>-0.26250079170238838</v>
      </c>
      <c r="E16" s="710">
        <v>-0.95669570258896897</v>
      </c>
      <c r="F16" s="708">
        <v>0.18785094583949735</v>
      </c>
      <c r="G16" s="711">
        <v>0.22236311473579765</v>
      </c>
      <c r="H16" s="710">
        <v>0.314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1.1339999999999999</v>
      </c>
      <c r="N16" s="632">
        <f t="shared" si="2"/>
        <v>0.11181877824766108</v>
      </c>
      <c r="O16" s="629">
        <f t="shared" si="3"/>
        <v>5.5654936021412631</v>
      </c>
      <c r="P16" s="633">
        <f t="shared" si="4"/>
        <v>-0.26250079170238838</v>
      </c>
      <c r="Q16" s="585">
        <f>IF(M16="","",IF(DEGREES(ATAN2(N16,O16))&lt;0,DEGREES(ATAN2(N16,O16))+360,IF(DEGREES(ATAN2(N16,O16))&gt;360,DEGREES(ATAN2(N16,O16))-360,DEGREES(ATAN2(N16,O16)))))</f>
        <v>88.849000166183828</v>
      </c>
      <c r="R16" s="629">
        <f t="shared" si="79"/>
        <v>5.5666167889162379</v>
      </c>
      <c r="S16" s="634">
        <f t="shared" si="80"/>
        <v>-0.26250079170238838</v>
      </c>
      <c r="T16" s="635">
        <f t="shared" si="81"/>
        <v>5.5654936021412622</v>
      </c>
      <c r="U16" s="629">
        <f t="shared" si="82"/>
        <v>-0.11181877824766344</v>
      </c>
      <c r="V16" s="636">
        <f t="shared" si="114"/>
        <v>-0.26250079170238838</v>
      </c>
      <c r="W16" s="585">
        <f>IF(M16="","",IF(Q16-$Q$8&lt;0,360+Q16-$Q$8,Q16-$Q$8))</f>
        <v>358.84900016618383</v>
      </c>
      <c r="X16" s="629">
        <f t="shared" si="83"/>
        <v>5.5666167889162379</v>
      </c>
      <c r="Y16" s="630">
        <f t="shared" si="223"/>
        <v>-0.26250079170238838</v>
      </c>
      <c r="Z16" s="632">
        <f t="shared" si="6"/>
        <v>0.95669570258896897</v>
      </c>
      <c r="AA16" s="629">
        <f t="shared" si="7"/>
        <v>-0.18785094583949735</v>
      </c>
      <c r="AB16" s="629">
        <f t="shared" si="8"/>
        <v>-0.22236311473579765</v>
      </c>
      <c r="AC16" s="636">
        <f t="shared" si="84"/>
        <v>1</v>
      </c>
      <c r="AD16" s="637">
        <f t="shared" si="115"/>
        <v>0.95669570258896897</v>
      </c>
      <c r="AE16" s="629">
        <f t="shared" si="85"/>
        <v>-0.18785094583949735</v>
      </c>
      <c r="AF16" s="633">
        <f t="shared" si="86"/>
        <v>-0.22236311473579765</v>
      </c>
      <c r="AG16" s="602">
        <f t="shared" si="87"/>
        <v>-40.190911195375946</v>
      </c>
      <c r="AH16" s="603">
        <f t="shared" si="88"/>
        <v>16.923218295891346</v>
      </c>
      <c r="AI16" s="585">
        <f t="shared" si="89"/>
        <v>-77.152131888351121</v>
      </c>
      <c r="AJ16" s="586">
        <f t="shared" si="90"/>
        <v>78.891078155911373</v>
      </c>
      <c r="AK16" s="635">
        <f t="shared" si="211"/>
        <v>0.96027610268679875</v>
      </c>
      <c r="AL16" s="629">
        <f t="shared" si="91"/>
        <v>-0.1685955272646559</v>
      </c>
      <c r="AM16" s="634">
        <f t="shared" si="92"/>
        <v>-0.22236311473579765</v>
      </c>
      <c r="AN16" s="581">
        <f t="shared" si="93"/>
        <v>-37.169373814149729</v>
      </c>
      <c r="AO16" s="582">
        <f t="shared" si="94"/>
        <v>16.203610587789058</v>
      </c>
      <c r="AP16" s="585">
        <f t="shared" si="95"/>
        <v>-9.9579220102724335</v>
      </c>
      <c r="AQ16" s="586">
        <f t="shared" si="9"/>
        <v>0.40952842555693625</v>
      </c>
      <c r="AS16" s="52">
        <f t="shared" si="116"/>
        <v>-1.1509998338161722</v>
      </c>
      <c r="AT16" s="72">
        <f t="shared" si="10"/>
        <v>-0.26170148626223827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0.19646922916628051</v>
      </c>
      <c r="C17" s="708">
        <v>6.2344238528107017</v>
      </c>
      <c r="D17" s="709">
        <v>-0.59740180176383428</v>
      </c>
      <c r="E17" s="710">
        <v>-0.93281074085986149</v>
      </c>
      <c r="F17" s="708">
        <v>0.28375944026788924</v>
      </c>
      <c r="G17" s="711">
        <v>0.22213667368386233</v>
      </c>
      <c r="H17" s="710">
        <v>0.314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1.1399999999999999</v>
      </c>
      <c r="N17" s="632">
        <f t="shared" si="2"/>
        <v>0.19646922916628051</v>
      </c>
      <c r="O17" s="629">
        <f t="shared" si="3"/>
        <v>6.2344238528107017</v>
      </c>
      <c r="P17" s="633">
        <f t="shared" si="4"/>
        <v>-0.59740180176383428</v>
      </c>
      <c r="Q17" s="585">
        <f>IF(M17="","",IF(DEGREES(ATAN2(N17,O17))&lt;0,DEGREES(ATAN2(N17,O17))+360,IF(DEGREES(ATAN2(N17,O17))&gt;360,DEGREES(ATAN2(N17,O17))-360,DEGREES(ATAN2(N17,O17)))))</f>
        <v>88.195000260609731</v>
      </c>
      <c r="R17" s="629">
        <f>IF(M17="","",SQRT(N17^2+O17^2))</f>
        <v>6.2375188123567398</v>
      </c>
      <c r="S17" s="634">
        <f>IF(M17="","",P17)</f>
        <v>-0.59740180176383428</v>
      </c>
      <c r="T17" s="635">
        <f>IF(M17="","",X17*COS(RADIANS(W17)))</f>
        <v>6.2344238528107025</v>
      </c>
      <c r="U17" s="629">
        <f>IF(M17="","",X17*SIN(RADIANS(W17)))</f>
        <v>-0.19646922916627932</v>
      </c>
      <c r="V17" s="636">
        <f>IF(M17="","",Y17)</f>
        <v>-0.59740180176383428</v>
      </c>
      <c r="W17" s="585">
        <f t="shared" si="224"/>
        <v>358.19500026060973</v>
      </c>
      <c r="X17" s="629">
        <f>IF(M17="","",R17)</f>
        <v>6.2375188123567398</v>
      </c>
      <c r="Y17" s="630">
        <f t="shared" si="223"/>
        <v>-0.59740180176383428</v>
      </c>
      <c r="Z17" s="632">
        <f t="shared" si="6"/>
        <v>0.93281074085986149</v>
      </c>
      <c r="AA17" s="629">
        <f t="shared" si="7"/>
        <v>-0.28375944026788924</v>
      </c>
      <c r="AB17" s="629">
        <f t="shared" si="8"/>
        <v>-0.22213667368386233</v>
      </c>
      <c r="AC17" s="636">
        <f>IF(M17="","",SQRT(Z17^2+AA17^2+AB17^2))</f>
        <v>1</v>
      </c>
      <c r="AD17" s="637">
        <f>IF(M17="","",Z17*(1/SQRT(Z17^2+AA17^2+AB17^2)))</f>
        <v>0.93281074085986149</v>
      </c>
      <c r="AE17" s="629">
        <f>IF(M17="","",AA17*(1/SQRT(Z17^2+AA17^2+AB17^2)))</f>
        <v>-0.28375944026788924</v>
      </c>
      <c r="AF17" s="633">
        <f>IF(M17="","",AB17*(1/SQRT(Z17^2+AA17^2+AB17^2)))</f>
        <v>-0.22213667368386233</v>
      </c>
      <c r="AG17" s="602">
        <f>IF(M17="","",DEGREES(ATAN2(-AF17,AE17)))</f>
        <v>-51.944935623091126</v>
      </c>
      <c r="AH17" s="603">
        <f>IF(M17="","",DEGREES(ACOS(AD17)))</f>
        <v>21.122714898658387</v>
      </c>
      <c r="AI17" s="585">
        <f>IF(M17="","",DEGREES(-ACOS(-AF17)))</f>
        <v>-77.165438814715969</v>
      </c>
      <c r="AJ17" s="586">
        <f>IF(M17="","",DEGREES(ATAN2(-AE17,AD17)))</f>
        <v>73.08032826422172</v>
      </c>
      <c r="AK17" s="635">
        <f>IF(M17="","",(COS(RADIANS((90-$Q$8)-W17))*AD17)+(-SIN(RADIANS((90-$Q$8)-W17))*AE17))</f>
        <v>0.94128574327368886</v>
      </c>
      <c r="AL17" s="629">
        <f>IF(M17="","",(SIN(RADIANS((90-$Q$8)-W17))*AD17)+(COS(RADIANS((90-$Q$8)-W17))*AE17))</f>
        <v>-0.25423699123921506</v>
      </c>
      <c r="AM17" s="634">
        <f>IF(M17="","",AF17)</f>
        <v>-0.22213667368386233</v>
      </c>
      <c r="AN17" s="581">
        <f>IF(M17="","",DEGREES(ATAN2(-AM17,AL17)))</f>
        <v>-48.855033639505194</v>
      </c>
      <c r="AO17" s="582">
        <f t="shared" si="94"/>
        <v>19.731386543927091</v>
      </c>
      <c r="AP17" s="585">
        <f>IF(M17="","",DEGREES(ATAN2(AK17,AL17)))</f>
        <v>-15.114671996388015</v>
      </c>
      <c r="AQ17" s="586">
        <f t="shared" si="9"/>
        <v>0.36548117608379066</v>
      </c>
      <c r="AS17" s="52">
        <f t="shared" si="116"/>
        <v>-1.8049997393902686</v>
      </c>
      <c r="AT17" s="72">
        <f t="shared" si="10"/>
        <v>-0.59614832972259102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0.28834591498475626</v>
      </c>
      <c r="C18" s="708">
        <v>6.8087176332772943</v>
      </c>
      <c r="D18" s="709">
        <v>-1.076203245828989</v>
      </c>
      <c r="E18" s="710">
        <v>-0.90437869239986635</v>
      </c>
      <c r="F18" s="708">
        <v>0.37662946508765527</v>
      </c>
      <c r="G18" s="711">
        <v>0.20062259783208555</v>
      </c>
      <c r="H18" s="710">
        <v>0.314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1.1459999999999999</v>
      </c>
      <c r="N18" s="632">
        <f t="shared" si="2"/>
        <v>0.28834591498475626</v>
      </c>
      <c r="O18" s="629">
        <f t="shared" si="3"/>
        <v>6.8087176332772943</v>
      </c>
      <c r="P18" s="633">
        <f t="shared" si="4"/>
        <v>-1.076203245828989</v>
      </c>
      <c r="Q18" s="585">
        <f t="shared" si="113"/>
        <v>87.575000350126629</v>
      </c>
      <c r="R18" s="629">
        <f>IF(M18="","",SQRT(N18^2+O18^2))</f>
        <v>6.81482055349879</v>
      </c>
      <c r="S18" s="634">
        <f>IF(M18="","",P18)</f>
        <v>-1.076203245828989</v>
      </c>
      <c r="T18" s="635">
        <f>IF(M18="","",X18*COS(RADIANS(W18)))</f>
        <v>6.8087176332772943</v>
      </c>
      <c r="U18" s="629">
        <f>IF(M18="","",X18*SIN(RADIANS(W18)))</f>
        <v>-0.28834591498475748</v>
      </c>
      <c r="V18" s="636">
        <f>IF(M18="","",Y18)</f>
        <v>-1.076203245828989</v>
      </c>
      <c r="W18" s="585">
        <f t="shared" si="224"/>
        <v>357.57500035012663</v>
      </c>
      <c r="X18" s="629">
        <f>IF(M18="","",R18)</f>
        <v>6.81482055349879</v>
      </c>
      <c r="Y18" s="630">
        <f t="shared" si="223"/>
        <v>-1.076203245828989</v>
      </c>
      <c r="Z18" s="632">
        <f t="shared" si="6"/>
        <v>0.90437869239986635</v>
      </c>
      <c r="AA18" s="629">
        <f t="shared" si="7"/>
        <v>-0.37662946508765527</v>
      </c>
      <c r="AB18" s="629">
        <f t="shared" si="8"/>
        <v>-0.20062259783208555</v>
      </c>
      <c r="AC18" s="636">
        <f>IF(M18="","",SQRT(Z18^2+AA18^2+AB18^2))</f>
        <v>1</v>
      </c>
      <c r="AD18" s="637">
        <f>IF(M18="","",Z18*(1/SQRT(Z18^2+AA18^2+AB18^2)))</f>
        <v>0.90437869239986635</v>
      </c>
      <c r="AE18" s="629">
        <f>IF(M18="","",AA18*(1/SQRT(Z18^2+AA18^2+AB18^2)))</f>
        <v>-0.37662946508765527</v>
      </c>
      <c r="AF18" s="633">
        <f>IF(M18="","",AB18*(1/SQRT(Z18^2+AA18^2+AB18^2)))</f>
        <v>-0.20062259783208555</v>
      </c>
      <c r="AG18" s="602">
        <f>IF(M18="","",DEGREES(ATAN2(-AF18,AE18)))</f>
        <v>-61.956710196173717</v>
      </c>
      <c r="AH18" s="603">
        <f>IF(M18="","",DEGREES(ACOS(AD18)))</f>
        <v>25.260267056541835</v>
      </c>
      <c r="AI18" s="585">
        <f>IF(M18="","",DEGREES(-ACOS(-AF18)))</f>
        <v>-78.426630787877144</v>
      </c>
      <c r="AJ18" s="586">
        <f>IF(M18="","",DEGREES(ATAN2(-AE18,AD18)))</f>
        <v>67.39066179092238</v>
      </c>
      <c r="AK18" s="635">
        <f>IF(M18="","",(COS(RADIANS((90-$Q$8)-W18))*AD18)+(-SIN(RADIANS((90-$Q$8)-W18))*AE18))</f>
        <v>0.91950458102774224</v>
      </c>
      <c r="AL18" s="629">
        <f>IF(M18="","",(SIN(RADIANS((90-$Q$8)-W18))*AD18)+(COS(RADIANS((90-$Q$8)-W18))*AE18))</f>
        <v>-0.33802647634187111</v>
      </c>
      <c r="AM18" s="634">
        <f>IF(M18="","",AF18)</f>
        <v>-0.20062259783208555</v>
      </c>
      <c r="AN18" s="581">
        <f>IF(M18="","",DEGREES(ATAN2(-AM18,AL18)))</f>
        <v>-59.31038215807051</v>
      </c>
      <c r="AO18" s="582">
        <f t="shared" si="94"/>
        <v>23.146237804680034</v>
      </c>
      <c r="AP18" s="585">
        <f>IF(M18="","",DEGREES(ATAN2(AK18,AL18)))</f>
        <v>-20.184338559204225</v>
      </c>
      <c r="AQ18" s="586">
        <f t="shared" si="9"/>
        <v>0.3345210207988637</v>
      </c>
      <c r="AS18" s="52">
        <f t="shared" si="116"/>
        <v>-2.4249996498733708</v>
      </c>
      <c r="AT18" s="72">
        <f t="shared" si="10"/>
        <v>-1.0745192182943546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0.37227125553586687</v>
      </c>
      <c r="C19" s="708">
        <v>7.2584817108710578</v>
      </c>
      <c r="D19" s="709">
        <v>-1.673705047894424</v>
      </c>
      <c r="E19" s="710">
        <v>-0.87337357704734209</v>
      </c>
      <c r="F19" s="708">
        <v>0.45976812490553487</v>
      </c>
      <c r="G19" s="711">
        <v>0.16072294869239734</v>
      </c>
      <c r="H19" s="710">
        <v>0.314</v>
      </c>
      <c r="I19" s="708">
        <v>0.52</v>
      </c>
      <c r="J19" s="570">
        <v>1.1519999999999999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1.1519999999999999</v>
      </c>
      <c r="N19" s="632">
        <f t="shared" si="2"/>
        <v>0.37227125553586687</v>
      </c>
      <c r="O19" s="629">
        <f t="shared" si="3"/>
        <v>7.2584817108710578</v>
      </c>
      <c r="P19" s="633">
        <f t="shared" si="4"/>
        <v>-1.673705047894424</v>
      </c>
      <c r="Q19" s="585">
        <f t="shared" si="113"/>
        <v>87.064000423905895</v>
      </c>
      <c r="R19" s="629">
        <f>IF(M19="","",SQRT(N19^2+O19^2))</f>
        <v>7.268021920354113</v>
      </c>
      <c r="S19" s="634">
        <f>IF(M19="","",P19)</f>
        <v>-1.673705047894424</v>
      </c>
      <c r="T19" s="635">
        <f>IF(M19="","",X19*COS(RADIANS(W19)))</f>
        <v>7.2584817108710578</v>
      </c>
      <c r="U19" s="629">
        <f>IF(M19="","",X19*SIN(RADIANS(W19)))</f>
        <v>-0.37227125553586426</v>
      </c>
      <c r="V19" s="636">
        <f>IF(M19="","",Y19)</f>
        <v>-1.673705047894424</v>
      </c>
      <c r="W19" s="585">
        <f t="shared" si="224"/>
        <v>357.0640004239059</v>
      </c>
      <c r="X19" s="629">
        <f>IF(M19="","",R19)</f>
        <v>7.268021920354113</v>
      </c>
      <c r="Y19" s="630">
        <f t="shared" si="223"/>
        <v>-1.673705047894424</v>
      </c>
      <c r="Z19" s="632">
        <f t="shared" si="6"/>
        <v>0.87337357704734209</v>
      </c>
      <c r="AA19" s="629">
        <f t="shared" si="7"/>
        <v>-0.45976812490553487</v>
      </c>
      <c r="AB19" s="629">
        <f t="shared" si="8"/>
        <v>-0.16072294869239734</v>
      </c>
      <c r="AC19" s="636">
        <f>IF(M19="","",SQRT(Z19^2+AA19^2+AB19^2))</f>
        <v>1</v>
      </c>
      <c r="AD19" s="637">
        <f>IF(M19="","",Z19*(1/SQRT(Z19^2+AA19^2+AB19^2)))</f>
        <v>0.87337357704734209</v>
      </c>
      <c r="AE19" s="629">
        <f>IF(M19="","",AA19*(1/SQRT(Z19^2+AA19^2+AB19^2)))</f>
        <v>-0.45976812490553487</v>
      </c>
      <c r="AF19" s="633">
        <f>IF(M19="","",AB19*(1/SQRT(Z19^2+AA19^2+AB19^2)))</f>
        <v>-0.16072294869239734</v>
      </c>
      <c r="AG19" s="602">
        <f>IF(M19="","",DEGREES(ATAN2(-AF19,AE19)))</f>
        <v>-70.731704744785205</v>
      </c>
      <c r="AH19" s="603">
        <f>IF(M19="","",DEGREES(ACOS(AD19)))</f>
        <v>29.146930455961513</v>
      </c>
      <c r="AI19" s="585">
        <f>IF(M19="","",DEGREES(-ACOS(-AF19)))</f>
        <v>-80.751138772594331</v>
      </c>
      <c r="AJ19" s="586">
        <f>IF(M19="","",DEGREES(ATAN2(-AE19,AD19)))</f>
        <v>62.236434332805743</v>
      </c>
      <c r="AK19" s="635">
        <f>IF(M19="","",(COS(RADIANS((90-$Q$8)-W19))*AD19)+(-SIN(RADIANS((90-$Q$8)-W19))*AE19))</f>
        <v>0.89577668645128605</v>
      </c>
      <c r="AL19" s="629">
        <f>IF(M19="","",(SIN(RADIANS((90-$Q$8)-W19))*AD19)+(COS(RADIANS((90-$Q$8)-W19))*AE19))</f>
        <v>-0.41443004448757725</v>
      </c>
      <c r="AM19" s="634">
        <f>IF(M19="","",AF19)</f>
        <v>-0.16072294869239734</v>
      </c>
      <c r="AN19" s="581">
        <f>IF(M19="","",DEGREES(ATAN2(-AM19,AL19)))</f>
        <v>-68.802868782414976</v>
      </c>
      <c r="AO19" s="582">
        <f t="shared" si="94"/>
        <v>26.391632364234479</v>
      </c>
      <c r="AP19" s="585">
        <f>IF(M19="","",DEGREES(ATAN2(AK19,AL19)))</f>
        <v>-24.82756609110017</v>
      </c>
      <c r="AQ19" s="586">
        <f t="shared" si="9"/>
        <v>0.31366221549938916</v>
      </c>
      <c r="AS19" s="52">
        <f t="shared" si="116"/>
        <v>-2.9359995760941047</v>
      </c>
      <c r="AT19" s="72">
        <f t="shared" si="10"/>
        <v>-1.6716661592999142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0.43591635881171859</v>
      </c>
      <c r="C20" s="708">
        <v>7.560165879758336</v>
      </c>
      <c r="D20" s="709">
        <v>-2.3595071162734622</v>
      </c>
      <c r="E20" s="710">
        <v>-0.84160458999198906</v>
      </c>
      <c r="F20" s="708">
        <v>0.52962195952832047</v>
      </c>
      <c r="G20" s="711">
        <v>0.10584089044314716</v>
      </c>
      <c r="H20" s="710">
        <v>0.314</v>
      </c>
      <c r="I20" s="708">
        <v>0.52</v>
      </c>
      <c r="J20" s="570">
        <v>1.1579999999999999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290</v>
      </c>
      <c r="M20" s="168">
        <f t="shared" si="1"/>
        <v>1.1579999999999999</v>
      </c>
      <c r="N20" s="632">
        <f t="shared" si="2"/>
        <v>0.43591635881171859</v>
      </c>
      <c r="O20" s="629">
        <f t="shared" si="3"/>
        <v>7.560165879758336</v>
      </c>
      <c r="P20" s="633">
        <f t="shared" si="4"/>
        <v>-2.3595071162734622</v>
      </c>
      <c r="Q20" s="585">
        <f t="shared" si="113"/>
        <v>86.700000476460986</v>
      </c>
      <c r="R20" s="629">
        <f>IF(M20="","",SQRT(N20^2+O20^2))</f>
        <v>7.5727228393320853</v>
      </c>
      <c r="S20" s="634">
        <f>IF(M20="","",P20)</f>
        <v>-2.3595071162734622</v>
      </c>
      <c r="T20" s="635">
        <f>IF(M20="","",X20*COS(RADIANS(W20)))</f>
        <v>7.5601658797583369</v>
      </c>
      <c r="U20" s="629">
        <f>IF(M20="","",X20*SIN(RADIANS(W20)))</f>
        <v>-0.43591635881171281</v>
      </c>
      <c r="V20" s="636">
        <f>IF(M20="","",Y20)</f>
        <v>-2.3595071162734622</v>
      </c>
      <c r="W20" s="585">
        <f t="shared" si="224"/>
        <v>356.70000047646101</v>
      </c>
      <c r="X20" s="629">
        <f>IF(M20="","",R20)</f>
        <v>7.5727228393320853</v>
      </c>
      <c r="Y20" s="630">
        <f t="shared" si="223"/>
        <v>-2.3595071162734622</v>
      </c>
      <c r="Z20" s="632">
        <f t="shared" si="6"/>
        <v>0.84160458999198906</v>
      </c>
      <c r="AA20" s="629">
        <f t="shared" si="7"/>
        <v>-0.52962195952832047</v>
      </c>
      <c r="AB20" s="629">
        <f t="shared" si="8"/>
        <v>-0.10584089044314716</v>
      </c>
      <c r="AC20" s="636">
        <f>IF(M20="","",SQRT(Z20^2+AA20^2+AB20^2))</f>
        <v>1</v>
      </c>
      <c r="AD20" s="637">
        <f>IF(M20="","",Z20*(1/SQRT(Z20^2+AA20^2+AB20^2)))</f>
        <v>0.84160458999198906</v>
      </c>
      <c r="AE20" s="629">
        <f>IF(M20="","",AA20*(1/SQRT(Z20^2+AA20^2+AB20^2)))</f>
        <v>-0.52962195952832047</v>
      </c>
      <c r="AF20" s="633">
        <f>IF(M20="","",AB20*(1/SQRT(Z20^2+AA20^2+AB20^2)))</f>
        <v>-0.10584089044314716</v>
      </c>
      <c r="AG20" s="602">
        <f>IF(M20="","",DEGREES(ATAN2(-AF20,AE20)))</f>
        <v>-78.6987537406049</v>
      </c>
      <c r="AH20" s="603">
        <f>IF(M20="","",DEGREES(ACOS(AD20)))</f>
        <v>32.690049738880646</v>
      </c>
      <c r="AI20" s="585">
        <f>IF(M20="","",DEGREES(-ACOS(-AF20)))</f>
        <v>-83.924383992031053</v>
      </c>
      <c r="AJ20" s="586">
        <f>IF(M20="","",DEGREES(ATAN2(-AE20,AD20)))</f>
        <v>57.817783489409408</v>
      </c>
      <c r="AK20" s="635">
        <f>IF(M20="","",(COS(RADIANS((90-$Q$8)-W20))*AD20)+(-SIN(RADIANS((90-$Q$8)-W20))*AE20))</f>
        <v>0.87069622400590863</v>
      </c>
      <c r="AL20" s="629">
        <f>IF(M20="","",(SIN(RADIANS((90-$Q$8)-W20))*AD20)+(COS(RADIANS((90-$Q$8)-W20))*AE20))</f>
        <v>-0.48029760712713798</v>
      </c>
      <c r="AM20" s="634">
        <f>IF(M20="","",AF20)</f>
        <v>-0.10584089044314716</v>
      </c>
      <c r="AN20" s="581">
        <f>IF(M20="","",DEGREES(ATAN2(-AM20,AL20)))</f>
        <v>-77.572623185446119</v>
      </c>
      <c r="AO20" s="582">
        <f t="shared" si="94"/>
        <v>29.460353722677706</v>
      </c>
      <c r="AP20" s="585">
        <f>IF(M20="","",DEGREES(ATAN2(AK20,AL20)))</f>
        <v>-28.88221698705161</v>
      </c>
      <c r="AQ20" s="586">
        <f t="shared" si="9"/>
        <v>0.30104173914867932</v>
      </c>
      <c r="AS20" s="52">
        <f t="shared" si="116"/>
        <v>-3.2999995235389861</v>
      </c>
      <c r="AT20" s="72">
        <f t="shared" si="10"/>
        <v>-2.3572154499376712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0.46656893508658809</v>
      </c>
      <c r="C21" s="708">
        <v>7.6988987054215361</v>
      </c>
      <c r="D21" s="709">
        <v>-3.0956093363577581</v>
      </c>
      <c r="E21" s="710">
        <v>-0.82023881063511661</v>
      </c>
      <c r="F21" s="708">
        <v>0.57108281289974017</v>
      </c>
      <c r="G21" s="711">
        <v>3.2752318061625707E-2</v>
      </c>
      <c r="H21" s="710">
        <v>0.314</v>
      </c>
      <c r="I21" s="708">
        <v>0.52</v>
      </c>
      <c r="J21" s="570">
        <v>1.1639999999999999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1.1639999999999999</v>
      </c>
      <c r="N21" s="632">
        <f t="shared" si="2"/>
        <v>0.46656893508658809</v>
      </c>
      <c r="O21" s="629">
        <f t="shared" si="3"/>
        <v>7.6988987054215361</v>
      </c>
      <c r="P21" s="633">
        <f t="shared" si="4"/>
        <v>-3.0956093363577581</v>
      </c>
      <c r="Q21" s="585">
        <f t="shared" si="113"/>
        <v>86.532000500717174</v>
      </c>
      <c r="R21" s="629">
        <f>IF(M21="","",SQRT(N21^2+O21^2))</f>
        <v>7.7130232624781598</v>
      </c>
      <c r="S21" s="634">
        <f>IF(M21="","",P21)</f>
        <v>-3.0956093363577581</v>
      </c>
      <c r="T21" s="635">
        <f>IF(M21="","",X21*COS(RADIANS(W21)))</f>
        <v>7.6988987054215361</v>
      </c>
      <c r="U21" s="629">
        <f>IF(M21="","",X21*SIN(RADIANS(W21)))</f>
        <v>-0.46656893508658676</v>
      </c>
      <c r="V21" s="636">
        <f>IF(M21="","",Y21)</f>
        <v>-3.0956093363577581</v>
      </c>
      <c r="W21" s="585">
        <f t="shared" si="224"/>
        <v>356.53200050071717</v>
      </c>
      <c r="X21" s="629">
        <f>IF(M21="","",R21)</f>
        <v>7.7130232624781598</v>
      </c>
      <c r="Y21" s="630">
        <f t="shared" si="223"/>
        <v>-3.0956093363577581</v>
      </c>
      <c r="Z21" s="632">
        <f t="shared" si="6"/>
        <v>0.82023881063511661</v>
      </c>
      <c r="AA21" s="629">
        <f t="shared" si="7"/>
        <v>-0.57108281289974017</v>
      </c>
      <c r="AB21" s="629">
        <f t="shared" si="8"/>
        <v>-3.2752318061625707E-2</v>
      </c>
      <c r="AC21" s="636">
        <f>IF(M21="","",SQRT(Z21^2+AA21^2+AB21^2))</f>
        <v>1</v>
      </c>
      <c r="AD21" s="637">
        <f>IF(M21="","",Z21*(1/SQRT(Z21^2+AA21^2+AB21^2)))</f>
        <v>0.82023881063511661</v>
      </c>
      <c r="AE21" s="629">
        <f>IF(M21="","",AA21*(1/SQRT(Z21^2+AA21^2+AB21^2)))</f>
        <v>-0.57108281289974017</v>
      </c>
      <c r="AF21" s="633">
        <f>IF(M21="","",AB21*(1/SQRT(Z21^2+AA21^2+AB21^2)))</f>
        <v>-3.2752318061625707E-2</v>
      </c>
      <c r="AG21" s="602">
        <f>IF(M21="","",DEGREES(ATAN2(-AF21,AE21)))</f>
        <v>-86.717610559186753</v>
      </c>
      <c r="AH21" s="603">
        <f>IF(M21="","",DEGREES(ACOS(AD21)))</f>
        <v>34.891293238774715</v>
      </c>
      <c r="AI21" s="585">
        <f>IF(M21="","",DEGREES(-ACOS(-AF21)))</f>
        <v>-88.123094739888572</v>
      </c>
      <c r="AJ21" s="586">
        <f>IF(M21="","",DEGREES(ATAN2(-AE21,AD21)))</f>
        <v>55.152832742349155</v>
      </c>
      <c r="AK21" s="635">
        <f>IF(M21="","",(COS(RADIANS((90-$Q$8)-W21))*AD21)+(-SIN(RADIANS((90-$Q$8)-W21))*AE21))</f>
        <v>0.85328214284180892</v>
      </c>
      <c r="AL21" s="629">
        <f>IF(M21="","",(SIN(RADIANS((90-$Q$8)-W21))*AD21)+(COS(RADIANS((90-$Q$8)-W21))*AE21))</f>
        <v>-0.52041989812927136</v>
      </c>
      <c r="AM21" s="634">
        <f>IF(M21="","",AF21)</f>
        <v>-3.2752318061625707E-2</v>
      </c>
      <c r="AN21" s="581">
        <f>IF(M21="","",DEGREES(ATAN2(-AM21,AL21)))</f>
        <v>-86.398873414516871</v>
      </c>
      <c r="AO21" s="582">
        <f>IF(ROUND(IF(M21="",0,DEGREES(ACOS(AK21))),4)=90,0,IF(M21="","",DEGREES(ACOS(AK21))))</f>
        <v>31.429531641721734</v>
      </c>
      <c r="AP21" s="585">
        <f>IF(M21="","",DEGREES(ATAN2(AK21,AL21)))</f>
        <v>-31.379167758368038</v>
      </c>
      <c r="AQ21" s="586">
        <f t="shared" si="9"/>
        <v>0.29556586727464612</v>
      </c>
      <c r="AS21" s="52">
        <f t="shared" si="116"/>
        <v>-3.4679994992828256</v>
      </c>
      <c r="AT21" s="72">
        <f t="shared" si="10"/>
        <v>-3.0932010033721449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1.1639999999999999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0.47115279641505609</v>
      </c>
      <c r="C22" s="708">
        <v>7.7187571132082269</v>
      </c>
      <c r="D22" s="709">
        <v>-3.8052114765178149</v>
      </c>
      <c r="E22" s="710">
        <v>-0.76092011932263182</v>
      </c>
      <c r="F22" s="708">
        <v>0.64781690759656563</v>
      </c>
      <c r="G22" s="711">
        <v>3.6521585973974868E-2</v>
      </c>
      <c r="H22" s="710">
        <v>0.314</v>
      </c>
      <c r="I22" s="708">
        <v>0.52</v>
      </c>
      <c r="J22" s="570">
        <v>1.17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0</v>
      </c>
      <c r="M22" s="168">
        <f t="shared" si="1"/>
        <v>1.17</v>
      </c>
      <c r="N22" s="632">
        <f t="shared" si="2"/>
        <v>0.47115279641505609</v>
      </c>
      <c r="O22" s="629">
        <f t="shared" si="3"/>
        <v>7.7187571132082269</v>
      </c>
      <c r="P22" s="633">
        <f t="shared" si="4"/>
        <v>-3.8052114765178149</v>
      </c>
      <c r="Q22" s="585">
        <f t="shared" si="113"/>
        <v>86.50700050432674</v>
      </c>
      <c r="R22" s="629">
        <f t="shared" si="79"/>
        <v>7.7331233230999441</v>
      </c>
      <c r="S22" s="634">
        <f t="shared" si="80"/>
        <v>-3.8052114765178149</v>
      </c>
      <c r="T22" s="635">
        <f t="shared" si="81"/>
        <v>7.7187571132082269</v>
      </c>
      <c r="U22" s="629">
        <f t="shared" si="82"/>
        <v>-0.47115279641505231</v>
      </c>
      <c r="V22" s="636">
        <f t="shared" si="114"/>
        <v>-3.8052114765178149</v>
      </c>
      <c r="W22" s="585">
        <f t="shared" si="224"/>
        <v>356.50700050432675</v>
      </c>
      <c r="X22" s="629">
        <f t="shared" si="83"/>
        <v>7.7331233230999441</v>
      </c>
      <c r="Y22" s="630">
        <f t="shared" si="223"/>
        <v>-3.8052114765178149</v>
      </c>
      <c r="Z22" s="632">
        <f t="shared" si="6"/>
        <v>0.76092011932263182</v>
      </c>
      <c r="AA22" s="629">
        <f t="shared" si="7"/>
        <v>-0.64781690759656563</v>
      </c>
      <c r="AB22" s="629">
        <f t="shared" si="8"/>
        <v>-3.6521585973974868E-2</v>
      </c>
      <c r="AC22" s="636">
        <f t="shared" si="84"/>
        <v>1</v>
      </c>
      <c r="AD22" s="637">
        <f t="shared" si="115"/>
        <v>0.76092011932263182</v>
      </c>
      <c r="AE22" s="629">
        <f t="shared" si="85"/>
        <v>-0.64781690759656563</v>
      </c>
      <c r="AF22" s="633">
        <f t="shared" si="86"/>
        <v>-3.6521585973974868E-2</v>
      </c>
      <c r="AG22" s="602">
        <f t="shared" si="87"/>
        <v>-86.773285734055904</v>
      </c>
      <c r="AH22" s="603">
        <f t="shared" si="88"/>
        <v>40.454619145623603</v>
      </c>
      <c r="AI22" s="585">
        <f t="shared" si="89"/>
        <v>-87.907001803954898</v>
      </c>
      <c r="AJ22" s="586">
        <f t="shared" si="90"/>
        <v>49.590257861791159</v>
      </c>
      <c r="AK22" s="635">
        <f t="shared" si="211"/>
        <v>0.79897579193229651</v>
      </c>
      <c r="AL22" s="629">
        <f t="shared" si="91"/>
        <v>-0.60025316131121298</v>
      </c>
      <c r="AM22" s="634">
        <f t="shared" si="92"/>
        <v>-3.6521585973974868E-2</v>
      </c>
      <c r="AN22" s="581">
        <f t="shared" si="93"/>
        <v>-86.518208577493482</v>
      </c>
      <c r="AO22" s="582">
        <f t="shared" si="94"/>
        <v>36.967591309160021</v>
      </c>
      <c r="AP22" s="585">
        <f t="shared" si="95"/>
        <v>-36.916742642535603</v>
      </c>
      <c r="AQ22" s="586">
        <f t="shared" si="9"/>
        <v>0.29479764121423563</v>
      </c>
      <c r="AS22" s="52">
        <f t="shared" si="116"/>
        <v>-3.4929994956732457</v>
      </c>
      <c r="AT22" s="72">
        <f t="shared" si="10"/>
        <v>-3.8027857824235975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0.4756061179449213</v>
      </c>
      <c r="C23" s="708">
        <v>7.7760924174748673</v>
      </c>
      <c r="D23" s="709">
        <v>-4.5387136887604855</v>
      </c>
      <c r="E23" s="710">
        <v>-0.72537444646801497</v>
      </c>
      <c r="F23" s="708">
        <v>0.68835449617998401</v>
      </c>
      <c r="G23" s="711">
        <v>1.457809318069597E-7</v>
      </c>
      <c r="H23" s="710">
        <v>0.314</v>
      </c>
      <c r="I23" s="708">
        <v>0.52</v>
      </c>
      <c r="J23" s="570">
        <v>1.1759999999999999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1.1759999999999999</v>
      </c>
      <c r="N23" s="632">
        <f t="shared" si="2"/>
        <v>0.4756061179449213</v>
      </c>
      <c r="O23" s="629">
        <f t="shared" si="3"/>
        <v>7.7760924174748673</v>
      </c>
      <c r="P23" s="633">
        <f t="shared" si="4"/>
        <v>-4.5387136887604855</v>
      </c>
      <c r="Q23" s="585">
        <f t="shared" si="113"/>
        <v>86.500000505337425</v>
      </c>
      <c r="R23" s="629">
        <f t="shared" si="79"/>
        <v>7.7906234965204657</v>
      </c>
      <c r="S23" s="634">
        <f t="shared" si="80"/>
        <v>-4.5387136887604855</v>
      </c>
      <c r="T23" s="635">
        <f t="shared" si="81"/>
        <v>7.7760924174748682</v>
      </c>
      <c r="U23" s="629">
        <f t="shared" si="82"/>
        <v>-0.4756061179449208</v>
      </c>
      <c r="V23" s="636">
        <f t="shared" si="114"/>
        <v>-4.5387136887604855</v>
      </c>
      <c r="W23" s="585">
        <f t="shared" si="224"/>
        <v>356.50000050533743</v>
      </c>
      <c r="X23" s="629">
        <f t="shared" si="83"/>
        <v>7.7906234965204657</v>
      </c>
      <c r="Y23" s="630">
        <f t="shared" si="223"/>
        <v>-4.5387136887604855</v>
      </c>
      <c r="Z23" s="632">
        <f t="shared" si="6"/>
        <v>0.72537444646801497</v>
      </c>
      <c r="AA23" s="629">
        <f t="shared" si="7"/>
        <v>-0.68835449617998401</v>
      </c>
      <c r="AB23" s="629">
        <f t="shared" si="8"/>
        <v>-1.457809318069597E-7</v>
      </c>
      <c r="AC23" s="636">
        <f t="shared" si="84"/>
        <v>1</v>
      </c>
      <c r="AD23" s="637">
        <f t="shared" si="115"/>
        <v>0.72537444646801497</v>
      </c>
      <c r="AE23" s="629">
        <f t="shared" si="85"/>
        <v>-0.68835449617998401</v>
      </c>
      <c r="AF23" s="633">
        <f t="shared" si="86"/>
        <v>-1.457809318069597E-7</v>
      </c>
      <c r="AG23" s="602">
        <f t="shared" si="87"/>
        <v>-89.999987865798545</v>
      </c>
      <c r="AH23" s="603">
        <f t="shared" si="88"/>
        <v>43.49999371937789</v>
      </c>
      <c r="AI23" s="585">
        <f t="shared" si="89"/>
        <v>-89.999991647367878</v>
      </c>
      <c r="AJ23" s="586">
        <f t="shared" si="90"/>
        <v>46.500006280622749</v>
      </c>
      <c r="AK23" s="635">
        <f t="shared" si="211"/>
        <v>0.76604450791050716</v>
      </c>
      <c r="AL23" s="629">
        <f t="shared" si="91"/>
        <v>-0.64278753247097731</v>
      </c>
      <c r="AM23" s="634">
        <f t="shared" si="92"/>
        <v>-1.457809318069597E-7</v>
      </c>
      <c r="AN23" s="581">
        <f t="shared" si="93"/>
        <v>-89.999987005609626</v>
      </c>
      <c r="AO23" s="582">
        <f t="shared" si="94"/>
        <v>39.999994224715394</v>
      </c>
      <c r="AP23" s="585">
        <f t="shared" si="95"/>
        <v>-39.999994224714669</v>
      </c>
      <c r="AQ23" s="586">
        <f t="shared" si="9"/>
        <v>0.29262186932050371</v>
      </c>
      <c r="AS23" s="52">
        <f t="shared" si="116"/>
        <v>-3.4999994946625748</v>
      </c>
      <c r="AT23" s="72">
        <f t="shared" si="10"/>
        <v>-4.5362831335558589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1.1759999999999999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5</v>
      </c>
      <c r="JG23" s="801">
        <v>13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290</v>
      </c>
      <c r="JI23" s="801">
        <v>0</v>
      </c>
    </row>
    <row r="24" spans="1:269" ht="15" customHeight="1" x14ac:dyDescent="0.25">
      <c r="A24" s="79"/>
      <c r="B24" s="707">
        <v>1.2987366844079578</v>
      </c>
      <c r="C24" s="708">
        <v>4.665003990202182</v>
      </c>
      <c r="D24" s="709">
        <v>-7.1400215343049481E-2</v>
      </c>
      <c r="E24" s="710">
        <v>2.3374967924529488E-2</v>
      </c>
      <c r="F24" s="708">
        <v>8.3962683262009813E-2</v>
      </c>
      <c r="G24" s="711">
        <v>0.99619469918985748</v>
      </c>
      <c r="H24" s="710">
        <v>0.26250000000000001</v>
      </c>
      <c r="I24" s="708">
        <v>0.40699999999999997</v>
      </c>
      <c r="J24" s="570">
        <v>1.228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M24" s="168">
        <f t="shared" si="1"/>
        <v>1.228</v>
      </c>
      <c r="N24" s="632">
        <f t="shared" si="2"/>
        <v>1.2987366844079578</v>
      </c>
      <c r="O24" s="629">
        <f t="shared" si="3"/>
        <v>4.665003990202182</v>
      </c>
      <c r="P24" s="633">
        <f t="shared" si="4"/>
        <v>-7.1400215343049481E-2</v>
      </c>
      <c r="Q24" s="585">
        <f t="shared" si="113"/>
        <v>74.442802246181444</v>
      </c>
      <c r="R24" s="629">
        <f t="shared" si="79"/>
        <v>4.8424146047224479</v>
      </c>
      <c r="S24" s="634">
        <f t="shared" si="80"/>
        <v>-7.1400215343049481E-2</v>
      </c>
      <c r="T24" s="635">
        <f t="shared" si="81"/>
        <v>4.665003990202182</v>
      </c>
      <c r="U24" s="629">
        <f t="shared" si="82"/>
        <v>-1.2987366844079604</v>
      </c>
      <c r="V24" s="636">
        <f t="shared" si="114"/>
        <v>-7.1400215343049481E-2</v>
      </c>
      <c r="W24" s="585">
        <f t="shared" si="224"/>
        <v>344.44280224618143</v>
      </c>
      <c r="X24" s="629">
        <f t="shared" si="83"/>
        <v>4.8424146047224479</v>
      </c>
      <c r="Y24" s="630">
        <f t="shared" si="223"/>
        <v>-7.1400215343049481E-2</v>
      </c>
      <c r="Z24" s="632">
        <f t="shared" si="6"/>
        <v>-2.3374967924529488E-2</v>
      </c>
      <c r="AA24" s="629">
        <f t="shared" si="7"/>
        <v>-8.3962683262009813E-2</v>
      </c>
      <c r="AB24" s="629">
        <f t="shared" si="8"/>
        <v>-0.99619469918985748</v>
      </c>
      <c r="AC24" s="636">
        <f t="shared" si="84"/>
        <v>1</v>
      </c>
      <c r="AD24" s="637">
        <f t="shared" si="115"/>
        <v>-2.3374967924529488E-2</v>
      </c>
      <c r="AE24" s="629">
        <f t="shared" si="85"/>
        <v>-8.3962683262009813E-2</v>
      </c>
      <c r="AF24" s="633">
        <f t="shared" si="86"/>
        <v>-0.99619469918985748</v>
      </c>
      <c r="AG24" s="602">
        <f t="shared" si="87"/>
        <v>-4.8176972193479504</v>
      </c>
      <c r="AH24" s="603">
        <f t="shared" si="88"/>
        <v>91.339409000302595</v>
      </c>
      <c r="AI24" s="585">
        <f t="shared" si="89"/>
        <v>-4.9999992781062668</v>
      </c>
      <c r="AJ24" s="586">
        <f t="shared" si="90"/>
        <v>-15.557048659887872</v>
      </c>
      <c r="AK24" s="635">
        <f>IF(M24="","",(COS(RADIANS((90-$Q$8)-W24))*AD24)+(-SIN(RADIANS((90-$Q$8)-W24))*AE24))</f>
        <v>2.2679489675159203E-7</v>
      </c>
      <c r="AL24" s="629">
        <f t="shared" si="91"/>
        <v>-8.7155730195885156E-2</v>
      </c>
      <c r="AM24" s="634">
        <f t="shared" si="92"/>
        <v>-0.99619469918985748</v>
      </c>
      <c r="AN24" s="581">
        <f t="shared" si="93"/>
        <v>-4.9999992780894216</v>
      </c>
      <c r="AO24" s="582">
        <f t="shared" si="94"/>
        <v>0</v>
      </c>
      <c r="AP24" s="585">
        <f t="shared" si="95"/>
        <v>-89.999850906069298</v>
      </c>
      <c r="AQ24" s="586">
        <f t="shared" si="9"/>
        <v>0.47077243799494972</v>
      </c>
      <c r="AS24" s="52">
        <f t="shared" si="116"/>
        <v>-15.557197753818571</v>
      </c>
      <c r="AT24" s="72">
        <f t="shared" si="10"/>
        <v>-6.0596605791786586E-2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1.228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1.1279999999999999</v>
      </c>
      <c r="II24" s="734" cm="1">
        <f t="array" ref="II24">IFERROR(ROUND(VALUE(IF($IH24&lt;1,$IH24+LARGE((IF($M$9:$M$150="",0,$M$9:$M$150)-MOD(IF($M$9:$M$150="",0,$M$9:$M$150),1)),1),$IH24)),4),"")</f>
        <v>1.1279999999999999</v>
      </c>
      <c r="IJ24" s="533">
        <f t="shared" si="112"/>
        <v>1613</v>
      </c>
      <c r="IK24" s="533" t="str">
        <f t="shared" si="66"/>
        <v>Inactive</v>
      </c>
      <c r="IL24" s="727">
        <f t="shared" si="225"/>
        <v>15.002197833950675</v>
      </c>
      <c r="IM24" s="759">
        <v>2.6163797607102399E-2</v>
      </c>
      <c r="IN24" s="5">
        <f t="shared" si="226"/>
        <v>0.62</v>
      </c>
      <c r="IO24" s="771">
        <v>310</v>
      </c>
      <c r="IP24" s="9">
        <f t="shared" si="227"/>
        <v>-4.8383145923568112</v>
      </c>
      <c r="IQ24" s="5">
        <f t="shared" si="228"/>
        <v>-8.4700255455970611E-2</v>
      </c>
      <c r="IR24" s="5">
        <f t="shared" si="71"/>
        <v>0.314</v>
      </c>
      <c r="IS24" s="5">
        <f t="shared" si="229"/>
        <v>0.30255744966231385</v>
      </c>
      <c r="IT24" s="727">
        <f t="shared" si="230"/>
        <v>20.162410391450091</v>
      </c>
      <c r="IU24" s="9">
        <f t="shared" si="231"/>
        <v>-4.8424146047224479</v>
      </c>
      <c r="IV24" s="5">
        <f t="shared" si="232"/>
        <v>-7.1400215343049481E-2</v>
      </c>
      <c r="IW24" s="5">
        <f t="shared" si="76"/>
        <v>0.26250000000000001</v>
      </c>
      <c r="IX24" s="5">
        <f t="shared" si="233"/>
        <v>0.26250000000000001</v>
      </c>
      <c r="IY24" s="762">
        <f t="shared" si="234"/>
        <v>4.9999992780894216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1.5838232526365148</v>
      </c>
      <c r="C25" s="708">
        <v>5.3487496198270668</v>
      </c>
      <c r="D25" s="709">
        <v>-0.25120075762148608</v>
      </c>
      <c r="E25" s="710">
        <v>7.0609033094400586E-2</v>
      </c>
      <c r="F25" s="708">
        <v>0.23845546112871374</v>
      </c>
      <c r="G25" s="711">
        <v>0.96858317015286122</v>
      </c>
      <c r="H25" s="710">
        <v>0.26250000000000001</v>
      </c>
      <c r="I25" s="708">
        <v>0.40699999999999997</v>
      </c>
      <c r="J25" s="570">
        <v>1.234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1.234</v>
      </c>
      <c r="N25" s="632">
        <f t="shared" si="2"/>
        <v>1.5838232526365148</v>
      </c>
      <c r="O25" s="629">
        <f t="shared" si="3"/>
        <v>5.3487496198270668</v>
      </c>
      <c r="P25" s="633">
        <f t="shared" si="4"/>
        <v>-0.25120075762148608</v>
      </c>
      <c r="Q25" s="585">
        <f t="shared" si="113"/>
        <v>73.505402381525244</v>
      </c>
      <c r="R25" s="629">
        <f>IF(M25="","",SQRT(N25^2+O25^2))</f>
        <v>5.5783168242035428</v>
      </c>
      <c r="S25" s="634">
        <f>IF(M25="","",P25)</f>
        <v>-0.25120075762148608</v>
      </c>
      <c r="T25" s="635">
        <f>IF(M25="","",X25*COS(RADIANS(W25)))</f>
        <v>5.3487496198270659</v>
      </c>
      <c r="U25" s="629">
        <f>IF(M25="","",X25*SIN(RADIANS(W25)))</f>
        <v>-1.5838232526365172</v>
      </c>
      <c r="V25" s="636">
        <f>IF(M25="","",Y25)</f>
        <v>-0.25120075762148608</v>
      </c>
      <c r="W25" s="585">
        <f t="shared" si="224"/>
        <v>343.50540238152524</v>
      </c>
      <c r="X25" s="629">
        <f>IF(M25="","",R25)</f>
        <v>5.5783168242035428</v>
      </c>
      <c r="Y25" s="630">
        <f t="shared" si="223"/>
        <v>-0.25120075762148608</v>
      </c>
      <c r="Z25" s="632">
        <f t="shared" si="6"/>
        <v>-7.0609033094400586E-2</v>
      </c>
      <c r="AA25" s="629">
        <f t="shared" si="7"/>
        <v>-0.23845546112871374</v>
      </c>
      <c r="AB25" s="629">
        <f t="shared" si="8"/>
        <v>-0.96858317015286122</v>
      </c>
      <c r="AC25" s="636">
        <f>IF(M25="","",SQRT(Z25^2+AA25^2+AB25^2))</f>
        <v>1</v>
      </c>
      <c r="AD25" s="637">
        <f>IF(M25="","",Z25*(1/SQRT(Z25^2+AA25^2+AB25^2)))</f>
        <v>-7.0609033094400586E-2</v>
      </c>
      <c r="AE25" s="629">
        <f>IF(M25="","",AA25*(1/SQRT(Z25^2+AA25^2+AB25^2)))</f>
        <v>-0.23845546112871374</v>
      </c>
      <c r="AF25" s="633">
        <f>IF(M25="","",AB25*(1/SQRT(Z25^2+AA25^2+AB25^2)))</f>
        <v>-0.96858317015286122</v>
      </c>
      <c r="AG25" s="602">
        <f>IF(M25="","",DEGREES(ATAN2(-AF25,AE25)))</f>
        <v>-13.830602428733641</v>
      </c>
      <c r="AH25" s="603">
        <f>IF(M25="","",DEGREES(ACOS(AD25)))</f>
        <v>94.048968803771444</v>
      </c>
      <c r="AI25" s="585">
        <f>IF(M25="","",DEGREES(-ACOS(-AF25)))</f>
        <v>-14.399997920903257</v>
      </c>
      <c r="AJ25" s="586">
        <f>IF(M25="","",DEGREES(ATAN2(-AE25,AD25)))</f>
        <v>-16.494545367084971</v>
      </c>
      <c r="AK25" s="635">
        <f>IF(M25="","",(COS(RADIANS((90-$Q$8)-W25))*AD25)+(-SIN(RADIANS((90-$Q$8)-W25))*AE25))</f>
        <v>2.2679489673771425E-7</v>
      </c>
      <c r="AL25" s="629">
        <f>IF(M25="","",(SIN(RADIANS((90-$Q$8)-W25))*AD25)+(COS(RADIANS((90-$Q$8)-W25))*AE25))</f>
        <v>-0.24868985201769336</v>
      </c>
      <c r="AM25" s="634">
        <f>IF(M25="","",AF25)</f>
        <v>-0.96858317015286122</v>
      </c>
      <c r="AN25" s="581">
        <f>IF(M25="","",DEGREES(ATAN2(-AM25,AL25)))</f>
        <v>-14.399997920897537</v>
      </c>
      <c r="AO25" s="582">
        <f>IF(ROUND(IF(M25="",0,DEGREES(ACOS(AK25))),4)=90,0,IF(M25="","",DEGREES(ACOS(AK25))))</f>
        <v>0</v>
      </c>
      <c r="AP25" s="585">
        <f>IF(M25="","",DEGREES(ATAN2(AK25,AL25)))</f>
        <v>-89.999947748610197</v>
      </c>
      <c r="AQ25" s="586">
        <f t="shared" si="9"/>
        <v>0.40866950439802852</v>
      </c>
      <c r="AS25" s="52">
        <f t="shared" si="116"/>
        <v>-16.494597618474756</v>
      </c>
      <c r="AT25" s="72">
        <f t="shared" si="10"/>
        <v>-0.23974617594198971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1.234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1.1339999999999999</v>
      </c>
      <c r="II25" s="734" cm="1">
        <f t="array" ref="II25">IFERROR(ROUND(VALUE(IF($IH25&lt;1,$IH25+LARGE((IF($M$9:$M$150="",0,$M$9:$M$150)-MOD(IF($M$9:$M$150="",0,$M$9:$M$150),1)),1),$IH25)),4),"")</f>
        <v>1.1339999999999999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15.343597784658584</v>
      </c>
      <c r="IM25" s="759">
        <v>2.2883047069242199E-2</v>
      </c>
      <c r="IN25" s="5">
        <f t="shared" si="226"/>
        <v>0.6</v>
      </c>
      <c r="IO25" s="771">
        <v>300</v>
      </c>
      <c r="IP25" s="9">
        <f t="shared" si="227"/>
        <v>-5.5666167889162379</v>
      </c>
      <c r="IQ25" s="5">
        <f t="shared" si="228"/>
        <v>-0.26250079170238838</v>
      </c>
      <c r="IR25" s="5">
        <f t="shared" si="71"/>
        <v>0.314</v>
      </c>
      <c r="IS25" s="5">
        <f t="shared" si="229"/>
        <v>0.3015266962436548</v>
      </c>
      <c r="IT25" s="727">
        <f t="shared" si="230"/>
        <v>37.169373814149729</v>
      </c>
      <c r="IU25" s="9">
        <f t="shared" si="231"/>
        <v>-5.5783168242035428</v>
      </c>
      <c r="IV25" s="5">
        <f t="shared" si="232"/>
        <v>-0.25120075762148608</v>
      </c>
      <c r="IW25" s="5">
        <f t="shared" si="76"/>
        <v>0.26250000000000001</v>
      </c>
      <c r="IX25" s="5">
        <f t="shared" si="233"/>
        <v>0.26250000000000001</v>
      </c>
      <c r="IY25" s="762">
        <f t="shared" si="234"/>
        <v>14.399997920897537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1.8321617825863639</v>
      </c>
      <c r="C26" s="708">
        <v>5.9801496150112854</v>
      </c>
      <c r="D26" s="709">
        <v>-0.59260178728698965</v>
      </c>
      <c r="E26" s="710">
        <v>0.11821194065184602</v>
      </c>
      <c r="F26" s="708">
        <v>0.38584284236837596</v>
      </c>
      <c r="G26" s="711">
        <v>0.91495969205228778</v>
      </c>
      <c r="H26" s="710">
        <v>0.26250000000000001</v>
      </c>
      <c r="I26" s="708">
        <v>0.40699999999999997</v>
      </c>
      <c r="J26" s="570">
        <v>1.24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320"/>
      <c r="M26" s="168">
        <f t="shared" si="1"/>
        <v>1.24</v>
      </c>
      <c r="N26" s="632">
        <f t="shared" si="2"/>
        <v>1.8321617825863639</v>
      </c>
      <c r="O26" s="629">
        <f t="shared" si="3"/>
        <v>5.9801496150112854</v>
      </c>
      <c r="P26" s="633">
        <f t="shared" si="4"/>
        <v>-0.59260178728698965</v>
      </c>
      <c r="Q26" s="585">
        <f t="shared" si="113"/>
        <v>72.966302459361643</v>
      </c>
      <c r="R26" s="629">
        <f>IF(M26="","",SQRT(N26^2+O26^2))</f>
        <v>6.2545188636288929</v>
      </c>
      <c r="S26" s="634">
        <f>IF(M26="","",P26)</f>
        <v>-0.59260178728698965</v>
      </c>
      <c r="T26" s="635">
        <f>IF(M26="","",X26*COS(RADIANS(W26)))</f>
        <v>5.9801496150112854</v>
      </c>
      <c r="U26" s="629">
        <f>IF(M26="","",X26*SIN(RADIANS(W26)))</f>
        <v>-1.8321617825863605</v>
      </c>
      <c r="V26" s="636">
        <f>IF(M26="","",Y26)</f>
        <v>-0.59260178728698965</v>
      </c>
      <c r="W26" s="585">
        <f t="shared" si="224"/>
        <v>342.96630245936166</v>
      </c>
      <c r="X26" s="629">
        <f>IF(M26="","",R26)</f>
        <v>6.2545188636288929</v>
      </c>
      <c r="Y26" s="630">
        <f t="shared" si="223"/>
        <v>-0.59260178728698965</v>
      </c>
      <c r="Z26" s="632">
        <f t="shared" si="6"/>
        <v>-0.11821194065184602</v>
      </c>
      <c r="AA26" s="629">
        <f t="shared" si="7"/>
        <v>-0.38584284236837596</v>
      </c>
      <c r="AB26" s="629">
        <f t="shared" si="8"/>
        <v>-0.91495969205228778</v>
      </c>
      <c r="AC26" s="636">
        <f>IF(M26="","",SQRT(Z26^2+AA26^2+AB26^2))</f>
        <v>1</v>
      </c>
      <c r="AD26" s="637">
        <f>IF(M26="","",Z26*(1/SQRT(Z26^2+AA26^2+AB26^2)))</f>
        <v>-0.11821194065184602</v>
      </c>
      <c r="AE26" s="629">
        <f>IF(M26="","",AA26*(1/SQRT(Z26^2+AA26^2+AB26^2)))</f>
        <v>-0.38584284236837596</v>
      </c>
      <c r="AF26" s="633">
        <f>IF(M26="","",AB26*(1/SQRT(Z26^2+AA26^2+AB26^2)))</f>
        <v>-0.91495969205228778</v>
      </c>
      <c r="AG26" s="602">
        <f>IF(M26="","",DEGREES(ATAN2(-AF26,AE26)))</f>
        <v>-22.865383574195114</v>
      </c>
      <c r="AH26" s="603">
        <f>IF(M26="","",DEGREES(ACOS(AD26)))</f>
        <v>96.788919809112073</v>
      </c>
      <c r="AI26" s="585">
        <f>IF(M26="","",DEGREES(-ACOS(-AF26)))</f>
        <v>-23.799996563708984</v>
      </c>
      <c r="AJ26" s="586">
        <f>IF(M26="","",DEGREES(ATAN2(-AE26,AD26)))</f>
        <v>-17.033665340059446</v>
      </c>
      <c r="AK26" s="635">
        <f>IF(M26="","",(COS(RADIANS((90-$Q$8)-W26))*AD26)+(-SIN(RADIANS((90-$Q$8)-W26))*AE26))</f>
        <v>2.2679489643240291E-7</v>
      </c>
      <c r="AL26" s="629">
        <f>IF(M26="","",(SIN(RADIANS((90-$Q$8)-W26))*AD26)+(COS(RADIANS((90-$Q$8)-W26))*AE26))</f>
        <v>-0.40354524147799287</v>
      </c>
      <c r="AM26" s="634">
        <f>IF(M26="","",AF26)</f>
        <v>-0.91495969205228778</v>
      </c>
      <c r="AN26" s="581">
        <f>IF(M26="","",DEGREES(ATAN2(-AM26,AL26)))</f>
        <v>-23.799996563705658</v>
      </c>
      <c r="AO26" s="582">
        <f t="shared" si="94"/>
        <v>0</v>
      </c>
      <c r="AP26" s="585">
        <f>IF(M26="","",DEGREES(ATAN2(AK26,AL26)))</f>
        <v>-89.999967799421114</v>
      </c>
      <c r="AQ26" s="586">
        <f t="shared" si="9"/>
        <v>0.36448780936549596</v>
      </c>
      <c r="AS26" s="52">
        <f t="shared" si="116"/>
        <v>-17.033697540638343</v>
      </c>
      <c r="AT26" s="72">
        <f t="shared" si="10"/>
        <v>-0.58077283066154639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1.24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1.1399999999999999</v>
      </c>
      <c r="II26" s="734" cm="1">
        <f t="array" ref="II26">IFERROR(ROUND(VALUE(IF($IH26&lt;1,$IH26+LARGE((IF($M$9:$M$150="",0,$M$9:$M$150)-MOD(IF($M$9:$M$150="",0,$M$9:$M$150),1)),1),$IH26)),4),"")</f>
        <v>1.1399999999999999</v>
      </c>
      <c r="IJ26" s="533">
        <f t="shared" si="112"/>
        <v>1613</v>
      </c>
      <c r="IK26" s="533" t="str">
        <f t="shared" si="66"/>
        <v>Inactive</v>
      </c>
      <c r="IL26" s="727">
        <f t="shared" si="225"/>
        <v>15.228697801248074</v>
      </c>
      <c r="IM26" s="759">
        <v>1.6575367971902701E-2</v>
      </c>
      <c r="IN26" s="5">
        <f t="shared" si="226"/>
        <v>0.54</v>
      </c>
      <c r="IO26" s="771">
        <v>270</v>
      </c>
      <c r="IP26" s="9">
        <f t="shared" si="227"/>
        <v>-6.2375188123567398</v>
      </c>
      <c r="IQ26" s="5">
        <f t="shared" si="228"/>
        <v>-0.59740180176383428</v>
      </c>
      <c r="IR26" s="5">
        <f t="shared" si="71"/>
        <v>0.314</v>
      </c>
      <c r="IS26" s="5">
        <f t="shared" si="229"/>
        <v>0.29556372338793829</v>
      </c>
      <c r="IT26" s="727">
        <f t="shared" si="230"/>
        <v>48.855033639505194</v>
      </c>
      <c r="IU26" s="9">
        <f t="shared" si="231"/>
        <v>-6.2545188636288929</v>
      </c>
      <c r="IV26" s="5">
        <f t="shared" si="232"/>
        <v>-0.59260178728698965</v>
      </c>
      <c r="IW26" s="5">
        <f t="shared" si="76"/>
        <v>0.26250000000000001</v>
      </c>
      <c r="IX26" s="5">
        <f t="shared" si="233"/>
        <v>0.26250000000000001</v>
      </c>
      <c r="IY26" s="762">
        <f t="shared" si="234"/>
        <v>23.799996563705658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2.1136038575378762</v>
      </c>
      <c r="C27" s="708">
        <v>6.4999091174209038</v>
      </c>
      <c r="D27" s="709">
        <v>-1.080103257591426</v>
      </c>
      <c r="E27" s="710">
        <v>0.16932605141289514</v>
      </c>
      <c r="F27" s="708">
        <v>0.52072458686878109</v>
      </c>
      <c r="G27" s="711">
        <v>0.83676435926923598</v>
      </c>
      <c r="H27" s="710">
        <v>0.26250000000000001</v>
      </c>
      <c r="I27" s="708">
        <v>0.40699999999999997</v>
      </c>
      <c r="J27" s="570">
        <v>1.246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320"/>
      <c r="M27" s="168">
        <f t="shared" si="1"/>
        <v>1.246</v>
      </c>
      <c r="N27" s="632">
        <f t="shared" si="2"/>
        <v>2.1136038575378762</v>
      </c>
      <c r="O27" s="629">
        <f t="shared" si="3"/>
        <v>6.4999091174209038</v>
      </c>
      <c r="P27" s="633">
        <f t="shared" si="4"/>
        <v>-1.080103257591426</v>
      </c>
      <c r="Q27" s="585">
        <f t="shared" si="113"/>
        <v>71.986802600783918</v>
      </c>
      <c r="R27" s="629">
        <f t="shared" si="79"/>
        <v>6.8349206141205752</v>
      </c>
      <c r="S27" s="634">
        <f t="shared" si="80"/>
        <v>-1.080103257591426</v>
      </c>
      <c r="T27" s="635">
        <f t="shared" si="81"/>
        <v>6.4999091174209029</v>
      </c>
      <c r="U27" s="629">
        <f t="shared" si="82"/>
        <v>-2.1136038575378788</v>
      </c>
      <c r="V27" s="636">
        <f t="shared" si="114"/>
        <v>-1.080103257591426</v>
      </c>
      <c r="W27" s="585">
        <f t="shared" si="224"/>
        <v>341.9868026007839</v>
      </c>
      <c r="X27" s="629">
        <f t="shared" si="83"/>
        <v>6.8349206141205752</v>
      </c>
      <c r="Y27" s="630">
        <f t="shared" si="223"/>
        <v>-1.080103257591426</v>
      </c>
      <c r="Z27" s="632">
        <f t="shared" si="6"/>
        <v>-0.16932605141289514</v>
      </c>
      <c r="AA27" s="629">
        <f t="shared" si="7"/>
        <v>-0.52072458686878109</v>
      </c>
      <c r="AB27" s="629">
        <f t="shared" si="8"/>
        <v>-0.83676435926923598</v>
      </c>
      <c r="AC27" s="636">
        <f t="shared" si="84"/>
        <v>1</v>
      </c>
      <c r="AD27" s="637">
        <f t="shared" si="115"/>
        <v>-0.16932605141289514</v>
      </c>
      <c r="AE27" s="629">
        <f t="shared" si="85"/>
        <v>-0.52072458686878109</v>
      </c>
      <c r="AF27" s="633">
        <f t="shared" si="86"/>
        <v>-0.83676435926923598</v>
      </c>
      <c r="AG27" s="602">
        <f t="shared" si="87"/>
        <v>-31.894306625508417</v>
      </c>
      <c r="AH27" s="603">
        <f t="shared" si="88"/>
        <v>99.748636584037911</v>
      </c>
      <c r="AI27" s="585">
        <f t="shared" si="89"/>
        <v>-33.199995206516014</v>
      </c>
      <c r="AJ27" s="586">
        <f t="shared" si="90"/>
        <v>-18.013173667907076</v>
      </c>
      <c r="AK27" s="635">
        <f t="shared" si="211"/>
        <v>2.2679489694588106E-7</v>
      </c>
      <c r="AL27" s="629">
        <f t="shared" si="91"/>
        <v>-0.54756315348706008</v>
      </c>
      <c r="AM27" s="634">
        <f t="shared" si="92"/>
        <v>-0.83676435926923598</v>
      </c>
      <c r="AN27" s="581">
        <f t="shared" si="93"/>
        <v>-33.199995206513769</v>
      </c>
      <c r="AO27" s="582">
        <f t="shared" si="94"/>
        <v>0</v>
      </c>
      <c r="AP27" s="585">
        <f t="shared" si="95"/>
        <v>-89.999976268690972</v>
      </c>
      <c r="AQ27" s="586">
        <f t="shared" si="9"/>
        <v>0.33353728725628135</v>
      </c>
      <c r="AS27" s="52">
        <f t="shared" si="116"/>
        <v>-18.013197399216097</v>
      </c>
      <c r="AT27" s="72">
        <f t="shared" si="10"/>
        <v>-1.0675940927308594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1.1459999999999999</v>
      </c>
      <c r="II27" s="734" cm="1">
        <f t="array" ref="II27">IFERROR(ROUND(VALUE(IF($IH27&lt;1,$IH27+LARGE((IF($M$9:$M$150="",0,$M$9:$M$150)-MOD(IF($M$9:$M$150="",0,$M$9:$M$150),1)),1),$IH27)),4),"")</f>
        <v>1.1459999999999999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15.588197749342726</v>
      </c>
      <c r="IM27" s="759">
        <v>9.5763400885912602E-3</v>
      </c>
      <c r="IN27" s="5">
        <f t="shared" si="226"/>
        <v>0.42</v>
      </c>
      <c r="IO27" s="771">
        <v>210</v>
      </c>
      <c r="IP27" s="9">
        <f t="shared" si="227"/>
        <v>-6.81482055349879</v>
      </c>
      <c r="IQ27" s="5">
        <f t="shared" si="228"/>
        <v>-1.076203245828989</v>
      </c>
      <c r="IR27" s="5">
        <f t="shared" si="71"/>
        <v>0.314</v>
      </c>
      <c r="IS27" s="5">
        <f t="shared" si="229"/>
        <v>0.28872443844271106</v>
      </c>
      <c r="IT27" s="727">
        <f t="shared" si="230"/>
        <v>59.31038215807051</v>
      </c>
      <c r="IU27" s="9">
        <f t="shared" si="231"/>
        <v>-6.8349206141205752</v>
      </c>
      <c r="IV27" s="5">
        <f t="shared" si="232"/>
        <v>-1.080103257591426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33.199995206513769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2.3063065724068004</v>
      </c>
      <c r="C28" s="708">
        <v>6.9141131316764506</v>
      </c>
      <c r="D28" s="709">
        <v>-1.6857050840865346</v>
      </c>
      <c r="E28" s="710">
        <v>0.21418064361214548</v>
      </c>
      <c r="F28" s="708">
        <v>0.64209627258119517</v>
      </c>
      <c r="G28" s="711">
        <v>0.73609715978206491</v>
      </c>
      <c r="H28" s="710">
        <v>0.26250000000000001</v>
      </c>
      <c r="I28" s="708">
        <v>0.40699999999999997</v>
      </c>
      <c r="J28" s="570">
        <v>1.252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Inactive</v>
      </c>
      <c r="L28" s="320"/>
      <c r="M28" s="168">
        <f t="shared" si="1"/>
        <v>1.252</v>
      </c>
      <c r="N28" s="632">
        <f t="shared" si="2"/>
        <v>2.3063065724068004</v>
      </c>
      <c r="O28" s="629">
        <f t="shared" si="3"/>
        <v>6.9141131316764506</v>
      </c>
      <c r="P28" s="633">
        <f t="shared" si="4"/>
        <v>-1.6857050840865346</v>
      </c>
      <c r="Q28" s="585">
        <f t="shared" si="113"/>
        <v>71.553102663402456</v>
      </c>
      <c r="R28" s="629">
        <f t="shared" si="79"/>
        <v>7.2886219824838996</v>
      </c>
      <c r="S28" s="634">
        <f t="shared" si="80"/>
        <v>-1.6857050840865346</v>
      </c>
      <c r="T28" s="635">
        <f t="shared" si="81"/>
        <v>6.9141131316764506</v>
      </c>
      <c r="U28" s="629">
        <f t="shared" si="82"/>
        <v>-2.306306572406799</v>
      </c>
      <c r="V28" s="636">
        <f t="shared" si="114"/>
        <v>-1.6857050840865346</v>
      </c>
      <c r="W28" s="585">
        <f t="shared" si="224"/>
        <v>341.55310266340246</v>
      </c>
      <c r="X28" s="629">
        <f t="shared" si="83"/>
        <v>7.2886219824838996</v>
      </c>
      <c r="Y28" s="630">
        <f t="shared" si="223"/>
        <v>-1.6857050840865346</v>
      </c>
      <c r="Z28" s="632">
        <f t="shared" si="6"/>
        <v>-0.21418064361214548</v>
      </c>
      <c r="AA28" s="629">
        <f t="shared" si="7"/>
        <v>-0.64209627258119517</v>
      </c>
      <c r="AB28" s="629">
        <f t="shared" si="8"/>
        <v>-0.73609715978206491</v>
      </c>
      <c r="AC28" s="636">
        <f t="shared" si="84"/>
        <v>1</v>
      </c>
      <c r="AD28" s="637">
        <f t="shared" si="115"/>
        <v>-0.21418064361214548</v>
      </c>
      <c r="AE28" s="629">
        <f t="shared" si="85"/>
        <v>-0.64209627258119517</v>
      </c>
      <c r="AF28" s="633">
        <f t="shared" si="86"/>
        <v>-0.73609715978206491</v>
      </c>
      <c r="AG28" s="602">
        <f t="shared" si="87"/>
        <v>-41.098134357052558</v>
      </c>
      <c r="AH28" s="603">
        <f t="shared" si="88"/>
        <v>102.36746191623682</v>
      </c>
      <c r="AI28" s="585">
        <f t="shared" si="89"/>
        <v>-42.599993849323504</v>
      </c>
      <c r="AJ28" s="586">
        <f t="shared" si="90"/>
        <v>-18.446878139000805</v>
      </c>
      <c r="AK28" s="635">
        <f t="shared" si="211"/>
        <v>2.2679489664056973E-7</v>
      </c>
      <c r="AL28" s="629">
        <f t="shared" si="91"/>
        <v>-0.67687589066292353</v>
      </c>
      <c r="AM28" s="634">
        <f t="shared" si="92"/>
        <v>-0.73609715978206491</v>
      </c>
      <c r="AN28" s="581">
        <f t="shared" si="93"/>
        <v>-42.599993849321912</v>
      </c>
      <c r="AO28" s="582">
        <f t="shared" si="94"/>
        <v>0</v>
      </c>
      <c r="AP28" s="585">
        <f t="shared" si="95"/>
        <v>-89.999980802403257</v>
      </c>
      <c r="AQ28" s="586">
        <f t="shared" si="9"/>
        <v>0.31277571972660828</v>
      </c>
      <c r="AS28" s="52">
        <f t="shared" si="116"/>
        <v>-18.446897336597544</v>
      </c>
      <c r="AT28" s="72">
        <f t="shared" si="10"/>
        <v>-1.6728947387138975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1.252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1.1519999999999999</v>
      </c>
      <c r="II28" s="734" cm="1">
        <f t="array" ref="II28">IFERROR(ROUND(VALUE(IF($IH28&lt;1,$IH28+LARGE((IF($M$9:$M$150="",0,$M$9:$M$150)-MOD(IF($M$9:$M$150="",0,$M$9:$M$150),1)),1),$IH28)),4),"")</f>
        <v>1.1519999999999999</v>
      </c>
      <c r="IJ28" s="533">
        <f t="shared" si="112"/>
        <v>1613</v>
      </c>
      <c r="IK28" s="533" t="str">
        <f t="shared" si="66"/>
        <v>Inactive</v>
      </c>
      <c r="IL28" s="727">
        <f t="shared" si="225"/>
        <v>15.51089776050344</v>
      </c>
      <c r="IM28" s="759">
        <v>1.8624478793755101E-3</v>
      </c>
      <c r="IN28" s="5">
        <f t="shared" si="226"/>
        <v>0.04</v>
      </c>
      <c r="IO28" s="771">
        <v>20</v>
      </c>
      <c r="IP28" s="9">
        <f t="shared" si="227"/>
        <v>-7.268021920354113</v>
      </c>
      <c r="IQ28" s="5">
        <f t="shared" si="228"/>
        <v>-1.673705047894424</v>
      </c>
      <c r="IR28" s="5">
        <f t="shared" si="71"/>
        <v>0.314</v>
      </c>
      <c r="IS28" s="5">
        <f t="shared" si="229"/>
        <v>0.28127387954570382</v>
      </c>
      <c r="IT28" s="727">
        <f t="shared" si="230"/>
        <v>68.802868782414976</v>
      </c>
      <c r="IU28" s="9">
        <f t="shared" si="231"/>
        <v>-7.2886219824838996</v>
      </c>
      <c r="IV28" s="5">
        <f t="shared" si="232"/>
        <v>-1.6857050840865346</v>
      </c>
      <c r="IW28" s="5">
        <f t="shared" si="76"/>
        <v>0.26250000000000001</v>
      </c>
      <c r="IX28" s="5">
        <f t="shared" si="233"/>
        <v>0.26250000000000001</v>
      </c>
      <c r="IY28" s="762">
        <f t="shared" si="234"/>
        <v>42.599993849321912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2.4651829393082427</v>
      </c>
      <c r="C29" s="708">
        <v>7.1798007019180501</v>
      </c>
      <c r="D29" s="709">
        <v>-2.3798071774984479</v>
      </c>
      <c r="E29" s="710">
        <v>0.25589932813194849</v>
      </c>
      <c r="F29" s="708">
        <v>0.74530286093424858</v>
      </c>
      <c r="G29" s="711">
        <v>0.61566157858424275</v>
      </c>
      <c r="H29" s="710">
        <v>0.26250000000000001</v>
      </c>
      <c r="I29" s="708">
        <v>0.40699999999999997</v>
      </c>
      <c r="J29" s="570">
        <v>1.258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Inactive</v>
      </c>
      <c r="L29" s="320"/>
      <c r="M29" s="168">
        <f t="shared" si="1"/>
        <v>1.258</v>
      </c>
      <c r="N29" s="632">
        <f t="shared" si="2"/>
        <v>2.4651829393082427</v>
      </c>
      <c r="O29" s="629">
        <f t="shared" si="3"/>
        <v>7.1798007019180501</v>
      </c>
      <c r="P29" s="633">
        <f t="shared" si="4"/>
        <v>-2.3798071774984479</v>
      </c>
      <c r="Q29" s="585">
        <f t="shared" si="113"/>
        <v>71.050102736026659</v>
      </c>
      <c r="R29" s="629">
        <f>IF(M29="","",SQRT(N29^2+O29^2))</f>
        <v>7.5912228951282517</v>
      </c>
      <c r="S29" s="634">
        <f>IF(M29="","",P29)</f>
        <v>-2.3798071774984479</v>
      </c>
      <c r="T29" s="635">
        <f>IF(M29="","",X29*COS(RADIANS(W29)))</f>
        <v>7.1798007019180501</v>
      </c>
      <c r="U29" s="629">
        <f>IF(M29="","",X29*SIN(RADIANS(W29)))</f>
        <v>-2.4651829393082423</v>
      </c>
      <c r="V29" s="636">
        <f>IF(M29="","",Y29)</f>
        <v>-2.3798071774984479</v>
      </c>
      <c r="W29" s="585">
        <f t="shared" si="224"/>
        <v>341.05010273602664</v>
      </c>
      <c r="X29" s="629">
        <f>IF(M29="","",R29)</f>
        <v>7.5912228951282517</v>
      </c>
      <c r="Y29" s="630">
        <f t="shared" si="223"/>
        <v>-2.3798071774984479</v>
      </c>
      <c r="Z29" s="632">
        <f t="shared" si="6"/>
        <v>-0.25589932813194849</v>
      </c>
      <c r="AA29" s="629">
        <f t="shared" si="7"/>
        <v>-0.74530286093424858</v>
      </c>
      <c r="AB29" s="629">
        <f t="shared" si="8"/>
        <v>-0.61566157858424275</v>
      </c>
      <c r="AC29" s="636">
        <f>IF(M29="","",SQRT(Z29^2+AA29^2+AB29^2))</f>
        <v>1</v>
      </c>
      <c r="AD29" s="637">
        <f>IF(M29="","",Z29*(1/SQRT(Z29^2+AA29^2+AB29^2)))</f>
        <v>-0.25589932813194849</v>
      </c>
      <c r="AE29" s="629">
        <f>IF(M29="","",AA29*(1/SQRT(Z29^2+AA29^2+AB29^2)))</f>
        <v>-0.74530286093424858</v>
      </c>
      <c r="AF29" s="633">
        <f>IF(M29="","",AB29*(1/SQRT(Z29^2+AA29^2+AB29^2)))</f>
        <v>-0.61566157858424275</v>
      </c>
      <c r="AG29" s="602">
        <f>IF(M29="","",DEGREES(ATAN2(-AF29,AE29)))</f>
        <v>-50.441400980669769</v>
      </c>
      <c r="AH29" s="603">
        <f>IF(M29="","",DEGREES(ACOS(AD29)))</f>
        <v>104.82688109328571</v>
      </c>
      <c r="AI29" s="585">
        <f>IF(M29="","",DEGREES(-ACOS(-AF29)))</f>
        <v>-51.999992492131149</v>
      </c>
      <c r="AJ29" s="586">
        <f>IF(M29="","",DEGREES(ATAN2(-AE29,AD29)))</f>
        <v>-18.949880773853558</v>
      </c>
      <c r="AK29" s="635">
        <f>IF(M29="","",(COS(RADIANS((90-$Q$8)-W29))*AD29)+(-SIN(RADIANS((90-$Q$8)-W29))*AE29))</f>
        <v>2.2679489664056973E-7</v>
      </c>
      <c r="AL29" s="629">
        <f>IF(M29="","",(SIN(RADIANS((90-$Q$8)-W29))*AD29)+(COS(RADIANS((90-$Q$8)-W29))*AE29))</f>
        <v>-0.7880106729322307</v>
      </c>
      <c r="AM29" s="634">
        <f>IF(M29="","",AF29)</f>
        <v>-0.61566157858424275</v>
      </c>
      <c r="AN29" s="581">
        <f>IF(M29="","",DEGREES(ATAN2(-AM29,AL29)))</f>
        <v>-51.999992492130005</v>
      </c>
      <c r="AO29" s="582">
        <f t="shared" si="94"/>
        <v>0</v>
      </c>
      <c r="AP29" s="585">
        <f>IF(M29="","",DEGREES(ATAN2(AK29,AL29)))</f>
        <v>-89.999983509880209</v>
      </c>
      <c r="AQ29" s="586">
        <f t="shared" si="9"/>
        <v>0.30030810414351577</v>
      </c>
      <c r="AS29" s="52">
        <f t="shared" si="116"/>
        <v>-18.949897263973355</v>
      </c>
      <c r="AT29" s="72">
        <f t="shared" si="10"/>
        <v>-2.3666475266206888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1.258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1.1579999999999999</v>
      </c>
      <c r="II29" s="734" cm="1">
        <f t="array" ref="II29">IFERROR(ROUND(VALUE(IF($IH29&lt;1,$IH29+LARGE((IF($M$9:$M$150="",0,$M$9:$M$150)-MOD(IF($M$9:$M$150="",0,$M$9:$M$150),1)),1),$IH29)),4),"")</f>
        <v>1.1579999999999999</v>
      </c>
      <c r="IJ29" s="533">
        <f t="shared" si="112"/>
        <v>1613</v>
      </c>
      <c r="IK29" s="533" t="str">
        <f t="shared" si="66"/>
        <v>Inactive</v>
      </c>
      <c r="IL29" s="727">
        <f t="shared" si="225"/>
        <v>15.649897740434369</v>
      </c>
      <c r="IM29" s="759">
        <v>6.1444918943244704E-4</v>
      </c>
      <c r="IN29" s="5">
        <f t="shared" si="226"/>
        <v>0</v>
      </c>
      <c r="IO29" s="771">
        <v>0</v>
      </c>
      <c r="IP29" s="9">
        <f t="shared" si="227"/>
        <v>-7.5727228393320853</v>
      </c>
      <c r="IQ29" s="5">
        <f t="shared" si="228"/>
        <v>-2.3595071162734622</v>
      </c>
      <c r="IR29" s="5">
        <f t="shared" si="71"/>
        <v>0.314</v>
      </c>
      <c r="IS29" s="5">
        <f t="shared" si="229"/>
        <v>0.27339861433785534</v>
      </c>
      <c r="IT29" s="727">
        <f t="shared" si="230"/>
        <v>77.572623185446119</v>
      </c>
      <c r="IU29" s="9">
        <f t="shared" si="231"/>
        <v>-7.5912228951282517</v>
      </c>
      <c r="IV29" s="5">
        <f t="shared" si="232"/>
        <v>-2.3798071774984479</v>
      </c>
      <c r="IW29" s="5">
        <f t="shared" si="76"/>
        <v>0.26250000000000001</v>
      </c>
      <c r="IX29" s="5">
        <f t="shared" si="233"/>
        <v>0.26250000000000001</v>
      </c>
      <c r="IY29" s="762">
        <f t="shared" si="234"/>
        <v>51.999992492130005</v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2.8883219989053663</v>
      </c>
      <c r="C30" s="708">
        <v>1.3468440532996893</v>
      </c>
      <c r="D30" s="709">
        <v>-0.27680083483131801</v>
      </c>
      <c r="E30" s="710">
        <v>-0.47359404159776225</v>
      </c>
      <c r="F30" s="708">
        <v>0.83146977441100045</v>
      </c>
      <c r="G30" s="711">
        <v>0.29045946017304541</v>
      </c>
      <c r="H30" s="710">
        <v>0.314</v>
      </c>
      <c r="I30" s="708">
        <v>0.52</v>
      </c>
      <c r="J30" s="570">
        <v>2.1150000000000002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2.1150000000000002</v>
      </c>
      <c r="N30" s="632">
        <f t="shared" si="2"/>
        <v>2.8883219989053663</v>
      </c>
      <c r="O30" s="629">
        <f t="shared" si="3"/>
        <v>1.3468440532996893</v>
      </c>
      <c r="P30" s="633">
        <f t="shared" si="4"/>
        <v>-0.27680083483131801</v>
      </c>
      <c r="Q30" s="585">
        <f t="shared" si="113"/>
        <v>24.999957407275947</v>
      </c>
      <c r="R30" s="629">
        <f>IF(M30="","",SQRT(N30^2+O30^2))</f>
        <v>3.1869096117193889</v>
      </c>
      <c r="S30" s="634">
        <f>IF(M30="","",P30)</f>
        <v>-0.27680083483131801</v>
      </c>
      <c r="T30" s="635">
        <f>IF(M30="","",X30*COS(RADIANS(W30)))</f>
        <v>1.3468440532996866</v>
      </c>
      <c r="U30" s="629">
        <f>IF(M30="","",X30*SIN(RADIANS(W30)))</f>
        <v>-2.8883219989053672</v>
      </c>
      <c r="V30" s="636">
        <f>IF(M30="","",Y30)</f>
        <v>-0.27680083483131801</v>
      </c>
      <c r="W30" s="585">
        <f t="shared" si="224"/>
        <v>294.99995740727593</v>
      </c>
      <c r="X30" s="629">
        <f>IF(M30="","",R30)</f>
        <v>3.1869096117193889</v>
      </c>
      <c r="Y30" s="630">
        <f t="shared" si="223"/>
        <v>-0.27680083483131801</v>
      </c>
      <c r="Z30" s="632">
        <f t="shared" si="6"/>
        <v>0.47359404159776225</v>
      </c>
      <c r="AA30" s="629">
        <f t="shared" si="7"/>
        <v>-0.83146977441100045</v>
      </c>
      <c r="AB30" s="629">
        <f t="shared" si="8"/>
        <v>-0.29045946017304541</v>
      </c>
      <c r="AC30" s="636">
        <f>IF(M30="","",SQRT(Z30^2+AA30^2+AB30^2))</f>
        <v>1</v>
      </c>
      <c r="AD30" s="637">
        <f>IF(M30="","",Z30*(1/SQRT(Z30^2+AA30^2+AB30^2)))</f>
        <v>0.47359404159776225</v>
      </c>
      <c r="AE30" s="629">
        <f>IF(M30="","",AA30*(1/SQRT(Z30^2+AA30^2+AB30^2)))</f>
        <v>-0.83146977441100045</v>
      </c>
      <c r="AF30" s="633">
        <f>IF(M30="","",AB30*(1/SQRT(Z30^2+AA30^2+AB30^2)))</f>
        <v>-0.29045946017304541</v>
      </c>
      <c r="AG30" s="602">
        <f>IF(M30="","",DEGREES(ATAN2(-AF30,AE30)))</f>
        <v>-70.744029302970958</v>
      </c>
      <c r="AH30" s="603">
        <f>IF(M30="","",DEGREES(ACOS(AD30)))</f>
        <v>61.732152370143503</v>
      </c>
      <c r="AI30" s="585">
        <f>IF(M30="","",DEGREES(-ACOS(-AF30)))</f>
        <v>-73.114534769632428</v>
      </c>
      <c r="AJ30" s="586">
        <f>IF(M30="","",DEGREES(ATAN2(-AE30,AD30)))</f>
        <v>29.665259356058648</v>
      </c>
      <c r="AK30" s="635">
        <f>IF(M30="","",(COS(RADIANS((90-$Q$8)-W30))*AD30)+(-SIN(RADIANS((90-$Q$8)-W30))*AE30))</f>
        <v>0.95371696400905326</v>
      </c>
      <c r="AL30" s="629">
        <f>IF(M30="","",(SIN(RADIANS((90-$Q$8)-W30))*AD30)+(COS(RADIANS((90-$Q$8)-W30))*AE30))</f>
        <v>7.7828366019962236E-2</v>
      </c>
      <c r="AM30" s="634">
        <f>IF(M30="","",AF30)</f>
        <v>-0.29045946017304541</v>
      </c>
      <c r="AN30" s="581">
        <f>IF(M30="","",DEGREES(ATAN2(-AM30,AL30)))</f>
        <v>14.999997834268395</v>
      </c>
      <c r="AO30" s="582">
        <f>IF(ROUND(IF(M30="",0,DEGREES(ACOS(AK30))),4)=90,0,IF(M30="","",DEGREES(ACOS(AK30))))</f>
        <v>17.499997473312991</v>
      </c>
      <c r="AP30" s="585">
        <f>IF(M30="","",DEGREES(ATAN2(AK30,AL30)))</f>
        <v>4.665301948782747</v>
      </c>
      <c r="AQ30" s="586">
        <f t="shared" si="9"/>
        <v>0.71530368563692581</v>
      </c>
      <c r="AS30" s="52">
        <f t="shared" si="116"/>
        <v>-65.000042592724071</v>
      </c>
      <c r="AT30" s="72">
        <f t="shared" si="10"/>
        <v>-0.23166191636414851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2.1150000000000002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18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290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3.588665040296382</v>
      </c>
      <c r="C31" s="708">
        <v>1.667398600185577</v>
      </c>
      <c r="D31" s="709">
        <v>-9.6200290140075126E-2</v>
      </c>
      <c r="E31" s="710">
        <v>-0.42218567867525453</v>
      </c>
      <c r="F31" s="708">
        <v>0.86863281858519592</v>
      </c>
      <c r="G31" s="711">
        <v>0.25929959351733062</v>
      </c>
      <c r="H31" s="710">
        <v>0.314</v>
      </c>
      <c r="I31" s="708">
        <v>0.52</v>
      </c>
      <c r="J31" s="570">
        <v>2.121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2.121</v>
      </c>
      <c r="N31" s="632">
        <f t="shared" si="2"/>
        <v>3.588665040296382</v>
      </c>
      <c r="O31" s="629">
        <f t="shared" si="3"/>
        <v>1.667398600185577</v>
      </c>
      <c r="P31" s="633">
        <f t="shared" si="4"/>
        <v>-9.6200290140075126E-2</v>
      </c>
      <c r="Q31" s="585">
        <f t="shared" si="113"/>
        <v>24.920957407275946</v>
      </c>
      <c r="R31" s="629">
        <f>IF(M31="","",SQRT(N31^2+O31^2))</f>
        <v>3.957111934649594</v>
      </c>
      <c r="S31" s="634">
        <f>IF(M31="","",P31)</f>
        <v>-9.6200290140075126E-2</v>
      </c>
      <c r="T31" s="635">
        <f>IF(M31="","",X31*COS(RADIANS(W31)))</f>
        <v>1.6673986001855763</v>
      </c>
      <c r="U31" s="629">
        <f>IF(M31="","",X31*SIN(RADIANS(W31)))</f>
        <v>-3.588665040296382</v>
      </c>
      <c r="V31" s="636">
        <f>IF(M31="","",Y31)</f>
        <v>-9.6200290140075126E-2</v>
      </c>
      <c r="W31" s="585">
        <f t="shared" si="224"/>
        <v>294.92095740727592</v>
      </c>
      <c r="X31" s="629">
        <f>IF(M31="","",R31)</f>
        <v>3.957111934649594</v>
      </c>
      <c r="Y31" s="630">
        <f t="shared" si="223"/>
        <v>-9.6200290140075126E-2</v>
      </c>
      <c r="Z31" s="632">
        <f t="shared" si="6"/>
        <v>0.42218567867525453</v>
      </c>
      <c r="AA31" s="629">
        <f t="shared" si="7"/>
        <v>-0.86863281858519592</v>
      </c>
      <c r="AB31" s="629">
        <f t="shared" si="8"/>
        <v>-0.25929959351733062</v>
      </c>
      <c r="AC31" s="636">
        <f>IF(M31="","",SQRT(Z31^2+AA31^2+AB31^2))</f>
        <v>1</v>
      </c>
      <c r="AD31" s="637">
        <f>IF(M31="","",Z31*(1/SQRT(Z31^2+AA31^2+AB31^2)))</f>
        <v>0.42218567867525453</v>
      </c>
      <c r="AE31" s="629">
        <f>IF(M31="","",AA31*(1/SQRT(Z31^2+AA31^2+AB31^2)))</f>
        <v>-0.86863281858519592</v>
      </c>
      <c r="AF31" s="633">
        <f>IF(M31="","",AB31*(1/SQRT(Z31^2+AA31^2+AB31^2)))</f>
        <v>-0.25929959351733062</v>
      </c>
      <c r="AG31" s="602">
        <f>IF(M31="","",DEGREES(ATAN2(-AF31,AE31)))</f>
        <v>-73.378866690340871</v>
      </c>
      <c r="AH31" s="603">
        <f>IF(M31="","",DEGREES(ACOS(AD31)))</f>
        <v>65.027344383034318</v>
      </c>
      <c r="AI31" s="585">
        <f>IF(M31="","",DEGREES(-ACOS(-AF31)))</f>
        <v>-74.971493429600116</v>
      </c>
      <c r="AJ31" s="586">
        <f>IF(M31="","",DEGREES(ATAN2(-AE31,AD31)))</f>
        <v>25.921359494852435</v>
      </c>
      <c r="AK31" s="635">
        <f>IF(M31="","",(COS(RADIANS((90-$Q$8)-W31))*AD31)+(-SIN(RADIANS((90-$Q$8)-W31))*AE31))</f>
        <v>0.9656497217308786</v>
      </c>
      <c r="AL31" s="629">
        <f>IF(M31="","",(SIN(RADIANS((90-$Q$8)-W31))*AD31)+(COS(RADIANS((90-$Q$8)-W31))*AE31))</f>
        <v>1.6862257346629494E-2</v>
      </c>
      <c r="AM31" s="634">
        <f>IF(M31="","",AF31)</f>
        <v>-0.25929959351733062</v>
      </c>
      <c r="AN31" s="581">
        <f>IF(M31="","",DEGREES(ATAN2(-AM31,AL31)))</f>
        <v>3.7207066633349171</v>
      </c>
      <c r="AO31" s="582">
        <f t="shared" si="94"/>
        <v>15.061001161157465</v>
      </c>
      <c r="AP31" s="585">
        <f>IF(M31="","",DEGREES(ATAN2(AK31,AL31)))</f>
        <v>1.0004020875764965</v>
      </c>
      <c r="AQ31" s="586">
        <f t="shared" si="9"/>
        <v>0.57608929069225101</v>
      </c>
      <c r="AS31" s="52">
        <f t="shared" si="116"/>
        <v>-65.079042592724079</v>
      </c>
      <c r="AT31" s="72">
        <f t="shared" si="10"/>
        <v>-5.1006510561794512E-2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2.121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4.2883315610559238</v>
      </c>
      <c r="C32" s="708">
        <v>1.9571042112155905</v>
      </c>
      <c r="D32" s="709">
        <v>-7.2400218359058618E-2</v>
      </c>
      <c r="E32" s="710">
        <v>-0.33474544120996252</v>
      </c>
      <c r="F32" s="708">
        <v>0.90685336862054267</v>
      </c>
      <c r="G32" s="711">
        <v>0.25605166941600244</v>
      </c>
      <c r="H32" s="710">
        <v>0.314</v>
      </c>
      <c r="I32" s="708">
        <v>0.52</v>
      </c>
      <c r="J32" s="570">
        <v>2.1269999999999998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2.1269999999999998</v>
      </c>
      <c r="N32" s="632">
        <f t="shared" si="2"/>
        <v>4.2883315610559238</v>
      </c>
      <c r="O32" s="629">
        <f t="shared" si="3"/>
        <v>1.9571042112155905</v>
      </c>
      <c r="P32" s="633">
        <f t="shared" si="4"/>
        <v>-7.2400218359058618E-2</v>
      </c>
      <c r="Q32" s="585">
        <f t="shared" si="113"/>
        <v>24.530957407275945</v>
      </c>
      <c r="R32" s="629">
        <f t="shared" si="79"/>
        <v>4.7138142168636783</v>
      </c>
      <c r="S32" s="634">
        <f t="shared" si="80"/>
        <v>-7.2400218359058618E-2</v>
      </c>
      <c r="T32" s="635">
        <f t="shared" si="81"/>
        <v>1.9571042112155879</v>
      </c>
      <c r="U32" s="629">
        <f t="shared" si="82"/>
        <v>-4.2883315610559247</v>
      </c>
      <c r="V32" s="636">
        <f t="shared" si="114"/>
        <v>-7.2400218359058618E-2</v>
      </c>
      <c r="W32" s="585">
        <f t="shared" si="224"/>
        <v>294.53095740727593</v>
      </c>
      <c r="X32" s="629">
        <f t="shared" si="83"/>
        <v>4.7138142168636783</v>
      </c>
      <c r="Y32" s="630">
        <f t="shared" si="223"/>
        <v>-7.2400218359058618E-2</v>
      </c>
      <c r="Z32" s="632">
        <f t="shared" si="6"/>
        <v>0.33474544120996252</v>
      </c>
      <c r="AA32" s="629">
        <f t="shared" si="7"/>
        <v>-0.90685336862054267</v>
      </c>
      <c r="AB32" s="629">
        <f t="shared" si="8"/>
        <v>-0.25605166941600244</v>
      </c>
      <c r="AC32" s="636">
        <f t="shared" si="84"/>
        <v>1</v>
      </c>
      <c r="AD32" s="637">
        <f t="shared" si="115"/>
        <v>0.33474544120996252</v>
      </c>
      <c r="AE32" s="629">
        <f t="shared" si="85"/>
        <v>-0.90685336862054267</v>
      </c>
      <c r="AF32" s="633">
        <f t="shared" si="86"/>
        <v>-0.25605166941600244</v>
      </c>
      <c r="AG32" s="602">
        <f t="shared" si="87"/>
        <v>-74.232878690217944</v>
      </c>
      <c r="AH32" s="603">
        <f t="shared" si="88"/>
        <v>70.442940896001119</v>
      </c>
      <c r="AI32" s="585">
        <f t="shared" si="89"/>
        <v>-75.164089565971665</v>
      </c>
      <c r="AJ32" s="586">
        <f t="shared" si="90"/>
        <v>20.260541684086132</v>
      </c>
      <c r="AK32" s="635">
        <f t="shared" si="211"/>
        <v>0.9639793648053322</v>
      </c>
      <c r="AL32" s="629">
        <f t="shared" si="91"/>
        <v>-7.1981433847808696E-2</v>
      </c>
      <c r="AM32" s="634">
        <f t="shared" si="92"/>
        <v>-0.25605166941600244</v>
      </c>
      <c r="AN32" s="581">
        <f t="shared" si="93"/>
        <v>-15.701774238226857</v>
      </c>
      <c r="AO32" s="582">
        <f t="shared" si="94"/>
        <v>15.425016574653569</v>
      </c>
      <c r="AP32" s="585">
        <f t="shared" si="95"/>
        <v>-4.2704157231897826</v>
      </c>
      <c r="AQ32" s="586">
        <f t="shared" si="9"/>
        <v>0.48361526081995437</v>
      </c>
      <c r="AS32" s="52">
        <f t="shared" si="116"/>
        <v>-65.469042592724065</v>
      </c>
      <c r="AT32" s="72">
        <f t="shared" si="10"/>
        <v>-2.693560544744468E-2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2.1269999999999998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4.9793380737472237</v>
      </c>
      <c r="C33" s="708">
        <v>2.2121513016936576</v>
      </c>
      <c r="D33" s="709">
        <v>-0.22150066804601526</v>
      </c>
      <c r="E33" s="710">
        <v>-0.24706347990240046</v>
      </c>
      <c r="F33" s="708">
        <v>0.94170260402556372</v>
      </c>
      <c r="G33" s="711">
        <v>0.22837653660126403</v>
      </c>
      <c r="H33" s="710">
        <v>0.314</v>
      </c>
      <c r="I33" s="708">
        <v>0.52</v>
      </c>
      <c r="J33" s="570">
        <v>2.133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2.133</v>
      </c>
      <c r="N33" s="632">
        <f t="shared" si="2"/>
        <v>4.9793380737472237</v>
      </c>
      <c r="O33" s="629">
        <f t="shared" si="3"/>
        <v>2.2121513016936576</v>
      </c>
      <c r="P33" s="633">
        <f t="shared" si="4"/>
        <v>-0.22150066804601526</v>
      </c>
      <c r="Q33" s="585">
        <f t="shared" si="113"/>
        <v>23.953957407275947</v>
      </c>
      <c r="R33" s="629">
        <f t="shared" si="79"/>
        <v>5.4486164330271638</v>
      </c>
      <c r="S33" s="634">
        <f t="shared" si="80"/>
        <v>-0.22150066804601526</v>
      </c>
      <c r="T33" s="635">
        <f t="shared" si="81"/>
        <v>2.212151301693658</v>
      </c>
      <c r="U33" s="629">
        <f t="shared" si="82"/>
        <v>-4.9793380737472228</v>
      </c>
      <c r="V33" s="636">
        <f t="shared" si="114"/>
        <v>-0.22150066804601526</v>
      </c>
      <c r="W33" s="585">
        <f t="shared" si="224"/>
        <v>293.95395740727594</v>
      </c>
      <c r="X33" s="629">
        <f t="shared" si="83"/>
        <v>5.4486164330271638</v>
      </c>
      <c r="Y33" s="630">
        <f t="shared" si="223"/>
        <v>-0.22150066804601526</v>
      </c>
      <c r="Z33" s="632">
        <f t="shared" si="6"/>
        <v>0.24706347990240046</v>
      </c>
      <c r="AA33" s="629">
        <f t="shared" si="7"/>
        <v>-0.94170260402556372</v>
      </c>
      <c r="AB33" s="629">
        <f t="shared" si="8"/>
        <v>-0.22837653660126403</v>
      </c>
      <c r="AC33" s="636">
        <f t="shared" si="84"/>
        <v>1</v>
      </c>
      <c r="AD33" s="637">
        <f t="shared" si="115"/>
        <v>0.24706347990240046</v>
      </c>
      <c r="AE33" s="629">
        <f t="shared" si="85"/>
        <v>-0.94170260402556372</v>
      </c>
      <c r="AF33" s="633">
        <f t="shared" si="86"/>
        <v>-0.22837653660126403</v>
      </c>
      <c r="AG33" s="602">
        <f t="shared" si="87"/>
        <v>-76.368120887380826</v>
      </c>
      <c r="AH33" s="603">
        <f t="shared" si="88"/>
        <v>75.696188164429415</v>
      </c>
      <c r="AI33" s="585">
        <f t="shared" si="89"/>
        <v>-76.798489504929478</v>
      </c>
      <c r="AJ33" s="586">
        <f t="shared" si="90"/>
        <v>14.700707377206674</v>
      </c>
      <c r="AK33" s="635">
        <f t="shared" si="211"/>
        <v>0.960904019101532</v>
      </c>
      <c r="AL33" s="629">
        <f t="shared" si="91"/>
        <v>-0.15654910924222534</v>
      </c>
      <c r="AM33" s="634">
        <f t="shared" si="92"/>
        <v>-0.22837653660126403</v>
      </c>
      <c r="AN33" s="581">
        <f t="shared" si="93"/>
        <v>-34.430124312506429</v>
      </c>
      <c r="AO33" s="582">
        <f t="shared" si="94"/>
        <v>16.074181589757174</v>
      </c>
      <c r="AP33" s="585">
        <f t="shared" si="95"/>
        <v>-9.2532500300692782</v>
      </c>
      <c r="AQ33" s="586">
        <f t="shared" si="9"/>
        <v>0.41839724589690896</v>
      </c>
      <c r="AS33" s="52">
        <f t="shared" si="116"/>
        <v>-66.046042592724064</v>
      </c>
      <c r="AT33" s="72">
        <f t="shared" si="10"/>
        <v>-0.17563536068995689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2.133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5.6320805220035393</v>
      </c>
      <c r="C34" s="708">
        <v>2.4259017124932316</v>
      </c>
      <c r="D34" s="709">
        <v>-0.5306016002944266</v>
      </c>
      <c r="E34" s="710">
        <v>-0.14952251405200473</v>
      </c>
      <c r="F34" s="708">
        <v>0.9612899015787989</v>
      </c>
      <c r="G34" s="711">
        <v>0.23144058182218469</v>
      </c>
      <c r="H34" s="710">
        <v>0.314</v>
      </c>
      <c r="I34" s="708">
        <v>0.52</v>
      </c>
      <c r="J34" s="570">
        <v>2.1389999999999998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2.1389999999999998</v>
      </c>
      <c r="N34" s="632">
        <f t="shared" si="2"/>
        <v>5.6320805220035393</v>
      </c>
      <c r="O34" s="629">
        <f t="shared" si="3"/>
        <v>2.4259017124932316</v>
      </c>
      <c r="P34" s="633">
        <f t="shared" si="4"/>
        <v>-0.5306016002944266</v>
      </c>
      <c r="Q34" s="585">
        <f t="shared" si="113"/>
        <v>23.302957407275947</v>
      </c>
      <c r="R34" s="629">
        <f>IF(M34="","",SQRT(N34^2+O34^2))</f>
        <v>6.1323184950725818</v>
      </c>
      <c r="S34" s="634">
        <f>IF(M34="","",P34)</f>
        <v>-0.5306016002944266</v>
      </c>
      <c r="T34" s="635">
        <f>IF(M34="","",X34*COS(RADIANS(W34)))</f>
        <v>2.4259017124932276</v>
      </c>
      <c r="U34" s="629">
        <f>IF(M34="","",X34*SIN(RADIANS(W34)))</f>
        <v>-5.632080522003541</v>
      </c>
      <c r="V34" s="636">
        <f>IF(M34="","",Y34)</f>
        <v>-0.5306016002944266</v>
      </c>
      <c r="W34" s="585">
        <f t="shared" si="224"/>
        <v>293.30295740727593</v>
      </c>
      <c r="X34" s="629">
        <f>IF(M34="","",R34)</f>
        <v>6.1323184950725818</v>
      </c>
      <c r="Y34" s="630">
        <f t="shared" si="223"/>
        <v>-0.5306016002944266</v>
      </c>
      <c r="Z34" s="632">
        <f t="shared" si="6"/>
        <v>0.14952251405200473</v>
      </c>
      <c r="AA34" s="629">
        <f t="shared" si="7"/>
        <v>-0.9612899015787989</v>
      </c>
      <c r="AB34" s="629">
        <f t="shared" si="8"/>
        <v>-0.23144058182218469</v>
      </c>
      <c r="AC34" s="636">
        <f>IF(M34="","",SQRT(Z34^2+AA34^2+AB34^2))</f>
        <v>1</v>
      </c>
      <c r="AD34" s="637">
        <f>IF(M34="","",Z34*(1/SQRT(Z34^2+AA34^2+AB34^2)))</f>
        <v>0.14952251405200473</v>
      </c>
      <c r="AE34" s="629">
        <f>IF(M34="","",AA34*(1/SQRT(Z34^2+AA34^2+AB34^2)))</f>
        <v>-0.9612899015787989</v>
      </c>
      <c r="AF34" s="633">
        <f>IF(M34="","",AB34*(1/SQRT(Z34^2+AA34^2+AB34^2)))</f>
        <v>-0.23144058182218469</v>
      </c>
      <c r="AG34" s="602">
        <f>IF(M34="","",DEGREES(ATAN2(-AF34,AE34)))</f>
        <v>-76.463076660764543</v>
      </c>
      <c r="AH34" s="603">
        <f>IF(M34="","",DEGREES(ACOS(AD34)))</f>
        <v>81.40074342809946</v>
      </c>
      <c r="AI34" s="585">
        <f>IF(M34="","",DEGREES(-ACOS(-AF34)))</f>
        <v>-76.618100338286453</v>
      </c>
      <c r="AJ34" s="586">
        <f>IF(M34="","",DEGREES(ATAN2(-AE34,AD34)))</f>
        <v>8.8411470269611225</v>
      </c>
      <c r="AK34" s="635">
        <f>IF(M34="","",(COS(RADIANS((90-$Q$8)-W34))*AD34)+(-SIN(RADIANS((90-$Q$8)-W34))*AE34))</f>
        <v>0.94202365030737545</v>
      </c>
      <c r="AL34" s="629">
        <f>IF(M34="","",(SIN(RADIANS((90-$Q$8)-W34))*AD34)+(COS(RADIANS((90-$Q$8)-W34))*AE34))</f>
        <v>-0.24295410955029392</v>
      </c>
      <c r="AM34" s="634">
        <f>IF(M34="","",AF34)</f>
        <v>-0.23144058182218469</v>
      </c>
      <c r="AN34" s="581">
        <f>IF(M34="","",DEGREES(ATAN2(-AM34,AL34)))</f>
        <v>-46.390291841068809</v>
      </c>
      <c r="AO34" s="582">
        <f t="shared" si="94"/>
        <v>19.605772712534566</v>
      </c>
      <c r="AP34" s="585">
        <f>IF(M34="","",DEGREES(ATAN2(AK34,AL34)))</f>
        <v>-14.461810380314782</v>
      </c>
      <c r="AQ34" s="586">
        <f t="shared" si="9"/>
        <v>0.37175085463275537</v>
      </c>
      <c r="AS34" s="52">
        <f t="shared" si="116"/>
        <v>-66.697042592724074</v>
      </c>
      <c r="AT34" s="72">
        <f t="shared" si="10"/>
        <v>-0.48428420960503488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2.1389999999999998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6.2080779926420515</v>
      </c>
      <c r="C35" s="708">
        <v>2.5931986203928843</v>
      </c>
      <c r="D35" s="709">
        <v>-0.98750297830898315</v>
      </c>
      <c r="E35" s="710">
        <v>-5.1481160087860592E-2</v>
      </c>
      <c r="F35" s="708">
        <v>0.97578617536496781</v>
      </c>
      <c r="G35" s="711">
        <v>0.2125818198308983</v>
      </c>
      <c r="H35" s="710">
        <v>0.314</v>
      </c>
      <c r="I35" s="708">
        <v>0.52</v>
      </c>
      <c r="J35" s="570">
        <v>2.145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2.145</v>
      </c>
      <c r="N35" s="632">
        <f t="shared" si="2"/>
        <v>6.2080779926420515</v>
      </c>
      <c r="O35" s="629">
        <f t="shared" si="3"/>
        <v>2.5931986203928843</v>
      </c>
      <c r="P35" s="633">
        <f t="shared" si="4"/>
        <v>-0.98750297830898315</v>
      </c>
      <c r="Q35" s="585">
        <f t="shared" si="113"/>
        <v>22.670957407275949</v>
      </c>
      <c r="R35" s="629">
        <f>IF(M35="","",SQRT(N35^2+O35^2))</f>
        <v>6.7279202914075995</v>
      </c>
      <c r="S35" s="634">
        <f>IF(M35="","",P35)</f>
        <v>-0.98750297830898315</v>
      </c>
      <c r="T35" s="635">
        <f>IF(M35="","",X35*COS(RADIANS(W35)))</f>
        <v>2.5931986203928874</v>
      </c>
      <c r="U35" s="629">
        <f>IF(M35="","",X35*SIN(RADIANS(W35)))</f>
        <v>-6.2080779926420497</v>
      </c>
      <c r="V35" s="636">
        <f>IF(M35="","",Y35)</f>
        <v>-0.98750297830898315</v>
      </c>
      <c r="W35" s="585">
        <f t="shared" si="224"/>
        <v>292.67095740727598</v>
      </c>
      <c r="X35" s="629">
        <f>IF(M35="","",R35)</f>
        <v>6.7279202914075995</v>
      </c>
      <c r="Y35" s="630">
        <f t="shared" si="223"/>
        <v>-0.98750297830898315</v>
      </c>
      <c r="Z35" s="632">
        <f t="shared" si="6"/>
        <v>5.1481160087860592E-2</v>
      </c>
      <c r="AA35" s="629">
        <f t="shared" si="7"/>
        <v>-0.97578617536496781</v>
      </c>
      <c r="AB35" s="629">
        <f t="shared" si="8"/>
        <v>-0.2125818198308983</v>
      </c>
      <c r="AC35" s="636">
        <f>IF(M35="","",SQRT(Z35^2+AA35^2+AB35^2))</f>
        <v>1</v>
      </c>
      <c r="AD35" s="637">
        <f>IF(M35="","",Z35*(1/SQRT(Z35^2+AA35^2+AB35^2)))</f>
        <v>5.1481160087860592E-2</v>
      </c>
      <c r="AE35" s="629">
        <f>IF(M35="","",AA35*(1/SQRT(Z35^2+AA35^2+AB35^2)))</f>
        <v>-0.97578617536496781</v>
      </c>
      <c r="AF35" s="633">
        <f>IF(M35="","",AB35*(1/SQRT(Z35^2+AA35^2+AB35^2)))</f>
        <v>-0.2125818198308983</v>
      </c>
      <c r="AG35" s="602">
        <f>IF(M35="","",DEGREES(ATAN2(-AF35,AE35)))</f>
        <v>-77.709752044621368</v>
      </c>
      <c r="AH35" s="603">
        <f>IF(M35="","",DEGREES(ACOS(AD35)))</f>
        <v>87.04904233034604</v>
      </c>
      <c r="AI35" s="585">
        <f>IF(M35="","",DEGREES(-ACOS(-AF35)))</f>
        <v>-77.726303459566068</v>
      </c>
      <c r="AJ35" s="586">
        <f>IF(M35="","",DEGREES(ATAN2(-AE35,AD35)))</f>
        <v>3.0200479074534661</v>
      </c>
      <c r="AK35" s="635">
        <f>IF(M35="","",(COS(RADIANS((90-$Q$8)-W35))*AD35)+(-SIN(RADIANS((90-$Q$8)-W35))*AE35))</f>
        <v>0.92023348760993684</v>
      </c>
      <c r="AL35" s="629">
        <f>IF(M35="","",(SIN(RADIANS((90-$Q$8)-W35))*AD35)+(COS(RADIANS((90-$Q$8)-W35))*AE35))</f>
        <v>-0.32860203614499378</v>
      </c>
      <c r="AM35" s="634">
        <f>IF(M35="","",AF35)</f>
        <v>-0.2125818198308983</v>
      </c>
      <c r="AN35" s="581">
        <f>IF(M35="","",DEGREES(ATAN2(-AM35,AL35)))</f>
        <v>-57.100045598138458</v>
      </c>
      <c r="AO35" s="582">
        <f t="shared" si="94"/>
        <v>23.039759872639902</v>
      </c>
      <c r="AP35" s="585">
        <f>IF(M35="","",DEGREES(ATAN2(AK35,AL35)))</f>
        <v>-19.650909499822514</v>
      </c>
      <c r="AQ35" s="586">
        <f t="shared" si="9"/>
        <v>0.3388417157014782</v>
      </c>
      <c r="AS35" s="52">
        <f t="shared" si="116"/>
        <v>-67.329042592724022</v>
      </c>
      <c r="AT35" s="72">
        <f t="shared" si="10"/>
        <v>-0.9407466987307026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2.145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6.6723838429284701</v>
      </c>
      <c r="C36" s="708">
        <v>2.7139817742459762</v>
      </c>
      <c r="D36" s="709">
        <v>-1.5667047251814519</v>
      </c>
      <c r="E36" s="710">
        <v>3.983929573430442E-2</v>
      </c>
      <c r="F36" s="708">
        <v>0.98385695970060305</v>
      </c>
      <c r="G36" s="711">
        <v>0.1744657942522852</v>
      </c>
      <c r="H36" s="710">
        <v>0.314</v>
      </c>
      <c r="I36" s="708">
        <v>0.52</v>
      </c>
      <c r="J36" s="570">
        <v>2.1509999999999998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2.1509999999999998</v>
      </c>
      <c r="N36" s="632">
        <f t="shared" si="2"/>
        <v>6.6723838429284701</v>
      </c>
      <c r="O36" s="629">
        <f t="shared" si="3"/>
        <v>2.7139817742459762</v>
      </c>
      <c r="P36" s="633">
        <f t="shared" si="4"/>
        <v>-1.5667047251814519</v>
      </c>
      <c r="Q36" s="585">
        <f t="shared" si="113"/>
        <v>22.133957407275947</v>
      </c>
      <c r="R36" s="629">
        <f>IF(M36="","",SQRT(N36^2+O36^2))</f>
        <v>7.2032217249167223</v>
      </c>
      <c r="S36" s="634">
        <f>IF(M36="","",P36)</f>
        <v>-1.5667047251814519</v>
      </c>
      <c r="T36" s="635">
        <f>IF(M36="","",X36*COS(RADIANS(W36)))</f>
        <v>2.7139817742459722</v>
      </c>
      <c r="U36" s="629">
        <f>IF(M36="","",X36*SIN(RADIANS(W36)))</f>
        <v>-6.6723838429284719</v>
      </c>
      <c r="V36" s="636">
        <f>IF(M36="","",Y36)</f>
        <v>-1.5667047251814519</v>
      </c>
      <c r="W36" s="585">
        <f t="shared" si="224"/>
        <v>292.13395740727594</v>
      </c>
      <c r="X36" s="629">
        <f>IF(M36="","",R36)</f>
        <v>7.2032217249167223</v>
      </c>
      <c r="Y36" s="630">
        <f t="shared" si="223"/>
        <v>-1.5667047251814519</v>
      </c>
      <c r="Z36" s="632">
        <f t="shared" si="6"/>
        <v>-3.983929573430442E-2</v>
      </c>
      <c r="AA36" s="629">
        <f t="shared" si="7"/>
        <v>-0.98385695970060305</v>
      </c>
      <c r="AB36" s="629">
        <f t="shared" si="8"/>
        <v>-0.1744657942522852</v>
      </c>
      <c r="AC36" s="636">
        <f>IF(M36="","",SQRT(Z36^2+AA36^2+AB36^2))</f>
        <v>1</v>
      </c>
      <c r="AD36" s="637">
        <f>IF(M36="","",Z36*(1/SQRT(Z36^2+AA36^2+AB36^2)))</f>
        <v>-3.983929573430442E-2</v>
      </c>
      <c r="AE36" s="629">
        <f>IF(M36="","",AA36*(1/SQRT(Z36^2+AA36^2+AB36^2)))</f>
        <v>-0.98385695970060305</v>
      </c>
      <c r="AF36" s="633">
        <f>IF(M36="","",AB36*(1/SQRT(Z36^2+AA36^2+AB36^2)))</f>
        <v>-0.1744657942522852</v>
      </c>
      <c r="AG36" s="602">
        <f>IF(M36="","",DEGREES(ATAN2(-AF36,AE36)))</f>
        <v>-79.944361800978172</v>
      </c>
      <c r="AH36" s="603">
        <f>IF(M36="","",DEGREES(ACOS(AD36)))</f>
        <v>92.283227754415179</v>
      </c>
      <c r="AI36" s="585">
        <f>IF(M36="","",DEGREES(-ACOS(-AF36)))</f>
        <v>-79.952427857844754</v>
      </c>
      <c r="AJ36" s="586">
        <f>IF(M36="","",DEGREES(ATAN2(-AE36,AD36)))</f>
        <v>-2.3188097784948307</v>
      </c>
      <c r="AK36" s="635">
        <f>IF(M36="","",(COS(RADIANS((90-$Q$8)-W36))*AD36)+(-SIN(RADIANS((90-$Q$8)-W36))*AE36))</f>
        <v>0.89634172120558742</v>
      </c>
      <c r="AL36" s="629">
        <f>IF(M36="","",(SIN(RADIANS((90-$Q$8)-W36))*AD36)+(COS(RADIANS((90-$Q$8)-W36))*AE36))</f>
        <v>-0.40759441294272475</v>
      </c>
      <c r="AM36" s="634">
        <f>IF(M36="","",AF36)</f>
        <v>-0.1744657942522852</v>
      </c>
      <c r="AN36" s="581">
        <f>IF(M36="","",DEGREES(ATAN2(-AM36,AL36)))</f>
        <v>-66.827247357591943</v>
      </c>
      <c r="AO36" s="582">
        <f t="shared" si="94"/>
        <v>26.318706897923665</v>
      </c>
      <c r="AP36" s="585">
        <f>IF(M36="","",DEGREES(ATAN2(AK36,AL36)))</f>
        <v>-24.452767185770742</v>
      </c>
      <c r="AQ36" s="586">
        <f t="shared" si="9"/>
        <v>0.31648386420803154</v>
      </c>
      <c r="AS36" s="52">
        <f t="shared" si="116"/>
        <v>-67.866042592724057</v>
      </c>
      <c r="AT36" s="72">
        <f t="shared" si="10"/>
        <v>-1.5195755289365047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2.1509999999999998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6.9979621216980661</v>
      </c>
      <c r="C37" s="708">
        <v>2.7913314649482484</v>
      </c>
      <c r="D37" s="709">
        <v>-2.2413067597811871</v>
      </c>
      <c r="E37" s="710">
        <v>0.11962410404306234</v>
      </c>
      <c r="F37" s="708">
        <v>0.98553537702088378</v>
      </c>
      <c r="G37" s="711">
        <v>0.12004205251577102</v>
      </c>
      <c r="H37" s="710">
        <v>0.314</v>
      </c>
      <c r="I37" s="708">
        <v>0.52</v>
      </c>
      <c r="J37" s="570">
        <v>2.157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2.157</v>
      </c>
      <c r="N37" s="632">
        <f t="shared" si="2"/>
        <v>6.9979621216980661</v>
      </c>
      <c r="O37" s="629">
        <f t="shared" si="3"/>
        <v>2.7913314649482484</v>
      </c>
      <c r="P37" s="633">
        <f t="shared" si="4"/>
        <v>-2.2413067597811871</v>
      </c>
      <c r="Q37" s="585">
        <f t="shared" si="113"/>
        <v>21.745957407275959</v>
      </c>
      <c r="R37" s="629">
        <f t="shared" si="79"/>
        <v>7.5341227229141303</v>
      </c>
      <c r="S37" s="634">
        <f t="shared" si="80"/>
        <v>-2.2413067597811871</v>
      </c>
      <c r="T37" s="635">
        <f t="shared" si="81"/>
        <v>2.7913314649482479</v>
      </c>
      <c r="U37" s="629">
        <f t="shared" si="82"/>
        <v>-6.9979621216980661</v>
      </c>
      <c r="V37" s="636">
        <f t="shared" si="114"/>
        <v>-2.2413067597811871</v>
      </c>
      <c r="W37" s="585">
        <f t="shared" si="224"/>
        <v>291.74595740727597</v>
      </c>
      <c r="X37" s="629">
        <f t="shared" si="83"/>
        <v>7.5341227229141303</v>
      </c>
      <c r="Y37" s="630">
        <f t="shared" si="223"/>
        <v>-2.2413067597811871</v>
      </c>
      <c r="Z37" s="632">
        <f t="shared" si="6"/>
        <v>-0.11962410404306234</v>
      </c>
      <c r="AA37" s="629">
        <f t="shared" si="7"/>
        <v>-0.98553537702088378</v>
      </c>
      <c r="AB37" s="629">
        <f t="shared" si="8"/>
        <v>-0.12004205251577102</v>
      </c>
      <c r="AC37" s="636">
        <f t="shared" si="84"/>
        <v>1</v>
      </c>
      <c r="AD37" s="637">
        <f t="shared" si="115"/>
        <v>-0.11962410404306234</v>
      </c>
      <c r="AE37" s="629">
        <f t="shared" si="85"/>
        <v>-0.98553537702088378</v>
      </c>
      <c r="AF37" s="633">
        <f t="shared" si="86"/>
        <v>-0.12004205251577102</v>
      </c>
      <c r="AG37" s="602">
        <f t="shared" si="87"/>
        <v>-83.055359772263301</v>
      </c>
      <c r="AH37" s="603">
        <f t="shared" si="88"/>
        <v>96.870409060063409</v>
      </c>
      <c r="AI37" s="585">
        <f t="shared" si="89"/>
        <v>-83.105470445225777</v>
      </c>
      <c r="AJ37" s="586">
        <f t="shared" si="90"/>
        <v>-6.9206960850926809</v>
      </c>
      <c r="AK37" s="635">
        <f t="shared" si="211"/>
        <v>0.87108067571608139</v>
      </c>
      <c r="AL37" s="629">
        <f t="shared" si="91"/>
        <v>-0.47624401520839693</v>
      </c>
      <c r="AM37" s="634">
        <f t="shared" si="92"/>
        <v>-0.12004205251577102</v>
      </c>
      <c r="AN37" s="581">
        <f t="shared" si="93"/>
        <v>-75.852725662654208</v>
      </c>
      <c r="AO37" s="582">
        <f t="shared" si="94"/>
        <v>29.415535147035982</v>
      </c>
      <c r="AP37" s="585">
        <f t="shared" si="95"/>
        <v>-28.666653492368638</v>
      </c>
      <c r="AQ37" s="586">
        <f t="shared" si="9"/>
        <v>0.30258405948227696</v>
      </c>
      <c r="AS37" s="52">
        <f t="shared" si="116"/>
        <v>-68.254042592724034</v>
      </c>
      <c r="AT37" s="72">
        <f t="shared" si="10"/>
        <v>-2.1939081190917955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2.157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7.1627150737792942</v>
      </c>
      <c r="C38" s="708">
        <v>2.8281073397364671</v>
      </c>
      <c r="D38" s="709">
        <v>-2.9713089614678276</v>
      </c>
      <c r="E38" s="710">
        <v>0.1693655506371001</v>
      </c>
      <c r="F38" s="708">
        <v>0.98439102170845783</v>
      </c>
      <c r="G38" s="711">
        <v>4.7850043230603399E-2</v>
      </c>
      <c r="H38" s="710">
        <v>0.314</v>
      </c>
      <c r="I38" s="708">
        <v>0.52</v>
      </c>
      <c r="J38" s="570">
        <v>2.1629999999999998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2.1629999999999998</v>
      </c>
      <c r="N38" s="632">
        <f t="shared" si="2"/>
        <v>7.1627150737792942</v>
      </c>
      <c r="O38" s="629">
        <f t="shared" si="3"/>
        <v>2.8281073397364671</v>
      </c>
      <c r="P38" s="633">
        <f t="shared" si="4"/>
        <v>-2.9713089614678276</v>
      </c>
      <c r="Q38" s="585">
        <f t="shared" si="113"/>
        <v>21.545957407275957</v>
      </c>
      <c r="R38" s="629">
        <f t="shared" si="79"/>
        <v>7.700823225682849</v>
      </c>
      <c r="S38" s="634">
        <f t="shared" si="80"/>
        <v>-2.9713089614678276</v>
      </c>
      <c r="T38" s="635">
        <f t="shared" si="81"/>
        <v>2.8281073397364689</v>
      </c>
      <c r="U38" s="629">
        <f t="shared" si="82"/>
        <v>-7.1627150737792933</v>
      </c>
      <c r="V38" s="636">
        <f t="shared" si="114"/>
        <v>-2.9713089614678276</v>
      </c>
      <c r="W38" s="585">
        <f t="shared" si="224"/>
        <v>291.54595740727598</v>
      </c>
      <c r="X38" s="629">
        <f t="shared" si="83"/>
        <v>7.700823225682849</v>
      </c>
      <c r="Y38" s="630">
        <f t="shared" si="223"/>
        <v>-2.9713089614678276</v>
      </c>
      <c r="Z38" s="632">
        <f t="shared" si="6"/>
        <v>-0.1693655506371001</v>
      </c>
      <c r="AA38" s="629">
        <f t="shared" si="7"/>
        <v>-0.98439102170845783</v>
      </c>
      <c r="AB38" s="629">
        <f t="shared" si="8"/>
        <v>-4.7850043230603399E-2</v>
      </c>
      <c r="AC38" s="636">
        <f t="shared" si="84"/>
        <v>1</v>
      </c>
      <c r="AD38" s="637">
        <f t="shared" si="115"/>
        <v>-0.1693655506371001</v>
      </c>
      <c r="AE38" s="629">
        <f t="shared" si="85"/>
        <v>-0.98439102170845783</v>
      </c>
      <c r="AF38" s="633">
        <f t="shared" si="86"/>
        <v>-4.7850043230603399E-2</v>
      </c>
      <c r="AG38" s="602">
        <f t="shared" si="87"/>
        <v>-87.217112690243709</v>
      </c>
      <c r="AH38" s="603">
        <f t="shared" si="88"/>
        <v>99.750932889112903</v>
      </c>
      <c r="AI38" s="585">
        <f t="shared" si="89"/>
        <v>-87.257347185113659</v>
      </c>
      <c r="AJ38" s="586">
        <f t="shared" si="90"/>
        <v>-9.7622245073618839</v>
      </c>
      <c r="AK38" s="635">
        <f t="shared" si="211"/>
        <v>0.85340596196403828</v>
      </c>
      <c r="AL38" s="629">
        <f t="shared" si="91"/>
        <v>-0.51904589146535418</v>
      </c>
      <c r="AM38" s="634">
        <f t="shared" si="92"/>
        <v>-4.7850043230603399E-2</v>
      </c>
      <c r="AN38" s="581">
        <f t="shared" si="93"/>
        <v>-84.732877707061462</v>
      </c>
      <c r="AO38" s="582">
        <f t="shared" si="94"/>
        <v>31.415924011533882</v>
      </c>
      <c r="AP38" s="585">
        <f t="shared" si="95"/>
        <v>-31.308181914637849</v>
      </c>
      <c r="AQ38" s="586">
        <f t="shared" si="9"/>
        <v>0.29603410946475001</v>
      </c>
      <c r="AS38" s="52">
        <f t="shared" si="116"/>
        <v>-68.454042592724022</v>
      </c>
      <c r="AT38" s="72">
        <f t="shared" si="10"/>
        <v>-2.9237714318895471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2.1629999999999998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7.1946895613281185</v>
      </c>
      <c r="C39" s="708">
        <v>2.835072917296575</v>
      </c>
      <c r="D39" s="709">
        <v>-3.6860111170095293</v>
      </c>
      <c r="E39" s="710">
        <v>0.26554348595775096</v>
      </c>
      <c r="F39" s="708">
        <v>0.96340688746933467</v>
      </c>
      <c r="G39" s="711">
        <v>3.6521585973974674E-2</v>
      </c>
      <c r="H39" s="710">
        <v>0.314</v>
      </c>
      <c r="I39" s="708">
        <v>0.52</v>
      </c>
      <c r="J39" s="570">
        <v>2.169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2.169</v>
      </c>
      <c r="N39" s="632">
        <f t="shared" si="2"/>
        <v>7.1946895613281185</v>
      </c>
      <c r="O39" s="629">
        <f t="shared" si="3"/>
        <v>2.835072917296575</v>
      </c>
      <c r="P39" s="633">
        <f t="shared" si="4"/>
        <v>-3.6860111170095293</v>
      </c>
      <c r="Q39" s="585">
        <f t="shared" si="113"/>
        <v>21.506957911602672</v>
      </c>
      <c r="R39" s="629">
        <f t="shared" si="79"/>
        <v>7.7331233230999432</v>
      </c>
      <c r="S39" s="634">
        <f t="shared" si="80"/>
        <v>-3.6860111170095293</v>
      </c>
      <c r="T39" s="635">
        <f t="shared" si="81"/>
        <v>2.8350729172965754</v>
      </c>
      <c r="U39" s="629">
        <f t="shared" si="82"/>
        <v>-7.1946895613281185</v>
      </c>
      <c r="V39" s="636">
        <f t="shared" si="114"/>
        <v>-3.6860111170095293</v>
      </c>
      <c r="W39" s="585">
        <f t="shared" si="224"/>
        <v>291.50695791160268</v>
      </c>
      <c r="X39" s="629">
        <f t="shared" si="83"/>
        <v>7.7331233230999432</v>
      </c>
      <c r="Y39" s="630">
        <f t="shared" si="223"/>
        <v>-3.6860111170095293</v>
      </c>
      <c r="Z39" s="632">
        <f t="shared" si="6"/>
        <v>-0.26554348595775096</v>
      </c>
      <c r="AA39" s="629">
        <f t="shared" si="7"/>
        <v>-0.96340688746933467</v>
      </c>
      <c r="AB39" s="629">
        <f t="shared" si="8"/>
        <v>-3.6521585973974674E-2</v>
      </c>
      <c r="AC39" s="636">
        <f t="shared" si="84"/>
        <v>1</v>
      </c>
      <c r="AD39" s="637">
        <f t="shared" si="115"/>
        <v>-0.26554348595775096</v>
      </c>
      <c r="AE39" s="629">
        <f t="shared" si="85"/>
        <v>-0.96340688746933467</v>
      </c>
      <c r="AF39" s="633">
        <f t="shared" si="86"/>
        <v>-3.6521585973974674E-2</v>
      </c>
      <c r="AG39" s="602">
        <f t="shared" si="87"/>
        <v>-87.829026082551962</v>
      </c>
      <c r="AH39" s="603">
        <f t="shared" si="88"/>
        <v>105.39924931495915</v>
      </c>
      <c r="AI39" s="585">
        <f t="shared" si="89"/>
        <v>-87.907001803954898</v>
      </c>
      <c r="AJ39" s="586">
        <f t="shared" si="90"/>
        <v>-15.409784730932905</v>
      </c>
      <c r="AK39" s="635">
        <f t="shared" si="211"/>
        <v>0.79897579193229684</v>
      </c>
      <c r="AL39" s="629">
        <f t="shared" si="91"/>
        <v>-0.60025316131121265</v>
      </c>
      <c r="AM39" s="634">
        <f t="shared" si="92"/>
        <v>-3.6521585973974674E-2</v>
      </c>
      <c r="AN39" s="581">
        <f t="shared" si="93"/>
        <v>-86.518208577493496</v>
      </c>
      <c r="AO39" s="582">
        <f t="shared" si="94"/>
        <v>36.967591309159999</v>
      </c>
      <c r="AP39" s="585">
        <f t="shared" si="95"/>
        <v>-36.916742642535581</v>
      </c>
      <c r="AQ39" s="586">
        <f t="shared" si="9"/>
        <v>0.29479764121423568</v>
      </c>
      <c r="AS39" s="52">
        <f t="shared" si="116"/>
        <v>-68.493042088397317</v>
      </c>
      <c r="AT39" s="72">
        <f t="shared" si="10"/>
        <v>-3.6384465044481424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2.169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7.2485350640735264</v>
      </c>
      <c r="C40" s="708">
        <v>2.8552677439135827</v>
      </c>
      <c r="D40" s="709">
        <v>-4.4195133292522017</v>
      </c>
      <c r="E40" s="710">
        <v>0.31730525742005494</v>
      </c>
      <c r="F40" s="708">
        <v>0.94832345410918295</v>
      </c>
      <c r="G40" s="711">
        <v>1.4578093226810778E-7</v>
      </c>
      <c r="H40" s="710">
        <v>0.314</v>
      </c>
      <c r="I40" s="708">
        <v>0.52</v>
      </c>
      <c r="J40" s="570">
        <v>2.1749999999999998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2.1749999999999998</v>
      </c>
      <c r="N40" s="632">
        <f t="shared" si="2"/>
        <v>7.2485350640735264</v>
      </c>
      <c r="O40" s="629">
        <f t="shared" si="3"/>
        <v>2.8552677439135827</v>
      </c>
      <c r="P40" s="633">
        <f t="shared" si="4"/>
        <v>-4.4195133292522017</v>
      </c>
      <c r="Q40" s="585">
        <f t="shared" si="113"/>
        <v>21.499957912613358</v>
      </c>
      <c r="R40" s="629">
        <f t="shared" si="79"/>
        <v>7.7906234965204648</v>
      </c>
      <c r="S40" s="634">
        <f t="shared" si="80"/>
        <v>-4.4195133292522017</v>
      </c>
      <c r="T40" s="635">
        <f t="shared" si="81"/>
        <v>2.8552677439135787</v>
      </c>
      <c r="U40" s="629">
        <f t="shared" si="82"/>
        <v>-7.2485350640735273</v>
      </c>
      <c r="V40" s="636">
        <f t="shared" si="114"/>
        <v>-4.4195133292522017</v>
      </c>
      <c r="W40" s="585">
        <f t="shared" si="224"/>
        <v>291.49995791261335</v>
      </c>
      <c r="X40" s="629">
        <f t="shared" si="83"/>
        <v>7.7906234965204648</v>
      </c>
      <c r="Y40" s="630">
        <f t="shared" si="223"/>
        <v>-4.4195133292522017</v>
      </c>
      <c r="Z40" s="632">
        <f t="shared" si="6"/>
        <v>-0.31730525742005494</v>
      </c>
      <c r="AA40" s="629">
        <f t="shared" si="7"/>
        <v>-0.94832345410918295</v>
      </c>
      <c r="AB40" s="629">
        <f t="shared" si="8"/>
        <v>-1.4578093226810778E-7</v>
      </c>
      <c r="AC40" s="636">
        <f t="shared" si="84"/>
        <v>1</v>
      </c>
      <c r="AD40" s="637">
        <f t="shared" si="115"/>
        <v>-0.31730525742005494</v>
      </c>
      <c r="AE40" s="629">
        <f t="shared" si="85"/>
        <v>-0.94832345410918295</v>
      </c>
      <c r="AF40" s="633">
        <f t="shared" si="86"/>
        <v>-1.4578093226810778E-7</v>
      </c>
      <c r="AG40" s="602">
        <f t="shared" si="87"/>
        <v>-89.99999119221178</v>
      </c>
      <c r="AH40" s="603">
        <f t="shared" si="88"/>
        <v>108.5000363121011</v>
      </c>
      <c r="AI40" s="585">
        <f t="shared" si="89"/>
        <v>-89.99999164736785</v>
      </c>
      <c r="AJ40" s="586">
        <f t="shared" si="90"/>
        <v>-18.500036312101305</v>
      </c>
      <c r="AK40" s="635">
        <f t="shared" si="211"/>
        <v>0.76604450791050749</v>
      </c>
      <c r="AL40" s="629">
        <f t="shared" si="91"/>
        <v>-0.64278753247097686</v>
      </c>
      <c r="AM40" s="634">
        <f t="shared" si="92"/>
        <v>-1.4578093226810778E-7</v>
      </c>
      <c r="AN40" s="581">
        <f t="shared" si="93"/>
        <v>-89.999987005609583</v>
      </c>
      <c r="AO40" s="582">
        <f t="shared" si="94"/>
        <v>39.999994224715358</v>
      </c>
      <c r="AP40" s="585">
        <f t="shared" si="95"/>
        <v>-39.999994224714634</v>
      </c>
      <c r="AQ40" s="586">
        <f t="shared" si="9"/>
        <v>0.29262186932050377</v>
      </c>
      <c r="AS40" s="52">
        <f t="shared" si="116"/>
        <v>-68.500042087386646</v>
      </c>
      <c r="AT40" s="72">
        <f t="shared" si="10"/>
        <v>-4.3719438555804055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2.1749999999999998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0.68636928339464887</v>
      </c>
      <c r="C41" s="708">
        <v>-0.48060155197042409</v>
      </c>
      <c r="D41" s="709">
        <v>-0.90620273310744326</v>
      </c>
      <c r="E41" s="710">
        <v>0.48327680144980695</v>
      </c>
      <c r="F41" s="708">
        <v>0.82587943137992426</v>
      </c>
      <c r="G41" s="711">
        <v>0.29045946017304541</v>
      </c>
      <c r="H41" s="710">
        <v>0.314</v>
      </c>
      <c r="I41" s="708">
        <v>0.52</v>
      </c>
      <c r="J41" s="570">
        <v>3.1030000000000002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3.1030000000000002</v>
      </c>
      <c r="N41" s="632">
        <f t="shared" ref="N41:N72" si="240">IF(M41="","",B41)</f>
        <v>0.68636928339464887</v>
      </c>
      <c r="O41" s="629">
        <f t="shared" ref="O41:O72" si="241">IF(M41="","",C41)</f>
        <v>-0.48060155197042409</v>
      </c>
      <c r="P41" s="633">
        <f t="shared" ref="P41:P72" si="242">IF(M41="","",D41)</f>
        <v>-0.90620273310744326</v>
      </c>
      <c r="Q41" s="585">
        <f t="shared" si="113"/>
        <v>324.99996607020285</v>
      </c>
      <c r="R41" s="629">
        <f t="shared" si="79"/>
        <v>0.8379025271140218</v>
      </c>
      <c r="S41" s="634">
        <f t="shared" si="80"/>
        <v>-0.90620273310744326</v>
      </c>
      <c r="T41" s="635">
        <f t="shared" si="81"/>
        <v>-0.48060155197042453</v>
      </c>
      <c r="U41" s="629">
        <f t="shared" si="82"/>
        <v>-0.68636928339464853</v>
      </c>
      <c r="V41" s="636">
        <f t="shared" si="114"/>
        <v>-0.90620273310744326</v>
      </c>
      <c r="W41" s="585">
        <f t="shared" si="224"/>
        <v>234.99996607020285</v>
      </c>
      <c r="X41" s="629">
        <f t="shared" si="83"/>
        <v>0.8379025271140218</v>
      </c>
      <c r="Y41" s="630">
        <f t="shared" si="223"/>
        <v>-0.90620273310744326</v>
      </c>
      <c r="Z41" s="632">
        <f t="shared" ref="Z41:Z72" si="243">IF(M41="","",-E41)</f>
        <v>-0.48327680144980695</v>
      </c>
      <c r="AA41" s="629">
        <f t="shared" ref="AA41:AA72" si="244">IF(M41="","",-F41)</f>
        <v>-0.82587943137992426</v>
      </c>
      <c r="AB41" s="629">
        <f t="shared" ref="AB41:AB72" si="245">IF(M41="","",-G41)</f>
        <v>-0.29045946017304541</v>
      </c>
      <c r="AC41" s="636">
        <f t="shared" si="84"/>
        <v>1</v>
      </c>
      <c r="AD41" s="637">
        <f t="shared" si="115"/>
        <v>-0.48327680144980695</v>
      </c>
      <c r="AE41" s="629">
        <f t="shared" si="85"/>
        <v>-0.82587943137992426</v>
      </c>
      <c r="AF41" s="633">
        <f t="shared" si="86"/>
        <v>-0.29045946017304541</v>
      </c>
      <c r="AG41" s="602">
        <f t="shared" si="87"/>
        <v>-70.623370912380253</v>
      </c>
      <c r="AH41" s="603">
        <f t="shared" si="88"/>
        <v>118.89963469300343</v>
      </c>
      <c r="AI41" s="585">
        <f t="shared" si="89"/>
        <v>-73.114534769632428</v>
      </c>
      <c r="AJ41" s="586">
        <f t="shared" si="90"/>
        <v>-30.334731981014421</v>
      </c>
      <c r="AK41" s="635">
        <f t="shared" si="211"/>
        <v>0.95371696400905337</v>
      </c>
      <c r="AL41" s="629">
        <f t="shared" si="91"/>
        <v>7.7828366019962347E-2</v>
      </c>
      <c r="AM41" s="634">
        <f t="shared" si="92"/>
        <v>-0.29045946017304541</v>
      </c>
      <c r="AN41" s="581">
        <f t="shared" si="93"/>
        <v>14.999997834268415</v>
      </c>
      <c r="AO41" s="582">
        <f t="shared" si="94"/>
        <v>17.49999747331298</v>
      </c>
      <c r="AP41" s="585">
        <f t="shared" si="95"/>
        <v>4.6653019487827514</v>
      </c>
      <c r="AQ41" s="586">
        <f t="shared" ref="AQ41:AQ72" si="246">IF(M41="","",DEGREES(ATAN(($AS$5*SIN(RADIANS(90)))/(($X41*2*PI())-($AS$5*COS(RADIANS(90)))))))</f>
        <v>2.7187117005694952</v>
      </c>
      <c r="AS41" s="52">
        <f t="shared" si="116"/>
        <v>-125.00003392979715</v>
      </c>
      <c r="AT41" s="72">
        <f t="shared" ref="AT41:AT72" si="247">IF(M41="","",Y41+(((AS41-$AS$9)*$AS$6)*-1))</f>
        <v>-0.81939715398952861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3.1030000000000002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1.2940178505532005</v>
      </c>
      <c r="C42" s="708">
        <v>-0.90608219554562464</v>
      </c>
      <c r="D42" s="709">
        <v>-0.70740213352483494</v>
      </c>
      <c r="E42" s="710">
        <v>0.483276801449807</v>
      </c>
      <c r="F42" s="708">
        <v>0.82587943137992426</v>
      </c>
      <c r="G42" s="711">
        <v>0.29045946017304541</v>
      </c>
      <c r="H42" s="710">
        <v>0.314</v>
      </c>
      <c r="I42" s="708">
        <v>0.52</v>
      </c>
      <c r="J42" s="570">
        <v>3.1059999999999999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3.1059999999999999</v>
      </c>
      <c r="N42" s="632">
        <f t="shared" si="240"/>
        <v>1.2940178505532005</v>
      </c>
      <c r="O42" s="629">
        <f t="shared" si="241"/>
        <v>-0.90608219554562464</v>
      </c>
      <c r="P42" s="633">
        <f t="shared" si="242"/>
        <v>-0.70740213352483494</v>
      </c>
      <c r="Q42" s="585">
        <f t="shared" si="113"/>
        <v>324.99996607020285</v>
      </c>
      <c r="R42" s="629">
        <f t="shared" ref="R42:R47" si="385">IF(M42="","",SQRT(N42^2+O42^2))</f>
        <v>1.5797047643895694</v>
      </c>
      <c r="S42" s="634">
        <f t="shared" ref="S42:S47" si="386">IF(M42="","",P42)</f>
        <v>-0.70740213352483494</v>
      </c>
      <c r="T42" s="635">
        <f t="shared" ref="T42:T47" si="387">IF(M42="","",X42*COS(RADIANS(W42)))</f>
        <v>-0.90608219554562552</v>
      </c>
      <c r="U42" s="629">
        <f t="shared" ref="U42:U47" si="388">IF(M42="","",X42*SIN(RADIANS(W42)))</f>
        <v>-1.2940178505532001</v>
      </c>
      <c r="V42" s="636">
        <f t="shared" ref="V42:V47" si="389">IF(M42="","",Y42)</f>
        <v>-0.70740213352483494</v>
      </c>
      <c r="W42" s="585">
        <f t="shared" si="224"/>
        <v>234.99996607020285</v>
      </c>
      <c r="X42" s="629">
        <f t="shared" ref="X42:X47" si="390">IF(M42="","",R42)</f>
        <v>1.5797047643895694</v>
      </c>
      <c r="Y42" s="630">
        <f t="shared" si="223"/>
        <v>-0.70740213352483494</v>
      </c>
      <c r="Z42" s="632">
        <f t="shared" si="243"/>
        <v>-0.483276801449807</v>
      </c>
      <c r="AA42" s="629">
        <f t="shared" si="244"/>
        <v>-0.82587943137992426</v>
      </c>
      <c r="AB42" s="629">
        <f t="shared" si="245"/>
        <v>-0.29045946017304541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-0.483276801449807</v>
      </c>
      <c r="AE42" s="629">
        <f t="shared" ref="AE42:AE47" si="393">IF(M42="","",AA42*(1/SQRT(Z42^2+AA42^2+AB42^2)))</f>
        <v>-0.82587943137992426</v>
      </c>
      <c r="AF42" s="633">
        <f t="shared" ref="AF42:AF47" si="394">IF(M42="","",AB42*(1/SQRT(Z42^2+AA42^2+AB42^2)))</f>
        <v>-0.29045946017304541</v>
      </c>
      <c r="AG42" s="602">
        <f t="shared" ref="AG42:AG47" si="395">IF(M42="","",DEGREES(ATAN2(-AF42,AE42)))</f>
        <v>-70.623370912380253</v>
      </c>
      <c r="AH42" s="603">
        <f t="shared" ref="AH42:AH47" si="396">IF(M42="","",DEGREES(ACOS(AD42)))</f>
        <v>118.89963469300343</v>
      </c>
      <c r="AI42" s="585">
        <f t="shared" ref="AI42:AI47" si="397">IF(M42="","",DEGREES(-ACOS(-AF42)))</f>
        <v>-73.114534769632428</v>
      </c>
      <c r="AJ42" s="586">
        <f t="shared" ref="AJ42:AJ47" si="398">IF(M42="","",DEGREES(ATAN2(-AE42,AD42)))</f>
        <v>-30.334731981014421</v>
      </c>
      <c r="AK42" s="635">
        <f t="shared" ref="AK42:AK47" si="399">IF(M42="","",(COS(RADIANS((90-$Q$8)-W42))*AD42)+(-SIN(RADIANS((90-$Q$8)-W42))*AE42))</f>
        <v>0.95371696400905337</v>
      </c>
      <c r="AL42" s="629">
        <f t="shared" ref="AL42:AL47" si="400">IF(M42="","",(SIN(RADIANS((90-$Q$8)-W42))*AD42)+(COS(RADIANS((90-$Q$8)-W42))*AE42))</f>
        <v>7.7828366019962292E-2</v>
      </c>
      <c r="AM42" s="634">
        <f t="shared" ref="AM42:AM47" si="401">IF(M42="","",AF42)</f>
        <v>-0.29045946017304541</v>
      </c>
      <c r="AN42" s="581">
        <f t="shared" ref="AN42:AN47" si="402">IF(M42="","",DEGREES(ATAN2(-AM42,AL42)))</f>
        <v>14.999997834268401</v>
      </c>
      <c r="AO42" s="582">
        <f t="shared" si="94"/>
        <v>17.49999747331298</v>
      </c>
      <c r="AP42" s="585">
        <f t="shared" ref="AP42:AP47" si="403">IF(M42="","",DEGREES(ATAN2(AK42,AL42)))</f>
        <v>4.6653019487827496</v>
      </c>
      <c r="AQ42" s="586">
        <f t="shared" si="246"/>
        <v>1.4428295557088</v>
      </c>
      <c r="AS42" s="52">
        <f t="shared" si="116"/>
        <v>-125.00003392979715</v>
      </c>
      <c r="AT42" s="72">
        <f t="shared" si="247"/>
        <v>-0.6205965544069203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1.9016664177117524</v>
      </c>
      <c r="C43" s="708">
        <v>-1.331562839120825</v>
      </c>
      <c r="D43" s="709">
        <v>-0.50870153424382736</v>
      </c>
      <c r="E43" s="710">
        <v>0.48327680144980684</v>
      </c>
      <c r="F43" s="708">
        <v>0.82587943137992448</v>
      </c>
      <c r="G43" s="711">
        <v>0.29045946017304536</v>
      </c>
      <c r="H43" s="710">
        <v>0.314</v>
      </c>
      <c r="I43" s="708">
        <v>0.52</v>
      </c>
      <c r="J43" s="570">
        <v>3.109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3.109</v>
      </c>
      <c r="N43" s="632">
        <f t="shared" si="240"/>
        <v>1.9016664177117524</v>
      </c>
      <c r="O43" s="629">
        <f t="shared" si="241"/>
        <v>-1.331562839120825</v>
      </c>
      <c r="P43" s="633">
        <f t="shared" si="242"/>
        <v>-0.50870153424382736</v>
      </c>
      <c r="Q43" s="585">
        <f t="shared" si="113"/>
        <v>324.99996607020285</v>
      </c>
      <c r="R43" s="629">
        <f t="shared" si="385"/>
        <v>2.3215070016651169</v>
      </c>
      <c r="S43" s="634">
        <f t="shared" si="386"/>
        <v>-0.50870153424382736</v>
      </c>
      <c r="T43" s="635">
        <f t="shared" si="387"/>
        <v>-1.3315628391208265</v>
      </c>
      <c r="U43" s="629">
        <f t="shared" si="388"/>
        <v>-1.9016664177117513</v>
      </c>
      <c r="V43" s="636">
        <f t="shared" si="389"/>
        <v>-0.50870153424382736</v>
      </c>
      <c r="W43" s="585">
        <f t="shared" si="224"/>
        <v>234.99996607020285</v>
      </c>
      <c r="X43" s="629">
        <f t="shared" si="390"/>
        <v>2.3215070016651169</v>
      </c>
      <c r="Y43" s="630">
        <f t="shared" si="223"/>
        <v>-0.50870153424382736</v>
      </c>
      <c r="Z43" s="632">
        <f t="shared" si="243"/>
        <v>-0.48327680144980684</v>
      </c>
      <c r="AA43" s="629">
        <f t="shared" si="244"/>
        <v>-0.82587943137992448</v>
      </c>
      <c r="AB43" s="629">
        <f t="shared" si="245"/>
        <v>-0.29045946017304536</v>
      </c>
      <c r="AC43" s="636">
        <f t="shared" si="391"/>
        <v>1</v>
      </c>
      <c r="AD43" s="637">
        <f t="shared" si="392"/>
        <v>-0.48327680144980684</v>
      </c>
      <c r="AE43" s="629">
        <f t="shared" si="393"/>
        <v>-0.82587943137992448</v>
      </c>
      <c r="AF43" s="633">
        <f t="shared" si="394"/>
        <v>-0.29045946017304536</v>
      </c>
      <c r="AG43" s="602">
        <f t="shared" si="395"/>
        <v>-70.623370912380253</v>
      </c>
      <c r="AH43" s="603">
        <f t="shared" si="396"/>
        <v>118.89963469300343</v>
      </c>
      <c r="AI43" s="585">
        <f t="shared" si="397"/>
        <v>-73.114534769632428</v>
      </c>
      <c r="AJ43" s="586">
        <f t="shared" si="398"/>
        <v>-30.334731981014411</v>
      </c>
      <c r="AK43" s="635">
        <f t="shared" si="399"/>
        <v>0.95371696400905348</v>
      </c>
      <c r="AL43" s="629">
        <f t="shared" si="400"/>
        <v>7.7828366019962569E-2</v>
      </c>
      <c r="AM43" s="634">
        <f t="shared" si="401"/>
        <v>-0.29045946017304536</v>
      </c>
      <c r="AN43" s="581">
        <f t="shared" si="402"/>
        <v>14.999997834268459</v>
      </c>
      <c r="AO43" s="582">
        <f t="shared" si="94"/>
        <v>17.499997473312952</v>
      </c>
      <c r="AP43" s="585">
        <f t="shared" si="403"/>
        <v>4.6653019487827656</v>
      </c>
      <c r="AQ43" s="586">
        <f t="shared" si="246"/>
        <v>0.98190677227405421</v>
      </c>
      <c r="AS43" s="52">
        <f t="shared" ref="AS43:AS74" si="406">IF(G43="","",IF(AND(W43&lt;(AS42+180),W43&gt;(AS42-180)),W43,IF(W43&gt;(AS42+180),W43-360,IF(W43&lt;(AS42-180),W43+360,"Error"))))</f>
        <v>-125.00003392979715</v>
      </c>
      <c r="AT43" s="72">
        <f t="shared" si="247"/>
        <v>-0.42189595512591266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2.5093149848703042</v>
      </c>
      <c r="C44" s="708">
        <v>-1.7570434826960257</v>
      </c>
      <c r="D44" s="709">
        <v>-0.30990093466121915</v>
      </c>
      <c r="E44" s="710">
        <v>0.48327680144980684</v>
      </c>
      <c r="F44" s="708">
        <v>0.82587943137992448</v>
      </c>
      <c r="G44" s="711">
        <v>0.29045946017304536</v>
      </c>
      <c r="H44" s="710">
        <v>0.314</v>
      </c>
      <c r="I44" s="708">
        <v>0.52</v>
      </c>
      <c r="J44" s="570">
        <v>3.1139999999999999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3.1139999999999999</v>
      </c>
      <c r="N44" s="632">
        <f t="shared" si="240"/>
        <v>2.5093149848703042</v>
      </c>
      <c r="O44" s="629">
        <f t="shared" si="241"/>
        <v>-1.7570434826960257</v>
      </c>
      <c r="P44" s="633">
        <f t="shared" si="242"/>
        <v>-0.30990093466121915</v>
      </c>
      <c r="Q44" s="585">
        <f t="shared" si="113"/>
        <v>324.99996607020285</v>
      </c>
      <c r="R44" s="629">
        <f t="shared" si="385"/>
        <v>3.0633092389406649</v>
      </c>
      <c r="S44" s="634">
        <f t="shared" si="386"/>
        <v>-0.30990093466121915</v>
      </c>
      <c r="T44" s="635">
        <f t="shared" si="387"/>
        <v>-1.7570434826960277</v>
      </c>
      <c r="U44" s="629">
        <f t="shared" si="388"/>
        <v>-2.5093149848703029</v>
      </c>
      <c r="V44" s="636">
        <f t="shared" si="389"/>
        <v>-0.30990093466121915</v>
      </c>
      <c r="W44" s="585">
        <f t="shared" si="224"/>
        <v>234.99996607020285</v>
      </c>
      <c r="X44" s="629">
        <f t="shared" si="390"/>
        <v>3.0633092389406649</v>
      </c>
      <c r="Y44" s="630">
        <f t="shared" si="223"/>
        <v>-0.30990093466121915</v>
      </c>
      <c r="Z44" s="632">
        <f t="shared" si="243"/>
        <v>-0.48327680144980684</v>
      </c>
      <c r="AA44" s="629">
        <f t="shared" si="244"/>
        <v>-0.82587943137992448</v>
      </c>
      <c r="AB44" s="629">
        <f t="shared" si="245"/>
        <v>-0.29045946017304536</v>
      </c>
      <c r="AC44" s="636">
        <f t="shared" si="391"/>
        <v>1</v>
      </c>
      <c r="AD44" s="637">
        <f t="shared" si="392"/>
        <v>-0.48327680144980684</v>
      </c>
      <c r="AE44" s="629">
        <f t="shared" si="393"/>
        <v>-0.82587943137992448</v>
      </c>
      <c r="AF44" s="633">
        <f t="shared" si="394"/>
        <v>-0.29045946017304536</v>
      </c>
      <c r="AG44" s="602">
        <f t="shared" si="395"/>
        <v>-70.623370912380253</v>
      </c>
      <c r="AH44" s="603">
        <f t="shared" si="396"/>
        <v>118.89963469300343</v>
      </c>
      <c r="AI44" s="585">
        <f t="shared" si="397"/>
        <v>-73.114534769632428</v>
      </c>
      <c r="AJ44" s="586">
        <f t="shared" si="398"/>
        <v>-30.334731981014411</v>
      </c>
      <c r="AK44" s="635">
        <f t="shared" si="399"/>
        <v>0.95371696400905348</v>
      </c>
      <c r="AL44" s="629">
        <f t="shared" si="400"/>
        <v>7.7828366019962569E-2</v>
      </c>
      <c r="AM44" s="634">
        <f t="shared" si="401"/>
        <v>-0.29045946017304536</v>
      </c>
      <c r="AN44" s="581">
        <f t="shared" si="402"/>
        <v>14.999997834268459</v>
      </c>
      <c r="AO44" s="582">
        <f t="shared" si="94"/>
        <v>17.499997473312952</v>
      </c>
      <c r="AP44" s="585">
        <f t="shared" si="403"/>
        <v>4.6653019487827656</v>
      </c>
      <c r="AQ44" s="586">
        <f t="shared" si="246"/>
        <v>0.74416203639542777</v>
      </c>
      <c r="AS44" s="52">
        <f t="shared" si="406"/>
        <v>-125.00003392979715</v>
      </c>
      <c r="AT44" s="72">
        <f t="shared" si="247"/>
        <v>-0.22309535554330445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3.1139999999999999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3.1340838742904014</v>
      </c>
      <c r="C45" s="708">
        <v>-2.1945119200845475</v>
      </c>
      <c r="D45" s="709">
        <v>-0.11700035287306428</v>
      </c>
      <c r="E45" s="710">
        <v>0.50827500685260518</v>
      </c>
      <c r="F45" s="708">
        <v>0.81758591185790874</v>
      </c>
      <c r="G45" s="711">
        <v>0.27057308465635677</v>
      </c>
      <c r="H45" s="710">
        <v>0.314</v>
      </c>
      <c r="I45" s="708">
        <v>0.52</v>
      </c>
      <c r="J45" s="570">
        <v>3.12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3.12</v>
      </c>
      <c r="N45" s="632">
        <f t="shared" si="240"/>
        <v>3.1340838742904014</v>
      </c>
      <c r="O45" s="629">
        <f t="shared" si="241"/>
        <v>-2.1945119200845475</v>
      </c>
      <c r="P45" s="633">
        <f t="shared" si="242"/>
        <v>-0.11700035287306428</v>
      </c>
      <c r="Q45" s="585">
        <f t="shared" si="113"/>
        <v>324.99996607020285</v>
      </c>
      <c r="R45" s="629">
        <f t="shared" si="385"/>
        <v>3.826011539250803</v>
      </c>
      <c r="S45" s="634">
        <f t="shared" si="386"/>
        <v>-0.11700035287306428</v>
      </c>
      <c r="T45" s="635">
        <f t="shared" si="387"/>
        <v>-2.1945119200845502</v>
      </c>
      <c r="U45" s="629">
        <f t="shared" si="388"/>
        <v>-3.1340838742903991</v>
      </c>
      <c r="V45" s="636">
        <f t="shared" si="389"/>
        <v>-0.11700035287306428</v>
      </c>
      <c r="W45" s="585">
        <f t="shared" si="224"/>
        <v>234.99996607020285</v>
      </c>
      <c r="X45" s="629">
        <f t="shared" si="390"/>
        <v>3.826011539250803</v>
      </c>
      <c r="Y45" s="630">
        <f t="shared" si="223"/>
        <v>-0.11700035287306428</v>
      </c>
      <c r="Z45" s="632">
        <f t="shared" si="243"/>
        <v>-0.50827500685260518</v>
      </c>
      <c r="AA45" s="629">
        <f t="shared" si="244"/>
        <v>-0.81758591185790874</v>
      </c>
      <c r="AB45" s="629">
        <f t="shared" si="245"/>
        <v>-0.27057308465635677</v>
      </c>
      <c r="AC45" s="636">
        <f t="shared" si="391"/>
        <v>1</v>
      </c>
      <c r="AD45" s="637">
        <f t="shared" si="392"/>
        <v>-0.50827500685260518</v>
      </c>
      <c r="AE45" s="629">
        <f t="shared" si="393"/>
        <v>-0.81758591185790874</v>
      </c>
      <c r="AF45" s="633">
        <f t="shared" si="394"/>
        <v>-0.27057308465635677</v>
      </c>
      <c r="AG45" s="602">
        <f t="shared" si="395"/>
        <v>-71.688478788008908</v>
      </c>
      <c r="AH45" s="603">
        <f t="shared" si="396"/>
        <v>120.54899697696965</v>
      </c>
      <c r="AI45" s="585">
        <f t="shared" si="397"/>
        <v>-74.301628435969903</v>
      </c>
      <c r="AJ45" s="586">
        <f t="shared" si="398"/>
        <v>-31.868299088176521</v>
      </c>
      <c r="AK45" s="635">
        <f t="shared" si="399"/>
        <v>0.96126170705176617</v>
      </c>
      <c r="AL45" s="629">
        <f t="shared" si="400"/>
        <v>5.2594072056350472E-2</v>
      </c>
      <c r="AM45" s="634">
        <f t="shared" si="401"/>
        <v>-0.27057308465635677</v>
      </c>
      <c r="AN45" s="581">
        <f t="shared" si="402"/>
        <v>10.99999841179695</v>
      </c>
      <c r="AO45" s="582">
        <f t="shared" si="94"/>
        <v>15.99999768988615</v>
      </c>
      <c r="AP45" s="585">
        <f t="shared" si="403"/>
        <v>3.1317348416206534</v>
      </c>
      <c r="AQ45" s="586">
        <f t="shared" si="246"/>
        <v>0.5958279083910647</v>
      </c>
      <c r="AS45" s="52">
        <f t="shared" si="406"/>
        <v>-125.00003392979715</v>
      </c>
      <c r="AT45" s="72">
        <f t="shared" si="247"/>
        <v>-3.0194773755149576E-2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3.12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3.741152698580267</v>
      </c>
      <c r="C46" s="708">
        <v>-2.6574248283546238</v>
      </c>
      <c r="D46" s="709">
        <v>-6.4200193627784216E-2</v>
      </c>
      <c r="E46" s="710">
        <v>0.60597760755113073</v>
      </c>
      <c r="F46" s="708">
        <v>0.75244722436229927</v>
      </c>
      <c r="G46" s="711">
        <v>0.25809748874423288</v>
      </c>
      <c r="H46" s="710">
        <v>0.314</v>
      </c>
      <c r="I46" s="708">
        <v>0.52</v>
      </c>
      <c r="J46" s="570">
        <v>3.1259999999999999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3.1259999999999999</v>
      </c>
      <c r="N46" s="632">
        <f t="shared" si="240"/>
        <v>3.741152698580267</v>
      </c>
      <c r="O46" s="629">
        <f t="shared" si="241"/>
        <v>-2.6574248283546238</v>
      </c>
      <c r="P46" s="633">
        <f t="shared" si="242"/>
        <v>-6.4200193627784216E-2</v>
      </c>
      <c r="Q46" s="585">
        <f t="shared" si="113"/>
        <v>324.61296612607873</v>
      </c>
      <c r="R46" s="629">
        <f t="shared" si="385"/>
        <v>4.5889138401641425</v>
      </c>
      <c r="S46" s="634">
        <f t="shared" si="386"/>
        <v>-6.4200193627784216E-2</v>
      </c>
      <c r="T46" s="635">
        <f t="shared" si="387"/>
        <v>-2.6574248283546247</v>
      </c>
      <c r="U46" s="629">
        <f t="shared" si="388"/>
        <v>-3.7411526985802666</v>
      </c>
      <c r="V46" s="636">
        <f t="shared" si="389"/>
        <v>-6.4200193627784216E-2</v>
      </c>
      <c r="W46" s="585">
        <f t="shared" si="224"/>
        <v>234.61296612607873</v>
      </c>
      <c r="X46" s="629">
        <f t="shared" si="390"/>
        <v>4.5889138401641425</v>
      </c>
      <c r="Y46" s="630">
        <f t="shared" si="223"/>
        <v>-6.4200193627784216E-2</v>
      </c>
      <c r="Z46" s="632">
        <f t="shared" si="243"/>
        <v>-0.60597760755113073</v>
      </c>
      <c r="AA46" s="629">
        <f t="shared" si="244"/>
        <v>-0.75244722436229927</v>
      </c>
      <c r="AB46" s="629">
        <f t="shared" si="245"/>
        <v>-0.25809748874423288</v>
      </c>
      <c r="AC46" s="636">
        <f t="shared" si="391"/>
        <v>1</v>
      </c>
      <c r="AD46" s="637">
        <f t="shared" si="392"/>
        <v>-0.60597760755113073</v>
      </c>
      <c r="AE46" s="629">
        <f t="shared" si="393"/>
        <v>-0.75244722436229927</v>
      </c>
      <c r="AF46" s="633">
        <f t="shared" si="394"/>
        <v>-0.25809748874423288</v>
      </c>
      <c r="AG46" s="602">
        <f t="shared" si="395"/>
        <v>-71.067480527852695</v>
      </c>
      <c r="AH46" s="603">
        <f t="shared" si="396"/>
        <v>127.29922263430001</v>
      </c>
      <c r="AI46" s="585">
        <f t="shared" si="397"/>
        <v>-75.042796247931747</v>
      </c>
      <c r="AJ46" s="586">
        <f t="shared" si="398"/>
        <v>-38.845964829838827</v>
      </c>
      <c r="AK46" s="635">
        <f t="shared" si="399"/>
        <v>0.9643589001307693</v>
      </c>
      <c r="AL46" s="629">
        <f t="shared" si="400"/>
        <v>-5.8288918693810476E-2</v>
      </c>
      <c r="AM46" s="634">
        <f t="shared" si="401"/>
        <v>-0.25809748874423288</v>
      </c>
      <c r="AN46" s="581">
        <f t="shared" si="402"/>
        <v>-12.726223006220318</v>
      </c>
      <c r="AO46" s="582">
        <f t="shared" si="94"/>
        <v>15.343045951079134</v>
      </c>
      <c r="AP46" s="585">
        <f t="shared" si="403"/>
        <v>-3.4589309559175718</v>
      </c>
      <c r="AQ46" s="586">
        <f t="shared" si="246"/>
        <v>0.49677757836081143</v>
      </c>
      <c r="AS46" s="52">
        <f t="shared" si="406"/>
        <v>-125.38703387392127</v>
      </c>
      <c r="AT46" s="72">
        <f t="shared" si="247"/>
        <v>2.2874135451327784E-2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3.1259999999999999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4.3142694049249162</v>
      </c>
      <c r="C47" s="708">
        <v>-3.1278363492733843</v>
      </c>
      <c r="D47" s="709">
        <v>-0.18490055766008184</v>
      </c>
      <c r="E47" s="710">
        <v>0.68112781585345339</v>
      </c>
      <c r="F47" s="708">
        <v>0.69379461689807509</v>
      </c>
      <c r="G47" s="711">
        <v>0.23391008536178468</v>
      </c>
      <c r="H47" s="710">
        <v>0.314</v>
      </c>
      <c r="I47" s="708">
        <v>0.52</v>
      </c>
      <c r="J47" s="570">
        <v>3.1320000000000001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3.1320000000000001</v>
      </c>
      <c r="N47" s="632">
        <f t="shared" si="240"/>
        <v>4.3142694049249162</v>
      </c>
      <c r="O47" s="629">
        <f t="shared" si="241"/>
        <v>-3.1278363492733843</v>
      </c>
      <c r="P47" s="633">
        <f t="shared" si="242"/>
        <v>-0.18490055766008184</v>
      </c>
      <c r="Q47" s="585">
        <f t="shared" si="113"/>
        <v>324.05796620621084</v>
      </c>
      <c r="R47" s="629">
        <f t="shared" si="385"/>
        <v>5.328816071709273</v>
      </c>
      <c r="S47" s="634">
        <f t="shared" si="386"/>
        <v>-0.18490055766008184</v>
      </c>
      <c r="T47" s="635">
        <f t="shared" si="387"/>
        <v>-3.1278363492733865</v>
      </c>
      <c r="U47" s="629">
        <f t="shared" si="388"/>
        <v>-4.3142694049249153</v>
      </c>
      <c r="V47" s="636">
        <f t="shared" si="389"/>
        <v>-0.18490055766008184</v>
      </c>
      <c r="W47" s="585">
        <f t="shared" si="224"/>
        <v>234.05796620621084</v>
      </c>
      <c r="X47" s="629">
        <f t="shared" si="390"/>
        <v>5.328816071709273</v>
      </c>
      <c r="Y47" s="630">
        <f t="shared" si="223"/>
        <v>-0.18490055766008184</v>
      </c>
      <c r="Z47" s="632">
        <f t="shared" si="243"/>
        <v>-0.68112781585345339</v>
      </c>
      <c r="AA47" s="629">
        <f t="shared" si="244"/>
        <v>-0.69379461689807509</v>
      </c>
      <c r="AB47" s="629">
        <f t="shared" si="245"/>
        <v>-0.23391008536178468</v>
      </c>
      <c r="AC47" s="636">
        <f t="shared" si="391"/>
        <v>1</v>
      </c>
      <c r="AD47" s="637">
        <f t="shared" si="392"/>
        <v>-0.68112781585345339</v>
      </c>
      <c r="AE47" s="629">
        <f t="shared" si="393"/>
        <v>-0.69379461689807509</v>
      </c>
      <c r="AF47" s="633">
        <f t="shared" si="394"/>
        <v>-0.23391008536178468</v>
      </c>
      <c r="AG47" s="602">
        <f t="shared" si="395"/>
        <v>-71.368671423461919</v>
      </c>
      <c r="AH47" s="603">
        <f t="shared" si="396"/>
        <v>132.931837537641</v>
      </c>
      <c r="AI47" s="585">
        <f t="shared" si="397"/>
        <v>-76.472615247413628</v>
      </c>
      <c r="AJ47" s="586">
        <f t="shared" si="398"/>
        <v>-44.472163890225502</v>
      </c>
      <c r="AK47" s="635">
        <f t="shared" si="399"/>
        <v>0.96150311081559203</v>
      </c>
      <c r="AL47" s="629">
        <f t="shared" si="400"/>
        <v>-0.14421456187910436</v>
      </c>
      <c r="AM47" s="634">
        <f t="shared" si="401"/>
        <v>-0.23391008536178468</v>
      </c>
      <c r="AN47" s="581">
        <f t="shared" si="402"/>
        <v>-31.655428549123322</v>
      </c>
      <c r="AO47" s="582">
        <f t="shared" si="94"/>
        <v>15.949741048062156</v>
      </c>
      <c r="AP47" s="585">
        <f t="shared" si="403"/>
        <v>-8.5301300964363129</v>
      </c>
      <c r="AQ47" s="586">
        <f t="shared" si="246"/>
        <v>0.42780314358982385</v>
      </c>
      <c r="AS47" s="52">
        <f t="shared" si="406"/>
        <v>-125.94203379378916</v>
      </c>
      <c r="AT47" s="72">
        <f t="shared" si="247"/>
        <v>-9.7440811969950469E-2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3.1320000000000001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4.8362770847000442</v>
      </c>
      <c r="C48" s="708">
        <v>-3.5900384953763909</v>
      </c>
      <c r="D48" s="709">
        <v>-0.46900141450826638</v>
      </c>
      <c r="E48" s="710">
        <v>0.74628605259521097</v>
      </c>
      <c r="F48" s="708">
        <v>0.62661590649977994</v>
      </c>
      <c r="G48" s="711">
        <v>0.22452089752029145</v>
      </c>
      <c r="H48" s="710">
        <v>0.314</v>
      </c>
      <c r="I48" s="708">
        <v>0.52</v>
      </c>
      <c r="J48" s="570">
        <v>3.1379999999999999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3.1379999999999999</v>
      </c>
      <c r="N48" s="632">
        <f t="shared" si="240"/>
        <v>4.8362770847000442</v>
      </c>
      <c r="O48" s="629">
        <f t="shared" si="241"/>
        <v>-3.5900384953763909</v>
      </c>
      <c r="P48" s="633">
        <f t="shared" si="242"/>
        <v>-0.46900141450826638</v>
      </c>
      <c r="Q48" s="585">
        <f t="shared" si="113"/>
        <v>323.41296629933731</v>
      </c>
      <c r="R48" s="629">
        <f t="shared" si="79"/>
        <v>6.02311816572439</v>
      </c>
      <c r="S48" s="634">
        <f t="shared" si="80"/>
        <v>-0.46900141450826638</v>
      </c>
      <c r="T48" s="635">
        <f t="shared" si="81"/>
        <v>-3.5900384953763895</v>
      </c>
      <c r="U48" s="629">
        <f t="shared" si="82"/>
        <v>-4.8362770847000451</v>
      </c>
      <c r="V48" s="636">
        <f t="shared" si="114"/>
        <v>-0.46900141450826638</v>
      </c>
      <c r="W48" s="585">
        <f t="shared" si="224"/>
        <v>233.41296629933731</v>
      </c>
      <c r="X48" s="629">
        <f t="shared" si="83"/>
        <v>6.02311816572439</v>
      </c>
      <c r="Y48" s="630">
        <f t="shared" si="223"/>
        <v>-0.46900141450826638</v>
      </c>
      <c r="Z48" s="632">
        <f t="shared" si="243"/>
        <v>-0.74628605259521097</v>
      </c>
      <c r="AA48" s="629">
        <f t="shared" si="244"/>
        <v>-0.62661590649977994</v>
      </c>
      <c r="AB48" s="629">
        <f t="shared" si="245"/>
        <v>-0.22452089752029145</v>
      </c>
      <c r="AC48" s="636">
        <f t="shared" si="84"/>
        <v>1</v>
      </c>
      <c r="AD48" s="637">
        <f t="shared" si="115"/>
        <v>-0.74628605259521097</v>
      </c>
      <c r="AE48" s="629">
        <f t="shared" si="85"/>
        <v>-0.62661590649977994</v>
      </c>
      <c r="AF48" s="633">
        <f t="shared" si="86"/>
        <v>-0.22452089752029145</v>
      </c>
      <c r="AG48" s="602">
        <f t="shared" si="87"/>
        <v>-70.287040011434627</v>
      </c>
      <c r="AH48" s="603">
        <f t="shared" si="88"/>
        <v>138.26968034279525</v>
      </c>
      <c r="AI48" s="585">
        <f t="shared" si="89"/>
        <v>-77.025293177969914</v>
      </c>
      <c r="AJ48" s="586">
        <f t="shared" si="90"/>
        <v>-49.981643296329786</v>
      </c>
      <c r="AK48" s="635">
        <f t="shared" si="211"/>
        <v>0.94796144617993461</v>
      </c>
      <c r="AL48" s="629">
        <f t="shared" si="91"/>
        <v>-0.22574202783958902</v>
      </c>
      <c r="AM48" s="634">
        <f t="shared" si="92"/>
        <v>-0.22452089752029145</v>
      </c>
      <c r="AN48" s="581">
        <f t="shared" si="93"/>
        <v>-45.155387970129098</v>
      </c>
      <c r="AO48" s="582">
        <f t="shared" si="94"/>
        <v>18.565292997999446</v>
      </c>
      <c r="AP48" s="585">
        <f t="shared" si="95"/>
        <v>-13.394609595667106</v>
      </c>
      <c r="AQ48" s="586">
        <f t="shared" si="246"/>
        <v>0.37849057717685297</v>
      </c>
      <c r="AS48" s="52">
        <f t="shared" si="406"/>
        <v>-126.58703370066269</v>
      </c>
      <c r="AT48" s="72">
        <f t="shared" si="247"/>
        <v>-0.3810937522161395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3.1379999999999999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5.2834266762329722</v>
      </c>
      <c r="C49" s="708">
        <v>-4.0144150752243295</v>
      </c>
      <c r="D49" s="709">
        <v>-0.90270272255141182</v>
      </c>
      <c r="E49" s="710">
        <v>0.80832724924508259</v>
      </c>
      <c r="F49" s="708">
        <v>0.55007620539218693</v>
      </c>
      <c r="G49" s="711">
        <v>0.20981712606269948</v>
      </c>
      <c r="H49" s="710">
        <v>0.314</v>
      </c>
      <c r="I49" s="708">
        <v>0.52</v>
      </c>
      <c r="J49" s="570">
        <v>3.1440000000000001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3.1440000000000001</v>
      </c>
      <c r="N49" s="632">
        <f t="shared" si="240"/>
        <v>5.2834266762329722</v>
      </c>
      <c r="O49" s="629">
        <f t="shared" si="241"/>
        <v>-4.0144150752243295</v>
      </c>
      <c r="P49" s="633">
        <f t="shared" si="242"/>
        <v>-0.90270272255141182</v>
      </c>
      <c r="Q49" s="585">
        <f t="shared" si="113"/>
        <v>322.77196639188622</v>
      </c>
      <c r="R49" s="629">
        <f t="shared" si="79"/>
        <v>6.6355200127283585</v>
      </c>
      <c r="S49" s="634">
        <f t="shared" si="80"/>
        <v>-0.90270272255141182</v>
      </c>
      <c r="T49" s="635">
        <f t="shared" si="81"/>
        <v>-4.0144150752243313</v>
      </c>
      <c r="U49" s="629">
        <f t="shared" si="82"/>
        <v>-5.2834266762329714</v>
      </c>
      <c r="V49" s="636">
        <f t="shared" si="114"/>
        <v>-0.90270272255141182</v>
      </c>
      <c r="W49" s="585">
        <f t="shared" si="224"/>
        <v>232.77196639188622</v>
      </c>
      <c r="X49" s="629">
        <f t="shared" si="83"/>
        <v>6.6355200127283585</v>
      </c>
      <c r="Y49" s="630">
        <f t="shared" si="223"/>
        <v>-0.90270272255141182</v>
      </c>
      <c r="Z49" s="632">
        <f t="shared" si="243"/>
        <v>-0.80832724924508259</v>
      </c>
      <c r="AA49" s="629">
        <f t="shared" si="244"/>
        <v>-0.55007620539218693</v>
      </c>
      <c r="AB49" s="629">
        <f t="shared" si="245"/>
        <v>-0.20981712606269948</v>
      </c>
      <c r="AC49" s="636">
        <f t="shared" si="84"/>
        <v>1</v>
      </c>
      <c r="AD49" s="637">
        <f t="shared" si="115"/>
        <v>-0.80832724924508259</v>
      </c>
      <c r="AE49" s="629">
        <f t="shared" si="85"/>
        <v>-0.55007620539218693</v>
      </c>
      <c r="AF49" s="633">
        <f t="shared" si="86"/>
        <v>-0.20981712606269948</v>
      </c>
      <c r="AG49" s="602">
        <f t="shared" si="87"/>
        <v>-69.1215065487429</v>
      </c>
      <c r="AH49" s="603">
        <f t="shared" si="88"/>
        <v>143.93281963004597</v>
      </c>
      <c r="AI49" s="585">
        <f t="shared" si="89"/>
        <v>-77.888364416284105</v>
      </c>
      <c r="AJ49" s="586">
        <f t="shared" si="90"/>
        <v>-55.764251942250439</v>
      </c>
      <c r="AK49" s="635">
        <f t="shared" si="211"/>
        <v>0.92701828655700558</v>
      </c>
      <c r="AL49" s="629">
        <f t="shared" si="91"/>
        <v>-0.31082771755379679</v>
      </c>
      <c r="AM49" s="634">
        <f t="shared" si="92"/>
        <v>-0.20981712606269948</v>
      </c>
      <c r="AN49" s="581">
        <f t="shared" si="93"/>
        <v>-55.979584173896065</v>
      </c>
      <c r="AO49" s="582">
        <f t="shared" si="94"/>
        <v>22.025309659794011</v>
      </c>
      <c r="AP49" s="585">
        <f t="shared" si="95"/>
        <v>-18.536218334136652</v>
      </c>
      <c r="AQ49" s="586">
        <f t="shared" si="246"/>
        <v>0.34356000810027409</v>
      </c>
      <c r="AS49" s="52">
        <f t="shared" si="406"/>
        <v>-127.22803360811378</v>
      </c>
      <c r="AT49" s="72">
        <f t="shared" si="247"/>
        <v>-0.81434992143466611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3.1440000000000001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5.6370183797569222</v>
      </c>
      <c r="C50" s="708">
        <v>-4.3701617154900525</v>
      </c>
      <c r="D50" s="709">
        <v>-1.463604414230913</v>
      </c>
      <c r="E50" s="710">
        <v>0.86220234896709358</v>
      </c>
      <c r="F50" s="708">
        <v>0.47519385511317092</v>
      </c>
      <c r="G50" s="711">
        <v>0.17549333177733295</v>
      </c>
      <c r="H50" s="710">
        <v>0.314</v>
      </c>
      <c r="I50" s="708">
        <v>0.52</v>
      </c>
      <c r="J50" s="570">
        <v>3.15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3.15</v>
      </c>
      <c r="N50" s="632">
        <f t="shared" si="240"/>
        <v>5.6370183797569222</v>
      </c>
      <c r="O50" s="629">
        <f t="shared" si="241"/>
        <v>-4.3701617154900525</v>
      </c>
      <c r="P50" s="633">
        <f t="shared" si="242"/>
        <v>-1.463604414230913</v>
      </c>
      <c r="Q50" s="585">
        <f t="shared" si="113"/>
        <v>322.21496647230708</v>
      </c>
      <c r="R50" s="629">
        <f t="shared" si="79"/>
        <v>7.1326215119864811</v>
      </c>
      <c r="S50" s="634">
        <f t="shared" si="80"/>
        <v>-1.463604414230913</v>
      </c>
      <c r="T50" s="635">
        <f t="shared" si="81"/>
        <v>-4.3701617154900534</v>
      </c>
      <c r="U50" s="629">
        <f t="shared" si="82"/>
        <v>-5.6370183797569222</v>
      </c>
      <c r="V50" s="636">
        <f t="shared" si="114"/>
        <v>-1.463604414230913</v>
      </c>
      <c r="W50" s="585">
        <f t="shared" si="224"/>
        <v>232.21496647230708</v>
      </c>
      <c r="X50" s="629">
        <f t="shared" si="83"/>
        <v>7.1326215119864811</v>
      </c>
      <c r="Y50" s="630">
        <f t="shared" si="223"/>
        <v>-1.463604414230913</v>
      </c>
      <c r="Z50" s="632">
        <f t="shared" si="243"/>
        <v>-0.86220234896709358</v>
      </c>
      <c r="AA50" s="629">
        <f t="shared" si="244"/>
        <v>-0.47519385511317092</v>
      </c>
      <c r="AB50" s="629">
        <f t="shared" si="245"/>
        <v>-0.17549333177733295</v>
      </c>
      <c r="AC50" s="636">
        <f t="shared" si="84"/>
        <v>1</v>
      </c>
      <c r="AD50" s="637">
        <f t="shared" si="115"/>
        <v>-0.86220234896709358</v>
      </c>
      <c r="AE50" s="629">
        <f t="shared" si="85"/>
        <v>-0.47519385511317092</v>
      </c>
      <c r="AF50" s="633">
        <f t="shared" si="86"/>
        <v>-0.17549333177733295</v>
      </c>
      <c r="AG50" s="602">
        <f t="shared" si="87"/>
        <v>-69.730361883211941</v>
      </c>
      <c r="AH50" s="603">
        <f t="shared" si="88"/>
        <v>149.56476916007011</v>
      </c>
      <c r="AI50" s="585">
        <f t="shared" si="89"/>
        <v>-79.892631761191737</v>
      </c>
      <c r="AJ50" s="586">
        <f t="shared" si="90"/>
        <v>-61.13910055667683</v>
      </c>
      <c r="AK50" s="635">
        <f t="shared" si="211"/>
        <v>0.90382479721493714</v>
      </c>
      <c r="AL50" s="629">
        <f t="shared" si="91"/>
        <v>-0.39025994726729119</v>
      </c>
      <c r="AM50" s="634">
        <f t="shared" si="92"/>
        <v>-0.17549333177733295</v>
      </c>
      <c r="AN50" s="581">
        <f t="shared" si="93"/>
        <v>-65.787352348549192</v>
      </c>
      <c r="AO50" s="582">
        <f t="shared" si="94"/>
        <v>25.334534800697789</v>
      </c>
      <c r="AP50" s="585">
        <f t="shared" si="95"/>
        <v>-23.354067028983891</v>
      </c>
      <c r="AQ50" s="586">
        <f t="shared" si="246"/>
        <v>0.31961642450264677</v>
      </c>
      <c r="AS50" s="52">
        <f t="shared" si="406"/>
        <v>-127.78503352769292</v>
      </c>
      <c r="AT50" s="72">
        <f t="shared" si="247"/>
        <v>-1.3748648076144596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3.15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5.8849829742603585</v>
      </c>
      <c r="C51" s="708">
        <v>-4.6310305142060928</v>
      </c>
      <c r="D51" s="709">
        <v>-2.1243064069081226</v>
      </c>
      <c r="E51" s="710">
        <v>0.9050228676889116</v>
      </c>
      <c r="F51" s="708">
        <v>0.40652788692271979</v>
      </c>
      <c r="G51" s="711">
        <v>0.12517462248510014</v>
      </c>
      <c r="H51" s="710">
        <v>0.314</v>
      </c>
      <c r="I51" s="708">
        <v>0.52</v>
      </c>
      <c r="J51" s="570">
        <v>3.1560000000000001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3.1560000000000001</v>
      </c>
      <c r="N51" s="632">
        <f t="shared" si="240"/>
        <v>5.8849829742603585</v>
      </c>
      <c r="O51" s="629">
        <f t="shared" si="241"/>
        <v>-4.6310305142060928</v>
      </c>
      <c r="P51" s="633">
        <f t="shared" si="242"/>
        <v>-2.1243064069081226</v>
      </c>
      <c r="Q51" s="585">
        <f t="shared" si="113"/>
        <v>321.79996653222565</v>
      </c>
      <c r="R51" s="629">
        <f t="shared" si="79"/>
        <v>7.488622585685718</v>
      </c>
      <c r="S51" s="634">
        <f t="shared" si="80"/>
        <v>-2.1243064069081226</v>
      </c>
      <c r="T51" s="635">
        <f t="shared" si="81"/>
        <v>-4.6310305142060919</v>
      </c>
      <c r="U51" s="629">
        <f t="shared" si="82"/>
        <v>-5.8849829742603594</v>
      </c>
      <c r="V51" s="636">
        <f t="shared" si="114"/>
        <v>-2.1243064069081226</v>
      </c>
      <c r="W51" s="585">
        <f t="shared" si="224"/>
        <v>231.79996653222565</v>
      </c>
      <c r="X51" s="629">
        <f t="shared" si="83"/>
        <v>7.488622585685718</v>
      </c>
      <c r="Y51" s="630">
        <f t="shared" si="223"/>
        <v>-2.1243064069081226</v>
      </c>
      <c r="Z51" s="632">
        <f t="shared" si="243"/>
        <v>-0.9050228676889116</v>
      </c>
      <c r="AA51" s="629">
        <f t="shared" si="244"/>
        <v>-0.40652788692271979</v>
      </c>
      <c r="AB51" s="629">
        <f t="shared" si="245"/>
        <v>-0.12517462248510014</v>
      </c>
      <c r="AC51" s="636">
        <f t="shared" si="84"/>
        <v>1</v>
      </c>
      <c r="AD51" s="637">
        <f t="shared" si="115"/>
        <v>-0.9050228676889116</v>
      </c>
      <c r="AE51" s="629">
        <f t="shared" si="85"/>
        <v>-0.40652788692271979</v>
      </c>
      <c r="AF51" s="633">
        <f t="shared" si="86"/>
        <v>-0.12517462248510014</v>
      </c>
      <c r="AG51" s="602">
        <f t="shared" si="87"/>
        <v>-72.885797689689056</v>
      </c>
      <c r="AH51" s="603">
        <f t="shared" si="88"/>
        <v>154.82636312841581</v>
      </c>
      <c r="AI51" s="585">
        <f t="shared" si="89"/>
        <v>-82.809159882098953</v>
      </c>
      <c r="AJ51" s="586">
        <f t="shared" si="90"/>
        <v>-65.810825593817952</v>
      </c>
      <c r="AK51" s="635">
        <f t="shared" si="211"/>
        <v>0.87914675016581212</v>
      </c>
      <c r="AL51" s="629">
        <f t="shared" si="91"/>
        <v>-0.45981768730509298</v>
      </c>
      <c r="AM51" s="634">
        <f t="shared" si="92"/>
        <v>-0.12517462248510014</v>
      </c>
      <c r="AN51" s="581">
        <f t="shared" si="93"/>
        <v>-74.771583184426788</v>
      </c>
      <c r="AO51" s="582">
        <f t="shared" si="94"/>
        <v>28.460392909987416</v>
      </c>
      <c r="AP51" s="585">
        <f t="shared" si="95"/>
        <v>-27.610792126043624</v>
      </c>
      <c r="AQ51" s="586">
        <f t="shared" si="246"/>
        <v>0.30442249609073518</v>
      </c>
      <c r="AS51" s="52">
        <f t="shared" si="406"/>
        <v>-128.20003346777435</v>
      </c>
      <c r="AT51" s="72">
        <f t="shared" si="247"/>
        <v>-2.035278605888835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3.1560000000000001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6.0190875674987074</v>
      </c>
      <c r="C52" s="708">
        <v>-4.7763228753574829</v>
      </c>
      <c r="D52" s="709">
        <v>-2.8476085883875029</v>
      </c>
      <c r="E52" s="710">
        <v>0.93074522513000801</v>
      </c>
      <c r="F52" s="708">
        <v>0.36147077377236697</v>
      </c>
      <c r="G52" s="711">
        <v>5.5246770096515976E-2</v>
      </c>
      <c r="H52" s="710">
        <v>0.314</v>
      </c>
      <c r="I52" s="708">
        <v>0.52</v>
      </c>
      <c r="J52" s="570">
        <v>3.1619999999999999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3.1619999999999999</v>
      </c>
      <c r="N52" s="632">
        <f t="shared" si="240"/>
        <v>6.0190875674987074</v>
      </c>
      <c r="O52" s="629">
        <f t="shared" si="241"/>
        <v>-4.7763228753574829</v>
      </c>
      <c r="P52" s="633">
        <f t="shared" si="242"/>
        <v>-2.8476085883875029</v>
      </c>
      <c r="Q52" s="585">
        <f t="shared" si="113"/>
        <v>321.56696656586666</v>
      </c>
      <c r="R52" s="629">
        <f t="shared" si="79"/>
        <v>7.6839231747122954</v>
      </c>
      <c r="S52" s="634">
        <f t="shared" si="80"/>
        <v>-2.8476085883875029</v>
      </c>
      <c r="T52" s="635">
        <f t="shared" si="81"/>
        <v>-4.7763228753574838</v>
      </c>
      <c r="U52" s="629">
        <f t="shared" si="82"/>
        <v>-6.0190875674987065</v>
      </c>
      <c r="V52" s="636">
        <f t="shared" si="114"/>
        <v>-2.8476085883875029</v>
      </c>
      <c r="W52" s="585">
        <f t="shared" si="224"/>
        <v>231.56696656586666</v>
      </c>
      <c r="X52" s="629">
        <f t="shared" si="83"/>
        <v>7.6839231747122954</v>
      </c>
      <c r="Y52" s="630">
        <f t="shared" si="223"/>
        <v>-2.8476085883875029</v>
      </c>
      <c r="Z52" s="632">
        <f t="shared" si="243"/>
        <v>-0.93074522513000801</v>
      </c>
      <c r="AA52" s="629">
        <f t="shared" si="244"/>
        <v>-0.36147077377236697</v>
      </c>
      <c r="AB52" s="629">
        <f t="shared" si="245"/>
        <v>-5.5246770096515976E-2</v>
      </c>
      <c r="AC52" s="636">
        <f t="shared" si="84"/>
        <v>1</v>
      </c>
      <c r="AD52" s="637">
        <f t="shared" si="115"/>
        <v>-0.93074522513000801</v>
      </c>
      <c r="AE52" s="629">
        <f t="shared" si="85"/>
        <v>-0.36147077377236697</v>
      </c>
      <c r="AF52" s="633">
        <f t="shared" si="86"/>
        <v>-5.5246770096515976E-2</v>
      </c>
      <c r="AG52" s="602">
        <f t="shared" si="87"/>
        <v>-81.310227207914366</v>
      </c>
      <c r="AH52" s="603">
        <f t="shared" si="88"/>
        <v>158.55128148347478</v>
      </c>
      <c r="AI52" s="585">
        <f t="shared" si="89"/>
        <v>-86.832980780678085</v>
      </c>
      <c r="AJ52" s="586">
        <f t="shared" si="90"/>
        <v>-68.775470656793473</v>
      </c>
      <c r="AK52" s="635">
        <f t="shared" si="211"/>
        <v>0.86170355947025934</v>
      </c>
      <c r="AL52" s="629">
        <f t="shared" si="91"/>
        <v>-0.504395450009403</v>
      </c>
      <c r="AM52" s="634">
        <f t="shared" si="92"/>
        <v>-5.5246770096515976E-2</v>
      </c>
      <c r="AN52" s="581">
        <f t="shared" si="93"/>
        <v>-83.749272172438978</v>
      </c>
      <c r="AO52" s="582">
        <f t="shared" si="94"/>
        <v>30.491600081466871</v>
      </c>
      <c r="AP52" s="585">
        <f t="shared" si="95"/>
        <v>-30.342437222660145</v>
      </c>
      <c r="AQ52" s="586">
        <f t="shared" si="246"/>
        <v>0.29668519642820174</v>
      </c>
      <c r="AS52" s="52">
        <f t="shared" si="406"/>
        <v>-128.43303343413334</v>
      </c>
      <c r="AT52" s="72">
        <f t="shared" si="247"/>
        <v>-2.7584189818360212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3.1619999999999999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6.0525906763707278</v>
      </c>
      <c r="C53" s="708">
        <v>-4.8132465586735194</v>
      </c>
      <c r="D53" s="709">
        <v>-3.5651107523740291</v>
      </c>
      <c r="E53" s="710">
        <v>0.96710654364657167</v>
      </c>
      <c r="F53" s="708">
        <v>0.2517361853090006</v>
      </c>
      <c r="G53" s="711">
        <v>3.6521585973974459E-2</v>
      </c>
      <c r="H53" s="710">
        <v>0.314</v>
      </c>
      <c r="I53" s="708">
        <v>0.52</v>
      </c>
      <c r="J53" s="570">
        <v>3.1680000000000001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3.1680000000000001</v>
      </c>
      <c r="N53" s="632">
        <f t="shared" si="240"/>
        <v>6.0525906763707278</v>
      </c>
      <c r="O53" s="629">
        <f t="shared" si="241"/>
        <v>-4.8132465586735194</v>
      </c>
      <c r="P53" s="633">
        <f t="shared" si="242"/>
        <v>-3.5651107523740291</v>
      </c>
      <c r="Q53" s="585">
        <f t="shared" si="113"/>
        <v>321.5069665745296</v>
      </c>
      <c r="R53" s="629">
        <f t="shared" ref="R53:R58" si="410">IF(M53="","",SQRT(N53^2+O53^2))</f>
        <v>7.7331233230999459</v>
      </c>
      <c r="S53" s="634">
        <f t="shared" ref="S53:S58" si="411">IF(M53="","",P53)</f>
        <v>-3.5651107523740291</v>
      </c>
      <c r="T53" s="635">
        <f t="shared" ref="T53:T58" si="412">IF(M53="","",X53*COS(RADIANS(W53)))</f>
        <v>-4.8132465586735202</v>
      </c>
      <c r="U53" s="629">
        <f t="shared" ref="U53:U58" si="413">IF(M53="","",X53*SIN(RADIANS(W53)))</f>
        <v>-6.0525906763707278</v>
      </c>
      <c r="V53" s="636">
        <f t="shared" ref="V53:V58" si="414">IF(M53="","",Y53)</f>
        <v>-3.5651107523740291</v>
      </c>
      <c r="W53" s="585">
        <f t="shared" si="224"/>
        <v>231.5069665745296</v>
      </c>
      <c r="X53" s="629">
        <f t="shared" ref="X53:X58" si="415">IF(M53="","",R53)</f>
        <v>7.7331233230999459</v>
      </c>
      <c r="Y53" s="630">
        <f t="shared" si="223"/>
        <v>-3.5651107523740291</v>
      </c>
      <c r="Z53" s="632">
        <f t="shared" si="243"/>
        <v>-0.96710654364657167</v>
      </c>
      <c r="AA53" s="629">
        <f t="shared" si="244"/>
        <v>-0.2517361853090006</v>
      </c>
      <c r="AB53" s="629">
        <f t="shared" si="245"/>
        <v>-3.6521585973974459E-2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-0.96710654364657167</v>
      </c>
      <c r="AE53" s="629">
        <f t="shared" ref="AE53:AE58" si="418">IF(M53="","",AA53*(1/SQRT(Z53^2+AA53^2+AB53^2)))</f>
        <v>-0.2517361853090006</v>
      </c>
      <c r="AF53" s="633">
        <f t="shared" ref="AF53:AF58" si="419">IF(M53="","",AB53*(1/SQRT(Z53^2+AA53^2+AB53^2)))</f>
        <v>-3.6521585973974459E-2</v>
      </c>
      <c r="AG53" s="602">
        <f t="shared" ref="AG53:AG58" si="420">IF(M53="","",DEGREES(ATAN2(-AF53,AE53)))</f>
        <v>-81.745190373288409</v>
      </c>
      <c r="AH53" s="603">
        <f t="shared" ref="AH53:AH58" si="421">IF(M53="","",DEGREES(ACOS(AD53)))</f>
        <v>165.26364469762427</v>
      </c>
      <c r="AI53" s="585">
        <f t="shared" ref="AI53:AI58" si="422">IF(M53="","",DEGREES(-ACOS(-AF53)))</f>
        <v>-87.907001803954913</v>
      </c>
      <c r="AJ53" s="586">
        <f t="shared" ref="AJ53:AJ58" si="423">IF(M53="","",DEGREES(ATAN2(-AE53,AD53)))</f>
        <v>-75.409776068005982</v>
      </c>
      <c r="AK53" s="635">
        <f t="shared" ref="AK53:AK58" si="424">IF(M53="","",(COS(RADIANS((90-$Q$8)-W53))*AD53)+(-SIN(RADIANS((90-$Q$8)-W53))*AE53))</f>
        <v>0.79897579193229684</v>
      </c>
      <c r="AL53" s="629">
        <f t="shared" ref="AL53:AL58" si="425">IF(M53="","",(SIN(RADIANS((90-$Q$8)-W53))*AD53)+(COS(RADIANS((90-$Q$8)-W53))*AE53))</f>
        <v>-0.60025316131121265</v>
      </c>
      <c r="AM53" s="634">
        <f t="shared" ref="AM53:AM58" si="426">IF(M53="","",AF53)</f>
        <v>-3.6521585973974459E-2</v>
      </c>
      <c r="AN53" s="581">
        <f t="shared" ref="AN53:AN58" si="427">IF(M53="","",DEGREES(ATAN2(-AM53,AL53)))</f>
        <v>-86.518208577493525</v>
      </c>
      <c r="AO53" s="582">
        <f t="shared" si="94"/>
        <v>36.967591309159999</v>
      </c>
      <c r="AP53" s="585">
        <f t="shared" ref="AP53:AP58" si="428">IF(M53="","",DEGREES(ATAN2(AK53,AL53)))</f>
        <v>-36.916742642535581</v>
      </c>
      <c r="AQ53" s="586">
        <f t="shared" si="246"/>
        <v>0.29479764121423557</v>
      </c>
      <c r="AS53" s="52">
        <f t="shared" si="406"/>
        <v>-128.4930334254704</v>
      </c>
      <c r="AT53" s="72">
        <f t="shared" si="247"/>
        <v>-3.4758794791618968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3.1680000000000001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6.0970026661426209</v>
      </c>
      <c r="C54" s="708">
        <v>-4.849780711907143</v>
      </c>
      <c r="D54" s="709">
        <v>-4.2987129649183027</v>
      </c>
      <c r="E54" s="710">
        <v>0.97992480082951539</v>
      </c>
      <c r="F54" s="708">
        <v>0.19936746153576149</v>
      </c>
      <c r="G54" s="711">
        <v>1.4578093155684697E-7</v>
      </c>
      <c r="H54" s="710">
        <v>0.314</v>
      </c>
      <c r="I54" s="708">
        <v>0.52</v>
      </c>
      <c r="J54" s="570">
        <v>3.1739999999999999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3.1739999999999999</v>
      </c>
      <c r="N54" s="632">
        <f t="shared" si="240"/>
        <v>6.0970026661426209</v>
      </c>
      <c r="O54" s="629">
        <f t="shared" si="241"/>
        <v>-4.849780711907143</v>
      </c>
      <c r="P54" s="633">
        <f t="shared" si="242"/>
        <v>-4.2987129649183027</v>
      </c>
      <c r="Q54" s="585">
        <f t="shared" si="113"/>
        <v>321.49996657554027</v>
      </c>
      <c r="R54" s="629">
        <f t="shared" si="410"/>
        <v>7.7906234965204666</v>
      </c>
      <c r="S54" s="634">
        <f t="shared" si="411"/>
        <v>-4.2987129649183027</v>
      </c>
      <c r="T54" s="635">
        <f t="shared" si="412"/>
        <v>-4.8497807119071448</v>
      </c>
      <c r="U54" s="629">
        <f t="shared" si="413"/>
        <v>-6.0970026661426191</v>
      </c>
      <c r="V54" s="636">
        <f t="shared" si="414"/>
        <v>-4.2987129649183027</v>
      </c>
      <c r="W54" s="585">
        <f t="shared" si="224"/>
        <v>231.49996657554027</v>
      </c>
      <c r="X54" s="629">
        <f t="shared" si="415"/>
        <v>7.7906234965204666</v>
      </c>
      <c r="Y54" s="630">
        <f t="shared" si="223"/>
        <v>-4.2987129649183027</v>
      </c>
      <c r="Z54" s="632">
        <f t="shared" si="243"/>
        <v>-0.97992480082951539</v>
      </c>
      <c r="AA54" s="629">
        <f t="shared" si="244"/>
        <v>-0.19936746153576149</v>
      </c>
      <c r="AB54" s="629">
        <f t="shared" si="245"/>
        <v>-1.4578093155684697E-7</v>
      </c>
      <c r="AC54" s="636">
        <f t="shared" si="416"/>
        <v>1</v>
      </c>
      <c r="AD54" s="637">
        <f t="shared" si="417"/>
        <v>-0.97992480082951539</v>
      </c>
      <c r="AE54" s="629">
        <f t="shared" si="418"/>
        <v>-0.19936746153576149</v>
      </c>
      <c r="AF54" s="633">
        <f t="shared" si="419"/>
        <v>-1.4578093155684697E-7</v>
      </c>
      <c r="AG54" s="602">
        <f t="shared" si="420"/>
        <v>-89.999958104336358</v>
      </c>
      <c r="AH54" s="603">
        <f t="shared" si="421"/>
        <v>168.50002764917136</v>
      </c>
      <c r="AI54" s="585">
        <f t="shared" si="422"/>
        <v>-89.999991647367892</v>
      </c>
      <c r="AJ54" s="586">
        <f t="shared" si="423"/>
        <v>-78.50002764917437</v>
      </c>
      <c r="AK54" s="635">
        <f t="shared" si="424"/>
        <v>0.7660445079105076</v>
      </c>
      <c r="AL54" s="629">
        <f t="shared" si="425"/>
        <v>-0.64278753247097675</v>
      </c>
      <c r="AM54" s="634">
        <f t="shared" si="426"/>
        <v>-1.4578093155684697E-7</v>
      </c>
      <c r="AN54" s="581">
        <f t="shared" si="427"/>
        <v>-89.99998700560964</v>
      </c>
      <c r="AO54" s="582">
        <f t="shared" si="94"/>
        <v>39.999994224715351</v>
      </c>
      <c r="AP54" s="585">
        <f t="shared" si="428"/>
        <v>-39.999994224714627</v>
      </c>
      <c r="AQ54" s="586">
        <f t="shared" si="246"/>
        <v>0.29262186932050371</v>
      </c>
      <c r="AS54" s="52">
        <f t="shared" si="406"/>
        <v>-128.50003342445973</v>
      </c>
      <c r="AT54" s="72">
        <f t="shared" si="247"/>
        <v>-4.2094768305957615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3.1739999999999999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3.4659187643014957</v>
      </c>
      <c r="C55" s="708">
        <v>-4.0597811514070781</v>
      </c>
      <c r="D55" s="709">
        <v>-0.16910051000713816</v>
      </c>
      <c r="E55" s="710">
        <v>0.12722596362145855</v>
      </c>
      <c r="F55" s="708">
        <v>-0.14902494650629372</v>
      </c>
      <c r="G55" s="711">
        <v>0.98061466412622433</v>
      </c>
      <c r="H55" s="710">
        <v>0.26250000000000001</v>
      </c>
      <c r="I55" s="708">
        <v>0.40699999999999997</v>
      </c>
      <c r="J55" s="570">
        <v>3.2320000000000002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3.2320000000000002</v>
      </c>
      <c r="N55" s="632">
        <f t="shared" si="240"/>
        <v>3.4659187643014957</v>
      </c>
      <c r="O55" s="629">
        <f t="shared" si="241"/>
        <v>-4.0597811514070781</v>
      </c>
      <c r="P55" s="633">
        <f t="shared" si="242"/>
        <v>-0.16910051000713816</v>
      </c>
      <c r="Q55" s="585">
        <f t="shared" si="113"/>
        <v>310.4880681654617</v>
      </c>
      <c r="R55" s="629">
        <f t="shared" si="410"/>
        <v>5.3380160994565564</v>
      </c>
      <c r="S55" s="634">
        <f t="shared" si="411"/>
        <v>-0.16910051000713816</v>
      </c>
      <c r="T55" s="635">
        <f t="shared" si="412"/>
        <v>-4.0597811514070781</v>
      </c>
      <c r="U55" s="629">
        <f t="shared" si="413"/>
        <v>-3.4659187643014957</v>
      </c>
      <c r="V55" s="636">
        <f t="shared" si="414"/>
        <v>-0.16910051000713816</v>
      </c>
      <c r="W55" s="585">
        <f t="shared" si="224"/>
        <v>220.4880681654617</v>
      </c>
      <c r="X55" s="629">
        <f t="shared" si="415"/>
        <v>5.3380160994565564</v>
      </c>
      <c r="Y55" s="630">
        <f t="shared" si="223"/>
        <v>-0.16910051000713816</v>
      </c>
      <c r="Z55" s="632">
        <f t="shared" si="243"/>
        <v>-0.12722596362145855</v>
      </c>
      <c r="AA55" s="629">
        <f t="shared" si="244"/>
        <v>0.14902494650629372</v>
      </c>
      <c r="AB55" s="629">
        <f t="shared" si="245"/>
        <v>-0.98061466412622433</v>
      </c>
      <c r="AC55" s="636">
        <f t="shared" si="416"/>
        <v>1</v>
      </c>
      <c r="AD55" s="637">
        <f t="shared" si="417"/>
        <v>-0.12722596362145855</v>
      </c>
      <c r="AE55" s="629">
        <f t="shared" si="418"/>
        <v>0.14902494650629372</v>
      </c>
      <c r="AF55" s="633">
        <f t="shared" si="419"/>
        <v>-0.98061466412622433</v>
      </c>
      <c r="AG55" s="602">
        <f t="shared" si="420"/>
        <v>8.6411759696029069</v>
      </c>
      <c r="AH55" s="603">
        <f t="shared" si="421"/>
        <v>97.309320606738964</v>
      </c>
      <c r="AI55" s="585">
        <f t="shared" si="422"/>
        <v>-11.299998368489449</v>
      </c>
      <c r="AJ55" s="586">
        <f t="shared" si="423"/>
        <v>-139.51186551839669</v>
      </c>
      <c r="AK55" s="635">
        <f t="shared" si="424"/>
        <v>2.2679489672383646E-7</v>
      </c>
      <c r="AL55" s="629">
        <f t="shared" si="425"/>
        <v>-0.19594611631915793</v>
      </c>
      <c r="AM55" s="634">
        <f t="shared" si="426"/>
        <v>-0.98061466412622433</v>
      </c>
      <c r="AN55" s="581">
        <f t="shared" si="427"/>
        <v>-11.299998368482097</v>
      </c>
      <c r="AO55" s="582">
        <f>IF(ROUND(IF(M55="",0,DEGREES(ACOS(AK55))),4)=90,0,IF(M55="","",DEGREES(ACOS(AK55))))</f>
        <v>0</v>
      </c>
      <c r="AP55" s="585">
        <f t="shared" si="428"/>
        <v>-89.999933683858387</v>
      </c>
      <c r="AQ55" s="586">
        <f t="shared" si="246"/>
        <v>0.42706585565030164</v>
      </c>
      <c r="AS55" s="52">
        <f t="shared" si="406"/>
        <v>-139.5119318345383</v>
      </c>
      <c r="AT55" s="72">
        <f t="shared" si="247"/>
        <v>-7.2217224010931003E-2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3.2320000000000002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3.1320000000000001</v>
      </c>
      <c r="II55" s="734" cm="1">
        <f t="array" ref="II55">IFERROR(ROUND(VALUE(IF($IH55&lt;1,$IH55+LARGE((IF($M$9:$M$150="",0,$M$9:$M$150)-MOD(IF($M$9:$M$150="",0,$M$9:$M$150),1)),1),$IH55)),4),"")</f>
        <v>3.1320000000000001</v>
      </c>
      <c r="IJ55" s="533">
        <f t="shared" si="112"/>
        <v>1613</v>
      </c>
      <c r="IK55" s="533" t="str">
        <f t="shared" si="382"/>
        <v>Inactive</v>
      </c>
      <c r="IL55" s="727">
        <f t="shared" si="225"/>
        <v>13.569898040749138</v>
      </c>
      <c r="IM55" s="759">
        <v>2.1136199792853701E-2</v>
      </c>
      <c r="IN55" s="5">
        <f t="shared" si="226"/>
        <v>0.57999999999999996</v>
      </c>
      <c r="IO55" s="771">
        <v>290</v>
      </c>
      <c r="IP55" s="9">
        <f t="shared" si="227"/>
        <v>-5.328816071709273</v>
      </c>
      <c r="IQ55" s="5">
        <f t="shared" si="228"/>
        <v>-0.18490055766008184</v>
      </c>
      <c r="IR55" s="5">
        <f t="shared" si="383"/>
        <v>0.314</v>
      </c>
      <c r="IS55" s="5">
        <f t="shared" si="229"/>
        <v>0.30191197679609588</v>
      </c>
      <c r="IT55" s="727">
        <f t="shared" si="230"/>
        <v>31.655428549123322</v>
      </c>
      <c r="IU55" s="9">
        <f t="shared" si="231"/>
        <v>-5.3380160994565564</v>
      </c>
      <c r="IV55" s="5">
        <f t="shared" si="232"/>
        <v>-0.16910051000713816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11.299998368482097</v>
      </c>
    </row>
    <row r="56" spans="1:259" ht="15" customHeight="1" x14ac:dyDescent="0.25">
      <c r="A56" s="79"/>
      <c r="B56" s="707">
        <v>3.8134357492888875</v>
      </c>
      <c r="C56" s="708">
        <v>-4.6821595126661837</v>
      </c>
      <c r="D56" s="709">
        <v>-0.45970138645938058</v>
      </c>
      <c r="E56" s="710">
        <v>0.22322233897312524</v>
      </c>
      <c r="F56" s="708">
        <v>-0.27407338081668658</v>
      </c>
      <c r="G56" s="711">
        <v>0.93544404926808888</v>
      </c>
      <c r="H56" s="710">
        <v>0.26250000000000001</v>
      </c>
      <c r="I56" s="708">
        <v>0.40699999999999997</v>
      </c>
      <c r="J56" s="570">
        <v>3.238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Inactive</v>
      </c>
      <c r="L56" s="320"/>
      <c r="M56" s="168">
        <f t="shared" si="239"/>
        <v>3.238</v>
      </c>
      <c r="N56" s="632">
        <f t="shared" si="240"/>
        <v>3.8134357492888875</v>
      </c>
      <c r="O56" s="629">
        <f t="shared" si="241"/>
        <v>-4.6821595126661837</v>
      </c>
      <c r="P56" s="633">
        <f t="shared" si="242"/>
        <v>-0.45970138645938058</v>
      </c>
      <c r="Q56" s="585">
        <f t="shared" si="113"/>
        <v>309.16146835699902</v>
      </c>
      <c r="R56" s="629">
        <f t="shared" si="410"/>
        <v>6.0386182124725298</v>
      </c>
      <c r="S56" s="634">
        <f t="shared" si="411"/>
        <v>-0.45970138645938058</v>
      </c>
      <c r="T56" s="635">
        <f t="shared" si="412"/>
        <v>-4.6821595126661828</v>
      </c>
      <c r="U56" s="629">
        <f t="shared" si="413"/>
        <v>-3.813435749288888</v>
      </c>
      <c r="V56" s="636">
        <f t="shared" si="414"/>
        <v>-0.45970138645938058</v>
      </c>
      <c r="W56" s="585">
        <f t="shared" si="224"/>
        <v>219.16146835699902</v>
      </c>
      <c r="X56" s="629">
        <f t="shared" si="415"/>
        <v>6.0386182124725298</v>
      </c>
      <c r="Y56" s="630">
        <f t="shared" si="223"/>
        <v>-0.45970138645938058</v>
      </c>
      <c r="Z56" s="632">
        <f t="shared" si="243"/>
        <v>-0.22322233897312524</v>
      </c>
      <c r="AA56" s="629">
        <f t="shared" si="244"/>
        <v>0.27407338081668658</v>
      </c>
      <c r="AB56" s="629">
        <f t="shared" si="245"/>
        <v>-0.93544404926808888</v>
      </c>
      <c r="AC56" s="636">
        <f t="shared" si="416"/>
        <v>1</v>
      </c>
      <c r="AD56" s="637">
        <f t="shared" si="417"/>
        <v>-0.22322233897312524</v>
      </c>
      <c r="AE56" s="629">
        <f t="shared" si="418"/>
        <v>0.27407338081668658</v>
      </c>
      <c r="AF56" s="633">
        <f t="shared" si="419"/>
        <v>-0.93544404926808888</v>
      </c>
      <c r="AG56" s="602">
        <f t="shared" si="420"/>
        <v>16.329923089807405</v>
      </c>
      <c r="AH56" s="603">
        <f t="shared" si="421"/>
        <v>102.89836729052095</v>
      </c>
      <c r="AI56" s="585">
        <f t="shared" si="422"/>
        <v>-20.699997011294098</v>
      </c>
      <c r="AJ56" s="586">
        <f t="shared" si="423"/>
        <v>-140.83849488114248</v>
      </c>
      <c r="AK56" s="635">
        <f t="shared" si="424"/>
        <v>2.2679489666832531E-7</v>
      </c>
      <c r="AL56" s="629">
        <f t="shared" si="425"/>
        <v>-0.35347479498384304</v>
      </c>
      <c r="AM56" s="634">
        <f t="shared" si="426"/>
        <v>-0.93544404926808888</v>
      </c>
      <c r="AN56" s="581">
        <f t="shared" si="427"/>
        <v>-20.699997011290204</v>
      </c>
      <c r="AO56" s="582">
        <f t="shared" ref="AO56:AO119" si="461">IF(ROUND(IF(M56="",0,DEGREES(ACOS(AK56))),4)=90,0,IF(M56="","",DEGREES(ACOS(AK56))))</f>
        <v>0</v>
      </c>
      <c r="AP56" s="585">
        <f t="shared" si="428"/>
        <v>-89.999963238141504</v>
      </c>
      <c r="AQ56" s="586">
        <f t="shared" si="246"/>
        <v>0.37751908810107299</v>
      </c>
      <c r="AS56" s="52">
        <f t="shared" si="406"/>
        <v>-140.83853164300098</v>
      </c>
      <c r="AT56" s="72">
        <f t="shared" si="247"/>
        <v>-0.36189685059618548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3.238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3.1379999999999999</v>
      </c>
      <c r="II56" s="734" cm="1">
        <f t="array" ref="II56">IFERROR(ROUND(VALUE(IF($IH56&lt;1,$IH56+LARGE((IF($M$9:$M$150="",0,$M$9:$M$150)-MOD(IF($M$9:$M$150="",0,$M$9:$M$150),1)),1),$IH56)),4),"")</f>
        <v>3.1379999999999999</v>
      </c>
      <c r="IJ56" s="533">
        <f t="shared" si="112"/>
        <v>1613</v>
      </c>
      <c r="IK56" s="533" t="str">
        <f t="shared" si="382"/>
        <v>Inactive</v>
      </c>
      <c r="IL56" s="727">
        <f t="shared" si="225"/>
        <v>14.25149794233829</v>
      </c>
      <c r="IM56" s="759">
        <v>1.7439515702673401E-2</v>
      </c>
      <c r="IN56" s="5">
        <f t="shared" si="226"/>
        <v>0.56000000000000005</v>
      </c>
      <c r="IO56" s="771">
        <v>280</v>
      </c>
      <c r="IP56" s="9">
        <f t="shared" si="227"/>
        <v>-6.02311816572439</v>
      </c>
      <c r="IQ56" s="5">
        <f t="shared" si="228"/>
        <v>-0.46900141450826638</v>
      </c>
      <c r="IR56" s="5">
        <f t="shared" si="383"/>
        <v>0.314</v>
      </c>
      <c r="IS56" s="5">
        <f t="shared" si="229"/>
        <v>0.29765989410049948</v>
      </c>
      <c r="IT56" s="727">
        <f t="shared" si="230"/>
        <v>45.155387970129098</v>
      </c>
      <c r="IU56" s="9">
        <f t="shared" si="231"/>
        <v>-6.0386182124725298</v>
      </c>
      <c r="IV56" s="5">
        <f t="shared" si="232"/>
        <v>-0.45970138645938058</v>
      </c>
      <c r="IW56" s="5">
        <f t="shared" si="384"/>
        <v>0.26250000000000001</v>
      </c>
      <c r="IX56" s="5">
        <f t="shared" si="233"/>
        <v>0.26250000000000001</v>
      </c>
      <c r="IY56" s="762">
        <f t="shared" si="234"/>
        <v>20.699997011290204</v>
      </c>
    </row>
    <row r="57" spans="1:259" ht="15" customHeight="1" x14ac:dyDescent="0.25">
      <c r="A57" s="79"/>
      <c r="B57" s="707">
        <v>4.1329395024220306</v>
      </c>
      <c r="C57" s="708">
        <v>-5.2160111410826531</v>
      </c>
      <c r="D57" s="709">
        <v>-0.9012027180273976</v>
      </c>
      <c r="E57" s="710">
        <v>0.31145594929169118</v>
      </c>
      <c r="F57" s="708">
        <v>-0.3930752412920599</v>
      </c>
      <c r="G57" s="711">
        <v>0.86515145860941634</v>
      </c>
      <c r="H57" s="710">
        <v>0.26250000000000001</v>
      </c>
      <c r="I57" s="708">
        <v>0.40699999999999997</v>
      </c>
      <c r="J57" s="570">
        <v>3.2440000000000002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Inactive</v>
      </c>
      <c r="L57" s="320"/>
      <c r="M57" s="168">
        <f t="shared" si="239"/>
        <v>3.2440000000000002</v>
      </c>
      <c r="N57" s="632">
        <f t="shared" si="240"/>
        <v>4.1329395024220306</v>
      </c>
      <c r="O57" s="629">
        <f t="shared" si="241"/>
        <v>-5.2160111410826531</v>
      </c>
      <c r="P57" s="633">
        <f t="shared" si="242"/>
        <v>-0.9012027180273976</v>
      </c>
      <c r="Q57" s="585">
        <f t="shared" si="113"/>
        <v>308.39176846812995</v>
      </c>
      <c r="R57" s="629">
        <f t="shared" si="410"/>
        <v>6.6549200712389345</v>
      </c>
      <c r="S57" s="634">
        <f t="shared" si="411"/>
        <v>-0.9012027180273976</v>
      </c>
      <c r="T57" s="635">
        <f t="shared" si="412"/>
        <v>-5.2160111410826522</v>
      </c>
      <c r="U57" s="629">
        <f t="shared" si="413"/>
        <v>-4.1329395024220323</v>
      </c>
      <c r="V57" s="636">
        <f t="shared" si="414"/>
        <v>-0.9012027180273976</v>
      </c>
      <c r="W57" s="585">
        <f t="shared" si="224"/>
        <v>218.39176846812995</v>
      </c>
      <c r="X57" s="629">
        <f t="shared" si="415"/>
        <v>6.6549200712389345</v>
      </c>
      <c r="Y57" s="630">
        <f t="shared" si="223"/>
        <v>-0.9012027180273976</v>
      </c>
      <c r="Z57" s="632">
        <f t="shared" si="243"/>
        <v>-0.31145594929169118</v>
      </c>
      <c r="AA57" s="629">
        <f t="shared" si="244"/>
        <v>0.3930752412920599</v>
      </c>
      <c r="AB57" s="629">
        <f t="shared" si="245"/>
        <v>-0.86515145860941634</v>
      </c>
      <c r="AC57" s="636">
        <f t="shared" si="416"/>
        <v>1</v>
      </c>
      <c r="AD57" s="637">
        <f t="shared" si="417"/>
        <v>-0.31145594929169118</v>
      </c>
      <c r="AE57" s="629">
        <f t="shared" si="418"/>
        <v>0.3930752412920599</v>
      </c>
      <c r="AF57" s="633">
        <f t="shared" si="419"/>
        <v>-0.86515145860941634</v>
      </c>
      <c r="AG57" s="602">
        <f t="shared" si="420"/>
        <v>24.434325817403018</v>
      </c>
      <c r="AH57" s="603">
        <f t="shared" si="421"/>
        <v>108.14699467641132</v>
      </c>
      <c r="AI57" s="585">
        <f t="shared" si="422"/>
        <v>-30.099995654100844</v>
      </c>
      <c r="AJ57" s="586">
        <f t="shared" si="423"/>
        <v>-141.60820562137377</v>
      </c>
      <c r="AK57" s="635">
        <f t="shared" si="424"/>
        <v>2.2679489647403628E-7</v>
      </c>
      <c r="AL57" s="629">
        <f t="shared" si="425"/>
        <v>-0.5015106715374541</v>
      </c>
      <c r="AM57" s="634">
        <f t="shared" si="426"/>
        <v>-0.86515145860941634</v>
      </c>
      <c r="AN57" s="581">
        <f t="shared" si="427"/>
        <v>-30.099995654098318</v>
      </c>
      <c r="AO57" s="582">
        <f t="shared" si="461"/>
        <v>0</v>
      </c>
      <c r="AP57" s="585">
        <f t="shared" si="428"/>
        <v>-89.999974089503738</v>
      </c>
      <c r="AQ57" s="586">
        <f t="shared" si="246"/>
        <v>0.34255850468258842</v>
      </c>
      <c r="AS57" s="52">
        <f t="shared" si="406"/>
        <v>-141.60823153187005</v>
      </c>
      <c r="AT57" s="72">
        <f t="shared" si="247"/>
        <v>-0.80286366835248779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3.2440000000000002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3.1440000000000001</v>
      </c>
      <c r="II57" s="734" cm="1">
        <f t="array" ref="II57">IFERROR(ROUND(VALUE(IF($IH57&lt;1,$IH57+LARGE((IF($M$9:$M$150="",0,$M$9:$M$150)-MOD(IF($M$9:$M$150="",0,$M$9:$M$150),1)),1),$IH57)),4),"")</f>
        <v>3.1440000000000001</v>
      </c>
      <c r="IJ57" s="533">
        <f t="shared" si="112"/>
        <v>1613</v>
      </c>
      <c r="IK57" s="533" t="str">
        <f t="shared" si="382"/>
        <v>Inactive</v>
      </c>
      <c r="IL57" s="727">
        <f t="shared" si="225"/>
        <v>14.38019792375627</v>
      </c>
      <c r="IM57" s="759">
        <v>1.0966906645885999E-2</v>
      </c>
      <c r="IN57" s="5">
        <f t="shared" si="226"/>
        <v>0.46</v>
      </c>
      <c r="IO57" s="771">
        <v>230</v>
      </c>
      <c r="IP57" s="9">
        <f t="shared" si="227"/>
        <v>-6.6355200127283585</v>
      </c>
      <c r="IQ57" s="5">
        <f t="shared" si="228"/>
        <v>-0.90270272255141182</v>
      </c>
      <c r="IR57" s="5">
        <f t="shared" si="383"/>
        <v>0.314</v>
      </c>
      <c r="IS57" s="5">
        <f t="shared" si="229"/>
        <v>0.29108374197889975</v>
      </c>
      <c r="IT57" s="727">
        <f t="shared" si="230"/>
        <v>55.979584173896065</v>
      </c>
      <c r="IU57" s="9">
        <f t="shared" si="231"/>
        <v>-6.6549200712389345</v>
      </c>
      <c r="IV57" s="5">
        <f t="shared" si="232"/>
        <v>-0.9012027180273976</v>
      </c>
      <c r="IW57" s="5">
        <f t="shared" si="384"/>
        <v>0.26250000000000001</v>
      </c>
      <c r="IX57" s="5">
        <f t="shared" si="233"/>
        <v>0.26250000000000001</v>
      </c>
      <c r="IY57" s="762">
        <f t="shared" si="234"/>
        <v>30.099995654098318</v>
      </c>
    </row>
    <row r="58" spans="1:259" ht="15" customHeight="1" x14ac:dyDescent="0.25">
      <c r="A58" s="79"/>
      <c r="B58" s="707">
        <v>4.3319669344281007</v>
      </c>
      <c r="C58" s="708">
        <v>-5.6925831311175035</v>
      </c>
      <c r="D58" s="709">
        <v>-1.4716044383589852</v>
      </c>
      <c r="E58" s="710">
        <v>0.38519619562472296</v>
      </c>
      <c r="F58" s="708">
        <v>-0.50618108961025909</v>
      </c>
      <c r="G58" s="711">
        <v>0.77162464670149766</v>
      </c>
      <c r="H58" s="710">
        <v>0.26250000000000001</v>
      </c>
      <c r="I58" s="708">
        <v>0.40699999999999997</v>
      </c>
      <c r="J58" s="570">
        <v>3.25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Inactive</v>
      </c>
      <c r="L58" s="320"/>
      <c r="M58" s="168">
        <f t="shared" si="239"/>
        <v>3.25</v>
      </c>
      <c r="N58" s="632">
        <f t="shared" si="240"/>
        <v>4.3319669344281007</v>
      </c>
      <c r="O58" s="629">
        <f t="shared" si="241"/>
        <v>-5.6925831311175035</v>
      </c>
      <c r="P58" s="633">
        <f t="shared" si="242"/>
        <v>-1.4716044383589852</v>
      </c>
      <c r="Q58" s="585">
        <f t="shared" si="113"/>
        <v>307.27056863001116</v>
      </c>
      <c r="R58" s="629">
        <f t="shared" si="410"/>
        <v>7.1534215747194683</v>
      </c>
      <c r="S58" s="634">
        <f t="shared" si="411"/>
        <v>-1.4716044383589852</v>
      </c>
      <c r="T58" s="635">
        <f t="shared" si="412"/>
        <v>-5.6925831311175035</v>
      </c>
      <c r="U58" s="629">
        <f t="shared" si="413"/>
        <v>-4.3319669344281007</v>
      </c>
      <c r="V58" s="636">
        <f t="shared" si="414"/>
        <v>-1.4716044383589852</v>
      </c>
      <c r="W58" s="585">
        <f t="shared" si="224"/>
        <v>217.27056863001116</v>
      </c>
      <c r="X58" s="629">
        <f t="shared" si="415"/>
        <v>7.1534215747194683</v>
      </c>
      <c r="Y58" s="630">
        <f t="shared" si="223"/>
        <v>-1.4716044383589852</v>
      </c>
      <c r="Z58" s="632">
        <f t="shared" si="243"/>
        <v>-0.38519619562472296</v>
      </c>
      <c r="AA58" s="629">
        <f t="shared" si="244"/>
        <v>0.50618108961025909</v>
      </c>
      <c r="AB58" s="629">
        <f t="shared" si="245"/>
        <v>-0.77162464670149766</v>
      </c>
      <c r="AC58" s="636">
        <f t="shared" si="416"/>
        <v>1</v>
      </c>
      <c r="AD58" s="637">
        <f t="shared" si="417"/>
        <v>-0.38519619562472296</v>
      </c>
      <c r="AE58" s="629">
        <f t="shared" si="418"/>
        <v>0.50618108961025909</v>
      </c>
      <c r="AF58" s="633">
        <f t="shared" si="419"/>
        <v>-0.77162464670149766</v>
      </c>
      <c r="AG58" s="602">
        <f t="shared" si="420"/>
        <v>33.264631857906558</v>
      </c>
      <c r="AH58" s="603">
        <f t="shared" si="421"/>
        <v>112.65592086528345</v>
      </c>
      <c r="AI58" s="585">
        <f t="shared" si="422"/>
        <v>-39.49999429690822</v>
      </c>
      <c r="AJ58" s="586">
        <f t="shared" si="423"/>
        <v>-142.72941094106744</v>
      </c>
      <c r="AK58" s="635">
        <f t="shared" si="424"/>
        <v>2.2679489652954743E-7</v>
      </c>
      <c r="AL58" s="629">
        <f t="shared" si="425"/>
        <v>-0.63607814347196179</v>
      </c>
      <c r="AM58" s="634">
        <f t="shared" si="426"/>
        <v>-0.77162464670149766</v>
      </c>
      <c r="AN58" s="581">
        <f t="shared" si="427"/>
        <v>-39.499994296906443</v>
      </c>
      <c r="AO58" s="582">
        <f t="shared" si="461"/>
        <v>0</v>
      </c>
      <c r="AP58" s="585">
        <f t="shared" si="428"/>
        <v>-89.999979571078626</v>
      </c>
      <c r="AQ58" s="586">
        <f t="shared" si="246"/>
        <v>0.31868709239265403</v>
      </c>
      <c r="AS58" s="52">
        <f t="shared" si="406"/>
        <v>-142.72943136998884</v>
      </c>
      <c r="AT58" s="72">
        <f t="shared" si="247"/>
        <v>-1.372486777685382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3.25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3.15</v>
      </c>
      <c r="II58" s="734" cm="1">
        <f t="array" ref="II58">IFERROR(ROUND(VALUE(IF($IH58&lt;1,$IH58+LARGE((IF($M$9:$M$150="",0,$M$9:$M$150)-MOD(IF($M$9:$M$150="",0,$M$9:$M$150),1)),1),$IH58)),4),"")</f>
        <v>3.15</v>
      </c>
      <c r="IJ58" s="533">
        <f t="shared" si="112"/>
        <v>1613</v>
      </c>
      <c r="IK58" s="533" t="str">
        <f t="shared" si="382"/>
        <v>Inactive</v>
      </c>
      <c r="IL58" s="727">
        <f t="shared" si="225"/>
        <v>14.944397842295928</v>
      </c>
      <c r="IM58" s="759">
        <v>4.0396648608238498E-3</v>
      </c>
      <c r="IN58" s="5">
        <f t="shared" si="226"/>
        <v>0.22</v>
      </c>
      <c r="IO58" s="771">
        <v>110</v>
      </c>
      <c r="IP58" s="9">
        <f t="shared" si="227"/>
        <v>-7.1326215119864811</v>
      </c>
      <c r="IQ58" s="5">
        <f t="shared" si="228"/>
        <v>-1.463604414230913</v>
      </c>
      <c r="IR58" s="5">
        <f t="shared" si="383"/>
        <v>0.314</v>
      </c>
      <c r="IS58" s="5">
        <f t="shared" si="229"/>
        <v>0.28380098632549028</v>
      </c>
      <c r="IT58" s="727">
        <f t="shared" si="230"/>
        <v>65.787352348549192</v>
      </c>
      <c r="IU58" s="9">
        <f t="shared" si="231"/>
        <v>-7.1534215747194683</v>
      </c>
      <c r="IV58" s="5">
        <f t="shared" si="232"/>
        <v>-1.4716044383589852</v>
      </c>
      <c r="IW58" s="5">
        <f t="shared" si="384"/>
        <v>0.26250000000000001</v>
      </c>
      <c r="IX58" s="5">
        <f t="shared" si="233"/>
        <v>0.26250000000000001</v>
      </c>
      <c r="IY58" s="762">
        <f t="shared" si="234"/>
        <v>39.499994296906443</v>
      </c>
    </row>
    <row r="59" spans="1:259" ht="15" customHeight="1" x14ac:dyDescent="0.25">
      <c r="A59" s="79"/>
      <c r="B59" s="707">
        <v>4.4865457869402974</v>
      </c>
      <c r="C59" s="708">
        <v>-6.0202003742824344</v>
      </c>
      <c r="D59" s="709">
        <v>-2.1409064569738736</v>
      </c>
      <c r="E59" s="710">
        <v>0.45029867317337308</v>
      </c>
      <c r="F59" s="708">
        <v>-0.60422576001883987</v>
      </c>
      <c r="G59" s="711">
        <v>0.65737533865209397</v>
      </c>
      <c r="H59" s="710">
        <v>0.26250000000000001</v>
      </c>
      <c r="I59" s="708">
        <v>0.40699999999999997</v>
      </c>
      <c r="J59" s="570">
        <v>3.2559999999999998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Inactive</v>
      </c>
      <c r="L59" s="320"/>
      <c r="M59" s="168">
        <f t="shared" si="239"/>
        <v>3.2559999999999998</v>
      </c>
      <c r="N59" s="632">
        <f t="shared" si="240"/>
        <v>4.4865457869402974</v>
      </c>
      <c r="O59" s="629">
        <f t="shared" si="241"/>
        <v>-6.0202003742824344</v>
      </c>
      <c r="P59" s="633">
        <f t="shared" si="242"/>
        <v>-2.1409064569738736</v>
      </c>
      <c r="Q59" s="585">
        <f t="shared" si="113"/>
        <v>306.6952687130742</v>
      </c>
      <c r="R59" s="629">
        <f t="shared" si="79"/>
        <v>7.508122644497897</v>
      </c>
      <c r="S59" s="634">
        <f t="shared" si="80"/>
        <v>-2.1409064569738736</v>
      </c>
      <c r="T59" s="635">
        <f t="shared" si="81"/>
        <v>-6.0202003742824344</v>
      </c>
      <c r="U59" s="629">
        <f t="shared" si="82"/>
        <v>-4.4865457869402974</v>
      </c>
      <c r="V59" s="636">
        <f t="shared" si="114"/>
        <v>-2.1409064569738736</v>
      </c>
      <c r="W59" s="585">
        <f t="shared" si="224"/>
        <v>216.6952687130742</v>
      </c>
      <c r="X59" s="629">
        <f t="shared" si="83"/>
        <v>7.508122644497897</v>
      </c>
      <c r="Y59" s="630">
        <f t="shared" si="223"/>
        <v>-2.1409064569738736</v>
      </c>
      <c r="Z59" s="632">
        <f t="shared" si="243"/>
        <v>-0.45029867317337308</v>
      </c>
      <c r="AA59" s="629">
        <f t="shared" si="244"/>
        <v>0.60422576001883987</v>
      </c>
      <c r="AB59" s="629">
        <f t="shared" si="245"/>
        <v>-0.65737533865209397</v>
      </c>
      <c r="AC59" s="636">
        <f t="shared" si="84"/>
        <v>1</v>
      </c>
      <c r="AD59" s="637">
        <f t="shared" si="115"/>
        <v>-0.45029867317337308</v>
      </c>
      <c r="AE59" s="629">
        <f t="shared" si="85"/>
        <v>0.60422576001883987</v>
      </c>
      <c r="AF59" s="633">
        <f t="shared" si="86"/>
        <v>-0.65737533865209397</v>
      </c>
      <c r="AG59" s="602">
        <f t="shared" si="87"/>
        <v>42.587631411662457</v>
      </c>
      <c r="AH59" s="603">
        <f t="shared" si="88"/>
        <v>116.76284812467308</v>
      </c>
      <c r="AI59" s="585">
        <f t="shared" si="89"/>
        <v>-48.899992939715837</v>
      </c>
      <c r="AJ59" s="586">
        <f t="shared" si="90"/>
        <v>-143.30471404299925</v>
      </c>
      <c r="AK59" s="635">
        <f t="shared" si="211"/>
        <v>2.2679489664056973E-7</v>
      </c>
      <c r="AL59" s="629">
        <f t="shared" si="91"/>
        <v>-0.75356331129639897</v>
      </c>
      <c r="AM59" s="634">
        <f t="shared" si="92"/>
        <v>-0.65737533865209397</v>
      </c>
      <c r="AN59" s="581">
        <f t="shared" si="93"/>
        <v>-48.899992939714565</v>
      </c>
      <c r="AO59" s="582">
        <f t="shared" si="461"/>
        <v>0</v>
      </c>
      <c r="AP59" s="585">
        <f t="shared" si="95"/>
        <v>-89.99998275607345</v>
      </c>
      <c r="AQ59" s="586">
        <f t="shared" si="246"/>
        <v>0.3036318663188996</v>
      </c>
      <c r="AS59" s="52">
        <f t="shared" si="406"/>
        <v>-143.3047312869258</v>
      </c>
      <c r="AT59" s="72">
        <f t="shared" si="247"/>
        <v>-2.0413892824690638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3.2559999999999998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3.1560000000000001</v>
      </c>
      <c r="II59" s="734" cm="1">
        <f t="array" ref="II59">IFERROR(ROUND(VALUE(IF($IH59&lt;1,$IH59+LARGE((IF($M$9:$M$150="",0,$M$9:$M$150)-MOD(IF($M$9:$M$150="",0,$M$9:$M$150),1)),1),$IH59)),4),"")</f>
        <v>3.1560000000000001</v>
      </c>
      <c r="IJ59" s="533">
        <f t="shared" si="112"/>
        <v>1613</v>
      </c>
      <c r="IK59" s="533" t="str">
        <f>IF(ISNUMBER($II59),INDEX($K$9:$K$150,MATCH($IG59,$M$9:$M$150,0)),"")</f>
        <v>Inactive</v>
      </c>
      <c r="IL59" s="727">
        <f t="shared" si="225"/>
        <v>15.104697819151454</v>
      </c>
      <c r="IM59" s="759">
        <v>1.82917155013547E-4</v>
      </c>
      <c r="IN59" s="5">
        <f t="shared" si="226"/>
        <v>0</v>
      </c>
      <c r="IO59" s="771">
        <v>0</v>
      </c>
      <c r="IP59" s="9">
        <f t="shared" si="227"/>
        <v>-7.488622585685718</v>
      </c>
      <c r="IQ59" s="5">
        <f t="shared" si="228"/>
        <v>-2.1243064069081226</v>
      </c>
      <c r="IR59" s="5">
        <f t="shared" si="383"/>
        <v>0.314</v>
      </c>
      <c r="IS59" s="5">
        <f t="shared" si="229"/>
        <v>0.27605207955206501</v>
      </c>
      <c r="IT59" s="727">
        <f t="shared" si="230"/>
        <v>74.771583184426788</v>
      </c>
      <c r="IU59" s="9">
        <f t="shared" si="231"/>
        <v>-7.508122644497897</v>
      </c>
      <c r="IV59" s="5">
        <f t="shared" si="232"/>
        <v>-2.1409064569738736</v>
      </c>
      <c r="IW59" s="5">
        <f t="shared" si="384"/>
        <v>0.26250000000000001</v>
      </c>
      <c r="IX59" s="5">
        <f t="shared" si="233"/>
        <v>0.26250000000000001</v>
      </c>
      <c r="IY59" s="762">
        <f t="shared" si="234"/>
        <v>48.899992939714565</v>
      </c>
    </row>
    <row r="60" spans="1:259" ht="15" customHeight="1" x14ac:dyDescent="0.25">
      <c r="A60" s="79"/>
      <c r="B60" s="707">
        <v>4.539691776697321</v>
      </c>
      <c r="C60" s="708">
        <v>-6.2215544086201326</v>
      </c>
      <c r="D60" s="709">
        <v>-2.8709086586605146</v>
      </c>
      <c r="E60" s="710">
        <v>0.50150091648233863</v>
      </c>
      <c r="F60" s="708">
        <v>-0.68729632861245182</v>
      </c>
      <c r="G60" s="711">
        <v>0.52547177606720163</v>
      </c>
      <c r="H60" s="710">
        <v>0.26250000000000001</v>
      </c>
      <c r="I60" s="708">
        <v>0.40699999999999997</v>
      </c>
      <c r="J60" s="570">
        <v>3.262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Inactive</v>
      </c>
      <c r="L60" s="320"/>
      <c r="M60" s="168">
        <f t="shared" si="239"/>
        <v>3.262</v>
      </c>
      <c r="N60" s="632">
        <f t="shared" si="240"/>
        <v>4.539691776697321</v>
      </c>
      <c r="O60" s="629">
        <f t="shared" si="241"/>
        <v>-6.2215544086201326</v>
      </c>
      <c r="P60" s="633">
        <f t="shared" si="242"/>
        <v>-2.8709086586605146</v>
      </c>
      <c r="Q60" s="585">
        <f t="shared" si="113"/>
        <v>306.11716879654148</v>
      </c>
      <c r="R60" s="629">
        <f t="shared" si="79"/>
        <v>7.7017232283972588</v>
      </c>
      <c r="S60" s="634">
        <f t="shared" si="80"/>
        <v>-2.8709086586605146</v>
      </c>
      <c r="T60" s="635">
        <f t="shared" si="81"/>
        <v>-6.2215544086201335</v>
      </c>
      <c r="U60" s="629">
        <f t="shared" si="82"/>
        <v>-4.5396917766973193</v>
      </c>
      <c r="V60" s="636">
        <f t="shared" si="114"/>
        <v>-2.8709086586605146</v>
      </c>
      <c r="W60" s="585">
        <f t="shared" si="224"/>
        <v>216.11716879654148</v>
      </c>
      <c r="X60" s="629">
        <f t="shared" si="83"/>
        <v>7.7017232283972588</v>
      </c>
      <c r="Y60" s="630">
        <f t="shared" si="223"/>
        <v>-2.8709086586605146</v>
      </c>
      <c r="Z60" s="632">
        <f t="shared" si="243"/>
        <v>-0.50150091648233863</v>
      </c>
      <c r="AA60" s="629">
        <f t="shared" si="244"/>
        <v>0.68729632861245182</v>
      </c>
      <c r="AB60" s="629">
        <f t="shared" si="245"/>
        <v>-0.52547177606720163</v>
      </c>
      <c r="AC60" s="636">
        <f t="shared" si="84"/>
        <v>1</v>
      </c>
      <c r="AD60" s="637">
        <f t="shared" si="115"/>
        <v>-0.50150091648233863</v>
      </c>
      <c r="AE60" s="629">
        <f t="shared" si="85"/>
        <v>0.68729632861245182</v>
      </c>
      <c r="AF60" s="633">
        <f t="shared" si="86"/>
        <v>-0.52547177606720163</v>
      </c>
      <c r="AG60" s="602">
        <f t="shared" si="87"/>
        <v>52.600312794252595</v>
      </c>
      <c r="AH60" s="603">
        <f t="shared" si="88"/>
        <v>120.09934961500814</v>
      </c>
      <c r="AI60" s="585">
        <f t="shared" si="89"/>
        <v>-58.299991582523525</v>
      </c>
      <c r="AJ60" s="586">
        <f t="shared" si="90"/>
        <v>-143.88281593051317</v>
      </c>
      <c r="AK60" s="635">
        <f t="shared" si="211"/>
        <v>2.2679489691812549E-7</v>
      </c>
      <c r="AL60" s="629">
        <f t="shared" si="91"/>
        <v>-0.85081103222556387</v>
      </c>
      <c r="AM60" s="634">
        <f t="shared" si="92"/>
        <v>-0.52547177606720163</v>
      </c>
      <c r="AN60" s="581">
        <f t="shared" si="93"/>
        <v>-58.299991582522622</v>
      </c>
      <c r="AO60" s="582">
        <f t="shared" si="461"/>
        <v>0</v>
      </c>
      <c r="AP60" s="585">
        <f t="shared" si="95"/>
        <v>-89.999984727054638</v>
      </c>
      <c r="AQ60" s="586">
        <f t="shared" si="246"/>
        <v>0.29599951632846766</v>
      </c>
      <c r="AS60" s="52">
        <f t="shared" si="406"/>
        <v>-143.88283120345852</v>
      </c>
      <c r="AT60" s="72">
        <f t="shared" si="247"/>
        <v>-2.7709900258803351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3.262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3.1619999999999999</v>
      </c>
      <c r="II60" s="734" cm="1">
        <f t="array" ref="II60">IFERROR(ROUND(VALUE(IF($IH60&lt;1,$IH60+LARGE((IF($M$9:$M$150="",0,$M$9:$M$150)-MOD(IF($M$9:$M$150="",0,$M$9:$M$150),1)),1),$IH60)),4),"")</f>
        <v>3.1619999999999999</v>
      </c>
      <c r="IJ60" s="533">
        <f t="shared" si="112"/>
        <v>1613</v>
      </c>
      <c r="IK60" s="533" t="str">
        <f t="shared" si="382"/>
        <v>Inactive</v>
      </c>
      <c r="IL60" s="727">
        <f t="shared" si="225"/>
        <v>15.449797769325187</v>
      </c>
      <c r="IM60" s="759">
        <v>3.4848709261538002E-4</v>
      </c>
      <c r="IN60" s="5">
        <f t="shared" si="226"/>
        <v>0</v>
      </c>
      <c r="IO60" s="771">
        <v>0</v>
      </c>
      <c r="IP60" s="9">
        <f t="shared" si="227"/>
        <v>-7.6839231747122954</v>
      </c>
      <c r="IQ60" s="5">
        <f t="shared" si="228"/>
        <v>-2.8476085883875029</v>
      </c>
      <c r="IR60" s="5">
        <f t="shared" si="383"/>
        <v>0.314</v>
      </c>
      <c r="IS60" s="5">
        <f t="shared" si="229"/>
        <v>0.27057491767366149</v>
      </c>
      <c r="IT60" s="727">
        <f t="shared" si="230"/>
        <v>83.749272172438978</v>
      </c>
      <c r="IU60" s="9">
        <f t="shared" si="231"/>
        <v>-7.7017232283972588</v>
      </c>
      <c r="IV60" s="5">
        <f t="shared" si="232"/>
        <v>-2.8709086586605146</v>
      </c>
      <c r="IW60" s="5">
        <f t="shared" si="384"/>
        <v>0.26250000000000001</v>
      </c>
      <c r="IX60" s="5">
        <f t="shared" si="233"/>
        <v>0.26250000000000001</v>
      </c>
      <c r="IY60" s="762">
        <f t="shared" si="234"/>
        <v>58.299991582522622</v>
      </c>
    </row>
    <row r="61" spans="1:259" ht="15" customHeight="1" x14ac:dyDescent="0.25">
      <c r="A61" s="79"/>
      <c r="B61" s="707">
        <v>-0.51045896277865654</v>
      </c>
      <c r="C61" s="708">
        <v>-2.8949493832472535</v>
      </c>
      <c r="D61" s="709">
        <v>-0.34300103449112007</v>
      </c>
      <c r="E61" s="710">
        <v>0.95274257615360569</v>
      </c>
      <c r="F61" s="708">
        <v>-8.896564269522321E-2</v>
      </c>
      <c r="G61" s="711">
        <v>0.29045946017304536</v>
      </c>
      <c r="H61" s="710">
        <v>0.314</v>
      </c>
      <c r="I61" s="708">
        <v>0.52</v>
      </c>
      <c r="J61" s="570">
        <v>4.1130000000000004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4.1130000000000004</v>
      </c>
      <c r="N61" s="632">
        <f t="shared" si="240"/>
        <v>-0.51045896277865654</v>
      </c>
      <c r="O61" s="629">
        <f t="shared" si="241"/>
        <v>-2.8949493832472535</v>
      </c>
      <c r="P61" s="633">
        <f t="shared" si="242"/>
        <v>-0.34300103449112007</v>
      </c>
      <c r="Q61" s="585">
        <f t="shared" si="113"/>
        <v>259.99997545504038</v>
      </c>
      <c r="R61" s="629">
        <f t="shared" si="79"/>
        <v>2.9396088658603401</v>
      </c>
      <c r="S61" s="634">
        <f t="shared" si="80"/>
        <v>-0.34300103449112007</v>
      </c>
      <c r="T61" s="635">
        <f t="shared" si="81"/>
        <v>-2.8949493832472535</v>
      </c>
      <c r="U61" s="629">
        <f t="shared" si="82"/>
        <v>0.51045896277865521</v>
      </c>
      <c r="V61" s="636">
        <f t="shared" si="114"/>
        <v>-0.34300103449112007</v>
      </c>
      <c r="W61" s="585">
        <f t="shared" si="224"/>
        <v>169.99997545504038</v>
      </c>
      <c r="X61" s="629">
        <f t="shared" si="83"/>
        <v>2.9396088658603401</v>
      </c>
      <c r="Y61" s="630">
        <f t="shared" si="223"/>
        <v>-0.34300103449112007</v>
      </c>
      <c r="Z61" s="632">
        <f t="shared" si="243"/>
        <v>-0.95274257615360569</v>
      </c>
      <c r="AA61" s="629">
        <f t="shared" si="244"/>
        <v>8.896564269522321E-2</v>
      </c>
      <c r="AB61" s="629">
        <f t="shared" si="245"/>
        <v>-0.29045946017304536</v>
      </c>
      <c r="AC61" s="636">
        <f t="shared" si="84"/>
        <v>1</v>
      </c>
      <c r="AD61" s="637">
        <f t="shared" si="115"/>
        <v>-0.95274257615360569</v>
      </c>
      <c r="AE61" s="629">
        <f t="shared" si="85"/>
        <v>8.896564269522321E-2</v>
      </c>
      <c r="AF61" s="633">
        <f t="shared" si="86"/>
        <v>-0.29045946017304536</v>
      </c>
      <c r="AG61" s="602">
        <f t="shared" si="87"/>
        <v>17.029449537692937</v>
      </c>
      <c r="AH61" s="603">
        <f t="shared" si="88"/>
        <v>162.31528892565976</v>
      </c>
      <c r="AI61" s="585">
        <f t="shared" si="89"/>
        <v>-73.114534769632428</v>
      </c>
      <c r="AJ61" s="586">
        <f t="shared" si="90"/>
        <v>-95.334722596176931</v>
      </c>
      <c r="AK61" s="635">
        <f t="shared" si="211"/>
        <v>0.95371696400905337</v>
      </c>
      <c r="AL61" s="629">
        <f t="shared" si="91"/>
        <v>7.7828366019961195E-2</v>
      </c>
      <c r="AM61" s="634">
        <f t="shared" si="92"/>
        <v>-0.29045946017304536</v>
      </c>
      <c r="AN61" s="581">
        <f t="shared" si="93"/>
        <v>14.999997834268203</v>
      </c>
      <c r="AO61" s="582">
        <f t="shared" si="461"/>
        <v>17.49999747331298</v>
      </c>
      <c r="AP61" s="585">
        <f t="shared" si="95"/>
        <v>4.665301948782683</v>
      </c>
      <c r="AQ61" s="586">
        <f t="shared" si="246"/>
        <v>0.77547304111950099</v>
      </c>
      <c r="AS61" s="52">
        <f t="shared" si="406"/>
        <v>-190.00002454495962</v>
      </c>
      <c r="AT61" s="72">
        <f t="shared" si="247"/>
        <v>-0.21105657300156477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4.1130000000000004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-0.64177242979907523</v>
      </c>
      <c r="C62" s="708">
        <v>-3.6396631958787582</v>
      </c>
      <c r="D62" s="709">
        <v>-0.14310043159090216</v>
      </c>
      <c r="E62" s="710">
        <v>0.95319702676332541</v>
      </c>
      <c r="F62" s="708">
        <v>-0.10129086751393356</v>
      </c>
      <c r="G62" s="711">
        <v>0.28487819910942858</v>
      </c>
      <c r="H62" s="710">
        <v>0.314</v>
      </c>
      <c r="I62" s="708">
        <v>0.52</v>
      </c>
      <c r="J62" s="570">
        <v>4.1189999999999998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4.1189999999999998</v>
      </c>
      <c r="N62" s="632">
        <f t="shared" si="240"/>
        <v>-0.64177242979907523</v>
      </c>
      <c r="O62" s="629">
        <f t="shared" si="241"/>
        <v>-3.6396631958787582</v>
      </c>
      <c r="P62" s="633">
        <f t="shared" si="242"/>
        <v>-0.14310043159090216</v>
      </c>
      <c r="Q62" s="585">
        <f t="shared" si="113"/>
        <v>259.99997545504038</v>
      </c>
      <c r="R62" s="629">
        <f t="shared" si="79"/>
        <v>3.6958111465664185</v>
      </c>
      <c r="S62" s="634">
        <f t="shared" si="80"/>
        <v>-0.14310043159090216</v>
      </c>
      <c r="T62" s="635">
        <f t="shared" si="81"/>
        <v>-3.6396631958787586</v>
      </c>
      <c r="U62" s="629">
        <f t="shared" si="82"/>
        <v>0.64177242979907267</v>
      </c>
      <c r="V62" s="636">
        <f t="shared" si="114"/>
        <v>-0.14310043159090216</v>
      </c>
      <c r="W62" s="585">
        <f t="shared" si="224"/>
        <v>169.99997545504038</v>
      </c>
      <c r="X62" s="629">
        <f t="shared" si="83"/>
        <v>3.6958111465664185</v>
      </c>
      <c r="Y62" s="630">
        <f t="shared" si="223"/>
        <v>-0.14310043159090216</v>
      </c>
      <c r="Z62" s="632">
        <f t="shared" si="243"/>
        <v>-0.95319702676332541</v>
      </c>
      <c r="AA62" s="629">
        <f t="shared" si="244"/>
        <v>0.10129086751393356</v>
      </c>
      <c r="AB62" s="629">
        <f t="shared" si="245"/>
        <v>-0.28487819910942858</v>
      </c>
      <c r="AC62" s="636">
        <f t="shared" si="84"/>
        <v>1</v>
      </c>
      <c r="AD62" s="637">
        <f t="shared" si="115"/>
        <v>-0.95319702676332541</v>
      </c>
      <c r="AE62" s="629">
        <f t="shared" si="85"/>
        <v>0.10129086751393356</v>
      </c>
      <c r="AF62" s="633">
        <f t="shared" si="86"/>
        <v>-0.28487819910942858</v>
      </c>
      <c r="AG62" s="602">
        <f t="shared" si="87"/>
        <v>19.573276021230075</v>
      </c>
      <c r="AH62" s="603">
        <f t="shared" si="88"/>
        <v>162.40120499512014</v>
      </c>
      <c r="AI62" s="585">
        <f t="shared" si="89"/>
        <v>-73.448431898459077</v>
      </c>
      <c r="AJ62" s="586">
        <f t="shared" si="90"/>
        <v>-96.065735760211965</v>
      </c>
      <c r="AK62" s="635">
        <f t="shared" si="211"/>
        <v>0.95630476848795665</v>
      </c>
      <c r="AL62" s="629">
        <f t="shared" si="91"/>
        <v>6.5769304689683603E-2</v>
      </c>
      <c r="AM62" s="634">
        <f t="shared" si="92"/>
        <v>-0.28487819910942858</v>
      </c>
      <c r="AN62" s="581">
        <f t="shared" si="93"/>
        <v>12.999998123032423</v>
      </c>
      <c r="AO62" s="582">
        <f t="shared" si="461"/>
        <v>16.999997545504019</v>
      </c>
      <c r="AP62" s="585">
        <f t="shared" si="95"/>
        <v>3.9342887847476398</v>
      </c>
      <c r="AQ62" s="586">
        <f t="shared" si="246"/>
        <v>0.61681684229109257</v>
      </c>
      <c r="AS62" s="52">
        <f t="shared" si="406"/>
        <v>-190.00002454495962</v>
      </c>
      <c r="AT62" s="72">
        <f t="shared" si="247"/>
        <v>-1.1155970101346863E-2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4.1189999999999998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-0.79904352754951957</v>
      </c>
      <c r="C63" s="708">
        <v>-4.3916132931895131</v>
      </c>
      <c r="D63" s="709">
        <v>-6.0800183373352926E-2</v>
      </c>
      <c r="E63" s="710">
        <v>0.94009760367130824</v>
      </c>
      <c r="F63" s="708">
        <v>-0.2222594545417268</v>
      </c>
      <c r="G63" s="711">
        <v>0.25849029080079189</v>
      </c>
      <c r="H63" s="710">
        <v>0.314</v>
      </c>
      <c r="I63" s="708">
        <v>0.52</v>
      </c>
      <c r="J63" s="570">
        <v>4.125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4.125</v>
      </c>
      <c r="N63" s="632">
        <f t="shared" si="240"/>
        <v>-0.79904352754951957</v>
      </c>
      <c r="O63" s="629">
        <f t="shared" si="241"/>
        <v>-4.3916132931895131</v>
      </c>
      <c r="P63" s="633">
        <f t="shared" si="242"/>
        <v>-6.0800183373352926E-2</v>
      </c>
      <c r="Q63" s="585">
        <f t="shared" si="113"/>
        <v>259.68797550008759</v>
      </c>
      <c r="R63" s="629">
        <f t="shared" si="79"/>
        <v>4.4637134625598023</v>
      </c>
      <c r="S63" s="634">
        <f t="shared" si="80"/>
        <v>-6.0800183373352926E-2</v>
      </c>
      <c r="T63" s="635">
        <f t="shared" si="81"/>
        <v>-4.3916132931895131</v>
      </c>
      <c r="U63" s="629">
        <f t="shared" si="82"/>
        <v>0.79904352754952046</v>
      </c>
      <c r="V63" s="636">
        <f t="shared" si="114"/>
        <v>-6.0800183373352926E-2</v>
      </c>
      <c r="W63" s="585">
        <f t="shared" si="224"/>
        <v>169.68797550008759</v>
      </c>
      <c r="X63" s="629">
        <f t="shared" si="83"/>
        <v>4.4637134625598023</v>
      </c>
      <c r="Y63" s="630">
        <f t="shared" si="223"/>
        <v>-6.0800183373352926E-2</v>
      </c>
      <c r="Z63" s="632">
        <f t="shared" si="243"/>
        <v>-0.94009760367130824</v>
      </c>
      <c r="AA63" s="629">
        <f t="shared" si="244"/>
        <v>0.2222594545417268</v>
      </c>
      <c r="AB63" s="629">
        <f t="shared" si="245"/>
        <v>-0.25849029080079189</v>
      </c>
      <c r="AC63" s="636">
        <f t="shared" si="84"/>
        <v>1</v>
      </c>
      <c r="AD63" s="637">
        <f t="shared" si="115"/>
        <v>-0.94009760367130824</v>
      </c>
      <c r="AE63" s="629">
        <f t="shared" si="85"/>
        <v>0.2222594545417268</v>
      </c>
      <c r="AF63" s="633">
        <f t="shared" si="86"/>
        <v>-0.25849029080079189</v>
      </c>
      <c r="AG63" s="602">
        <f t="shared" si="87"/>
        <v>40.690154155499606</v>
      </c>
      <c r="AH63" s="603">
        <f t="shared" si="88"/>
        <v>160.06795413475092</v>
      </c>
      <c r="AI63" s="585">
        <f t="shared" si="89"/>
        <v>-75.019499815629686</v>
      </c>
      <c r="AJ63" s="586">
        <f t="shared" si="90"/>
        <v>-103.30171996255588</v>
      </c>
      <c r="AK63" s="635">
        <f t="shared" si="211"/>
        <v>0.96469904439102105</v>
      </c>
      <c r="AL63" s="629">
        <f t="shared" si="91"/>
        <v>-5.0383760407226502E-2</v>
      </c>
      <c r="AM63" s="634">
        <f t="shared" si="92"/>
        <v>-0.25849029080079189</v>
      </c>
      <c r="AN63" s="581">
        <f t="shared" si="93"/>
        <v>-11.029543963483759</v>
      </c>
      <c r="AO63" s="582">
        <f t="shared" si="461"/>
        <v>15.269217984372476</v>
      </c>
      <c r="AP63" s="585">
        <f t="shared" si="95"/>
        <v>-2.9896954626434646</v>
      </c>
      <c r="AQ63" s="586">
        <f t="shared" si="246"/>
        <v>0.51071070634304527</v>
      </c>
      <c r="AS63" s="52">
        <f t="shared" si="406"/>
        <v>-190.31202449991241</v>
      </c>
      <c r="AT63" s="72">
        <f t="shared" si="247"/>
        <v>7.1360944751586261E-2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4.125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-0.97940183096064903</v>
      </c>
      <c r="C64" s="708">
        <v>-5.1147898229478788</v>
      </c>
      <c r="D64" s="709">
        <v>-0.15300046144939136</v>
      </c>
      <c r="E64" s="710">
        <v>0.92018785100043532</v>
      </c>
      <c r="F64" s="708">
        <v>-0.31000653654660271</v>
      </c>
      <c r="G64" s="711">
        <v>0.23906121845581826</v>
      </c>
      <c r="H64" s="710">
        <v>0.314</v>
      </c>
      <c r="I64" s="708">
        <v>0.52</v>
      </c>
      <c r="J64" s="570">
        <v>4.1310000000000002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4.1310000000000002</v>
      </c>
      <c r="N64" s="632">
        <f t="shared" si="240"/>
        <v>-0.97940183096064903</v>
      </c>
      <c r="O64" s="629">
        <f t="shared" si="241"/>
        <v>-5.1147898229478788</v>
      </c>
      <c r="P64" s="633">
        <f t="shared" si="242"/>
        <v>-0.15300046144939136</v>
      </c>
      <c r="Q64" s="585">
        <f t="shared" si="113"/>
        <v>259.15997557632136</v>
      </c>
      <c r="R64" s="629">
        <f t="shared" si="79"/>
        <v>5.2077157064705695</v>
      </c>
      <c r="S64" s="634">
        <f t="shared" si="80"/>
        <v>-0.15300046144939136</v>
      </c>
      <c r="T64" s="635">
        <f t="shared" si="81"/>
        <v>-5.1147898229478788</v>
      </c>
      <c r="U64" s="629">
        <f t="shared" si="82"/>
        <v>0.97940183096064903</v>
      </c>
      <c r="V64" s="636">
        <f t="shared" si="114"/>
        <v>-0.15300046144939136</v>
      </c>
      <c r="W64" s="585">
        <f t="shared" si="224"/>
        <v>169.15997557632136</v>
      </c>
      <c r="X64" s="629">
        <f t="shared" si="83"/>
        <v>5.2077157064705695</v>
      </c>
      <c r="Y64" s="630">
        <f t="shared" si="223"/>
        <v>-0.15300046144939136</v>
      </c>
      <c r="Z64" s="632">
        <f t="shared" si="243"/>
        <v>-0.92018785100043532</v>
      </c>
      <c r="AA64" s="629">
        <f t="shared" si="244"/>
        <v>0.31000653654660271</v>
      </c>
      <c r="AB64" s="629">
        <f t="shared" si="245"/>
        <v>-0.23906121845581826</v>
      </c>
      <c r="AC64" s="636">
        <f t="shared" si="84"/>
        <v>1</v>
      </c>
      <c r="AD64" s="637">
        <f t="shared" si="115"/>
        <v>-0.92018785100043532</v>
      </c>
      <c r="AE64" s="629">
        <f t="shared" si="85"/>
        <v>0.31000653654660271</v>
      </c>
      <c r="AF64" s="633">
        <f t="shared" si="86"/>
        <v>-0.23906121845581826</v>
      </c>
      <c r="AG64" s="602">
        <f t="shared" si="87"/>
        <v>52.362424286825657</v>
      </c>
      <c r="AH64" s="603">
        <f t="shared" si="88"/>
        <v>156.95355993208057</v>
      </c>
      <c r="AI64" s="585">
        <f t="shared" si="89"/>
        <v>-76.168860649436667</v>
      </c>
      <c r="AJ64" s="586">
        <f t="shared" si="90"/>
        <v>-108.61840542338861</v>
      </c>
      <c r="AK64" s="635">
        <f t="shared" si="211"/>
        <v>0.96207026408443819</v>
      </c>
      <c r="AL64" s="629">
        <f t="shared" si="91"/>
        <v>-0.13141742957050559</v>
      </c>
      <c r="AM64" s="634">
        <f t="shared" si="92"/>
        <v>-0.23906121845581826</v>
      </c>
      <c r="AN64" s="581">
        <f t="shared" si="93"/>
        <v>-28.79860354636908</v>
      </c>
      <c r="AO64" s="582">
        <f t="shared" si="461"/>
        <v>15.831056880220363</v>
      </c>
      <c r="AP64" s="585">
        <f t="shared" si="95"/>
        <v>-7.7783809997099622</v>
      </c>
      <c r="AQ64" s="586">
        <f t="shared" si="246"/>
        <v>0.43775090700713754</v>
      </c>
      <c r="AS64" s="52">
        <f t="shared" si="406"/>
        <v>-190.84002442367864</v>
      </c>
      <c r="AT64" s="72">
        <f t="shared" si="247"/>
        <v>-2.0472666710725645E-2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4.1310000000000002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-1.1765242738685007</v>
      </c>
      <c r="C65" s="708">
        <v>-5.7941759769100782</v>
      </c>
      <c r="D65" s="709">
        <v>-0.41020123716693146</v>
      </c>
      <c r="E65" s="710">
        <v>0.88711908962370578</v>
      </c>
      <c r="F65" s="708">
        <v>-0.39850998709164065</v>
      </c>
      <c r="G65" s="711">
        <v>0.23282936029081042</v>
      </c>
      <c r="H65" s="710">
        <v>0.314</v>
      </c>
      <c r="I65" s="708">
        <v>0.52</v>
      </c>
      <c r="J65" s="570">
        <v>4.1369999999999996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4.1369999999999996</v>
      </c>
      <c r="N65" s="632">
        <f t="shared" si="240"/>
        <v>-1.1765242738685007</v>
      </c>
      <c r="O65" s="629">
        <f t="shared" si="241"/>
        <v>-5.7941759769100782</v>
      </c>
      <c r="P65" s="633">
        <f t="shared" si="242"/>
        <v>-0.41020123716693146</v>
      </c>
      <c r="Q65" s="585">
        <f t="shared" si="113"/>
        <v>258.52197566843711</v>
      </c>
      <c r="R65" s="629">
        <f t="shared" si="79"/>
        <v>5.9124178318521823</v>
      </c>
      <c r="S65" s="634">
        <f t="shared" si="80"/>
        <v>-0.41020123716693146</v>
      </c>
      <c r="T65" s="635">
        <f t="shared" si="81"/>
        <v>-5.7941759769100774</v>
      </c>
      <c r="U65" s="629">
        <f t="shared" si="82"/>
        <v>1.176524273868504</v>
      </c>
      <c r="V65" s="636">
        <f t="shared" si="114"/>
        <v>-0.41020123716693146</v>
      </c>
      <c r="W65" s="585">
        <f t="shared" si="224"/>
        <v>168.52197566843711</v>
      </c>
      <c r="X65" s="629">
        <f t="shared" si="83"/>
        <v>5.9124178318521823</v>
      </c>
      <c r="Y65" s="630">
        <f t="shared" si="223"/>
        <v>-0.41020123716693146</v>
      </c>
      <c r="Z65" s="632">
        <f t="shared" si="243"/>
        <v>-0.88711908962370578</v>
      </c>
      <c r="AA65" s="629">
        <f t="shared" si="244"/>
        <v>0.39850998709164065</v>
      </c>
      <c r="AB65" s="629">
        <f t="shared" si="245"/>
        <v>-0.23282936029081042</v>
      </c>
      <c r="AC65" s="636">
        <f t="shared" si="84"/>
        <v>1</v>
      </c>
      <c r="AD65" s="637">
        <f t="shared" si="115"/>
        <v>-0.88711908962370578</v>
      </c>
      <c r="AE65" s="629">
        <f t="shared" si="85"/>
        <v>0.39850998709164065</v>
      </c>
      <c r="AF65" s="633">
        <f t="shared" si="86"/>
        <v>-0.23282936029081042</v>
      </c>
      <c r="AG65" s="602">
        <f t="shared" si="87"/>
        <v>59.704402402730828</v>
      </c>
      <c r="AH65" s="603">
        <f t="shared" si="88"/>
        <v>152.51343595776413</v>
      </c>
      <c r="AI65" s="585">
        <f t="shared" si="89"/>
        <v>-76.536294544370591</v>
      </c>
      <c r="AJ65" s="586">
        <f t="shared" si="90"/>
        <v>-114.19048094979564</v>
      </c>
      <c r="AK65" s="635">
        <f t="shared" si="211"/>
        <v>0.9486780113426504</v>
      </c>
      <c r="AL65" s="629">
        <f t="shared" si="91"/>
        <v>-0.21401055997666596</v>
      </c>
      <c r="AM65" s="634">
        <f t="shared" si="92"/>
        <v>-0.23282936029081042</v>
      </c>
      <c r="AN65" s="581">
        <f t="shared" si="93"/>
        <v>-42.588395816081487</v>
      </c>
      <c r="AO65" s="582">
        <f t="shared" si="461"/>
        <v>18.435906671931633</v>
      </c>
      <c r="AP65" s="585">
        <f t="shared" si="95"/>
        <v>-12.712456618232753</v>
      </c>
      <c r="AQ65" s="586">
        <f t="shared" si="246"/>
        <v>0.38557698092750936</v>
      </c>
      <c r="AS65" s="52">
        <f t="shared" si="406"/>
        <v>-191.47802433156289</v>
      </c>
      <c r="AT65" s="72">
        <f t="shared" si="247"/>
        <v>-0.27723038693667945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4.1369999999999996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-1.3740660083084186</v>
      </c>
      <c r="C66" s="708">
        <v>-6.395271545365147</v>
      </c>
      <c r="D66" s="709">
        <v>-0.82010247342906006</v>
      </c>
      <c r="E66" s="710">
        <v>0.84642913214446258</v>
      </c>
      <c r="F66" s="708">
        <v>-0.47713564554575882</v>
      </c>
      <c r="G66" s="711">
        <v>0.2364303280182222</v>
      </c>
      <c r="H66" s="710">
        <v>0.314</v>
      </c>
      <c r="I66" s="708">
        <v>0.52</v>
      </c>
      <c r="J66" s="570">
        <v>4.1429999999999998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4.1429999999999998</v>
      </c>
      <c r="N66" s="632">
        <f t="shared" si="240"/>
        <v>-1.3740660083084186</v>
      </c>
      <c r="O66" s="629">
        <f t="shared" si="241"/>
        <v>-6.395271545365147</v>
      </c>
      <c r="P66" s="633">
        <f t="shared" si="242"/>
        <v>-0.82010247342906006</v>
      </c>
      <c r="Q66" s="585">
        <f t="shared" si="113"/>
        <v>257.87397576199675</v>
      </c>
      <c r="R66" s="629">
        <f t="shared" si="79"/>
        <v>6.5412197283186986</v>
      </c>
      <c r="S66" s="634">
        <f t="shared" si="80"/>
        <v>-0.82010247342906006</v>
      </c>
      <c r="T66" s="635">
        <f t="shared" si="81"/>
        <v>-6.395271545365147</v>
      </c>
      <c r="U66" s="629">
        <f t="shared" si="82"/>
        <v>1.3740660083084186</v>
      </c>
      <c r="V66" s="636">
        <f t="shared" si="114"/>
        <v>-0.82010247342906006</v>
      </c>
      <c r="W66" s="585">
        <f t="shared" si="224"/>
        <v>167.87397576199675</v>
      </c>
      <c r="X66" s="629">
        <f t="shared" si="83"/>
        <v>6.5412197283186986</v>
      </c>
      <c r="Y66" s="630">
        <f t="shared" si="223"/>
        <v>-0.82010247342906006</v>
      </c>
      <c r="Z66" s="632">
        <f t="shared" si="243"/>
        <v>-0.84642913214446258</v>
      </c>
      <c r="AA66" s="629">
        <f t="shared" si="244"/>
        <v>0.47713564554575882</v>
      </c>
      <c r="AB66" s="629">
        <f t="shared" si="245"/>
        <v>-0.2364303280182222</v>
      </c>
      <c r="AC66" s="636">
        <f t="shared" si="84"/>
        <v>1</v>
      </c>
      <c r="AD66" s="637">
        <f t="shared" si="115"/>
        <v>-0.84642913214446258</v>
      </c>
      <c r="AE66" s="629">
        <f t="shared" si="85"/>
        <v>0.47713564554575882</v>
      </c>
      <c r="AF66" s="633">
        <f t="shared" si="86"/>
        <v>-0.2364303280182222</v>
      </c>
      <c r="AG66" s="602">
        <f t="shared" si="87"/>
        <v>63.640657625173986</v>
      </c>
      <c r="AH66" s="603">
        <f t="shared" si="88"/>
        <v>147.82538040200939</v>
      </c>
      <c r="AI66" s="585">
        <f t="shared" si="89"/>
        <v>-76.324049281459708</v>
      </c>
      <c r="AJ66" s="586">
        <f t="shared" si="90"/>
        <v>-119.41013806638402</v>
      </c>
      <c r="AK66" s="635">
        <f t="shared" si="211"/>
        <v>0.92777192449215928</v>
      </c>
      <c r="AL66" s="629">
        <f t="shared" si="91"/>
        <v>-0.28868660536524904</v>
      </c>
      <c r="AM66" s="634">
        <f t="shared" si="92"/>
        <v>-0.2364303280182222</v>
      </c>
      <c r="AN66" s="581">
        <f t="shared" si="93"/>
        <v>-50.682999166613158</v>
      </c>
      <c r="AO66" s="582">
        <f t="shared" si="461"/>
        <v>21.909879715550943</v>
      </c>
      <c r="AP66" s="585">
        <f t="shared" si="95"/>
        <v>-17.284113828380754</v>
      </c>
      <c r="AQ66" s="586">
        <f t="shared" si="246"/>
        <v>0.34851275611625138</v>
      </c>
      <c r="AS66" s="52">
        <f t="shared" si="406"/>
        <v>-192.12602423800325</v>
      </c>
      <c r="AT66" s="72">
        <f t="shared" si="247"/>
        <v>-0.68668162326378002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4.1429999999999998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-1.5521760339235471</v>
      </c>
      <c r="C67" s="708">
        <v>-6.8869742472378706</v>
      </c>
      <c r="D67" s="709">
        <v>-1.3618041072011877</v>
      </c>
      <c r="E67" s="710">
        <v>0.79828452685470142</v>
      </c>
      <c r="F67" s="708">
        <v>-0.57189960777365811</v>
      </c>
      <c r="G67" s="711">
        <v>0.18887205408080243</v>
      </c>
      <c r="H67" s="710">
        <v>0.314</v>
      </c>
      <c r="I67" s="708">
        <v>0.52</v>
      </c>
      <c r="J67" s="570">
        <v>4.149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4.149</v>
      </c>
      <c r="N67" s="632">
        <f t="shared" si="240"/>
        <v>-1.5521760339235471</v>
      </c>
      <c r="O67" s="629">
        <f t="shared" si="241"/>
        <v>-6.8869742472378706</v>
      </c>
      <c r="P67" s="633">
        <f t="shared" si="242"/>
        <v>-1.3618041072011877</v>
      </c>
      <c r="Q67" s="585">
        <f t="shared" si="113"/>
        <v>257.29897584501646</v>
      </c>
      <c r="R67" s="629">
        <f>IF(M67="","",SQRT(N67^2+O67^2))</f>
        <v>7.0597212921194181</v>
      </c>
      <c r="S67" s="634">
        <f>IF(M67="","",P67)</f>
        <v>-1.3618041072011877</v>
      </c>
      <c r="T67" s="635">
        <f>IF(M67="","",X67*COS(RADIANS(W67)))</f>
        <v>-6.8869742472378706</v>
      </c>
      <c r="U67" s="629">
        <f>IF(M67="","",X67*SIN(RADIANS(W67)))</f>
        <v>1.5521760339235484</v>
      </c>
      <c r="V67" s="636">
        <f>IF(M67="","",Y67)</f>
        <v>-1.3618041072011877</v>
      </c>
      <c r="W67" s="585">
        <f t="shared" si="224"/>
        <v>167.29897584501646</v>
      </c>
      <c r="X67" s="629">
        <f>IF(M67="","",R67)</f>
        <v>7.0597212921194181</v>
      </c>
      <c r="Y67" s="630">
        <f t="shared" si="223"/>
        <v>-1.3618041072011877</v>
      </c>
      <c r="Z67" s="632">
        <f t="shared" si="243"/>
        <v>-0.79828452685470142</v>
      </c>
      <c r="AA67" s="629">
        <f t="shared" si="244"/>
        <v>0.57189960777365811</v>
      </c>
      <c r="AB67" s="629">
        <f t="shared" si="245"/>
        <v>-0.18887205408080243</v>
      </c>
      <c r="AC67" s="636">
        <f>IF(M67="","",SQRT(Z67^2+AA67^2+AB67^2))</f>
        <v>1</v>
      </c>
      <c r="AD67" s="637">
        <f>IF(M67="","",Z67*(1/SQRT(Z67^2+AA67^2+AB67^2)))</f>
        <v>-0.79828452685470142</v>
      </c>
      <c r="AE67" s="629">
        <f>IF(M67="","",AA67*(1/SQRT(Z67^2+AA67^2+AB67^2)))</f>
        <v>0.57189960777365811</v>
      </c>
      <c r="AF67" s="633">
        <f>IF(M67="","",AB67*(1/SQRT(Z67^2+AA67^2+AB67^2)))</f>
        <v>-0.18887205408080243</v>
      </c>
      <c r="AG67" s="602">
        <f>IF(M67="","",DEGREES(ATAN2(-AF67,AE67)))</f>
        <v>71.723994253070771</v>
      </c>
      <c r="AH67" s="603">
        <f>IF(M67="","",DEGREES(ACOS(AD67)))</f>
        <v>142.96659757557094</v>
      </c>
      <c r="AI67" s="585">
        <f>IF(M67="","",DEGREES(-ACOS(-AF67)))</f>
        <v>-79.113034113635948</v>
      </c>
      <c r="AJ67" s="586">
        <f>IF(M67="","",DEGREES(ATAN2(-AE67,AD67)))</f>
        <v>-125.61821830653341</v>
      </c>
      <c r="AK67" s="635">
        <f>IF(M67="","",(COS(RADIANS((90-$Q$8)-W67))*AD67)+(-SIN(RADIANS((90-$Q$8)-W67))*AE67))</f>
        <v>0.90449092523542829</v>
      </c>
      <c r="AL67" s="629">
        <f>IF(M67="","",(SIN(RADIANS((90-$Q$8)-W67))*AD67)+(COS(RADIANS((90-$Q$8)-W67))*AE67))</f>
        <v>-0.38239183222717665</v>
      </c>
      <c r="AM67" s="634">
        <f>IF(M67="","",AF67)</f>
        <v>-0.18887205408080243</v>
      </c>
      <c r="AN67" s="581">
        <f>IF(M67="","",DEGREES(ATAN2(-AM67,AL67)))</f>
        <v>-63.714182575543965</v>
      </c>
      <c r="AO67" s="582">
        <f t="shared" si="461"/>
        <v>25.24519371068331</v>
      </c>
      <c r="AP67" s="585">
        <f>IF(M67="","",DEGREES(ATAN2(AK67,AL67)))</f>
        <v>-22.917194151549854</v>
      </c>
      <c r="AQ67" s="586">
        <f t="shared" si="246"/>
        <v>0.322916783791037</v>
      </c>
      <c r="AS67" s="52">
        <f t="shared" si="406"/>
        <v>-192.70102415498354</v>
      </c>
      <c r="AT67" s="72">
        <f t="shared" si="247"/>
        <v>-1.2279839515380047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4.149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-1.6921083401140375</v>
      </c>
      <c r="C68" s="708">
        <v>-7.2461764102512563</v>
      </c>
      <c r="D68" s="709">
        <v>-2.008106056447867</v>
      </c>
      <c r="E68" s="710">
        <v>0.75318350260299272</v>
      </c>
      <c r="F68" s="708">
        <v>-0.64275597889982494</v>
      </c>
      <c r="G68" s="711">
        <v>0.13992627700048257</v>
      </c>
      <c r="H68" s="710">
        <v>0.314</v>
      </c>
      <c r="I68" s="708">
        <v>0.52</v>
      </c>
      <c r="J68" s="570">
        <v>4.1550000000000002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4.1550000000000002</v>
      </c>
      <c r="N68" s="632">
        <f t="shared" si="240"/>
        <v>-1.6921083401140375</v>
      </c>
      <c r="O68" s="629">
        <f t="shared" si="241"/>
        <v>-7.2461764102512563</v>
      </c>
      <c r="P68" s="633">
        <f t="shared" si="242"/>
        <v>-2.008106056447867</v>
      </c>
      <c r="Q68" s="585">
        <f t="shared" si="113"/>
        <v>256.85597590897771</v>
      </c>
      <c r="R68" s="629">
        <f>IF(M68="","",SQRT(N68^2+O68^2))</f>
        <v>7.4411224424252866</v>
      </c>
      <c r="S68" s="634">
        <f>IF(M68="","",P68)</f>
        <v>-2.008106056447867</v>
      </c>
      <c r="T68" s="635">
        <f>IF(M68="","",X68*COS(RADIANS(W68)))</f>
        <v>-7.2461764102512554</v>
      </c>
      <c r="U68" s="629">
        <f>IF(M68="","",X68*SIN(RADIANS(W68)))</f>
        <v>1.6921083401140409</v>
      </c>
      <c r="V68" s="636">
        <f>IF(M68="","",Y68)</f>
        <v>-2.008106056447867</v>
      </c>
      <c r="W68" s="585">
        <f t="shared" si="224"/>
        <v>166.85597590897771</v>
      </c>
      <c r="X68" s="629">
        <f>IF(M68="","",R68)</f>
        <v>7.4411224424252866</v>
      </c>
      <c r="Y68" s="630">
        <f t="shared" si="223"/>
        <v>-2.008106056447867</v>
      </c>
      <c r="Z68" s="632">
        <f t="shared" si="243"/>
        <v>-0.75318350260299272</v>
      </c>
      <c r="AA68" s="629">
        <f t="shared" si="244"/>
        <v>0.64275597889982494</v>
      </c>
      <c r="AB68" s="629">
        <f t="shared" si="245"/>
        <v>-0.13992627700048257</v>
      </c>
      <c r="AC68" s="636">
        <f>IF(M68="","",SQRT(Z68^2+AA68^2+AB68^2))</f>
        <v>1</v>
      </c>
      <c r="AD68" s="637">
        <f>IF(M68="","",Z68*(1/SQRT(Z68^2+AA68^2+AB68^2)))</f>
        <v>-0.75318350260299272</v>
      </c>
      <c r="AE68" s="629">
        <f>IF(M68="","",AA68*(1/SQRT(Z68^2+AA68^2+AB68^2)))</f>
        <v>0.64275597889982494</v>
      </c>
      <c r="AF68" s="633">
        <f>IF(M68="","",AB68*(1/SQRT(Z68^2+AA68^2+AB68^2)))</f>
        <v>-0.13992627700048257</v>
      </c>
      <c r="AG68" s="602">
        <f>IF(M68="","",DEGREES(ATAN2(-AF68,AE68)))</f>
        <v>77.718483193581207</v>
      </c>
      <c r="AH68" s="603">
        <f>IF(M68="","",DEGREES(ACOS(AD68)))</f>
        <v>138.86690037675393</v>
      </c>
      <c r="AI68" s="585">
        <f>IF(M68="","",DEGREES(-ACOS(-AF68)))</f>
        <v>-81.956419760950908</v>
      </c>
      <c r="AJ68" s="586">
        <f>IF(M68="","",DEGREES(ATAN2(-AE68,AD68)))</f>
        <v>-130.47696536435782</v>
      </c>
      <c r="AK68" s="635">
        <f>IF(M68="","",(COS(RADIANS((90-$Q$8)-W68))*AD68)+(-SIN(RADIANS((90-$Q$8)-W68))*AE68))</f>
        <v>0.8796137051029983</v>
      </c>
      <c r="AL68" s="629">
        <f>IF(M68="","",(SIN(RADIANS((90-$Q$8)-W68))*AD68)+(COS(RADIANS((90-$Q$8)-W68))*AE68))</f>
        <v>-0.45464312026001219</v>
      </c>
      <c r="AM68" s="634">
        <f>IF(M68="","",AF68)</f>
        <v>-0.13992627700048257</v>
      </c>
      <c r="AN68" s="581">
        <f>IF(M68="","",DEGREES(ATAN2(-AM68,AL68)))</f>
        <v>-72.893116730903699</v>
      </c>
      <c r="AO68" s="582">
        <f t="shared" si="461"/>
        <v>28.404200039119495</v>
      </c>
      <c r="AP68" s="585">
        <f>IF(M68="","",DEGREES(ATAN2(AK68,AL68)))</f>
        <v>-27.332941273335521</v>
      </c>
      <c r="AQ68" s="586">
        <f t="shared" si="246"/>
        <v>0.30636572945916024</v>
      </c>
      <c r="AS68" s="52">
        <f t="shared" si="406"/>
        <v>-193.14402409102229</v>
      </c>
      <c r="AT68" s="72">
        <f t="shared" si="247"/>
        <v>-1.8739782619402126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4.1550000000000002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-1.777249104382536</v>
      </c>
      <c r="C69" s="708">
        <v>-7.4549024369900039</v>
      </c>
      <c r="D69" s="709">
        <v>-2.7243082165135819</v>
      </c>
      <c r="E69" s="710">
        <v>0.72192832269980667</v>
      </c>
      <c r="F69" s="708">
        <v>-0.68848284455131581</v>
      </c>
      <c r="G69" s="711">
        <v>6.9360432830056384E-2</v>
      </c>
      <c r="H69" s="710">
        <v>0.314</v>
      </c>
      <c r="I69" s="708">
        <v>0.52</v>
      </c>
      <c r="J69" s="570">
        <v>4.1609999999999996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4.1609999999999996</v>
      </c>
      <c r="N69" s="632">
        <f t="shared" si="240"/>
        <v>-1.777249104382536</v>
      </c>
      <c r="O69" s="629">
        <f t="shared" si="241"/>
        <v>-7.4549024369900039</v>
      </c>
      <c r="P69" s="633">
        <f t="shared" si="242"/>
        <v>-2.7243082165135819</v>
      </c>
      <c r="Q69" s="585">
        <f t="shared" si="113"/>
        <v>256.59097594723903</v>
      </c>
      <c r="R69" s="629">
        <f t="shared" si="79"/>
        <v>7.6638231140905146</v>
      </c>
      <c r="S69" s="634">
        <f t="shared" si="80"/>
        <v>-2.7243082165135819</v>
      </c>
      <c r="T69" s="635">
        <f t="shared" si="81"/>
        <v>-7.4549024369900057</v>
      </c>
      <c r="U69" s="629">
        <f t="shared" si="82"/>
        <v>1.7772491043825316</v>
      </c>
      <c r="V69" s="636">
        <f t="shared" si="114"/>
        <v>-2.7243082165135819</v>
      </c>
      <c r="W69" s="585">
        <f t="shared" si="224"/>
        <v>166.59097594723903</v>
      </c>
      <c r="X69" s="629">
        <f t="shared" si="83"/>
        <v>7.6638231140905146</v>
      </c>
      <c r="Y69" s="630">
        <f t="shared" si="223"/>
        <v>-2.7243082165135819</v>
      </c>
      <c r="Z69" s="632">
        <f t="shared" si="243"/>
        <v>-0.72192832269980667</v>
      </c>
      <c r="AA69" s="629">
        <f t="shared" si="244"/>
        <v>0.68848284455131581</v>
      </c>
      <c r="AB69" s="629">
        <f t="shared" si="245"/>
        <v>-6.9360432830056384E-2</v>
      </c>
      <c r="AC69" s="636">
        <f t="shared" si="84"/>
        <v>1</v>
      </c>
      <c r="AD69" s="637">
        <f t="shared" si="115"/>
        <v>-0.72192832269980667</v>
      </c>
      <c r="AE69" s="629">
        <f t="shared" si="85"/>
        <v>0.68848284455131581</v>
      </c>
      <c r="AF69" s="633">
        <f t="shared" si="86"/>
        <v>-6.9360432830056384E-2</v>
      </c>
      <c r="AG69" s="602">
        <f t="shared" si="87"/>
        <v>84.247210805453463</v>
      </c>
      <c r="AH69" s="603">
        <f t="shared" si="88"/>
        <v>136.21391667438701</v>
      </c>
      <c r="AI69" s="585">
        <f t="shared" si="89"/>
        <v>-86.022746568017197</v>
      </c>
      <c r="AJ69" s="586">
        <f t="shared" si="90"/>
        <v>-133.6415835898963</v>
      </c>
      <c r="AK69" s="635">
        <f t="shared" si="211"/>
        <v>0.86190803633551138</v>
      </c>
      <c r="AL69" s="629">
        <f t="shared" si="91"/>
        <v>-0.50229838468572663</v>
      </c>
      <c r="AM69" s="634">
        <f t="shared" si="92"/>
        <v>-6.9360432830056384E-2</v>
      </c>
      <c r="AN69" s="581">
        <f t="shared" si="93"/>
        <v>-82.13796727594962</v>
      </c>
      <c r="AO69" s="582">
        <f t="shared" si="461"/>
        <v>30.46850312590373</v>
      </c>
      <c r="AP69" s="585">
        <f t="shared" si="95"/>
        <v>-30.23255953713532</v>
      </c>
      <c r="AQ69" s="586">
        <f t="shared" si="246"/>
        <v>0.29746330460319637</v>
      </c>
      <c r="AS69" s="52">
        <f t="shared" si="406"/>
        <v>-193.40902405276097</v>
      </c>
      <c r="AT69" s="72">
        <f t="shared" si="247"/>
        <v>-2.5899963942547202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4.1609999999999996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-1.8043462546821787</v>
      </c>
      <c r="C70" s="708">
        <v>-7.5196762512415845</v>
      </c>
      <c r="D70" s="709">
        <v>-3.4611104387090843</v>
      </c>
      <c r="E70" s="710">
        <v>0.63686747755924222</v>
      </c>
      <c r="F70" s="708">
        <v>-0.77010777803192831</v>
      </c>
      <c r="G70" s="711">
        <v>3.6521585973975035E-2</v>
      </c>
      <c r="H70" s="710">
        <v>0.314</v>
      </c>
      <c r="I70" s="708">
        <v>0.52</v>
      </c>
      <c r="J70" s="570">
        <v>4.1669999999999998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4.1669999999999998</v>
      </c>
      <c r="N70" s="632">
        <f t="shared" si="240"/>
        <v>-1.8043462546821787</v>
      </c>
      <c r="O70" s="629">
        <f t="shared" si="241"/>
        <v>-7.5196762512415845</v>
      </c>
      <c r="P70" s="633">
        <f t="shared" si="242"/>
        <v>-3.4611104387090843</v>
      </c>
      <c r="Q70" s="585">
        <f t="shared" si="113"/>
        <v>256.50697595936708</v>
      </c>
      <c r="R70" s="629">
        <f t="shared" si="79"/>
        <v>7.7331233230999423</v>
      </c>
      <c r="S70" s="634">
        <f t="shared" si="80"/>
        <v>-3.4611104387090843</v>
      </c>
      <c r="T70" s="635">
        <f t="shared" si="81"/>
        <v>-7.5196762512415845</v>
      </c>
      <c r="U70" s="629">
        <f t="shared" si="82"/>
        <v>1.8043462546821802</v>
      </c>
      <c r="V70" s="636">
        <f t="shared" si="114"/>
        <v>-3.4611104387090843</v>
      </c>
      <c r="W70" s="585">
        <f t="shared" si="224"/>
        <v>166.50697595936708</v>
      </c>
      <c r="X70" s="629">
        <f t="shared" si="83"/>
        <v>7.7331233230999423</v>
      </c>
      <c r="Y70" s="630">
        <f t="shared" si="223"/>
        <v>-3.4611104387090843</v>
      </c>
      <c r="Z70" s="632">
        <f t="shared" si="243"/>
        <v>-0.63686747755924222</v>
      </c>
      <c r="AA70" s="629">
        <f t="shared" si="244"/>
        <v>0.77010777803192831</v>
      </c>
      <c r="AB70" s="629">
        <f t="shared" si="245"/>
        <v>-3.6521585973975035E-2</v>
      </c>
      <c r="AC70" s="636">
        <f t="shared" si="84"/>
        <v>1</v>
      </c>
      <c r="AD70" s="637">
        <f t="shared" si="115"/>
        <v>-0.63686747755924222</v>
      </c>
      <c r="AE70" s="629">
        <f t="shared" si="85"/>
        <v>0.77010777803192831</v>
      </c>
      <c r="AF70" s="633">
        <f t="shared" si="86"/>
        <v>-3.6521585973975035E-2</v>
      </c>
      <c r="AG70" s="602">
        <f t="shared" si="87"/>
        <v>87.284839623730633</v>
      </c>
      <c r="AH70" s="603">
        <f t="shared" si="88"/>
        <v>129.55862980621495</v>
      </c>
      <c r="AI70" s="585">
        <f t="shared" si="89"/>
        <v>-87.907001803954884</v>
      </c>
      <c r="AJ70" s="586">
        <f t="shared" si="90"/>
        <v>-140.4097666831685</v>
      </c>
      <c r="AK70" s="635">
        <f t="shared" si="211"/>
        <v>0.79897579193229684</v>
      </c>
      <c r="AL70" s="629">
        <f t="shared" si="91"/>
        <v>-0.60025316131121265</v>
      </c>
      <c r="AM70" s="634">
        <f t="shared" si="92"/>
        <v>-3.6521585973975035E-2</v>
      </c>
      <c r="AN70" s="581">
        <f t="shared" si="93"/>
        <v>-86.518208577493468</v>
      </c>
      <c r="AO70" s="582">
        <f t="shared" si="461"/>
        <v>36.967591309159999</v>
      </c>
      <c r="AP70" s="585">
        <f t="shared" si="95"/>
        <v>-36.916742642535581</v>
      </c>
      <c r="AQ70" s="586">
        <f t="shared" si="246"/>
        <v>0.29479764121423574</v>
      </c>
      <c r="AS70" s="52">
        <f t="shared" si="406"/>
        <v>-193.49302404063292</v>
      </c>
      <c r="AT70" s="72">
        <f t="shared" si="247"/>
        <v>-3.3267402831253117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4.1669999999999998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-1.8186881152107901</v>
      </c>
      <c r="C71" s="708">
        <v>-7.5753671860925529</v>
      </c>
      <c r="D71" s="709">
        <v>-4.1947126512533561</v>
      </c>
      <c r="E71" s="710">
        <v>0.59482253050359113</v>
      </c>
      <c r="F71" s="708">
        <v>-0.80385705023050169</v>
      </c>
      <c r="G71" s="711">
        <v>1.4578093184580654E-7</v>
      </c>
      <c r="H71" s="710">
        <v>0.314</v>
      </c>
      <c r="I71" s="708">
        <v>0.52</v>
      </c>
      <c r="J71" s="570">
        <v>4.173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4.173</v>
      </c>
      <c r="N71" s="632">
        <f t="shared" si="240"/>
        <v>-1.8186881152107901</v>
      </c>
      <c r="O71" s="629">
        <f t="shared" si="241"/>
        <v>-7.5753671860925529</v>
      </c>
      <c r="P71" s="633">
        <f t="shared" si="242"/>
        <v>-4.1947126512533561</v>
      </c>
      <c r="Q71" s="585">
        <f t="shared" si="113"/>
        <v>256.49997596037781</v>
      </c>
      <c r="R71" s="629">
        <f t="shared" si="79"/>
        <v>7.7906234965204666</v>
      </c>
      <c r="S71" s="634">
        <f t="shared" si="80"/>
        <v>-4.1947126512533561</v>
      </c>
      <c r="T71" s="635">
        <f t="shared" si="81"/>
        <v>-7.5753671860925538</v>
      </c>
      <c r="U71" s="629">
        <f t="shared" si="82"/>
        <v>1.818688115210787</v>
      </c>
      <c r="V71" s="636">
        <f t="shared" si="114"/>
        <v>-4.1947126512533561</v>
      </c>
      <c r="W71" s="585">
        <f t="shared" si="224"/>
        <v>166.49997596037781</v>
      </c>
      <c r="X71" s="629">
        <f t="shared" si="83"/>
        <v>7.7906234965204666</v>
      </c>
      <c r="Y71" s="630">
        <f t="shared" si="223"/>
        <v>-4.1947126512533561</v>
      </c>
      <c r="Z71" s="632">
        <f t="shared" si="243"/>
        <v>-0.59482253050359113</v>
      </c>
      <c r="AA71" s="629">
        <f t="shared" si="244"/>
        <v>0.80385705023050169</v>
      </c>
      <c r="AB71" s="629">
        <f t="shared" si="245"/>
        <v>-1.4578093184580654E-7</v>
      </c>
      <c r="AC71" s="636">
        <f t="shared" si="84"/>
        <v>1</v>
      </c>
      <c r="AD71" s="637">
        <f t="shared" si="115"/>
        <v>-0.59482253050359113</v>
      </c>
      <c r="AE71" s="629">
        <f t="shared" si="85"/>
        <v>0.80385705023050169</v>
      </c>
      <c r="AF71" s="633">
        <f t="shared" si="86"/>
        <v>-1.4578093184580654E-7</v>
      </c>
      <c r="AG71" s="602">
        <f t="shared" si="87"/>
        <v>89.999989609306624</v>
      </c>
      <c r="AH71" s="603">
        <f t="shared" si="88"/>
        <v>126.49998173566267</v>
      </c>
      <c r="AI71" s="585">
        <f t="shared" si="89"/>
        <v>-89.999991647367878</v>
      </c>
      <c r="AJ71" s="586">
        <f t="shared" si="90"/>
        <v>-143.50001826433686</v>
      </c>
      <c r="AK71" s="635">
        <f t="shared" si="211"/>
        <v>0.76604450791050704</v>
      </c>
      <c r="AL71" s="629">
        <f t="shared" si="91"/>
        <v>-0.64278753247097742</v>
      </c>
      <c r="AM71" s="634">
        <f t="shared" si="92"/>
        <v>-1.4578093184580654E-7</v>
      </c>
      <c r="AN71" s="581">
        <f t="shared" si="93"/>
        <v>-89.999987005609626</v>
      </c>
      <c r="AO71" s="582">
        <f t="shared" si="461"/>
        <v>39.999994224715394</v>
      </c>
      <c r="AP71" s="585">
        <f t="shared" si="95"/>
        <v>-39.999994224714676</v>
      </c>
      <c r="AQ71" s="586">
        <f t="shared" si="246"/>
        <v>0.29262186932050371</v>
      </c>
      <c r="AS71" s="52">
        <f t="shared" si="406"/>
        <v>-193.50002403962219</v>
      </c>
      <c r="AT71" s="72">
        <f t="shared" si="247"/>
        <v>-4.0603376345591737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4.173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-0.53535769678556022</v>
      </c>
      <c r="C72" s="708">
        <v>-0.24964120498541451</v>
      </c>
      <c r="D72" s="709">
        <v>-0.97250293306884628</v>
      </c>
      <c r="E72" s="710">
        <v>0.4735944187439165</v>
      </c>
      <c r="F72" s="708">
        <v>-0.83146955959349167</v>
      </c>
      <c r="G72" s="711">
        <v>0.29045946017304541</v>
      </c>
      <c r="H72" s="710">
        <v>0.314</v>
      </c>
      <c r="I72" s="708">
        <v>0.52</v>
      </c>
      <c r="J72" s="570">
        <v>5.1020000000000003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5.1020000000000003</v>
      </c>
      <c r="N72" s="632">
        <f t="shared" si="240"/>
        <v>-0.53535769678556022</v>
      </c>
      <c r="O72" s="629">
        <f t="shared" si="241"/>
        <v>-0.24964120498541451</v>
      </c>
      <c r="P72" s="633">
        <f t="shared" si="242"/>
        <v>-0.97250293306884628</v>
      </c>
      <c r="Q72" s="585">
        <f t="shared" si="113"/>
        <v>204.99998339605673</v>
      </c>
      <c r="R72" s="629">
        <f t="shared" si="79"/>
        <v>0.59070178155657327</v>
      </c>
      <c r="S72" s="634">
        <f t="shared" si="80"/>
        <v>-0.97250293306884628</v>
      </c>
      <c r="T72" s="635">
        <f t="shared" si="81"/>
        <v>-0.24964120498541453</v>
      </c>
      <c r="U72" s="629">
        <f t="shared" si="82"/>
        <v>0.53535769678556022</v>
      </c>
      <c r="V72" s="636">
        <f t="shared" si="114"/>
        <v>-0.97250293306884628</v>
      </c>
      <c r="W72" s="585">
        <f t="shared" si="224"/>
        <v>114.99998339605673</v>
      </c>
      <c r="X72" s="629">
        <f t="shared" si="83"/>
        <v>0.59070178155657327</v>
      </c>
      <c r="Y72" s="630">
        <f t="shared" si="223"/>
        <v>-0.97250293306884628</v>
      </c>
      <c r="Z72" s="632">
        <f t="shared" si="243"/>
        <v>-0.4735944187439165</v>
      </c>
      <c r="AA72" s="629">
        <f t="shared" si="244"/>
        <v>0.83146955959349167</v>
      </c>
      <c r="AB72" s="629">
        <f t="shared" si="245"/>
        <v>-0.29045946017304541</v>
      </c>
      <c r="AC72" s="636">
        <f t="shared" si="84"/>
        <v>1</v>
      </c>
      <c r="AD72" s="637">
        <f t="shared" si="115"/>
        <v>-0.4735944187439165</v>
      </c>
      <c r="AE72" s="629">
        <f t="shared" si="85"/>
        <v>0.83146955959349167</v>
      </c>
      <c r="AF72" s="633">
        <f t="shared" si="86"/>
        <v>-0.29045946017304541</v>
      </c>
      <c r="AG72" s="602">
        <f t="shared" si="87"/>
        <v>70.744024694262023</v>
      </c>
      <c r="AH72" s="603">
        <f t="shared" si="88"/>
        <v>118.26787216468571</v>
      </c>
      <c r="AI72" s="585">
        <f t="shared" si="89"/>
        <v>-73.114534769632428</v>
      </c>
      <c r="AJ72" s="586">
        <f t="shared" si="90"/>
        <v>-150.33471465516058</v>
      </c>
      <c r="AK72" s="635">
        <f t="shared" si="211"/>
        <v>0.95371696400905348</v>
      </c>
      <c r="AL72" s="629">
        <f t="shared" si="91"/>
        <v>7.7828366019961071E-2</v>
      </c>
      <c r="AM72" s="634">
        <f t="shared" si="92"/>
        <v>-0.29045946017304541</v>
      </c>
      <c r="AN72" s="581">
        <f t="shared" si="93"/>
        <v>14.999997834268179</v>
      </c>
      <c r="AO72" s="582">
        <f t="shared" si="461"/>
        <v>17.499997473312952</v>
      </c>
      <c r="AP72" s="585">
        <f t="shared" si="95"/>
        <v>4.665301948782675</v>
      </c>
      <c r="AQ72" s="586">
        <f t="shared" si="246"/>
        <v>3.8535319064959626</v>
      </c>
      <c r="AS72" s="52">
        <f t="shared" si="406"/>
        <v>-245.00001660394327</v>
      </c>
      <c r="AT72" s="72">
        <f t="shared" si="247"/>
        <v>-0.80236403264944123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5.1020000000000003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-1.2075683006552913</v>
      </c>
      <c r="C73" s="708">
        <v>-0.56309792030229544</v>
      </c>
      <c r="D73" s="709">
        <v>-0.77370233348623796</v>
      </c>
      <c r="E73" s="710">
        <v>0.4735944187439165</v>
      </c>
      <c r="F73" s="708">
        <v>-0.83146955959349167</v>
      </c>
      <c r="G73" s="711">
        <v>0.29045946017304541</v>
      </c>
      <c r="H73" s="710">
        <v>0.314</v>
      </c>
      <c r="I73" s="708">
        <v>0.52</v>
      </c>
      <c r="J73" s="570">
        <v>5.1050000000000004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5.1050000000000004</v>
      </c>
      <c r="N73" s="632">
        <f t="shared" ref="N73:N104" si="465">IF(M73="","",B73)</f>
        <v>-1.2075683006552913</v>
      </c>
      <c r="O73" s="629">
        <f t="shared" ref="O73:O104" si="466">IF(M73="","",C73)</f>
        <v>-0.56309792030229544</v>
      </c>
      <c r="P73" s="633">
        <f t="shared" ref="P73:P104" si="467">IF(M73="","",D73)</f>
        <v>-0.77370233348623796</v>
      </c>
      <c r="Q73" s="585">
        <f t="shared" si="113"/>
        <v>204.99998339605673</v>
      </c>
      <c r="R73" s="629">
        <f>IF(M73="","",SQRT(N73^2+O73^2))</f>
        <v>1.3324040185305199</v>
      </c>
      <c r="S73" s="634">
        <f>IF(M73="","",P73)</f>
        <v>-0.77370233348623796</v>
      </c>
      <c r="T73" s="635">
        <f>IF(M73="","",X73*COS(RADIANS(W73)))</f>
        <v>-0.56309792030229611</v>
      </c>
      <c r="U73" s="629">
        <f>IF(M73="","",X73*SIN(RADIANS(W73)))</f>
        <v>1.2075683006552911</v>
      </c>
      <c r="V73" s="636">
        <f>IF(M73="","",Y73)</f>
        <v>-0.77370233348623796</v>
      </c>
      <c r="W73" s="585">
        <f t="shared" si="224"/>
        <v>114.99998339605673</v>
      </c>
      <c r="X73" s="629">
        <f>IF(M73="","",R73)</f>
        <v>1.3324040185305199</v>
      </c>
      <c r="Y73" s="630">
        <f t="shared" si="223"/>
        <v>-0.77370233348623796</v>
      </c>
      <c r="Z73" s="632">
        <f t="shared" ref="Z73:Z104" si="468">IF(M73="","",-E73)</f>
        <v>-0.4735944187439165</v>
      </c>
      <c r="AA73" s="629">
        <f t="shared" ref="AA73:AA104" si="469">IF(M73="","",-F73)</f>
        <v>0.83146955959349167</v>
      </c>
      <c r="AB73" s="629">
        <f t="shared" ref="AB73:AB104" si="470">IF(M73="","",-G73)</f>
        <v>-0.29045946017304541</v>
      </c>
      <c r="AC73" s="636">
        <f>IF(M73="","",SQRT(Z73^2+AA73^2+AB73^2))</f>
        <v>1</v>
      </c>
      <c r="AD73" s="637">
        <f>IF(M73="","",Z73*(1/SQRT(Z73^2+AA73^2+AB73^2)))</f>
        <v>-0.4735944187439165</v>
      </c>
      <c r="AE73" s="629">
        <f>IF(M73="","",AA73*(1/SQRT(Z73^2+AA73^2+AB73^2)))</f>
        <v>0.83146955959349167</v>
      </c>
      <c r="AF73" s="633">
        <f>IF(M73="","",AB73*(1/SQRT(Z73^2+AA73^2+AB73^2)))</f>
        <v>-0.29045946017304541</v>
      </c>
      <c r="AG73" s="602">
        <f>IF(M73="","",DEGREES(ATAN2(-AF73,AE73)))</f>
        <v>70.744024694262023</v>
      </c>
      <c r="AH73" s="603">
        <f>IF(M73="","",DEGREES(ACOS(AD73)))</f>
        <v>118.26787216468571</v>
      </c>
      <c r="AI73" s="585">
        <f>IF(M73="","",DEGREES(-ACOS(-AF73)))</f>
        <v>-73.114534769632428</v>
      </c>
      <c r="AJ73" s="586">
        <f>IF(M73="","",DEGREES(ATAN2(-AE73,AD73)))</f>
        <v>-150.33471465516058</v>
      </c>
      <c r="AK73" s="635">
        <f>IF(M73="","",(COS(RADIANS((90-$Q$8)-W73))*AD73)+(-SIN(RADIANS((90-$Q$8)-W73))*AE73))</f>
        <v>0.95371696400905348</v>
      </c>
      <c r="AL73" s="629">
        <f>IF(M73="","",(SIN(RADIANS((90-$Q$8)-W73))*AD73)+(COS(RADIANS((90-$Q$8)-W73))*AE73))</f>
        <v>7.7828366019961071E-2</v>
      </c>
      <c r="AM73" s="634">
        <f>IF(M73="","",AF73)</f>
        <v>-0.29045946017304541</v>
      </c>
      <c r="AN73" s="581">
        <f>IF(M73="","",DEGREES(ATAN2(-AM73,AL73)))</f>
        <v>14.999997834268179</v>
      </c>
      <c r="AO73" s="582">
        <f t="shared" si="461"/>
        <v>17.499997473312952</v>
      </c>
      <c r="AP73" s="585">
        <f>IF(M73="","",DEGREES(ATAN2(AK73,AL73)))</f>
        <v>4.665301948782675</v>
      </c>
      <c r="AQ73" s="586">
        <f t="shared" ref="AQ73:AQ104" si="471">IF(M73="","",DEGREES(ATAN(($AS$5*SIN(RADIANS(90)))/(($X73*2*PI())-($AS$5*COS(RADIANS(90)))))))</f>
        <v>1.710479183196129</v>
      </c>
      <c r="AS73" s="52">
        <f t="shared" si="406"/>
        <v>-245.00001660394327</v>
      </c>
      <c r="AT73" s="72">
        <f t="shared" ref="AT73:AT104" si="472">IF(M73="","",Y73+(((AS73-$AS$9)*$AS$6)*-1))</f>
        <v>-0.60356343306683291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5.1050000000000004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-1.8798695355893162</v>
      </c>
      <c r="C74" s="708">
        <v>-0.87659689754654868</v>
      </c>
      <c r="D74" s="709">
        <v>-0.57490173390362953</v>
      </c>
      <c r="E74" s="710">
        <v>0.4735944187439165</v>
      </c>
      <c r="F74" s="708">
        <v>-0.83146955959349167</v>
      </c>
      <c r="G74" s="711">
        <v>0.29045946017304541</v>
      </c>
      <c r="H74" s="710">
        <v>0.314</v>
      </c>
      <c r="I74" s="708">
        <v>0.52</v>
      </c>
      <c r="J74" s="570">
        <v>5.1079999999999997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5.1079999999999997</v>
      </c>
      <c r="N74" s="632">
        <f t="shared" si="465"/>
        <v>-1.8798695355893162</v>
      </c>
      <c r="O74" s="629">
        <f t="shared" si="466"/>
        <v>-0.87659689754654868</v>
      </c>
      <c r="P74" s="633">
        <f t="shared" si="467"/>
        <v>-0.57490173390362953</v>
      </c>
      <c r="Q74" s="585">
        <f t="shared" ref="Q74:Q129" si="520">IF(M74="","",IF(DEGREES(ATAN2(N74,O74))&lt;0,DEGREES(ATAN2(N74,O74))+360,IF(DEGREES(ATAN2(N74,O74))&gt;360,DEGREES(ATAN2(N74,O74))-360,DEGREES(ATAN2(N74,O74)))))</f>
        <v>204.99998339605673</v>
      </c>
      <c r="R74" s="629">
        <f>IF(M74="","",SQRT(N74^2+O74^2))</f>
        <v>2.0742062558060677</v>
      </c>
      <c r="S74" s="634">
        <f>IF(M74="","",P74)</f>
        <v>-0.57490173390362953</v>
      </c>
      <c r="T74" s="635">
        <f>IF(M74="","",X74*COS(RADIANS(W74)))</f>
        <v>-0.87659689754654946</v>
      </c>
      <c r="U74" s="629">
        <f>IF(M74="","",X74*SIN(RADIANS(W74)))</f>
        <v>1.879869535589316</v>
      </c>
      <c r="V74" s="636">
        <f>IF(M74="","",Y74)</f>
        <v>-0.57490173390362953</v>
      </c>
      <c r="W74" s="585">
        <f t="shared" si="224"/>
        <v>114.99998339605673</v>
      </c>
      <c r="X74" s="629">
        <f>IF(M74="","",R74)</f>
        <v>2.0742062558060677</v>
      </c>
      <c r="Y74" s="630">
        <f t="shared" si="223"/>
        <v>-0.57490173390362953</v>
      </c>
      <c r="Z74" s="632">
        <f t="shared" si="468"/>
        <v>-0.4735944187439165</v>
      </c>
      <c r="AA74" s="629">
        <f t="shared" si="469"/>
        <v>0.83146955959349167</v>
      </c>
      <c r="AB74" s="629">
        <f t="shared" si="470"/>
        <v>-0.29045946017304541</v>
      </c>
      <c r="AC74" s="636">
        <f>IF(M74="","",SQRT(Z74^2+AA74^2+AB74^2))</f>
        <v>1</v>
      </c>
      <c r="AD74" s="637">
        <f>IF(M74="","",Z74*(1/SQRT(Z74^2+AA74^2+AB74^2)))</f>
        <v>-0.4735944187439165</v>
      </c>
      <c r="AE74" s="629">
        <f>IF(M74="","",AA74*(1/SQRT(Z74^2+AA74^2+AB74^2)))</f>
        <v>0.83146955959349167</v>
      </c>
      <c r="AF74" s="633">
        <f>IF(M74="","",AB74*(1/SQRT(Z74^2+AA74^2+AB74^2)))</f>
        <v>-0.29045946017304541</v>
      </c>
      <c r="AG74" s="602">
        <f>IF(M74="","",DEGREES(ATAN2(-AF74,AE74)))</f>
        <v>70.744024694262023</v>
      </c>
      <c r="AH74" s="603">
        <f>IF(M74="","",DEGREES(ACOS(AD74)))</f>
        <v>118.26787216468571</v>
      </c>
      <c r="AI74" s="585">
        <f>IF(M74="","",DEGREES(-ACOS(-AF74)))</f>
        <v>-73.114534769632428</v>
      </c>
      <c r="AJ74" s="586">
        <f>IF(M74="","",DEGREES(ATAN2(-AE74,AD74)))</f>
        <v>-150.33471465516058</v>
      </c>
      <c r="AK74" s="635">
        <f>IF(M74="","",(COS(RADIANS((90-$Q$8)-W74))*AD74)+(-SIN(RADIANS((90-$Q$8)-W74))*AE74))</f>
        <v>0.95371696400905348</v>
      </c>
      <c r="AL74" s="629">
        <f>IF(M74="","",(SIN(RADIANS((90-$Q$8)-W74))*AD74)+(COS(RADIANS((90-$Q$8)-W74))*AE74))</f>
        <v>7.7828366019961071E-2</v>
      </c>
      <c r="AM74" s="634">
        <f>IF(M74="","",AF74)</f>
        <v>-0.29045946017304541</v>
      </c>
      <c r="AN74" s="581">
        <f>IF(M74="","",DEGREES(ATAN2(-AM74,AL74)))</f>
        <v>14.999997834268179</v>
      </c>
      <c r="AO74" s="582">
        <f t="shared" si="461"/>
        <v>17.499997473312952</v>
      </c>
      <c r="AP74" s="585">
        <f>IF(M74="","",DEGREES(ATAN2(AK74,AL74)))</f>
        <v>4.665301948782675</v>
      </c>
      <c r="AQ74" s="586">
        <f t="shared" si="471"/>
        <v>1.0989490852490227</v>
      </c>
      <c r="AS74" s="52">
        <f t="shared" si="406"/>
        <v>-245.00001660394327</v>
      </c>
      <c r="AT74" s="72">
        <f t="shared" si="472"/>
        <v>-0.40476283348422448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5.1079999999999997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-2.5521707705233405</v>
      </c>
      <c r="C75" s="708">
        <v>-1.1900958747908015</v>
      </c>
      <c r="D75" s="709">
        <v>-0.37620113462262217</v>
      </c>
      <c r="E75" s="710">
        <v>0.47359441874391672</v>
      </c>
      <c r="F75" s="708">
        <v>-0.83146955959349156</v>
      </c>
      <c r="G75" s="711">
        <v>0.29045946017304541</v>
      </c>
      <c r="H75" s="710">
        <v>0.314</v>
      </c>
      <c r="I75" s="708">
        <v>0.52</v>
      </c>
      <c r="J75" s="570">
        <v>5.1120000000000001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5.1120000000000001</v>
      </c>
      <c r="N75" s="632">
        <f t="shared" si="465"/>
        <v>-2.5521707705233405</v>
      </c>
      <c r="O75" s="629">
        <f t="shared" si="466"/>
        <v>-1.1900958747908015</v>
      </c>
      <c r="P75" s="633">
        <f t="shared" si="467"/>
        <v>-0.37620113462262217</v>
      </c>
      <c r="Q75" s="585">
        <f t="shared" si="520"/>
        <v>204.99998339605673</v>
      </c>
      <c r="R75" s="629">
        <f>IF(M75="","",SQRT(N75^2+O75^2))</f>
        <v>2.8160084930816143</v>
      </c>
      <c r="S75" s="634">
        <f>IF(M75="","",P75)</f>
        <v>-0.37620113462262217</v>
      </c>
      <c r="T75" s="635">
        <f>IF(M75="","",X75*COS(RADIANS(W75)))</f>
        <v>-1.1900958747908024</v>
      </c>
      <c r="U75" s="629">
        <f>IF(M75="","",X75*SIN(RADIANS(W75)))</f>
        <v>2.5521707705233401</v>
      </c>
      <c r="V75" s="636">
        <f>IF(M75="","",Y75)</f>
        <v>-0.37620113462262217</v>
      </c>
      <c r="W75" s="585">
        <f t="shared" si="224"/>
        <v>114.99998339605673</v>
      </c>
      <c r="X75" s="629">
        <f>IF(M75="","",R75)</f>
        <v>2.8160084930816143</v>
      </c>
      <c r="Y75" s="630">
        <f t="shared" si="223"/>
        <v>-0.37620113462262217</v>
      </c>
      <c r="Z75" s="632">
        <f t="shared" si="468"/>
        <v>-0.47359441874391672</v>
      </c>
      <c r="AA75" s="629">
        <f t="shared" si="469"/>
        <v>0.83146955959349156</v>
      </c>
      <c r="AB75" s="629">
        <f t="shared" si="470"/>
        <v>-0.29045946017304541</v>
      </c>
      <c r="AC75" s="636">
        <f>IF(M75="","",SQRT(Z75^2+AA75^2+AB75^2))</f>
        <v>1</v>
      </c>
      <c r="AD75" s="637">
        <f>IF(M75="","",Z75*(1/SQRT(Z75^2+AA75^2+AB75^2)))</f>
        <v>-0.47359441874391672</v>
      </c>
      <c r="AE75" s="629">
        <f>IF(M75="","",AA75*(1/SQRT(Z75^2+AA75^2+AB75^2)))</f>
        <v>0.83146955959349156</v>
      </c>
      <c r="AF75" s="633">
        <f>IF(M75="","",AB75*(1/SQRT(Z75^2+AA75^2+AB75^2)))</f>
        <v>-0.29045946017304541</v>
      </c>
      <c r="AG75" s="602">
        <f>IF(M75="","",DEGREES(ATAN2(-AF75,AE75)))</f>
        <v>70.744024694262023</v>
      </c>
      <c r="AH75" s="603">
        <f>IF(M75="","",DEGREES(ACOS(AD75)))</f>
        <v>118.26787216468574</v>
      </c>
      <c r="AI75" s="585">
        <f>IF(M75="","",DEGREES(-ACOS(-AF75)))</f>
        <v>-73.114534769632428</v>
      </c>
      <c r="AJ75" s="586">
        <f>IF(M75="","",DEGREES(ATAN2(-AE75,AD75)))</f>
        <v>-150.33471465516055</v>
      </c>
      <c r="AK75" s="635">
        <f>IF(M75="","",(COS(RADIANS((90-$Q$8)-W75))*AD75)+(-SIN(RADIANS((90-$Q$8)-W75))*AE75))</f>
        <v>0.95371696400905348</v>
      </c>
      <c r="AL75" s="629">
        <f>IF(M75="","",(SIN(RADIANS((90-$Q$8)-W75))*AD75)+(COS(RADIANS((90-$Q$8)-W75))*AE75))</f>
        <v>7.7828366019961348E-2</v>
      </c>
      <c r="AM75" s="634">
        <f>IF(M75="","",AF75)</f>
        <v>-0.29045946017304541</v>
      </c>
      <c r="AN75" s="581">
        <f>IF(M75="","",DEGREES(ATAN2(-AM75,AL75)))</f>
        <v>14.99999783426823</v>
      </c>
      <c r="AO75" s="582">
        <f t="shared" si="461"/>
        <v>17.499997473312952</v>
      </c>
      <c r="AP75" s="585">
        <f>IF(M75="","",DEGREES(ATAN2(AK75,AL75)))</f>
        <v>4.6653019487826919</v>
      </c>
      <c r="AQ75" s="586">
        <f t="shared" si="471"/>
        <v>0.80950570491477281</v>
      </c>
      <c r="AS75" s="52">
        <f t="shared" ref="AS75:AS106" si="543">IF(G75="","",IF(AND(W75&lt;(AS74+180),W75&gt;(AS74-180)),W75,IF(W75&gt;(AS74+180),W75-360,IF(W75&lt;(AS74-180),W75+360,"Error"))))</f>
        <v>-245.00001660394327</v>
      </c>
      <c r="AT75" s="72">
        <f t="shared" si="472"/>
        <v>-0.20606223420321712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5.1120000000000001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-3.232719432308135</v>
      </c>
      <c r="C76" s="708">
        <v>-1.5074406874258917</v>
      </c>
      <c r="D76" s="709">
        <v>-0.17500052780159178</v>
      </c>
      <c r="E76" s="710">
        <v>0.4735944187439165</v>
      </c>
      <c r="F76" s="708">
        <v>-0.83146955959349167</v>
      </c>
      <c r="G76" s="711">
        <v>0.29045946017304536</v>
      </c>
      <c r="H76" s="710">
        <v>0.314</v>
      </c>
      <c r="I76" s="708">
        <v>0.52</v>
      </c>
      <c r="J76" s="570">
        <v>5.1180000000000003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5.1180000000000003</v>
      </c>
      <c r="N76" s="632">
        <f t="shared" si="465"/>
        <v>-3.232719432308135</v>
      </c>
      <c r="O76" s="629">
        <f t="shared" si="466"/>
        <v>-1.5074406874258917</v>
      </c>
      <c r="P76" s="633">
        <f t="shared" si="467"/>
        <v>-0.17500052780159178</v>
      </c>
      <c r="Q76" s="585">
        <f t="shared" si="520"/>
        <v>204.99998339605673</v>
      </c>
      <c r="R76" s="629">
        <f t="shared" si="79"/>
        <v>3.5669107578028463</v>
      </c>
      <c r="S76" s="634">
        <f t="shared" si="80"/>
        <v>-0.17500052780159178</v>
      </c>
      <c r="T76" s="635">
        <f t="shared" si="81"/>
        <v>-1.5074406874258932</v>
      </c>
      <c r="U76" s="629">
        <f t="shared" si="82"/>
        <v>3.2327194323081345</v>
      </c>
      <c r="V76" s="636">
        <f t="shared" si="114"/>
        <v>-0.17500052780159178</v>
      </c>
      <c r="W76" s="585">
        <f t="shared" si="224"/>
        <v>114.99998339605673</v>
      </c>
      <c r="X76" s="629">
        <f t="shared" si="83"/>
        <v>3.5669107578028463</v>
      </c>
      <c r="Y76" s="630">
        <f t="shared" ref="Y76:Y129" si="644">IF(M76="","",S76)</f>
        <v>-0.17500052780159178</v>
      </c>
      <c r="Z76" s="632">
        <f t="shared" si="468"/>
        <v>-0.4735944187439165</v>
      </c>
      <c r="AA76" s="629">
        <f t="shared" si="469"/>
        <v>0.83146955959349167</v>
      </c>
      <c r="AB76" s="629">
        <f t="shared" si="470"/>
        <v>-0.29045946017304536</v>
      </c>
      <c r="AC76" s="636">
        <f t="shared" si="84"/>
        <v>1</v>
      </c>
      <c r="AD76" s="637">
        <f t="shared" si="115"/>
        <v>-0.4735944187439165</v>
      </c>
      <c r="AE76" s="629">
        <f t="shared" si="85"/>
        <v>0.83146955959349167</v>
      </c>
      <c r="AF76" s="633">
        <f t="shared" si="86"/>
        <v>-0.29045946017304536</v>
      </c>
      <c r="AG76" s="602">
        <f t="shared" si="87"/>
        <v>70.744024694262038</v>
      </c>
      <c r="AH76" s="603">
        <f t="shared" si="88"/>
        <v>118.26787216468571</v>
      </c>
      <c r="AI76" s="585">
        <f t="shared" si="89"/>
        <v>-73.114534769632428</v>
      </c>
      <c r="AJ76" s="586">
        <f t="shared" si="90"/>
        <v>-150.33471465516058</v>
      </c>
      <c r="AK76" s="635">
        <f t="shared" si="211"/>
        <v>0.95371696400905348</v>
      </c>
      <c r="AL76" s="629">
        <f t="shared" si="91"/>
        <v>7.7828366019961071E-2</v>
      </c>
      <c r="AM76" s="634">
        <f t="shared" si="92"/>
        <v>-0.29045946017304536</v>
      </c>
      <c r="AN76" s="581">
        <f t="shared" si="93"/>
        <v>14.999997834268182</v>
      </c>
      <c r="AO76" s="582">
        <f t="shared" si="461"/>
        <v>17.499997473312952</v>
      </c>
      <c r="AP76" s="585">
        <f t="shared" si="95"/>
        <v>4.665301948782675</v>
      </c>
      <c r="AQ76" s="586">
        <f t="shared" si="471"/>
        <v>0.63910544334063946</v>
      </c>
      <c r="AS76" s="52">
        <f t="shared" si="543"/>
        <v>-245.00001660394327</v>
      </c>
      <c r="AT76" s="72">
        <f t="shared" si="472"/>
        <v>-4.861627382186734E-3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5.1180000000000003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-3.9397696283169168</v>
      </c>
      <c r="C77" s="708">
        <v>-1.8168409572996096</v>
      </c>
      <c r="D77" s="709">
        <v>-6.2200187595765774E-2</v>
      </c>
      <c r="E77" s="710">
        <v>0.37663923602295357</v>
      </c>
      <c r="F77" s="708">
        <v>-0.88897535570452269</v>
      </c>
      <c r="G77" s="711">
        <v>0.26051046588969007</v>
      </c>
      <c r="H77" s="710">
        <v>0.314</v>
      </c>
      <c r="I77" s="708">
        <v>0.52</v>
      </c>
      <c r="J77" s="570">
        <v>5.1239999999999997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5.1239999999999997</v>
      </c>
      <c r="N77" s="632">
        <f t="shared" si="465"/>
        <v>-3.9397696283169168</v>
      </c>
      <c r="O77" s="629">
        <f t="shared" si="466"/>
        <v>-1.8168409572996096</v>
      </c>
      <c r="P77" s="633">
        <f t="shared" si="467"/>
        <v>-6.2200187595765774E-2</v>
      </c>
      <c r="Q77" s="585">
        <f t="shared" si="520"/>
        <v>204.75698343114158</v>
      </c>
      <c r="R77" s="629">
        <f t="shared" si="79"/>
        <v>4.3385130849554638</v>
      </c>
      <c r="S77" s="634">
        <f t="shared" si="80"/>
        <v>-6.2200187595765774E-2</v>
      </c>
      <c r="T77" s="635">
        <f t="shared" si="81"/>
        <v>-1.8168409572996096</v>
      </c>
      <c r="U77" s="629">
        <f t="shared" si="82"/>
        <v>3.9397696283169164</v>
      </c>
      <c r="V77" s="636">
        <f t="shared" si="114"/>
        <v>-6.2200187595765774E-2</v>
      </c>
      <c r="W77" s="585">
        <f t="shared" si="224"/>
        <v>114.75698343114158</v>
      </c>
      <c r="X77" s="629">
        <f t="shared" si="83"/>
        <v>4.3385130849554638</v>
      </c>
      <c r="Y77" s="630">
        <f t="shared" si="644"/>
        <v>-6.2200187595765774E-2</v>
      </c>
      <c r="Z77" s="632">
        <f t="shared" si="468"/>
        <v>-0.37663923602295357</v>
      </c>
      <c r="AA77" s="629">
        <f t="shared" si="469"/>
        <v>0.88897535570452269</v>
      </c>
      <c r="AB77" s="629">
        <f t="shared" si="470"/>
        <v>-0.26051046588969007</v>
      </c>
      <c r="AC77" s="636">
        <f t="shared" si="84"/>
        <v>1</v>
      </c>
      <c r="AD77" s="637">
        <f t="shared" si="115"/>
        <v>-0.37663923602295357</v>
      </c>
      <c r="AE77" s="629">
        <f t="shared" si="85"/>
        <v>0.88897535570452269</v>
      </c>
      <c r="AF77" s="633">
        <f t="shared" si="86"/>
        <v>-0.26051046588969007</v>
      </c>
      <c r="AG77" s="602">
        <f t="shared" si="87"/>
        <v>73.667000535696133</v>
      </c>
      <c r="AH77" s="603">
        <f t="shared" si="88"/>
        <v>112.12566392150825</v>
      </c>
      <c r="AI77" s="585">
        <f t="shared" si="89"/>
        <v>-74.899646468075616</v>
      </c>
      <c r="AJ77" s="586">
        <f t="shared" si="90"/>
        <v>-157.03869876196913</v>
      </c>
      <c r="AK77" s="635">
        <f t="shared" si="211"/>
        <v>0.96499690444114905</v>
      </c>
      <c r="AL77" s="629">
        <f t="shared" si="91"/>
        <v>-3.0253455685865238E-2</v>
      </c>
      <c r="AM77" s="634">
        <f t="shared" si="92"/>
        <v>-0.26051046588969007</v>
      </c>
      <c r="AN77" s="581">
        <f t="shared" si="93"/>
        <v>-6.6241687841590418</v>
      </c>
      <c r="AO77" s="582">
        <f t="shared" si="461"/>
        <v>15.204280389523014</v>
      </c>
      <c r="AP77" s="585">
        <f t="shared" si="95"/>
        <v>-1.7956821931107094</v>
      </c>
      <c r="AQ77" s="586">
        <f t="shared" si="471"/>
        <v>0.52544793019010949</v>
      </c>
      <c r="AS77" s="52">
        <f t="shared" si="543"/>
        <v>-245.24301656885842</v>
      </c>
      <c r="AT77" s="72">
        <f t="shared" si="472"/>
        <v>0.10810746279927481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5.1239999999999997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-4.636452306639586</v>
      </c>
      <c r="C78" s="708">
        <v>-2.0894440074856395</v>
      </c>
      <c r="D78" s="709">
        <v>-0.12570037911234333</v>
      </c>
      <c r="E78" s="710">
        <v>0.2875577287518854</v>
      </c>
      <c r="F78" s="708">
        <v>-0.92624600629584597</v>
      </c>
      <c r="G78" s="711">
        <v>0.24367783743306012</v>
      </c>
      <c r="H78" s="710">
        <v>0.314</v>
      </c>
      <c r="I78" s="708">
        <v>0.52</v>
      </c>
      <c r="J78" s="570">
        <v>5.13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5.13</v>
      </c>
      <c r="N78" s="632">
        <f t="shared" si="465"/>
        <v>-4.636452306639586</v>
      </c>
      <c r="O78" s="629">
        <f t="shared" si="466"/>
        <v>-2.0894440074856395</v>
      </c>
      <c r="P78" s="633">
        <f t="shared" si="467"/>
        <v>-0.12570037911234333</v>
      </c>
      <c r="Q78" s="585">
        <f t="shared" si="520"/>
        <v>204.25898350304388</v>
      </c>
      <c r="R78" s="629">
        <f>IF(M78="","",SQRT(N78^2+O78^2))</f>
        <v>5.0855153379142601</v>
      </c>
      <c r="S78" s="634">
        <f>IF(M78="","",P78)</f>
        <v>-0.12570037911234333</v>
      </c>
      <c r="T78" s="635">
        <f>IF(M78="","",X78*COS(RADIANS(W78)))</f>
        <v>-2.08944400748564</v>
      </c>
      <c r="U78" s="629">
        <f>IF(M78="","",X78*SIN(RADIANS(W78)))</f>
        <v>4.636452306639586</v>
      </c>
      <c r="V78" s="636">
        <f>IF(M78="","",Y78)</f>
        <v>-0.12570037911234333</v>
      </c>
      <c r="W78" s="585">
        <f t="shared" si="224"/>
        <v>114.25898350304388</v>
      </c>
      <c r="X78" s="629">
        <f>IF(M78="","",R78)</f>
        <v>5.0855153379142601</v>
      </c>
      <c r="Y78" s="630">
        <f t="shared" si="644"/>
        <v>-0.12570037911234333</v>
      </c>
      <c r="Z78" s="632">
        <f t="shared" si="468"/>
        <v>-0.2875577287518854</v>
      </c>
      <c r="AA78" s="629">
        <f t="shared" si="469"/>
        <v>0.92624600629584597</v>
      </c>
      <c r="AB78" s="629">
        <f t="shared" si="470"/>
        <v>-0.24367783743306012</v>
      </c>
      <c r="AC78" s="636">
        <f>IF(M78="","",SQRT(Z78^2+AA78^2+AB78^2))</f>
        <v>1</v>
      </c>
      <c r="AD78" s="637">
        <f>IF(M78="","",Z78*(1/SQRT(Z78^2+AA78^2+AB78^2)))</f>
        <v>-0.2875577287518854</v>
      </c>
      <c r="AE78" s="629">
        <f>IF(M78="","",AA78*(1/SQRT(Z78^2+AA78^2+AB78^2)))</f>
        <v>0.92624600629584597</v>
      </c>
      <c r="AF78" s="633">
        <f>IF(M78="","",AB78*(1/SQRT(Z78^2+AA78^2+AB78^2)))</f>
        <v>-0.24367783743306012</v>
      </c>
      <c r="AG78" s="602">
        <f>IF(M78="","",DEGREES(ATAN2(-AF78,AE78)))</f>
        <v>75.260551168281594</v>
      </c>
      <c r="AH78" s="603">
        <f>IF(M78="","",DEGREES(ACOS(AD78)))</f>
        <v>106.71179716170887</v>
      </c>
      <c r="AI78" s="585">
        <f>IF(M78="","",DEGREES(-ACOS(-AF78)))</f>
        <v>-75.896288506471507</v>
      </c>
      <c r="AJ78" s="586">
        <f>IF(M78="","",DEGREES(ATAN2(-AE78,AD78)))</f>
        <v>-162.75278152464676</v>
      </c>
      <c r="AK78" s="635">
        <f>IF(M78="","",(COS(RADIANS((90-$Q$8)-W78))*AD78)+(-SIN(RADIANS((90-$Q$8)-W78))*AE78))</f>
        <v>0.96260278069687755</v>
      </c>
      <c r="AL78" s="629">
        <f>IF(M78="","",(SIN(RADIANS((90-$Q$8)-W78))*AD78)+(COS(RADIANS((90-$Q$8)-W78))*AE78))</f>
        <v>-0.11839340411773885</v>
      </c>
      <c r="AM78" s="634">
        <f>IF(M78="","",AF78)</f>
        <v>-0.24367783743306012</v>
      </c>
      <c r="AN78" s="581">
        <f>IF(M78="","",DEGREES(ATAN2(-AM78,AL78)))</f>
        <v>-25.913279886875547</v>
      </c>
      <c r="AO78" s="582">
        <f t="shared" si="461"/>
        <v>15.718826219367541</v>
      </c>
      <c r="AP78" s="585">
        <f>IF(M78="","",DEGREES(ATAN2(AK78,AL78)))</f>
        <v>-7.0117650276906476</v>
      </c>
      <c r="AQ78" s="586">
        <f t="shared" si="471"/>
        <v>0.44826924415067909</v>
      </c>
      <c r="AS78" s="52">
        <f t="shared" si="543"/>
        <v>-245.74101649695612</v>
      </c>
      <c r="AT78" s="72">
        <f t="shared" si="472"/>
        <v>4.495310456609844E-2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5.13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-5.3126150751102399</v>
      </c>
      <c r="C79" s="708">
        <v>-2.3245569715857819</v>
      </c>
      <c r="D79" s="709">
        <v>-0.35700107671524745</v>
      </c>
      <c r="E79" s="710">
        <v>0.20220389003988329</v>
      </c>
      <c r="F79" s="708">
        <v>-0.95318066627630849</v>
      </c>
      <c r="G79" s="711">
        <v>0.22485596342946196</v>
      </c>
      <c r="H79" s="710">
        <v>0.314</v>
      </c>
      <c r="I79" s="708">
        <v>0.52</v>
      </c>
      <c r="J79" s="570">
        <v>5.1360000000000001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5.1360000000000001</v>
      </c>
      <c r="N79" s="632">
        <f t="shared" si="465"/>
        <v>-5.3126150751102399</v>
      </c>
      <c r="O79" s="629">
        <f t="shared" si="466"/>
        <v>-2.3245569715857819</v>
      </c>
      <c r="P79" s="633">
        <f t="shared" si="467"/>
        <v>-0.35700107671524745</v>
      </c>
      <c r="Q79" s="585">
        <f t="shared" si="520"/>
        <v>203.63198359357145</v>
      </c>
      <c r="R79" s="629">
        <f>IF(M79="","",SQRT(N79^2+O79^2))</f>
        <v>5.7989174895351487</v>
      </c>
      <c r="S79" s="634">
        <f>IF(M79="","",P79)</f>
        <v>-0.35700107671524745</v>
      </c>
      <c r="T79" s="635">
        <f>IF(M79="","",X79*COS(RADIANS(W79)))</f>
        <v>-2.3245569715857806</v>
      </c>
      <c r="U79" s="629">
        <f>IF(M79="","",X79*SIN(RADIANS(W79)))</f>
        <v>5.3126150751102399</v>
      </c>
      <c r="V79" s="636">
        <f>IF(M79="","",Y79)</f>
        <v>-0.35700107671524745</v>
      </c>
      <c r="W79" s="585">
        <f t="shared" ref="W79:W129" si="645">IF(M79="","",IF(Q79-$Q$8&lt;0,360+Q79-$Q$8,Q79-$Q$8))</f>
        <v>113.63198359357145</v>
      </c>
      <c r="X79" s="629">
        <f>IF(M79="","",R79)</f>
        <v>5.7989174895351487</v>
      </c>
      <c r="Y79" s="630">
        <f t="shared" si="644"/>
        <v>-0.35700107671524745</v>
      </c>
      <c r="Z79" s="632">
        <f t="shared" si="468"/>
        <v>-0.20220389003988329</v>
      </c>
      <c r="AA79" s="629">
        <f t="shared" si="469"/>
        <v>0.95318066627630849</v>
      </c>
      <c r="AB79" s="629">
        <f t="shared" si="470"/>
        <v>-0.22485596342946196</v>
      </c>
      <c r="AC79" s="636">
        <f>IF(M79="","",SQRT(Z79^2+AA79^2+AB79^2))</f>
        <v>1</v>
      </c>
      <c r="AD79" s="637">
        <f>IF(M79="","",Z79*(1/SQRT(Z79^2+AA79^2+AB79^2)))</f>
        <v>-0.20220389003988329</v>
      </c>
      <c r="AE79" s="629">
        <f>IF(M79="","",AA79*(1/SQRT(Z79^2+AA79^2+AB79^2)))</f>
        <v>0.95318066627630849</v>
      </c>
      <c r="AF79" s="633">
        <f>IF(M79="","",AB79*(1/SQRT(Z79^2+AA79^2+AB79^2)))</f>
        <v>-0.22485596342946196</v>
      </c>
      <c r="AG79" s="602">
        <f>IF(M79="","",DEGREES(ATAN2(-AF79,AE79)))</f>
        <v>76.726554433288172</v>
      </c>
      <c r="AH79" s="603">
        <f>IF(M79="","",DEGREES(ACOS(AD79)))</f>
        <v>101.6658661929128</v>
      </c>
      <c r="AI79" s="585">
        <f>IF(M79="","",DEGREES(-ACOS(-AF79)))</f>
        <v>-77.005591557966042</v>
      </c>
      <c r="AJ79" s="586">
        <f>IF(M79="","",DEGREES(ATAN2(-AE79,AD79)))</f>
        <v>-168.02305927586605</v>
      </c>
      <c r="AK79" s="635">
        <f>IF(M79="","",(COS(RADIANS((90-$Q$8)-W79))*AD79)+(-SIN(RADIANS((90-$Q$8)-W79))*AE79))</f>
        <v>0.95430163461089745</v>
      </c>
      <c r="AL79" s="629">
        <f>IF(M79="","",(SIN(RADIANS((90-$Q$8)-W79))*AD79)+(COS(RADIANS((90-$Q$8)-W79))*AE79))</f>
        <v>-0.19684558895026782</v>
      </c>
      <c r="AM79" s="634">
        <f>IF(M79="","",AF79)</f>
        <v>-0.22485596342946196</v>
      </c>
      <c r="AN79" s="581">
        <f>IF(M79="","",DEGREES(ATAN2(-AM79,AL79)))</f>
        <v>-41.199866314821534</v>
      </c>
      <c r="AO79" s="582">
        <f t="shared" si="461"/>
        <v>17.388249997034858</v>
      </c>
      <c r="AP79" s="585">
        <f>IF(M79="","",DEGREES(ATAN2(AK79,AL79)))</f>
        <v>-11.655042869437493</v>
      </c>
      <c r="AQ79" s="586">
        <f t="shared" si="471"/>
        <v>0.39312352027660458</v>
      </c>
      <c r="AS79" s="52">
        <f t="shared" si="543"/>
        <v>-246.36801640642855</v>
      </c>
      <c r="AT79" s="72">
        <f t="shared" si="472"/>
        <v>-0.18591217643300539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5.1360000000000001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-5.9314335889371739</v>
      </c>
      <c r="C80" s="708">
        <v>-2.5152990378339917</v>
      </c>
      <c r="D80" s="709">
        <v>-0.7426022396883557</v>
      </c>
      <c r="E80" s="710">
        <v>0.1045996422474909</v>
      </c>
      <c r="F80" s="708">
        <v>-0.97046801706748453</v>
      </c>
      <c r="G80" s="711">
        <v>0.21737235953727349</v>
      </c>
      <c r="H80" s="710">
        <v>0.314</v>
      </c>
      <c r="I80" s="708">
        <v>0.52</v>
      </c>
      <c r="J80" s="570">
        <v>5.1420000000000003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5.1420000000000003</v>
      </c>
      <c r="N80" s="632">
        <f t="shared" si="465"/>
        <v>-5.9314335889371739</v>
      </c>
      <c r="O80" s="629">
        <f t="shared" si="466"/>
        <v>-2.5152990378339917</v>
      </c>
      <c r="P80" s="633">
        <f t="shared" si="467"/>
        <v>-0.7426022396883557</v>
      </c>
      <c r="Q80" s="585">
        <f t="shared" si="520"/>
        <v>202.9799836877086</v>
      </c>
      <c r="R80" s="629">
        <f t="shared" si="79"/>
        <v>6.4427194312418052</v>
      </c>
      <c r="S80" s="634">
        <f t="shared" si="80"/>
        <v>-0.7426022396883557</v>
      </c>
      <c r="T80" s="635">
        <f t="shared" si="81"/>
        <v>-2.5152990378339917</v>
      </c>
      <c r="U80" s="629">
        <f t="shared" si="82"/>
        <v>5.9314335889371748</v>
      </c>
      <c r="V80" s="636">
        <f t="shared" si="114"/>
        <v>-0.7426022396883557</v>
      </c>
      <c r="W80" s="585">
        <f t="shared" si="645"/>
        <v>112.9799836877086</v>
      </c>
      <c r="X80" s="629">
        <f t="shared" si="83"/>
        <v>6.4427194312418052</v>
      </c>
      <c r="Y80" s="630">
        <f t="shared" si="644"/>
        <v>-0.7426022396883557</v>
      </c>
      <c r="Z80" s="632">
        <f t="shared" si="468"/>
        <v>-0.1045996422474909</v>
      </c>
      <c r="AA80" s="629">
        <f t="shared" si="469"/>
        <v>0.97046801706748453</v>
      </c>
      <c r="AB80" s="629">
        <f t="shared" si="470"/>
        <v>-0.21737235953727349</v>
      </c>
      <c r="AC80" s="636">
        <f t="shared" si="84"/>
        <v>1</v>
      </c>
      <c r="AD80" s="637">
        <f t="shared" si="115"/>
        <v>-0.1045996422474909</v>
      </c>
      <c r="AE80" s="629">
        <f t="shared" si="85"/>
        <v>0.97046801706748453</v>
      </c>
      <c r="AF80" s="633">
        <f t="shared" si="86"/>
        <v>-0.21737235953727349</v>
      </c>
      <c r="AG80" s="602">
        <f t="shared" si="87"/>
        <v>77.374864521192421</v>
      </c>
      <c r="AH80" s="603">
        <f t="shared" si="88"/>
        <v>96.004100734731423</v>
      </c>
      <c r="AI80" s="585">
        <f t="shared" si="89"/>
        <v>-77.445254251961558</v>
      </c>
      <c r="AJ80" s="586">
        <f t="shared" si="90"/>
        <v>-173.84825588804932</v>
      </c>
      <c r="AK80" s="635">
        <f t="shared" si="211"/>
        <v>0.93428963299834722</v>
      </c>
      <c r="AL80" s="629">
        <f t="shared" si="91"/>
        <v>-0.28258120776338314</v>
      </c>
      <c r="AM80" s="634">
        <f t="shared" si="92"/>
        <v>-0.21737235953727349</v>
      </c>
      <c r="AN80" s="581">
        <f t="shared" si="93"/>
        <v>-52.431127763896114</v>
      </c>
      <c r="AO80" s="582">
        <f t="shared" si="461"/>
        <v>20.886318365599806</v>
      </c>
      <c r="AP80" s="585">
        <f t="shared" si="95"/>
        <v>-16.82823957575793</v>
      </c>
      <c r="AQ80" s="586">
        <f t="shared" si="471"/>
        <v>0.35384090118213385</v>
      </c>
      <c r="AS80" s="52">
        <f t="shared" si="543"/>
        <v>-247.0200163122914</v>
      </c>
      <c r="AT80" s="72">
        <f t="shared" si="472"/>
        <v>-0.57106056169370889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5.1420000000000003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-6.455295416191877</v>
      </c>
      <c r="C81" s="708">
        <v>-2.6590970927739175</v>
      </c>
      <c r="D81" s="709">
        <v>-1.2643038131403008</v>
      </c>
      <c r="E81" s="710">
        <v>1.0258825852541327E-2</v>
      </c>
      <c r="F81" s="708">
        <v>-0.98185745037538741</v>
      </c>
      <c r="G81" s="711">
        <v>0.18934282039325095</v>
      </c>
      <c r="H81" s="710">
        <v>0.314</v>
      </c>
      <c r="I81" s="708">
        <v>0.52</v>
      </c>
      <c r="J81" s="570">
        <v>5.1479999999999997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5.1479999999999997</v>
      </c>
      <c r="N81" s="632">
        <f t="shared" si="465"/>
        <v>-6.455295416191877</v>
      </c>
      <c r="O81" s="629">
        <f t="shared" si="466"/>
        <v>-2.6590970927739175</v>
      </c>
      <c r="P81" s="633">
        <f t="shared" si="467"/>
        <v>-1.2643038131403008</v>
      </c>
      <c r="Q81" s="585">
        <f t="shared" si="520"/>
        <v>202.38798377318281</v>
      </c>
      <c r="R81" s="629">
        <f t="shared" si="79"/>
        <v>6.9815210562675061</v>
      </c>
      <c r="S81" s="634">
        <f t="shared" si="80"/>
        <v>-1.2643038131403008</v>
      </c>
      <c r="T81" s="635">
        <f t="shared" si="81"/>
        <v>-2.6590970927739175</v>
      </c>
      <c r="U81" s="629">
        <f t="shared" si="82"/>
        <v>6.455295416191877</v>
      </c>
      <c r="V81" s="636">
        <f t="shared" si="114"/>
        <v>-1.2643038131403008</v>
      </c>
      <c r="W81" s="585">
        <f t="shared" si="645"/>
        <v>112.38798377318281</v>
      </c>
      <c r="X81" s="629">
        <f t="shared" si="83"/>
        <v>6.9815210562675061</v>
      </c>
      <c r="Y81" s="630">
        <f t="shared" si="644"/>
        <v>-1.2643038131403008</v>
      </c>
      <c r="Z81" s="632">
        <f t="shared" si="468"/>
        <v>-1.0258825852541327E-2</v>
      </c>
      <c r="AA81" s="629">
        <f t="shared" si="469"/>
        <v>0.98185745037538741</v>
      </c>
      <c r="AB81" s="629">
        <f t="shared" si="470"/>
        <v>-0.18934282039325095</v>
      </c>
      <c r="AC81" s="636">
        <f t="shared" si="84"/>
        <v>1</v>
      </c>
      <c r="AD81" s="637">
        <f t="shared" si="115"/>
        <v>-1.0258825852541327E-2</v>
      </c>
      <c r="AE81" s="629">
        <f t="shared" si="85"/>
        <v>0.98185745037538741</v>
      </c>
      <c r="AF81" s="633">
        <f t="shared" si="86"/>
        <v>-0.18934282039325095</v>
      </c>
      <c r="AG81" s="602">
        <f t="shared" si="87"/>
        <v>79.084984126405004</v>
      </c>
      <c r="AH81" s="603">
        <f t="shared" si="88"/>
        <v>90.587797734733698</v>
      </c>
      <c r="AI81" s="585">
        <f t="shared" si="89"/>
        <v>-79.085565558975247</v>
      </c>
      <c r="AJ81" s="586">
        <f t="shared" si="90"/>
        <v>-179.40137335013117</v>
      </c>
      <c r="AK81" s="635">
        <f t="shared" si="211"/>
        <v>0.9117582059066337</v>
      </c>
      <c r="AL81" s="629">
        <f t="shared" si="91"/>
        <v>-0.36448082298996964</v>
      </c>
      <c r="AM81" s="634">
        <f t="shared" si="92"/>
        <v>-0.18934282039325095</v>
      </c>
      <c r="AN81" s="581">
        <f t="shared" si="93"/>
        <v>-62.548738166089073</v>
      </c>
      <c r="AO81" s="582">
        <f t="shared" si="461"/>
        <v>24.250535354144152</v>
      </c>
      <c r="AP81" s="585">
        <f t="shared" si="95"/>
        <v>-21.789357123313977</v>
      </c>
      <c r="AQ81" s="586">
        <f t="shared" si="471"/>
        <v>0.32653370690768507</v>
      </c>
      <c r="AS81" s="52">
        <f t="shared" si="543"/>
        <v>-247.61201622681719</v>
      </c>
      <c r="AT81" s="72">
        <f t="shared" si="472"/>
        <v>-1.0923510240939001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5.1479999999999997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-6.8529856689201099</v>
      </c>
      <c r="C82" s="708">
        <v>-2.7576594379740365</v>
      </c>
      <c r="D82" s="709">
        <v>-1.8948057147340367</v>
      </c>
      <c r="E82" s="710">
        <v>-7.501859091733569E-2</v>
      </c>
      <c r="F82" s="708">
        <v>-0.98684466912820634</v>
      </c>
      <c r="G82" s="711">
        <v>0.14321246464612825</v>
      </c>
      <c r="H82" s="710">
        <v>0.314</v>
      </c>
      <c r="I82" s="708">
        <v>0.52</v>
      </c>
      <c r="J82" s="570">
        <v>5.1539999999999999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5.1539999999999999</v>
      </c>
      <c r="N82" s="632">
        <f t="shared" si="465"/>
        <v>-6.8529856689201099</v>
      </c>
      <c r="O82" s="629">
        <f t="shared" si="466"/>
        <v>-2.7576594379740365</v>
      </c>
      <c r="P82" s="633">
        <f t="shared" si="467"/>
        <v>-1.8948057147340367</v>
      </c>
      <c r="Q82" s="585">
        <f t="shared" si="520"/>
        <v>201.91998384075364</v>
      </c>
      <c r="R82" s="629">
        <f t="shared" si="79"/>
        <v>7.3870222792591926</v>
      </c>
      <c r="S82" s="634">
        <f t="shared" si="80"/>
        <v>-1.8948057147340367</v>
      </c>
      <c r="T82" s="635">
        <f t="shared" si="81"/>
        <v>-2.7576594379740369</v>
      </c>
      <c r="U82" s="629">
        <f t="shared" si="82"/>
        <v>6.852985668920109</v>
      </c>
      <c r="V82" s="636">
        <f t="shared" si="114"/>
        <v>-1.8948057147340367</v>
      </c>
      <c r="W82" s="585">
        <f t="shared" si="645"/>
        <v>111.91998384075364</v>
      </c>
      <c r="X82" s="629">
        <f t="shared" si="83"/>
        <v>7.3870222792591926</v>
      </c>
      <c r="Y82" s="630">
        <f t="shared" si="644"/>
        <v>-1.8948057147340367</v>
      </c>
      <c r="Z82" s="632">
        <f t="shared" si="468"/>
        <v>7.501859091733569E-2</v>
      </c>
      <c r="AA82" s="629">
        <f t="shared" si="469"/>
        <v>0.98684466912820634</v>
      </c>
      <c r="AB82" s="629">
        <f t="shared" si="470"/>
        <v>-0.14321246464612825</v>
      </c>
      <c r="AC82" s="636">
        <f t="shared" si="84"/>
        <v>1</v>
      </c>
      <c r="AD82" s="637">
        <f t="shared" si="115"/>
        <v>7.501859091733569E-2</v>
      </c>
      <c r="AE82" s="629">
        <f t="shared" si="85"/>
        <v>0.98684466912820634</v>
      </c>
      <c r="AF82" s="633">
        <f t="shared" si="86"/>
        <v>-0.14321246464612825</v>
      </c>
      <c r="AG82" s="602">
        <f t="shared" si="87"/>
        <v>81.742789911970775</v>
      </c>
      <c r="AH82" s="603">
        <f t="shared" si="88"/>
        <v>85.697709504960045</v>
      </c>
      <c r="AI82" s="585">
        <f t="shared" si="89"/>
        <v>-81.766219352070578</v>
      </c>
      <c r="AJ82" s="586">
        <f t="shared" si="90"/>
        <v>175.65281371303752</v>
      </c>
      <c r="AK82" s="635">
        <f t="shared" si="211"/>
        <v>0.88749653133259054</v>
      </c>
      <c r="AL82" s="629">
        <f t="shared" si="91"/>
        <v>-0.43799554431820614</v>
      </c>
      <c r="AM82" s="634">
        <f t="shared" si="92"/>
        <v>-0.14321246464612825</v>
      </c>
      <c r="AN82" s="581">
        <f t="shared" si="93"/>
        <v>-71.893682652736615</v>
      </c>
      <c r="AO82" s="582">
        <f t="shared" si="461"/>
        <v>27.439671433743712</v>
      </c>
      <c r="AP82" s="585">
        <f t="shared" si="95"/>
        <v>-26.26717012771612</v>
      </c>
      <c r="AQ82" s="586">
        <f t="shared" si="471"/>
        <v>0.30860940978453799</v>
      </c>
      <c r="AS82" s="52">
        <f t="shared" si="543"/>
        <v>-248.08001615924636</v>
      </c>
      <c r="AT82" s="72">
        <f t="shared" si="472"/>
        <v>-1.72252792573456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5.1539999999999999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-7.10155361891041</v>
      </c>
      <c r="C83" s="708">
        <v>-2.814712985829491</v>
      </c>
      <c r="D83" s="709">
        <v>-2.6018078470524659</v>
      </c>
      <c r="E83" s="710">
        <v>-0.14672334354119143</v>
      </c>
      <c r="F83" s="708">
        <v>-0.98556317257147108</v>
      </c>
      <c r="G83" s="711">
        <v>8.4483686774135813E-2</v>
      </c>
      <c r="H83" s="710">
        <v>0.314</v>
      </c>
      <c r="I83" s="708">
        <v>0.52</v>
      </c>
      <c r="J83" s="570">
        <v>5.16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5.16</v>
      </c>
      <c r="N83" s="632">
        <f t="shared" si="465"/>
        <v>-7.10155361891041</v>
      </c>
      <c r="O83" s="629">
        <f t="shared" si="466"/>
        <v>-2.814712985829491</v>
      </c>
      <c r="P83" s="633">
        <f t="shared" si="467"/>
        <v>-2.6018078470524659</v>
      </c>
      <c r="Q83" s="585">
        <f t="shared" si="520"/>
        <v>201.62098388392388</v>
      </c>
      <c r="R83" s="629">
        <f t="shared" si="79"/>
        <v>7.6390230392934875</v>
      </c>
      <c r="S83" s="634">
        <f t="shared" si="80"/>
        <v>-2.6018078470524659</v>
      </c>
      <c r="T83" s="635">
        <f t="shared" si="81"/>
        <v>-2.8147129858294915</v>
      </c>
      <c r="U83" s="629">
        <f t="shared" si="82"/>
        <v>7.10155361891041</v>
      </c>
      <c r="V83" s="636">
        <f t="shared" si="114"/>
        <v>-2.6018078470524659</v>
      </c>
      <c r="W83" s="585">
        <f t="shared" si="645"/>
        <v>111.62098388392388</v>
      </c>
      <c r="X83" s="629">
        <f t="shared" si="83"/>
        <v>7.6390230392934875</v>
      </c>
      <c r="Y83" s="630">
        <f t="shared" si="644"/>
        <v>-2.6018078470524659</v>
      </c>
      <c r="Z83" s="632">
        <f t="shared" si="468"/>
        <v>0.14672334354119143</v>
      </c>
      <c r="AA83" s="629">
        <f t="shared" si="469"/>
        <v>0.98556317257147108</v>
      </c>
      <c r="AB83" s="629">
        <f t="shared" si="470"/>
        <v>-8.4483686774135813E-2</v>
      </c>
      <c r="AC83" s="636">
        <f t="shared" si="84"/>
        <v>1</v>
      </c>
      <c r="AD83" s="637">
        <f t="shared" si="115"/>
        <v>0.14672334354119143</v>
      </c>
      <c r="AE83" s="629">
        <f t="shared" si="85"/>
        <v>0.98556317257147108</v>
      </c>
      <c r="AF83" s="633">
        <f t="shared" si="86"/>
        <v>-8.4483686774135813E-2</v>
      </c>
      <c r="AG83" s="602">
        <f t="shared" si="87"/>
        <v>85.100512605911078</v>
      </c>
      <c r="AH83" s="603">
        <f t="shared" si="88"/>
        <v>81.562913041619439</v>
      </c>
      <c r="AI83" s="585">
        <f t="shared" si="89"/>
        <v>-85.153664493878864</v>
      </c>
      <c r="AJ83" s="586">
        <f t="shared" si="90"/>
        <v>171.53241914370344</v>
      </c>
      <c r="AK83" s="635">
        <f t="shared" si="211"/>
        <v>0.86215810327745357</v>
      </c>
      <c r="AL83" s="629">
        <f t="shared" si="91"/>
        <v>-0.49954570523834296</v>
      </c>
      <c r="AM83" s="634">
        <f t="shared" si="92"/>
        <v>-8.4483686774135813E-2</v>
      </c>
      <c r="AN83" s="581">
        <f t="shared" si="93"/>
        <v>-80.400908205994938</v>
      </c>
      <c r="AO83" s="582">
        <f t="shared" si="461"/>
        <v>30.440234951459942</v>
      </c>
      <c r="AP83" s="585">
        <f t="shared" si="95"/>
        <v>-30.088564740220459</v>
      </c>
      <c r="AQ83" s="586">
        <f t="shared" si="471"/>
        <v>0.29842900125822758</v>
      </c>
      <c r="AS83" s="52">
        <f t="shared" si="543"/>
        <v>-248.37901611607612</v>
      </c>
      <c r="AT83" s="72">
        <f t="shared" si="472"/>
        <v>-2.4293224191940799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5.16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-7.1848843816895274</v>
      </c>
      <c r="C84" s="708">
        <v>-2.8329515454771279</v>
      </c>
      <c r="D84" s="709">
        <v>-3.3452100891536296</v>
      </c>
      <c r="E84" s="710">
        <v>-0.18787549102284593</v>
      </c>
      <c r="F84" s="708">
        <v>-0.98217013688912647</v>
      </c>
      <c r="G84" s="711">
        <v>6.6799757573754656E-3</v>
      </c>
      <c r="H84" s="710">
        <v>0.314</v>
      </c>
      <c r="I84" s="708">
        <v>0.52</v>
      </c>
      <c r="J84" s="570">
        <v>5.1660000000000004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5.1660000000000004</v>
      </c>
      <c r="N84" s="632">
        <f t="shared" si="465"/>
        <v>-7.1848843816895274</v>
      </c>
      <c r="O84" s="629">
        <f t="shared" si="466"/>
        <v>-2.8329515454771279</v>
      </c>
      <c r="P84" s="633">
        <f t="shared" si="467"/>
        <v>-3.3452100891536296</v>
      </c>
      <c r="Q84" s="585">
        <f t="shared" si="520"/>
        <v>201.51898389865087</v>
      </c>
      <c r="R84" s="629">
        <f t="shared" si="79"/>
        <v>7.7232232932414524</v>
      </c>
      <c r="S84" s="634">
        <f t="shared" si="80"/>
        <v>-3.3452100891536296</v>
      </c>
      <c r="T84" s="635">
        <f t="shared" si="81"/>
        <v>-2.8329515454771284</v>
      </c>
      <c r="U84" s="629">
        <f t="shared" si="82"/>
        <v>7.1848843816895265</v>
      </c>
      <c r="V84" s="636">
        <f t="shared" si="114"/>
        <v>-3.3452100891536296</v>
      </c>
      <c r="W84" s="585">
        <f t="shared" si="645"/>
        <v>111.51898389865087</v>
      </c>
      <c r="X84" s="629">
        <f t="shared" si="83"/>
        <v>7.7232232932414524</v>
      </c>
      <c r="Y84" s="630">
        <f t="shared" si="644"/>
        <v>-3.3452100891536296</v>
      </c>
      <c r="Z84" s="632">
        <f t="shared" si="468"/>
        <v>0.18787549102284593</v>
      </c>
      <c r="AA84" s="629">
        <f t="shared" si="469"/>
        <v>0.98217013688912647</v>
      </c>
      <c r="AB84" s="629">
        <f t="shared" si="470"/>
        <v>-6.6799757573754656E-3</v>
      </c>
      <c r="AC84" s="636">
        <f t="shared" si="84"/>
        <v>1</v>
      </c>
      <c r="AD84" s="637">
        <f t="shared" si="115"/>
        <v>0.18787549102284593</v>
      </c>
      <c r="AE84" s="629">
        <f t="shared" si="85"/>
        <v>0.98217013688912647</v>
      </c>
      <c r="AF84" s="633">
        <f t="shared" si="86"/>
        <v>-6.6799757573754656E-3</v>
      </c>
      <c r="AG84" s="602">
        <f t="shared" si="87"/>
        <v>89.610323606298152</v>
      </c>
      <c r="AH84" s="603">
        <f t="shared" si="88"/>
        <v>79.171173825038622</v>
      </c>
      <c r="AI84" s="585">
        <f t="shared" si="89"/>
        <v>-89.617262735394803</v>
      </c>
      <c r="AJ84" s="586">
        <f t="shared" si="90"/>
        <v>169.17092929597743</v>
      </c>
      <c r="AK84" s="635">
        <f t="shared" si="211"/>
        <v>0.84479451989374521</v>
      </c>
      <c r="AL84" s="629">
        <f t="shared" si="91"/>
        <v>-0.53504915389277752</v>
      </c>
      <c r="AM84" s="634">
        <f t="shared" si="92"/>
        <v>-6.6799757573754656E-3</v>
      </c>
      <c r="AN84" s="581">
        <f t="shared" si="93"/>
        <v>-89.284711448240643</v>
      </c>
      <c r="AO84" s="582">
        <f t="shared" si="461"/>
        <v>32.350072934568644</v>
      </c>
      <c r="AP84" s="585">
        <f t="shared" si="95"/>
        <v>-32.34805460267345</v>
      </c>
      <c r="AQ84" s="586">
        <f t="shared" si="471"/>
        <v>0.29517552150241821</v>
      </c>
      <c r="AS84" s="52">
        <f t="shared" si="543"/>
        <v>-248.48101610134913</v>
      </c>
      <c r="AT84" s="72">
        <f t="shared" si="472"/>
        <v>-3.172653827972137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5.1660000000000004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-7.1946882753672421</v>
      </c>
      <c r="C85" s="708">
        <v>-2.835076180734033</v>
      </c>
      <c r="D85" s="709">
        <v>-4.0600122449969307</v>
      </c>
      <c r="E85" s="710">
        <v>-0.26554304896619302</v>
      </c>
      <c r="F85" s="708">
        <v>-0.96340700791705047</v>
      </c>
      <c r="G85" s="711">
        <v>3.6521585973974334E-2</v>
      </c>
      <c r="H85" s="710">
        <v>0.314</v>
      </c>
      <c r="I85" s="708">
        <v>0.52</v>
      </c>
      <c r="J85" s="570">
        <v>5.1719999999999997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5.1719999999999997</v>
      </c>
      <c r="N85" s="632">
        <f t="shared" si="465"/>
        <v>-7.1946882753672421</v>
      </c>
      <c r="O85" s="629">
        <f t="shared" si="466"/>
        <v>-2.835076180734033</v>
      </c>
      <c r="P85" s="633">
        <f t="shared" si="467"/>
        <v>-4.0600122449969307</v>
      </c>
      <c r="Q85" s="585">
        <f t="shared" si="520"/>
        <v>201.50698390038343</v>
      </c>
      <c r="R85" s="629">
        <f t="shared" si="79"/>
        <v>7.733123323099945</v>
      </c>
      <c r="S85" s="634">
        <f t="shared" si="80"/>
        <v>-4.0600122449969307</v>
      </c>
      <c r="T85" s="635">
        <f t="shared" si="81"/>
        <v>-2.8350761807340312</v>
      </c>
      <c r="U85" s="629">
        <f t="shared" si="82"/>
        <v>7.1946882753672439</v>
      </c>
      <c r="V85" s="636">
        <f t="shared" si="114"/>
        <v>-4.0600122449969307</v>
      </c>
      <c r="W85" s="585">
        <f t="shared" si="645"/>
        <v>111.50698390038343</v>
      </c>
      <c r="X85" s="629">
        <f t="shared" si="83"/>
        <v>7.733123323099945</v>
      </c>
      <c r="Y85" s="630">
        <f t="shared" si="644"/>
        <v>-4.0600122449969307</v>
      </c>
      <c r="Z85" s="632">
        <f t="shared" si="468"/>
        <v>0.26554304896619302</v>
      </c>
      <c r="AA85" s="629">
        <f t="shared" si="469"/>
        <v>0.96340700791705047</v>
      </c>
      <c r="AB85" s="629">
        <f t="shared" si="470"/>
        <v>-3.6521585973974334E-2</v>
      </c>
      <c r="AC85" s="636">
        <f t="shared" si="84"/>
        <v>1</v>
      </c>
      <c r="AD85" s="637">
        <f t="shared" si="115"/>
        <v>0.26554304896619302</v>
      </c>
      <c r="AE85" s="629">
        <f t="shared" si="85"/>
        <v>0.96340700791705047</v>
      </c>
      <c r="AF85" s="633">
        <f t="shared" si="86"/>
        <v>-3.6521585973974334E-2</v>
      </c>
      <c r="AG85" s="602">
        <f t="shared" si="87"/>
        <v>87.829026353713232</v>
      </c>
      <c r="AH85" s="603">
        <f t="shared" si="88"/>
        <v>74.600776655167778</v>
      </c>
      <c r="AI85" s="585">
        <f t="shared" si="89"/>
        <v>-87.907001803954927</v>
      </c>
      <c r="AJ85" s="586">
        <f t="shared" si="90"/>
        <v>164.59024125784788</v>
      </c>
      <c r="AK85" s="635">
        <f t="shared" si="211"/>
        <v>0.79897579193229717</v>
      </c>
      <c r="AL85" s="629">
        <f t="shared" si="91"/>
        <v>-0.60025316131121254</v>
      </c>
      <c r="AM85" s="634">
        <f t="shared" si="92"/>
        <v>-3.6521585973974334E-2</v>
      </c>
      <c r="AN85" s="581">
        <f t="shared" si="93"/>
        <v>-86.518208577493525</v>
      </c>
      <c r="AO85" s="582">
        <f t="shared" si="461"/>
        <v>36.967591309159964</v>
      </c>
      <c r="AP85" s="585">
        <f t="shared" si="95"/>
        <v>-36.916742642535567</v>
      </c>
      <c r="AQ85" s="586">
        <f t="shared" si="471"/>
        <v>0.29479764121423557</v>
      </c>
      <c r="AS85" s="52">
        <f t="shared" si="543"/>
        <v>-248.49301609961657</v>
      </c>
      <c r="AT85" s="72">
        <f t="shared" si="472"/>
        <v>-3.887447650483308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5.1719999999999997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-7.2485337689524769</v>
      </c>
      <c r="C86" s="708">
        <v>-2.8552710317748078</v>
      </c>
      <c r="D86" s="709">
        <v>-4.7935144572396036</v>
      </c>
      <c r="E86" s="710">
        <v>-0.31730482727018322</v>
      </c>
      <c r="F86" s="708">
        <v>-0.94832359803551136</v>
      </c>
      <c r="G86" s="711">
        <v>1.4578093175933787E-7</v>
      </c>
      <c r="H86" s="710">
        <v>0.314</v>
      </c>
      <c r="I86" s="708">
        <v>0.52</v>
      </c>
      <c r="J86" s="570">
        <v>5.1779999999999999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5.1779999999999999</v>
      </c>
      <c r="N86" s="632">
        <f t="shared" si="465"/>
        <v>-7.2485337689524769</v>
      </c>
      <c r="O86" s="629">
        <f t="shared" si="466"/>
        <v>-2.8552710317748078</v>
      </c>
      <c r="P86" s="633">
        <f t="shared" si="467"/>
        <v>-4.7935144572396036</v>
      </c>
      <c r="Q86" s="585">
        <f t="shared" si="520"/>
        <v>201.49998390139413</v>
      </c>
      <c r="R86" s="629">
        <f t="shared" si="79"/>
        <v>7.7906234965204666</v>
      </c>
      <c r="S86" s="634">
        <f t="shared" si="80"/>
        <v>-4.7935144572396036</v>
      </c>
      <c r="T86" s="635">
        <f t="shared" si="81"/>
        <v>-2.8552710317748096</v>
      </c>
      <c r="U86" s="629">
        <f t="shared" si="82"/>
        <v>7.2485337689524769</v>
      </c>
      <c r="V86" s="636">
        <f t="shared" si="114"/>
        <v>-4.7935144572396036</v>
      </c>
      <c r="W86" s="585">
        <f t="shared" si="645"/>
        <v>111.49998390139413</v>
      </c>
      <c r="X86" s="629">
        <f t="shared" si="83"/>
        <v>7.7906234965204666</v>
      </c>
      <c r="Y86" s="630">
        <f t="shared" si="644"/>
        <v>-4.7935144572396036</v>
      </c>
      <c r="Z86" s="632">
        <f t="shared" si="468"/>
        <v>0.31730482727018322</v>
      </c>
      <c r="AA86" s="629">
        <f t="shared" si="469"/>
        <v>0.94832359803551136</v>
      </c>
      <c r="AB86" s="629">
        <f t="shared" si="470"/>
        <v>-1.4578093175933787E-7</v>
      </c>
      <c r="AC86" s="636">
        <f t="shared" si="84"/>
        <v>1</v>
      </c>
      <c r="AD86" s="637">
        <f t="shared" si="115"/>
        <v>0.31730482727018322</v>
      </c>
      <c r="AE86" s="629">
        <f t="shared" si="85"/>
        <v>0.94832359803551136</v>
      </c>
      <c r="AF86" s="633">
        <f t="shared" si="86"/>
        <v>-1.4578093175933787E-7</v>
      </c>
      <c r="AG86" s="602">
        <f t="shared" si="87"/>
        <v>89.999991192213145</v>
      </c>
      <c r="AH86" s="603">
        <f t="shared" si="88"/>
        <v>71.499989676679661</v>
      </c>
      <c r="AI86" s="585">
        <f t="shared" si="89"/>
        <v>-89.999991647367878</v>
      </c>
      <c r="AJ86" s="586">
        <f t="shared" si="90"/>
        <v>161.49998967667946</v>
      </c>
      <c r="AK86" s="635">
        <f t="shared" si="211"/>
        <v>0.76604450791050704</v>
      </c>
      <c r="AL86" s="629">
        <f t="shared" si="91"/>
        <v>-0.64278753247097753</v>
      </c>
      <c r="AM86" s="634">
        <f t="shared" si="92"/>
        <v>-1.4578093175933787E-7</v>
      </c>
      <c r="AN86" s="581">
        <f t="shared" si="93"/>
        <v>-89.999987005609626</v>
      </c>
      <c r="AO86" s="582">
        <f t="shared" si="461"/>
        <v>39.999994224715394</v>
      </c>
      <c r="AP86" s="585">
        <f t="shared" si="95"/>
        <v>-39.999994224714683</v>
      </c>
      <c r="AQ86" s="586">
        <f t="shared" si="471"/>
        <v>0.29262186932050371</v>
      </c>
      <c r="AS86" s="52">
        <f t="shared" si="543"/>
        <v>-248.50001609860587</v>
      </c>
      <c r="AT86" s="72">
        <f t="shared" si="472"/>
        <v>-4.6209450016155715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5.1779999999999999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-5.0144938737213991</v>
      </c>
      <c r="C87" s="708">
        <v>-0.88571440530005618</v>
      </c>
      <c r="D87" s="709">
        <v>-0.11100033477701007</v>
      </c>
      <c r="E87" s="710">
        <v>-0.13875334954024729</v>
      </c>
      <c r="F87" s="708">
        <v>-2.4508354867328244E-2</v>
      </c>
      <c r="G87" s="711">
        <v>0.99002366059254321</v>
      </c>
      <c r="H87" s="710">
        <v>0.26250000000000001</v>
      </c>
      <c r="I87" s="708">
        <v>0.40699999999999997</v>
      </c>
      <c r="J87" s="570">
        <v>5.23</v>
      </c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Inactive</v>
      </c>
      <c r="L87" s="320"/>
      <c r="M87" s="168">
        <f t="shared" si="464"/>
        <v>5.23</v>
      </c>
      <c r="N87" s="632">
        <f t="shared" si="465"/>
        <v>-5.0144938737213991</v>
      </c>
      <c r="O87" s="629">
        <f t="shared" si="466"/>
        <v>-0.88571440530005618</v>
      </c>
      <c r="P87" s="633">
        <f t="shared" si="467"/>
        <v>-0.11100033477701007</v>
      </c>
      <c r="Q87" s="585">
        <f t="shared" si="520"/>
        <v>190.0168855593484</v>
      </c>
      <c r="R87" s="629">
        <f t="shared" si="79"/>
        <v>5.0921153578199183</v>
      </c>
      <c r="S87" s="634">
        <f t="shared" si="80"/>
        <v>-0.11100033477701007</v>
      </c>
      <c r="T87" s="635">
        <f t="shared" si="81"/>
        <v>-0.88571440530005585</v>
      </c>
      <c r="U87" s="629">
        <f t="shared" si="82"/>
        <v>5.0144938737213991</v>
      </c>
      <c r="V87" s="636">
        <f t="shared" si="114"/>
        <v>-0.11100033477701007</v>
      </c>
      <c r="W87" s="585">
        <f t="shared" si="645"/>
        <v>100.0168855593484</v>
      </c>
      <c r="X87" s="629">
        <f t="shared" si="83"/>
        <v>5.0921153578199183</v>
      </c>
      <c r="Y87" s="630">
        <f t="shared" si="644"/>
        <v>-0.11100033477701007</v>
      </c>
      <c r="Z87" s="632">
        <f t="shared" si="468"/>
        <v>0.13875334954024729</v>
      </c>
      <c r="AA87" s="629">
        <f t="shared" si="469"/>
        <v>2.4508354867328244E-2</v>
      </c>
      <c r="AB87" s="629">
        <f t="shared" si="470"/>
        <v>-0.99002366059254321</v>
      </c>
      <c r="AC87" s="636">
        <f t="shared" si="84"/>
        <v>1</v>
      </c>
      <c r="AD87" s="637">
        <f t="shared" si="115"/>
        <v>0.13875334954024729</v>
      </c>
      <c r="AE87" s="629">
        <f t="shared" si="85"/>
        <v>2.4508354867328244E-2</v>
      </c>
      <c r="AF87" s="633">
        <f t="shared" si="86"/>
        <v>-0.99002366059254321</v>
      </c>
      <c r="AG87" s="602">
        <f t="shared" si="87"/>
        <v>1.4180858593921075</v>
      </c>
      <c r="AH87" s="603">
        <f t="shared" si="88"/>
        <v>82.024285615147718</v>
      </c>
      <c r="AI87" s="585">
        <f t="shared" si="89"/>
        <v>-8.0999988305151884</v>
      </c>
      <c r="AJ87" s="586">
        <f t="shared" si="90"/>
        <v>100.01697778275965</v>
      </c>
      <c r="AK87" s="635">
        <f t="shared" si="211"/>
        <v>2.2679489670648922E-7</v>
      </c>
      <c r="AL87" s="629">
        <f t="shared" si="91"/>
        <v>-0.14090121172967071</v>
      </c>
      <c r="AM87" s="634">
        <f t="shared" si="92"/>
        <v>-0.99002366059254321</v>
      </c>
      <c r="AN87" s="581">
        <f t="shared" si="93"/>
        <v>-8.0999988305048571</v>
      </c>
      <c r="AO87" s="582">
        <f t="shared" si="461"/>
        <v>0</v>
      </c>
      <c r="AP87" s="585">
        <f t="shared" si="95"/>
        <v>-89.999907776588742</v>
      </c>
      <c r="AQ87" s="586">
        <f t="shared" si="471"/>
        <v>0.44768825467384837</v>
      </c>
      <c r="AS87" s="52">
        <f t="shared" si="543"/>
        <v>-259.9831144406516</v>
      </c>
      <c r="AT87" s="72">
        <f t="shared" si="472"/>
        <v>6.9543494695664648E-2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Nose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5.13</v>
      </c>
      <c r="II87" s="734" cm="1">
        <f t="array" ref="II87">IFERROR(ROUND(VALUE(IF($IH87&lt;1,$IH87+LARGE((IF($M$9:$M$150="",0,$M$9:$M$150)-MOD(IF($M$9:$M$150="",0,$M$9:$M$150),1)),1),$IH87)),4),"")</f>
        <v>5.13</v>
      </c>
      <c r="IJ87" s="533">
        <f t="shared" si="542"/>
        <v>1613</v>
      </c>
      <c r="IK87" s="533" t="str">
        <f t="shared" si="517"/>
        <v>Inactive</v>
      </c>
      <c r="IL87" s="727">
        <f t="shared" si="647"/>
        <v>14.242097943695484</v>
      </c>
      <c r="IM87" s="759">
        <v>2.3655199567795802E-2</v>
      </c>
      <c r="IN87" s="5">
        <f t="shared" si="648"/>
        <v>0.6</v>
      </c>
      <c r="IO87" s="771">
        <v>300</v>
      </c>
      <c r="IP87" s="9">
        <f t="shared" si="649"/>
        <v>-5.0855153379142601</v>
      </c>
      <c r="IQ87" s="5">
        <f t="shared" si="650"/>
        <v>-0.12570037911234333</v>
      </c>
      <c r="IR87" s="5">
        <f t="shared" si="518"/>
        <v>0.314</v>
      </c>
      <c r="IS87" s="5">
        <f t="shared" si="651"/>
        <v>0.30225727313881956</v>
      </c>
      <c r="IT87" s="727">
        <f t="shared" si="652"/>
        <v>25.913279886875547</v>
      </c>
      <c r="IU87" s="9">
        <f t="shared" si="653"/>
        <v>-5.0921153578199183</v>
      </c>
      <c r="IV87" s="5">
        <f t="shared" si="654"/>
        <v>-0.11100033477701007</v>
      </c>
      <c r="IW87" s="5">
        <f t="shared" si="519"/>
        <v>0.26250000000000001</v>
      </c>
      <c r="IX87" s="5">
        <f t="shared" si="655"/>
        <v>0.26250000000000001</v>
      </c>
      <c r="IY87" s="762">
        <f t="shared" si="656"/>
        <v>8.0999988305048571</v>
      </c>
    </row>
    <row r="88" spans="1:259" ht="15" customHeight="1" x14ac:dyDescent="0.25">
      <c r="A88" s="79"/>
      <c r="B88" s="707">
        <v>-5.74311564316453</v>
      </c>
      <c r="C88" s="708">
        <v>-0.89618372515663802</v>
      </c>
      <c r="D88" s="709">
        <v>-0.34650104504715251</v>
      </c>
      <c r="E88" s="710">
        <v>-0.29711016201605844</v>
      </c>
      <c r="F88" s="708">
        <v>-4.6362745692984104E-2</v>
      </c>
      <c r="G88" s="711">
        <v>0.95371696400902894</v>
      </c>
      <c r="H88" s="710">
        <v>0.26250000000000001</v>
      </c>
      <c r="I88" s="708">
        <v>0.40699999999999997</v>
      </c>
      <c r="J88" s="570">
        <v>5.2359999999999998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5.2359999999999998</v>
      </c>
      <c r="N88" s="632">
        <f t="shared" si="465"/>
        <v>-5.74311564316453</v>
      </c>
      <c r="O88" s="629">
        <f t="shared" si="466"/>
        <v>-0.89618372515663802</v>
      </c>
      <c r="P88" s="633">
        <f t="shared" si="467"/>
        <v>-0.34650104504715251</v>
      </c>
      <c r="Q88" s="585">
        <f t="shared" si="520"/>
        <v>188.86918572505576</v>
      </c>
      <c r="R88" s="629">
        <f t="shared" si="79"/>
        <v>5.8126175308544736</v>
      </c>
      <c r="S88" s="634">
        <f t="shared" si="80"/>
        <v>-0.34650104504715251</v>
      </c>
      <c r="T88" s="635">
        <f t="shared" si="81"/>
        <v>-0.89618372515663935</v>
      </c>
      <c r="U88" s="629">
        <f t="shared" si="82"/>
        <v>5.7431156431645292</v>
      </c>
      <c r="V88" s="636">
        <f t="shared" si="114"/>
        <v>-0.34650104504715251</v>
      </c>
      <c r="W88" s="585">
        <f t="shared" si="645"/>
        <v>98.869185725055758</v>
      </c>
      <c r="X88" s="629">
        <f t="shared" si="83"/>
        <v>5.8126175308544736</v>
      </c>
      <c r="Y88" s="630">
        <f t="shared" si="644"/>
        <v>-0.34650104504715251</v>
      </c>
      <c r="Z88" s="632">
        <f t="shared" si="468"/>
        <v>0.29711016201605844</v>
      </c>
      <c r="AA88" s="629">
        <f t="shared" si="469"/>
        <v>4.6362745692984104E-2</v>
      </c>
      <c r="AB88" s="629">
        <f t="shared" si="470"/>
        <v>-0.95371696400902894</v>
      </c>
      <c r="AC88" s="636">
        <f t="shared" si="84"/>
        <v>1</v>
      </c>
      <c r="AD88" s="637">
        <f t="shared" si="115"/>
        <v>0.29711016201605844</v>
      </c>
      <c r="AE88" s="629">
        <f t="shared" si="85"/>
        <v>4.6362745692984104E-2</v>
      </c>
      <c r="AF88" s="633">
        <f t="shared" si="86"/>
        <v>-0.95371696400902894</v>
      </c>
      <c r="AG88" s="602">
        <f t="shared" si="87"/>
        <v>2.783110918779542</v>
      </c>
      <c r="AH88" s="603">
        <f t="shared" si="88"/>
        <v>72.715884847086031</v>
      </c>
      <c r="AI88" s="585">
        <f t="shared" si="89"/>
        <v>-17.499997473317624</v>
      </c>
      <c r="AJ88" s="586">
        <f t="shared" si="90"/>
        <v>98.869228938030801</v>
      </c>
      <c r="AK88" s="635">
        <f t="shared" si="211"/>
        <v>2.2679489661975305E-7</v>
      </c>
      <c r="AL88" s="629">
        <f t="shared" si="91"/>
        <v>-0.30070575744629396</v>
      </c>
      <c r="AM88" s="634">
        <f t="shared" si="92"/>
        <v>-0.95371696400902894</v>
      </c>
      <c r="AN88" s="581">
        <f t="shared" si="93"/>
        <v>-17.49999747331298</v>
      </c>
      <c r="AO88" s="582">
        <f t="shared" si="461"/>
        <v>0</v>
      </c>
      <c r="AP88" s="585">
        <f t="shared" si="95"/>
        <v>-89.999956787024971</v>
      </c>
      <c r="AQ88" s="586">
        <f t="shared" si="471"/>
        <v>0.39219697728489161</v>
      </c>
      <c r="AS88" s="52">
        <f t="shared" si="543"/>
        <v>-261.13081427494421</v>
      </c>
      <c r="AT88" s="72">
        <f t="shared" si="472"/>
        <v>-0.16516020180066346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Nose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5.2359999999999998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5.1360000000000001</v>
      </c>
      <c r="II88" s="734" cm="1">
        <f t="array" ref="II88">IFERROR(ROUND(VALUE(IF($IH88&lt;1,$IH88+LARGE((IF($M$9:$M$150="",0,$M$9:$M$150)-MOD(IF($M$9:$M$150="",0,$M$9:$M$150),1)),1),$IH88)),4),"")</f>
        <v>5.1360000000000001</v>
      </c>
      <c r="IJ88" s="533">
        <f t="shared" si="542"/>
        <v>1613</v>
      </c>
      <c r="IK88" s="533" t="str">
        <f t="shared" si="517"/>
        <v>Inactive</v>
      </c>
      <c r="IL88" s="727">
        <f t="shared" si="647"/>
        <v>14.76279786851569</v>
      </c>
      <c r="IM88" s="759">
        <v>2.0102250309293801E-2</v>
      </c>
      <c r="IN88" s="5">
        <f t="shared" si="648"/>
        <v>0.57999999999999996</v>
      </c>
      <c r="IO88" s="771">
        <v>290</v>
      </c>
      <c r="IP88" s="9">
        <f t="shared" si="649"/>
        <v>-5.7989174895351487</v>
      </c>
      <c r="IQ88" s="5">
        <f t="shared" si="650"/>
        <v>-0.35700107671524745</v>
      </c>
      <c r="IR88" s="5">
        <f t="shared" si="518"/>
        <v>0.314</v>
      </c>
      <c r="IS88" s="5">
        <f t="shared" si="651"/>
        <v>0.29965071326782178</v>
      </c>
      <c r="IT88" s="727">
        <f t="shared" si="652"/>
        <v>41.199866314821534</v>
      </c>
      <c r="IU88" s="9">
        <f t="shared" si="653"/>
        <v>-5.8126175308544736</v>
      </c>
      <c r="IV88" s="5">
        <f t="shared" si="654"/>
        <v>-0.34650104504715251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17.49999747331298</v>
      </c>
    </row>
    <row r="89" spans="1:259" ht="15" customHeight="1" x14ac:dyDescent="0.25">
      <c r="A89" s="79"/>
      <c r="B89" s="707">
        <v>-6.3949203101262793</v>
      </c>
      <c r="C89" s="708">
        <v>-0.92182809201296489</v>
      </c>
      <c r="D89" s="709">
        <v>-0.7393022297355244</v>
      </c>
      <c r="E89" s="710">
        <v>-0.44780600368224976</v>
      </c>
      <c r="F89" s="708">
        <v>-6.4551487629789531E-2</v>
      </c>
      <c r="G89" s="711">
        <v>0.89179756027414314</v>
      </c>
      <c r="H89" s="710">
        <v>0.26250000000000001</v>
      </c>
      <c r="I89" s="708">
        <v>0.40699999999999997</v>
      </c>
      <c r="J89" s="570">
        <v>5.242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5.242</v>
      </c>
      <c r="N89" s="632">
        <f t="shared" si="465"/>
        <v>-6.3949203101262793</v>
      </c>
      <c r="O89" s="629">
        <f t="shared" si="466"/>
        <v>-0.92182809201296489</v>
      </c>
      <c r="P89" s="633">
        <f t="shared" si="467"/>
        <v>-0.7393022297355244</v>
      </c>
      <c r="Q89" s="585">
        <f t="shared" si="520"/>
        <v>188.20268582128642</v>
      </c>
      <c r="R89" s="629">
        <f t="shared" si="79"/>
        <v>6.4610194864347719</v>
      </c>
      <c r="S89" s="634">
        <f t="shared" si="80"/>
        <v>-0.7393022297355244</v>
      </c>
      <c r="T89" s="635">
        <f t="shared" si="81"/>
        <v>-0.92182809201296345</v>
      </c>
      <c r="U89" s="629">
        <f t="shared" si="82"/>
        <v>6.3949203101262784</v>
      </c>
      <c r="V89" s="636">
        <f t="shared" si="114"/>
        <v>-0.7393022297355244</v>
      </c>
      <c r="W89" s="585">
        <f t="shared" si="645"/>
        <v>98.202685821286423</v>
      </c>
      <c r="X89" s="629">
        <f t="shared" si="83"/>
        <v>6.4610194864347719</v>
      </c>
      <c r="Y89" s="630">
        <f t="shared" si="644"/>
        <v>-0.7393022297355244</v>
      </c>
      <c r="Z89" s="632">
        <f t="shared" si="468"/>
        <v>0.44780600368224976</v>
      </c>
      <c r="AA89" s="629">
        <f t="shared" si="469"/>
        <v>6.4551487629789531E-2</v>
      </c>
      <c r="AB89" s="629">
        <f t="shared" si="470"/>
        <v>-0.89179756027414314</v>
      </c>
      <c r="AC89" s="636">
        <f t="shared" si="84"/>
        <v>1</v>
      </c>
      <c r="AD89" s="637">
        <f t="shared" si="115"/>
        <v>0.44780600368224976</v>
      </c>
      <c r="AE89" s="629">
        <f t="shared" si="85"/>
        <v>6.4551487629789531E-2</v>
      </c>
      <c r="AF89" s="633">
        <f t="shared" si="86"/>
        <v>-0.89179756027414314</v>
      </c>
      <c r="AG89" s="602">
        <f t="shared" si="87"/>
        <v>4.1400524797857878</v>
      </c>
      <c r="AH89" s="603">
        <f t="shared" si="88"/>
        <v>63.396993678462316</v>
      </c>
      <c r="AI89" s="585">
        <f t="shared" si="89"/>
        <v>-26.899996116123987</v>
      </c>
      <c r="AJ89" s="586">
        <f t="shared" si="90"/>
        <v>98.202714542319242</v>
      </c>
      <c r="AK89" s="635">
        <f t="shared" si="211"/>
        <v>2.2679489683485876E-7</v>
      </c>
      <c r="AL89" s="629">
        <f t="shared" si="91"/>
        <v>-0.45243464885995915</v>
      </c>
      <c r="AM89" s="634">
        <f t="shared" si="92"/>
        <v>-0.89179756027414314</v>
      </c>
      <c r="AN89" s="581">
        <f t="shared" si="93"/>
        <v>-26.899996116121081</v>
      </c>
      <c r="AO89" s="582">
        <f t="shared" si="461"/>
        <v>0</v>
      </c>
      <c r="AP89" s="585">
        <f t="shared" si="95"/>
        <v>-89.99997127896718</v>
      </c>
      <c r="AQ89" s="586">
        <f t="shared" si="471"/>
        <v>0.35283871505762704</v>
      </c>
      <c r="AS89" s="52">
        <f t="shared" si="543"/>
        <v>-261.79731417871358</v>
      </c>
      <c r="AT89" s="72">
        <f t="shared" si="472"/>
        <v>-0.55749853933364002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5.242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5.1420000000000003</v>
      </c>
      <c r="II89" s="734" cm="1">
        <f t="array" ref="II89">IFERROR(ROUND(VALUE(IF($IH89&lt;1,$IH89+LARGE((IF($M$9:$M$150="",0,$M$9:$M$150)-MOD(IF($M$9:$M$150="",0,$M$9:$M$150),1)),1),$IH89)),4),"")</f>
        <v>5.1420000000000003</v>
      </c>
      <c r="IJ89" s="533">
        <f t="shared" si="542"/>
        <v>1613</v>
      </c>
      <c r="IK89" s="533" t="str">
        <f t="shared" si="517"/>
        <v>Inactive</v>
      </c>
      <c r="IL89" s="727">
        <f t="shared" si="647"/>
        <v>14.777297866422174</v>
      </c>
      <c r="IM89" s="759">
        <v>1.37350993974083E-2</v>
      </c>
      <c r="IN89" s="5">
        <f t="shared" si="648"/>
        <v>0.5</v>
      </c>
      <c r="IO89" s="771">
        <v>250</v>
      </c>
      <c r="IP89" s="9">
        <f t="shared" si="649"/>
        <v>-6.4427194312418052</v>
      </c>
      <c r="IQ89" s="5">
        <f t="shared" si="650"/>
        <v>-0.7426022396883557</v>
      </c>
      <c r="IR89" s="5">
        <f t="shared" si="518"/>
        <v>0.314</v>
      </c>
      <c r="IS89" s="5">
        <f t="shared" si="651"/>
        <v>0.29336694476148101</v>
      </c>
      <c r="IT89" s="727">
        <f t="shared" si="652"/>
        <v>52.431127763896114</v>
      </c>
      <c r="IU89" s="9">
        <f t="shared" si="653"/>
        <v>-6.4610194864347719</v>
      </c>
      <c r="IV89" s="5">
        <f t="shared" si="654"/>
        <v>-0.7393022297355244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26.899996116121081</v>
      </c>
    </row>
    <row r="90" spans="1:259" ht="15" customHeight="1" x14ac:dyDescent="0.25">
      <c r="A90" s="79"/>
      <c r="B90" s="707">
        <v>-6.9477452283449121</v>
      </c>
      <c r="C90" s="708">
        <v>-0.87093995126867851</v>
      </c>
      <c r="D90" s="709">
        <v>-1.270203830934755</v>
      </c>
      <c r="E90" s="710">
        <v>-0.58741572144333554</v>
      </c>
      <c r="F90" s="708">
        <v>-7.3636178506724603E-2</v>
      </c>
      <c r="G90" s="711">
        <v>0.80592833640227068</v>
      </c>
      <c r="H90" s="710">
        <v>0.26250000000000001</v>
      </c>
      <c r="I90" s="708">
        <v>0.40699999999999997</v>
      </c>
      <c r="J90" s="570">
        <v>5.2480000000000002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5.2480000000000002</v>
      </c>
      <c r="N90" s="632">
        <f t="shared" si="465"/>
        <v>-6.9477452283449121</v>
      </c>
      <c r="O90" s="629">
        <f t="shared" si="466"/>
        <v>-0.87093995126867851</v>
      </c>
      <c r="P90" s="633">
        <f t="shared" si="467"/>
        <v>-1.270203830934755</v>
      </c>
      <c r="Q90" s="585">
        <f t="shared" si="520"/>
        <v>187.14508597398495</v>
      </c>
      <c r="R90" s="629">
        <f t="shared" si="79"/>
        <v>7.0021211183972953</v>
      </c>
      <c r="S90" s="634">
        <f t="shared" si="80"/>
        <v>-1.270203830934755</v>
      </c>
      <c r="T90" s="635">
        <f t="shared" si="81"/>
        <v>-0.87093995126867885</v>
      </c>
      <c r="U90" s="629">
        <f t="shared" si="82"/>
        <v>6.9477452283449121</v>
      </c>
      <c r="V90" s="636">
        <f t="shared" si="114"/>
        <v>-1.270203830934755</v>
      </c>
      <c r="W90" s="585">
        <f t="shared" si="645"/>
        <v>97.145085973984948</v>
      </c>
      <c r="X90" s="629">
        <f t="shared" si="83"/>
        <v>7.0021211183972953</v>
      </c>
      <c r="Y90" s="630">
        <f t="shared" si="644"/>
        <v>-1.270203830934755</v>
      </c>
      <c r="Z90" s="632">
        <f t="shared" si="468"/>
        <v>0.58741572144333554</v>
      </c>
      <c r="AA90" s="629">
        <f t="shared" si="469"/>
        <v>7.3636178506724603E-2</v>
      </c>
      <c r="AB90" s="629">
        <f t="shared" si="470"/>
        <v>-0.80592833640227068</v>
      </c>
      <c r="AC90" s="636">
        <f t="shared" si="84"/>
        <v>1</v>
      </c>
      <c r="AD90" s="637">
        <f t="shared" si="115"/>
        <v>0.58741572144333554</v>
      </c>
      <c r="AE90" s="629">
        <f t="shared" si="85"/>
        <v>7.3636178506724603E-2</v>
      </c>
      <c r="AF90" s="633">
        <f t="shared" si="86"/>
        <v>-0.80592833640227068</v>
      </c>
      <c r="AG90" s="602">
        <f t="shared" si="87"/>
        <v>5.2205141983872512</v>
      </c>
      <c r="AH90" s="603">
        <f t="shared" si="88"/>
        <v>54.026166380864353</v>
      </c>
      <c r="AI90" s="585">
        <f t="shared" si="89"/>
        <v>-36.299994758931206</v>
      </c>
      <c r="AJ90" s="586">
        <f t="shared" si="90"/>
        <v>97.14510792348284</v>
      </c>
      <c r="AK90" s="635">
        <f t="shared" si="211"/>
        <v>2.267948966822031E-7</v>
      </c>
      <c r="AL90" s="629">
        <f t="shared" si="91"/>
        <v>-0.59201310507776528</v>
      </c>
      <c r="AM90" s="634">
        <f t="shared" si="92"/>
        <v>-0.80592833640227068</v>
      </c>
      <c r="AN90" s="581">
        <f t="shared" si="93"/>
        <v>-36.299994758929216</v>
      </c>
      <c r="AO90" s="582">
        <f t="shared" si="461"/>
        <v>0</v>
      </c>
      <c r="AP90" s="585">
        <f t="shared" si="95"/>
        <v>-89.999978050502122</v>
      </c>
      <c r="AQ90" s="586">
        <f t="shared" si="471"/>
        <v>0.32557307376135486</v>
      </c>
      <c r="AS90" s="52">
        <f t="shared" si="543"/>
        <v>-262.85491402601508</v>
      </c>
      <c r="AT90" s="72">
        <f t="shared" si="472"/>
        <v>-1.0876656961944666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5.2480000000000002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5.1479999999999997</v>
      </c>
      <c r="II90" s="734" cm="1">
        <f t="array" ref="II90">IFERROR(ROUND(VALUE(IF($IH90&lt;1,$IH90+LARGE((IF($M$9:$M$150="",0,$M$9:$M$150)-MOD(IF($M$9:$M$150="",0,$M$9:$M$150),1)),1),$IH90)),4),"")</f>
        <v>5.1479999999999997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15.242897799197863</v>
      </c>
      <c r="IM90" s="759">
        <v>6.7709160245981604E-3</v>
      </c>
      <c r="IN90" s="5">
        <f t="shared" si="648"/>
        <v>0.34</v>
      </c>
      <c r="IO90" s="771">
        <v>170</v>
      </c>
      <c r="IP90" s="9">
        <f t="shared" si="649"/>
        <v>-6.9815210562675061</v>
      </c>
      <c r="IQ90" s="5">
        <f t="shared" si="650"/>
        <v>-1.2643038131403008</v>
      </c>
      <c r="IR90" s="5">
        <f t="shared" si="518"/>
        <v>0.314</v>
      </c>
      <c r="IS90" s="5">
        <f t="shared" si="651"/>
        <v>0.28629207665468298</v>
      </c>
      <c r="IT90" s="727">
        <f t="shared" si="652"/>
        <v>62.548738166089073</v>
      </c>
      <c r="IU90" s="9">
        <f t="shared" si="653"/>
        <v>-7.0021211183972953</v>
      </c>
      <c r="IV90" s="5">
        <f t="shared" si="654"/>
        <v>-1.270203830934755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36.299994758929216</v>
      </c>
    </row>
    <row r="91" spans="1:259" ht="15" customHeight="1" x14ac:dyDescent="0.25">
      <c r="A91" s="79"/>
      <c r="B91" s="707">
        <v>-7.3576818894282079</v>
      </c>
      <c r="C91" s="708">
        <v>-0.85525435449346099</v>
      </c>
      <c r="D91" s="709">
        <v>-1.9091057578629671</v>
      </c>
      <c r="E91" s="710">
        <v>-0.71211571166853471</v>
      </c>
      <c r="F91" s="708">
        <v>-8.2776308133549997E-2</v>
      </c>
      <c r="G91" s="711">
        <v>0.6971651855956349</v>
      </c>
      <c r="H91" s="710">
        <v>0.26250000000000001</v>
      </c>
      <c r="I91" s="708">
        <v>0.40699999999999997</v>
      </c>
      <c r="J91" s="570">
        <v>5.2539999999999996</v>
      </c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Inactive</v>
      </c>
      <c r="L91" s="320"/>
      <c r="M91" s="168">
        <f t="shared" si="464"/>
        <v>5.2539999999999996</v>
      </c>
      <c r="N91" s="632">
        <f t="shared" si="465"/>
        <v>-7.3576818894282079</v>
      </c>
      <c r="O91" s="629">
        <f t="shared" si="466"/>
        <v>-0.85525435449346099</v>
      </c>
      <c r="P91" s="633">
        <f t="shared" si="467"/>
        <v>-1.9091057578629671</v>
      </c>
      <c r="Q91" s="585">
        <f t="shared" si="520"/>
        <v>186.63028604831285</v>
      </c>
      <c r="R91" s="629">
        <f t="shared" si="79"/>
        <v>7.4072223401825781</v>
      </c>
      <c r="S91" s="634">
        <f t="shared" si="80"/>
        <v>-1.9091057578629671</v>
      </c>
      <c r="T91" s="635">
        <f t="shared" si="81"/>
        <v>-0.8552543544934601</v>
      </c>
      <c r="U91" s="629">
        <f t="shared" si="82"/>
        <v>7.3576818894282079</v>
      </c>
      <c r="V91" s="636">
        <f t="shared" si="114"/>
        <v>-1.9091057578629671</v>
      </c>
      <c r="W91" s="585">
        <f t="shared" si="645"/>
        <v>96.630286048312854</v>
      </c>
      <c r="X91" s="629">
        <f t="shared" si="83"/>
        <v>7.4072223401825781</v>
      </c>
      <c r="Y91" s="630">
        <f t="shared" si="644"/>
        <v>-1.9091057578629671</v>
      </c>
      <c r="Z91" s="632">
        <f t="shared" si="468"/>
        <v>0.71211571166853471</v>
      </c>
      <c r="AA91" s="629">
        <f t="shared" si="469"/>
        <v>8.2776308133549997E-2</v>
      </c>
      <c r="AB91" s="629">
        <f t="shared" si="470"/>
        <v>-0.6971651855956349</v>
      </c>
      <c r="AC91" s="636">
        <f t="shared" si="84"/>
        <v>1</v>
      </c>
      <c r="AD91" s="637">
        <f t="shared" si="115"/>
        <v>0.71211571166853471</v>
      </c>
      <c r="AE91" s="629">
        <f t="shared" si="85"/>
        <v>8.2776308133549997E-2</v>
      </c>
      <c r="AF91" s="633">
        <f t="shared" si="86"/>
        <v>-0.6971651855956349</v>
      </c>
      <c r="AG91" s="602">
        <f t="shared" si="87"/>
        <v>6.7711827980706021</v>
      </c>
      <c r="AH91" s="603">
        <f t="shared" si="88"/>
        <v>44.592682795342832</v>
      </c>
      <c r="AI91" s="585">
        <f t="shared" si="89"/>
        <v>-45.799993387300539</v>
      </c>
      <c r="AJ91" s="586">
        <f t="shared" si="90"/>
        <v>96.630304173852807</v>
      </c>
      <c r="AK91" s="635">
        <f t="shared" si="211"/>
        <v>2.267948967932254E-7</v>
      </c>
      <c r="AL91" s="629">
        <f t="shared" si="91"/>
        <v>-0.71691052718826265</v>
      </c>
      <c r="AM91" s="634">
        <f t="shared" si="92"/>
        <v>-0.6971651855956349</v>
      </c>
      <c r="AN91" s="581">
        <f t="shared" si="93"/>
        <v>-45.799993387299111</v>
      </c>
      <c r="AO91" s="582">
        <f t="shared" si="461"/>
        <v>0</v>
      </c>
      <c r="AP91" s="585">
        <f t="shared" si="95"/>
        <v>-89.999981874460047</v>
      </c>
      <c r="AQ91" s="586">
        <f t="shared" si="471"/>
        <v>0.30776782457011959</v>
      </c>
      <c r="AS91" s="52">
        <f t="shared" si="543"/>
        <v>-263.36971395168712</v>
      </c>
      <c r="AT91" s="72">
        <f t="shared" si="472"/>
        <v>-1.7262101231742955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5.2539999999999996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5.1539999999999999</v>
      </c>
      <c r="II91" s="734" cm="1">
        <f t="array" ref="II91">IFERROR(ROUND(VALUE(IF($IH91&lt;1,$IH91+LARGE((IF($M$9:$M$150="",0,$M$9:$M$150)-MOD(IF($M$9:$M$150="",0,$M$9:$M$150),1)),1),$IH91)),4),"")</f>
        <v>5.1539999999999999</v>
      </c>
      <c r="IJ91" s="533">
        <f t="shared" si="542"/>
        <v>1613</v>
      </c>
      <c r="IK91" s="533" t="str">
        <f t="shared" si="517"/>
        <v>Inactive</v>
      </c>
      <c r="IL91" s="727">
        <f t="shared" si="647"/>
        <v>15.289697792440791</v>
      </c>
      <c r="IM91" s="759">
        <v>1.20490467861952E-4</v>
      </c>
      <c r="IN91" s="5">
        <f t="shared" si="648"/>
        <v>0</v>
      </c>
      <c r="IO91" s="771">
        <v>0</v>
      </c>
      <c r="IP91" s="9">
        <f t="shared" si="649"/>
        <v>-7.3870222792591926</v>
      </c>
      <c r="IQ91" s="5">
        <f t="shared" si="650"/>
        <v>-1.8948057147340367</v>
      </c>
      <c r="IR91" s="5">
        <f t="shared" si="518"/>
        <v>0.314</v>
      </c>
      <c r="IS91" s="5">
        <f t="shared" si="651"/>
        <v>0.27867391083843346</v>
      </c>
      <c r="IT91" s="727">
        <f t="shared" si="652"/>
        <v>71.893682652736615</v>
      </c>
      <c r="IU91" s="9">
        <f t="shared" si="653"/>
        <v>-7.4072223401825781</v>
      </c>
      <c r="IV91" s="5">
        <f t="shared" si="654"/>
        <v>-1.9091057578629671</v>
      </c>
      <c r="IW91" s="5">
        <f t="shared" si="519"/>
        <v>0.26250000000000001</v>
      </c>
      <c r="IX91" s="5">
        <f t="shared" si="655"/>
        <v>0.26250000000000001</v>
      </c>
      <c r="IY91" s="762">
        <f t="shared" si="656"/>
        <v>45.799993387299111</v>
      </c>
    </row>
    <row r="92" spans="1:259" ht="15" customHeight="1" x14ac:dyDescent="0.25">
      <c r="A92" s="79"/>
      <c r="B92" s="707">
        <v>-7.6130945575327313</v>
      </c>
      <c r="C92" s="708">
        <v>-0.81150679591270325</v>
      </c>
      <c r="D92" s="709">
        <v>-2.6244079152142721</v>
      </c>
      <c r="E92" s="710">
        <v>-0.81652346230144057</v>
      </c>
      <c r="F92" s="708">
        <v>-8.7036364787626691E-2</v>
      </c>
      <c r="G92" s="711">
        <v>0.57071368190698146</v>
      </c>
      <c r="H92" s="710">
        <v>0.26250000000000001</v>
      </c>
      <c r="I92" s="708">
        <v>0.40699999999999997</v>
      </c>
      <c r="J92" s="570">
        <v>5.26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Inactive</v>
      </c>
      <c r="L92" s="320"/>
      <c r="M92" s="168">
        <f t="shared" si="464"/>
        <v>5.26</v>
      </c>
      <c r="N92" s="632">
        <f t="shared" si="465"/>
        <v>-7.6130945575327313</v>
      </c>
      <c r="O92" s="629">
        <f t="shared" si="466"/>
        <v>-0.81150679591270325</v>
      </c>
      <c r="P92" s="633">
        <f t="shared" si="467"/>
        <v>-2.6244079152142721</v>
      </c>
      <c r="Q92" s="585">
        <f t="shared" si="520"/>
        <v>186.08438612713107</v>
      </c>
      <c r="R92" s="629">
        <f t="shared" si="79"/>
        <v>7.6562230911688429</v>
      </c>
      <c r="S92" s="634">
        <f t="shared" si="80"/>
        <v>-2.6244079152142721</v>
      </c>
      <c r="T92" s="635">
        <f t="shared" si="81"/>
        <v>-0.81150679591270447</v>
      </c>
      <c r="U92" s="629">
        <f t="shared" si="82"/>
        <v>7.6130945575327313</v>
      </c>
      <c r="V92" s="636">
        <f t="shared" si="114"/>
        <v>-2.6244079152142721</v>
      </c>
      <c r="W92" s="585">
        <f t="shared" si="645"/>
        <v>96.084386127131069</v>
      </c>
      <c r="X92" s="629">
        <f t="shared" si="83"/>
        <v>7.6562230911688429</v>
      </c>
      <c r="Y92" s="630">
        <f t="shared" si="644"/>
        <v>-2.6244079152142721</v>
      </c>
      <c r="Z92" s="632">
        <f t="shared" si="468"/>
        <v>0.81652346230144057</v>
      </c>
      <c r="AA92" s="629">
        <f t="shared" si="469"/>
        <v>8.7036364787626691E-2</v>
      </c>
      <c r="AB92" s="629">
        <f t="shared" si="470"/>
        <v>-0.57071368190698146</v>
      </c>
      <c r="AC92" s="636">
        <f t="shared" si="84"/>
        <v>1</v>
      </c>
      <c r="AD92" s="637">
        <f t="shared" si="115"/>
        <v>0.81652346230144057</v>
      </c>
      <c r="AE92" s="629">
        <f t="shared" si="85"/>
        <v>8.7036364787626691E-2</v>
      </c>
      <c r="AF92" s="633">
        <f t="shared" si="86"/>
        <v>-0.57071368190698146</v>
      </c>
      <c r="AG92" s="602">
        <f t="shared" si="87"/>
        <v>8.6710495084351091</v>
      </c>
      <c r="AH92" s="603">
        <f t="shared" si="88"/>
        <v>35.2617219088662</v>
      </c>
      <c r="AI92" s="585">
        <f t="shared" si="89"/>
        <v>-55.199992030108206</v>
      </c>
      <c r="AJ92" s="586">
        <f t="shared" si="90"/>
        <v>96.084401951772307</v>
      </c>
      <c r="AK92" s="635">
        <f t="shared" si="211"/>
        <v>2.2679489659893637E-7</v>
      </c>
      <c r="AL92" s="629">
        <f t="shared" si="91"/>
        <v>-0.82114912974692078</v>
      </c>
      <c r="AM92" s="634">
        <f t="shared" si="92"/>
        <v>-0.57071368190698146</v>
      </c>
      <c r="AN92" s="581">
        <f t="shared" si="93"/>
        <v>-55.199992030107182</v>
      </c>
      <c r="AO92" s="582">
        <f t="shared" si="461"/>
        <v>0</v>
      </c>
      <c r="AP92" s="585">
        <f t="shared" si="95"/>
        <v>-89.999984175358748</v>
      </c>
      <c r="AQ92" s="586">
        <f t="shared" si="471"/>
        <v>0.29775857907763598</v>
      </c>
      <c r="AS92" s="52">
        <f t="shared" si="543"/>
        <v>-263.9156138728689</v>
      </c>
      <c r="AT92" s="73">
        <f t="shared" si="472"/>
        <v>-2.4411331833581129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5.26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5.16</v>
      </c>
      <c r="II92" s="734" cm="1">
        <f t="array" ref="II92">IFERROR(ROUND(VALUE(IF($IH92&lt;1,$IH92+LARGE((IF($M$9:$M$150="",0,$M$9:$M$150)-MOD(IF($M$9:$M$150="",0,$M$9:$M$150),1)),1),$IH92)),4),"")</f>
        <v>5.16</v>
      </c>
      <c r="IJ92" s="533">
        <f t="shared" si="542"/>
        <v>1613</v>
      </c>
      <c r="IK92" s="533" t="str">
        <f t="shared" si="517"/>
        <v>Inactive</v>
      </c>
      <c r="IL92" s="727">
        <f t="shared" si="647"/>
        <v>15.536597756792816</v>
      </c>
      <c r="IM92" s="759">
        <v>2.6208273964532498E-4</v>
      </c>
      <c r="IN92" s="5">
        <f t="shared" si="648"/>
        <v>0</v>
      </c>
      <c r="IO92" s="771">
        <v>0</v>
      </c>
      <c r="IP92" s="9">
        <f t="shared" si="649"/>
        <v>-7.6390230392934875</v>
      </c>
      <c r="IQ92" s="5">
        <f t="shared" si="650"/>
        <v>-2.6018078470524659</v>
      </c>
      <c r="IR92" s="5">
        <f t="shared" si="518"/>
        <v>0.314</v>
      </c>
      <c r="IS92" s="5">
        <f t="shared" si="651"/>
        <v>0.27071764442912044</v>
      </c>
      <c r="IT92" s="727">
        <f t="shared" si="652"/>
        <v>80.400908205994938</v>
      </c>
      <c r="IU92" s="9">
        <f t="shared" si="653"/>
        <v>-7.6562230911688429</v>
      </c>
      <c r="IV92" s="5">
        <f t="shared" si="654"/>
        <v>-2.6244079152142721</v>
      </c>
      <c r="IW92" s="5">
        <f t="shared" si="519"/>
        <v>0.26250000000000001</v>
      </c>
      <c r="IX92" s="5">
        <f t="shared" si="655"/>
        <v>0.26250000000000001</v>
      </c>
      <c r="IY92" s="762">
        <f t="shared" si="656"/>
        <v>55.199992030107182</v>
      </c>
    </row>
    <row r="93" spans="1:259" ht="15" customHeight="1" x14ac:dyDescent="0.25">
      <c r="A93" s="79"/>
      <c r="B93" s="707">
        <v>-2.2054914017709528</v>
      </c>
      <c r="C93" s="708">
        <v>1.5443021605201959</v>
      </c>
      <c r="D93" s="709">
        <v>-0.4093012344525232</v>
      </c>
      <c r="E93" s="710">
        <v>-0.48327642683927674</v>
      </c>
      <c r="F93" s="708">
        <v>-0.82587965058926371</v>
      </c>
      <c r="G93" s="711">
        <v>0.2904594601730453</v>
      </c>
      <c r="H93" s="710">
        <v>0.314</v>
      </c>
      <c r="I93" s="708">
        <v>0.52</v>
      </c>
      <c r="J93" s="570">
        <v>6.1109999999999998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6.1109999999999998</v>
      </c>
      <c r="N93" s="632">
        <f t="shared" si="465"/>
        <v>-2.2054914017709528</v>
      </c>
      <c r="O93" s="629">
        <f t="shared" si="466"/>
        <v>1.5443021605201959</v>
      </c>
      <c r="P93" s="633">
        <f t="shared" si="467"/>
        <v>-0.4093012344525232</v>
      </c>
      <c r="Q93" s="585">
        <f t="shared" si="520"/>
        <v>144.99999205898365</v>
      </c>
      <c r="R93" s="629">
        <f t="shared" si="79"/>
        <v>2.6924081203028911</v>
      </c>
      <c r="S93" s="634">
        <f t="shared" si="80"/>
        <v>-0.4093012344525232</v>
      </c>
      <c r="T93" s="635">
        <f t="shared" si="81"/>
        <v>1.5443021605201959</v>
      </c>
      <c r="U93" s="629">
        <f t="shared" si="82"/>
        <v>2.2054914017709528</v>
      </c>
      <c r="V93" s="636">
        <f t="shared" si="114"/>
        <v>-0.4093012344525232</v>
      </c>
      <c r="W93" s="585">
        <f t="shared" si="645"/>
        <v>54.999992058983651</v>
      </c>
      <c r="X93" s="629">
        <f t="shared" si="83"/>
        <v>2.6924081203028911</v>
      </c>
      <c r="Y93" s="630">
        <f t="shared" si="644"/>
        <v>-0.4093012344525232</v>
      </c>
      <c r="Z93" s="632">
        <f t="shared" si="468"/>
        <v>0.48327642683927674</v>
      </c>
      <c r="AA93" s="629">
        <f t="shared" si="469"/>
        <v>0.82587965058926371</v>
      </c>
      <c r="AB93" s="629">
        <f t="shared" si="470"/>
        <v>-0.2904594601730453</v>
      </c>
      <c r="AC93" s="636">
        <f t="shared" si="84"/>
        <v>1</v>
      </c>
      <c r="AD93" s="637">
        <f t="shared" si="115"/>
        <v>0.48327642683927674</v>
      </c>
      <c r="AE93" s="629">
        <f t="shared" si="85"/>
        <v>0.82587965058926371</v>
      </c>
      <c r="AF93" s="633">
        <f t="shared" si="86"/>
        <v>-0.2904594601730453</v>
      </c>
      <c r="AG93" s="602">
        <f t="shared" si="87"/>
        <v>70.623375672160961</v>
      </c>
      <c r="AH93" s="603">
        <f t="shared" si="88"/>
        <v>61.100389823722942</v>
      </c>
      <c r="AI93" s="585">
        <f t="shared" si="89"/>
        <v>-73.114534769632428</v>
      </c>
      <c r="AJ93" s="586">
        <f t="shared" si="90"/>
        <v>149.66529400776636</v>
      </c>
      <c r="AK93" s="635">
        <f t="shared" si="211"/>
        <v>0.95371696400905326</v>
      </c>
      <c r="AL93" s="629">
        <f t="shared" si="91"/>
        <v>7.7828366019961737E-2</v>
      </c>
      <c r="AM93" s="634">
        <f t="shared" si="92"/>
        <v>-0.2904594601730453</v>
      </c>
      <c r="AN93" s="581">
        <f t="shared" si="93"/>
        <v>14.999997834268306</v>
      </c>
      <c r="AO93" s="582">
        <f t="shared" si="461"/>
        <v>17.499997473312991</v>
      </c>
      <c r="AP93" s="585">
        <f t="shared" si="95"/>
        <v>4.6653019487827168</v>
      </c>
      <c r="AQ93" s="586">
        <f t="shared" si="471"/>
        <v>0.84666239037443236</v>
      </c>
      <c r="AS93" s="52">
        <f t="shared" si="543"/>
        <v>-305.00000794101635</v>
      </c>
      <c r="AT93" s="73">
        <f t="shared" si="472"/>
        <v>-0.19749567338237295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6.1109999999999998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-2.8168263568822525</v>
      </c>
      <c r="C94" s="708">
        <v>1.9723636307312422</v>
      </c>
      <c r="D94" s="709">
        <v>-0.20930063125070375</v>
      </c>
      <c r="E94" s="710">
        <v>-0.48327642683927702</v>
      </c>
      <c r="F94" s="708">
        <v>-0.82587965058926349</v>
      </c>
      <c r="G94" s="711">
        <v>0.29045946017304536</v>
      </c>
      <c r="H94" s="710">
        <v>0.314</v>
      </c>
      <c r="I94" s="708">
        <v>0.52</v>
      </c>
      <c r="J94" s="570">
        <v>6.117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6.117</v>
      </c>
      <c r="N94" s="632">
        <f t="shared" si="465"/>
        <v>-2.8168263568822525</v>
      </c>
      <c r="O94" s="629">
        <f t="shared" si="466"/>
        <v>1.9723636307312422</v>
      </c>
      <c r="P94" s="633">
        <f t="shared" si="467"/>
        <v>-0.20930063125070375</v>
      </c>
      <c r="Q94" s="585">
        <f t="shared" si="520"/>
        <v>144.99999205898365</v>
      </c>
      <c r="R94" s="629">
        <f t="shared" si="79"/>
        <v>3.4387103711504801</v>
      </c>
      <c r="S94" s="634">
        <f t="shared" si="80"/>
        <v>-0.20930063125070375</v>
      </c>
      <c r="T94" s="635">
        <f t="shared" si="81"/>
        <v>1.9723636307312427</v>
      </c>
      <c r="U94" s="629">
        <f t="shared" si="82"/>
        <v>2.8168263568822525</v>
      </c>
      <c r="V94" s="636">
        <f t="shared" si="114"/>
        <v>-0.20930063125070375</v>
      </c>
      <c r="W94" s="585">
        <f t="shared" si="645"/>
        <v>54.999992058983651</v>
      </c>
      <c r="X94" s="629">
        <f t="shared" si="83"/>
        <v>3.4387103711504801</v>
      </c>
      <c r="Y94" s="630">
        <f t="shared" si="644"/>
        <v>-0.20930063125070375</v>
      </c>
      <c r="Z94" s="632">
        <f t="shared" si="468"/>
        <v>0.48327642683927702</v>
      </c>
      <c r="AA94" s="629">
        <f t="shared" si="469"/>
        <v>0.82587965058926349</v>
      </c>
      <c r="AB94" s="629">
        <f t="shared" si="470"/>
        <v>-0.29045946017304536</v>
      </c>
      <c r="AC94" s="636">
        <f t="shared" si="84"/>
        <v>1</v>
      </c>
      <c r="AD94" s="637">
        <f t="shared" si="115"/>
        <v>0.48327642683927702</v>
      </c>
      <c r="AE94" s="629">
        <f t="shared" si="85"/>
        <v>0.82587965058926349</v>
      </c>
      <c r="AF94" s="633">
        <f t="shared" si="86"/>
        <v>-0.29045946017304536</v>
      </c>
      <c r="AG94" s="602">
        <f t="shared" si="87"/>
        <v>70.623375672160961</v>
      </c>
      <c r="AH94" s="603">
        <f t="shared" si="88"/>
        <v>61.100389823722928</v>
      </c>
      <c r="AI94" s="585">
        <f t="shared" si="89"/>
        <v>-73.114534769632428</v>
      </c>
      <c r="AJ94" s="586">
        <f t="shared" si="90"/>
        <v>149.66529400776633</v>
      </c>
      <c r="AK94" s="635">
        <f t="shared" si="211"/>
        <v>0.95371696400905337</v>
      </c>
      <c r="AL94" s="629">
        <f t="shared" si="91"/>
        <v>7.7828366019961404E-2</v>
      </c>
      <c r="AM94" s="634">
        <f t="shared" si="92"/>
        <v>-0.29045946017304536</v>
      </c>
      <c r="AN94" s="581">
        <f t="shared" si="93"/>
        <v>14.999997834268243</v>
      </c>
      <c r="AO94" s="582">
        <f t="shared" si="461"/>
        <v>17.49999747331298</v>
      </c>
      <c r="AP94" s="585">
        <f t="shared" si="95"/>
        <v>4.6653019487826963</v>
      </c>
      <c r="AQ94" s="586">
        <f t="shared" si="471"/>
        <v>0.66293018438392859</v>
      </c>
      <c r="AS94" s="52">
        <f t="shared" si="543"/>
        <v>-305.00000794101635</v>
      </c>
      <c r="AT94" s="73">
        <f t="shared" si="472"/>
        <v>2.5049298194464997E-3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6.117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-3.4437735770531797</v>
      </c>
      <c r="C95" s="708">
        <v>2.4276058566002474</v>
      </c>
      <c r="D95" s="709">
        <v>-6.8300205993421279E-2</v>
      </c>
      <c r="E95" s="710">
        <v>-0.56809340905967087</v>
      </c>
      <c r="F95" s="708">
        <v>-0.78051129361445881</v>
      </c>
      <c r="G95" s="711">
        <v>0.26090611170159606</v>
      </c>
      <c r="H95" s="710">
        <v>0.314</v>
      </c>
      <c r="I95" s="708">
        <v>0.52</v>
      </c>
      <c r="J95" s="570">
        <v>6.1230000000000002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6.1230000000000002</v>
      </c>
      <c r="N95" s="632">
        <f t="shared" si="465"/>
        <v>-3.4437735770531797</v>
      </c>
      <c r="O95" s="629">
        <f t="shared" si="466"/>
        <v>2.4276058566002474</v>
      </c>
      <c r="P95" s="633">
        <f t="shared" si="467"/>
        <v>-6.8300205993421279E-2</v>
      </c>
      <c r="Q95" s="585">
        <f t="shared" si="520"/>
        <v>144.8189920851168</v>
      </c>
      <c r="R95" s="629">
        <f t="shared" si="79"/>
        <v>4.2134127076527257</v>
      </c>
      <c r="S95" s="634">
        <f t="shared" si="80"/>
        <v>-6.8300205993421279E-2</v>
      </c>
      <c r="T95" s="635">
        <f t="shared" si="81"/>
        <v>2.4276058566002483</v>
      </c>
      <c r="U95" s="629">
        <f t="shared" si="82"/>
        <v>3.4437735770531788</v>
      </c>
      <c r="V95" s="636">
        <f t="shared" si="114"/>
        <v>-6.8300205993421279E-2</v>
      </c>
      <c r="W95" s="585">
        <f t="shared" si="645"/>
        <v>54.818992085116804</v>
      </c>
      <c r="X95" s="629">
        <f t="shared" si="83"/>
        <v>4.2134127076527257</v>
      </c>
      <c r="Y95" s="630">
        <f t="shared" si="644"/>
        <v>-6.8300205993421279E-2</v>
      </c>
      <c r="Z95" s="632">
        <f t="shared" si="468"/>
        <v>0.56809340905967087</v>
      </c>
      <c r="AA95" s="629">
        <f t="shared" si="469"/>
        <v>0.78051129361445881</v>
      </c>
      <c r="AB95" s="629">
        <f t="shared" si="470"/>
        <v>-0.26090611170159606</v>
      </c>
      <c r="AC95" s="636">
        <f t="shared" si="84"/>
        <v>1</v>
      </c>
      <c r="AD95" s="637">
        <f t="shared" si="115"/>
        <v>0.56809340905967087</v>
      </c>
      <c r="AE95" s="629">
        <f t="shared" si="85"/>
        <v>0.78051129361445881</v>
      </c>
      <c r="AF95" s="633">
        <f t="shared" si="86"/>
        <v>-0.26090611170159606</v>
      </c>
      <c r="AG95" s="602">
        <f t="shared" si="87"/>
        <v>71.516460572625078</v>
      </c>
      <c r="AH95" s="603">
        <f t="shared" si="88"/>
        <v>55.382619901759575</v>
      </c>
      <c r="AI95" s="585">
        <f t="shared" si="89"/>
        <v>-74.876165608765561</v>
      </c>
      <c r="AJ95" s="586">
        <f t="shared" si="90"/>
        <v>143.9510828309385</v>
      </c>
      <c r="AK95" s="635">
        <f t="shared" si="211"/>
        <v>0.96525342724758634</v>
      </c>
      <c r="AL95" s="629">
        <f t="shared" si="91"/>
        <v>-1.4622655830689946E-2</v>
      </c>
      <c r="AM95" s="634">
        <f t="shared" si="92"/>
        <v>-0.26090611170159606</v>
      </c>
      <c r="AN95" s="581">
        <f t="shared" si="93"/>
        <v>-3.2078240029972083</v>
      </c>
      <c r="AO95" s="582">
        <f t="shared" si="461"/>
        <v>15.148137061012262</v>
      </c>
      <c r="AP95" s="585">
        <f t="shared" si="95"/>
        <v>-0.86790925417830556</v>
      </c>
      <c r="AQ95" s="586">
        <f t="shared" si="471"/>
        <v>0.54104808321629427</v>
      </c>
      <c r="AS95" s="52">
        <f t="shared" si="543"/>
        <v>-305.1810079148832</v>
      </c>
      <c r="AT95" s="73">
        <f t="shared" si="472"/>
        <v>0.14363104950302541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6.1230000000000002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-4.0325412004992964</v>
      </c>
      <c r="C96" s="708">
        <v>2.8919165429619302</v>
      </c>
      <c r="D96" s="709">
        <v>-0.10320031125213863</v>
      </c>
      <c r="E96" s="710">
        <v>-0.64708096168072449</v>
      </c>
      <c r="F96" s="708">
        <v>-0.7211085087489828</v>
      </c>
      <c r="G96" s="711">
        <v>0.24756564309323498</v>
      </c>
      <c r="H96" s="710">
        <v>0.314</v>
      </c>
      <c r="I96" s="708">
        <v>0.52</v>
      </c>
      <c r="J96" s="570">
        <v>6.1289999999999996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6.1289999999999996</v>
      </c>
      <c r="N96" s="632">
        <f t="shared" si="465"/>
        <v>-4.0325412004992964</v>
      </c>
      <c r="O96" s="629">
        <f t="shared" si="466"/>
        <v>2.8919165429619302</v>
      </c>
      <c r="P96" s="633">
        <f t="shared" si="467"/>
        <v>-0.10320031125213863</v>
      </c>
      <c r="Q96" s="585">
        <f t="shared" si="520"/>
        <v>144.35399215225448</v>
      </c>
      <c r="R96" s="629">
        <f t="shared" si="79"/>
        <v>4.9623149663419381</v>
      </c>
      <c r="S96" s="634">
        <f t="shared" si="80"/>
        <v>-0.10320031125213863</v>
      </c>
      <c r="T96" s="635">
        <f t="shared" si="81"/>
        <v>2.891916542961932</v>
      </c>
      <c r="U96" s="629">
        <f t="shared" si="82"/>
        <v>4.0325412004992955</v>
      </c>
      <c r="V96" s="636">
        <f t="shared" si="114"/>
        <v>-0.10320031125213863</v>
      </c>
      <c r="W96" s="585">
        <f t="shared" si="645"/>
        <v>54.353992152254477</v>
      </c>
      <c r="X96" s="629">
        <f t="shared" si="83"/>
        <v>4.9623149663419381</v>
      </c>
      <c r="Y96" s="630">
        <f t="shared" si="644"/>
        <v>-0.10320031125213863</v>
      </c>
      <c r="Z96" s="632">
        <f t="shared" si="468"/>
        <v>0.64708096168072449</v>
      </c>
      <c r="AA96" s="629">
        <f t="shared" si="469"/>
        <v>0.7211085087489828</v>
      </c>
      <c r="AB96" s="629">
        <f t="shared" si="470"/>
        <v>-0.24756564309323498</v>
      </c>
      <c r="AC96" s="636">
        <f t="shared" si="84"/>
        <v>1</v>
      </c>
      <c r="AD96" s="637">
        <f t="shared" si="115"/>
        <v>0.64708096168072449</v>
      </c>
      <c r="AE96" s="629">
        <f t="shared" si="85"/>
        <v>0.7211085087489828</v>
      </c>
      <c r="AF96" s="633">
        <f t="shared" si="86"/>
        <v>-0.24756564309323498</v>
      </c>
      <c r="AG96" s="602">
        <f t="shared" si="87"/>
        <v>71.052007560828002</v>
      </c>
      <c r="AH96" s="603">
        <f t="shared" si="88"/>
        <v>49.678121273704321</v>
      </c>
      <c r="AI96" s="585">
        <f t="shared" si="89"/>
        <v>-75.666493887112679</v>
      </c>
      <c r="AJ96" s="586">
        <f t="shared" si="90"/>
        <v>138.09703767108772</v>
      </c>
      <c r="AK96" s="635">
        <f t="shared" si="211"/>
        <v>0.96309967055641399</v>
      </c>
      <c r="AL96" s="629">
        <f t="shared" si="91"/>
        <v>-0.10559487172187865</v>
      </c>
      <c r="AM96" s="634">
        <f t="shared" si="92"/>
        <v>-0.24756564309323498</v>
      </c>
      <c r="AN96" s="581">
        <f t="shared" si="93"/>
        <v>-23.099838729102512</v>
      </c>
      <c r="AO96" s="582">
        <f t="shared" si="461"/>
        <v>15.613395000365406</v>
      </c>
      <c r="AP96" s="585">
        <f t="shared" si="95"/>
        <v>-6.2569544811667468</v>
      </c>
      <c r="AQ96" s="586">
        <f t="shared" si="471"/>
        <v>0.45939804180812915</v>
      </c>
      <c r="AS96" s="52">
        <f t="shared" si="543"/>
        <v>-305.64600784774552</v>
      </c>
      <c r="AT96" s="73">
        <f t="shared" si="472"/>
        <v>0.10905386086435132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6.1289999999999996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-4.5832578228208334</v>
      </c>
      <c r="C97" s="708">
        <v>3.3618147794637161</v>
      </c>
      <c r="D97" s="709">
        <v>-0.30690092561319093</v>
      </c>
      <c r="E97" s="710">
        <v>-0.71414328978187436</v>
      </c>
      <c r="F97" s="708">
        <v>-0.66051571533782949</v>
      </c>
      <c r="G97" s="711">
        <v>0.23177219732158835</v>
      </c>
      <c r="H97" s="710">
        <v>0.314</v>
      </c>
      <c r="I97" s="708">
        <v>0.52</v>
      </c>
      <c r="J97" s="570">
        <v>6.1349999999999998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6.1349999999999998</v>
      </c>
      <c r="N97" s="632">
        <f t="shared" si="465"/>
        <v>-4.5832578228208334</v>
      </c>
      <c r="O97" s="629">
        <f t="shared" si="466"/>
        <v>3.3618147794637161</v>
      </c>
      <c r="P97" s="633">
        <f t="shared" si="467"/>
        <v>-0.30690092561319093</v>
      </c>
      <c r="Q97" s="585">
        <f t="shared" si="520"/>
        <v>143.73999224090511</v>
      </c>
      <c r="R97" s="629">
        <f t="shared" si="79"/>
        <v>5.6840171429957032</v>
      </c>
      <c r="S97" s="634">
        <f t="shared" si="80"/>
        <v>-0.30690092561319093</v>
      </c>
      <c r="T97" s="635">
        <f t="shared" si="81"/>
        <v>3.361814779463717</v>
      </c>
      <c r="U97" s="629">
        <f t="shared" si="82"/>
        <v>4.5832578228208325</v>
      </c>
      <c r="V97" s="636">
        <f t="shared" si="114"/>
        <v>-0.30690092561319093</v>
      </c>
      <c r="W97" s="585">
        <f t="shared" si="645"/>
        <v>53.73999224090511</v>
      </c>
      <c r="X97" s="629">
        <f t="shared" si="83"/>
        <v>5.6840171429957032</v>
      </c>
      <c r="Y97" s="630">
        <f t="shared" si="644"/>
        <v>-0.30690092561319093</v>
      </c>
      <c r="Z97" s="632">
        <f t="shared" si="468"/>
        <v>0.71414328978187436</v>
      </c>
      <c r="AA97" s="629">
        <f t="shared" si="469"/>
        <v>0.66051571533782949</v>
      </c>
      <c r="AB97" s="629">
        <f t="shared" si="470"/>
        <v>-0.23177219732158835</v>
      </c>
      <c r="AC97" s="636">
        <f t="shared" si="84"/>
        <v>1</v>
      </c>
      <c r="AD97" s="637">
        <f t="shared" si="115"/>
        <v>0.71414328978187436</v>
      </c>
      <c r="AE97" s="629">
        <f t="shared" si="85"/>
        <v>0.66051571533782949</v>
      </c>
      <c r="AF97" s="633">
        <f t="shared" si="86"/>
        <v>-0.23177219732158835</v>
      </c>
      <c r="AG97" s="602">
        <f t="shared" si="87"/>
        <v>70.664241690651735</v>
      </c>
      <c r="AH97" s="603">
        <f t="shared" si="88"/>
        <v>44.426967419272898</v>
      </c>
      <c r="AI97" s="585">
        <f t="shared" si="89"/>
        <v>-76.598569107281463</v>
      </c>
      <c r="AJ97" s="586">
        <f t="shared" si="90"/>
        <v>132.76593588398902</v>
      </c>
      <c r="AK97" s="635">
        <f t="shared" si="211"/>
        <v>0.9549815120369094</v>
      </c>
      <c r="AL97" s="629">
        <f t="shared" si="91"/>
        <v>-0.1851808851270052</v>
      </c>
      <c r="AM97" s="634">
        <f t="shared" si="92"/>
        <v>-0.23177219732158835</v>
      </c>
      <c r="AN97" s="581">
        <f t="shared" si="93"/>
        <v>-38.624085163662656</v>
      </c>
      <c r="AO97" s="582">
        <f t="shared" si="461"/>
        <v>17.257424106147706</v>
      </c>
      <c r="AP97" s="585">
        <f t="shared" si="95"/>
        <v>-10.974056356916096</v>
      </c>
      <c r="AQ97" s="586">
        <f t="shared" si="471"/>
        <v>0.4010701127404297</v>
      </c>
      <c r="AS97" s="52">
        <f t="shared" si="543"/>
        <v>-306.26000775909489</v>
      </c>
      <c r="AT97" s="73">
        <f t="shared" si="472"/>
        <v>-9.4220364669375029E-2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6.1349999999999998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-5.0709241614758538</v>
      </c>
      <c r="C98" s="708">
        <v>3.8092965328872048</v>
      </c>
      <c r="D98" s="709">
        <v>-0.66760201348767378</v>
      </c>
      <c r="E98" s="710">
        <v>-0.77922361783575034</v>
      </c>
      <c r="F98" s="708">
        <v>-0.58412612537154129</v>
      </c>
      <c r="G98" s="711">
        <v>0.22717223216184429</v>
      </c>
      <c r="H98" s="710">
        <v>0.314</v>
      </c>
      <c r="I98" s="708">
        <v>0.52</v>
      </c>
      <c r="J98" s="570">
        <v>6.141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6.141</v>
      </c>
      <c r="N98" s="632">
        <f t="shared" si="465"/>
        <v>-5.0709241614758538</v>
      </c>
      <c r="O98" s="629">
        <f t="shared" si="466"/>
        <v>3.8092965328872048</v>
      </c>
      <c r="P98" s="633">
        <f t="shared" si="467"/>
        <v>-0.66760201348767378</v>
      </c>
      <c r="Q98" s="585">
        <f t="shared" si="520"/>
        <v>143.08599233533101</v>
      </c>
      <c r="R98" s="629">
        <f t="shared" si="79"/>
        <v>6.3423191284344931</v>
      </c>
      <c r="S98" s="634">
        <f t="shared" si="80"/>
        <v>-0.66760201348767378</v>
      </c>
      <c r="T98" s="635">
        <f t="shared" si="81"/>
        <v>3.8092965328872044</v>
      </c>
      <c r="U98" s="629">
        <f t="shared" si="82"/>
        <v>5.0709241614758538</v>
      </c>
      <c r="V98" s="636">
        <f t="shared" si="114"/>
        <v>-0.66760201348767378</v>
      </c>
      <c r="W98" s="585">
        <f t="shared" si="645"/>
        <v>53.085992335331014</v>
      </c>
      <c r="X98" s="629">
        <f t="shared" si="83"/>
        <v>6.3423191284344931</v>
      </c>
      <c r="Y98" s="630">
        <f t="shared" si="644"/>
        <v>-0.66760201348767378</v>
      </c>
      <c r="Z98" s="632">
        <f t="shared" si="468"/>
        <v>0.77922361783575034</v>
      </c>
      <c r="AA98" s="629">
        <f t="shared" si="469"/>
        <v>0.58412612537154129</v>
      </c>
      <c r="AB98" s="629">
        <f t="shared" si="470"/>
        <v>-0.22717223216184429</v>
      </c>
      <c r="AC98" s="636">
        <f t="shared" si="84"/>
        <v>1</v>
      </c>
      <c r="AD98" s="637">
        <f t="shared" si="115"/>
        <v>0.77922361783575034</v>
      </c>
      <c r="AE98" s="629">
        <f t="shared" si="85"/>
        <v>0.58412612537154129</v>
      </c>
      <c r="AF98" s="633">
        <f t="shared" si="86"/>
        <v>-0.22717223216184429</v>
      </c>
      <c r="AG98" s="602">
        <f t="shared" si="87"/>
        <v>68.748465910695685</v>
      </c>
      <c r="AH98" s="603">
        <f t="shared" si="88"/>
        <v>38.810454552889496</v>
      </c>
      <c r="AI98" s="585">
        <f t="shared" si="89"/>
        <v>-76.869353815454915</v>
      </c>
      <c r="AJ98" s="586">
        <f t="shared" si="90"/>
        <v>126.85617341040883</v>
      </c>
      <c r="AK98" s="635">
        <f t="shared" si="211"/>
        <v>0.93504489259675427</v>
      </c>
      <c r="AL98" s="629">
        <f t="shared" si="91"/>
        <v>-0.27218344138343437</v>
      </c>
      <c r="AM98" s="634">
        <f t="shared" si="92"/>
        <v>-0.22717223216184429</v>
      </c>
      <c r="AN98" s="581">
        <f t="shared" si="93"/>
        <v>-50.150640472102609</v>
      </c>
      <c r="AO98" s="582">
        <f t="shared" si="461"/>
        <v>20.764601126624211</v>
      </c>
      <c r="AP98" s="585">
        <f t="shared" si="95"/>
        <v>-16.229818924922178</v>
      </c>
      <c r="AQ98" s="586">
        <f t="shared" si="471"/>
        <v>0.35944213443299167</v>
      </c>
      <c r="AS98" s="52">
        <f t="shared" si="543"/>
        <v>-306.91400766466899</v>
      </c>
      <c r="AT98" s="73">
        <f t="shared" si="472"/>
        <v>-0.45446728594276475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6.141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-5.4734131694717201</v>
      </c>
      <c r="C99" s="708">
        <v>4.2032388419701086</v>
      </c>
      <c r="D99" s="709">
        <v>-1.1684035239050283</v>
      </c>
      <c r="E99" s="710">
        <v>-0.83820973966727153</v>
      </c>
      <c r="F99" s="708">
        <v>-0.50678263792909239</v>
      </c>
      <c r="G99" s="711">
        <v>0.20143433227867474</v>
      </c>
      <c r="H99" s="710">
        <v>0.314</v>
      </c>
      <c r="I99" s="708">
        <v>0.52</v>
      </c>
      <c r="J99" s="570">
        <v>6.1470000000000002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6.1470000000000002</v>
      </c>
      <c r="N99" s="632">
        <f t="shared" si="465"/>
        <v>-5.4734131694717201</v>
      </c>
      <c r="O99" s="629">
        <f t="shared" si="466"/>
        <v>4.2032388419701086</v>
      </c>
      <c r="P99" s="633">
        <f t="shared" si="467"/>
        <v>-1.1684035239050283</v>
      </c>
      <c r="Q99" s="585">
        <f t="shared" si="520"/>
        <v>142.47799242311532</v>
      </c>
      <c r="R99" s="629">
        <f t="shared" si="79"/>
        <v>6.9011208137803726</v>
      </c>
      <c r="S99" s="634">
        <f t="shared" si="80"/>
        <v>-1.1684035239050283</v>
      </c>
      <c r="T99" s="635">
        <f t="shared" si="81"/>
        <v>4.2032388419701094</v>
      </c>
      <c r="U99" s="629">
        <f t="shared" si="82"/>
        <v>5.4734131694717183</v>
      </c>
      <c r="V99" s="636">
        <f t="shared" si="114"/>
        <v>-1.1684035239050283</v>
      </c>
      <c r="W99" s="585">
        <f t="shared" si="645"/>
        <v>52.477992423115325</v>
      </c>
      <c r="X99" s="629">
        <f t="shared" si="83"/>
        <v>6.9011208137803726</v>
      </c>
      <c r="Y99" s="630">
        <f t="shared" si="644"/>
        <v>-1.1684035239050283</v>
      </c>
      <c r="Z99" s="632">
        <f t="shared" si="468"/>
        <v>0.83820973966727153</v>
      </c>
      <c r="AA99" s="629">
        <f t="shared" si="469"/>
        <v>0.50678263792909239</v>
      </c>
      <c r="AB99" s="629">
        <f t="shared" si="470"/>
        <v>-0.20143433227867474</v>
      </c>
      <c r="AC99" s="636">
        <f t="shared" si="84"/>
        <v>1</v>
      </c>
      <c r="AD99" s="637">
        <f t="shared" si="115"/>
        <v>0.83820973966727153</v>
      </c>
      <c r="AE99" s="629">
        <f t="shared" si="85"/>
        <v>0.50678263792909239</v>
      </c>
      <c r="AF99" s="633">
        <f t="shared" si="86"/>
        <v>-0.20143433227867474</v>
      </c>
      <c r="AG99" s="602">
        <f t="shared" si="87"/>
        <v>68.32332791809192</v>
      </c>
      <c r="AH99" s="603">
        <f t="shared" si="88"/>
        <v>33.048447391009226</v>
      </c>
      <c r="AI99" s="585">
        <f t="shared" si="89"/>
        <v>-78.37915257988692</v>
      </c>
      <c r="AJ99" s="586">
        <f t="shared" si="90"/>
        <v>121.15720937847591</v>
      </c>
      <c r="AK99" s="635">
        <f t="shared" si="211"/>
        <v>0.91246431846458087</v>
      </c>
      <c r="AL99" s="629">
        <f t="shared" si="91"/>
        <v>-0.35613631843496746</v>
      </c>
      <c r="AM99" s="634">
        <f t="shared" si="92"/>
        <v>-0.20143433227867474</v>
      </c>
      <c r="AN99" s="581">
        <f t="shared" si="93"/>
        <v>-60.50705706087809</v>
      </c>
      <c r="AO99" s="582">
        <f t="shared" si="461"/>
        <v>24.151845109563027</v>
      </c>
      <c r="AP99" s="585">
        <f t="shared" si="95"/>
        <v>-21.32078304463943</v>
      </c>
      <c r="AQ99" s="586">
        <f t="shared" si="471"/>
        <v>0.33033784416143092</v>
      </c>
      <c r="AS99" s="52">
        <f t="shared" si="543"/>
        <v>-307.52200757688468</v>
      </c>
      <c r="AT99" s="73">
        <f t="shared" si="472"/>
        <v>-0.95484657419885843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6.1470000000000002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-5.7752691517031716</v>
      </c>
      <c r="C100" s="708">
        <v>4.514408979712198</v>
      </c>
      <c r="D100" s="709">
        <v>-1.7827053766394148</v>
      </c>
      <c r="E100" s="710">
        <v>-0.88717912587146375</v>
      </c>
      <c r="F100" s="708">
        <v>-0.43366965568646715</v>
      </c>
      <c r="G100" s="711">
        <v>0.15761925121864581</v>
      </c>
      <c r="H100" s="710">
        <v>0.314</v>
      </c>
      <c r="I100" s="708">
        <v>0.52</v>
      </c>
      <c r="J100" s="570">
        <v>6.1529999999999996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6.1529999999999996</v>
      </c>
      <c r="N100" s="632">
        <f t="shared" si="465"/>
        <v>-5.7752691517031716</v>
      </c>
      <c r="O100" s="629">
        <f t="shared" si="466"/>
        <v>4.514408979712198</v>
      </c>
      <c r="P100" s="633">
        <f t="shared" si="467"/>
        <v>-1.7827053766394148</v>
      </c>
      <c r="Q100" s="585">
        <f t="shared" si="520"/>
        <v>141.98599249415136</v>
      </c>
      <c r="R100" s="629">
        <f t="shared" si="79"/>
        <v>7.3303221082514787</v>
      </c>
      <c r="S100" s="634">
        <f t="shared" si="80"/>
        <v>-1.7827053766394148</v>
      </c>
      <c r="T100" s="635">
        <f t="shared" si="81"/>
        <v>4.5144089797121971</v>
      </c>
      <c r="U100" s="629">
        <f t="shared" si="82"/>
        <v>5.7752691517031733</v>
      </c>
      <c r="V100" s="636">
        <f t="shared" si="114"/>
        <v>-1.7827053766394148</v>
      </c>
      <c r="W100" s="585">
        <f t="shared" si="645"/>
        <v>51.985992494151361</v>
      </c>
      <c r="X100" s="629">
        <f t="shared" si="83"/>
        <v>7.3303221082514787</v>
      </c>
      <c r="Y100" s="630">
        <f t="shared" si="644"/>
        <v>-1.7827053766394148</v>
      </c>
      <c r="Z100" s="632">
        <f t="shared" si="468"/>
        <v>0.88717912587146375</v>
      </c>
      <c r="AA100" s="629">
        <f t="shared" si="469"/>
        <v>0.43366965568646715</v>
      </c>
      <c r="AB100" s="629">
        <f t="shared" si="470"/>
        <v>-0.15761925121864581</v>
      </c>
      <c r="AC100" s="636">
        <f t="shared" si="84"/>
        <v>1</v>
      </c>
      <c r="AD100" s="637">
        <f t="shared" si="115"/>
        <v>0.88717912587146375</v>
      </c>
      <c r="AE100" s="629">
        <f t="shared" si="85"/>
        <v>0.43366965568646715</v>
      </c>
      <c r="AF100" s="633">
        <f t="shared" si="86"/>
        <v>-0.15761925121864581</v>
      </c>
      <c r="AG100" s="602">
        <f t="shared" si="87"/>
        <v>70.02608970528739</v>
      </c>
      <c r="AH100" s="603">
        <f t="shared" si="88"/>
        <v>27.479110193577363</v>
      </c>
      <c r="AI100" s="585">
        <f t="shared" si="89"/>
        <v>-80.931264032421183</v>
      </c>
      <c r="AJ100" s="586">
        <f t="shared" si="90"/>
        <v>116.05024470975859</v>
      </c>
      <c r="AK100" s="635">
        <f t="shared" si="211"/>
        <v>0.88804397689911441</v>
      </c>
      <c r="AL100" s="629">
        <f t="shared" si="91"/>
        <v>-0.43189589803386508</v>
      </c>
      <c r="AM100" s="634">
        <f t="shared" si="92"/>
        <v>-0.15761925121864581</v>
      </c>
      <c r="AN100" s="581">
        <f t="shared" si="93"/>
        <v>-69.950581312962228</v>
      </c>
      <c r="AO100" s="582">
        <f t="shared" si="461"/>
        <v>27.371526224781434</v>
      </c>
      <c r="AP100" s="585">
        <f t="shared" si="95"/>
        <v>-25.935747784392785</v>
      </c>
      <c r="AQ100" s="586">
        <f t="shared" si="471"/>
        <v>0.3109964623152689</v>
      </c>
      <c r="AS100" s="52">
        <f t="shared" si="543"/>
        <v>-308.01400750584867</v>
      </c>
      <c r="AT100" s="73">
        <f t="shared" si="472"/>
        <v>-1.5688067603159088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6.1529999999999996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-5.9668241961084378</v>
      </c>
      <c r="C101" s="708">
        <v>4.7194211382116871</v>
      </c>
      <c r="D101" s="709">
        <v>-2.4808074821153667</v>
      </c>
      <c r="E101" s="710">
        <v>-0.91952916092360226</v>
      </c>
      <c r="F101" s="708">
        <v>-0.3823825712171503</v>
      </c>
      <c r="G101" s="711">
        <v>9.0827812042881179E-2</v>
      </c>
      <c r="H101" s="710">
        <v>0.314</v>
      </c>
      <c r="I101" s="708">
        <v>0.52</v>
      </c>
      <c r="J101" s="570">
        <v>6.1589999999999998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6.1589999999999998</v>
      </c>
      <c r="N101" s="632">
        <f t="shared" si="465"/>
        <v>-5.9668241961084378</v>
      </c>
      <c r="O101" s="629">
        <f t="shared" si="466"/>
        <v>4.7194211382116871</v>
      </c>
      <c r="P101" s="633">
        <f t="shared" si="467"/>
        <v>-2.4808074821153667</v>
      </c>
      <c r="Q101" s="585">
        <f t="shared" si="520"/>
        <v>141.65799254150866</v>
      </c>
      <c r="R101" s="629">
        <f t="shared" si="79"/>
        <v>7.6076229445908012</v>
      </c>
      <c r="S101" s="634">
        <f t="shared" si="80"/>
        <v>-2.4808074821153667</v>
      </c>
      <c r="T101" s="635">
        <f t="shared" si="81"/>
        <v>4.7194211382116888</v>
      </c>
      <c r="U101" s="629">
        <f t="shared" si="82"/>
        <v>5.9668241961084378</v>
      </c>
      <c r="V101" s="636">
        <f t="shared" si="114"/>
        <v>-2.4808074821153667</v>
      </c>
      <c r="W101" s="585">
        <f t="shared" si="645"/>
        <v>51.657992541508662</v>
      </c>
      <c r="X101" s="629">
        <f t="shared" si="83"/>
        <v>7.6076229445908012</v>
      </c>
      <c r="Y101" s="630">
        <f t="shared" si="644"/>
        <v>-2.4808074821153667</v>
      </c>
      <c r="Z101" s="632">
        <f t="shared" si="468"/>
        <v>0.91952916092360226</v>
      </c>
      <c r="AA101" s="629">
        <f t="shared" si="469"/>
        <v>0.3823825712171503</v>
      </c>
      <c r="AB101" s="629">
        <f t="shared" si="470"/>
        <v>-9.0827812042881179E-2</v>
      </c>
      <c r="AC101" s="636">
        <f t="shared" si="84"/>
        <v>1</v>
      </c>
      <c r="AD101" s="637">
        <f t="shared" si="115"/>
        <v>0.91952916092360226</v>
      </c>
      <c r="AE101" s="629">
        <f t="shared" si="85"/>
        <v>0.3823825712171503</v>
      </c>
      <c r="AF101" s="633">
        <f t="shared" si="86"/>
        <v>-9.0827812042881179E-2</v>
      </c>
      <c r="AG101" s="602">
        <f t="shared" si="87"/>
        <v>76.638086403645161</v>
      </c>
      <c r="AH101" s="603">
        <f t="shared" si="88"/>
        <v>23.142654743042886</v>
      </c>
      <c r="AI101" s="585">
        <f t="shared" si="89"/>
        <v>-84.788767711770845</v>
      </c>
      <c r="AJ101" s="586">
        <f t="shared" si="90"/>
        <v>112.57979080901433</v>
      </c>
      <c r="AK101" s="635">
        <f t="shared" si="211"/>
        <v>0.87034478254228209</v>
      </c>
      <c r="AL101" s="629">
        <f t="shared" si="91"/>
        <v>-0.48399407853911902</v>
      </c>
      <c r="AM101" s="634">
        <f t="shared" si="92"/>
        <v>-9.0827812042881179E-2</v>
      </c>
      <c r="AN101" s="581">
        <f t="shared" si="93"/>
        <v>-79.371319381790755</v>
      </c>
      <c r="AO101" s="582">
        <f t="shared" si="461"/>
        <v>29.50126979987915</v>
      </c>
      <c r="AP101" s="585">
        <f t="shared" si="95"/>
        <v>-29.078201732494335</v>
      </c>
      <c r="AQ101" s="586">
        <f t="shared" si="471"/>
        <v>0.29966073007028626</v>
      </c>
      <c r="AS101" s="52">
        <f t="shared" si="543"/>
        <v>-308.34200745849137</v>
      </c>
      <c r="AT101" s="73">
        <f t="shared" si="472"/>
        <v>-2.2666810880469699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6.1589999999999998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-6.0411981377841775</v>
      </c>
      <c r="C102" s="708">
        <v>4.8007408994864669</v>
      </c>
      <c r="D102" s="709">
        <v>-3.2204097127556941</v>
      </c>
      <c r="E102" s="710">
        <v>-0.93888963518993196</v>
      </c>
      <c r="F102" s="708">
        <v>-0.34374567538335277</v>
      </c>
      <c r="G102" s="711">
        <v>1.8032292925733578E-2</v>
      </c>
      <c r="H102" s="710">
        <v>0.314</v>
      </c>
      <c r="I102" s="708">
        <v>0.52</v>
      </c>
      <c r="J102" s="570">
        <v>6.165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6.165</v>
      </c>
      <c r="N102" s="632">
        <f t="shared" si="465"/>
        <v>-6.0411981377841775</v>
      </c>
      <c r="O102" s="629">
        <f t="shared" si="466"/>
        <v>4.8007408994864669</v>
      </c>
      <c r="P102" s="633">
        <f t="shared" si="467"/>
        <v>-3.2204097127556941</v>
      </c>
      <c r="Q102" s="585">
        <f t="shared" si="520"/>
        <v>141.52699256042274</v>
      </c>
      <c r="R102" s="629">
        <f t="shared" si="79"/>
        <v>7.716423272732591</v>
      </c>
      <c r="S102" s="634">
        <f t="shared" si="80"/>
        <v>-3.2204097127556941</v>
      </c>
      <c r="T102" s="635">
        <f t="shared" si="81"/>
        <v>4.8007408994864669</v>
      </c>
      <c r="U102" s="629">
        <f t="shared" si="82"/>
        <v>6.0411981377841784</v>
      </c>
      <c r="V102" s="636">
        <f t="shared" si="114"/>
        <v>-3.2204097127556941</v>
      </c>
      <c r="W102" s="585">
        <f t="shared" si="645"/>
        <v>51.526992560422741</v>
      </c>
      <c r="X102" s="629">
        <f t="shared" si="83"/>
        <v>7.716423272732591</v>
      </c>
      <c r="Y102" s="630">
        <f t="shared" si="644"/>
        <v>-3.2204097127556941</v>
      </c>
      <c r="Z102" s="632">
        <f t="shared" si="468"/>
        <v>0.93888963518993196</v>
      </c>
      <c r="AA102" s="629">
        <f t="shared" si="469"/>
        <v>0.34374567538335277</v>
      </c>
      <c r="AB102" s="629">
        <f t="shared" si="470"/>
        <v>-1.8032292925733578E-2</v>
      </c>
      <c r="AC102" s="636">
        <f t="shared" si="84"/>
        <v>1</v>
      </c>
      <c r="AD102" s="637">
        <f t="shared" si="115"/>
        <v>0.93888963518993196</v>
      </c>
      <c r="AE102" s="629">
        <f t="shared" si="85"/>
        <v>0.34374567538335277</v>
      </c>
      <c r="AF102" s="633">
        <f t="shared" si="86"/>
        <v>-1.8032292925733578E-2</v>
      </c>
      <c r="AG102" s="602">
        <f t="shared" si="87"/>
        <v>86.997116775924042</v>
      </c>
      <c r="AH102" s="603">
        <f t="shared" si="88"/>
        <v>20.13408652243255</v>
      </c>
      <c r="AI102" s="585">
        <f t="shared" si="89"/>
        <v>-88.966769720441363</v>
      </c>
      <c r="AJ102" s="586">
        <f t="shared" si="90"/>
        <v>110.10865666019055</v>
      </c>
      <c r="AK102" s="635">
        <f t="shared" si="211"/>
        <v>0.85324526312900661</v>
      </c>
      <c r="AL102" s="629">
        <f t="shared" si="91"/>
        <v>-0.52119800206807509</v>
      </c>
      <c r="AM102" s="634">
        <f t="shared" si="92"/>
        <v>-1.8032292925733578E-2</v>
      </c>
      <c r="AN102" s="581">
        <f t="shared" si="93"/>
        <v>-88.018483699833624</v>
      </c>
      <c r="AO102" s="582">
        <f t="shared" si="461"/>
        <v>31.433583672878047</v>
      </c>
      <c r="AP102" s="585">
        <f t="shared" si="95"/>
        <v>-31.41833590023219</v>
      </c>
      <c r="AQ102" s="586">
        <f t="shared" si="471"/>
        <v>0.29543563735752121</v>
      </c>
      <c r="AS102" s="52">
        <f t="shared" si="543"/>
        <v>-308.47300743957726</v>
      </c>
      <c r="AT102" s="73">
        <f t="shared" si="472"/>
        <v>-3.0061923464782101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6.165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-6.0525928596096135</v>
      </c>
      <c r="C103" s="708">
        <v>4.813243813279672</v>
      </c>
      <c r="D103" s="709">
        <v>-3.9283118477885335</v>
      </c>
      <c r="E103" s="710">
        <v>-0.96710642946150793</v>
      </c>
      <c r="F103" s="708">
        <v>-0.25173662397863167</v>
      </c>
      <c r="G103" s="711">
        <v>3.6521585973974882E-2</v>
      </c>
      <c r="H103" s="710">
        <v>0.314</v>
      </c>
      <c r="I103" s="708">
        <v>0.52</v>
      </c>
      <c r="J103" s="570">
        <v>6.1710000000000003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6.1710000000000003</v>
      </c>
      <c r="N103" s="632">
        <f t="shared" si="465"/>
        <v>-6.0525928596096135</v>
      </c>
      <c r="O103" s="629">
        <f t="shared" si="466"/>
        <v>4.813243813279672</v>
      </c>
      <c r="P103" s="633">
        <f t="shared" si="467"/>
        <v>-3.9283118477885335</v>
      </c>
      <c r="Q103" s="585">
        <f t="shared" si="520"/>
        <v>141.50699256331038</v>
      </c>
      <c r="R103" s="629">
        <f t="shared" si="79"/>
        <v>7.7331233230999441</v>
      </c>
      <c r="S103" s="634">
        <f t="shared" si="80"/>
        <v>-3.9283118477885335</v>
      </c>
      <c r="T103" s="635">
        <f t="shared" si="81"/>
        <v>4.813243813279672</v>
      </c>
      <c r="U103" s="629">
        <f t="shared" si="82"/>
        <v>6.0525928596096144</v>
      </c>
      <c r="V103" s="636">
        <f t="shared" si="114"/>
        <v>-3.9283118477885335</v>
      </c>
      <c r="W103" s="585">
        <f t="shared" si="645"/>
        <v>51.506992563310376</v>
      </c>
      <c r="X103" s="629">
        <f t="shared" si="83"/>
        <v>7.7331233230999441</v>
      </c>
      <c r="Y103" s="630">
        <f t="shared" si="644"/>
        <v>-3.9283118477885335</v>
      </c>
      <c r="Z103" s="632">
        <f t="shared" si="468"/>
        <v>0.96710642946150793</v>
      </c>
      <c r="AA103" s="629">
        <f t="shared" si="469"/>
        <v>0.25173662397863167</v>
      </c>
      <c r="AB103" s="629">
        <f t="shared" si="470"/>
        <v>-3.6521585973974882E-2</v>
      </c>
      <c r="AC103" s="636">
        <f t="shared" si="84"/>
        <v>1</v>
      </c>
      <c r="AD103" s="637">
        <f t="shared" si="115"/>
        <v>0.96710642946150793</v>
      </c>
      <c r="AE103" s="629">
        <f t="shared" si="85"/>
        <v>0.25173662397863167</v>
      </c>
      <c r="AF103" s="633">
        <f t="shared" si="86"/>
        <v>-3.6521585973974882E-2</v>
      </c>
      <c r="AG103" s="602">
        <f t="shared" si="87"/>
        <v>81.745204559671819</v>
      </c>
      <c r="AH103" s="603">
        <f t="shared" si="88"/>
        <v>14.736381021895983</v>
      </c>
      <c r="AI103" s="585">
        <f t="shared" si="89"/>
        <v>-87.907001803954898</v>
      </c>
      <c r="AJ103" s="586">
        <f t="shared" si="90"/>
        <v>104.5902499207748</v>
      </c>
      <c r="AK103" s="635">
        <f t="shared" si="211"/>
        <v>0.79897579193229684</v>
      </c>
      <c r="AL103" s="629">
        <f t="shared" si="91"/>
        <v>-0.60025316131121276</v>
      </c>
      <c r="AM103" s="634">
        <f t="shared" si="92"/>
        <v>-3.6521585973974882E-2</v>
      </c>
      <c r="AN103" s="581">
        <f t="shared" si="93"/>
        <v>-86.518208577493482</v>
      </c>
      <c r="AO103" s="582">
        <f t="shared" si="461"/>
        <v>36.967591309159999</v>
      </c>
      <c r="AP103" s="585">
        <f t="shared" si="95"/>
        <v>-36.916742642535588</v>
      </c>
      <c r="AQ103" s="586">
        <f t="shared" si="471"/>
        <v>0.29479764121423563</v>
      </c>
      <c r="AS103" s="52">
        <f t="shared" si="543"/>
        <v>-308.4930074366896</v>
      </c>
      <c r="AT103" s="73">
        <f t="shared" si="472"/>
        <v>-3.7140805926241658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6.1710000000000003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-6.0970048659530223</v>
      </c>
      <c r="C104" s="708">
        <v>4.8497779463684658</v>
      </c>
      <c r="D104" s="709">
        <v>-4.6618140600312046</v>
      </c>
      <c r="E104" s="710">
        <v>-0.97992471039836904</v>
      </c>
      <c r="F104" s="708">
        <v>-0.19936790601962845</v>
      </c>
      <c r="G104" s="711">
        <v>1.4578093332296749E-7</v>
      </c>
      <c r="H104" s="710">
        <v>0.314</v>
      </c>
      <c r="I104" s="708">
        <v>0.52</v>
      </c>
      <c r="J104" s="570">
        <v>6.1769999999999996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6.1769999999999996</v>
      </c>
      <c r="N104" s="632">
        <f t="shared" si="465"/>
        <v>-6.0970048659530223</v>
      </c>
      <c r="O104" s="629">
        <f t="shared" si="466"/>
        <v>4.8497779463684658</v>
      </c>
      <c r="P104" s="633">
        <f t="shared" si="467"/>
        <v>-4.6618140600312046</v>
      </c>
      <c r="Q104" s="585">
        <f t="shared" si="520"/>
        <v>141.49999256432105</v>
      </c>
      <c r="R104" s="629">
        <f t="shared" si="79"/>
        <v>7.7906234965204648</v>
      </c>
      <c r="S104" s="634">
        <f t="shared" si="80"/>
        <v>-4.6618140600312046</v>
      </c>
      <c r="T104" s="635">
        <f t="shared" si="81"/>
        <v>4.8497779463684667</v>
      </c>
      <c r="U104" s="629">
        <f t="shared" si="82"/>
        <v>6.0970048659530205</v>
      </c>
      <c r="V104" s="636">
        <f t="shared" si="114"/>
        <v>-4.6618140600312046</v>
      </c>
      <c r="W104" s="585">
        <f t="shared" si="645"/>
        <v>51.499992564321047</v>
      </c>
      <c r="X104" s="629">
        <f t="shared" si="83"/>
        <v>7.7906234965204648</v>
      </c>
      <c r="Y104" s="630">
        <f t="shared" si="644"/>
        <v>-4.6618140600312046</v>
      </c>
      <c r="Z104" s="632">
        <f t="shared" si="468"/>
        <v>0.97992471039836904</v>
      </c>
      <c r="AA104" s="629">
        <f t="shared" si="469"/>
        <v>0.19936790601962845</v>
      </c>
      <c r="AB104" s="629">
        <f t="shared" si="470"/>
        <v>-1.4578093332296749E-7</v>
      </c>
      <c r="AC104" s="636">
        <f t="shared" si="84"/>
        <v>1</v>
      </c>
      <c r="AD104" s="637">
        <f t="shared" si="115"/>
        <v>0.97992471039836904</v>
      </c>
      <c r="AE104" s="629">
        <f t="shared" si="85"/>
        <v>0.19936790601962845</v>
      </c>
      <c r="AF104" s="633">
        <f t="shared" si="86"/>
        <v>-1.4578093332296749E-7</v>
      </c>
      <c r="AG104" s="602">
        <f t="shared" si="87"/>
        <v>89.999958104429254</v>
      </c>
      <c r="AH104" s="603">
        <f t="shared" si="88"/>
        <v>11.499998339609377</v>
      </c>
      <c r="AI104" s="585">
        <f t="shared" si="89"/>
        <v>-89.999991647367793</v>
      </c>
      <c r="AJ104" s="586">
        <f t="shared" si="90"/>
        <v>101.49999833960639</v>
      </c>
      <c r="AK104" s="635">
        <f t="shared" si="211"/>
        <v>0.76604450791050738</v>
      </c>
      <c r="AL104" s="629">
        <f t="shared" si="91"/>
        <v>-0.64278753247097709</v>
      </c>
      <c r="AM104" s="634">
        <f t="shared" si="92"/>
        <v>-1.4578093332296749E-7</v>
      </c>
      <c r="AN104" s="581">
        <f t="shared" si="93"/>
        <v>-89.999987005609498</v>
      </c>
      <c r="AO104" s="582">
        <f t="shared" si="461"/>
        <v>39.999994224715365</v>
      </c>
      <c r="AP104" s="585">
        <f t="shared" si="95"/>
        <v>-39.999994224714648</v>
      </c>
      <c r="AQ104" s="586">
        <f t="shared" si="471"/>
        <v>0.29262186932050377</v>
      </c>
      <c r="AS104" s="52">
        <f t="shared" si="543"/>
        <v>-308.50000743567898</v>
      </c>
      <c r="AT104" s="73">
        <f t="shared" si="472"/>
        <v>-4.4475779437564276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6.1769999999999996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-0.33036604714967333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0.95371696400905337</v>
      </c>
      <c r="F155" s="170">
        <f t="shared" si="929"/>
        <v>7.7828366019961556E-2</v>
      </c>
      <c r="G155" s="170">
        <f t="shared" si="929"/>
        <v>-0.29045946017304536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0.95371696400905337</v>
      </c>
      <c r="F156" s="170">
        <f t="shared" si="929"/>
        <v>7.7828366019961542E-2</v>
      </c>
      <c r="G156" s="170">
        <f t="shared" si="929"/>
        <v>-0.29045946017304536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0.95371696400905337</v>
      </c>
      <c r="F157" s="170">
        <f t="shared" si="929"/>
        <v>7.7828366019961542E-2</v>
      </c>
      <c r="G157" s="170">
        <f t="shared" si="929"/>
        <v>-0.29045946017304536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0.95371696400905337</v>
      </c>
      <c r="F158" s="170">
        <f t="shared" si="929"/>
        <v>7.7828366019961542E-2</v>
      </c>
      <c r="G158" s="170">
        <f t="shared" si="929"/>
        <v>-0.29045946017304536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0.96546731236921079</v>
      </c>
      <c r="F159" s="170">
        <f t="shared" si="929"/>
        <v>-1.1834967664535697E-3</v>
      </c>
      <c r="G159" s="170">
        <f t="shared" si="929"/>
        <v>-0.26052153093741887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0.96262044978606109</v>
      </c>
      <c r="F160" s="170">
        <f t="shared" si="929"/>
        <v>-0.10153054619051495</v>
      </c>
      <c r="G160" s="170">
        <f t="shared" si="929"/>
        <v>-0.25110439630547549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0.95669570258896897</v>
      </c>
      <c r="F161" s="170">
        <f t="shared" si="929"/>
        <v>-0.18785094583949735</v>
      </c>
      <c r="G161" s="170">
        <f t="shared" si="929"/>
        <v>-0.22236311473579765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0.93281074085986149</v>
      </c>
      <c r="F162" s="170">
        <f t="shared" si="929"/>
        <v>-0.28375944026788924</v>
      </c>
      <c r="G162" s="170">
        <f t="shared" si="929"/>
        <v>-0.22213667368386233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0.90437869239986635</v>
      </c>
      <c r="F163" s="170">
        <f t="shared" si="929"/>
        <v>-0.37662946508765527</v>
      </c>
      <c r="G163" s="170">
        <f t="shared" si="929"/>
        <v>-0.20062259783208555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0.87337357704734209</v>
      </c>
      <c r="F164" s="170">
        <f t="shared" si="929"/>
        <v>-0.45976812490553487</v>
      </c>
      <c r="G164" s="170">
        <f t="shared" si="929"/>
        <v>-0.16072294869239734</v>
      </c>
      <c r="H164" s="139"/>
      <c r="I164" s="86"/>
      <c r="J164" s="79">
        <f t="shared" si="930"/>
        <v>1.1519999999999999</v>
      </c>
    </row>
    <row r="165" spans="5:16" x14ac:dyDescent="0.25">
      <c r="E165" s="170">
        <f t="shared" si="929"/>
        <v>0.84160458999198906</v>
      </c>
      <c r="F165" s="170">
        <f t="shared" si="929"/>
        <v>-0.52962195952832047</v>
      </c>
      <c r="G165" s="170">
        <f t="shared" si="929"/>
        <v>-0.10584089044314716</v>
      </c>
      <c r="H165" s="139"/>
      <c r="I165" s="86"/>
      <c r="J165" s="79">
        <f t="shared" si="930"/>
        <v>1.1579999999999999</v>
      </c>
    </row>
    <row r="166" spans="5:16" x14ac:dyDescent="0.25">
      <c r="E166" s="170">
        <f t="shared" si="929"/>
        <v>0.82023881063511661</v>
      </c>
      <c r="F166" s="170">
        <f t="shared" si="929"/>
        <v>-0.57108281289974017</v>
      </c>
      <c r="G166" s="170">
        <f t="shared" si="929"/>
        <v>-3.2752318061625707E-2</v>
      </c>
      <c r="H166" s="139"/>
      <c r="I166" s="86"/>
      <c r="J166" s="79">
        <f t="shared" si="930"/>
        <v>1.1639999999999999</v>
      </c>
    </row>
    <row r="167" spans="5:16" x14ac:dyDescent="0.25">
      <c r="E167" s="170">
        <f t="shared" si="929"/>
        <v>0.76092011932263182</v>
      </c>
      <c r="F167" s="170">
        <f t="shared" si="929"/>
        <v>-0.64781690759656563</v>
      </c>
      <c r="G167" s="170">
        <f t="shared" si="929"/>
        <v>-3.6521585973974868E-2</v>
      </c>
      <c r="H167" s="139"/>
      <c r="I167" s="86"/>
      <c r="J167" s="79">
        <f t="shared" si="930"/>
        <v>1.17</v>
      </c>
    </row>
    <row r="168" spans="5:16" x14ac:dyDescent="0.25">
      <c r="E168" s="170">
        <f t="shared" si="929"/>
        <v>0.72537444646801497</v>
      </c>
      <c r="F168" s="170">
        <f t="shared" si="929"/>
        <v>-0.68835449617998401</v>
      </c>
      <c r="G168" s="170">
        <f t="shared" si="929"/>
        <v>-1.457809318069597E-7</v>
      </c>
      <c r="H168" s="139"/>
      <c r="I168" s="86"/>
      <c r="J168" s="79">
        <f t="shared" si="930"/>
        <v>1.1759999999999999</v>
      </c>
    </row>
    <row r="169" spans="5:16" x14ac:dyDescent="0.25">
      <c r="E169" s="170">
        <f t="shared" si="929"/>
        <v>-2.3374967924529488E-2</v>
      </c>
      <c r="F169" s="170">
        <f t="shared" si="929"/>
        <v>-8.3962683262009813E-2</v>
      </c>
      <c r="G169" s="170">
        <f t="shared" si="929"/>
        <v>-0.99619469918985748</v>
      </c>
      <c r="H169" s="139"/>
      <c r="I169" s="86"/>
      <c r="J169" s="79">
        <f t="shared" si="930"/>
        <v>1.228</v>
      </c>
    </row>
    <row r="170" spans="5:16" x14ac:dyDescent="0.25">
      <c r="E170" s="170">
        <f t="shared" si="929"/>
        <v>-7.0609033094400586E-2</v>
      </c>
      <c r="F170" s="170">
        <f t="shared" si="929"/>
        <v>-0.23845546112871374</v>
      </c>
      <c r="G170" s="170">
        <f t="shared" si="929"/>
        <v>-0.96858317015286122</v>
      </c>
      <c r="H170" s="139"/>
      <c r="I170" s="86"/>
      <c r="J170" s="79">
        <f t="shared" si="930"/>
        <v>1.234</v>
      </c>
    </row>
    <row r="171" spans="5:16" x14ac:dyDescent="0.25">
      <c r="E171" s="170">
        <f t="shared" si="929"/>
        <v>-0.11821194065184602</v>
      </c>
      <c r="F171" s="170">
        <f t="shared" si="929"/>
        <v>-0.38584284236837596</v>
      </c>
      <c r="G171" s="170">
        <f t="shared" si="929"/>
        <v>-0.91495969205228778</v>
      </c>
      <c r="H171" s="139"/>
      <c r="I171" s="86"/>
      <c r="J171" s="79">
        <f t="shared" si="930"/>
        <v>1.24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Inactive</v>
      </c>
    </row>
    <row r="172" spans="5:16" x14ac:dyDescent="0.25">
      <c r="E172" s="170">
        <f t="shared" si="929"/>
        <v>-0.16932605141289514</v>
      </c>
      <c r="F172" s="170">
        <f t="shared" si="929"/>
        <v>-0.52072458686878109</v>
      </c>
      <c r="G172" s="170">
        <f t="shared" si="929"/>
        <v>-0.83676435926923598</v>
      </c>
      <c r="H172" s="139"/>
      <c r="I172" s="86"/>
      <c r="J172" s="79">
        <f t="shared" si="930"/>
        <v>1.246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-0.21418064361214548</v>
      </c>
      <c r="F173" s="170">
        <f t="shared" si="929"/>
        <v>-0.64209627258119517</v>
      </c>
      <c r="G173" s="170">
        <f t="shared" si="929"/>
        <v>-0.73609715978206491</v>
      </c>
      <c r="H173" s="139"/>
      <c r="I173" s="86"/>
      <c r="J173" s="79">
        <f t="shared" si="930"/>
        <v>1.252</v>
      </c>
      <c r="O173" t="str">
        <f>IF($J24="","",IFERROR(INDEX(Settings!$AK$14:$AK$32,MATCH((((ROUND($H24,6)*2)*1000000)+ROUND($I24,6)),Settings!$AI$14:$AI$32,0)),"Undefined"))</f>
        <v>CPS-32106r1</v>
      </c>
    </row>
    <row r="174" spans="5:16" x14ac:dyDescent="0.25">
      <c r="E174" s="170">
        <f t="shared" ref="E174:G193" si="933">E29*-1</f>
        <v>-0.25589932813194849</v>
      </c>
      <c r="F174" s="170">
        <f t="shared" si="933"/>
        <v>-0.74530286093424858</v>
      </c>
      <c r="G174" s="170">
        <f t="shared" si="933"/>
        <v>-0.61566157858424275</v>
      </c>
      <c r="H174" s="139"/>
      <c r="I174" s="86"/>
      <c r="J174" s="79">
        <f t="shared" si="930"/>
        <v>1.258</v>
      </c>
    </row>
    <row r="175" spans="5:16" x14ac:dyDescent="0.25">
      <c r="E175" s="170">
        <f t="shared" si="933"/>
        <v>0.47359404159776225</v>
      </c>
      <c r="F175" s="170">
        <f t="shared" si="933"/>
        <v>-0.83146977441100045</v>
      </c>
      <c r="G175" s="170">
        <f t="shared" si="933"/>
        <v>-0.29045946017304541</v>
      </c>
      <c r="H175" s="139"/>
      <c r="I175" s="86"/>
      <c r="J175" s="79">
        <f t="shared" si="930"/>
        <v>2.1150000000000002</v>
      </c>
    </row>
    <row r="176" spans="5:16" x14ac:dyDescent="0.25">
      <c r="E176" s="170">
        <f t="shared" si="933"/>
        <v>0.42218567867525453</v>
      </c>
      <c r="F176" s="170">
        <f t="shared" si="933"/>
        <v>-0.86863281858519592</v>
      </c>
      <c r="G176" s="170">
        <f t="shared" si="933"/>
        <v>-0.25929959351733062</v>
      </c>
      <c r="H176" s="139"/>
      <c r="I176" s="86"/>
      <c r="J176" s="79">
        <f t="shared" si="930"/>
        <v>2.121</v>
      </c>
    </row>
    <row r="177" spans="5:10" x14ac:dyDescent="0.25">
      <c r="E177" s="170">
        <f t="shared" si="933"/>
        <v>0.33474544120996252</v>
      </c>
      <c r="F177" s="170">
        <f t="shared" si="933"/>
        <v>-0.90685336862054267</v>
      </c>
      <c r="G177" s="170">
        <f t="shared" si="933"/>
        <v>-0.25605166941600244</v>
      </c>
      <c r="H177" s="139"/>
      <c r="I177" s="86"/>
      <c r="J177" s="79">
        <f t="shared" si="930"/>
        <v>2.1269999999999998</v>
      </c>
    </row>
    <row r="178" spans="5:10" x14ac:dyDescent="0.25">
      <c r="E178" s="170">
        <f t="shared" si="933"/>
        <v>0.24706347990240046</v>
      </c>
      <c r="F178" s="170">
        <f t="shared" si="933"/>
        <v>-0.94170260402556372</v>
      </c>
      <c r="G178" s="170">
        <f t="shared" si="933"/>
        <v>-0.22837653660126403</v>
      </c>
      <c r="H178" s="139"/>
      <c r="I178" s="86"/>
      <c r="J178" s="79">
        <f t="shared" si="930"/>
        <v>2.133</v>
      </c>
    </row>
    <row r="179" spans="5:10" x14ac:dyDescent="0.25">
      <c r="E179" s="170">
        <f t="shared" si="933"/>
        <v>0.14952251405200473</v>
      </c>
      <c r="F179" s="170">
        <f t="shared" si="933"/>
        <v>-0.9612899015787989</v>
      </c>
      <c r="G179" s="170">
        <f t="shared" si="933"/>
        <v>-0.23144058182218469</v>
      </c>
      <c r="H179" s="139"/>
      <c r="I179" s="86"/>
      <c r="J179" s="79">
        <f t="shared" si="930"/>
        <v>2.1389999999999998</v>
      </c>
    </row>
    <row r="180" spans="5:10" x14ac:dyDescent="0.25">
      <c r="E180" s="170">
        <f t="shared" si="933"/>
        <v>5.1481160087860592E-2</v>
      </c>
      <c r="F180" s="170">
        <f t="shared" si="933"/>
        <v>-0.97578617536496781</v>
      </c>
      <c r="G180" s="170">
        <f t="shared" si="933"/>
        <v>-0.2125818198308983</v>
      </c>
      <c r="H180" s="139"/>
      <c r="I180" s="86"/>
      <c r="J180" s="79">
        <f t="shared" si="930"/>
        <v>2.145</v>
      </c>
    </row>
    <row r="181" spans="5:10" x14ac:dyDescent="0.25">
      <c r="E181" s="170">
        <f t="shared" si="933"/>
        <v>-3.983929573430442E-2</v>
      </c>
      <c r="F181" s="170">
        <f t="shared" si="933"/>
        <v>-0.98385695970060305</v>
      </c>
      <c r="G181" s="170">
        <f t="shared" si="933"/>
        <v>-0.1744657942522852</v>
      </c>
      <c r="H181" s="139"/>
      <c r="I181" s="86"/>
      <c r="J181" s="79">
        <f t="shared" si="930"/>
        <v>2.1509999999999998</v>
      </c>
    </row>
    <row r="182" spans="5:10" x14ac:dyDescent="0.25">
      <c r="E182" s="170">
        <f t="shared" si="933"/>
        <v>-0.11962410404306234</v>
      </c>
      <c r="F182" s="170">
        <f t="shared" si="933"/>
        <v>-0.98553537702088378</v>
      </c>
      <c r="G182" s="170">
        <f t="shared" si="933"/>
        <v>-0.12004205251577102</v>
      </c>
      <c r="H182" s="139"/>
      <c r="I182" s="86"/>
      <c r="J182" s="79">
        <f t="shared" si="930"/>
        <v>2.157</v>
      </c>
    </row>
    <row r="183" spans="5:10" x14ac:dyDescent="0.25">
      <c r="E183" s="170">
        <f t="shared" si="933"/>
        <v>-0.1693655506371001</v>
      </c>
      <c r="F183" s="170">
        <f t="shared" si="933"/>
        <v>-0.98439102170845783</v>
      </c>
      <c r="G183" s="170">
        <f t="shared" si="933"/>
        <v>-4.7850043230603399E-2</v>
      </c>
      <c r="H183" s="139"/>
      <c r="I183" s="86"/>
      <c r="J183" s="79">
        <f t="shared" si="930"/>
        <v>2.1629999999999998</v>
      </c>
    </row>
    <row r="184" spans="5:10" x14ac:dyDescent="0.25">
      <c r="E184" s="170">
        <f t="shared" si="933"/>
        <v>-0.26554348595775096</v>
      </c>
      <c r="F184" s="170">
        <f t="shared" si="933"/>
        <v>-0.96340688746933467</v>
      </c>
      <c r="G184" s="170">
        <f t="shared" si="933"/>
        <v>-3.6521585973974674E-2</v>
      </c>
      <c r="H184" s="139"/>
      <c r="I184" s="86"/>
      <c r="J184" s="79">
        <f t="shared" si="930"/>
        <v>2.169</v>
      </c>
    </row>
    <row r="185" spans="5:10" x14ac:dyDescent="0.25">
      <c r="E185" s="170">
        <f t="shared" si="933"/>
        <v>-0.31730525742005494</v>
      </c>
      <c r="F185" s="170">
        <f t="shared" si="933"/>
        <v>-0.94832345410918295</v>
      </c>
      <c r="G185" s="170">
        <f t="shared" si="933"/>
        <v>-1.4578093226810778E-7</v>
      </c>
      <c r="H185" s="139"/>
      <c r="I185" s="86"/>
      <c r="J185" s="79">
        <f t="shared" si="930"/>
        <v>2.1749999999999998</v>
      </c>
    </row>
    <row r="186" spans="5:10" x14ac:dyDescent="0.25">
      <c r="E186" s="170">
        <f t="shared" si="933"/>
        <v>-0.48327680144980695</v>
      </c>
      <c r="F186" s="170">
        <f t="shared" si="933"/>
        <v>-0.82587943137992426</v>
      </c>
      <c r="G186" s="170">
        <f t="shared" si="933"/>
        <v>-0.29045946017304541</v>
      </c>
      <c r="H186" s="139"/>
      <c r="I186" s="86"/>
      <c r="J186" s="79">
        <f t="shared" si="930"/>
        <v>3.1030000000000002</v>
      </c>
    </row>
    <row r="187" spans="5:10" x14ac:dyDescent="0.25">
      <c r="E187" s="170">
        <f t="shared" si="933"/>
        <v>-0.483276801449807</v>
      </c>
      <c r="F187" s="170">
        <f t="shared" si="933"/>
        <v>-0.82587943137992426</v>
      </c>
      <c r="G187" s="170">
        <f t="shared" si="933"/>
        <v>-0.29045946017304541</v>
      </c>
      <c r="H187" s="139"/>
      <c r="I187" s="86"/>
      <c r="J187" s="79">
        <f t="shared" si="930"/>
        <v>3.1059999999999999</v>
      </c>
    </row>
    <row r="188" spans="5:10" x14ac:dyDescent="0.25">
      <c r="E188" s="170">
        <f t="shared" si="933"/>
        <v>-0.48327680144980684</v>
      </c>
      <c r="F188" s="170">
        <f t="shared" si="933"/>
        <v>-0.82587943137992448</v>
      </c>
      <c r="G188" s="170">
        <f t="shared" si="933"/>
        <v>-0.29045946017304536</v>
      </c>
      <c r="H188" s="139"/>
      <c r="I188" s="86"/>
      <c r="J188" s="79">
        <f t="shared" si="930"/>
        <v>3.109</v>
      </c>
    </row>
    <row r="189" spans="5:10" x14ac:dyDescent="0.25">
      <c r="E189" s="170">
        <f t="shared" si="933"/>
        <v>-0.48327680144980684</v>
      </c>
      <c r="F189" s="170">
        <f t="shared" si="933"/>
        <v>-0.82587943137992448</v>
      </c>
      <c r="G189" s="170">
        <f t="shared" si="933"/>
        <v>-0.29045946017304536</v>
      </c>
      <c r="H189" s="139"/>
      <c r="I189" s="86"/>
      <c r="J189" s="79">
        <f t="shared" si="930"/>
        <v>3.1139999999999999</v>
      </c>
    </row>
    <row r="190" spans="5:10" x14ac:dyDescent="0.25">
      <c r="E190" s="170">
        <f t="shared" si="933"/>
        <v>-0.50827500685260518</v>
      </c>
      <c r="F190" s="170">
        <f t="shared" si="933"/>
        <v>-0.81758591185790874</v>
      </c>
      <c r="G190" s="170">
        <f t="shared" si="933"/>
        <v>-0.27057308465635677</v>
      </c>
      <c r="H190" s="139"/>
      <c r="I190" s="86"/>
      <c r="J190" s="79">
        <f t="shared" si="930"/>
        <v>3.12</v>
      </c>
    </row>
    <row r="191" spans="5:10" x14ac:dyDescent="0.25">
      <c r="E191" s="170">
        <f t="shared" si="933"/>
        <v>-0.60597760755113073</v>
      </c>
      <c r="F191" s="170">
        <f t="shared" si="933"/>
        <v>-0.75244722436229927</v>
      </c>
      <c r="G191" s="170">
        <f t="shared" si="933"/>
        <v>-0.25809748874423288</v>
      </c>
      <c r="H191" s="139"/>
      <c r="I191" s="86"/>
      <c r="J191" s="79">
        <f t="shared" si="930"/>
        <v>3.1259999999999999</v>
      </c>
    </row>
    <row r="192" spans="5:10" x14ac:dyDescent="0.25">
      <c r="E192" s="170">
        <f t="shared" si="933"/>
        <v>-0.68112781585345339</v>
      </c>
      <c r="F192" s="170">
        <f t="shared" si="933"/>
        <v>-0.69379461689807509</v>
      </c>
      <c r="G192" s="170">
        <f t="shared" si="933"/>
        <v>-0.23391008536178468</v>
      </c>
      <c r="H192" s="139"/>
      <c r="I192" s="86"/>
      <c r="J192" s="79">
        <f t="shared" si="930"/>
        <v>3.1320000000000001</v>
      </c>
    </row>
    <row r="193" spans="5:10" x14ac:dyDescent="0.25">
      <c r="E193" s="170">
        <f t="shared" si="933"/>
        <v>-0.74628605259521097</v>
      </c>
      <c r="F193" s="170">
        <f t="shared" si="933"/>
        <v>-0.62661590649977994</v>
      </c>
      <c r="G193" s="170">
        <f t="shared" si="933"/>
        <v>-0.22452089752029145</v>
      </c>
      <c r="H193" s="139"/>
      <c r="I193" s="86"/>
      <c r="J193" s="79">
        <f t="shared" si="930"/>
        <v>3.1379999999999999</v>
      </c>
    </row>
    <row r="194" spans="5:10" x14ac:dyDescent="0.25">
      <c r="E194" s="170">
        <f t="shared" ref="E194:G213" si="934">E49*-1</f>
        <v>-0.80832724924508259</v>
      </c>
      <c r="F194" s="170">
        <f t="shared" si="934"/>
        <v>-0.55007620539218693</v>
      </c>
      <c r="G194" s="170">
        <f t="shared" si="934"/>
        <v>-0.20981712606269948</v>
      </c>
      <c r="H194" s="139"/>
      <c r="I194" s="86"/>
      <c r="J194" s="79">
        <f t="shared" si="930"/>
        <v>3.1440000000000001</v>
      </c>
    </row>
    <row r="195" spans="5:10" x14ac:dyDescent="0.25">
      <c r="E195" s="170">
        <f t="shared" si="934"/>
        <v>-0.86220234896709358</v>
      </c>
      <c r="F195" s="170">
        <f t="shared" si="934"/>
        <v>-0.47519385511317092</v>
      </c>
      <c r="G195" s="170">
        <f t="shared" si="934"/>
        <v>-0.17549333177733295</v>
      </c>
      <c r="H195" s="139"/>
      <c r="I195" s="86"/>
      <c r="J195" s="79">
        <f t="shared" si="930"/>
        <v>3.15</v>
      </c>
    </row>
    <row r="196" spans="5:10" x14ac:dyDescent="0.25">
      <c r="E196" s="170">
        <f t="shared" si="934"/>
        <v>-0.9050228676889116</v>
      </c>
      <c r="F196" s="170">
        <f t="shared" si="934"/>
        <v>-0.40652788692271979</v>
      </c>
      <c r="G196" s="170">
        <f t="shared" si="934"/>
        <v>-0.12517462248510014</v>
      </c>
      <c r="H196" s="139"/>
      <c r="I196" s="86"/>
      <c r="J196" s="79">
        <f t="shared" si="930"/>
        <v>3.1560000000000001</v>
      </c>
    </row>
    <row r="197" spans="5:10" x14ac:dyDescent="0.25">
      <c r="E197" s="170">
        <f t="shared" si="934"/>
        <v>-0.93074522513000801</v>
      </c>
      <c r="F197" s="170">
        <f t="shared" si="934"/>
        <v>-0.36147077377236697</v>
      </c>
      <c r="G197" s="170">
        <f t="shared" si="934"/>
        <v>-5.5246770096515976E-2</v>
      </c>
      <c r="H197" s="139"/>
      <c r="I197" s="86"/>
      <c r="J197" s="79">
        <f t="shared" si="930"/>
        <v>3.1619999999999999</v>
      </c>
    </row>
    <row r="198" spans="5:10" x14ac:dyDescent="0.25">
      <c r="E198" s="170">
        <f t="shared" si="934"/>
        <v>-0.96710654364657167</v>
      </c>
      <c r="F198" s="170">
        <f t="shared" si="934"/>
        <v>-0.2517361853090006</v>
      </c>
      <c r="G198" s="170">
        <f t="shared" si="934"/>
        <v>-3.6521585973974459E-2</v>
      </c>
      <c r="H198" s="139"/>
      <c r="I198" s="86"/>
      <c r="J198" s="79">
        <f t="shared" si="930"/>
        <v>3.1680000000000001</v>
      </c>
    </row>
    <row r="199" spans="5:10" x14ac:dyDescent="0.25">
      <c r="E199" s="170">
        <f t="shared" si="934"/>
        <v>-0.97992480082951539</v>
      </c>
      <c r="F199" s="170">
        <f t="shared" si="934"/>
        <v>-0.19936746153576149</v>
      </c>
      <c r="G199" s="170">
        <f t="shared" si="934"/>
        <v>-1.4578093155684697E-7</v>
      </c>
      <c r="H199" s="139"/>
      <c r="I199" s="86"/>
      <c r="J199" s="79">
        <f t="shared" si="930"/>
        <v>3.1739999999999999</v>
      </c>
    </row>
    <row r="200" spans="5:10" x14ac:dyDescent="0.25">
      <c r="E200" s="170">
        <f t="shared" si="934"/>
        <v>-0.12722596362145855</v>
      </c>
      <c r="F200" s="170">
        <f t="shared" si="934"/>
        <v>0.14902494650629372</v>
      </c>
      <c r="G200" s="170">
        <f t="shared" si="934"/>
        <v>-0.98061466412622433</v>
      </c>
      <c r="H200" s="139"/>
      <c r="I200" s="86"/>
      <c r="J200" s="79">
        <f t="shared" si="930"/>
        <v>3.2320000000000002</v>
      </c>
    </row>
    <row r="201" spans="5:10" x14ac:dyDescent="0.25">
      <c r="E201" s="170">
        <f t="shared" si="934"/>
        <v>-0.22322233897312524</v>
      </c>
      <c r="F201" s="170">
        <f t="shared" si="934"/>
        <v>0.27407338081668658</v>
      </c>
      <c r="G201" s="170">
        <f t="shared" si="934"/>
        <v>-0.93544404926808888</v>
      </c>
      <c r="H201" s="139"/>
      <c r="I201" s="86"/>
      <c r="J201" s="79">
        <f t="shared" si="930"/>
        <v>3.238</v>
      </c>
    </row>
    <row r="202" spans="5:10" x14ac:dyDescent="0.25">
      <c r="E202" s="170">
        <f t="shared" si="934"/>
        <v>-0.31145594929169118</v>
      </c>
      <c r="F202" s="170">
        <f t="shared" si="934"/>
        <v>0.3930752412920599</v>
      </c>
      <c r="G202" s="170">
        <f t="shared" si="934"/>
        <v>-0.86515145860941634</v>
      </c>
      <c r="H202" s="139"/>
      <c r="I202" s="86"/>
      <c r="J202" s="79">
        <f t="shared" si="930"/>
        <v>3.2440000000000002</v>
      </c>
    </row>
    <row r="203" spans="5:10" x14ac:dyDescent="0.25">
      <c r="E203" s="170">
        <f t="shared" si="934"/>
        <v>-0.38519619562472296</v>
      </c>
      <c r="F203" s="170">
        <f t="shared" si="934"/>
        <v>0.50618108961025909</v>
      </c>
      <c r="G203" s="170">
        <f t="shared" si="934"/>
        <v>-0.77162464670149766</v>
      </c>
      <c r="H203" s="139"/>
      <c r="I203" s="86"/>
      <c r="J203" s="79">
        <f t="shared" si="930"/>
        <v>3.25</v>
      </c>
    </row>
    <row r="204" spans="5:10" x14ac:dyDescent="0.25">
      <c r="E204" s="170">
        <f t="shared" si="934"/>
        <v>-0.45029867317337308</v>
      </c>
      <c r="F204" s="170">
        <f t="shared" si="934"/>
        <v>0.60422576001883987</v>
      </c>
      <c r="G204" s="170">
        <f t="shared" si="934"/>
        <v>-0.65737533865209397</v>
      </c>
      <c r="H204" s="139"/>
      <c r="I204" s="86"/>
      <c r="J204" s="79">
        <f t="shared" si="930"/>
        <v>3.2559999999999998</v>
      </c>
    </row>
    <row r="205" spans="5:10" x14ac:dyDescent="0.25">
      <c r="E205" s="170">
        <f t="shared" si="934"/>
        <v>-0.50150091648233863</v>
      </c>
      <c r="F205" s="170">
        <f t="shared" si="934"/>
        <v>0.68729632861245182</v>
      </c>
      <c r="G205" s="170">
        <f t="shared" si="934"/>
        <v>-0.52547177606720163</v>
      </c>
      <c r="H205" s="139"/>
      <c r="I205" s="86"/>
      <c r="J205" s="79">
        <f t="shared" si="930"/>
        <v>3.262</v>
      </c>
    </row>
    <row r="206" spans="5:10" x14ac:dyDescent="0.25">
      <c r="E206" s="170">
        <f t="shared" si="934"/>
        <v>-0.95274257615360569</v>
      </c>
      <c r="F206" s="170">
        <f t="shared" si="934"/>
        <v>8.896564269522321E-2</v>
      </c>
      <c r="G206" s="170">
        <f t="shared" si="934"/>
        <v>-0.29045946017304536</v>
      </c>
      <c r="H206" s="139"/>
      <c r="I206" s="86"/>
      <c r="J206" s="79">
        <f t="shared" si="930"/>
        <v>4.1130000000000004</v>
      </c>
    </row>
    <row r="207" spans="5:10" x14ac:dyDescent="0.25">
      <c r="E207" s="170">
        <f t="shared" si="934"/>
        <v>-0.95319702676332541</v>
      </c>
      <c r="F207" s="170">
        <f t="shared" si="934"/>
        <v>0.10129086751393356</v>
      </c>
      <c r="G207" s="170">
        <f t="shared" si="934"/>
        <v>-0.28487819910942858</v>
      </c>
      <c r="H207" s="139"/>
      <c r="I207" s="86"/>
      <c r="J207" s="79">
        <f t="shared" si="930"/>
        <v>4.1189999999999998</v>
      </c>
    </row>
    <row r="208" spans="5:10" x14ac:dyDescent="0.25">
      <c r="E208" s="170">
        <f t="shared" si="934"/>
        <v>-0.94009760367130824</v>
      </c>
      <c r="F208" s="170">
        <f t="shared" si="934"/>
        <v>0.2222594545417268</v>
      </c>
      <c r="G208" s="170">
        <f t="shared" si="934"/>
        <v>-0.25849029080079189</v>
      </c>
      <c r="H208" s="139"/>
      <c r="I208" s="86"/>
      <c r="J208" s="79">
        <f t="shared" si="930"/>
        <v>4.125</v>
      </c>
    </row>
    <row r="209" spans="5:10" x14ac:dyDescent="0.25">
      <c r="E209" s="170">
        <f t="shared" si="934"/>
        <v>-0.92018785100043532</v>
      </c>
      <c r="F209" s="170">
        <f t="shared" si="934"/>
        <v>0.31000653654660271</v>
      </c>
      <c r="G209" s="170">
        <f t="shared" si="934"/>
        <v>-0.23906121845581826</v>
      </c>
      <c r="H209" s="139"/>
      <c r="I209" s="86"/>
      <c r="J209" s="79">
        <f t="shared" si="930"/>
        <v>4.1310000000000002</v>
      </c>
    </row>
    <row r="210" spans="5:10" x14ac:dyDescent="0.25">
      <c r="E210" s="170">
        <f t="shared" si="934"/>
        <v>-0.88711908962370578</v>
      </c>
      <c r="F210" s="170">
        <f t="shared" si="934"/>
        <v>0.39850998709164065</v>
      </c>
      <c r="G210" s="170">
        <f t="shared" si="934"/>
        <v>-0.23282936029081042</v>
      </c>
      <c r="H210" s="139"/>
      <c r="I210" s="86"/>
      <c r="J210" s="79">
        <f t="shared" si="930"/>
        <v>4.1369999999999996</v>
      </c>
    </row>
    <row r="211" spans="5:10" x14ac:dyDescent="0.25">
      <c r="E211" s="170">
        <f t="shared" si="934"/>
        <v>-0.84642913214446258</v>
      </c>
      <c r="F211" s="170">
        <f t="shared" si="934"/>
        <v>0.47713564554575882</v>
      </c>
      <c r="G211" s="170">
        <f t="shared" si="934"/>
        <v>-0.2364303280182222</v>
      </c>
      <c r="H211" s="139"/>
      <c r="I211" s="86"/>
      <c r="J211" s="79">
        <f t="shared" si="930"/>
        <v>4.1429999999999998</v>
      </c>
    </row>
    <row r="212" spans="5:10" x14ac:dyDescent="0.25">
      <c r="E212" s="170">
        <f t="shared" si="934"/>
        <v>-0.79828452685470142</v>
      </c>
      <c r="F212" s="170">
        <f t="shared" si="934"/>
        <v>0.57189960777365811</v>
      </c>
      <c r="G212" s="170">
        <f t="shared" si="934"/>
        <v>-0.18887205408080243</v>
      </c>
      <c r="H212" s="139"/>
      <c r="I212" s="86"/>
      <c r="J212" s="79">
        <f t="shared" si="930"/>
        <v>4.149</v>
      </c>
    </row>
    <row r="213" spans="5:10" x14ac:dyDescent="0.25">
      <c r="E213" s="170">
        <f t="shared" si="934"/>
        <v>-0.75318350260299272</v>
      </c>
      <c r="F213" s="170">
        <f t="shared" si="934"/>
        <v>0.64275597889982494</v>
      </c>
      <c r="G213" s="170">
        <f t="shared" si="934"/>
        <v>-0.13992627700048257</v>
      </c>
      <c r="H213" s="139"/>
      <c r="I213" s="86"/>
      <c r="J213" s="79">
        <f t="shared" si="930"/>
        <v>4.1550000000000002</v>
      </c>
    </row>
    <row r="214" spans="5:10" x14ac:dyDescent="0.25">
      <c r="E214" s="170">
        <f t="shared" ref="E214:G233" si="935">E69*-1</f>
        <v>-0.72192832269980667</v>
      </c>
      <c r="F214" s="170">
        <f t="shared" si="935"/>
        <v>0.68848284455131581</v>
      </c>
      <c r="G214" s="170">
        <f t="shared" si="935"/>
        <v>-6.9360432830056384E-2</v>
      </c>
      <c r="H214" s="139"/>
      <c r="I214" s="86"/>
      <c r="J214" s="79">
        <f t="shared" si="930"/>
        <v>4.1609999999999996</v>
      </c>
    </row>
    <row r="215" spans="5:10" x14ac:dyDescent="0.25">
      <c r="E215" s="170">
        <f t="shared" si="935"/>
        <v>-0.63686747755924222</v>
      </c>
      <c r="F215" s="170">
        <f t="shared" si="935"/>
        <v>0.77010777803192831</v>
      </c>
      <c r="G215" s="170">
        <f t="shared" si="935"/>
        <v>-3.6521585973975035E-2</v>
      </c>
      <c r="H215" s="139"/>
      <c r="I215" s="86"/>
      <c r="J215" s="79">
        <f t="shared" si="930"/>
        <v>4.1669999999999998</v>
      </c>
    </row>
    <row r="216" spans="5:10" x14ac:dyDescent="0.25">
      <c r="E216" s="170">
        <f t="shared" si="935"/>
        <v>-0.59482253050359113</v>
      </c>
      <c r="F216" s="170">
        <f t="shared" si="935"/>
        <v>0.80385705023050169</v>
      </c>
      <c r="G216" s="170">
        <f t="shared" si="935"/>
        <v>-1.4578093184580654E-7</v>
      </c>
      <c r="H216" s="139"/>
      <c r="I216" s="86"/>
      <c r="J216" s="79">
        <f t="shared" si="930"/>
        <v>4.173</v>
      </c>
    </row>
    <row r="217" spans="5:10" x14ac:dyDescent="0.25">
      <c r="E217" s="170">
        <f t="shared" si="935"/>
        <v>-0.4735944187439165</v>
      </c>
      <c r="F217" s="170">
        <f t="shared" si="935"/>
        <v>0.83146955959349167</v>
      </c>
      <c r="G217" s="170">
        <f t="shared" si="935"/>
        <v>-0.29045946017304541</v>
      </c>
      <c r="H217" s="139"/>
      <c r="I217" s="86"/>
      <c r="J217" s="79">
        <f t="shared" si="930"/>
        <v>5.1020000000000003</v>
      </c>
    </row>
    <row r="218" spans="5:10" x14ac:dyDescent="0.25">
      <c r="E218" s="170">
        <f t="shared" si="935"/>
        <v>-0.4735944187439165</v>
      </c>
      <c r="F218" s="170">
        <f t="shared" si="935"/>
        <v>0.83146955959349167</v>
      </c>
      <c r="G218" s="170">
        <f t="shared" si="935"/>
        <v>-0.29045946017304541</v>
      </c>
      <c r="H218" s="139"/>
      <c r="I218" s="86"/>
      <c r="J218" s="79">
        <f t="shared" si="930"/>
        <v>5.1050000000000004</v>
      </c>
    </row>
    <row r="219" spans="5:10" x14ac:dyDescent="0.25">
      <c r="E219" s="170">
        <f t="shared" si="935"/>
        <v>-0.4735944187439165</v>
      </c>
      <c r="F219" s="170">
        <f t="shared" si="935"/>
        <v>0.83146955959349167</v>
      </c>
      <c r="G219" s="170">
        <f t="shared" si="935"/>
        <v>-0.29045946017304541</v>
      </c>
      <c r="H219" s="139"/>
      <c r="I219" s="86"/>
      <c r="J219" s="79">
        <f t="shared" ref="J219:J282" si="936">J74</f>
        <v>5.1079999999999997</v>
      </c>
    </row>
    <row r="220" spans="5:10" x14ac:dyDescent="0.25">
      <c r="E220" s="170">
        <f t="shared" si="935"/>
        <v>-0.47359441874391672</v>
      </c>
      <c r="F220" s="170">
        <f t="shared" si="935"/>
        <v>0.83146955959349156</v>
      </c>
      <c r="G220" s="170">
        <f t="shared" si="935"/>
        <v>-0.29045946017304541</v>
      </c>
      <c r="H220" s="139"/>
      <c r="I220" s="86"/>
      <c r="J220" s="79">
        <f t="shared" si="936"/>
        <v>5.1120000000000001</v>
      </c>
    </row>
    <row r="221" spans="5:10" x14ac:dyDescent="0.25">
      <c r="E221" s="170">
        <f t="shared" si="935"/>
        <v>-0.4735944187439165</v>
      </c>
      <c r="F221" s="170">
        <f t="shared" si="935"/>
        <v>0.83146955959349167</v>
      </c>
      <c r="G221" s="170">
        <f t="shared" si="935"/>
        <v>-0.29045946017304536</v>
      </c>
      <c r="H221" s="139"/>
      <c r="I221" s="86"/>
      <c r="J221" s="79">
        <f t="shared" si="936"/>
        <v>5.1180000000000003</v>
      </c>
    </row>
    <row r="222" spans="5:10" x14ac:dyDescent="0.25">
      <c r="E222" s="170">
        <f t="shared" si="935"/>
        <v>-0.37663923602295357</v>
      </c>
      <c r="F222" s="170">
        <f t="shared" si="935"/>
        <v>0.88897535570452269</v>
      </c>
      <c r="G222" s="170">
        <f t="shared" si="935"/>
        <v>-0.26051046588969007</v>
      </c>
      <c r="H222" s="139"/>
      <c r="I222" s="86"/>
      <c r="J222" s="79">
        <f t="shared" si="936"/>
        <v>5.1239999999999997</v>
      </c>
    </row>
    <row r="223" spans="5:10" x14ac:dyDescent="0.25">
      <c r="E223" s="170">
        <f t="shared" si="935"/>
        <v>-0.2875577287518854</v>
      </c>
      <c r="F223" s="170">
        <f t="shared" si="935"/>
        <v>0.92624600629584597</v>
      </c>
      <c r="G223" s="170">
        <f t="shared" si="935"/>
        <v>-0.24367783743306012</v>
      </c>
      <c r="H223" s="139"/>
      <c r="I223" s="86"/>
      <c r="J223" s="79">
        <f t="shared" si="936"/>
        <v>5.13</v>
      </c>
    </row>
    <row r="224" spans="5:10" x14ac:dyDescent="0.25">
      <c r="E224" s="170">
        <f t="shared" si="935"/>
        <v>-0.20220389003988329</v>
      </c>
      <c r="F224" s="170">
        <f t="shared" si="935"/>
        <v>0.95318066627630849</v>
      </c>
      <c r="G224" s="170">
        <f t="shared" si="935"/>
        <v>-0.22485596342946196</v>
      </c>
      <c r="H224" s="139"/>
      <c r="I224" s="86"/>
      <c r="J224" s="79">
        <f t="shared" si="936"/>
        <v>5.1360000000000001</v>
      </c>
    </row>
    <row r="225" spans="5:10" x14ac:dyDescent="0.25">
      <c r="E225" s="170">
        <f t="shared" si="935"/>
        <v>-0.1045996422474909</v>
      </c>
      <c r="F225" s="170">
        <f t="shared" si="935"/>
        <v>0.97046801706748453</v>
      </c>
      <c r="G225" s="170">
        <f t="shared" si="935"/>
        <v>-0.21737235953727349</v>
      </c>
      <c r="H225" s="139"/>
      <c r="I225" s="86"/>
      <c r="J225" s="79">
        <f t="shared" si="936"/>
        <v>5.1420000000000003</v>
      </c>
    </row>
    <row r="226" spans="5:10" x14ac:dyDescent="0.25">
      <c r="E226" s="170">
        <f t="shared" si="935"/>
        <v>-1.0258825852541327E-2</v>
      </c>
      <c r="F226" s="170">
        <f t="shared" si="935"/>
        <v>0.98185745037538741</v>
      </c>
      <c r="G226" s="170">
        <f t="shared" si="935"/>
        <v>-0.18934282039325095</v>
      </c>
      <c r="H226" s="139"/>
      <c r="I226" s="86"/>
      <c r="J226" s="79">
        <f t="shared" si="936"/>
        <v>5.1479999999999997</v>
      </c>
    </row>
    <row r="227" spans="5:10" x14ac:dyDescent="0.25">
      <c r="E227" s="170">
        <f t="shared" si="935"/>
        <v>7.501859091733569E-2</v>
      </c>
      <c r="F227" s="170">
        <f t="shared" si="935"/>
        <v>0.98684466912820634</v>
      </c>
      <c r="G227" s="170">
        <f t="shared" si="935"/>
        <v>-0.14321246464612825</v>
      </c>
      <c r="H227" s="139"/>
      <c r="I227" s="86"/>
      <c r="J227" s="79">
        <f t="shared" si="936"/>
        <v>5.1539999999999999</v>
      </c>
    </row>
    <row r="228" spans="5:10" x14ac:dyDescent="0.25">
      <c r="E228" s="170">
        <f t="shared" si="935"/>
        <v>0.14672334354119143</v>
      </c>
      <c r="F228" s="170">
        <f t="shared" si="935"/>
        <v>0.98556317257147108</v>
      </c>
      <c r="G228" s="170">
        <f t="shared" si="935"/>
        <v>-8.4483686774135813E-2</v>
      </c>
      <c r="H228" s="139"/>
      <c r="I228" s="86"/>
      <c r="J228" s="79">
        <f t="shared" si="936"/>
        <v>5.16</v>
      </c>
    </row>
    <row r="229" spans="5:10" x14ac:dyDescent="0.25">
      <c r="E229" s="170">
        <f t="shared" si="935"/>
        <v>0.18787549102284593</v>
      </c>
      <c r="F229" s="170">
        <f t="shared" si="935"/>
        <v>0.98217013688912647</v>
      </c>
      <c r="G229" s="170">
        <f t="shared" si="935"/>
        <v>-6.6799757573754656E-3</v>
      </c>
      <c r="H229" s="139"/>
      <c r="I229" s="86"/>
      <c r="J229" s="79">
        <f t="shared" si="936"/>
        <v>5.1660000000000004</v>
      </c>
    </row>
    <row r="230" spans="5:10" x14ac:dyDescent="0.25">
      <c r="E230" s="170">
        <f t="shared" si="935"/>
        <v>0.26554304896619302</v>
      </c>
      <c r="F230" s="170">
        <f t="shared" si="935"/>
        <v>0.96340700791705047</v>
      </c>
      <c r="G230" s="170">
        <f t="shared" si="935"/>
        <v>-3.6521585973974334E-2</v>
      </c>
      <c r="H230" s="139"/>
      <c r="I230" s="86"/>
      <c r="J230" s="79">
        <f t="shared" si="936"/>
        <v>5.1719999999999997</v>
      </c>
    </row>
    <row r="231" spans="5:10" x14ac:dyDescent="0.25">
      <c r="E231" s="170">
        <f t="shared" si="935"/>
        <v>0.31730482727018322</v>
      </c>
      <c r="F231" s="170">
        <f t="shared" si="935"/>
        <v>0.94832359803551136</v>
      </c>
      <c r="G231" s="170">
        <f t="shared" si="935"/>
        <v>-1.4578093175933787E-7</v>
      </c>
      <c r="H231" s="139"/>
      <c r="I231" s="86"/>
      <c r="J231" s="79">
        <f t="shared" si="936"/>
        <v>5.1779999999999999</v>
      </c>
    </row>
    <row r="232" spans="5:10" x14ac:dyDescent="0.25">
      <c r="E232" s="170">
        <f t="shared" si="935"/>
        <v>0.13875334954024729</v>
      </c>
      <c r="F232" s="170">
        <f t="shared" si="935"/>
        <v>2.4508354867328244E-2</v>
      </c>
      <c r="G232" s="170">
        <f t="shared" si="935"/>
        <v>-0.99002366059254321</v>
      </c>
      <c r="H232" s="139"/>
      <c r="I232" s="86"/>
      <c r="J232" s="79">
        <f t="shared" si="936"/>
        <v>5.23</v>
      </c>
    </row>
    <row r="233" spans="5:10" x14ac:dyDescent="0.25">
      <c r="E233" s="170">
        <f t="shared" si="935"/>
        <v>0.29711016201605844</v>
      </c>
      <c r="F233" s="170">
        <f t="shared" si="935"/>
        <v>4.6362745692984104E-2</v>
      </c>
      <c r="G233" s="170">
        <f t="shared" si="935"/>
        <v>-0.95371696400902894</v>
      </c>
      <c r="H233" s="139"/>
      <c r="I233" s="86"/>
      <c r="J233" s="79">
        <f t="shared" si="936"/>
        <v>5.2359999999999998</v>
      </c>
    </row>
    <row r="234" spans="5:10" x14ac:dyDescent="0.25">
      <c r="E234" s="170">
        <f t="shared" ref="E234:G253" si="937">E89*-1</f>
        <v>0.44780600368224976</v>
      </c>
      <c r="F234" s="170">
        <f t="shared" si="937"/>
        <v>6.4551487629789531E-2</v>
      </c>
      <c r="G234" s="170">
        <f t="shared" si="937"/>
        <v>-0.89179756027414314</v>
      </c>
      <c r="H234" s="139"/>
      <c r="I234" s="86"/>
      <c r="J234" s="79">
        <f t="shared" si="936"/>
        <v>5.242</v>
      </c>
    </row>
    <row r="235" spans="5:10" x14ac:dyDescent="0.25">
      <c r="E235" s="170">
        <f t="shared" si="937"/>
        <v>0.58741572144333554</v>
      </c>
      <c r="F235" s="170">
        <f t="shared" si="937"/>
        <v>7.3636178506724603E-2</v>
      </c>
      <c r="G235" s="170">
        <f t="shared" si="937"/>
        <v>-0.80592833640227068</v>
      </c>
      <c r="H235" s="139"/>
      <c r="I235" s="86"/>
      <c r="J235" s="79">
        <f t="shared" si="936"/>
        <v>5.2480000000000002</v>
      </c>
    </row>
    <row r="236" spans="5:10" x14ac:dyDescent="0.25">
      <c r="E236" s="170">
        <f t="shared" si="937"/>
        <v>0.71211571166853471</v>
      </c>
      <c r="F236" s="170">
        <f t="shared" si="937"/>
        <v>8.2776308133549997E-2</v>
      </c>
      <c r="G236" s="170">
        <f t="shared" si="937"/>
        <v>-0.6971651855956349</v>
      </c>
      <c r="H236" s="139"/>
      <c r="I236" s="86"/>
      <c r="J236" s="79">
        <f t="shared" si="936"/>
        <v>5.2539999999999996</v>
      </c>
    </row>
    <row r="237" spans="5:10" x14ac:dyDescent="0.25">
      <c r="E237" s="170">
        <f t="shared" si="937"/>
        <v>0.81652346230144057</v>
      </c>
      <c r="F237" s="170">
        <f t="shared" si="937"/>
        <v>8.7036364787626691E-2</v>
      </c>
      <c r="G237" s="170">
        <f t="shared" si="937"/>
        <v>-0.57071368190698146</v>
      </c>
      <c r="H237" s="139"/>
      <c r="I237" s="86"/>
      <c r="J237" s="79">
        <f t="shared" si="936"/>
        <v>5.26</v>
      </c>
    </row>
    <row r="238" spans="5:10" x14ac:dyDescent="0.25">
      <c r="E238" s="170">
        <f t="shared" si="937"/>
        <v>0.48327642683927674</v>
      </c>
      <c r="F238" s="170">
        <f t="shared" si="937"/>
        <v>0.82587965058926371</v>
      </c>
      <c r="G238" s="170">
        <f t="shared" si="937"/>
        <v>-0.2904594601730453</v>
      </c>
      <c r="H238" s="139"/>
      <c r="I238" s="86"/>
      <c r="J238" s="79">
        <f t="shared" si="936"/>
        <v>6.1109999999999998</v>
      </c>
    </row>
    <row r="239" spans="5:10" x14ac:dyDescent="0.25">
      <c r="E239" s="170">
        <f t="shared" si="937"/>
        <v>0.48327642683927702</v>
      </c>
      <c r="F239" s="170">
        <f t="shared" si="937"/>
        <v>0.82587965058926349</v>
      </c>
      <c r="G239" s="170">
        <f t="shared" si="937"/>
        <v>-0.29045946017304536</v>
      </c>
      <c r="H239" s="139"/>
      <c r="I239" s="86"/>
      <c r="J239" s="79">
        <f t="shared" si="936"/>
        <v>6.117</v>
      </c>
    </row>
    <row r="240" spans="5:10" x14ac:dyDescent="0.25">
      <c r="E240" s="170">
        <f t="shared" si="937"/>
        <v>0.56809340905967087</v>
      </c>
      <c r="F240" s="170">
        <f t="shared" si="937"/>
        <v>0.78051129361445881</v>
      </c>
      <c r="G240" s="170">
        <f t="shared" si="937"/>
        <v>-0.26090611170159606</v>
      </c>
      <c r="H240" s="139"/>
      <c r="I240" s="86"/>
      <c r="J240" s="79">
        <f t="shared" si="936"/>
        <v>6.1230000000000002</v>
      </c>
    </row>
    <row r="241" spans="5:10" x14ac:dyDescent="0.25">
      <c r="E241" s="170">
        <f t="shared" si="937"/>
        <v>0.64708096168072449</v>
      </c>
      <c r="F241" s="170">
        <f t="shared" si="937"/>
        <v>0.7211085087489828</v>
      </c>
      <c r="G241" s="170">
        <f t="shared" si="937"/>
        <v>-0.24756564309323498</v>
      </c>
      <c r="H241" s="139"/>
      <c r="I241" s="86"/>
      <c r="J241" s="79">
        <f t="shared" si="936"/>
        <v>6.1289999999999996</v>
      </c>
    </row>
    <row r="242" spans="5:10" x14ac:dyDescent="0.25">
      <c r="E242" s="170">
        <f t="shared" si="937"/>
        <v>0.71414328978187436</v>
      </c>
      <c r="F242" s="170">
        <f t="shared" si="937"/>
        <v>0.66051571533782949</v>
      </c>
      <c r="G242" s="170">
        <f t="shared" si="937"/>
        <v>-0.23177219732158835</v>
      </c>
      <c r="H242" s="139"/>
      <c r="I242" s="86"/>
      <c r="J242" s="79">
        <f t="shared" si="936"/>
        <v>6.1349999999999998</v>
      </c>
    </row>
    <row r="243" spans="5:10" x14ac:dyDescent="0.25">
      <c r="E243" s="170">
        <f t="shared" si="937"/>
        <v>0.77922361783575034</v>
      </c>
      <c r="F243" s="170">
        <f t="shared" si="937"/>
        <v>0.58412612537154129</v>
      </c>
      <c r="G243" s="170">
        <f t="shared" si="937"/>
        <v>-0.22717223216184429</v>
      </c>
      <c r="H243" s="139"/>
      <c r="I243" s="86"/>
      <c r="J243" s="79">
        <f t="shared" si="936"/>
        <v>6.141</v>
      </c>
    </row>
    <row r="244" spans="5:10" x14ac:dyDescent="0.25">
      <c r="E244" s="170">
        <f t="shared" si="937"/>
        <v>0.83820973966727153</v>
      </c>
      <c r="F244" s="170">
        <f t="shared" si="937"/>
        <v>0.50678263792909239</v>
      </c>
      <c r="G244" s="170">
        <f t="shared" si="937"/>
        <v>-0.20143433227867474</v>
      </c>
      <c r="H244" s="139"/>
      <c r="I244" s="86"/>
      <c r="J244" s="79">
        <f t="shared" si="936"/>
        <v>6.1470000000000002</v>
      </c>
    </row>
    <row r="245" spans="5:10" x14ac:dyDescent="0.25">
      <c r="E245" s="170">
        <f t="shared" si="937"/>
        <v>0.88717912587146375</v>
      </c>
      <c r="F245" s="170">
        <f t="shared" si="937"/>
        <v>0.43366965568646715</v>
      </c>
      <c r="G245" s="170">
        <f t="shared" si="937"/>
        <v>-0.15761925121864581</v>
      </c>
      <c r="H245" s="139"/>
      <c r="I245" s="86"/>
      <c r="J245" s="79">
        <f t="shared" si="936"/>
        <v>6.1529999999999996</v>
      </c>
    </row>
    <row r="246" spans="5:10" x14ac:dyDescent="0.25">
      <c r="E246" s="170">
        <f t="shared" si="937"/>
        <v>0.91952916092360226</v>
      </c>
      <c r="F246" s="170">
        <f t="shared" si="937"/>
        <v>0.3823825712171503</v>
      </c>
      <c r="G246" s="170">
        <f t="shared" si="937"/>
        <v>-9.0827812042881179E-2</v>
      </c>
      <c r="H246" s="139"/>
      <c r="I246" s="86"/>
      <c r="J246" s="79">
        <f t="shared" si="936"/>
        <v>6.1589999999999998</v>
      </c>
    </row>
    <row r="247" spans="5:10" x14ac:dyDescent="0.25">
      <c r="E247" s="170">
        <f t="shared" si="937"/>
        <v>0.93888963518993196</v>
      </c>
      <c r="F247" s="170">
        <f t="shared" si="937"/>
        <v>0.34374567538335277</v>
      </c>
      <c r="G247" s="170">
        <f t="shared" si="937"/>
        <v>-1.8032292925733578E-2</v>
      </c>
      <c r="H247" s="139"/>
      <c r="I247" s="86"/>
      <c r="J247" s="79">
        <f t="shared" si="936"/>
        <v>6.165</v>
      </c>
    </row>
    <row r="248" spans="5:10" x14ac:dyDescent="0.25">
      <c r="E248" s="170">
        <f t="shared" si="937"/>
        <v>0.96710642946150793</v>
      </c>
      <c r="F248" s="170">
        <f t="shared" si="937"/>
        <v>0.25173662397863167</v>
      </c>
      <c r="G248" s="170">
        <f t="shared" si="937"/>
        <v>-3.6521585973974882E-2</v>
      </c>
      <c r="H248" s="139"/>
      <c r="I248" s="86"/>
      <c r="J248" s="79">
        <f t="shared" si="936"/>
        <v>6.1710000000000003</v>
      </c>
    </row>
    <row r="249" spans="5:10" x14ac:dyDescent="0.25">
      <c r="E249" s="170">
        <f t="shared" si="937"/>
        <v>0.97992471039836904</v>
      </c>
      <c r="F249" s="170">
        <f t="shared" si="937"/>
        <v>0.19936790601962845</v>
      </c>
      <c r="G249" s="170">
        <f t="shared" si="937"/>
        <v>-1.4578093332296749E-7</v>
      </c>
      <c r="H249" s="139"/>
      <c r="I249" s="86"/>
      <c r="J249" s="79">
        <f t="shared" si="936"/>
        <v>6.1769999999999996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0D4886F-7040-4B26-B192-D21055A40E79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878CA47-0851-4C45-8FFF-E47BC23284C3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16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1.1639999999999999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1.17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1.1759999999999999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1.228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1.234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1.24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1.246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1.252</v>
      </c>
      <c r="N183" s="869" t="str">
        <f>Assy.Model!K28</f>
        <v>Inactive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1.258</v>
      </c>
      <c r="N184" s="869" t="str">
        <f>Assy.Model!K29</f>
        <v>Inactive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2.1150000000000002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2.121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2.1269999999999998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2.133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2.1389999999999998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2.145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2.1509999999999998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2.157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2.1629999999999998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2.169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2.1749999999999998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3.1030000000000002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3.1059999999999999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3.1139999999999999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3.12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3.1259999999999999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3.1320000000000001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3.1379999999999999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3.1440000000000001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3.15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3.1560000000000001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3.1619999999999999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3.1680000000000001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3.1739999999999999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3.2320000000000002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3.238</v>
      </c>
      <c r="N211" s="869" t="str">
        <f>Assy.Model!K56</f>
        <v>Inactive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3.2440000000000002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3.25</v>
      </c>
      <c r="N213" s="869" t="str">
        <f>Assy.Model!K58</f>
        <v>Inactive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3.2559999999999998</v>
      </c>
      <c r="N214" s="869" t="str">
        <f>Assy.Model!K59</f>
        <v>Inactive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3.262</v>
      </c>
      <c r="N215" s="869" t="str">
        <f>Assy.Model!K60</f>
        <v>Inactive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4.1130000000000004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4.1189999999999998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4.125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4.1310000000000002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4.1369999999999996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4.1429999999999998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4.149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4.1550000000000002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4.1609999999999996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4.1669999999999998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4.173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5.1020000000000003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5.1050000000000004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5.1079999999999997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5.1120000000000001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5.1180000000000003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5.1239999999999997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5.13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5.1360000000000001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5.1420000000000003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5.1479999999999997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5.1539999999999999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5.16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5.1660000000000004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5.1719999999999997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5.1779999999999999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5.23</v>
      </c>
      <c r="N242" s="869" t="str">
        <f>Assy.Model!K87</f>
        <v>Inactive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5.2359999999999998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5.242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5.2480000000000002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5.2539999999999996</v>
      </c>
      <c r="N246" s="869" t="str">
        <f>Assy.Model!K91</f>
        <v>Inactive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5.26</v>
      </c>
      <c r="N247" s="869" t="str">
        <f>Assy.Model!K92</f>
        <v>Inactive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6.1109999999999998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6.117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6.1230000000000002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6.1289999999999996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6.1349999999999998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6.141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6.1470000000000002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6.1529999999999996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6.1589999999999998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6.165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6.1710000000000003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6.1769999999999996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2023-03-28T19:46:40Z</dcterms:modified>
</cp:coreProperties>
</file>