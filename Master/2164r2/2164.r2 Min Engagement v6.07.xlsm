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64\"/>
    </mc:Choice>
  </mc:AlternateContent>
  <xr:revisionPtr revIDLastSave="0" documentId="13_ncr:1_{11B7B946-887C-4FCE-8B2E-78AE7731D1C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AJ32" i="4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JA9" i="1" s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Q70" i="1"/>
  <c r="IP70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74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2" i="1"/>
  <c r="IF84" i="1"/>
  <c r="IF12" i="1"/>
  <c r="IF50" i="1"/>
  <c r="IF71" i="1"/>
  <c r="IF56" i="1"/>
  <c r="IF83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0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76" i="1" l="1"/>
  <c r="IV70" i="1"/>
  <c r="AE69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68" i="1" l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H22" i="1" l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IL70" i="1" s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IL47" i="1" s="1"/>
  <c r="W40" i="1"/>
  <c r="W37" i="1"/>
  <c r="W38" i="1"/>
  <c r="W35" i="1"/>
  <c r="W36" i="1"/>
  <c r="W33" i="1"/>
  <c r="W34" i="1"/>
  <c r="W31" i="1"/>
  <c r="W32" i="1"/>
  <c r="W29" i="1"/>
  <c r="IL45" i="1" s="1"/>
  <c r="W30" i="1"/>
  <c r="IL46" i="1" s="1"/>
  <c r="W27" i="1"/>
  <c r="W28" i="1"/>
  <c r="W25" i="1"/>
  <c r="W26" i="1"/>
  <c r="W23" i="1"/>
  <c r="W24" i="1"/>
  <c r="W21" i="1"/>
  <c r="W22" i="1"/>
  <c r="W19" i="1"/>
  <c r="W20" i="1"/>
  <c r="IL20" i="1" s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69" i="1" l="1"/>
  <c r="IL68" i="1"/>
  <c r="IL57" i="1"/>
  <c r="IL32" i="1"/>
  <c r="IL31" i="1"/>
  <c r="IL23" i="1"/>
  <c r="IL21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S64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IT70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T64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47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IT20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6" i="1" l="1"/>
  <c r="IY70" i="1"/>
  <c r="IY64" i="1"/>
  <c r="IT69" i="1"/>
  <c r="IT75" i="1"/>
  <c r="IY69" i="1"/>
  <c r="IY63" i="1"/>
  <c r="IT68" i="1"/>
  <c r="IT54" i="1"/>
  <c r="IT57" i="1"/>
  <c r="IY26" i="1"/>
  <c r="IT32" i="1"/>
  <c r="IX25" i="1"/>
  <c r="IS31" i="1"/>
  <c r="IY25" i="1"/>
  <c r="IT31" i="1"/>
  <c r="IT35" i="1"/>
  <c r="IY31" i="1"/>
  <c r="IT19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3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AO81" i="1"/>
  <c r="IX81" i="1" s="1"/>
  <c r="IF81" i="1" s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IX78" i="1" s="1"/>
  <c r="IF78" i="1" s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IS70" i="1" s="1"/>
  <c r="AP65" i="1"/>
  <c r="AP66" i="1"/>
  <c r="AO66" i="1"/>
  <c r="AO63" i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47" i="1" s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S19" i="1" s="1"/>
  <c r="AO16" i="1"/>
  <c r="AP16" i="1"/>
  <c r="AO13" i="1"/>
  <c r="AP13" i="1"/>
  <c r="AO14" i="1"/>
  <c r="AP14" i="1"/>
  <c r="AP11" i="1"/>
  <c r="AO12" i="1"/>
  <c r="IS2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6" i="1" l="1"/>
  <c r="IX70" i="1"/>
  <c r="IF70" i="1" s="1"/>
  <c r="IS75" i="1"/>
  <c r="IX69" i="1"/>
  <c r="IF69" i="1" s="1"/>
  <c r="IX64" i="1"/>
  <c r="IF64" i="1" s="1"/>
  <c r="IS69" i="1"/>
  <c r="IX63" i="1"/>
  <c r="IF63" i="1" s="1"/>
  <c r="IS68" i="1"/>
  <c r="IS58" i="1"/>
  <c r="IS54" i="1"/>
  <c r="IS57" i="1"/>
  <c r="IT60" i="1"/>
  <c r="IY57" i="1"/>
  <c r="IF57" i="1" s="1"/>
  <c r="IS46" i="1"/>
  <c r="IT29" i="1"/>
  <c r="IY47" i="1"/>
  <c r="IF47" i="1" s="1"/>
  <c r="IX26" i="1"/>
  <c r="IF26" i="1" s="1"/>
  <c r="IS32" i="1"/>
  <c r="IF25" i="1"/>
  <c r="IS35" i="1"/>
  <c r="IX31" i="1"/>
  <c r="IF31" i="1" s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JH30" i="1" s="1" a="1"/>
  <c r="JH30" i="1" s="1"/>
  <c r="L20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F23" i="1" l="1" a="1"/>
  <c r="JF23" i="1" s="1"/>
  <c r="JH23" i="1" s="1" a="1"/>
  <c r="JH23" i="1" s="1"/>
  <c r="JI29" i="1" a="1"/>
  <c r="JI29" i="1" s="1"/>
  <c r="L15" i="1" s="1"/>
  <c r="JI30" i="1" a="1"/>
  <c r="JI30" i="1" s="1"/>
  <c r="L22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<sst xmlns="http://schemas.openxmlformats.org/spreadsheetml/2006/main" count="734" uniqueCount="391">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</sst>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2" t="s">
        <v>77</v>
      </c>
      <c r="D1" s="872"/>
      <c r="E1" s="872"/>
      <c r="F1" s="872"/>
      <c r="G1" s="872"/>
      <c r="H1" s="872"/>
      <c r="I1" s="872"/>
      <c r="J1" s="872"/>
      <c r="K1" s="87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7" t="s">
        <v>80</v>
      </c>
      <c r="B6" s="897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4" t="s">
        <v>379</v>
      </c>
      <c r="AQ7" s="894"/>
      <c r="AR7" s="894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7">
        <v>9</v>
      </c>
      <c r="D9" s="891"/>
      <c r="E9" s="891"/>
      <c r="F9" s="891"/>
      <c r="G9" s="891"/>
      <c r="H9" s="891"/>
      <c r="I9" s="891"/>
      <c r="J9" s="891"/>
      <c r="K9" s="888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09"/>
      <c r="C10" s="910"/>
      <c r="D10" s="910"/>
      <c r="E10" s="910"/>
      <c r="F10" s="910"/>
      <c r="G10" s="910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5"/>
      <c r="B11" s="898" t="s">
        <v>33</v>
      </c>
      <c r="C11" s="903" t="s">
        <v>34</v>
      </c>
      <c r="D11" s="903"/>
      <c r="E11" s="902" t="s">
        <v>39</v>
      </c>
      <c r="F11" s="898" t="s">
        <v>35</v>
      </c>
      <c r="G11" s="898" t="s">
        <v>36</v>
      </c>
      <c r="H11" s="898" t="s">
        <v>43</v>
      </c>
      <c r="I11" s="889" t="s">
        <v>67</v>
      </c>
      <c r="J11" s="903" t="s">
        <v>56</v>
      </c>
      <c r="K11" s="903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2" t="s">
        <v>347</v>
      </c>
      <c r="AN11" s="891"/>
      <c r="AO11" s="891"/>
      <c r="AP11" s="891"/>
      <c r="AQ11" s="891"/>
      <c r="AR11" s="913"/>
      <c r="AS11" s="920" t="s">
        <v>354</v>
      </c>
      <c r="AT11" s="921"/>
      <c r="AU11" s="921"/>
      <c r="AV11" s="922"/>
      <c r="BC11" s="470"/>
    </row>
    <row r="12" spans="1:55" ht="15.75" thickBot="1" x14ac:dyDescent="0.3">
      <c r="A12" s="904"/>
      <c r="B12" s="899"/>
      <c r="C12" s="48" t="s">
        <v>8</v>
      </c>
      <c r="D12" s="49" t="s">
        <v>10</v>
      </c>
      <c r="E12" s="899"/>
      <c r="F12" s="899"/>
      <c r="G12" s="899"/>
      <c r="H12" s="899"/>
      <c r="I12" s="890"/>
      <c r="J12" s="53" t="s">
        <v>8</v>
      </c>
      <c r="K12" s="54" t="s">
        <v>10</v>
      </c>
      <c r="M12" s="31"/>
      <c r="N12" s="31"/>
      <c r="O12" s="881" t="s">
        <v>46</v>
      </c>
      <c r="P12" s="882"/>
      <c r="Q12" s="900" t="s">
        <v>45</v>
      </c>
      <c r="R12" s="901"/>
      <c r="S12" s="901"/>
      <c r="T12" s="901"/>
      <c r="U12" s="901"/>
      <c r="V12" s="901"/>
      <c r="W12" s="901"/>
      <c r="X12" s="901"/>
      <c r="Y12" s="901"/>
      <c r="Z12" s="901"/>
      <c r="AA12" s="901"/>
      <c r="AB12" s="901"/>
      <c r="AC12" s="901"/>
      <c r="AD12" s="901"/>
      <c r="AE12" s="887"/>
      <c r="AF12" s="875" t="s">
        <v>56</v>
      </c>
      <c r="AG12" s="876"/>
      <c r="AH12" s="31"/>
      <c r="AK12" s="895" t="s">
        <v>355</v>
      </c>
      <c r="AL12" s="911"/>
      <c r="AM12" s="914" t="s">
        <v>352</v>
      </c>
      <c r="AN12" s="915"/>
      <c r="AO12" s="896"/>
      <c r="AP12" s="895" t="s">
        <v>380</v>
      </c>
      <c r="AQ12" s="896"/>
      <c r="AR12" s="802" t="s">
        <v>378</v>
      </c>
      <c r="AS12" s="917" t="s">
        <v>352</v>
      </c>
      <c r="AT12" s="896"/>
      <c r="AU12" s="918" t="s">
        <v>353</v>
      </c>
      <c r="AV12" s="919"/>
      <c r="AW12" s="923" t="s">
        <v>351</v>
      </c>
      <c r="AX12" s="924"/>
      <c r="AZ12" s="895" t="s">
        <v>60</v>
      </c>
      <c r="BA12" s="896"/>
      <c r="BC12" s="916" t="s">
        <v>383</v>
      </c>
    </row>
    <row r="13" spans="1:55" ht="15.75" thickBot="1" x14ac:dyDescent="0.3">
      <c r="A13" s="64" t="s">
        <v>57</v>
      </c>
      <c r="B13" s="905" t="s">
        <v>97</v>
      </c>
      <c r="C13" s="907" t="str">
        <f>SUBSTITUTE(ADDRESS(1,COLUMN(Assy.Model!X9),4),"1","")</f>
        <v>X</v>
      </c>
      <c r="D13" s="101" t="str">
        <f>SUBSTITUTE(ADDRESS(1,COLUMN(Assy.Model!Y9),4),"1","")</f>
        <v>Y</v>
      </c>
      <c r="E13" s="892" t="str">
        <f>SUBSTITUTE(ADDRESS(1,COLUMN(Assy.Model!H9),4),"1","")</f>
        <v>H</v>
      </c>
      <c r="F13" s="892" t="str">
        <f>SUBSTITUTE(ADDRESS(1,COLUMN(Assy.Model!AN9),4),"1","")</f>
        <v>AN</v>
      </c>
      <c r="G13" s="892" t="str">
        <f>SUBSTITUTE(ADDRESS(1,COLUMN(Assy.Model!AO9),4),"1","")</f>
        <v>AO</v>
      </c>
      <c r="H13" s="892" t="str">
        <f>SUBSTITUTE(ADDRESS(1,COLUMN(Assy.Model!AO9),4),"1","")</f>
        <v>AO</v>
      </c>
      <c r="I13" s="892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3"/>
      <c r="P13" s="88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6"/>
    </row>
    <row r="14" spans="1:55" x14ac:dyDescent="0.25">
      <c r="A14" s="62" t="s">
        <v>58</v>
      </c>
      <c r="B14" s="906"/>
      <c r="C14" s="908"/>
      <c r="D14" s="102" t="str">
        <f>SUBSTITUTE(ADDRESS(1,COLUMN(Assy.Model!AT9),4),"1","")</f>
        <v>AT</v>
      </c>
      <c r="E14" s="893"/>
      <c r="F14" s="893"/>
      <c r="G14" s="893"/>
      <c r="H14" s="893"/>
      <c r="I14" s="893"/>
      <c r="J14" s="91">
        <v>0</v>
      </c>
      <c r="K14" s="92">
        <v>0</v>
      </c>
      <c r="L14" s="31"/>
      <c r="M14" s="190">
        <v>6.25E-2</v>
      </c>
      <c r="N14" s="31">
        <v>32</v>
      </c>
      <c r="O14" s="87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7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7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7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7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7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7" t="s">
        <v>64</v>
      </c>
      <c r="C21" s="891"/>
      <c r="D21" s="891"/>
      <c r="E21" s="891"/>
      <c r="F21" s="888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5"/>
      <c r="C22" s="887" t="s">
        <v>63</v>
      </c>
      <c r="D22" s="888"/>
      <c r="E22" s="889" t="s">
        <v>60</v>
      </c>
      <c r="F22" s="88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6"/>
      <c r="C23" s="57" t="s">
        <v>8</v>
      </c>
      <c r="D23" s="57" t="s">
        <v>9</v>
      </c>
      <c r="E23" s="890"/>
      <c r="F23" s="89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7">
        <v>0</v>
      </c>
      <c r="E24" s="877">
        <v>2</v>
      </c>
      <c r="F24" s="87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878"/>
      <c r="E25" s="878"/>
      <c r="F25" s="87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3" t="s">
        <v>311</v>
      </c>
      <c r="C27" s="873"/>
      <c r="D27" s="873"/>
      <c r="E27" s="873"/>
      <c r="F27" s="87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4" t="s">
        <v>390</v>
      </c>
      <c r="C28" s="874"/>
      <c r="D28" s="874"/>
      <c r="E28" s="874"/>
      <c r="F28" s="87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1" t="s">
        <v>95</v>
      </c>
      <c r="D3" s="891"/>
      <c r="E3" s="891"/>
      <c r="F3" s="891"/>
      <c r="G3" s="891"/>
      <c r="H3" s="891"/>
      <c r="I3" s="891"/>
      <c r="J3" s="891"/>
      <c r="K3" s="913"/>
      <c r="L3" s="971"/>
      <c r="M3" s="891"/>
      <c r="N3" s="891"/>
      <c r="O3" s="891"/>
      <c r="P3" s="891"/>
      <c r="Q3" s="891"/>
      <c r="R3" s="888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3" t="s">
        <v>86</v>
      </c>
      <c r="C4" s="954" t="s">
        <v>82</v>
      </c>
      <c r="D4" s="891" t="s">
        <v>83</v>
      </c>
      <c r="E4" s="891"/>
      <c r="F4" s="891"/>
      <c r="G4" s="891"/>
      <c r="H4" s="891"/>
      <c r="I4" s="891"/>
      <c r="J4" s="891"/>
      <c r="K4" s="891"/>
      <c r="L4" s="150" t="s">
        <v>91</v>
      </c>
      <c r="M4" s="887" t="s">
        <v>94</v>
      </c>
      <c r="N4" s="891"/>
      <c r="O4" s="891"/>
      <c r="P4" s="913"/>
      <c r="Q4" s="891" t="s">
        <v>52</v>
      </c>
      <c r="R4" s="888"/>
      <c r="S4" s="107"/>
      <c r="T4" s="887">
        <v>350</v>
      </c>
      <c r="U4" s="891"/>
      <c r="V4" s="891" t="s">
        <v>76</v>
      </c>
      <c r="W4" s="891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4"/>
      <c r="C5" s="955"/>
      <c r="D5" s="939" t="s">
        <v>85</v>
      </c>
      <c r="E5" s="957" t="s">
        <v>89</v>
      </c>
      <c r="F5" s="903" t="s">
        <v>34</v>
      </c>
      <c r="G5" s="903"/>
      <c r="H5" s="902" t="s">
        <v>39</v>
      </c>
      <c r="I5" s="898" t="s">
        <v>35</v>
      </c>
      <c r="J5" s="898" t="s">
        <v>36</v>
      </c>
      <c r="K5" s="965" t="s">
        <v>67</v>
      </c>
      <c r="L5" s="151" t="s">
        <v>92</v>
      </c>
      <c r="M5" s="889" t="s">
        <v>90</v>
      </c>
      <c r="N5" s="889" t="s">
        <v>47</v>
      </c>
      <c r="O5" s="967" t="s">
        <v>84</v>
      </c>
      <c r="P5" s="968"/>
      <c r="Q5" s="969" t="s">
        <v>84</v>
      </c>
      <c r="R5" s="970"/>
      <c r="S5" s="107"/>
      <c r="T5" s="881" t="s">
        <v>46</v>
      </c>
      <c r="U5" s="972"/>
      <c r="V5" s="924" t="s">
        <v>45</v>
      </c>
      <c r="W5" s="876"/>
      <c r="X5" s="876"/>
      <c r="Y5" s="876"/>
      <c r="Z5" s="876"/>
      <c r="AA5" s="876"/>
      <c r="AB5" s="876"/>
      <c r="AC5" s="876"/>
      <c r="AD5" s="876"/>
      <c r="AE5" s="876"/>
      <c r="AF5" s="876"/>
      <c r="AG5" s="876"/>
      <c r="AH5" s="876"/>
      <c r="AI5" s="876"/>
      <c r="AJ5" s="876"/>
      <c r="AK5" s="31"/>
      <c r="AL5" s="31"/>
    </row>
    <row r="6" spans="2:38" ht="15" customHeight="1" thickBot="1" x14ac:dyDescent="0.3">
      <c r="B6" s="935"/>
      <c r="C6" s="956"/>
      <c r="D6" s="940"/>
      <c r="E6" s="958"/>
      <c r="F6" s="108" t="s">
        <v>8</v>
      </c>
      <c r="G6" s="109" t="s">
        <v>10</v>
      </c>
      <c r="H6" s="953"/>
      <c r="I6" s="953"/>
      <c r="J6" s="953"/>
      <c r="K6" s="966"/>
      <c r="L6" s="152" t="s">
        <v>93</v>
      </c>
      <c r="M6" s="964"/>
      <c r="N6" s="964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6"/>
      <c r="U6" s="973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1">
        <f>ROW(Assy.Model!B9)</f>
        <v>9</v>
      </c>
      <c r="D7" s="930" t="str">
        <f>SUBSTITUTE(ADDRESS(1,COLUMN(Assy.Model!B9),4),"1","")</f>
        <v>B</v>
      </c>
      <c r="E7" s="944" t="str">
        <f>SUBSTITUTE(ADDRESS(1,COLUMN(Assy.Model!M9),4),"1","")</f>
        <v>M</v>
      </c>
      <c r="F7" s="947" t="str">
        <f>SUBSTITUTE(ADDRESS(1,COLUMN(Assy.Model!X9),4),"1","")</f>
        <v>X</v>
      </c>
      <c r="G7" s="936" t="str">
        <f>SUBSTITUTE(ADDRESS(1,COLUMN(Assy.Model!AT9),4),"1","")</f>
        <v>AT</v>
      </c>
      <c r="H7" s="950" t="str">
        <f>SUBSTITUTE(ADDRESS(1,COLUMN(Assy.Model!H9),4),"1","")</f>
        <v>H</v>
      </c>
      <c r="I7" s="950" t="str">
        <f>SUBSTITUTE(ADDRESS(1,COLUMN(Assy.Model!AN9),4),"1","")</f>
        <v>AN</v>
      </c>
      <c r="J7" s="950" t="str">
        <f>SUBSTITUTE(ADDRESS(1,COLUMN(Assy.Model!AO9),4),"1","")</f>
        <v>AO</v>
      </c>
      <c r="K7" s="95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5" t="s">
        <v>81</v>
      </c>
      <c r="C8" s="942"/>
      <c r="D8" s="931"/>
      <c r="E8" s="945"/>
      <c r="F8" s="948"/>
      <c r="G8" s="937"/>
      <c r="H8" s="951"/>
      <c r="I8" s="951"/>
      <c r="J8" s="951"/>
      <c r="K8" s="960"/>
      <c r="L8" s="153" t="s">
        <v>93</v>
      </c>
      <c r="M8" s="96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5"/>
      <c r="C9" s="942"/>
      <c r="D9" s="931"/>
      <c r="E9" s="945"/>
      <c r="F9" s="948"/>
      <c r="G9" s="937"/>
      <c r="H9" s="951"/>
      <c r="I9" s="951"/>
      <c r="J9" s="951"/>
      <c r="K9" s="960"/>
      <c r="L9" s="153" t="s">
        <v>92</v>
      </c>
      <c r="M9" s="96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5"/>
      <c r="C10" s="942"/>
      <c r="D10" s="931"/>
      <c r="E10" s="945"/>
      <c r="F10" s="948"/>
      <c r="G10" s="937"/>
      <c r="H10" s="951"/>
      <c r="I10" s="951"/>
      <c r="J10" s="951"/>
      <c r="K10" s="960"/>
      <c r="L10" s="153" t="s">
        <v>92</v>
      </c>
      <c r="M10" s="96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5"/>
      <c r="C11" s="942"/>
      <c r="D11" s="931"/>
      <c r="E11" s="945"/>
      <c r="F11" s="948"/>
      <c r="G11" s="937"/>
      <c r="H11" s="951"/>
      <c r="I11" s="951"/>
      <c r="J11" s="951"/>
      <c r="K11" s="960"/>
      <c r="L11" s="153" t="s">
        <v>92</v>
      </c>
      <c r="M11" s="96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5"/>
      <c r="C12" s="942"/>
      <c r="D12" s="931"/>
      <c r="E12" s="945"/>
      <c r="F12" s="948"/>
      <c r="G12" s="937"/>
      <c r="H12" s="951"/>
      <c r="I12" s="951"/>
      <c r="J12" s="951"/>
      <c r="K12" s="960"/>
      <c r="L12" s="153" t="s">
        <v>92</v>
      </c>
      <c r="M12" s="96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5"/>
      <c r="C13" s="942"/>
      <c r="D13" s="931"/>
      <c r="E13" s="945"/>
      <c r="F13" s="948"/>
      <c r="G13" s="937"/>
      <c r="H13" s="951"/>
      <c r="I13" s="951"/>
      <c r="J13" s="951"/>
      <c r="K13" s="960"/>
      <c r="L13" s="153" t="s">
        <v>92</v>
      </c>
      <c r="M13" s="96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6"/>
      <c r="C14" s="943"/>
      <c r="D14" s="932"/>
      <c r="E14" s="946"/>
      <c r="F14" s="949"/>
      <c r="G14" s="938"/>
      <c r="H14" s="952"/>
      <c r="I14" s="952"/>
      <c r="J14" s="952"/>
      <c r="K14" s="961"/>
      <c r="L14" s="154" t="s">
        <v>93</v>
      </c>
      <c r="M14" s="96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2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1" t="str">
        <f>CONCATENATE(Settings!$C$19," ",Settings!$B$28)</f>
        <v>9.875  Job# --- Assy# --- Post Braze --- yy.mm.dd</v>
      </c>
      <c r="D1" s="991"/>
      <c r="E1" s="991"/>
      <c r="F1" s="991"/>
      <c r="G1" s="991"/>
      <c r="H1" s="991"/>
      <c r="I1" s="991"/>
      <c r="J1" s="991"/>
      <c r="K1" s="991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3" t="s">
        <v>315</v>
      </c>
      <c r="C2" s="1004"/>
      <c r="D2" s="1004"/>
      <c r="E2" s="1004"/>
      <c r="F2" s="1004"/>
      <c r="G2" s="1004"/>
      <c r="H2" s="1004"/>
      <c r="I2" s="1004"/>
      <c r="J2" s="1004"/>
      <c r="K2" s="1005"/>
      <c r="L2" s="990" t="str" cm="1">
        <f t="array" ref="L2">IF(OR($K$9:$K$150="Undefined"),"Undefined Element","")</f>
        <v/>
      </c>
      <c r="M2" s="1014" t="s">
        <v>0</v>
      </c>
      <c r="N2" s="1051" t="s">
        <v>1</v>
      </c>
      <c r="O2" s="1052"/>
      <c r="P2" s="1052"/>
      <c r="Q2" s="1052"/>
      <c r="R2" s="1052"/>
      <c r="S2" s="1052"/>
      <c r="T2" s="1052"/>
      <c r="U2" s="1052"/>
      <c r="V2" s="1052"/>
      <c r="W2" s="1052"/>
      <c r="X2" s="1052"/>
      <c r="Y2" s="1053"/>
      <c r="Z2" s="1051" t="s">
        <v>2</v>
      </c>
      <c r="AA2" s="1052"/>
      <c r="AB2" s="1052"/>
      <c r="AC2" s="1052"/>
      <c r="AD2" s="1052"/>
      <c r="AE2" s="1052"/>
      <c r="AF2" s="1052"/>
      <c r="AG2" s="1052"/>
      <c r="AH2" s="1052"/>
      <c r="AI2" s="1052"/>
      <c r="AJ2" s="1052"/>
      <c r="AK2" s="1052"/>
      <c r="AL2" s="1052"/>
      <c r="AM2" s="1052"/>
      <c r="AN2" s="1052"/>
      <c r="AO2" s="1052"/>
      <c r="AP2" s="1052"/>
      <c r="AQ2" s="1077"/>
      <c r="AS2" s="1059" t="s">
        <v>44</v>
      </c>
      <c r="AT2" s="1060"/>
      <c r="AV2" s="1049" t="s">
        <v>0</v>
      </c>
      <c r="AW2" s="1051" t="s">
        <v>109</v>
      </c>
      <c r="AX2" s="1052"/>
      <c r="AY2" s="1052"/>
      <c r="AZ2" s="1052"/>
      <c r="BA2" s="1052"/>
      <c r="BB2" s="1052"/>
      <c r="BC2" s="1052"/>
      <c r="BD2" s="1052"/>
      <c r="BE2" s="1077"/>
      <c r="BF2" s="1083" t="s">
        <v>115</v>
      </c>
      <c r="BG2" s="1052"/>
      <c r="BH2" s="1052"/>
      <c r="BI2" s="1052"/>
      <c r="BJ2" s="1052"/>
      <c r="BK2" s="1052"/>
      <c r="BL2" s="1052"/>
      <c r="BM2" s="1052"/>
      <c r="BN2" s="1052"/>
      <c r="BO2" s="1052"/>
      <c r="BP2" s="1052"/>
      <c r="BQ2" s="1052"/>
      <c r="BR2" s="1052"/>
      <c r="BS2" s="1052"/>
      <c r="BT2" s="1052"/>
      <c r="BU2" s="1052"/>
      <c r="BV2" s="1052"/>
      <c r="BW2" s="1052"/>
      <c r="BX2" s="1052"/>
      <c r="BY2" s="1052"/>
      <c r="BZ2" s="1052"/>
      <c r="CA2" s="1052"/>
      <c r="CB2" s="1052"/>
      <c r="CC2" s="1052"/>
      <c r="CD2" s="1052"/>
      <c r="CE2" s="1052"/>
      <c r="CF2" s="1052"/>
      <c r="CG2" s="1052"/>
      <c r="CH2" s="1052"/>
      <c r="CI2" s="1052"/>
      <c r="CJ2" s="1052"/>
      <c r="CK2" s="1052"/>
      <c r="CL2" s="1052"/>
      <c r="CM2" s="1052"/>
      <c r="CN2" s="1052"/>
      <c r="CO2" s="1052"/>
      <c r="CP2" s="1052"/>
      <c r="CQ2" s="1052"/>
      <c r="CR2" s="1052"/>
      <c r="CS2" s="1052"/>
      <c r="CT2" s="1052"/>
      <c r="CU2" s="1052"/>
      <c r="CV2" s="1052"/>
      <c r="CW2" s="1052"/>
      <c r="CX2" s="1052"/>
      <c r="CY2" s="1052"/>
      <c r="CZ2" s="1052"/>
      <c r="DA2" s="1052"/>
      <c r="DB2" s="1052"/>
      <c r="DC2" s="1052"/>
      <c r="DD2" s="1052"/>
      <c r="DE2" s="1052"/>
      <c r="DF2" s="1052"/>
      <c r="DG2" s="1052"/>
      <c r="DH2" s="1052"/>
      <c r="DI2" s="1052"/>
      <c r="DJ2" s="1052"/>
      <c r="DK2" s="1052"/>
      <c r="DL2" s="1052"/>
      <c r="DM2" s="1052"/>
      <c r="DN2" s="1052"/>
      <c r="DO2" s="1052"/>
      <c r="DP2" s="1052"/>
      <c r="DQ2" s="1052"/>
      <c r="DR2" s="1052"/>
      <c r="DS2" s="1052"/>
      <c r="DT2" s="1052"/>
      <c r="DU2" s="1052"/>
      <c r="DV2" s="1052"/>
      <c r="DW2" s="1052"/>
      <c r="DX2" s="1052"/>
      <c r="DY2" s="1052"/>
      <c r="DZ2" s="1052"/>
      <c r="EA2" s="1052"/>
      <c r="EB2" s="1052"/>
      <c r="EC2" s="1052"/>
      <c r="ED2" s="1052"/>
      <c r="EE2" s="1052"/>
      <c r="EF2" s="1052"/>
      <c r="EG2" s="1052"/>
      <c r="EH2" s="1052"/>
      <c r="EI2" s="1052"/>
      <c r="EJ2" s="1052"/>
      <c r="EK2" s="1052"/>
      <c r="EL2" s="1052"/>
      <c r="EM2" s="1052"/>
      <c r="EN2" s="1052"/>
      <c r="EO2" s="1052"/>
      <c r="EP2" s="1052"/>
      <c r="EQ2" s="1052"/>
      <c r="ER2" s="1053"/>
      <c r="ES2" s="1218" t="s">
        <v>197</v>
      </c>
      <c r="ET2" s="1219"/>
      <c r="EU2" s="1219"/>
      <c r="EV2" s="1219"/>
      <c r="EW2" s="1219"/>
      <c r="EX2" s="1219"/>
      <c r="EY2" s="1219"/>
      <c r="EZ2" s="1219"/>
      <c r="FA2" s="1219"/>
      <c r="FB2" s="1219"/>
      <c r="FC2" s="1219"/>
      <c r="FD2" s="1219"/>
      <c r="FE2" s="1219"/>
      <c r="FF2" s="1220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3" t="s">
        <v>266</v>
      </c>
      <c r="HQ2" s="1163" t="str">
        <f>IFERROR(CONCATENATE("Sum of Lateral Forces = ",ROUND(HE3,0)," lbs @ ",ROUND(HF3,1),"° Relative to Blade 1"),"")</f>
        <v/>
      </c>
      <c r="HR2" s="1164"/>
      <c r="HS2" s="1164"/>
      <c r="HT2" s="1164"/>
      <c r="HU2" s="1164"/>
      <c r="HV2" s="116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6"/>
      <c r="C3" s="1007"/>
      <c r="D3" s="1007"/>
      <c r="E3" s="1007"/>
      <c r="F3" s="1007"/>
      <c r="G3" s="1007"/>
      <c r="H3" s="1007"/>
      <c r="I3" s="1007"/>
      <c r="J3" s="1007"/>
      <c r="K3" s="1008"/>
      <c r="L3" s="990"/>
      <c r="M3" s="1006"/>
      <c r="N3" s="1054"/>
      <c r="O3" s="1055"/>
      <c r="P3" s="1055"/>
      <c r="Q3" s="1055"/>
      <c r="R3" s="1055"/>
      <c r="S3" s="1055"/>
      <c r="T3" s="1055"/>
      <c r="U3" s="1055"/>
      <c r="V3" s="1055"/>
      <c r="W3" s="1055"/>
      <c r="X3" s="1055"/>
      <c r="Y3" s="1056"/>
      <c r="Z3" s="1054"/>
      <c r="AA3" s="1055"/>
      <c r="AB3" s="1055"/>
      <c r="AC3" s="1055"/>
      <c r="AD3" s="1055"/>
      <c r="AE3" s="1055"/>
      <c r="AF3" s="1055"/>
      <c r="AG3" s="1055"/>
      <c r="AH3" s="1055"/>
      <c r="AI3" s="1055"/>
      <c r="AJ3" s="1055"/>
      <c r="AK3" s="1055"/>
      <c r="AL3" s="1055"/>
      <c r="AM3" s="1055"/>
      <c r="AN3" s="1055"/>
      <c r="AO3" s="1055"/>
      <c r="AP3" s="1055"/>
      <c r="AQ3" s="1078"/>
      <c r="AS3" s="466">
        <v>100</v>
      </c>
      <c r="AT3" s="463" t="s">
        <v>45</v>
      </c>
      <c r="AV3" s="1050"/>
      <c r="AW3" s="1099"/>
      <c r="AX3" s="1085"/>
      <c r="AY3" s="1085"/>
      <c r="AZ3" s="1085"/>
      <c r="BA3" s="1085"/>
      <c r="BB3" s="1085"/>
      <c r="BC3" s="1085"/>
      <c r="BD3" s="1085"/>
      <c r="BE3" s="1100"/>
      <c r="BF3" s="1084"/>
      <c r="BG3" s="1085"/>
      <c r="BH3" s="1085"/>
      <c r="BI3" s="1085"/>
      <c r="BJ3" s="1085"/>
      <c r="BK3" s="1085"/>
      <c r="BL3" s="1085"/>
      <c r="BM3" s="1085"/>
      <c r="BN3" s="1085"/>
      <c r="BO3" s="1085"/>
      <c r="BP3" s="1085"/>
      <c r="BQ3" s="1085"/>
      <c r="BR3" s="1085"/>
      <c r="BS3" s="1085"/>
      <c r="BT3" s="1085"/>
      <c r="BU3" s="1085"/>
      <c r="BV3" s="1085"/>
      <c r="BW3" s="1085"/>
      <c r="BX3" s="1085"/>
      <c r="BY3" s="1085"/>
      <c r="BZ3" s="1085"/>
      <c r="CA3" s="1085"/>
      <c r="CB3" s="1085"/>
      <c r="CC3" s="1085"/>
      <c r="CD3" s="1085"/>
      <c r="CE3" s="1085"/>
      <c r="CF3" s="1085"/>
      <c r="CG3" s="1085"/>
      <c r="CH3" s="1085"/>
      <c r="CI3" s="1085"/>
      <c r="CJ3" s="1085"/>
      <c r="CK3" s="1085"/>
      <c r="CL3" s="1085"/>
      <c r="CM3" s="1085"/>
      <c r="CN3" s="1085"/>
      <c r="CO3" s="1085"/>
      <c r="CP3" s="1085"/>
      <c r="CQ3" s="1085"/>
      <c r="CR3" s="1085"/>
      <c r="CS3" s="1085"/>
      <c r="CT3" s="1085"/>
      <c r="CU3" s="1085"/>
      <c r="CV3" s="1085"/>
      <c r="CW3" s="1085"/>
      <c r="CX3" s="1085"/>
      <c r="CY3" s="1085"/>
      <c r="CZ3" s="1085"/>
      <c r="DA3" s="1085"/>
      <c r="DB3" s="1085"/>
      <c r="DC3" s="1085"/>
      <c r="DD3" s="1085"/>
      <c r="DE3" s="1085"/>
      <c r="DF3" s="1085"/>
      <c r="DG3" s="1085"/>
      <c r="DH3" s="1085"/>
      <c r="DI3" s="1085"/>
      <c r="DJ3" s="1085"/>
      <c r="DK3" s="1085"/>
      <c r="DL3" s="1085"/>
      <c r="DM3" s="1085"/>
      <c r="DN3" s="1085"/>
      <c r="DO3" s="1085"/>
      <c r="DP3" s="1085"/>
      <c r="DQ3" s="1085"/>
      <c r="DR3" s="1085"/>
      <c r="DS3" s="1085"/>
      <c r="DT3" s="1085"/>
      <c r="DU3" s="1085"/>
      <c r="DV3" s="1085"/>
      <c r="DW3" s="1085"/>
      <c r="DX3" s="1085"/>
      <c r="DY3" s="1085"/>
      <c r="DZ3" s="1085"/>
      <c r="EA3" s="1085"/>
      <c r="EB3" s="1085"/>
      <c r="EC3" s="1085"/>
      <c r="ED3" s="1085"/>
      <c r="EE3" s="1085"/>
      <c r="EF3" s="1085"/>
      <c r="EG3" s="1085"/>
      <c r="EH3" s="1085"/>
      <c r="EI3" s="1085"/>
      <c r="EJ3" s="1085"/>
      <c r="EK3" s="1085"/>
      <c r="EL3" s="1085"/>
      <c r="EM3" s="1085"/>
      <c r="EN3" s="1085"/>
      <c r="EO3" s="1085"/>
      <c r="EP3" s="1085"/>
      <c r="EQ3" s="1085"/>
      <c r="ER3" s="1086"/>
      <c r="ES3" s="1099"/>
      <c r="ET3" s="1085"/>
      <c r="EU3" s="1085"/>
      <c r="EV3" s="1085"/>
      <c r="EW3" s="1085"/>
      <c r="EX3" s="1085"/>
      <c r="EY3" s="1085"/>
      <c r="EZ3" s="1085"/>
      <c r="FA3" s="1085"/>
      <c r="FB3" s="1085"/>
      <c r="FC3" s="1085"/>
      <c r="FD3" s="1085"/>
      <c r="FE3" s="1085"/>
      <c r="FF3" s="1086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206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09"/>
      <c r="C4" s="1010"/>
      <c r="D4" s="1010"/>
      <c r="E4" s="1010"/>
      <c r="F4" s="1010"/>
      <c r="G4" s="1010"/>
      <c r="H4" s="1010"/>
      <c r="I4" s="1010"/>
      <c r="J4" s="1010"/>
      <c r="K4" s="1011"/>
      <c r="L4" s="990"/>
      <c r="M4" s="1006"/>
      <c r="N4" s="1018" t="s">
        <v>3</v>
      </c>
      <c r="O4" s="1013"/>
      <c r="P4" s="1013"/>
      <c r="Q4" s="1012" t="s">
        <v>4</v>
      </c>
      <c r="R4" s="1013"/>
      <c r="S4" s="1034"/>
      <c r="T4" s="1028" t="str">
        <f>N4</f>
        <v>Cartesian Coordinates</v>
      </c>
      <c r="U4" s="995"/>
      <c r="V4" s="1029"/>
      <c r="W4" s="995" t="str">
        <f>$Q$4</f>
        <v>Polar XY; Cartesian Z</v>
      </c>
      <c r="X4" s="995"/>
      <c r="Y4" s="996"/>
      <c r="Z4" s="1018" t="s">
        <v>3</v>
      </c>
      <c r="AA4" s="1013"/>
      <c r="AB4" s="1013"/>
      <c r="AC4" s="1013"/>
      <c r="AD4" s="1013"/>
      <c r="AE4" s="1013"/>
      <c r="AF4" s="1013"/>
      <c r="AG4" s="1046" t="s">
        <v>31</v>
      </c>
      <c r="AH4" s="1013"/>
      <c r="AI4" s="1013"/>
      <c r="AJ4" s="1034"/>
      <c r="AK4" s="1079" t="s">
        <v>32</v>
      </c>
      <c r="AL4" s="1080"/>
      <c r="AM4" s="1080"/>
      <c r="AN4" s="1080"/>
      <c r="AO4" s="1080"/>
      <c r="AP4" s="1080"/>
      <c r="AQ4" s="1081"/>
      <c r="AS4" s="467">
        <v>125</v>
      </c>
      <c r="AT4" s="464" t="s">
        <v>46</v>
      </c>
      <c r="AV4" s="1050"/>
      <c r="AW4" s="1110" t="s">
        <v>112</v>
      </c>
      <c r="AX4" s="1092"/>
      <c r="AY4" s="882"/>
      <c r="AZ4" s="1096"/>
      <c r="BA4" s="1097"/>
      <c r="BB4" s="1101" t="s">
        <v>113</v>
      </c>
      <c r="BC4" s="995" t="str">
        <f>$Q$4</f>
        <v>Polar XY; Cartesian Z</v>
      </c>
      <c r="BD4" s="995"/>
      <c r="BE4" s="1104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087" t="s">
        <v>193</v>
      </c>
      <c r="CP4" s="1088"/>
      <c r="CQ4" s="1088"/>
      <c r="CR4" s="1088"/>
      <c r="CS4" s="1088"/>
      <c r="CT4" s="1088"/>
      <c r="CU4" s="1088"/>
      <c r="CV4" s="1088"/>
      <c r="CW4" s="1088"/>
      <c r="CX4" s="1088"/>
      <c r="CY4" s="1088"/>
      <c r="CZ4" s="1088"/>
      <c r="DA4" s="1089"/>
      <c r="DB4" s="1215" t="s">
        <v>162</v>
      </c>
      <c r="DC4" s="1216"/>
      <c r="DD4" s="1216"/>
      <c r="DE4" s="1216"/>
      <c r="DF4" s="1216"/>
      <c r="DG4" s="1216"/>
      <c r="DH4" s="1216"/>
      <c r="DI4" s="1216"/>
      <c r="DJ4" s="1216"/>
      <c r="DK4" s="1216"/>
      <c r="DL4" s="1216"/>
      <c r="DM4" s="1216"/>
      <c r="DN4" s="1216"/>
      <c r="DO4" s="1216"/>
      <c r="DP4" s="1216"/>
      <c r="DQ4" s="1216"/>
      <c r="DR4" s="1216"/>
      <c r="DS4" s="1216"/>
      <c r="DT4" s="1216"/>
      <c r="DU4" s="1216"/>
      <c r="DV4" s="1216"/>
      <c r="DW4" s="1216"/>
      <c r="DX4" s="1216"/>
      <c r="DY4" s="1216"/>
      <c r="DZ4" s="1216"/>
      <c r="EA4" s="1216"/>
      <c r="EB4" s="1216"/>
      <c r="EC4" s="1216"/>
      <c r="ED4" s="1216"/>
      <c r="EE4" s="1216"/>
      <c r="EF4" s="1216"/>
      <c r="EG4" s="1216"/>
      <c r="EH4" s="1216"/>
      <c r="EI4" s="1216"/>
      <c r="EJ4" s="1216"/>
      <c r="EK4" s="1216"/>
      <c r="EL4" s="1216"/>
      <c r="EM4" s="1216"/>
      <c r="EN4" s="1216"/>
      <c r="EO4" s="1216"/>
      <c r="EP4" s="1216"/>
      <c r="EQ4" s="1216"/>
      <c r="ER4" s="1217"/>
      <c r="ES4" s="1143" t="s">
        <v>196</v>
      </c>
      <c r="ET4" s="1144"/>
      <c r="EU4" s="1144"/>
      <c r="EV4" s="1144"/>
      <c r="EW4" s="1144"/>
      <c r="EX4" s="1144"/>
      <c r="EY4" s="1145"/>
      <c r="EZ4" s="1149" t="s">
        <v>201</v>
      </c>
      <c r="FA4" s="1150"/>
      <c r="FB4" s="1150"/>
      <c r="FC4" s="1150"/>
      <c r="FD4" s="1150"/>
      <c r="FE4" s="1150"/>
      <c r="FF4" s="1151"/>
      <c r="FG4" s="343"/>
      <c r="FP4" s="1183" t="s">
        <v>229</v>
      </c>
      <c r="FZ4" s="118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0" t="s">
        <v>236</v>
      </c>
      <c r="GK4" s="901"/>
      <c r="GL4" s="901"/>
      <c r="GM4" s="901"/>
      <c r="GN4" s="1175"/>
      <c r="GO4" s="1244" t="s">
        <v>229</v>
      </c>
      <c r="GP4" s="1248" t="s">
        <v>228</v>
      </c>
      <c r="GR4" s="1191" t="s">
        <v>261</v>
      </c>
      <c r="GS4" s="971" t="s">
        <v>259</v>
      </c>
      <c r="GT4" s="891"/>
      <c r="GU4" s="891"/>
      <c r="GV4" s="891"/>
      <c r="GW4" s="891"/>
      <c r="GX4" s="891"/>
      <c r="GY4" s="891"/>
      <c r="GZ4" s="891"/>
      <c r="HA4" s="1169" t="str">
        <f>IFERROR(CONCATENATE("Lateral Forces = ",ROUND(HE3,0)," lbs @ ",ROUND(HF3,1),"° Relative to Blade 1"),"")</f>
        <v/>
      </c>
      <c r="HB4" s="1170"/>
      <c r="HC4" s="1170"/>
      <c r="HD4" s="1170"/>
      <c r="HE4" s="1170"/>
      <c r="HF4" s="1170"/>
      <c r="HG4" s="1170"/>
      <c r="HH4" s="1171"/>
      <c r="HI4" s="1178" t="s">
        <v>0</v>
      </c>
      <c r="HO4" s="1207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7" t="s">
        <v>381</v>
      </c>
      <c r="IF4" s="897"/>
      <c r="IG4" s="767" cm="1">
        <f t="array" ref="IG4">MAX(MOD(IF($IG$9:$IG$150="",0,($IG$9:$IG$150*1000)),100))</f>
        <v>41</v>
      </c>
      <c r="IL4" s="31"/>
      <c r="IM4" s="767"/>
    </row>
    <row r="5" spans="1:283" ht="15" customHeight="1" x14ac:dyDescent="0.25">
      <c r="B5" s="997" t="str">
        <f>CONCATENATE(B7," ; ",E7," ; ",H7)</f>
        <v>Absolute-Point ; Incremental-Vector Point ; Pocket Info.</v>
      </c>
      <c r="C5" s="998"/>
      <c r="D5" s="998"/>
      <c r="E5" s="998"/>
      <c r="F5" s="998"/>
      <c r="G5" s="998"/>
      <c r="H5" s="998"/>
      <c r="I5" s="998"/>
      <c r="J5" s="998"/>
      <c r="K5" s="999"/>
      <c r="L5" s="843"/>
      <c r="M5" s="1006"/>
      <c r="N5" s="1039" t="s">
        <v>5</v>
      </c>
      <c r="O5" s="977"/>
      <c r="P5" s="977"/>
      <c r="Q5" s="976" t="s">
        <v>6</v>
      </c>
      <c r="R5" s="977"/>
      <c r="S5" s="978"/>
      <c r="T5" s="1044" t="str">
        <f>CONCATENATE("Relative to ",M8,"'s θ about Z Axis")</f>
        <v>Relative to 1.111's θ about Z Axis</v>
      </c>
      <c r="U5" s="1020"/>
      <c r="V5" s="1071"/>
      <c r="W5" s="1020" t="str">
        <f>CONCATENATE("Relative to ",M8,"'s θ about Z Axis")</f>
        <v>Relative to 1.111's θ about Z Axis</v>
      </c>
      <c r="X5" s="1020"/>
      <c r="Y5" s="1030"/>
      <c r="Z5" s="1019" t="str">
        <f>N5</f>
        <v>Relative to World_CS</v>
      </c>
      <c r="AA5" s="1020"/>
      <c r="AB5" s="1020"/>
      <c r="AC5" s="1020"/>
      <c r="AD5" s="1020"/>
      <c r="AE5" s="1020"/>
      <c r="AF5" s="1020"/>
      <c r="AG5" s="1044" t="str">
        <f>N5</f>
        <v>Relative to World_CS</v>
      </c>
      <c r="AH5" s="1020"/>
      <c r="AI5" s="1020"/>
      <c r="AJ5" s="1045"/>
      <c r="AK5" s="1082" t="s">
        <v>7</v>
      </c>
      <c r="AL5" s="977"/>
      <c r="AM5" s="977"/>
      <c r="AN5" s="977"/>
      <c r="AO5" s="977"/>
      <c r="AP5" s="977"/>
      <c r="AQ5" s="978"/>
      <c r="AS5" s="171">
        <f>(((AS4*12)/60)/AS3)</f>
        <v>0.25</v>
      </c>
      <c r="AT5" s="464" t="s">
        <v>47</v>
      </c>
      <c r="AV5" s="1050"/>
      <c r="AW5" s="1111"/>
      <c r="AX5" s="1112"/>
      <c r="AY5" s="1113"/>
      <c r="AZ5" s="1098"/>
      <c r="BA5" s="872"/>
      <c r="BB5" s="1102"/>
      <c r="BC5" s="1107" t="str">
        <f>$W$5</f>
        <v>Relative to 1.111's θ about Z Axis</v>
      </c>
      <c r="BD5" s="1020"/>
      <c r="BE5" s="1045"/>
      <c r="BF5" s="971" t="s">
        <v>128</v>
      </c>
      <c r="BG5" s="891"/>
      <c r="BH5" s="891"/>
      <c r="BI5" s="891"/>
      <c r="BJ5" s="891"/>
      <c r="BK5" s="891"/>
      <c r="BL5" s="891"/>
      <c r="BM5" s="891"/>
      <c r="BN5" s="891"/>
      <c r="BO5" s="891"/>
      <c r="BP5" s="891"/>
      <c r="BQ5" s="891"/>
      <c r="BR5" s="913"/>
      <c r="BS5" s="971" t="s">
        <v>130</v>
      </c>
      <c r="BT5" s="891"/>
      <c r="BU5" s="891"/>
      <c r="BV5" s="891"/>
      <c r="BW5" s="891"/>
      <c r="BX5" s="891"/>
      <c r="BY5" s="891"/>
      <c r="BZ5" s="891"/>
      <c r="CA5" s="891"/>
      <c r="CB5" s="891"/>
      <c r="CC5" s="891"/>
      <c r="CD5" s="891"/>
      <c r="CE5" s="913"/>
      <c r="CF5" s="971" t="s">
        <v>138</v>
      </c>
      <c r="CG5" s="891"/>
      <c r="CH5" s="913"/>
      <c r="CI5" s="971" t="s">
        <v>139</v>
      </c>
      <c r="CJ5" s="891"/>
      <c r="CK5" s="891"/>
      <c r="CL5" s="891"/>
      <c r="CM5" s="891"/>
      <c r="CN5" s="913"/>
      <c r="CO5" s="1090" t="s">
        <v>275</v>
      </c>
      <c r="CP5" s="1090" t="s">
        <v>149</v>
      </c>
      <c r="CQ5" s="1092"/>
      <c r="CR5" s="1092"/>
      <c r="CS5" s="972"/>
      <c r="CT5" s="1092" t="s">
        <v>150</v>
      </c>
      <c r="CU5" s="882"/>
      <c r="CV5" s="971" t="s">
        <v>161</v>
      </c>
      <c r="CW5" s="891"/>
      <c r="CX5" s="891"/>
      <c r="CY5" s="891"/>
      <c r="CZ5" s="891"/>
      <c r="DA5" s="913"/>
      <c r="DB5" s="971" t="s">
        <v>163</v>
      </c>
      <c r="DC5" s="891"/>
      <c r="DD5" s="891"/>
      <c r="DE5" s="891"/>
      <c r="DF5" s="891"/>
      <c r="DG5" s="891"/>
      <c r="DH5" s="913"/>
      <c r="DI5" s="1131" t="s">
        <v>173</v>
      </c>
      <c r="DJ5" s="1131"/>
      <c r="DK5" s="1132"/>
      <c r="DL5" s="1196" t="s">
        <v>174</v>
      </c>
      <c r="DM5" s="1131"/>
      <c r="DN5" s="1197"/>
      <c r="DO5" s="1135" t="s">
        <v>175</v>
      </c>
      <c r="DP5" s="1136"/>
      <c r="DQ5" s="1136"/>
      <c r="DR5" s="1072" t="s">
        <v>187</v>
      </c>
      <c r="DS5" s="1072"/>
      <c r="DT5" s="1072"/>
      <c r="DU5" s="1072"/>
      <c r="DV5" s="1072"/>
      <c r="DW5" s="1072"/>
      <c r="DX5" s="1090" t="s">
        <v>190</v>
      </c>
      <c r="DY5" s="933" t="s">
        <v>149</v>
      </c>
      <c r="DZ5" s="1072"/>
      <c r="EA5" s="1072"/>
      <c r="EB5" s="1072"/>
      <c r="EC5" s="1072" t="s">
        <v>150</v>
      </c>
      <c r="ED5" s="1072"/>
      <c r="EE5" s="1191" t="s">
        <v>194</v>
      </c>
      <c r="EF5" s="1191"/>
      <c r="EG5" s="1192"/>
      <c r="EH5" s="1200" t="s">
        <v>195</v>
      </c>
      <c r="EI5" s="1201"/>
      <c r="EJ5" s="1202"/>
      <c r="EK5" s="1072" t="s">
        <v>188</v>
      </c>
      <c r="EL5" s="1090"/>
      <c r="EM5" s="971" t="s">
        <v>189</v>
      </c>
      <c r="EN5" s="891"/>
      <c r="EO5" s="891"/>
      <c r="EP5" s="891"/>
      <c r="EQ5" s="891"/>
      <c r="ER5" s="1123"/>
      <c r="ES5" s="1110" t="s">
        <v>202</v>
      </c>
      <c r="ET5" s="1092"/>
      <c r="EU5" s="972"/>
      <c r="EV5" s="1146" t="s">
        <v>222</v>
      </c>
      <c r="EW5" s="1147"/>
      <c r="EX5" s="1147"/>
      <c r="EY5" s="1148"/>
      <c r="EZ5" s="1225" t="s">
        <v>200</v>
      </c>
      <c r="FA5" s="967" t="s">
        <v>202</v>
      </c>
      <c r="FB5" s="1158"/>
      <c r="FC5" s="968"/>
      <c r="FD5" s="1188" t="s">
        <v>222</v>
      </c>
      <c r="FE5" s="1189"/>
      <c r="FF5" s="1190"/>
      <c r="FP5" s="1207"/>
      <c r="FQ5" s="31"/>
      <c r="FR5" s="31"/>
      <c r="FS5" s="31"/>
      <c r="FT5" s="31"/>
      <c r="FZ5" s="1207"/>
      <c r="GJ5" s="1241" t="s">
        <v>269</v>
      </c>
      <c r="GK5" s="1209" t="s">
        <v>267</v>
      </c>
      <c r="GL5" s="1211" t="s">
        <v>110</v>
      </c>
      <c r="GM5" s="1211" t="s">
        <v>111</v>
      </c>
      <c r="GN5" s="1212"/>
      <c r="GO5" s="1245"/>
      <c r="GP5" s="1249"/>
      <c r="GQ5" s="31"/>
      <c r="GR5" s="990"/>
      <c r="GS5" s="1098" t="s">
        <v>248</v>
      </c>
      <c r="GT5" s="1258"/>
      <c r="GU5" s="1254" t="s">
        <v>249</v>
      </c>
      <c r="GV5" s="1255"/>
      <c r="GW5" s="1256"/>
      <c r="GX5" s="1257"/>
      <c r="GY5" s="1243" t="s">
        <v>107</v>
      </c>
      <c r="GZ5" s="874"/>
      <c r="HA5" s="1166" t="s">
        <v>248</v>
      </c>
      <c r="HB5" s="1167"/>
      <c r="HC5" s="1167"/>
      <c r="HD5" s="1168"/>
      <c r="HE5" s="1185" t="s">
        <v>249</v>
      </c>
      <c r="HF5" s="1167"/>
      <c r="HG5" s="1167"/>
      <c r="HH5" s="1186"/>
      <c r="HI5" s="1179"/>
      <c r="HN5" s="386" t="s">
        <v>263</v>
      </c>
      <c r="HO5" s="58" t="s">
        <v>264</v>
      </c>
      <c r="HS5" s="1172" t="s">
        <v>274</v>
      </c>
      <c r="HZ5" s="383"/>
    </row>
    <row r="6" spans="1:283" ht="15" customHeight="1" thickBot="1" x14ac:dyDescent="0.4">
      <c r="B6" s="1000"/>
      <c r="C6" s="1001"/>
      <c r="D6" s="1001"/>
      <c r="E6" s="1001"/>
      <c r="F6" s="1001"/>
      <c r="G6" s="1001"/>
      <c r="H6" s="1001"/>
      <c r="I6" s="1001"/>
      <c r="J6" s="1001"/>
      <c r="K6" s="1002"/>
      <c r="L6" s="990" t="str" cm="1">
        <f t="array" ref="L6">IF(OR($K$9:$K$150="Inactive"),"Inactive Element","")</f>
        <v>Inactive Element</v>
      </c>
      <c r="M6" s="1006"/>
      <c r="N6" s="1035" t="s">
        <v>8</v>
      </c>
      <c r="O6" s="1037" t="s">
        <v>9</v>
      </c>
      <c r="P6" s="974" t="s">
        <v>10</v>
      </c>
      <c r="Q6" s="1040" t="s">
        <v>11</v>
      </c>
      <c r="R6" s="1041"/>
      <c r="S6" s="1031" t="s">
        <v>10</v>
      </c>
      <c r="T6" s="1067" t="str">
        <f>N6</f>
        <v>X</v>
      </c>
      <c r="U6" s="1069" t="str">
        <f>O6</f>
        <v>Y</v>
      </c>
      <c r="V6" s="1026" t="str">
        <f>P6</f>
        <v>Z</v>
      </c>
      <c r="W6" s="1016" t="str">
        <f>$Q$6</f>
        <v>Projected XY</v>
      </c>
      <c r="X6" s="1017"/>
      <c r="Y6" s="1065" t="str">
        <f>$S$6</f>
        <v>Z</v>
      </c>
      <c r="Z6" s="1047" t="s">
        <v>12</v>
      </c>
      <c r="AA6" s="1007"/>
      <c r="AB6" s="1007"/>
      <c r="AC6" s="1048"/>
      <c r="AD6" s="1012" t="s">
        <v>13</v>
      </c>
      <c r="AE6" s="1013"/>
      <c r="AF6" s="1013"/>
      <c r="AG6" s="1046" t="s">
        <v>7</v>
      </c>
      <c r="AH6" s="1013"/>
      <c r="AI6" s="1012" t="s">
        <v>14</v>
      </c>
      <c r="AJ6" s="1034"/>
      <c r="AK6" s="1074" t="str">
        <f>AD6</f>
        <v>Unit Vector</v>
      </c>
      <c r="AL6" s="1075"/>
      <c r="AM6" s="1076"/>
      <c r="AN6" s="34" t="s">
        <v>15</v>
      </c>
      <c r="AO6" s="35" t="s">
        <v>16</v>
      </c>
      <c r="AP6" s="737" t="s">
        <v>17</v>
      </c>
      <c r="AQ6" s="1057" t="s">
        <v>108</v>
      </c>
      <c r="AS6" s="172">
        <f>(AS5/360)</f>
        <v>6.9444444444444447E-4</v>
      </c>
      <c r="AT6" s="465" t="s">
        <v>48</v>
      </c>
      <c r="AV6" s="1050"/>
      <c r="AW6" s="1042" t="s">
        <v>105</v>
      </c>
      <c r="AX6" s="1043"/>
      <c r="AY6" s="195" t="s">
        <v>110</v>
      </c>
      <c r="AZ6" s="1108" t="s">
        <v>111</v>
      </c>
      <c r="BA6" s="1109"/>
      <c r="BB6" s="1103"/>
      <c r="BC6" s="1016" t="str">
        <f>$Q$6</f>
        <v>Projected XY</v>
      </c>
      <c r="BD6" s="1017"/>
      <c r="BE6" s="1105" t="str">
        <f>$S$6</f>
        <v>Z</v>
      </c>
      <c r="BF6" s="917" t="s">
        <v>125</v>
      </c>
      <c r="BG6" s="915"/>
      <c r="BH6" s="1122"/>
      <c r="BI6" s="895" t="s">
        <v>126</v>
      </c>
      <c r="BJ6" s="915"/>
      <c r="BK6" s="896"/>
      <c r="BL6" s="918" t="s">
        <v>127</v>
      </c>
      <c r="BM6" s="915"/>
      <c r="BN6" s="919"/>
      <c r="BO6" s="917" t="s">
        <v>135</v>
      </c>
      <c r="BP6" s="915"/>
      <c r="BQ6" s="915"/>
      <c r="BR6" s="919"/>
      <c r="BS6" s="917" t="s">
        <v>125</v>
      </c>
      <c r="BT6" s="915"/>
      <c r="BU6" s="1122"/>
      <c r="BV6" s="895" t="s">
        <v>126</v>
      </c>
      <c r="BW6" s="915"/>
      <c r="BX6" s="896"/>
      <c r="BY6" s="918" t="s">
        <v>127</v>
      </c>
      <c r="BZ6" s="915"/>
      <c r="CA6" s="919"/>
      <c r="CB6" s="917" t="s">
        <v>135</v>
      </c>
      <c r="CC6" s="915"/>
      <c r="CD6" s="915"/>
      <c r="CE6" s="919"/>
      <c r="CF6" s="923" t="s">
        <v>136</v>
      </c>
      <c r="CG6" s="1095"/>
      <c r="CH6" s="1095"/>
      <c r="CI6" s="1126" t="s">
        <v>137</v>
      </c>
      <c r="CJ6" s="1095"/>
      <c r="CK6" s="924"/>
      <c r="CL6" s="1124" t="s">
        <v>140</v>
      </c>
      <c r="CM6" s="1095"/>
      <c r="CN6" s="1125"/>
      <c r="CO6" s="1091"/>
      <c r="CP6" s="1091"/>
      <c r="CQ6" s="987"/>
      <c r="CR6" s="987"/>
      <c r="CS6" s="1093"/>
      <c r="CT6" s="987"/>
      <c r="CU6" s="1094"/>
      <c r="CV6" s="1033" t="s">
        <v>147</v>
      </c>
      <c r="CW6" s="915"/>
      <c r="CX6" s="896"/>
      <c r="CY6" s="1114" t="s">
        <v>148</v>
      </c>
      <c r="CZ6" s="1115"/>
      <c r="DA6" s="1116"/>
      <c r="DB6" s="1127" t="s">
        <v>176</v>
      </c>
      <c r="DC6" s="1128"/>
      <c r="DD6" s="1129"/>
      <c r="DE6" s="1130" t="s">
        <v>177</v>
      </c>
      <c r="DF6" s="1128"/>
      <c r="DG6" s="1129"/>
      <c r="DH6" s="253" t="s">
        <v>29</v>
      </c>
      <c r="DI6" s="1133"/>
      <c r="DJ6" s="1133"/>
      <c r="DK6" s="1134"/>
      <c r="DL6" s="1198"/>
      <c r="DM6" s="1133"/>
      <c r="DN6" s="1199"/>
      <c r="DO6" s="1137"/>
      <c r="DP6" s="1138"/>
      <c r="DQ6" s="1138"/>
      <c r="DR6" s="1073"/>
      <c r="DS6" s="1073"/>
      <c r="DT6" s="1073"/>
      <c r="DU6" s="1073"/>
      <c r="DV6" s="1073"/>
      <c r="DW6" s="1073"/>
      <c r="DX6" s="1091"/>
      <c r="DY6" s="1139"/>
      <c r="DZ6" s="1073"/>
      <c r="EA6" s="1073"/>
      <c r="EB6" s="1073"/>
      <c r="EC6" s="1073"/>
      <c r="ED6" s="1073"/>
      <c r="EE6" s="1193"/>
      <c r="EF6" s="1193"/>
      <c r="EG6" s="1194"/>
      <c r="EH6" s="1203"/>
      <c r="EI6" s="1204"/>
      <c r="EJ6" s="1205"/>
      <c r="EK6" s="1073"/>
      <c r="EL6" s="1091"/>
      <c r="EM6" s="1153" t="s">
        <v>199</v>
      </c>
      <c r="EN6" s="1141"/>
      <c r="EO6" s="1195"/>
      <c r="EP6" s="1140" t="s">
        <v>198</v>
      </c>
      <c r="EQ6" s="1141"/>
      <c r="ER6" s="1142"/>
      <c r="ES6" s="986"/>
      <c r="ET6" s="987"/>
      <c r="EU6" s="1093"/>
      <c r="EV6" s="274" t="s">
        <v>221</v>
      </c>
      <c r="EW6" s="1140" t="s">
        <v>202</v>
      </c>
      <c r="EX6" s="1141"/>
      <c r="EY6" s="1152"/>
      <c r="EZ6" s="1226"/>
      <c r="FA6" s="1159"/>
      <c r="FB6" s="1160"/>
      <c r="FC6" s="1161"/>
      <c r="FD6" s="1153" t="s">
        <v>202</v>
      </c>
      <c r="FE6" s="1141"/>
      <c r="FF6" s="1142"/>
      <c r="FG6" s="1155" t="s">
        <v>224</v>
      </c>
      <c r="FH6" s="1156"/>
      <c r="FI6" s="1157"/>
      <c r="FJ6" s="1072" t="s">
        <v>203</v>
      </c>
      <c r="FK6" s="1090" t="s">
        <v>214</v>
      </c>
      <c r="FL6" s="1092"/>
      <c r="FM6" s="972"/>
      <c r="FN6" s="1117" t="s">
        <v>204</v>
      </c>
      <c r="FO6" s="1228" t="s">
        <v>227</v>
      </c>
      <c r="FP6" s="122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0" t="s">
        <v>218</v>
      </c>
      <c r="FV6" s="1092"/>
      <c r="FW6" s="972"/>
      <c r="FX6" s="1117" t="s">
        <v>219</v>
      </c>
      <c r="FY6" s="1228" t="s">
        <v>227</v>
      </c>
      <c r="FZ6" s="1221" t="s">
        <v>225</v>
      </c>
      <c r="GA6" s="1223" t="s">
        <v>239</v>
      </c>
      <c r="GB6" s="336" t="s">
        <v>207</v>
      </c>
      <c r="GC6" s="337" t="s">
        <v>240</v>
      </c>
      <c r="GD6" s="338" t="s">
        <v>226</v>
      </c>
      <c r="GE6" s="1239"/>
      <c r="GF6" s="1192" t="s">
        <v>260</v>
      </c>
      <c r="GG6" s="336" t="s">
        <v>207</v>
      </c>
      <c r="GH6" s="337" t="s">
        <v>240</v>
      </c>
      <c r="GI6" s="338" t="s">
        <v>226</v>
      </c>
      <c r="GJ6" s="1242"/>
      <c r="GK6" s="1210"/>
      <c r="GL6" s="1213"/>
      <c r="GM6" s="1213"/>
      <c r="GN6" s="1214"/>
      <c r="GO6" s="1246" t="s">
        <v>238</v>
      </c>
      <c r="GP6" s="1250" t="s">
        <v>225</v>
      </c>
      <c r="GQ6" s="1092" t="s">
        <v>203</v>
      </c>
      <c r="GR6" s="990"/>
      <c r="GS6" s="1176" t="s">
        <v>252</v>
      </c>
      <c r="GT6" s="1177"/>
      <c r="GU6" s="1162" t="s">
        <v>251</v>
      </c>
      <c r="GV6" s="1115"/>
      <c r="GW6" s="1115"/>
      <c r="GX6" s="361" t="s">
        <v>106</v>
      </c>
      <c r="GY6" s="895" t="s">
        <v>250</v>
      </c>
      <c r="GZ6" s="1122"/>
      <c r="HA6" s="1230" t="s">
        <v>252</v>
      </c>
      <c r="HB6" s="1128"/>
      <c r="HC6" s="1128"/>
      <c r="HD6" s="1129"/>
      <c r="HE6" s="895" t="s">
        <v>251</v>
      </c>
      <c r="HF6" s="915"/>
      <c r="HG6" s="915"/>
      <c r="HH6" s="919"/>
      <c r="HI6" s="1179"/>
      <c r="HN6" s="954" t="s">
        <v>238</v>
      </c>
      <c r="HO6" s="957" t="s">
        <v>265</v>
      </c>
      <c r="HP6" s="933" t="s">
        <v>203</v>
      </c>
      <c r="HQ6" s="391"/>
      <c r="HS6" s="1173"/>
      <c r="HT6" s="888" t="s">
        <v>270</v>
      </c>
      <c r="HU6" s="901"/>
      <c r="HV6" s="1175"/>
      <c r="HW6" s="971" t="s">
        <v>258</v>
      </c>
      <c r="HX6" s="891"/>
      <c r="HY6" s="913"/>
      <c r="HZ6" s="971" t="s">
        <v>249</v>
      </c>
      <c r="IA6" s="888"/>
      <c r="IE6" s="853"/>
      <c r="IF6" s="853"/>
    </row>
    <row r="7" spans="1:283" ht="15" customHeight="1" thickBot="1" x14ac:dyDescent="0.4">
      <c r="A7" s="143"/>
      <c r="B7" s="1021" t="s">
        <v>40</v>
      </c>
      <c r="C7" s="1022"/>
      <c r="D7" s="1023"/>
      <c r="E7" s="1024" t="s">
        <v>41</v>
      </c>
      <c r="F7" s="1022"/>
      <c r="G7" s="1025"/>
      <c r="H7" s="992" t="s">
        <v>98</v>
      </c>
      <c r="I7" s="993"/>
      <c r="J7" s="994"/>
      <c r="K7" s="173"/>
      <c r="L7" s="990"/>
      <c r="M7" s="1015"/>
      <c r="N7" s="1036"/>
      <c r="O7" s="1038"/>
      <c r="P7" s="975"/>
      <c r="Q7" s="36" t="s">
        <v>18</v>
      </c>
      <c r="R7" s="2" t="s">
        <v>19</v>
      </c>
      <c r="S7" s="1032"/>
      <c r="T7" s="1068"/>
      <c r="U7" s="1070"/>
      <c r="V7" s="1027"/>
      <c r="W7" s="37" t="str">
        <f>$Q$7</f>
        <v>&lt; θ°</v>
      </c>
      <c r="X7" s="27" t="str">
        <f>$R$7</f>
        <v>r</v>
      </c>
      <c r="Y7" s="1066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8"/>
      <c r="AS7" s="1063" t="s">
        <v>54</v>
      </c>
      <c r="AT7" s="1061" t="s">
        <v>53</v>
      </c>
      <c r="AV7" s="105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3"/>
      <c r="BC7" s="37" t="str">
        <f>$Q$7</f>
        <v>&lt; θ°</v>
      </c>
      <c r="BD7" s="27" t="str">
        <f>$R$7</f>
        <v>r</v>
      </c>
      <c r="BE7" s="1106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27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54"/>
      <c r="FK7" s="350" t="s">
        <v>211</v>
      </c>
      <c r="FL7" s="351" t="s">
        <v>212</v>
      </c>
      <c r="FM7" s="352" t="s">
        <v>213</v>
      </c>
      <c r="FN7" s="1118"/>
      <c r="FO7" s="1229"/>
      <c r="FP7" s="122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8"/>
      <c r="FY7" s="1229"/>
      <c r="FZ7" s="1222"/>
      <c r="GA7" s="1224"/>
      <c r="GB7" s="223" t="s">
        <v>232</v>
      </c>
      <c r="GC7" s="131" t="s">
        <v>233</v>
      </c>
      <c r="GD7" s="224" t="s">
        <v>234</v>
      </c>
      <c r="GE7" s="1240"/>
      <c r="GF7" s="1208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7"/>
      <c r="GP7" s="1251"/>
      <c r="GQ7" s="1252"/>
      <c r="GR7" s="125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80"/>
      <c r="HJ7" s="31"/>
      <c r="HK7" s="1183" t="s">
        <v>246</v>
      </c>
      <c r="HL7" s="1183" t="s">
        <v>237</v>
      </c>
      <c r="HM7" s="881" t="s">
        <v>245</v>
      </c>
      <c r="HN7" s="955"/>
      <c r="HO7" s="1187"/>
      <c r="HP7" s="1181"/>
      <c r="HQ7" s="392"/>
      <c r="HR7" s="412"/>
      <c r="HS7" s="117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1" t="s">
        <v>33</v>
      </c>
      <c r="IH7" s="1231" t="s">
        <v>385</v>
      </c>
      <c r="II7" s="917" t="s">
        <v>333</v>
      </c>
      <c r="IJ7" s="918"/>
      <c r="IK7" s="918"/>
      <c r="IL7" s="915"/>
      <c r="IM7" s="915"/>
      <c r="IN7" s="915"/>
      <c r="IO7" s="896"/>
      <c r="IP7" s="895" t="s">
        <v>329</v>
      </c>
      <c r="IQ7" s="915"/>
      <c r="IR7" s="915"/>
      <c r="IS7" s="915"/>
      <c r="IT7" s="915"/>
      <c r="IU7" s="895" t="s">
        <v>328</v>
      </c>
      <c r="IV7" s="915"/>
      <c r="IW7" s="915"/>
      <c r="IX7" s="915"/>
      <c r="IY7" s="896"/>
      <c r="JA7" s="784"/>
      <c r="JB7" s="979" t="s">
        <v>364</v>
      </c>
      <c r="JC7" s="979"/>
      <c r="JD7" s="979"/>
      <c r="JE7" s="98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0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89.776700032240555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-5.7600173722123692E-2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4"/>
      <c r="AT8" s="1062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4"/>
      <c r="HL8" s="1184"/>
      <c r="HM8" s="966"/>
      <c r="HN8" s="956"/>
      <c r="HO8" s="958"/>
      <c r="HP8" s="1182"/>
      <c r="HQ8" s="393" t="s">
        <v>49</v>
      </c>
      <c r="HR8" s="413" t="s">
        <v>51</v>
      </c>
      <c r="HS8" s="117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0.34350103599912457</v>
      </c>
      <c r="D9" s="704">
        <v>-0.23160069850770673</v>
      </c>
      <c r="E9" s="705">
        <v>-0.86602544158358563</v>
      </c>
      <c r="F9" s="703">
        <v>-4.3577859391853817E-2</v>
      </c>
      <c r="G9" s="706">
        <v>0.49809728437402601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0.34350103599912457</v>
      </c>
      <c r="P9" s="625">
        <f t="shared" ref="P9:P40" si="4">IF(M9="","",D9)</f>
        <v>-0.23160069850770673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0.34350103599912457</v>
      </c>
      <c r="S9" s="626">
        <f>IF(M9="","",P9)</f>
        <v>-0.23160069850770673</v>
      </c>
      <c r="T9" s="627">
        <f>IF(M9="","",X9*COS(RADIANS(W9)))</f>
        <v>0.34349842726654622</v>
      </c>
      <c r="U9" s="624">
        <f>IF(M9="","",X9*SIN(RADIANS(W9)))</f>
        <v>1.3387299507757792E-3</v>
      </c>
      <c r="V9" s="628">
        <f>IF(M9="","",Y9)</f>
        <v>-0.23160069850770673</v>
      </c>
      <c r="W9" s="583">
        <f t="shared" ref="W9:W14" si="5">IF(M9="","",IF(Q9-$Q$8&lt;0,360+Q9-$Q$8,Q9-$Q$8))</f>
        <v>0.22329996775944494</v>
      </c>
      <c r="X9" s="629">
        <f>IF(M9="","",R9)</f>
        <v>0.34350103599912457</v>
      </c>
      <c r="Y9" s="630">
        <f>IF(M9="","",S9)</f>
        <v>-0.23160069850770673</v>
      </c>
      <c r="Z9" s="623">
        <f t="shared" ref="Z9:Z40" si="6">IF(M9="","",-E9)</f>
        <v>0.86602544158358563</v>
      </c>
      <c r="AA9" s="624">
        <f t="shared" ref="AA9:AA40" si="7">IF(M9="","",-F9)</f>
        <v>4.3577859391853817E-2</v>
      </c>
      <c r="AB9" s="624">
        <f t="shared" ref="AB9:AB40" si="8">IF(M9="","",-G9)</f>
        <v>-0.49809728437402601</v>
      </c>
      <c r="AC9" s="628">
        <f>IF(M9="","",SQRT(Z9^2+AA9^2+AB9^2))</f>
        <v>1</v>
      </c>
      <c r="AD9" s="631">
        <f>IF(M9="","",Z9*(1/SQRT(Z9^2+AA9^2+AB9^2)))</f>
        <v>0.86602544158358563</v>
      </c>
      <c r="AE9" s="624">
        <f>IF(M9="","",AA9*(1/SQRT(Z9^2+AA9^2+AB9^2)))</f>
        <v>4.3577859391853817E-2</v>
      </c>
      <c r="AF9" s="625">
        <f>IF(M9="","",AB9*(1/SQRT(Z9^2+AA9^2+AB9^2)))</f>
        <v>-0.49809728437402601</v>
      </c>
      <c r="AG9" s="599">
        <f>IF(M9="","",DEGREES(ATAN2(-AF9,AE9)))</f>
        <v>4.9999992780894251</v>
      </c>
      <c r="AH9" s="600">
        <f>IF(M9="","",DEGREES(ACOS(AD9)))</f>
        <v>29.999995668536535</v>
      </c>
      <c r="AI9" s="583">
        <f>IF(M9="","",DEGREES(-ACOS(-AF9)))</f>
        <v>-60.125803014995498</v>
      </c>
      <c r="AJ9" s="601">
        <f>IF(M9="","",DEGREES(ATAN2(-AE9,AD9)))</f>
        <v>92.880658170166853</v>
      </c>
      <c r="AK9" s="627">
        <f>IF(M9="","",(COS(RADIANS((90-$Q$8)-W9))*AD9)+(-SIN(RADIANS((90-$Q$8)-W9))*AE9))</f>
        <v>0.86602544158358563</v>
      </c>
      <c r="AL9" s="624">
        <f>IF(M9="","",(SIN(RADIANS((90-$Q$8)-W9))*AD9)+(COS(RADIANS((90-$Q$8)-W9))*AE9))</f>
        <v>4.3577859391853817E-2</v>
      </c>
      <c r="AM9" s="626">
        <f>IF(M9="","",AF9)</f>
        <v>-0.49809728437402601</v>
      </c>
      <c r="AN9" s="581">
        <f>IF(M9="","",DEGREES(ATAN2(-AM9,AL9)))</f>
        <v>4.9999992780894251</v>
      </c>
      <c r="AO9" s="582">
        <f>IF(ROUND(IF(M9="",0,DEGREES(ACOS(AK9))),4)=90,0,IF(M9="","",DEGREES(ACOS(AK9))))</f>
        <v>29.999995668536535</v>
      </c>
      <c r="AP9" s="781">
        <f>IF(M9="","",DEGREES(ATAN2(AK9,AL9)))</f>
        <v>2.8806581701668605</v>
      </c>
      <c r="AQ9" s="584">
        <f t="shared" ref="AQ9:AQ40" si="9">IF(M9="","",DEGREES(ATAN(($AS$5*SIN(RADIANS(90)))/(($X9*2*PI())-($AS$5*COS(RADIANS(90)))))))</f>
        <v>6.6072931178142698</v>
      </c>
      <c r="AS9" s="51">
        <f>IF(M9="","",W9)</f>
        <v>0.22329996775944494</v>
      </c>
      <c r="AT9" s="71">
        <f t="shared" ref="AT9:AT40" si="10">IF(M9="","",Y9+(((AS9-$AS$9)*$AS$6)*-1))</f>
        <v>-0.23160069850770673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1.7074049960401645E-17</v>
      </c>
      <c r="C10" s="708">
        <v>1.1103033486748997</v>
      </c>
      <c r="D10" s="709">
        <v>-0.18760056580330647</v>
      </c>
      <c r="E10" s="710">
        <v>-0.93969263802333458</v>
      </c>
      <c r="F10" s="708">
        <v>-2.9809011205603888E-2</v>
      </c>
      <c r="G10" s="711">
        <v>0.34071860661796943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1.7074049960401645E-17</v>
      </c>
      <c r="O10" s="629">
        <f t="shared" si="3"/>
        <v>1.1103033486748997</v>
      </c>
      <c r="P10" s="633">
        <f t="shared" si="4"/>
        <v>-0.18760056580330647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1.1103033486748997</v>
      </c>
      <c r="S10" s="634">
        <f t="shared" ref="S10:S105" si="80">IF(M10="","",P10)</f>
        <v>-0.18760056580330647</v>
      </c>
      <c r="T10" s="635">
        <f t="shared" ref="T10:T105" si="81">IF(M10="","",X10*COS(RADIANS(W10)))</f>
        <v>1.1102949164309937</v>
      </c>
      <c r="U10" s="629">
        <f t="shared" ref="U10:U105" si="82">IF(M10="","",X10*SIN(RADIANS(W10)))</f>
        <v>4.3271961116342003E-3</v>
      </c>
      <c r="V10" s="636">
        <f>IF(M10="","",Y10)</f>
        <v>-0.18760056580330647</v>
      </c>
      <c r="W10" s="585">
        <f t="shared" si="5"/>
        <v>0.22329996775944494</v>
      </c>
      <c r="X10" s="629">
        <f t="shared" ref="X10:X105" si="83">IF(M10="","",R10)</f>
        <v>1.1103033486748997</v>
      </c>
      <c r="Y10" s="630">
        <f>IF(M10="","",S10)</f>
        <v>-0.18760056580330647</v>
      </c>
      <c r="Z10" s="632">
        <f t="shared" si="6"/>
        <v>0.93969263802333458</v>
      </c>
      <c r="AA10" s="629">
        <f t="shared" si="7"/>
        <v>2.9809011205603888E-2</v>
      </c>
      <c r="AB10" s="629">
        <f t="shared" si="8"/>
        <v>-0.34071860661796943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2.9809011205603888E-2</v>
      </c>
      <c r="AF10" s="633">
        <f t="shared" ref="AF10:AF105" si="86">IF(M10="","",AB10*(1/SQRT(Z10^2+AA10^2+AB10^2)))</f>
        <v>-0.34071860661796943</v>
      </c>
      <c r="AG10" s="602">
        <f t="shared" ref="AG10:AG105" si="87">IF(M10="","",DEGREES(ATAN2(-AF10,AE10)))</f>
        <v>4.9999992780894189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-70.079338493247803</v>
      </c>
      <c r="AJ10" s="586">
        <f t="shared" ref="AJ10:AJ105" si="90">IF(M10="","",DEGREES(ATAN2(-AE10,AD10)))</f>
        <v>91.816932386741939</v>
      </c>
      <c r="AK10" s="635">
        <f>IF(M10="","",(COS(RADIANS((90-$Q$8)-W10))*AD10)+(-SIN(RADIANS((90-$Q$8)-W10))*AE10))</f>
        <v>0.93969263802333458</v>
      </c>
      <c r="AL10" s="629">
        <f t="shared" ref="AL10:AL105" si="91">IF(M10="","",(SIN(RADIANS((90-$Q$8)-W10))*AD10)+(COS(RADIANS((90-$Q$8)-W10))*AE10))</f>
        <v>2.9809011205603888E-2</v>
      </c>
      <c r="AM10" s="634">
        <f t="shared" ref="AM10:AM105" si="92">IF(M10="","",AF10)</f>
        <v>-0.34071860661796943</v>
      </c>
      <c r="AN10" s="581">
        <f t="shared" ref="AN10:AN105" si="93">IF(M10="","",DEGREES(ATAN2(-AM10,AL10)))</f>
        <v>4.9999992780894189</v>
      </c>
      <c r="AO10" s="582">
        <f t="shared" ref="AO10:AO54" si="94">IF(ROUND(IF(M10="",0,DEGREES(ACOS(AK10))),4)=90,0,IF(M10="","",DEGREES(ACOS(AK10))))</f>
        <v>19.999997112357679</v>
      </c>
      <c r="AP10" s="585">
        <f t="shared" ref="AP10:AP105" si="95">IF(M10="","",DEGREES(ATAN2(AK10,AL10)))</f>
        <v>1.8169323867419485</v>
      </c>
      <c r="AQ10" s="586">
        <f t="shared" si="9"/>
        <v>2.0523683921617635</v>
      </c>
      <c r="AS10" s="52">
        <f>IF($M10="","",IF(AND($W10&lt;($AS$9+180),$W10&gt;($AS$9-180)),$W10,IF($W10&gt;($AS$9+180),$W10-360,IF($W10&lt;($AS$9-180),$W10+360,"Error"))))</f>
        <v>0.22329996775944494</v>
      </c>
      <c r="AT10" s="72">
        <f t="shared" si="10"/>
        <v>-0.18760056580330647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10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5.5917513620315392E-16</v>
      </c>
      <c r="C11" s="708">
        <v>1.8754056562234589</v>
      </c>
      <c r="D11" s="709">
        <v>-0.1206003637306972</v>
      </c>
      <c r="E11" s="710">
        <v>-0.93969263802333458</v>
      </c>
      <c r="F11" s="708">
        <v>-2.9809011205603905E-2</v>
      </c>
      <c r="G11" s="711">
        <v>0.34071860661796938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5.5917513620315392E-16</v>
      </c>
      <c r="O11" s="629">
        <f t="shared" si="3"/>
        <v>1.8754056562234589</v>
      </c>
      <c r="P11" s="633">
        <f t="shared" si="4"/>
        <v>-0.1206003637306972</v>
      </c>
      <c r="Q11" s="585">
        <f t="shared" ref="Q11:Q73" si="113">IF(M11="","",IF(DEGREES(ATAN2(N11,O11))&lt;0,DEGREES(ATAN2(N11,O11))+360,IF(DEGREES(ATAN2(N11,O11))&gt;360,DEGREES(ATAN2(N11,O11))-360,DEGREES(ATAN2(N11,O11)))))</f>
        <v>89.999999999999986</v>
      </c>
      <c r="R11" s="629">
        <f t="shared" si="79"/>
        <v>1.8754056562234589</v>
      </c>
      <c r="S11" s="634">
        <f t="shared" si="80"/>
        <v>-0.1206003637306972</v>
      </c>
      <c r="T11" s="635">
        <f t="shared" si="81"/>
        <v>1.8753914133789833</v>
      </c>
      <c r="U11" s="629">
        <f t="shared" si="82"/>
        <v>7.3090368258653168E-3</v>
      </c>
      <c r="V11" s="636">
        <f t="shared" ref="V11:V105" si="114">IF(M11="","",Y11)</f>
        <v>-0.1206003637306972</v>
      </c>
      <c r="W11" s="585">
        <f t="shared" si="5"/>
        <v>0.22329996775943073</v>
      </c>
      <c r="X11" s="629">
        <f>IF(M11="","",R11)</f>
        <v>1.8754056562234589</v>
      </c>
      <c r="Y11" s="630">
        <f>IF(M11="","",S11)</f>
        <v>-0.1206003637306972</v>
      </c>
      <c r="Z11" s="632">
        <f t="shared" si="6"/>
        <v>0.93969263802333458</v>
      </c>
      <c r="AA11" s="629">
        <f t="shared" si="7"/>
        <v>2.9809011205603905E-2</v>
      </c>
      <c r="AB11" s="629">
        <f t="shared" si="8"/>
        <v>-0.34071860661796938</v>
      </c>
      <c r="AC11" s="636">
        <f t="shared" si="84"/>
        <v>1</v>
      </c>
      <c r="AD11" s="637">
        <f t="shared" ref="AD11:AD105" si="115">IF(M11="","",Z11*(1/SQRT(Z11^2+AA11^2+AB11^2)))</f>
        <v>0.93969263802333458</v>
      </c>
      <c r="AE11" s="629">
        <f t="shared" si="85"/>
        <v>2.9809011205603905E-2</v>
      </c>
      <c r="AF11" s="633">
        <f t="shared" si="86"/>
        <v>-0.34071860661796938</v>
      </c>
      <c r="AG11" s="602">
        <f>IF(M11="","",DEGREES(ATAN2(-AF11,AE11)))</f>
        <v>4.9999992780894225</v>
      </c>
      <c r="AH11" s="603">
        <f t="shared" si="88"/>
        <v>19.999997112357679</v>
      </c>
      <c r="AI11" s="585">
        <f t="shared" si="89"/>
        <v>-70.079338493247803</v>
      </c>
      <c r="AJ11" s="586">
        <f t="shared" si="90"/>
        <v>91.816932386741939</v>
      </c>
      <c r="AK11" s="635">
        <f>IF(M11="","",(COS(RADIANS((90-$Q$8)-W11))*AD11)+(-SIN(RADIANS((90-$Q$8)-W11))*AE11))</f>
        <v>0.93969263802333458</v>
      </c>
      <c r="AL11" s="629">
        <f t="shared" si="91"/>
        <v>2.9809011205604138E-2</v>
      </c>
      <c r="AM11" s="634">
        <f t="shared" si="92"/>
        <v>-0.34071860661796938</v>
      </c>
      <c r="AN11" s="581">
        <f>IF(M11="","",DEGREES(ATAN2(-AM11,AL11)))</f>
        <v>4.9999992780894615</v>
      </c>
      <c r="AO11" s="582">
        <f>IF(ROUND(IF(M11="",0,DEGREES(ACOS(AK11))),4)=90,0,IF(M11="","",DEGREES(ACOS(AK11))))</f>
        <v>19.999997112357679</v>
      </c>
      <c r="AP11" s="585">
        <f t="shared" si="95"/>
        <v>1.8169323867419636</v>
      </c>
      <c r="AQ11" s="586">
        <f t="shared" si="9"/>
        <v>1.215408871862381</v>
      </c>
      <c r="AS11" s="52">
        <f t="shared" ref="AS11:AS42" si="116">IF(G11="","",IF(AND(W11&lt;(AS10+180),W11&gt;(AS10-180)),W11,IF(W11&gt;(AS10+180),W11-360,IF(W11&lt;(AS10-180),W11+360,"Error"))))</f>
        <v>0.22329996775943073</v>
      </c>
      <c r="AT11" s="72">
        <f t="shared" si="10"/>
        <v>-0.12060036373069719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1.0290877540097934E-2</v>
      </c>
      <c r="C12" s="708">
        <v>2.6404879103269732</v>
      </c>
      <c r="D12" s="709">
        <v>-5.7600173722123692E-2</v>
      </c>
      <c r="E12" s="710">
        <v>-0.93907525682697568</v>
      </c>
      <c r="F12" s="708">
        <v>3.578611720538534E-2</v>
      </c>
      <c r="G12" s="711">
        <v>0.34184355461338201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1.0290877540097934E-2</v>
      </c>
      <c r="O12" s="629">
        <f t="shared" si="3"/>
        <v>2.6404879103269732</v>
      </c>
      <c r="P12" s="633">
        <f t="shared" si="4"/>
        <v>-5.7600173722123692E-2</v>
      </c>
      <c r="Q12" s="585">
        <f>IF(M12="","",IF(DEGREES(ATAN2(N12,O12))&lt;0,DEGREES(ATAN2(N12,O12))+360,IF(DEGREES(ATAN2(N12,O12))&gt;360,DEGREES(ATAN2(N12,O12))-360,DEGREES(ATAN2(N12,O12)))))</f>
        <v>89.776700032240555</v>
      </c>
      <c r="R12" s="629">
        <f t="shared" si="79"/>
        <v>2.6405079637720181</v>
      </c>
      <c r="S12" s="634">
        <f t="shared" si="80"/>
        <v>-5.7600173722123692E-2</v>
      </c>
      <c r="T12" s="635">
        <f>IF(M12="","",X12*COS(RADIANS(W12)))</f>
        <v>2.6405079637720181</v>
      </c>
      <c r="U12" s="629">
        <f t="shared" si="82"/>
        <v>0</v>
      </c>
      <c r="V12" s="636">
        <f t="shared" si="114"/>
        <v>-5.7600173722123692E-2</v>
      </c>
      <c r="W12" s="585">
        <f>IF(M12="","",IF(Q12-$Q$8&lt;0,360+Q12-$Q$8,Q12-$Q$8))</f>
        <v>0</v>
      </c>
      <c r="X12" s="629">
        <f t="shared" si="83"/>
        <v>2.6405079637720181</v>
      </c>
      <c r="Y12" s="630">
        <f>IF(M12="","",S12)</f>
        <v>-5.7600173722123692E-2</v>
      </c>
      <c r="Z12" s="632">
        <f t="shared" si="6"/>
        <v>0.93907525682697568</v>
      </c>
      <c r="AA12" s="629">
        <f t="shared" si="7"/>
        <v>-3.578611720538534E-2</v>
      </c>
      <c r="AB12" s="629">
        <f t="shared" si="8"/>
        <v>-0.34184355461338201</v>
      </c>
      <c r="AC12" s="636">
        <f t="shared" si="84"/>
        <v>1</v>
      </c>
      <c r="AD12" s="637">
        <f t="shared" si="115"/>
        <v>0.93907525682697568</v>
      </c>
      <c r="AE12" s="629">
        <f t="shared" si="85"/>
        <v>-3.578611720538534E-2</v>
      </c>
      <c r="AF12" s="633">
        <f t="shared" si="86"/>
        <v>-0.34184355461338201</v>
      </c>
      <c r="AG12" s="602">
        <f t="shared" si="87"/>
        <v>-5.9762782581177945</v>
      </c>
      <c r="AH12" s="603">
        <f t="shared" si="88"/>
        <v>20.103166698070325</v>
      </c>
      <c r="AI12" s="585">
        <f t="shared" si="89"/>
        <v>-70.010766756878994</v>
      </c>
      <c r="AJ12" s="586">
        <f t="shared" si="90"/>
        <v>87.817638364447177</v>
      </c>
      <c r="AK12" s="635">
        <f t="shared" ref="AK12:AK105" si="211">IF(M12="","",(COS(RADIANS((90-$Q$8)-W12))*AD12)+(-SIN(RADIANS((90-$Q$8)-W12))*AE12))</f>
        <v>0.93920759456673419</v>
      </c>
      <c r="AL12" s="629">
        <f>IF(M12="","",(SIN(RADIANS((90-$Q$8)-W12))*AD12)+(COS(RADIANS((90-$Q$8)-W12))*AE12))</f>
        <v>-3.2125978233461722E-2</v>
      </c>
      <c r="AM12" s="634">
        <f t="shared" si="92"/>
        <v>-0.34184355461338201</v>
      </c>
      <c r="AN12" s="581">
        <f>IF(M12="","",DEGREES(ATAN2(-AM12,AL12)))</f>
        <v>-5.3688083929942065</v>
      </c>
      <c r="AO12" s="582">
        <f t="shared" si="94"/>
        <v>20.081094744241664</v>
      </c>
      <c r="AP12" s="585">
        <f t="shared" si="95"/>
        <v>-1.9590616677933888</v>
      </c>
      <c r="AQ12" s="586">
        <f t="shared" si="9"/>
        <v>0.86330135714840783</v>
      </c>
      <c r="AS12" s="52">
        <f t="shared" si="116"/>
        <v>0</v>
      </c>
      <c r="AT12" s="72">
        <f>IF(M12="","",Y12+(((AS12-$AS$9)*$AS$6)*-1))</f>
        <v>-5.7445104300068522E-2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4.9438921754494609E-2</v>
      </c>
      <c r="C13" s="708">
        <v>3.4031511745568035</v>
      </c>
      <c r="D13" s="709">
        <v>-0.19300058208975537</v>
      </c>
      <c r="E13" s="710">
        <v>-0.93499354542109359</v>
      </c>
      <c r="F13" s="708">
        <v>0.16988125794644826</v>
      </c>
      <c r="G13" s="711">
        <v>0.31133170127602777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20</v>
      </c>
      <c r="M13" s="168">
        <f t="shared" si="1"/>
        <v>1.1160000000000001</v>
      </c>
      <c r="N13" s="632">
        <f t="shared" si="2"/>
        <v>4.9438921754494609E-2</v>
      </c>
      <c r="O13" s="629">
        <f t="shared" si="3"/>
        <v>3.4031511745568035</v>
      </c>
      <c r="P13" s="633">
        <f t="shared" si="4"/>
        <v>-0.19300058208975537</v>
      </c>
      <c r="Q13" s="585">
        <f t="shared" si="113"/>
        <v>89.167700120169229</v>
      </c>
      <c r="R13" s="629">
        <f t="shared" si="79"/>
        <v>3.4035102649869589</v>
      </c>
      <c r="S13" s="634">
        <f t="shared" si="80"/>
        <v>-0.19300058208975537</v>
      </c>
      <c r="T13" s="635">
        <f>IF(M13="","",X13*COS(RADIANS(W13)))</f>
        <v>3.4033180079807033</v>
      </c>
      <c r="U13" s="629">
        <f t="shared" si="82"/>
        <v>-3.6175411896160754E-2</v>
      </c>
      <c r="V13" s="636">
        <f t="shared" si="114"/>
        <v>-0.19300058208975537</v>
      </c>
      <c r="W13" s="585">
        <f t="shared" si="5"/>
        <v>359.39100008792866</v>
      </c>
      <c r="X13" s="629">
        <f t="shared" si="83"/>
        <v>3.4035102649869589</v>
      </c>
      <c r="Y13" s="630">
        <f>IF(M13="","",S13)</f>
        <v>-0.19300058208975537</v>
      </c>
      <c r="Z13" s="632">
        <f t="shared" si="6"/>
        <v>0.93499354542109359</v>
      </c>
      <c r="AA13" s="629">
        <f t="shared" si="7"/>
        <v>-0.16988125794644826</v>
      </c>
      <c r="AB13" s="629">
        <f t="shared" si="8"/>
        <v>-0.31133170127602777</v>
      </c>
      <c r="AC13" s="636">
        <f t="shared" si="84"/>
        <v>1</v>
      </c>
      <c r="AD13" s="637">
        <f>IF(M13="","",Z13*(1/SQRT(Z13^2+AA13^2+AB13^2)))</f>
        <v>0.93499354542109359</v>
      </c>
      <c r="AE13" s="629">
        <f t="shared" si="85"/>
        <v>-0.16988125794644826</v>
      </c>
      <c r="AF13" s="633">
        <f t="shared" si="86"/>
        <v>-0.31133170127602777</v>
      </c>
      <c r="AG13" s="602">
        <f>IF(M13="","",DEGREES(ATAN2(-AF13,AE13)))</f>
        <v>-28.619531581622116</v>
      </c>
      <c r="AH13" s="603">
        <f t="shared" si="88"/>
        <v>20.772897801970295</v>
      </c>
      <c r="AI13" s="585">
        <f t="shared" si="89"/>
        <v>-71.860496673289646</v>
      </c>
      <c r="AJ13" s="586">
        <f t="shared" si="90"/>
        <v>79.702127659657151</v>
      </c>
      <c r="AK13" s="635">
        <f t="shared" si="211"/>
        <v>0.93736256985674715</v>
      </c>
      <c r="AL13" s="629">
        <f t="shared" si="91"/>
        <v>-0.15628174689364432</v>
      </c>
      <c r="AM13" s="634">
        <f t="shared" si="92"/>
        <v>-0.31133170127602777</v>
      </c>
      <c r="AN13" s="581">
        <f t="shared" si="93"/>
        <v>-26.655656341448271</v>
      </c>
      <c r="AO13" s="582">
        <f t="shared" si="94"/>
        <v>20.386750656756671</v>
      </c>
      <c r="AP13" s="585">
        <f t="shared" si="95"/>
        <v>-9.4655724605121048</v>
      </c>
      <c r="AQ13" s="586">
        <f t="shared" si="9"/>
        <v>0.66978578230165808</v>
      </c>
      <c r="AS13" s="52">
        <f t="shared" si="116"/>
        <v>-0.60899991207134008</v>
      </c>
      <c r="AT13" s="72">
        <f t="shared" si="10"/>
        <v>-0.19242259606209511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0.10666624598256032</v>
      </c>
      <c r="C14" s="708">
        <v>4.0596111624734581</v>
      </c>
      <c r="D14" s="709">
        <v>-0.62450188349768043</v>
      </c>
      <c r="E14" s="710">
        <v>-0.92730666497714243</v>
      </c>
      <c r="F14" s="708">
        <v>0.29233662685609496</v>
      </c>
      <c r="G14" s="711">
        <v>0.23375552546917477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0.10666624598256032</v>
      </c>
      <c r="O14" s="629">
        <f t="shared" si="3"/>
        <v>4.0596111624734581</v>
      </c>
      <c r="P14" s="633">
        <f t="shared" si="4"/>
        <v>-0.62450188349768043</v>
      </c>
      <c r="Q14" s="585">
        <f t="shared" si="113"/>
        <v>88.494900217309521</v>
      </c>
      <c r="R14" s="629">
        <f t="shared" si="79"/>
        <v>4.0610122480129407</v>
      </c>
      <c r="S14" s="634">
        <f t="shared" si="80"/>
        <v>-0.62450188349768043</v>
      </c>
      <c r="T14" s="635">
        <f t="shared" si="81"/>
        <v>4.0599960429963202</v>
      </c>
      <c r="U14" s="629">
        <f t="shared" si="82"/>
        <v>-9.0843873570758529E-2</v>
      </c>
      <c r="V14" s="636">
        <f t="shared" si="114"/>
        <v>-0.62450188349768043</v>
      </c>
      <c r="W14" s="585">
        <f t="shared" si="5"/>
        <v>358.71820018506895</v>
      </c>
      <c r="X14" s="629">
        <f t="shared" si="83"/>
        <v>4.0610122480129407</v>
      </c>
      <c r="Y14" s="630">
        <f t="shared" ref="Y14:Y75" si="223">IF(M14="","",S14)</f>
        <v>-0.62450188349768043</v>
      </c>
      <c r="Z14" s="632">
        <f t="shared" si="6"/>
        <v>0.92730666497714243</v>
      </c>
      <c r="AA14" s="629">
        <f t="shared" si="7"/>
        <v>-0.29233662685609496</v>
      </c>
      <c r="AB14" s="629">
        <f t="shared" si="8"/>
        <v>-0.23375552546917477</v>
      </c>
      <c r="AC14" s="636">
        <f t="shared" si="84"/>
        <v>1</v>
      </c>
      <c r="AD14" s="637">
        <f>IF(M14="","",Z14*(1/SQRT(Z14^2+AA14^2+AB14^2)))</f>
        <v>0.92730666497714243</v>
      </c>
      <c r="AE14" s="629">
        <f t="shared" si="85"/>
        <v>-0.29233662685609496</v>
      </c>
      <c r="AF14" s="633">
        <f t="shared" si="86"/>
        <v>-0.23375552546917477</v>
      </c>
      <c r="AG14" s="602">
        <f t="shared" si="87"/>
        <v>-51.353791427023637</v>
      </c>
      <c r="AH14" s="603">
        <f t="shared" si="88"/>
        <v>21.981208618380386</v>
      </c>
      <c r="AI14" s="585">
        <f t="shared" si="89"/>
        <v>-76.481723383426655</v>
      </c>
      <c r="AJ14" s="586">
        <f t="shared" si="90"/>
        <v>72.502362775287466</v>
      </c>
      <c r="AK14" s="635">
        <f>IF(M14="","",(COS(RADIANS((90-$Q$8)-W14))*AD14)+(-SIN(RADIANS((90-$Q$8)-W14))*AE14))</f>
        <v>0.93466522800674212</v>
      </c>
      <c r="AL14" s="629">
        <f t="shared" si="91"/>
        <v>-0.26787920014016525</v>
      </c>
      <c r="AM14" s="634">
        <f t="shared" si="92"/>
        <v>-0.23375552546917477</v>
      </c>
      <c r="AN14" s="581">
        <f t="shared" si="93"/>
        <v>-48.891547072312513</v>
      </c>
      <c r="AO14" s="582">
        <f t="shared" si="94"/>
        <v>20.825872641144432</v>
      </c>
      <c r="AP14" s="585">
        <f>IF(M14="","",DEGREES(ATAN2(AK14,AL14)))</f>
        <v>-15.99253744202205</v>
      </c>
      <c r="AQ14" s="586">
        <f t="shared" si="9"/>
        <v>0.56135109892889024</v>
      </c>
      <c r="AS14" s="52">
        <f t="shared" si="116"/>
        <v>-1.2817998149310483</v>
      </c>
      <c r="AT14" s="72">
        <f t="shared" si="10"/>
        <v>-0.6234566753152565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0.15588023312756216</v>
      </c>
      <c r="C15" s="708">
        <v>4.4883074775874121</v>
      </c>
      <c r="D15" s="709">
        <v>-1.2602038007746632</v>
      </c>
      <c r="E15" s="710">
        <v>-0.92008399203097091</v>
      </c>
      <c r="F15" s="708">
        <v>0.36923912980729467</v>
      </c>
      <c r="G15" s="711">
        <v>0.13079721949454515</v>
      </c>
      <c r="H15" s="710">
        <v>0.314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2">
        <f>IF($L14=$JH$22,$JH$29,IF($L14=$JI$22,$JI$29,""))</f>
        <v>0</v>
      </c>
      <c r="M15" s="168">
        <f t="shared" si="1"/>
        <v>1.1259999999999999</v>
      </c>
      <c r="N15" s="632">
        <f t="shared" si="2"/>
        <v>0.15588023312756216</v>
      </c>
      <c r="O15" s="629">
        <f t="shared" si="3"/>
        <v>4.4883074775874121</v>
      </c>
      <c r="P15" s="633">
        <f t="shared" si="4"/>
        <v>-1.2602038007746632</v>
      </c>
      <c r="Q15" s="585">
        <f t="shared" si="113"/>
        <v>88.010900287190466</v>
      </c>
      <c r="R15" s="629">
        <f t="shared" si="79"/>
        <v>4.4910135448968509</v>
      </c>
      <c r="S15" s="634">
        <f t="shared" si="80"/>
        <v>-1.2602038007746632</v>
      </c>
      <c r="T15" s="635">
        <f t="shared" si="81"/>
        <v>4.4888809045126337</v>
      </c>
      <c r="U15" s="629">
        <f t="shared" si="82"/>
        <v>-0.13838672461193188</v>
      </c>
      <c r="V15" s="636">
        <f t="shared" si="114"/>
        <v>-1.2602038007746632</v>
      </c>
      <c r="W15" s="585">
        <f t="shared" ref="W15:W78" si="224">IF(M15="","",IF(Q15-$Q$8&lt;0,360+Q15-$Q$8,Q15-$Q$8))</f>
        <v>358.23420025494988</v>
      </c>
      <c r="X15" s="629">
        <f>IF(M15="","",R15)</f>
        <v>4.4910135448968509</v>
      </c>
      <c r="Y15" s="630">
        <f>IF(M15="","",S15)</f>
        <v>-1.2602038007746632</v>
      </c>
      <c r="Z15" s="632">
        <f t="shared" si="6"/>
        <v>0.92008399203097091</v>
      </c>
      <c r="AA15" s="629">
        <f t="shared" si="7"/>
        <v>-0.36923912980729467</v>
      </c>
      <c r="AB15" s="629">
        <f t="shared" si="8"/>
        <v>-0.13079721949454515</v>
      </c>
      <c r="AC15" s="636">
        <f t="shared" si="84"/>
        <v>1</v>
      </c>
      <c r="AD15" s="637">
        <f t="shared" si="115"/>
        <v>0.92008399203097091</v>
      </c>
      <c r="AE15" s="629">
        <f t="shared" si="85"/>
        <v>-0.36923912980729467</v>
      </c>
      <c r="AF15" s="633">
        <f t="shared" si="86"/>
        <v>-0.13079721949454515</v>
      </c>
      <c r="AG15" s="602">
        <f t="shared" si="87"/>
        <v>-70.494100800231365</v>
      </c>
      <c r="AH15" s="603">
        <f t="shared" si="88"/>
        <v>23.061635915722217</v>
      </c>
      <c r="AI15" s="585">
        <f t="shared" si="89"/>
        <v>-82.484337002284391</v>
      </c>
      <c r="AJ15" s="586">
        <f t="shared" si="90"/>
        <v>68.13390308144696</v>
      </c>
      <c r="AK15" s="635">
        <f t="shared" si="211"/>
        <v>0.93234565008897863</v>
      </c>
      <c r="AL15" s="629">
        <f t="shared" si="91"/>
        <v>-0.33708111209715647</v>
      </c>
      <c r="AM15" s="634">
        <f t="shared" si="92"/>
        <v>-0.13079721949454515</v>
      </c>
      <c r="AN15" s="581">
        <f>IF(M15="","",DEGREES(ATAN2(-AM15,AL15)))</f>
        <v>-68.792306760064136</v>
      </c>
      <c r="AO15" s="582">
        <f t="shared" si="94"/>
        <v>21.19653799587859</v>
      </c>
      <c r="AP15" s="585">
        <f t="shared" si="95"/>
        <v>-19.876997205743503</v>
      </c>
      <c r="AQ15" s="586">
        <f t="shared" si="9"/>
        <v>0.50760634862456755</v>
      </c>
      <c r="AS15" s="52">
        <f t="shared" si="116"/>
        <v>-1.7657997450501171</v>
      </c>
      <c r="AT15" s="72">
        <f t="shared" si="10"/>
        <v>-1.2588224815296565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41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0.17629244460127144</v>
      </c>
      <c r="C16" s="708">
        <v>4.6454561039769278</v>
      </c>
      <c r="D16" s="709">
        <v>-1.9883059967308858</v>
      </c>
      <c r="E16" s="710">
        <v>-0.88112448946762267</v>
      </c>
      <c r="F16" s="708">
        <v>0.46946456964502992</v>
      </c>
      <c r="G16" s="711">
        <v>5.6768405900010088E-2</v>
      </c>
      <c r="H16" s="710">
        <v>0.314</v>
      </c>
      <c r="I16" s="708">
        <v>0.52</v>
      </c>
      <c r="J16" s="570">
        <v>1.131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1.131</v>
      </c>
      <c r="N16" s="632">
        <f t="shared" si="2"/>
        <v>0.17629244460127144</v>
      </c>
      <c r="O16" s="629">
        <f t="shared" si="3"/>
        <v>4.6454561039769278</v>
      </c>
      <c r="P16" s="633">
        <f t="shared" si="4"/>
        <v>-1.9883059967308858</v>
      </c>
      <c r="Q16" s="585">
        <f>IF(M16="","",IF(DEGREES(ATAN2(N16,O16))&lt;0,DEGREES(ATAN2(N16,O16))+360,IF(DEGREES(ATAN2(N16,O16))&gt;360,DEGREES(ATAN2(N16,O16))-360,DEGREES(ATAN2(N16,O16)))))</f>
        <v>87.826700313785665</v>
      </c>
      <c r="R16" s="629">
        <f t="shared" si="79"/>
        <v>4.6487999999999987</v>
      </c>
      <c r="S16" s="634">
        <f t="shared" si="80"/>
        <v>-1.9883059967308858</v>
      </c>
      <c r="T16" s="635">
        <f t="shared" si="81"/>
        <v>4.64610789014215</v>
      </c>
      <c r="U16" s="629">
        <f t="shared" si="82"/>
        <v>-0.15818632418402187</v>
      </c>
      <c r="V16" s="636">
        <f t="shared" si="114"/>
        <v>-1.9883059967308858</v>
      </c>
      <c r="W16" s="585">
        <f>IF(M16="","",IF(Q16-$Q$8&lt;0,360+Q16-$Q$8,Q16-$Q$8))</f>
        <v>358.05000028154507</v>
      </c>
      <c r="X16" s="629">
        <f t="shared" si="83"/>
        <v>4.6487999999999987</v>
      </c>
      <c r="Y16" s="630">
        <f t="shared" si="223"/>
        <v>-1.9883059967308858</v>
      </c>
      <c r="Z16" s="632">
        <f t="shared" si="6"/>
        <v>0.88112448946762267</v>
      </c>
      <c r="AA16" s="629">
        <f t="shared" si="7"/>
        <v>-0.46946456964502992</v>
      </c>
      <c r="AB16" s="629">
        <f t="shared" si="8"/>
        <v>-5.6768405900010088E-2</v>
      </c>
      <c r="AC16" s="636">
        <f t="shared" si="84"/>
        <v>1</v>
      </c>
      <c r="AD16" s="637">
        <f t="shared" si="115"/>
        <v>0.88112448946762267</v>
      </c>
      <c r="AE16" s="629">
        <f t="shared" si="85"/>
        <v>-0.46946456964502992</v>
      </c>
      <c r="AF16" s="633">
        <f t="shared" si="86"/>
        <v>-5.6768405900010088E-2</v>
      </c>
      <c r="AG16" s="602">
        <f t="shared" si="87"/>
        <v>-83.105178187208409</v>
      </c>
      <c r="AH16" s="603">
        <f t="shared" si="88"/>
        <v>28.221691178892851</v>
      </c>
      <c r="AI16" s="585">
        <f t="shared" si="89"/>
        <v>-86.745660399629003</v>
      </c>
      <c r="AJ16" s="586">
        <f t="shared" si="90"/>
        <v>61.951235950568524</v>
      </c>
      <c r="AK16" s="635">
        <f t="shared" si="211"/>
        <v>0.89829379508632978</v>
      </c>
      <c r="AL16" s="629">
        <f t="shared" si="91"/>
        <v>-0.43571275606868665</v>
      </c>
      <c r="AM16" s="634">
        <f t="shared" si="92"/>
        <v>-5.6768405900010088E-2</v>
      </c>
      <c r="AN16" s="581">
        <f t="shared" si="93"/>
        <v>-82.576827599021598</v>
      </c>
      <c r="AO16" s="582">
        <f t="shared" si="94"/>
        <v>26.065307301620752</v>
      </c>
      <c r="AP16" s="585">
        <f t="shared" si="95"/>
        <v>-25.875464363217116</v>
      </c>
      <c r="AQ16" s="586">
        <f t="shared" si="9"/>
        <v>0.49037837014067143</v>
      </c>
      <c r="AS16" s="52">
        <f t="shared" si="116"/>
        <v>-1.9499997184549329</v>
      </c>
      <c r="AT16" s="72">
        <f t="shared" si="10"/>
        <v>-1.9867967608376813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0.18696567704887823</v>
      </c>
      <c r="C17" s="708">
        <v>4.7352103486123678</v>
      </c>
      <c r="D17" s="709">
        <v>-2.6309079348183317</v>
      </c>
      <c r="E17" s="710">
        <v>-0.78827194460907246</v>
      </c>
      <c r="F17" s="708">
        <v>0.60419509394095527</v>
      </c>
      <c r="G17" s="711">
        <v>0.11651450467607777</v>
      </c>
      <c r="H17" s="710">
        <v>0.26600000000000001</v>
      </c>
      <c r="I17" s="708">
        <v>0.52</v>
      </c>
      <c r="J17" s="570">
        <v>1.1359999999999999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1.1359999999999999</v>
      </c>
      <c r="N17" s="632">
        <f t="shared" si="2"/>
        <v>0.18696567704887823</v>
      </c>
      <c r="O17" s="629">
        <f t="shared" si="3"/>
        <v>4.7352103486123678</v>
      </c>
      <c r="P17" s="633">
        <f t="shared" si="4"/>
        <v>-2.6309079348183317</v>
      </c>
      <c r="Q17" s="585">
        <f>IF(M17="","",IF(DEGREES(ATAN2(N17,O17))&lt;0,DEGREES(ATAN2(N17,O17))+360,IF(DEGREES(ATAN2(N17,O17))&gt;360,DEGREES(ATAN2(N17,O17))-360,DEGREES(ATAN2(N17,O17)))))</f>
        <v>87.738900326462399</v>
      </c>
      <c r="R17" s="629">
        <f>IF(M17="","",SQRT(N17^2+O17^2))</f>
        <v>4.738900000000001</v>
      </c>
      <c r="S17" s="634">
        <f>IF(M17="","",P17)</f>
        <v>-2.6309079348183317</v>
      </c>
      <c r="T17" s="635">
        <f>IF(M17="","",X17*COS(RADIANS(W17)))</f>
        <v>4.7359030500286492</v>
      </c>
      <c r="U17" s="629">
        <f>IF(M17="","",X17*SIN(RADIANS(W17)))</f>
        <v>-0.16850967547693821</v>
      </c>
      <c r="V17" s="636">
        <f>IF(M17="","",Y17)</f>
        <v>-2.6309079348183317</v>
      </c>
      <c r="W17" s="585">
        <f t="shared" si="224"/>
        <v>357.96220029422182</v>
      </c>
      <c r="X17" s="629">
        <f>IF(M17="","",R17)</f>
        <v>4.738900000000001</v>
      </c>
      <c r="Y17" s="630">
        <f t="shared" si="223"/>
        <v>-2.6309079348183317</v>
      </c>
      <c r="Z17" s="632">
        <f t="shared" si="6"/>
        <v>0.78827194460907246</v>
      </c>
      <c r="AA17" s="629">
        <f t="shared" si="7"/>
        <v>-0.60419509394095527</v>
      </c>
      <c r="AB17" s="629">
        <f t="shared" si="8"/>
        <v>-0.11651450467607777</v>
      </c>
      <c r="AC17" s="636">
        <f>IF(M17="","",SQRT(Z17^2+AA17^2+AB17^2))</f>
        <v>1</v>
      </c>
      <c r="AD17" s="637">
        <f>IF(M17="","",Z17*(1/SQRT(Z17^2+AA17^2+AB17^2)))</f>
        <v>0.78827194460907246</v>
      </c>
      <c r="AE17" s="629">
        <f>IF(M17="","",AA17*(1/SQRT(Z17^2+AA17^2+AB17^2)))</f>
        <v>-0.60419509394095527</v>
      </c>
      <c r="AF17" s="633">
        <f>IF(M17="","",AB17*(1/SQRT(Z17^2+AA17^2+AB17^2)))</f>
        <v>-0.11651450467607777</v>
      </c>
      <c r="AG17" s="602">
        <f>IF(M17="","",DEGREES(ATAN2(-AF17,AE17)))</f>
        <v>-79.084925336636914</v>
      </c>
      <c r="AH17" s="603">
        <f>IF(M17="","",DEGREES(ACOS(AD17)))</f>
        <v>37.97568597608231</v>
      </c>
      <c r="AI17" s="585">
        <f>IF(M17="","",DEGREES(-ACOS(-AF17)))</f>
        <v>-83.309012928251477</v>
      </c>
      <c r="AJ17" s="586">
        <f>IF(M17="","",DEGREES(ATAN2(-AE17,AD17)))</f>
        <v>52.530538060634868</v>
      </c>
      <c r="AK17" s="635">
        <f>IF(M17="","",(COS(RADIANS((90-$Q$8)-W17))*AD17)+(-SIN(RADIANS((90-$Q$8)-W17))*AE17))</f>
        <v>0.81149575100592075</v>
      </c>
      <c r="AL17" s="629">
        <f>IF(M17="","",(SIN(RADIANS((90-$Q$8)-W17))*AD17)+(COS(RADIANS((90-$Q$8)-W17))*AE17))</f>
        <v>-0.57262467314937204</v>
      </c>
      <c r="AM17" s="634">
        <f>IF(M17="","",AF17)</f>
        <v>-0.11651450467607777</v>
      </c>
      <c r="AN17" s="581">
        <f>IF(M17="","",DEGREES(ATAN2(-AM17,AL17)))</f>
        <v>-78.498779946556567</v>
      </c>
      <c r="AO17" s="582">
        <f t="shared" si="94"/>
        <v>35.757671184574768</v>
      </c>
      <c r="AP17" s="585">
        <f>IF(M17="","",DEGREES(ATAN2(AK17,AL17)))</f>
        <v>-35.208362265827496</v>
      </c>
      <c r="AQ17" s="586">
        <f t="shared" si="9"/>
        <v>0.48105532161341336</v>
      </c>
      <c r="AS17" s="52">
        <f t="shared" si="116"/>
        <v>-2.037799705778184</v>
      </c>
      <c r="AT17" s="72">
        <f t="shared" si="10"/>
        <v>-2.6293377267117082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0.18696567704887854</v>
      </c>
      <c r="C18" s="708">
        <v>4.7352103486123678</v>
      </c>
      <c r="D18" s="709">
        <v>-3.2347097558846243</v>
      </c>
      <c r="E18" s="710">
        <v>-0.78827194460907246</v>
      </c>
      <c r="F18" s="708">
        <v>0.60419509394095516</v>
      </c>
      <c r="G18" s="711">
        <v>0.11651450467607777</v>
      </c>
      <c r="H18" s="710">
        <v>0.26600000000000001</v>
      </c>
      <c r="I18" s="708">
        <v>0.52</v>
      </c>
      <c r="J18" s="570">
        <v>1.141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1.141</v>
      </c>
      <c r="N18" s="632">
        <f t="shared" si="2"/>
        <v>0.18696567704887854</v>
      </c>
      <c r="O18" s="629">
        <f t="shared" si="3"/>
        <v>4.7352103486123678</v>
      </c>
      <c r="P18" s="633">
        <f t="shared" si="4"/>
        <v>-3.2347097558846243</v>
      </c>
      <c r="Q18" s="585">
        <f t="shared" si="113"/>
        <v>87.738900326462399</v>
      </c>
      <c r="R18" s="629">
        <f>IF(M18="","",SQRT(N18^2+O18^2))</f>
        <v>4.738900000000001</v>
      </c>
      <c r="S18" s="634">
        <f>IF(M18="","",P18)</f>
        <v>-3.2347097558846243</v>
      </c>
      <c r="T18" s="635">
        <f>IF(M18="","",X18*COS(RADIANS(W18)))</f>
        <v>4.7359030500286492</v>
      </c>
      <c r="U18" s="629">
        <f>IF(M18="","",X18*SIN(RADIANS(W18)))</f>
        <v>-0.16850967547693821</v>
      </c>
      <c r="V18" s="636">
        <f>IF(M18="","",Y18)</f>
        <v>-3.2347097558846243</v>
      </c>
      <c r="W18" s="585">
        <f t="shared" si="224"/>
        <v>357.96220029422182</v>
      </c>
      <c r="X18" s="629">
        <f>IF(M18="","",R18)</f>
        <v>4.738900000000001</v>
      </c>
      <c r="Y18" s="630">
        <f t="shared" si="223"/>
        <v>-3.2347097558846243</v>
      </c>
      <c r="Z18" s="632">
        <f t="shared" si="6"/>
        <v>0.78827194460907246</v>
      </c>
      <c r="AA18" s="629">
        <f t="shared" si="7"/>
        <v>-0.60419509394095516</v>
      </c>
      <c r="AB18" s="629">
        <f t="shared" si="8"/>
        <v>-0.11651450467607777</v>
      </c>
      <c r="AC18" s="636">
        <f>IF(M18="","",SQRT(Z18^2+AA18^2+AB18^2))</f>
        <v>1</v>
      </c>
      <c r="AD18" s="637">
        <f>IF(M18="","",Z18*(1/SQRT(Z18^2+AA18^2+AB18^2)))</f>
        <v>0.78827194460907246</v>
      </c>
      <c r="AE18" s="629">
        <f>IF(M18="","",AA18*(1/SQRT(Z18^2+AA18^2+AB18^2)))</f>
        <v>-0.60419509394095516</v>
      </c>
      <c r="AF18" s="633">
        <f>IF(M18="","",AB18*(1/SQRT(Z18^2+AA18^2+AB18^2)))</f>
        <v>-0.11651450467607777</v>
      </c>
      <c r="AG18" s="602">
        <f>IF(M18="","",DEGREES(ATAN2(-AF18,AE18)))</f>
        <v>-79.084925336636914</v>
      </c>
      <c r="AH18" s="603">
        <f>IF(M18="","",DEGREES(ACOS(AD18)))</f>
        <v>37.97568597608231</v>
      </c>
      <c r="AI18" s="585">
        <f>IF(M18="","",DEGREES(-ACOS(-AF18)))</f>
        <v>-83.309012928251477</v>
      </c>
      <c r="AJ18" s="586">
        <f>IF(M18="","",DEGREES(ATAN2(-AE18,AD18)))</f>
        <v>52.530538060634882</v>
      </c>
      <c r="AK18" s="635">
        <f>IF(M18="","",(COS(RADIANS((90-$Q$8)-W18))*AD18)+(-SIN(RADIANS((90-$Q$8)-W18))*AE18))</f>
        <v>0.81149575100592075</v>
      </c>
      <c r="AL18" s="629">
        <f>IF(M18="","",(SIN(RADIANS((90-$Q$8)-W18))*AD18)+(COS(RADIANS((90-$Q$8)-W18))*AE18))</f>
        <v>-0.57262467314937193</v>
      </c>
      <c r="AM18" s="634">
        <f>IF(M18="","",AF18)</f>
        <v>-0.11651450467607777</v>
      </c>
      <c r="AN18" s="581">
        <f>IF(M18="","",DEGREES(ATAN2(-AM18,AL18)))</f>
        <v>-78.498779946556567</v>
      </c>
      <c r="AO18" s="582">
        <f t="shared" si="94"/>
        <v>35.757671184574768</v>
      </c>
      <c r="AP18" s="585">
        <f>IF(M18="","",DEGREES(ATAN2(AK18,AL18)))</f>
        <v>-35.208362265827496</v>
      </c>
      <c r="AQ18" s="586">
        <f t="shared" si="9"/>
        <v>0.48105532161341336</v>
      </c>
      <c r="AS18" s="52">
        <f t="shared" si="116"/>
        <v>-2.037799705778184</v>
      </c>
      <c r="AT18" s="72">
        <f t="shared" si="10"/>
        <v>-3.2331395477780007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0.97485253792955928</v>
      </c>
      <c r="C19" s="708">
        <v>1.5989471143311105</v>
      </c>
      <c r="D19" s="709">
        <v>-0.11627465129573245</v>
      </c>
      <c r="E19" s="710">
        <v>-4.5370204961680476E-2</v>
      </c>
      <c r="F19" s="708">
        <v>-7.4415494406504162E-2</v>
      </c>
      <c r="G19" s="711">
        <v>0.99619469918985759</v>
      </c>
      <c r="H19" s="710">
        <v>0.26250000000000001</v>
      </c>
      <c r="I19" s="708">
        <v>0.40699999999999997</v>
      </c>
      <c r="J19" s="570">
        <v>1.2070000000000001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1.2070000000000001</v>
      </c>
      <c r="N19" s="632">
        <f t="shared" si="2"/>
        <v>0.97485253792955928</v>
      </c>
      <c r="O19" s="629">
        <f t="shared" si="3"/>
        <v>1.5989471143311105</v>
      </c>
      <c r="P19" s="633">
        <f t="shared" si="4"/>
        <v>-0.11627465129573245</v>
      </c>
      <c r="Q19" s="585">
        <f t="shared" si="113"/>
        <v>58.630004529266962</v>
      </c>
      <c r="R19" s="629">
        <f>IF(M19="","",SQRT(N19^2+O19^2))</f>
        <v>1.8726904029058</v>
      </c>
      <c r="S19" s="634">
        <f>IF(M19="","",P19)</f>
        <v>-0.11627465129573245</v>
      </c>
      <c r="T19" s="635">
        <f>IF(M19="","",X19*COS(RADIANS(W19)))</f>
        <v>1.6027342734030006</v>
      </c>
      <c r="U19" s="629">
        <f>IF(M19="","",X19*SIN(RADIANS(W19)))</f>
        <v>-0.9686135421285641</v>
      </c>
      <c r="V19" s="636">
        <f>IF(M19="","",Y19)</f>
        <v>-0.11627465129573245</v>
      </c>
      <c r="W19" s="585">
        <f t="shared" si="224"/>
        <v>328.85330449702639</v>
      </c>
      <c r="X19" s="629">
        <f>IF(M19="","",R19)</f>
        <v>1.8726904029058</v>
      </c>
      <c r="Y19" s="630">
        <f t="shared" si="223"/>
        <v>-0.11627465129573245</v>
      </c>
      <c r="Z19" s="632">
        <f t="shared" si="6"/>
        <v>4.5370204961680476E-2</v>
      </c>
      <c r="AA19" s="629">
        <f t="shared" si="7"/>
        <v>7.4415494406504162E-2</v>
      </c>
      <c r="AB19" s="629">
        <f t="shared" si="8"/>
        <v>-0.99619469918985759</v>
      </c>
      <c r="AC19" s="636">
        <f>IF(M19="","",SQRT(Z19^2+AA19^2+AB19^2))</f>
        <v>1</v>
      </c>
      <c r="AD19" s="637">
        <f>IF(M19="","",Z19*(1/SQRT(Z19^2+AA19^2+AB19^2)))</f>
        <v>4.5370204961680476E-2</v>
      </c>
      <c r="AE19" s="629">
        <f>IF(M19="","",AA19*(1/SQRT(Z19^2+AA19^2+AB19^2)))</f>
        <v>7.4415494406504162E-2</v>
      </c>
      <c r="AF19" s="633">
        <f>IF(M19="","",AB19*(1/SQRT(Z19^2+AA19^2+AB19^2)))</f>
        <v>-0.99619469918985759</v>
      </c>
      <c r="AG19" s="602">
        <f>IF(M19="","",DEGREES(ATAN2(-AF19,AE19)))</f>
        <v>4.2720460815319985</v>
      </c>
      <c r="AH19" s="603">
        <f>IF(M19="","",DEGREES(ACOS(AD19)))</f>
        <v>87.399586079790708</v>
      </c>
      <c r="AI19" s="585">
        <f>IF(M19="","",DEGREES(-ACOS(-AF19)))</f>
        <v>-4.9999992781061904</v>
      </c>
      <c r="AJ19" s="586">
        <f>IF(M19="","",DEGREES(ATAN2(-AE19,AD19)))</f>
        <v>148.62985543533625</v>
      </c>
      <c r="AK19" s="635">
        <f>IF(M19="","",(COS(RADIANS((90-$Q$8)-W19))*AD19)+(-SIN(RADIANS((90-$Q$8)-W19))*AE19))</f>
        <v>2.2679489672383646E-7</v>
      </c>
      <c r="AL19" s="629">
        <f>IF(M19="","",(SIN(RADIANS((90-$Q$8)-W19))*AD19)+(COS(RADIANS((90-$Q$8)-W19))*AE19))</f>
        <v>8.7155730195885073E-2</v>
      </c>
      <c r="AM19" s="634">
        <f>IF(M19="","",AF19)</f>
        <v>-0.99619469918985759</v>
      </c>
      <c r="AN19" s="581">
        <f>IF(M19="","",DEGREES(ATAN2(-AM19,AL19)))</f>
        <v>4.9999992780894162</v>
      </c>
      <c r="AO19" s="582">
        <f t="shared" si="94"/>
        <v>0</v>
      </c>
      <c r="AP19" s="585">
        <f>IF(M19="","",DEGREES(ATAN2(AK19,AL19)))</f>
        <v>89.999850906069312</v>
      </c>
      <c r="AQ19" s="586">
        <f t="shared" si="9"/>
        <v>1.2171705890629743</v>
      </c>
      <c r="AS19" s="52">
        <f t="shared" si="116"/>
        <v>-31.146695502973614</v>
      </c>
      <c r="AT19" s="72">
        <f t="shared" si="10"/>
        <v>-9.4489932218834491E-2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734" cm="1">
        <f t="array" ref="II19">IFERROR(IF($IH19&lt;1,$IH19+LARGE((IF($M$9:$M$150="",0,$M$9:$M$150)-MOD(IF($M$9:$M$150="",0,$M$9:$M$150),1)),1),$IH19),"")</f>
        <v>1.107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31.369995470733045</v>
      </c>
      <c r="IM19" s="759">
        <v>2.7966867124004799E-2</v>
      </c>
      <c r="IN19" s="5">
        <f t="shared" si="226"/>
        <v>0.32</v>
      </c>
      <c r="IO19" s="771">
        <v>160</v>
      </c>
      <c r="IP19" s="9">
        <f t="shared" si="227"/>
        <v>-1.8754056562234589</v>
      </c>
      <c r="IQ19" s="5">
        <f t="shared" si="228"/>
        <v>-0.1206003637306972</v>
      </c>
      <c r="IR19" s="5">
        <f t="shared" si="71"/>
        <v>0.314</v>
      </c>
      <c r="IS19" s="5">
        <f t="shared" si="229"/>
        <v>0.29506348833932705</v>
      </c>
      <c r="IT19" s="727">
        <f t="shared" si="230"/>
        <v>-4.9999992780894615</v>
      </c>
      <c r="IU19" s="9">
        <f t="shared" si="231"/>
        <v>-1.8726904029058</v>
      </c>
      <c r="IV19" s="5">
        <f t="shared" si="232"/>
        <v>-0.11627465129573245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-4.9999992780894162</v>
      </c>
      <c r="JB19" s="981" t="s">
        <v>365</v>
      </c>
      <c r="JC19" s="982"/>
      <c r="JD19" s="982"/>
      <c r="JE19" s="982"/>
      <c r="JF19" s="982"/>
      <c r="JG19" s="982"/>
      <c r="JH19" s="982"/>
      <c r="JI19" s="983"/>
    </row>
    <row r="20" spans="1:269" ht="15" customHeight="1" x14ac:dyDescent="0.25">
      <c r="A20" s="79"/>
      <c r="B20" s="707">
        <v>1.045287385687538</v>
      </c>
      <c r="C20" s="708">
        <v>2.4248003192151648</v>
      </c>
      <c r="D20" s="709">
        <v>-5.138633848560048E-2</v>
      </c>
      <c r="E20" s="710">
        <v>-2.0826763089322761E-7</v>
      </c>
      <c r="F20" s="708">
        <v>8.9780393781368224E-8</v>
      </c>
      <c r="G20" s="711">
        <v>0.99999999999997435</v>
      </c>
      <c r="H20" s="710">
        <v>0.26250000000000001</v>
      </c>
      <c r="I20" s="708">
        <v>0.40699999999999997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140</v>
      </c>
      <c r="M20" s="168">
        <f t="shared" si="1"/>
        <v>1.2110000000000001</v>
      </c>
      <c r="N20" s="632">
        <f t="shared" si="2"/>
        <v>1.045287385687538</v>
      </c>
      <c r="O20" s="629">
        <f t="shared" si="3"/>
        <v>2.4248003192151648</v>
      </c>
      <c r="P20" s="633">
        <f t="shared" si="4"/>
        <v>-5.138633848560048E-2</v>
      </c>
      <c r="Q20" s="585">
        <f t="shared" si="113"/>
        <v>66.680003366990931</v>
      </c>
      <c r="R20" s="629">
        <f>IF(M20="","",SQRT(N20^2+O20^2))</f>
        <v>2.640507963772019</v>
      </c>
      <c r="S20" s="634">
        <f>IF(M20="","",P20)</f>
        <v>-5.138633848560048E-2</v>
      </c>
      <c r="T20" s="635">
        <f>IF(M20="","",X20*COS(RADIANS(W20)))</f>
        <v>2.4288557127331134</v>
      </c>
      <c r="U20" s="629">
        <f>IF(M20="","",X20*SIN(RADIANS(W20)))</f>
        <v>-1.0358292491850061</v>
      </c>
      <c r="V20" s="636">
        <f>IF(M20="","",Y20)</f>
        <v>-5.138633848560048E-2</v>
      </c>
      <c r="W20" s="585">
        <f t="shared" si="224"/>
        <v>336.90330333475038</v>
      </c>
      <c r="X20" s="629">
        <f>IF(M20="","",R20)</f>
        <v>2.640507963772019</v>
      </c>
      <c r="Y20" s="630">
        <f t="shared" si="223"/>
        <v>-5.138633848560048E-2</v>
      </c>
      <c r="Z20" s="632">
        <f t="shared" si="6"/>
        <v>2.0826763089322761E-7</v>
      </c>
      <c r="AA20" s="629">
        <f t="shared" si="7"/>
        <v>-8.9780393781368224E-8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2.0826763089322761E-7</v>
      </c>
      <c r="AE20" s="629">
        <f>IF(M20="","",AA20*(1/SQRT(Z20^2+AA20^2+AB20^2)))</f>
        <v>-8.9780393781368224E-8</v>
      </c>
      <c r="AF20" s="633">
        <f>IF(M20="","",AB20*(1/SQRT(Z20^2+AA20^2+AB20^2)))</f>
        <v>-0.99999999999997435</v>
      </c>
      <c r="AG20" s="602">
        <f>IF(M20="","",DEGREES(ATAN2(-AF20,AE20)))</f>
        <v>-5.1440376466950996E-6</v>
      </c>
      <c r="AH20" s="603">
        <f>IF(M20="","",DEGREES(ACOS(AD20)))</f>
        <v>89.999988067143732</v>
      </c>
      <c r="AI20" s="585">
        <f>IF(M20="","",DEGREES(-ACOS(-AF20)))</f>
        <v>-1.2976235990044085E-5</v>
      </c>
      <c r="AJ20" s="586">
        <f>IF(M20="","",DEGREES(ATAN2(-AE20,AD20)))</f>
        <v>66.680003359278913</v>
      </c>
      <c r="AK20" s="635">
        <f>IF(M20="","",(COS(RADIANS((90-$Q$8)-W20))*AD20)+(-SIN(RADIANS((90-$Q$8)-W20))*AE20))</f>
        <v>2.2679489673582878E-7</v>
      </c>
      <c r="AL20" s="629">
        <f>IF(M20="","",(SIN(RADIANS((90-$Q$8)-W20))*AD20)+(COS(RADIANS((90-$Q$8)-W20))*AE20))</f>
        <v>-3.0526604197901955E-17</v>
      </c>
      <c r="AM20" s="634">
        <f>IF(M20="","",AF20)</f>
        <v>-0.99999999999997435</v>
      </c>
      <c r="AN20" s="581">
        <f>IF(M20="","",DEGREES(ATAN2(-AM20,AL20)))</f>
        <v>-1.7490455834061686E-15</v>
      </c>
      <c r="AO20" s="582">
        <f t="shared" si="94"/>
        <v>0</v>
      </c>
      <c r="AP20" s="585">
        <f>IF(M20="","",DEGREES(ATAN2(AK20,AL20)))</f>
        <v>-7.7120147259901352E-9</v>
      </c>
      <c r="AQ20" s="586">
        <f t="shared" si="9"/>
        <v>0.86330135714840761</v>
      </c>
      <c r="AS20" s="52">
        <f t="shared" si="116"/>
        <v>-23.096696665249624</v>
      </c>
      <c r="AT20" s="72">
        <f t="shared" si="10"/>
        <v>-3.5191896379344181E-2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IFERROR(IF($IH20&lt;1,$IH20+LARGE((IF($M$9:$M$150="",0,$M$9:$M$150)-MOD(IF($M$9:$M$150="",0,$M$9:$M$150),1)),1),$IH20),"")</f>
        <v>1.111</v>
      </c>
      <c r="IJ20" s="533">
        <f t="shared" si="112"/>
        <v>1613</v>
      </c>
      <c r="IK20" s="533" t="str">
        <f t="shared" si="66"/>
        <v>Inactive</v>
      </c>
      <c r="IL20" s="727">
        <f t="shared" si="225"/>
        <v>23.096696665249624</v>
      </c>
      <c r="IM20" s="759">
        <v>2.6223013330089799E-2</v>
      </c>
      <c r="IN20" s="5">
        <f t="shared" si="226"/>
        <v>0.4</v>
      </c>
      <c r="IO20" s="771">
        <v>200</v>
      </c>
      <c r="IP20" s="9">
        <f t="shared" si="227"/>
        <v>-2.6405079637720181</v>
      </c>
      <c r="IQ20" s="5">
        <f t="shared" si="228"/>
        <v>-5.7600173722123692E-2</v>
      </c>
      <c r="IR20" s="5">
        <f t="shared" si="71"/>
        <v>0.314</v>
      </c>
      <c r="IS20" s="5">
        <f t="shared" si="229"/>
        <v>0.29491118469395455</v>
      </c>
      <c r="IT20" s="727">
        <f t="shared" si="230"/>
        <v>5.3688083929942065</v>
      </c>
      <c r="IU20" s="9">
        <f t="shared" si="231"/>
        <v>-2.640507963772019</v>
      </c>
      <c r="IV20" s="5">
        <f t="shared" si="232"/>
        <v>-5.138633848560048E-2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1.7490455834061686E-15</v>
      </c>
      <c r="JA20" s="31"/>
      <c r="JB20" s="984" t="s">
        <v>369</v>
      </c>
      <c r="JC20" s="985"/>
      <c r="JD20" s="985"/>
      <c r="JE20" s="985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707">
        <v>1.0449428607695621</v>
      </c>
      <c r="C21" s="708">
        <v>3.2537969508483542</v>
      </c>
      <c r="D21" s="709">
        <v>-0.14453281118565101</v>
      </c>
      <c r="E21" s="710">
        <v>-0.8066143126402705</v>
      </c>
      <c r="F21" s="708">
        <v>0.44503907311545865</v>
      </c>
      <c r="G21" s="711">
        <v>0.38899045495281431</v>
      </c>
      <c r="H21" s="710">
        <v>0.26600000000000001</v>
      </c>
      <c r="I21" s="708">
        <v>0.52</v>
      </c>
      <c r="J21" s="570">
        <v>1.216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1.216</v>
      </c>
      <c r="N21" s="632">
        <f t="shared" si="2"/>
        <v>1.0449428607695621</v>
      </c>
      <c r="O21" s="629">
        <f t="shared" si="3"/>
        <v>3.2537969508483542</v>
      </c>
      <c r="P21" s="633">
        <f t="shared" si="4"/>
        <v>-0.14453281118565101</v>
      </c>
      <c r="Q21" s="585">
        <f t="shared" si="113"/>
        <v>72.195802570608066</v>
      </c>
      <c r="R21" s="629">
        <f>IF(M21="","",SQRT(N21^2+O21^2))</f>
        <v>3.4174698505800052</v>
      </c>
      <c r="S21" s="634">
        <f>IF(M21="","",P21)</f>
        <v>-0.14453281118565101</v>
      </c>
      <c r="T21" s="635">
        <f>IF(M21="","",X21*COS(RADIANS(W21)))</f>
        <v>3.2578447057973552</v>
      </c>
      <c r="U21" s="629">
        <f>IF(M21="","",X21*SIN(RADIANS(W21)))</f>
        <v>-1.0322538701944723</v>
      </c>
      <c r="V21" s="636">
        <f>IF(M21="","",Y21)</f>
        <v>-0.14453281118565101</v>
      </c>
      <c r="W21" s="585">
        <f t="shared" si="224"/>
        <v>342.4191025383675</v>
      </c>
      <c r="X21" s="629">
        <f>IF(M21="","",R21)</f>
        <v>3.4174698505800052</v>
      </c>
      <c r="Y21" s="630">
        <f t="shared" si="223"/>
        <v>-0.14453281118565101</v>
      </c>
      <c r="Z21" s="632">
        <f t="shared" si="6"/>
        <v>0.8066143126402705</v>
      </c>
      <c r="AA21" s="629">
        <f t="shared" si="7"/>
        <v>-0.44503907311545865</v>
      </c>
      <c r="AB21" s="629">
        <f t="shared" si="8"/>
        <v>-0.38899045495281431</v>
      </c>
      <c r="AC21" s="636">
        <f>IF(M21="","",SQRT(Z21^2+AA21^2+AB21^2))</f>
        <v>1</v>
      </c>
      <c r="AD21" s="637">
        <f>IF(M21="","",Z21*(1/SQRT(Z21^2+AA21^2+AB21^2)))</f>
        <v>0.8066143126402705</v>
      </c>
      <c r="AE21" s="629">
        <f>IF(M21="","",AA21*(1/SQRT(Z21^2+AA21^2+AB21^2)))</f>
        <v>-0.44503907311545865</v>
      </c>
      <c r="AF21" s="633">
        <f>IF(M21="","",AB21*(1/SQRT(Z21^2+AA21^2+AB21^2)))</f>
        <v>-0.38899045495281431</v>
      </c>
      <c r="AG21" s="602">
        <f>IF(M21="","",DEGREES(ATAN2(-AF21,AE21)))</f>
        <v>-48.844621708788289</v>
      </c>
      <c r="AH21" s="603">
        <f>IF(M21="","",DEGREES(ACOS(AD21)))</f>
        <v>36.23355264887617</v>
      </c>
      <c r="AI21" s="585">
        <f>IF(M21="","",DEGREES(-ACOS(-AF21)))</f>
        <v>-67.108302863580946</v>
      </c>
      <c r="AJ21" s="586">
        <f>IF(M21="","",DEGREES(ATAN2(-AE21,AD21)))</f>
        <v>61.112847164905453</v>
      </c>
      <c r="AK21" s="635">
        <f>IF(M21="","",(COS(RADIANS((90-$Q$8)-W21))*AD21)+(-SIN(RADIANS((90-$Q$8)-W21))*AE21))</f>
        <v>0.90406052672877124</v>
      </c>
      <c r="AL21" s="629">
        <f>IF(M21="","",(SIN(RADIANS((90-$Q$8)-W21))*AD21)+(COS(RADIANS((90-$Q$8)-W21))*AE21))</f>
        <v>-0.17709034408035698</v>
      </c>
      <c r="AM21" s="634">
        <f>IF(M21="","",AF21)</f>
        <v>-0.38899045495281431</v>
      </c>
      <c r="AN21" s="581">
        <f>IF(M21="","",DEGREES(ATAN2(-AM21,AL21)))</f>
        <v>-24.477698772125322</v>
      </c>
      <c r="AO21" s="582">
        <f>IF(ROUND(IF(M21="",0,DEGREES(ACOS(AK21))),4)=90,0,IF(M21="","",DEGREES(ACOS(AK21))))</f>
        <v>25.302952448970302</v>
      </c>
      <c r="AP21" s="585">
        <f>IF(M21="","",DEGREES(ATAN2(AK21,AL21)))</f>
        <v>-11.082955405702622</v>
      </c>
      <c r="AQ21" s="586">
        <f t="shared" si="9"/>
        <v>0.66705010772706907</v>
      </c>
      <c r="AS21" s="52">
        <f t="shared" si="116"/>
        <v>-17.580897461632503</v>
      </c>
      <c r="AT21" s="72">
        <f t="shared" si="10"/>
        <v>-0.1321687851930177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1.216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1.1160000000000001</v>
      </c>
      <c r="II21" s="734" cm="1">
        <f t="array" ref="II21">IFERROR(IF($IH21&lt;1,$IH21+LARGE((IF($M$9:$M$150="",0,$M$9:$M$150)-MOD(IF($M$9:$M$150="",0,$M$9:$M$150),1)),1),$IH21),"")</f>
        <v>1.1160000000000001</v>
      </c>
      <c r="IJ21" s="533">
        <f t="shared" si="112"/>
        <v>1613</v>
      </c>
      <c r="IK21" s="533">
        <f t="shared" si="66"/>
        <v>1313</v>
      </c>
      <c r="IL21" s="727">
        <f t="shared" si="225"/>
        <v>16.971897549561163</v>
      </c>
      <c r="IM21" s="759">
        <v>3.5267869884622201E-3</v>
      </c>
      <c r="IN21" s="5">
        <f t="shared" si="226"/>
        <v>0.06</v>
      </c>
      <c r="IO21" s="771">
        <v>30</v>
      </c>
      <c r="IP21" s="9">
        <f t="shared" si="227"/>
        <v>-3.4035102649869589</v>
      </c>
      <c r="IQ21" s="5">
        <f t="shared" si="228"/>
        <v>-0.19300058208975537</v>
      </c>
      <c r="IR21" s="5">
        <f t="shared" si="71"/>
        <v>0.314</v>
      </c>
      <c r="IS21" s="5">
        <f t="shared" si="229"/>
        <v>0.29433184693501863</v>
      </c>
      <c r="IT21" s="727">
        <f t="shared" si="230"/>
        <v>26.655656341448271</v>
      </c>
      <c r="IU21" s="9">
        <f t="shared" si="231"/>
        <v>-3.4174698505800052</v>
      </c>
      <c r="IV21" s="5">
        <f t="shared" si="232"/>
        <v>-0.14453281118565101</v>
      </c>
      <c r="IW21" s="5">
        <f t="shared" si="76"/>
        <v>0.26600000000000001</v>
      </c>
      <c r="IX21" s="5">
        <f t="shared" si="233"/>
        <v>0.24048010010985316</v>
      </c>
      <c r="IY21" s="762">
        <f t="shared" si="234"/>
        <v>24.477698772125322</v>
      </c>
      <c r="JA21" s="765"/>
      <c r="JB21" s="986"/>
      <c r="JC21" s="987"/>
      <c r="JD21" s="987"/>
      <c r="JE21" s="987"/>
      <c r="JF21" s="1237" t="s">
        <v>358</v>
      </c>
      <c r="JG21" s="1238"/>
      <c r="JH21" s="988" t="s">
        <v>371</v>
      </c>
      <c r="JI21" s="989"/>
    </row>
    <row r="22" spans="1:269" ht="15" customHeight="1" thickBot="1" x14ac:dyDescent="0.3">
      <c r="A22" s="79"/>
      <c r="B22" s="707">
        <v>1.1043024132926034</v>
      </c>
      <c r="C22" s="708">
        <v>3.9376761845463828</v>
      </c>
      <c r="D22" s="709">
        <v>-0.5817906652594349</v>
      </c>
      <c r="E22" s="710">
        <v>-0.78416616351082213</v>
      </c>
      <c r="F22" s="708">
        <v>0.5422507220963787</v>
      </c>
      <c r="G22" s="711">
        <v>0.301740919317673</v>
      </c>
      <c r="H22" s="710">
        <v>0.26600000000000001</v>
      </c>
      <c r="I22" s="708">
        <v>0.52</v>
      </c>
      <c r="J22" s="570">
        <v>1.2210000000000001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2" t="str">
        <f>IF($L21=$JH$22,$JH$30,IF($L21=$JI$22,$JI$30,""))</f>
        <v/>
      </c>
      <c r="M22" s="168">
        <f t="shared" si="1"/>
        <v>1.2210000000000001</v>
      </c>
      <c r="N22" s="632">
        <f t="shared" si="2"/>
        <v>1.1043024132926034</v>
      </c>
      <c r="O22" s="629">
        <f t="shared" si="3"/>
        <v>3.9376761845463828</v>
      </c>
      <c r="P22" s="633">
        <f t="shared" si="4"/>
        <v>-0.5817906652594349</v>
      </c>
      <c r="Q22" s="585">
        <f t="shared" si="113"/>
        <v>74.334102261875785</v>
      </c>
      <c r="R22" s="629">
        <f t="shared" si="79"/>
        <v>4.0895938128801523</v>
      </c>
      <c r="S22" s="634">
        <f t="shared" si="80"/>
        <v>-0.5817906652594349</v>
      </c>
      <c r="T22" s="635">
        <f t="shared" si="81"/>
        <v>3.9419500883119798</v>
      </c>
      <c r="U22" s="629">
        <f t="shared" si="82"/>
        <v>-1.0889476826757098</v>
      </c>
      <c r="V22" s="636">
        <f t="shared" si="114"/>
        <v>-0.5817906652594349</v>
      </c>
      <c r="W22" s="585">
        <f t="shared" si="224"/>
        <v>344.55740222963522</v>
      </c>
      <c r="X22" s="629">
        <f t="shared" si="83"/>
        <v>4.0895938128801523</v>
      </c>
      <c r="Y22" s="630">
        <f t="shared" si="223"/>
        <v>-0.5817906652594349</v>
      </c>
      <c r="Z22" s="632">
        <f t="shared" si="6"/>
        <v>0.78416616351082213</v>
      </c>
      <c r="AA22" s="629">
        <f t="shared" si="7"/>
        <v>-0.5422507220963787</v>
      </c>
      <c r="AB22" s="629">
        <f t="shared" si="8"/>
        <v>-0.301740919317673</v>
      </c>
      <c r="AC22" s="636">
        <f t="shared" si="84"/>
        <v>1</v>
      </c>
      <c r="AD22" s="637">
        <f t="shared" si="115"/>
        <v>0.78416616351082213</v>
      </c>
      <c r="AE22" s="629">
        <f t="shared" si="85"/>
        <v>-0.5422507220963787</v>
      </c>
      <c r="AF22" s="633">
        <f t="shared" si="86"/>
        <v>-0.301740919317673</v>
      </c>
      <c r="AG22" s="602">
        <f t="shared" si="87"/>
        <v>-60.905805498751512</v>
      </c>
      <c r="AH22" s="603">
        <f t="shared" si="88"/>
        <v>38.356375780499157</v>
      </c>
      <c r="AI22" s="585">
        <f t="shared" si="89"/>
        <v>-72.437803181970693</v>
      </c>
      <c r="AJ22" s="586">
        <f t="shared" si="90"/>
        <v>55.336150686862936</v>
      </c>
      <c r="AK22" s="635">
        <f t="shared" si="211"/>
        <v>0.90145901438754805</v>
      </c>
      <c r="AL22" s="629">
        <f t="shared" si="91"/>
        <v>-0.31036118151076153</v>
      </c>
      <c r="AM22" s="634">
        <f t="shared" si="92"/>
        <v>-0.301740919317673</v>
      </c>
      <c r="AN22" s="581">
        <f t="shared" si="93"/>
        <v>-45.806845774226417</v>
      </c>
      <c r="AO22" s="582">
        <f t="shared" si="94"/>
        <v>25.649484144920844</v>
      </c>
      <c r="AP22" s="585">
        <f t="shared" si="95"/>
        <v>-18.997951575012824</v>
      </c>
      <c r="AQ22" s="586">
        <f t="shared" si="9"/>
        <v>0.5574281477470362</v>
      </c>
      <c r="AS22" s="52">
        <f t="shared" si="116"/>
        <v>-15.442597770364785</v>
      </c>
      <c r="AT22" s="72">
        <f t="shared" si="10"/>
        <v>-0.57091156960795975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1.121</v>
      </c>
      <c r="II22" s="734" cm="1">
        <f t="array" ref="II22">IFERROR(IF($IH22&lt;1,$IH22+LARGE((IF($M$9:$M$150="",0,$M$9:$M$150)-MOD(IF($M$9:$M$150="",0,$M$9:$M$150),1)),1),$IH22),"")</f>
        <v>1.121</v>
      </c>
      <c r="IJ22" s="533">
        <f t="shared" si="112"/>
        <v>1613</v>
      </c>
      <c r="IK22" s="533">
        <f t="shared" si="66"/>
        <v>1313</v>
      </c>
      <c r="IL22" s="727">
        <f t="shared" si="225"/>
        <v>14.160797955433736</v>
      </c>
      <c r="IM22" s="759">
        <v>2.5557643406941902E-3</v>
      </c>
      <c r="IN22" s="5">
        <f t="shared" si="226"/>
        <v>0.04</v>
      </c>
      <c r="IO22" s="771">
        <v>20</v>
      </c>
      <c r="IP22" s="9">
        <f t="shared" si="227"/>
        <v>-4.0610122480129407</v>
      </c>
      <c r="IQ22" s="5">
        <f t="shared" si="228"/>
        <v>-0.62450188349768043</v>
      </c>
      <c r="IR22" s="5">
        <f t="shared" si="71"/>
        <v>0.314</v>
      </c>
      <c r="IS22" s="5">
        <f t="shared" si="229"/>
        <v>0.29348488159411701</v>
      </c>
      <c r="IT22" s="727">
        <f t="shared" si="230"/>
        <v>48.891547072312513</v>
      </c>
      <c r="IU22" s="9">
        <f t="shared" si="231"/>
        <v>-4.0895938128801523</v>
      </c>
      <c r="IV22" s="5">
        <f t="shared" si="232"/>
        <v>-0.5817906652594349</v>
      </c>
      <c r="IW22" s="5">
        <f t="shared" si="76"/>
        <v>0.26600000000000001</v>
      </c>
      <c r="IX22" s="5">
        <f t="shared" si="233"/>
        <v>0.23978809782708779</v>
      </c>
      <c r="IY22" s="762">
        <f t="shared" si="234"/>
        <v>45.806845774226417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1.1557555779055282</v>
      </c>
      <c r="C23" s="708">
        <v>4.381604872843921</v>
      </c>
      <c r="D23" s="709">
        <v>-1.2272705968034876</v>
      </c>
      <c r="E23" s="710">
        <v>-0.76821045361074236</v>
      </c>
      <c r="F23" s="708">
        <v>0.61328133480582259</v>
      </c>
      <c r="G23" s="711">
        <v>0.18368098252667878</v>
      </c>
      <c r="H23" s="710">
        <v>0.26600000000000001</v>
      </c>
      <c r="I23" s="708">
        <v>0.52</v>
      </c>
      <c r="J23" s="570">
        <v>1.226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1.226</v>
      </c>
      <c r="N23" s="632">
        <f t="shared" si="2"/>
        <v>1.1557555779055282</v>
      </c>
      <c r="O23" s="629">
        <f t="shared" si="3"/>
        <v>4.381604872843921</v>
      </c>
      <c r="P23" s="633">
        <f t="shared" si="4"/>
        <v>-1.2272705968034876</v>
      </c>
      <c r="Q23" s="585">
        <f t="shared" si="113"/>
        <v>75.223402133476753</v>
      </c>
      <c r="R23" s="629">
        <f t="shared" si="79"/>
        <v>4.5314713082606328</v>
      </c>
      <c r="S23" s="634">
        <f t="shared" si="80"/>
        <v>-1.2272705968034876</v>
      </c>
      <c r="T23" s="635">
        <f t="shared" si="81"/>
        <v>4.3860759340972697</v>
      </c>
      <c r="U23" s="629">
        <f t="shared" si="82"/>
        <v>-1.1386703289021349</v>
      </c>
      <c r="V23" s="636">
        <f t="shared" si="114"/>
        <v>-1.2272705968034876</v>
      </c>
      <c r="W23" s="585">
        <f t="shared" si="224"/>
        <v>345.44670210123616</v>
      </c>
      <c r="X23" s="629">
        <f t="shared" si="83"/>
        <v>4.5314713082606328</v>
      </c>
      <c r="Y23" s="630">
        <f t="shared" si="223"/>
        <v>-1.2272705968034876</v>
      </c>
      <c r="Z23" s="632">
        <f t="shared" si="6"/>
        <v>0.76821045361074236</v>
      </c>
      <c r="AA23" s="629">
        <f t="shared" si="7"/>
        <v>-0.61328133480582259</v>
      </c>
      <c r="AB23" s="629">
        <f t="shared" si="8"/>
        <v>-0.18368098252667878</v>
      </c>
      <c r="AC23" s="636">
        <f t="shared" si="84"/>
        <v>1</v>
      </c>
      <c r="AD23" s="637">
        <f t="shared" si="115"/>
        <v>0.76821045361074236</v>
      </c>
      <c r="AE23" s="629">
        <f t="shared" si="85"/>
        <v>-0.61328133480582259</v>
      </c>
      <c r="AF23" s="633">
        <f t="shared" si="86"/>
        <v>-0.18368098252667878</v>
      </c>
      <c r="AG23" s="602">
        <f t="shared" si="87"/>
        <v>-73.326765548381886</v>
      </c>
      <c r="AH23" s="603">
        <f t="shared" si="88"/>
        <v>39.806539995990398</v>
      </c>
      <c r="AI23" s="585">
        <f t="shared" si="89"/>
        <v>-79.415759481806163</v>
      </c>
      <c r="AJ23" s="586">
        <f t="shared" si="90"/>
        <v>51.398770686769971</v>
      </c>
      <c r="AK23" s="635">
        <f t="shared" si="211"/>
        <v>0.89922184501301017</v>
      </c>
      <c r="AL23" s="629">
        <f t="shared" si="91"/>
        <v>-0.39706595183852261</v>
      </c>
      <c r="AM23" s="634">
        <f t="shared" si="92"/>
        <v>-0.18368098252667878</v>
      </c>
      <c r="AN23" s="581">
        <f t="shared" si="93"/>
        <v>-65.174944143297537</v>
      </c>
      <c r="AO23" s="582">
        <f t="shared" si="94"/>
        <v>25.944029994662287</v>
      </c>
      <c r="AP23" s="585">
        <f t="shared" si="95"/>
        <v>-23.824631446706771</v>
      </c>
      <c r="AQ23" s="586">
        <f t="shared" si="9"/>
        <v>0.50307458489866974</v>
      </c>
      <c r="AS23" s="52">
        <f t="shared" si="116"/>
        <v>-14.553297898763844</v>
      </c>
      <c r="AT23" s="72">
        <f t="shared" si="10"/>
        <v>-1.2170090705072909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1.226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1.1259999999999999</v>
      </c>
      <c r="II23" s="734" cm="1">
        <f t="array" ref="II23">IFERROR(IF($IH23&lt;1,$IH23+LARGE((IF($M$9:$M$150="",0,$M$9:$M$150)-MOD(IF($M$9:$M$150="",0,$M$9:$M$150),1)),1),$IH23),"")</f>
        <v>1.1259999999999999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12.787498153713727</v>
      </c>
      <c r="IM23" s="759">
        <v>1.76042823228007E-3</v>
      </c>
      <c r="IN23" s="5">
        <f t="shared" si="226"/>
        <v>0.02</v>
      </c>
      <c r="IO23" s="771">
        <v>10</v>
      </c>
      <c r="IP23" s="9">
        <f t="shared" si="227"/>
        <v>-4.4910135448968509</v>
      </c>
      <c r="IQ23" s="5">
        <f t="shared" si="228"/>
        <v>-1.2602038007746632</v>
      </c>
      <c r="IR23" s="5">
        <f t="shared" si="71"/>
        <v>0.314</v>
      </c>
      <c r="IS23" s="5">
        <f t="shared" si="229"/>
        <v>0.29275653412793928</v>
      </c>
      <c r="IT23" s="727">
        <f t="shared" si="230"/>
        <v>68.792306760064136</v>
      </c>
      <c r="IU23" s="9">
        <f t="shared" si="231"/>
        <v>-4.5314713082606328</v>
      </c>
      <c r="IV23" s="5">
        <f t="shared" si="232"/>
        <v>-1.2272705968034876</v>
      </c>
      <c r="IW23" s="5">
        <f t="shared" si="76"/>
        <v>0.26600000000000001</v>
      </c>
      <c r="IX23" s="5">
        <f t="shared" si="233"/>
        <v>0.23919301077346072</v>
      </c>
      <c r="IY23" s="762">
        <f t="shared" si="234"/>
        <v>65.174944143297537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15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11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20</v>
      </c>
      <c r="JI23" s="801">
        <v>0</v>
      </c>
    </row>
    <row r="24" spans="1:269" ht="15" customHeight="1" x14ac:dyDescent="0.25">
      <c r="A24" s="79"/>
      <c r="B24" s="707">
        <v>2.3227398432497131</v>
      </c>
      <c r="C24" s="708">
        <v>0.84540624260287878</v>
      </c>
      <c r="D24" s="709">
        <v>-6.8500206596623023E-2</v>
      </c>
      <c r="E24" s="710">
        <v>-0.33260964728438197</v>
      </c>
      <c r="F24" s="708">
        <v>0.87894001638480956</v>
      </c>
      <c r="G24" s="711">
        <v>0.34181174662499475</v>
      </c>
      <c r="H24" s="710">
        <v>0.314</v>
      </c>
      <c r="I24" s="708">
        <v>0.52</v>
      </c>
      <c r="J24" s="570">
        <v>2.11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2.11</v>
      </c>
      <c r="N24" s="632">
        <f t="shared" si="2"/>
        <v>2.3227398432497131</v>
      </c>
      <c r="O24" s="629">
        <f t="shared" si="3"/>
        <v>0.84540624260287878</v>
      </c>
      <c r="P24" s="633">
        <f t="shared" si="4"/>
        <v>-6.8500206596623023E-2</v>
      </c>
      <c r="Q24" s="585">
        <f t="shared" si="113"/>
        <v>19.999958129186506</v>
      </c>
      <c r="R24" s="629">
        <f t="shared" si="79"/>
        <v>2.4718074549712847</v>
      </c>
      <c r="S24" s="634">
        <f t="shared" si="80"/>
        <v>-6.8500206596623023E-2</v>
      </c>
      <c r="T24" s="635">
        <f t="shared" si="81"/>
        <v>0.85445225886356635</v>
      </c>
      <c r="U24" s="629">
        <f t="shared" si="82"/>
        <v>-2.3194273930810096</v>
      </c>
      <c r="V24" s="636">
        <f t="shared" si="114"/>
        <v>-6.8500206596623023E-2</v>
      </c>
      <c r="W24" s="585">
        <f t="shared" si="224"/>
        <v>290.22325809694593</v>
      </c>
      <c r="X24" s="629">
        <f t="shared" si="83"/>
        <v>2.4718074549712847</v>
      </c>
      <c r="Y24" s="630">
        <f t="shared" si="223"/>
        <v>-6.8500206596623023E-2</v>
      </c>
      <c r="Z24" s="632">
        <f t="shared" si="6"/>
        <v>0.33260964728438197</v>
      </c>
      <c r="AA24" s="629">
        <f t="shared" si="7"/>
        <v>-0.87894001638480956</v>
      </c>
      <c r="AB24" s="629">
        <f t="shared" si="8"/>
        <v>-0.34181174662499475</v>
      </c>
      <c r="AC24" s="636">
        <f t="shared" si="84"/>
        <v>1</v>
      </c>
      <c r="AD24" s="637">
        <f t="shared" si="115"/>
        <v>0.33260964728438197</v>
      </c>
      <c r="AE24" s="629">
        <f t="shared" si="85"/>
        <v>-0.87894001638480956</v>
      </c>
      <c r="AF24" s="633">
        <f t="shared" si="86"/>
        <v>-0.34181174662499475</v>
      </c>
      <c r="AG24" s="602">
        <f t="shared" si="87"/>
        <v>-68.749395953060301</v>
      </c>
      <c r="AH24" s="603">
        <f t="shared" si="88"/>
        <v>70.572752782973581</v>
      </c>
      <c r="AI24" s="585">
        <f t="shared" si="89"/>
        <v>-70.012706037472853</v>
      </c>
      <c r="AJ24" s="586">
        <f t="shared" si="90"/>
        <v>20.727711419272634</v>
      </c>
      <c r="AK24" s="635">
        <f>IF(M24="","",(COS(RADIANS((90-$Q$8)-W24))*AD24)+(-SIN(RADIANS((90-$Q$8)-W24))*AE24))</f>
        <v>0.93969263802333447</v>
      </c>
      <c r="AL24" s="629">
        <f t="shared" si="91"/>
        <v>1.1936327488670129E-2</v>
      </c>
      <c r="AM24" s="634">
        <f t="shared" si="92"/>
        <v>-0.34181174662499475</v>
      </c>
      <c r="AN24" s="581">
        <f t="shared" si="93"/>
        <v>1.9999997112358026</v>
      </c>
      <c r="AO24" s="582">
        <f t="shared" si="94"/>
        <v>19.999997112357704</v>
      </c>
      <c r="AP24" s="585">
        <f t="shared" si="95"/>
        <v>0.72775329008613454</v>
      </c>
      <c r="AQ24" s="586">
        <f t="shared" si="9"/>
        <v>0.9222117017603414</v>
      </c>
      <c r="AS24" s="52">
        <f t="shared" si="116"/>
        <v>-69.776741903054074</v>
      </c>
      <c r="AT24" s="72">
        <f t="shared" si="10"/>
        <v>-1.988906640855808E-2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140</v>
      </c>
      <c r="JI24" s="803" t="str">
        <v/>
      </c>
    </row>
    <row r="25" spans="1:269" ht="15" customHeight="1" x14ac:dyDescent="0.25">
      <c r="A25" s="79"/>
      <c r="B25" s="707">
        <v>3.0734414929106904</v>
      </c>
      <c r="C25" s="708">
        <v>1.0764820518945724</v>
      </c>
      <c r="D25" s="709">
        <v>-0.14170042736848867</v>
      </c>
      <c r="E25" s="710">
        <v>-0.18645163389532435</v>
      </c>
      <c r="F25" s="708">
        <v>0.92838143786289506</v>
      </c>
      <c r="G25" s="711">
        <v>0.32147114030560742</v>
      </c>
      <c r="H25" s="710">
        <v>0.314</v>
      </c>
      <c r="I25" s="708">
        <v>0.52</v>
      </c>
      <c r="J25" s="570">
        <v>2.1150000000000002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2.1150000000000002</v>
      </c>
      <c r="N25" s="632">
        <f t="shared" si="2"/>
        <v>3.0734414929106904</v>
      </c>
      <c r="O25" s="629">
        <f t="shared" si="3"/>
        <v>1.0764820518945724</v>
      </c>
      <c r="P25" s="633">
        <f t="shared" si="4"/>
        <v>-0.14170042736848867</v>
      </c>
      <c r="Q25" s="585">
        <f t="shared" si="113"/>
        <v>19.302958229820842</v>
      </c>
      <c r="R25" s="629">
        <f>IF(M25="","",SQRT(N25^2+O25^2))</f>
        <v>3.2565098216336219</v>
      </c>
      <c r="S25" s="634">
        <f>IF(M25="","",P25)</f>
        <v>-0.14170042736848867</v>
      </c>
      <c r="T25" s="635">
        <f>IF(M25="","",X25*COS(RADIANS(W25)))</f>
        <v>1.0884520301298855</v>
      </c>
      <c r="U25" s="629">
        <f>IF(M25="","",X25*SIN(RADIANS(W25)))</f>
        <v>-3.0692227674938124</v>
      </c>
      <c r="V25" s="636">
        <f>IF(M25="","",Y25)</f>
        <v>-0.14170042736848867</v>
      </c>
      <c r="W25" s="585">
        <f t="shared" si="224"/>
        <v>289.52625819758026</v>
      </c>
      <c r="X25" s="629">
        <f>IF(M25="","",R25)</f>
        <v>3.2565098216336219</v>
      </c>
      <c r="Y25" s="630">
        <f t="shared" si="223"/>
        <v>-0.14170042736848867</v>
      </c>
      <c r="Z25" s="632">
        <f t="shared" si="6"/>
        <v>0.18645163389532435</v>
      </c>
      <c r="AA25" s="629">
        <f t="shared" si="7"/>
        <v>-0.92838143786289506</v>
      </c>
      <c r="AB25" s="629">
        <f t="shared" si="8"/>
        <v>-0.32147114030560742</v>
      </c>
      <c r="AC25" s="636">
        <f>IF(M25="","",SQRT(Z25^2+AA25^2+AB25^2))</f>
        <v>1</v>
      </c>
      <c r="AD25" s="637">
        <f>IF(M25="","",Z25*(1/SQRT(Z25^2+AA25^2+AB25^2)))</f>
        <v>0.18645163389532435</v>
      </c>
      <c r="AE25" s="629">
        <f>IF(M25="","",AA25*(1/SQRT(Z25^2+AA25^2+AB25^2)))</f>
        <v>-0.92838143786289506</v>
      </c>
      <c r="AF25" s="633">
        <f>IF(M25="","",AB25*(1/SQRT(Z25^2+AA25^2+AB25^2)))</f>
        <v>-0.32147114030560742</v>
      </c>
      <c r="AG25" s="602">
        <f>IF(M25="","",DEGREES(ATAN2(-AF25,AE25)))</f>
        <v>-70.900537650961596</v>
      </c>
      <c r="AH25" s="603">
        <f>IF(M25="","",DEGREES(ACOS(AD25)))</f>
        <v>79.254222408092303</v>
      </c>
      <c r="AI25" s="585">
        <f>IF(M25="","",DEGREES(-ACOS(-AF25)))</f>
        <v>-71.248083433820781</v>
      </c>
      <c r="AJ25" s="586">
        <f>IF(M25="","",DEGREES(ATAN2(-AE25,AD25)))</f>
        <v>11.355935747632126</v>
      </c>
      <c r="AK25" s="635">
        <f>IF(M25="","",(COS(RADIANS((90-$Q$8)-W25))*AD25)+(-SIN(RADIANS((90-$Q$8)-W25))*AE25))</f>
        <v>0.93782547484490375</v>
      </c>
      <c r="AL25" s="629">
        <f>IF(M25="","",(SIN(RADIANS((90-$Q$8)-W25))*AD25)+(COS(RADIANS((90-$Q$8)-W25))*AE25))</f>
        <v>-0.13091861854810172</v>
      </c>
      <c r="AM25" s="634">
        <f>IF(M25="","",AF25)</f>
        <v>-0.32147114030560742</v>
      </c>
      <c r="AN25" s="581">
        <f>IF(M25="","",DEGREES(ATAN2(-AM25,AL25)))</f>
        <v>-22.158533518002919</v>
      </c>
      <c r="AO25" s="582">
        <f>IF(ROUND(IF(M25="",0,DEGREES(ACOS(AK25))),4)=90,0,IF(M25="","",DEGREES(ACOS(AK25))))</f>
        <v>20.310477673020713</v>
      </c>
      <c r="AP25" s="585">
        <f>IF(M25="","",DEGREES(ATAN2(AK25,AL25)))</f>
        <v>-7.9470224821887028</v>
      </c>
      <c r="AQ25" s="586">
        <f t="shared" si="9"/>
        <v>0.70001729586342543</v>
      </c>
      <c r="AS25" s="52">
        <f t="shared" si="116"/>
        <v>-70.473741802419738</v>
      </c>
      <c r="AT25" s="72">
        <f t="shared" si="10"/>
        <v>-9.2605259472530899E-2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2.1150000000000002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3.739288235821046</v>
      </c>
      <c r="C26" s="708">
        <v>1.2598234178327712</v>
      </c>
      <c r="D26" s="709">
        <v>-0.51620155686389568</v>
      </c>
      <c r="E26" s="710">
        <v>-6.3029596645526736E-2</v>
      </c>
      <c r="F26" s="708">
        <v>0.96562900986670919</v>
      </c>
      <c r="G26" s="711">
        <v>0.25216638406128045</v>
      </c>
      <c r="H26" s="710">
        <v>0.314</v>
      </c>
      <c r="I26" s="708">
        <v>0.52</v>
      </c>
      <c r="J26" s="570">
        <v>2.12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2.12</v>
      </c>
      <c r="N26" s="632">
        <f t="shared" si="2"/>
        <v>3.739288235821046</v>
      </c>
      <c r="O26" s="629">
        <f t="shared" si="3"/>
        <v>1.2598234178327712</v>
      </c>
      <c r="P26" s="633">
        <f t="shared" si="4"/>
        <v>-0.51620155686389568</v>
      </c>
      <c r="Q26" s="585">
        <f t="shared" si="113"/>
        <v>18.619458328506013</v>
      </c>
      <c r="R26" s="629">
        <f>IF(M26="","",SQRT(N26^2+O26^2))</f>
        <v>3.9458119005686925</v>
      </c>
      <c r="S26" s="634">
        <f>IF(M26="","",P26)</f>
        <v>-0.51620155686389568</v>
      </c>
      <c r="T26" s="635">
        <f>IF(M26="","",X26*COS(RADIANS(W26)))</f>
        <v>1.2743870147050005</v>
      </c>
      <c r="U26" s="629">
        <f>IF(M26="","",X26*SIN(RADIANS(W26)))</f>
        <v>-3.7343499155034725</v>
      </c>
      <c r="V26" s="636">
        <f>IF(M26="","",Y26)</f>
        <v>-0.51620155686389568</v>
      </c>
      <c r="W26" s="585">
        <f t="shared" si="224"/>
        <v>288.84275829626546</v>
      </c>
      <c r="X26" s="629">
        <f>IF(M26="","",R26)</f>
        <v>3.9458119005686925</v>
      </c>
      <c r="Y26" s="630">
        <f t="shared" si="223"/>
        <v>-0.51620155686389568</v>
      </c>
      <c r="Z26" s="632">
        <f t="shared" si="6"/>
        <v>6.3029596645526736E-2</v>
      </c>
      <c r="AA26" s="629">
        <f t="shared" si="7"/>
        <v>-0.96562900986670919</v>
      </c>
      <c r="AB26" s="629">
        <f t="shared" si="8"/>
        <v>-0.25216638406128045</v>
      </c>
      <c r="AC26" s="636">
        <f>IF(M26="","",SQRT(Z26^2+AA26^2+AB26^2))</f>
        <v>1</v>
      </c>
      <c r="AD26" s="637">
        <f>IF(M26="","",Z26*(1/SQRT(Z26^2+AA26^2+AB26^2)))</f>
        <v>6.3029596645526736E-2</v>
      </c>
      <c r="AE26" s="629">
        <f>IF(M26="","",AA26*(1/SQRT(Z26^2+AA26^2+AB26^2)))</f>
        <v>-0.96562900986670919</v>
      </c>
      <c r="AF26" s="633">
        <f>IF(M26="","",AB26*(1/SQRT(Z26^2+AA26^2+AB26^2)))</f>
        <v>-0.25216638406128045</v>
      </c>
      <c r="AG26" s="602">
        <f>IF(M26="","",DEGREES(ATAN2(-AF26,AE26)))</f>
        <v>-75.364507024629845</v>
      </c>
      <c r="AH26" s="603">
        <f>IF(M26="","",DEGREES(ACOS(AD26)))</f>
        <v>86.386274703168738</v>
      </c>
      <c r="AI26" s="585">
        <f>IF(M26="","",DEGREES(-ACOS(-AF26)))</f>
        <v>-75.394255254926762</v>
      </c>
      <c r="AJ26" s="586">
        <f>IF(M26="","",DEGREES(ATAN2(-AE26,AD26)))</f>
        <v>3.7345752076641285</v>
      </c>
      <c r="AK26" s="635">
        <f>IF(M26="","",(COS(RADIANS((90-$Q$8)-W26))*AD26)+(-SIN(RADIANS((90-$Q$8)-W26))*AE26))</f>
        <v>0.93521218233967285</v>
      </c>
      <c r="AL26" s="629">
        <f>IF(M26="","",(SIN(RADIANS((90-$Q$8)-W26))*AD26)+(COS(RADIANS((90-$Q$8)-W26))*AE26))</f>
        <v>-0.2485765249433772</v>
      </c>
      <c r="AM26" s="634">
        <f>IF(M26="","",AF26)</f>
        <v>-0.25216638406128045</v>
      </c>
      <c r="AN26" s="581">
        <f>IF(M26="","",DEGREES(ATAN2(-AM26,AL26)))</f>
        <v>-44.589249794312764</v>
      </c>
      <c r="AO26" s="582">
        <f t="shared" si="94"/>
        <v>20.737548447512701</v>
      </c>
      <c r="AP26" s="585">
        <f>IF(M26="","",DEGREES(ATAN2(AK26,AL26)))</f>
        <v>-14.884883120841879</v>
      </c>
      <c r="AQ26" s="586">
        <f t="shared" si="9"/>
        <v>0.57773898615660113</v>
      </c>
      <c r="AS26" s="52">
        <f t="shared" si="116"/>
        <v>-71.157241703734542</v>
      </c>
      <c r="AT26" s="72">
        <f t="shared" si="10"/>
        <v>-0.46663173625869153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4.2075342884079321</v>
      </c>
      <c r="C27" s="708">
        <v>1.3740523377239686</v>
      </c>
      <c r="D27" s="709">
        <v>-1.1200033779301879</v>
      </c>
      <c r="E27" s="710">
        <v>2.1115978203351191E-2</v>
      </c>
      <c r="F27" s="708">
        <v>0.98809591296846466</v>
      </c>
      <c r="G27" s="711">
        <v>0.15238301165002593</v>
      </c>
      <c r="H27" s="710">
        <v>0.314</v>
      </c>
      <c r="I27" s="708">
        <v>0.52</v>
      </c>
      <c r="J27" s="570">
        <v>2.125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2.125</v>
      </c>
      <c r="N27" s="632">
        <f t="shared" si="2"/>
        <v>4.2075342884079321</v>
      </c>
      <c r="O27" s="629">
        <f t="shared" si="3"/>
        <v>1.3740523377239686</v>
      </c>
      <c r="P27" s="633">
        <f t="shared" si="4"/>
        <v>-1.1200033779301879</v>
      </c>
      <c r="Q27" s="585">
        <f t="shared" si="113"/>
        <v>18.085458405606062</v>
      </c>
      <c r="R27" s="629">
        <f t="shared" si="79"/>
        <v>4.426213349459462</v>
      </c>
      <c r="S27" s="634">
        <f t="shared" si="80"/>
        <v>-1.1200033779301879</v>
      </c>
      <c r="T27" s="635">
        <f t="shared" si="81"/>
        <v>1.3904399670053096</v>
      </c>
      <c r="U27" s="629">
        <f t="shared" si="82"/>
        <v>-4.2021472264887887</v>
      </c>
      <c r="V27" s="636">
        <f t="shared" si="114"/>
        <v>-1.1200033779301879</v>
      </c>
      <c r="W27" s="585">
        <f t="shared" si="224"/>
        <v>288.30875837336549</v>
      </c>
      <c r="X27" s="629">
        <f t="shared" si="83"/>
        <v>4.426213349459462</v>
      </c>
      <c r="Y27" s="630">
        <f t="shared" si="223"/>
        <v>-1.1200033779301879</v>
      </c>
      <c r="Z27" s="632">
        <f t="shared" si="6"/>
        <v>-2.1115978203351191E-2</v>
      </c>
      <c r="AA27" s="629">
        <f t="shared" si="7"/>
        <v>-0.98809591296846466</v>
      </c>
      <c r="AB27" s="629">
        <f t="shared" si="8"/>
        <v>-0.15238301165002593</v>
      </c>
      <c r="AC27" s="636">
        <f t="shared" si="84"/>
        <v>1</v>
      </c>
      <c r="AD27" s="637">
        <f t="shared" si="115"/>
        <v>-2.1115978203351191E-2</v>
      </c>
      <c r="AE27" s="629">
        <f t="shared" si="85"/>
        <v>-0.98809591296846466</v>
      </c>
      <c r="AF27" s="633">
        <f t="shared" si="86"/>
        <v>-0.15238301165002593</v>
      </c>
      <c r="AG27" s="602">
        <f t="shared" si="87"/>
        <v>-81.232978933943187</v>
      </c>
      <c r="AH27" s="603">
        <f t="shared" si="88"/>
        <v>91.209946358766018</v>
      </c>
      <c r="AI27" s="585">
        <f t="shared" si="89"/>
        <v>-81.234949086081727</v>
      </c>
      <c r="AJ27" s="586">
        <f t="shared" si="90"/>
        <v>-1.2242458331486978</v>
      </c>
      <c r="AK27" s="635">
        <f t="shared" si="211"/>
        <v>0.93272344753582315</v>
      </c>
      <c r="AL27" s="629">
        <f t="shared" si="91"/>
        <v>-0.3268124663738467</v>
      </c>
      <c r="AM27" s="634">
        <f t="shared" si="92"/>
        <v>-0.15238301165002593</v>
      </c>
      <c r="AN27" s="581">
        <f t="shared" si="93"/>
        <v>-65.001748841921582</v>
      </c>
      <c r="AO27" s="582">
        <f t="shared" si="94"/>
        <v>21.136589578917548</v>
      </c>
      <c r="AP27" s="585">
        <f t="shared" si="95"/>
        <v>-19.309704238754748</v>
      </c>
      <c r="AQ27" s="586">
        <f t="shared" si="9"/>
        <v>0.51503735768112713</v>
      </c>
      <c r="AS27" s="52">
        <f t="shared" si="116"/>
        <v>-71.691241626634508</v>
      </c>
      <c r="AT27" s="72">
        <f t="shared" si="10"/>
        <v>-1.0700627240451921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2.125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4.4145236128498793</v>
      </c>
      <c r="C28" s="708">
        <v>1.4207453145515676</v>
      </c>
      <c r="D28" s="709">
        <v>-1.8386055452343246</v>
      </c>
      <c r="E28" s="710">
        <v>9.6785661102269882E-2</v>
      </c>
      <c r="F28" s="708">
        <v>0.99318784604843791</v>
      </c>
      <c r="G28" s="711">
        <v>6.4887889984658373E-2</v>
      </c>
      <c r="H28" s="710">
        <v>0.314</v>
      </c>
      <c r="I28" s="708">
        <v>0.52</v>
      </c>
      <c r="J28" s="570">
        <v>2.13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2.13</v>
      </c>
      <c r="N28" s="632">
        <f t="shared" si="2"/>
        <v>4.4145236128498793</v>
      </c>
      <c r="O28" s="629">
        <f t="shared" si="3"/>
        <v>1.4207453145515676</v>
      </c>
      <c r="P28" s="633">
        <f t="shared" si="4"/>
        <v>-1.8386055452343246</v>
      </c>
      <c r="Q28" s="585">
        <f t="shared" si="113"/>
        <v>17.83995844105187</v>
      </c>
      <c r="R28" s="629">
        <f t="shared" si="79"/>
        <v>4.6375139867421842</v>
      </c>
      <c r="S28" s="634">
        <f t="shared" si="80"/>
        <v>-1.8386055452343246</v>
      </c>
      <c r="T28" s="635">
        <f t="shared" si="81"/>
        <v>1.4379392907419506</v>
      </c>
      <c r="U28" s="629">
        <f t="shared" si="82"/>
        <v>-4.4089530019461449</v>
      </c>
      <c r="V28" s="636">
        <f t="shared" si="114"/>
        <v>-1.8386055452343246</v>
      </c>
      <c r="W28" s="585">
        <f t="shared" si="224"/>
        <v>288.06325840881129</v>
      </c>
      <c r="X28" s="629">
        <f t="shared" si="83"/>
        <v>4.6375139867421842</v>
      </c>
      <c r="Y28" s="630">
        <f t="shared" si="223"/>
        <v>-1.8386055452343246</v>
      </c>
      <c r="Z28" s="632">
        <f t="shared" si="6"/>
        <v>-9.6785661102269882E-2</v>
      </c>
      <c r="AA28" s="629">
        <f t="shared" si="7"/>
        <v>-0.99318784604843791</v>
      </c>
      <c r="AB28" s="629">
        <f t="shared" si="8"/>
        <v>-6.4887889984658373E-2</v>
      </c>
      <c r="AC28" s="636">
        <f t="shared" si="84"/>
        <v>1</v>
      </c>
      <c r="AD28" s="637">
        <f t="shared" si="115"/>
        <v>-9.6785661102269882E-2</v>
      </c>
      <c r="AE28" s="629">
        <f t="shared" si="85"/>
        <v>-0.99318784604843791</v>
      </c>
      <c r="AF28" s="633">
        <f t="shared" si="86"/>
        <v>-6.4887889984658373E-2</v>
      </c>
      <c r="AG28" s="602">
        <f t="shared" si="87"/>
        <v>-86.262010176037109</v>
      </c>
      <c r="AH28" s="603">
        <f t="shared" si="88"/>
        <v>95.554104336929115</v>
      </c>
      <c r="AI28" s="585">
        <f t="shared" si="89"/>
        <v>-86.279583877346099</v>
      </c>
      <c r="AJ28" s="586">
        <f t="shared" si="90"/>
        <v>-5.5658709937907398</v>
      </c>
      <c r="AK28" s="635">
        <f t="shared" si="211"/>
        <v>0.91578018653760596</v>
      </c>
      <c r="AL28" s="629">
        <f t="shared" si="91"/>
        <v>-0.3964041014904951</v>
      </c>
      <c r="AM28" s="634">
        <f t="shared" si="92"/>
        <v>-6.4887889984658373E-2</v>
      </c>
      <c r="AN28" s="581">
        <f t="shared" si="93"/>
        <v>-80.70362768076518</v>
      </c>
      <c r="AO28" s="582">
        <f t="shared" si="94"/>
        <v>23.683232048729998</v>
      </c>
      <c r="AP28" s="585">
        <f t="shared" si="95"/>
        <v>-23.405829434842619</v>
      </c>
      <c r="AQ28" s="586">
        <f t="shared" si="9"/>
        <v>0.49157171328726484</v>
      </c>
      <c r="AS28" s="52">
        <f t="shared" si="116"/>
        <v>-71.936741591188706</v>
      </c>
      <c r="AT28" s="72">
        <f t="shared" si="10"/>
        <v>-1.7884944052628329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2.13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4.5135893052598286</v>
      </c>
      <c r="C29" s="708">
        <v>1.4438437565900617</v>
      </c>
      <c r="D29" s="709">
        <v>-2.4915075143866638</v>
      </c>
      <c r="E29" s="710">
        <v>0.29815348014637372</v>
      </c>
      <c r="F29" s="708">
        <v>0.94738000426264768</v>
      </c>
      <c r="G29" s="711">
        <v>0.1165145046760778</v>
      </c>
      <c r="H29" s="710">
        <v>0.26600000000000001</v>
      </c>
      <c r="I29" s="708">
        <v>0.52</v>
      </c>
      <c r="J29" s="570">
        <v>2.1349999999999998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2.1349999999999998</v>
      </c>
      <c r="N29" s="632">
        <f t="shared" si="2"/>
        <v>4.5135893052598286</v>
      </c>
      <c r="O29" s="629">
        <f t="shared" si="3"/>
        <v>1.4438437565900617</v>
      </c>
      <c r="P29" s="633">
        <f t="shared" si="4"/>
        <v>-2.4915075143866638</v>
      </c>
      <c r="Q29" s="585">
        <f t="shared" si="113"/>
        <v>17.738858455648899</v>
      </c>
      <c r="R29" s="629">
        <f>IF(M29="","",SQRT(N29^2+O29^2))</f>
        <v>4.7389000000000001</v>
      </c>
      <c r="S29" s="634">
        <f>IF(M29="","",P29)</f>
        <v>-2.4915075143866638</v>
      </c>
      <c r="T29" s="635">
        <f>IF(M29="","",X29*COS(RADIANS(W29)))</f>
        <v>1.4614236470513546</v>
      </c>
      <c r="U29" s="629">
        <f>IF(M29="","",X29*SIN(RADIANS(W29)))</f>
        <v>-4.5079279202133566</v>
      </c>
      <c r="V29" s="636">
        <f>IF(M29="","",Y29)</f>
        <v>-2.4915075143866638</v>
      </c>
      <c r="W29" s="585">
        <f t="shared" si="224"/>
        <v>287.96215842340831</v>
      </c>
      <c r="X29" s="629">
        <f>IF(M29="","",R29)</f>
        <v>4.7389000000000001</v>
      </c>
      <c r="Y29" s="630">
        <f t="shared" si="223"/>
        <v>-2.4915075143866638</v>
      </c>
      <c r="Z29" s="632">
        <f t="shared" si="6"/>
        <v>-0.29815348014637372</v>
      </c>
      <c r="AA29" s="629">
        <f t="shared" si="7"/>
        <v>-0.94738000426264768</v>
      </c>
      <c r="AB29" s="629">
        <f t="shared" si="8"/>
        <v>-0.1165145046760778</v>
      </c>
      <c r="AC29" s="636">
        <f>IF(M29="","",SQRT(Z29^2+AA29^2+AB29^2))</f>
        <v>1</v>
      </c>
      <c r="AD29" s="637">
        <f>IF(M29="","",Z29*(1/SQRT(Z29^2+AA29^2+AB29^2)))</f>
        <v>-0.29815348014637372</v>
      </c>
      <c r="AE29" s="629">
        <f>IF(M29="","",AA29*(1/SQRT(Z29^2+AA29^2+AB29^2)))</f>
        <v>-0.94738000426264768</v>
      </c>
      <c r="AF29" s="633">
        <f>IF(M29="","",AB29*(1/SQRT(Z29^2+AA29^2+AB29^2)))</f>
        <v>-0.1165145046760778</v>
      </c>
      <c r="AG29" s="602">
        <f>IF(M29="","",DEGREES(ATAN2(-AF29,AE29)))</f>
        <v>-82.988628447982407</v>
      </c>
      <c r="AH29" s="603">
        <f>IF(M29="","",DEGREES(ACOS(AD29)))</f>
        <v>107.34673056708002</v>
      </c>
      <c r="AI29" s="585">
        <f>IF(M29="","",DEGREES(-ACOS(-AF29)))</f>
        <v>-83.309012928251477</v>
      </c>
      <c r="AJ29" s="586">
        <f>IF(M29="","",DEGREES(ATAN2(-AE29,AD29)))</f>
        <v>-17.469503810178619</v>
      </c>
      <c r="AK29" s="635">
        <f>IF(M29="","",(COS(RADIANS((90-$Q$8)-W29))*AD29)+(-SIN(RADIANS((90-$Q$8)-W29))*AE29))</f>
        <v>0.81149575100592064</v>
      </c>
      <c r="AL29" s="629">
        <f>IF(M29="","",(SIN(RADIANS((90-$Q$8)-W29))*AD29)+(COS(RADIANS((90-$Q$8)-W29))*AE29))</f>
        <v>-0.57262467314937204</v>
      </c>
      <c r="AM29" s="634">
        <f>IF(M29="","",AF29)</f>
        <v>-0.1165145046760778</v>
      </c>
      <c r="AN29" s="581">
        <f>IF(M29="","",DEGREES(ATAN2(-AM29,AL29)))</f>
        <v>-78.498779946556567</v>
      </c>
      <c r="AO29" s="582">
        <f t="shared" si="94"/>
        <v>35.757671184574782</v>
      </c>
      <c r="AP29" s="585">
        <f>IF(M29="","",DEGREES(ATAN2(AK29,AL29)))</f>
        <v>-35.208362265827503</v>
      </c>
      <c r="AQ29" s="586">
        <f t="shared" si="9"/>
        <v>0.48105532161341336</v>
      </c>
      <c r="AS29" s="52">
        <f t="shared" si="116"/>
        <v>-72.037841576591688</v>
      </c>
      <c r="AT29" s="72">
        <f t="shared" si="10"/>
        <v>-2.4413261660919754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2.1349999999999998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15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4.5135893052598286</v>
      </c>
      <c r="C30" s="708">
        <v>1.4438437565900617</v>
      </c>
      <c r="D30" s="709">
        <v>-3.0953093354529564</v>
      </c>
      <c r="E30" s="710">
        <v>0.29815348014637372</v>
      </c>
      <c r="F30" s="708">
        <v>0.94738000426264768</v>
      </c>
      <c r="G30" s="711">
        <v>0.1165145046760778</v>
      </c>
      <c r="H30" s="710">
        <v>0.26600000000000001</v>
      </c>
      <c r="I30" s="708">
        <v>0.52</v>
      </c>
      <c r="J30" s="570">
        <v>2.14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2.14</v>
      </c>
      <c r="N30" s="632">
        <f t="shared" si="2"/>
        <v>4.5135893052598286</v>
      </c>
      <c r="O30" s="629">
        <f t="shared" si="3"/>
        <v>1.4438437565900617</v>
      </c>
      <c r="P30" s="633">
        <f t="shared" si="4"/>
        <v>-3.0953093354529564</v>
      </c>
      <c r="Q30" s="585">
        <f t="shared" si="113"/>
        <v>17.738858455648899</v>
      </c>
      <c r="R30" s="629">
        <f>IF(M30="","",SQRT(N30^2+O30^2))</f>
        <v>4.7389000000000001</v>
      </c>
      <c r="S30" s="634">
        <f>IF(M30="","",P30)</f>
        <v>-3.0953093354529564</v>
      </c>
      <c r="T30" s="635">
        <f>IF(M30="","",X30*COS(RADIANS(W30)))</f>
        <v>1.4614236470513546</v>
      </c>
      <c r="U30" s="629">
        <f>IF(M30="","",X30*SIN(RADIANS(W30)))</f>
        <v>-4.5079279202133566</v>
      </c>
      <c r="V30" s="636">
        <f>IF(M30="","",Y30)</f>
        <v>-3.0953093354529564</v>
      </c>
      <c r="W30" s="585">
        <f t="shared" si="224"/>
        <v>287.96215842340831</v>
      </c>
      <c r="X30" s="629">
        <f>IF(M30="","",R30)</f>
        <v>4.7389000000000001</v>
      </c>
      <c r="Y30" s="630">
        <f t="shared" si="223"/>
        <v>-3.0953093354529564</v>
      </c>
      <c r="Z30" s="632">
        <f t="shared" si="6"/>
        <v>-0.29815348014637372</v>
      </c>
      <c r="AA30" s="629">
        <f t="shared" si="7"/>
        <v>-0.94738000426264768</v>
      </c>
      <c r="AB30" s="629">
        <f t="shared" si="8"/>
        <v>-0.1165145046760778</v>
      </c>
      <c r="AC30" s="636">
        <f>IF(M30="","",SQRT(Z30^2+AA30^2+AB30^2))</f>
        <v>1</v>
      </c>
      <c r="AD30" s="637">
        <f>IF(M30="","",Z30*(1/SQRT(Z30^2+AA30^2+AB30^2)))</f>
        <v>-0.29815348014637372</v>
      </c>
      <c r="AE30" s="629">
        <f>IF(M30="","",AA30*(1/SQRT(Z30^2+AA30^2+AB30^2)))</f>
        <v>-0.94738000426264768</v>
      </c>
      <c r="AF30" s="633">
        <f>IF(M30="","",AB30*(1/SQRT(Z30^2+AA30^2+AB30^2)))</f>
        <v>-0.1165145046760778</v>
      </c>
      <c r="AG30" s="602">
        <f>IF(M30="","",DEGREES(ATAN2(-AF30,AE30)))</f>
        <v>-82.988628447982407</v>
      </c>
      <c r="AH30" s="603">
        <f>IF(M30="","",DEGREES(ACOS(AD30)))</f>
        <v>107.34673056708002</v>
      </c>
      <c r="AI30" s="585">
        <f>IF(M30="","",DEGREES(-ACOS(-AF30)))</f>
        <v>-83.309012928251477</v>
      </c>
      <c r="AJ30" s="586">
        <f>IF(M30="","",DEGREES(ATAN2(-AE30,AD30)))</f>
        <v>-17.469503810178619</v>
      </c>
      <c r="AK30" s="635">
        <f>IF(M30="","",(COS(RADIANS((90-$Q$8)-W30))*AD30)+(-SIN(RADIANS((90-$Q$8)-W30))*AE30))</f>
        <v>0.81149575100592064</v>
      </c>
      <c r="AL30" s="629">
        <f>IF(M30="","",(SIN(RADIANS((90-$Q$8)-W30))*AD30)+(COS(RADIANS((90-$Q$8)-W30))*AE30))</f>
        <v>-0.57262467314937204</v>
      </c>
      <c r="AM30" s="634">
        <f>IF(M30="","",AF30)</f>
        <v>-0.1165145046760778</v>
      </c>
      <c r="AN30" s="581">
        <f>IF(M30="","",DEGREES(ATAN2(-AM30,AL30)))</f>
        <v>-78.498779946556567</v>
      </c>
      <c r="AO30" s="582">
        <f>IF(ROUND(IF(M30="",0,DEGREES(ACOS(AK30))),4)=90,0,IF(M30="","",DEGREES(ACOS(AK30))))</f>
        <v>35.757671184574782</v>
      </c>
      <c r="AP30" s="585">
        <f>IF(M30="","",DEGREES(ATAN2(AK30,AL30)))</f>
        <v>-35.208362265827503</v>
      </c>
      <c r="AQ30" s="586">
        <f t="shared" si="9"/>
        <v>0.48105532161341336</v>
      </c>
      <c r="AS30" s="52">
        <f t="shared" si="116"/>
        <v>-72.037841576591688</v>
      </c>
      <c r="AT30" s="72">
        <f t="shared" si="10"/>
        <v>-3.0451279871582679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2.14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140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3.2654569384732306</v>
      </c>
      <c r="C31" s="708">
        <v>0.11402987978143017</v>
      </c>
      <c r="D31" s="709">
        <v>-9.2685430970176022E-2</v>
      </c>
      <c r="E31" s="710">
        <v>0.11557454972158593</v>
      </c>
      <c r="F31" s="708">
        <v>0.90909416753915484</v>
      </c>
      <c r="G31" s="711">
        <v>0.40023782680169534</v>
      </c>
      <c r="H31" s="710">
        <v>0.26600000000000001</v>
      </c>
      <c r="I31" s="708">
        <v>0.52</v>
      </c>
      <c r="J31" s="570">
        <v>2.2149999999999999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2.2149999999999999</v>
      </c>
      <c r="N31" s="632">
        <f t="shared" si="2"/>
        <v>3.2654569384732306</v>
      </c>
      <c r="O31" s="629">
        <f t="shared" si="3"/>
        <v>0.11402987978143017</v>
      </c>
      <c r="P31" s="633">
        <f t="shared" si="4"/>
        <v>-9.2685430970176022E-2</v>
      </c>
      <c r="Q31" s="585">
        <f t="shared" si="113"/>
        <v>1.9999581291865032</v>
      </c>
      <c r="R31" s="629">
        <f>IF(M31="","",SQRT(N31^2+O31^2))</f>
        <v>3.2674472957502978</v>
      </c>
      <c r="S31" s="634">
        <f>IF(M31="","",P31)</f>
        <v>-9.2685430970176022E-2</v>
      </c>
      <c r="T31" s="635">
        <f>IF(M31="","",X31*COS(RADIANS(W31)))</f>
        <v>0.12675551107487079</v>
      </c>
      <c r="U31" s="629">
        <f>IF(M31="","",X31*SIN(RADIANS(W31)))</f>
        <v>-3.264987729060874</v>
      </c>
      <c r="V31" s="636">
        <f>IF(M31="","",Y31)</f>
        <v>-9.2685430970176022E-2</v>
      </c>
      <c r="W31" s="585">
        <f t="shared" si="224"/>
        <v>272.22325809694593</v>
      </c>
      <c r="X31" s="629">
        <f>IF(M31="","",R31)</f>
        <v>3.2674472957502978</v>
      </c>
      <c r="Y31" s="630">
        <f t="shared" si="223"/>
        <v>-9.2685430970176022E-2</v>
      </c>
      <c r="Z31" s="632">
        <f t="shared" si="6"/>
        <v>-0.11557454972158593</v>
      </c>
      <c r="AA31" s="629">
        <f t="shared" si="7"/>
        <v>-0.90909416753915484</v>
      </c>
      <c r="AB31" s="629">
        <f t="shared" si="8"/>
        <v>-0.40023782680169534</v>
      </c>
      <c r="AC31" s="636">
        <f>IF(M31="","",SQRT(Z31^2+AA31^2+AB31^2))</f>
        <v>1</v>
      </c>
      <c r="AD31" s="637">
        <f>IF(M31="","",Z31*(1/SQRT(Z31^2+AA31^2+AB31^2)))</f>
        <v>-0.11557454972158593</v>
      </c>
      <c r="AE31" s="629">
        <f>IF(M31="","",AA31*(1/SQRT(Z31^2+AA31^2+AB31^2)))</f>
        <v>-0.90909416753915484</v>
      </c>
      <c r="AF31" s="633">
        <f>IF(M31="","",AB31*(1/SQRT(Z31^2+AA31^2+AB31^2)))</f>
        <v>-0.40023782680169534</v>
      </c>
      <c r="AG31" s="602">
        <f>IF(M31="","",DEGREES(ATAN2(-AF31,AE31)))</f>
        <v>-66.238024544483466</v>
      </c>
      <c r="AH31" s="603">
        <f>IF(M31="","",DEGREES(ACOS(AD31)))</f>
        <v>96.636765296175767</v>
      </c>
      <c r="AI31" s="585">
        <f>IF(M31="","",DEGREES(-ACOS(-AF31)))</f>
        <v>-66.406952979798504</v>
      </c>
      <c r="AJ31" s="586">
        <f>IF(M31="","",DEGREES(ATAN2(-AE31,AD31)))</f>
        <v>-7.2452344923306091</v>
      </c>
      <c r="AK31" s="635">
        <f>IF(M31="","",(COS(RADIANS((90-$Q$8)-W31))*AD31)+(-SIN(RADIANS((90-$Q$8)-W31))*AE31))</f>
        <v>0.90450698591209688</v>
      </c>
      <c r="AL31" s="629">
        <f>IF(M31="","",(SIN(RADIANS((90-$Q$8)-W31))*AD31)+(COS(RADIANS((90-$Q$8)-W31))*AE31))</f>
        <v>-0.14723041273211865</v>
      </c>
      <c r="AM31" s="634">
        <f>IF(M31="","",AF31)</f>
        <v>-0.40023782680169534</v>
      </c>
      <c r="AN31" s="581">
        <f>IF(M31="","",DEGREES(ATAN2(-AM31,AL31)))</f>
        <v>-20.196414714057859</v>
      </c>
      <c r="AO31" s="582">
        <f t="shared" si="94"/>
        <v>25.243036005813202</v>
      </c>
      <c r="AP31" s="585">
        <f>IF(M31="","",DEGREES(ATAN2(AK31,AL31)))</f>
        <v>-9.245192621517111</v>
      </c>
      <c r="AQ31" s="586">
        <f t="shared" si="9"/>
        <v>0.6976742854672886</v>
      </c>
      <c r="AS31" s="52">
        <f t="shared" si="116"/>
        <v>-87.776741903054074</v>
      </c>
      <c r="AT31" s="72">
        <f t="shared" si="10"/>
        <v>-3.1574290782111075E-2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Nose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2.2149999999999999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2.1150000000000002</v>
      </c>
      <c r="II31" s="734" cm="1">
        <f t="array" ref="II31">IFERROR(IF($IH31&lt;1,$IH31+LARGE((IF($M$9:$M$150="",0,$M$9:$M$150)-MOD(IF($M$9:$M$150="",0,$M$9:$M$150),1)),1),$IH31),"")</f>
        <v>2.1150000000000002</v>
      </c>
      <c r="IJ31" s="533">
        <f t="shared" si="112"/>
        <v>1613</v>
      </c>
      <c r="IK31" s="533">
        <f t="shared" si="66"/>
        <v>1313</v>
      </c>
      <c r="IL31" s="727">
        <f t="shared" si="225"/>
        <v>17.303000100634335</v>
      </c>
      <c r="IM31" s="759">
        <v>3.7548756726090101E-3</v>
      </c>
      <c r="IN31" s="5">
        <f t="shared" si="226"/>
        <v>0.06</v>
      </c>
      <c r="IO31" s="771">
        <v>30</v>
      </c>
      <c r="IP31" s="9">
        <f t="shared" si="227"/>
        <v>-3.2565098216336219</v>
      </c>
      <c r="IQ31" s="5">
        <f t="shared" si="228"/>
        <v>-0.14170042736848867</v>
      </c>
      <c r="IR31" s="5">
        <f t="shared" si="71"/>
        <v>0.314</v>
      </c>
      <c r="IS31" s="5">
        <f t="shared" si="229"/>
        <v>0.29447719910129977</v>
      </c>
      <c r="IT31" s="727">
        <f t="shared" si="230"/>
        <v>22.158533518002919</v>
      </c>
      <c r="IU31" s="9">
        <f t="shared" si="231"/>
        <v>-3.2674472957502978</v>
      </c>
      <c r="IV31" s="5">
        <f t="shared" si="232"/>
        <v>-9.2685430970176022E-2</v>
      </c>
      <c r="IW31" s="5">
        <f t="shared" si="76"/>
        <v>0.26600000000000001</v>
      </c>
      <c r="IX31" s="5">
        <f t="shared" si="233"/>
        <v>0.24059885825261781</v>
      </c>
      <c r="IY31" s="762">
        <f t="shared" si="234"/>
        <v>20.196414714057859</v>
      </c>
    </row>
    <row r="32" spans="1:269" ht="15" customHeight="1" x14ac:dyDescent="0.25">
      <c r="A32" s="79"/>
      <c r="B32" s="707">
        <v>3.9617742931259206</v>
      </c>
      <c r="C32" s="708">
        <v>0.27963032130702054</v>
      </c>
      <c r="D32" s="709">
        <v>-0.47196589170835934</v>
      </c>
      <c r="E32" s="710">
        <v>0.22275594631281737</v>
      </c>
      <c r="F32" s="708">
        <v>0.91995309907719403</v>
      </c>
      <c r="G32" s="711">
        <v>0.32259275236828822</v>
      </c>
      <c r="H32" s="710">
        <v>0.26600000000000001</v>
      </c>
      <c r="I32" s="708">
        <v>0.52</v>
      </c>
      <c r="J32" s="570">
        <v>2.2200000000000002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2.2200000000000002</v>
      </c>
      <c r="N32" s="632">
        <f t="shared" si="2"/>
        <v>3.9617742931259206</v>
      </c>
      <c r="O32" s="629">
        <f t="shared" si="3"/>
        <v>0.27963032130702054</v>
      </c>
      <c r="P32" s="633">
        <f t="shared" si="4"/>
        <v>-0.47196589170835934</v>
      </c>
      <c r="Q32" s="585">
        <f t="shared" si="113"/>
        <v>4.0373604339004538</v>
      </c>
      <c r="R32" s="629">
        <f t="shared" si="79"/>
        <v>3.9716304795722945</v>
      </c>
      <c r="S32" s="634">
        <f t="shared" si="80"/>
        <v>-0.47196589170835934</v>
      </c>
      <c r="T32" s="635">
        <f t="shared" si="81"/>
        <v>0.29506845938502374</v>
      </c>
      <c r="U32" s="629">
        <f t="shared" si="82"/>
        <v>-3.9606543992809828</v>
      </c>
      <c r="V32" s="636">
        <f t="shared" si="114"/>
        <v>-0.47196589170835934</v>
      </c>
      <c r="W32" s="585">
        <f t="shared" si="224"/>
        <v>274.26066040165989</v>
      </c>
      <c r="X32" s="629">
        <f t="shared" si="83"/>
        <v>3.9716304795722945</v>
      </c>
      <c r="Y32" s="630">
        <f t="shared" si="223"/>
        <v>-0.47196589170835934</v>
      </c>
      <c r="Z32" s="632">
        <f t="shared" si="6"/>
        <v>-0.22275594631281737</v>
      </c>
      <c r="AA32" s="629">
        <f t="shared" si="7"/>
        <v>-0.91995309907719403</v>
      </c>
      <c r="AB32" s="629">
        <f t="shared" si="8"/>
        <v>-0.32259275236828822</v>
      </c>
      <c r="AC32" s="636">
        <f t="shared" si="84"/>
        <v>1</v>
      </c>
      <c r="AD32" s="637">
        <f t="shared" si="115"/>
        <v>-0.22275594631281737</v>
      </c>
      <c r="AE32" s="629">
        <f t="shared" si="85"/>
        <v>-0.91995309907719403</v>
      </c>
      <c r="AF32" s="633">
        <f t="shared" si="86"/>
        <v>-0.32259275236828822</v>
      </c>
      <c r="AG32" s="602">
        <f t="shared" si="87"/>
        <v>-70.676161481106021</v>
      </c>
      <c r="AH32" s="603">
        <f t="shared" si="88"/>
        <v>102.87095473653235</v>
      </c>
      <c r="AI32" s="585">
        <f t="shared" si="89"/>
        <v>-71.180203759796186</v>
      </c>
      <c r="AJ32" s="586">
        <f t="shared" si="90"/>
        <v>-13.611523877899907</v>
      </c>
      <c r="AK32" s="635">
        <f t="shared" si="211"/>
        <v>0.90198653686201746</v>
      </c>
      <c r="AL32" s="629">
        <f t="shared" si="91"/>
        <v>-0.2869742208615903</v>
      </c>
      <c r="AM32" s="634">
        <f t="shared" si="92"/>
        <v>-0.32259275236828822</v>
      </c>
      <c r="AN32" s="581">
        <f t="shared" si="93"/>
        <v>-41.655866050633044</v>
      </c>
      <c r="AO32" s="582">
        <f t="shared" si="94"/>
        <v>25.579570179893246</v>
      </c>
      <c r="AP32" s="585">
        <f t="shared" si="95"/>
        <v>-17.648884311800373</v>
      </c>
      <c r="AQ32" s="586">
        <f t="shared" si="9"/>
        <v>0.57398350122431052</v>
      </c>
      <c r="AS32" s="52">
        <f t="shared" si="116"/>
        <v>-85.739339598340109</v>
      </c>
      <c r="AT32" s="72">
        <f t="shared" si="10"/>
        <v>-0.41226961423190134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2.2200000000000002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</v>
      </c>
      <c r="II32" s="734" cm="1">
        <f t="array" ref="II32">IFERROR(IF($IH32&lt;1,$IH32+LARGE((IF($M$9:$M$150="",0,$M$9:$M$150)-MOD(IF($M$9:$M$150="",0,$M$9:$M$150),1)),1),$IH32),"")</f>
        <v>2.12</v>
      </c>
      <c r="IJ32" s="533">
        <f t="shared" si="112"/>
        <v>1613</v>
      </c>
      <c r="IK32" s="533">
        <f t="shared" si="66"/>
        <v>1313</v>
      </c>
      <c r="IL32" s="727">
        <f t="shared" si="225"/>
        <v>14.582097894605567</v>
      </c>
      <c r="IM32" s="759">
        <v>2.72519189644616E-3</v>
      </c>
      <c r="IN32" s="5">
        <f t="shared" si="226"/>
        <v>0.04</v>
      </c>
      <c r="IO32" s="771">
        <v>20</v>
      </c>
      <c r="IP32" s="9">
        <f t="shared" si="227"/>
        <v>-3.9458119005686925</v>
      </c>
      <c r="IQ32" s="5">
        <f t="shared" si="228"/>
        <v>-0.51620155686389568</v>
      </c>
      <c r="IR32" s="5">
        <f t="shared" si="71"/>
        <v>0.314</v>
      </c>
      <c r="IS32" s="5">
        <f t="shared" si="229"/>
        <v>0.2936566252546573</v>
      </c>
      <c r="IT32" s="727">
        <f t="shared" si="230"/>
        <v>44.589249794312764</v>
      </c>
      <c r="IU32" s="9">
        <f t="shared" si="231"/>
        <v>-3.9716304795722945</v>
      </c>
      <c r="IV32" s="5">
        <f t="shared" si="232"/>
        <v>-0.47196589170835934</v>
      </c>
      <c r="IW32" s="5">
        <f t="shared" si="76"/>
        <v>0.26600000000000001</v>
      </c>
      <c r="IX32" s="5">
        <f t="shared" si="233"/>
        <v>0.23992841880529669</v>
      </c>
      <c r="IY32" s="762">
        <f t="shared" si="234"/>
        <v>41.655866050633044</v>
      </c>
    </row>
    <row r="33" spans="1:267" ht="15" customHeight="1" x14ac:dyDescent="0.25">
      <c r="A33" s="79"/>
      <c r="B33" s="707">
        <v>4.4468145238188459</v>
      </c>
      <c r="C33" s="708">
        <v>0.39756077027398429</v>
      </c>
      <c r="D33" s="709">
        <v>-1.084840853298531</v>
      </c>
      <c r="E33" s="710">
        <v>0.30204579558427969</v>
      </c>
      <c r="F33" s="708">
        <v>0.93017820499813708</v>
      </c>
      <c r="G33" s="711">
        <v>0.20865484493848552</v>
      </c>
      <c r="H33" s="710">
        <v>0.26600000000000001</v>
      </c>
      <c r="I33" s="708">
        <v>0.52</v>
      </c>
      <c r="J33" s="570">
        <v>2.2250000000000001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2.2250000000000001</v>
      </c>
      <c r="N33" s="632">
        <f t="shared" si="2"/>
        <v>4.4468145238188459</v>
      </c>
      <c r="O33" s="629">
        <f t="shared" si="3"/>
        <v>0.39756077027398429</v>
      </c>
      <c r="P33" s="633">
        <f t="shared" si="4"/>
        <v>-1.084840853298531</v>
      </c>
      <c r="Q33" s="585">
        <f t="shared" si="113"/>
        <v>5.1088602791950226</v>
      </c>
      <c r="R33" s="629">
        <f t="shared" si="79"/>
        <v>4.464550814506099</v>
      </c>
      <c r="S33" s="634">
        <f t="shared" si="80"/>
        <v>-1.084840853298531</v>
      </c>
      <c r="T33" s="635">
        <f t="shared" si="81"/>
        <v>0.41488836476444907</v>
      </c>
      <c r="U33" s="629">
        <f t="shared" si="82"/>
        <v>-4.4452313348227621</v>
      </c>
      <c r="V33" s="636">
        <f t="shared" si="114"/>
        <v>-1.084840853298531</v>
      </c>
      <c r="W33" s="585">
        <f t="shared" si="224"/>
        <v>275.33216024695446</v>
      </c>
      <c r="X33" s="629">
        <f t="shared" si="83"/>
        <v>4.464550814506099</v>
      </c>
      <c r="Y33" s="630">
        <f t="shared" si="223"/>
        <v>-1.084840853298531</v>
      </c>
      <c r="Z33" s="632">
        <f t="shared" si="6"/>
        <v>-0.30204579558427969</v>
      </c>
      <c r="AA33" s="629">
        <f t="shared" si="7"/>
        <v>-0.93017820499813708</v>
      </c>
      <c r="AB33" s="629">
        <f t="shared" si="8"/>
        <v>-0.20865484493848552</v>
      </c>
      <c r="AC33" s="636">
        <f t="shared" si="84"/>
        <v>1</v>
      </c>
      <c r="AD33" s="637">
        <f t="shared" si="115"/>
        <v>-0.30204579558427969</v>
      </c>
      <c r="AE33" s="629">
        <f t="shared" si="85"/>
        <v>-0.93017820499813708</v>
      </c>
      <c r="AF33" s="633">
        <f t="shared" si="86"/>
        <v>-0.20865484493848552</v>
      </c>
      <c r="AG33" s="602">
        <f t="shared" si="87"/>
        <v>-77.356865771540697</v>
      </c>
      <c r="AH33" s="603">
        <f t="shared" si="88"/>
        <v>107.58051986359722</v>
      </c>
      <c r="AI33" s="585">
        <f t="shared" si="89"/>
        <v>-77.956465632198316</v>
      </c>
      <c r="AJ33" s="586">
        <f t="shared" si="90"/>
        <v>-17.989557113344773</v>
      </c>
      <c r="AK33" s="635">
        <f t="shared" si="211"/>
        <v>0.89958622030361213</v>
      </c>
      <c r="AL33" s="629">
        <f t="shared" si="91"/>
        <v>-0.38367667107026182</v>
      </c>
      <c r="AM33" s="634">
        <f t="shared" si="92"/>
        <v>-0.20865484493848552</v>
      </c>
      <c r="AN33" s="581">
        <f t="shared" si="93"/>
        <v>-61.461330331586957</v>
      </c>
      <c r="AO33" s="582">
        <f t="shared" si="94"/>
        <v>25.8962690663225</v>
      </c>
      <c r="AP33" s="585">
        <f t="shared" si="95"/>
        <v>-23.098417392539815</v>
      </c>
      <c r="AQ33" s="586">
        <f t="shared" si="9"/>
        <v>0.51061492471192949</v>
      </c>
      <c r="AS33" s="52">
        <f t="shared" si="116"/>
        <v>-84.667839753045541</v>
      </c>
      <c r="AT33" s="72">
        <f t="shared" si="10"/>
        <v>-1.0258886729368608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2.2250000000000001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2.125</v>
      </c>
      <c r="II33" s="734" cm="1">
        <f t="array" ref="II33">IFERROR(IF($IH33&lt;1,$IH33+LARGE((IF($M$9:$M$150="",0,$M$9:$M$150)-MOD(IF($M$9:$M$150="",0,$M$9:$M$150),1)),1),$IH33),"")</f>
        <v>2.125</v>
      </c>
      <c r="IJ33" s="533">
        <f t="shared" si="112"/>
        <v>1613</v>
      </c>
      <c r="IK33" s="533">
        <f t="shared" si="66"/>
        <v>1313</v>
      </c>
      <c r="IL33" s="727">
        <f t="shared" si="225"/>
        <v>12.976598126411034</v>
      </c>
      <c r="IM33" s="759">
        <v>1.9091049771502301E-3</v>
      </c>
      <c r="IN33" s="5">
        <f t="shared" si="226"/>
        <v>0.02</v>
      </c>
      <c r="IO33" s="771">
        <v>10</v>
      </c>
      <c r="IP33" s="9">
        <f t="shared" si="227"/>
        <v>-4.426213349459462</v>
      </c>
      <c r="IQ33" s="5">
        <f t="shared" si="228"/>
        <v>-1.1200033779301879</v>
      </c>
      <c r="IR33" s="5">
        <f t="shared" si="71"/>
        <v>0.314</v>
      </c>
      <c r="IS33" s="5">
        <f t="shared" si="229"/>
        <v>0.29287516252624846</v>
      </c>
      <c r="IT33" s="727">
        <f t="shared" si="230"/>
        <v>65.001748841921582</v>
      </c>
      <c r="IU33" s="9">
        <f t="shared" si="231"/>
        <v>-4.464550814506099</v>
      </c>
      <c r="IV33" s="5">
        <f t="shared" si="232"/>
        <v>-1.084840853298531</v>
      </c>
      <c r="IW33" s="5">
        <f t="shared" si="76"/>
        <v>0.26600000000000001</v>
      </c>
      <c r="IX33" s="5">
        <f t="shared" si="233"/>
        <v>0.23928993460076087</v>
      </c>
      <c r="IY33" s="762">
        <f t="shared" si="234"/>
        <v>61.461330331586957</v>
      </c>
    </row>
    <row r="34" spans="1:267" ht="15" customHeight="1" x14ac:dyDescent="0.25">
      <c r="A34" s="79"/>
      <c r="B34" s="707">
        <v>0.49058102601557468</v>
      </c>
      <c r="C34" s="708">
        <v>-0.70062312234983204</v>
      </c>
      <c r="D34" s="709">
        <v>-0.20990063306030943</v>
      </c>
      <c r="E34" s="710">
        <v>0.75265370426679912</v>
      </c>
      <c r="F34" s="708">
        <v>0.56340325927152324</v>
      </c>
      <c r="G34" s="711">
        <v>0.34071860661796943</v>
      </c>
      <c r="H34" s="710">
        <v>0.314</v>
      </c>
      <c r="I34" s="708">
        <v>0.52</v>
      </c>
      <c r="J34" s="570">
        <v>3.1030000000000002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3.1030000000000002</v>
      </c>
      <c r="N34" s="632">
        <f t="shared" si="2"/>
        <v>0.49058102601557468</v>
      </c>
      <c r="O34" s="629">
        <f t="shared" si="3"/>
        <v>-0.70062312234983204</v>
      </c>
      <c r="P34" s="633">
        <f t="shared" si="4"/>
        <v>-0.20990063306030943</v>
      </c>
      <c r="Q34" s="585">
        <f t="shared" si="113"/>
        <v>304.99996895784517</v>
      </c>
      <c r="R34" s="629">
        <f>IF(M34="","",SQRT(N34^2+O34^2))</f>
        <v>0.85530257959258005</v>
      </c>
      <c r="S34" s="634">
        <f>IF(M34="","",P34)</f>
        <v>-0.20990063306030943</v>
      </c>
      <c r="T34" s="635">
        <f>IF(M34="","",X34*COS(RADIANS(W34)))</f>
        <v>-0.69870585520314599</v>
      </c>
      <c r="U34" s="629">
        <f>IF(M34="","",X34*SIN(RADIANS(W34)))</f>
        <v>-0.49330784563248348</v>
      </c>
      <c r="V34" s="636">
        <f>IF(M34="","",Y34)</f>
        <v>-0.20990063306030943</v>
      </c>
      <c r="W34" s="585">
        <f t="shared" si="224"/>
        <v>215.2232689256046</v>
      </c>
      <c r="X34" s="629">
        <f>IF(M34="","",R34)</f>
        <v>0.85530257959258005</v>
      </c>
      <c r="Y34" s="630">
        <f t="shared" si="223"/>
        <v>-0.20990063306030943</v>
      </c>
      <c r="Z34" s="632">
        <f t="shared" si="6"/>
        <v>-0.75265370426679912</v>
      </c>
      <c r="AA34" s="629">
        <f t="shared" si="7"/>
        <v>-0.56340325927152324</v>
      </c>
      <c r="AB34" s="629">
        <f t="shared" si="8"/>
        <v>-0.34071860661796943</v>
      </c>
      <c r="AC34" s="636">
        <f>IF(M34="","",SQRT(Z34^2+AA34^2+AB34^2))</f>
        <v>1</v>
      </c>
      <c r="AD34" s="637">
        <f>IF(M34="","",Z34*(1/SQRT(Z34^2+AA34^2+AB34^2)))</f>
        <v>-0.75265370426679912</v>
      </c>
      <c r="AE34" s="629">
        <f>IF(M34="","",AA34*(1/SQRT(Z34^2+AA34^2+AB34^2)))</f>
        <v>-0.56340325927152324</v>
      </c>
      <c r="AF34" s="633">
        <f>IF(M34="","",AB34*(1/SQRT(Z34^2+AA34^2+AB34^2)))</f>
        <v>-0.34071860661796943</v>
      </c>
      <c r="AG34" s="602">
        <f>IF(M34="","",DEGREES(ATAN2(-AF34,AE34)))</f>
        <v>-58.836512662909314</v>
      </c>
      <c r="AH34" s="603">
        <f>IF(M34="","",DEGREES(ACOS(AD34)))</f>
        <v>138.8207758013327</v>
      </c>
      <c r="AI34" s="585">
        <f>IF(M34="","",DEGREES(-ACOS(-AF34)))</f>
        <v>-70.079338493247803</v>
      </c>
      <c r="AJ34" s="586">
        <f>IF(M34="","",DEGREES(ATAN2(-AE34,AD34)))</f>
        <v>-53.183098655412884</v>
      </c>
      <c r="AK34" s="635">
        <f>IF(M34="","",(COS(RADIANS((90-$Q$8)-W34))*AD34)+(-SIN(RADIANS((90-$Q$8)-W34))*AE34))</f>
        <v>0.93969263802333458</v>
      </c>
      <c r="AL34" s="629">
        <f>IF(M34="","",(SIN(RADIANS((90-$Q$8)-W34))*AD34)+(COS(RADIANS((90-$Q$8)-W34))*AE34))</f>
        <v>2.980901120560403E-2</v>
      </c>
      <c r="AM34" s="634">
        <f>IF(M34="","",AF34)</f>
        <v>-0.34071860661796943</v>
      </c>
      <c r="AN34" s="581">
        <f>IF(M34="","",DEGREES(ATAN2(-AM34,AL34)))</f>
        <v>4.9999992780894429</v>
      </c>
      <c r="AO34" s="582">
        <f t="shared" si="94"/>
        <v>19.999997112357679</v>
      </c>
      <c r="AP34" s="585">
        <f>IF(M34="","",DEGREES(ATAN2(AK34,AL34)))</f>
        <v>1.8169323867419571</v>
      </c>
      <c r="AQ34" s="586">
        <f t="shared" si="9"/>
        <v>2.6634834113003909</v>
      </c>
      <c r="AS34" s="52">
        <f t="shared" si="116"/>
        <v>-144.7767310743954</v>
      </c>
      <c r="AT34" s="72">
        <f t="shared" si="10"/>
        <v>-0.10920616705881302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3.1030000000000002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0.92942534146572864</v>
      </c>
      <c r="C35" s="708">
        <v>-1.3273584794290512</v>
      </c>
      <c r="D35" s="709">
        <v>-0.14300043128930065</v>
      </c>
      <c r="E35" s="710">
        <v>0.75265370426679912</v>
      </c>
      <c r="F35" s="708">
        <v>0.56340325927152335</v>
      </c>
      <c r="G35" s="711">
        <v>0.34071860661796932</v>
      </c>
      <c r="H35" s="710">
        <v>0.314</v>
      </c>
      <c r="I35" s="708">
        <v>0.52</v>
      </c>
      <c r="J35" s="570">
        <v>3.1059999999999999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3.1059999999999999</v>
      </c>
      <c r="N35" s="632">
        <f t="shared" si="2"/>
        <v>0.92942534146572864</v>
      </c>
      <c r="O35" s="629">
        <f t="shared" si="3"/>
        <v>-1.3273584794290512</v>
      </c>
      <c r="P35" s="633">
        <f t="shared" si="4"/>
        <v>-0.14300043128930065</v>
      </c>
      <c r="Q35" s="585">
        <f t="shared" si="113"/>
        <v>304.99996895784517</v>
      </c>
      <c r="R35" s="629">
        <f>IF(M35="","",SQRT(N35^2+O35^2))</f>
        <v>1.6204048871411394</v>
      </c>
      <c r="S35" s="634">
        <f>IF(M35="","",P35)</f>
        <v>-0.14300043128930065</v>
      </c>
      <c r="T35" s="635">
        <f>IF(M35="","",X35*COS(RADIANS(W35)))</f>
        <v>-1.3237261402679499</v>
      </c>
      <c r="U35" s="629">
        <f>IF(M35="","",X35*SIN(RADIANS(W35)))</f>
        <v>-0.9345914101050814</v>
      </c>
      <c r="V35" s="636">
        <f>IF(M35="","",Y35)</f>
        <v>-0.14300043128930065</v>
      </c>
      <c r="W35" s="585">
        <f t="shared" si="224"/>
        <v>215.2232689256046</v>
      </c>
      <c r="X35" s="629">
        <f>IF(M35="","",R35)</f>
        <v>1.6204048871411394</v>
      </c>
      <c r="Y35" s="630">
        <f t="shared" si="223"/>
        <v>-0.14300043128930065</v>
      </c>
      <c r="Z35" s="632">
        <f t="shared" si="6"/>
        <v>-0.75265370426679912</v>
      </c>
      <c r="AA35" s="629">
        <f t="shared" si="7"/>
        <v>-0.56340325927152335</v>
      </c>
      <c r="AB35" s="629">
        <f t="shared" si="8"/>
        <v>-0.34071860661796932</v>
      </c>
      <c r="AC35" s="636">
        <f>IF(M35="","",SQRT(Z35^2+AA35^2+AB35^2))</f>
        <v>1</v>
      </c>
      <c r="AD35" s="637">
        <f>IF(M35="","",Z35*(1/SQRT(Z35^2+AA35^2+AB35^2)))</f>
        <v>-0.75265370426679912</v>
      </c>
      <c r="AE35" s="629">
        <f>IF(M35="","",AA35*(1/SQRT(Z35^2+AA35^2+AB35^2)))</f>
        <v>-0.56340325927152335</v>
      </c>
      <c r="AF35" s="633">
        <f>IF(M35="","",AB35*(1/SQRT(Z35^2+AA35^2+AB35^2)))</f>
        <v>-0.34071860661796932</v>
      </c>
      <c r="AG35" s="602">
        <f>IF(M35="","",DEGREES(ATAN2(-AF35,AE35)))</f>
        <v>-58.836512662909328</v>
      </c>
      <c r="AH35" s="603">
        <f>IF(M35="","",DEGREES(ACOS(AD35)))</f>
        <v>138.8207758013327</v>
      </c>
      <c r="AI35" s="585">
        <f>IF(M35="","",DEGREES(-ACOS(-AF35)))</f>
        <v>-70.079338493247818</v>
      </c>
      <c r="AJ35" s="586">
        <f>IF(M35="","",DEGREES(ATAN2(-AE35,AD35)))</f>
        <v>-53.183098655412877</v>
      </c>
      <c r="AK35" s="635">
        <f>IF(M35="","",(COS(RADIANS((90-$Q$8)-W35))*AD35)+(-SIN(RADIANS((90-$Q$8)-W35))*AE35))</f>
        <v>0.93969263802333458</v>
      </c>
      <c r="AL35" s="629">
        <f>IF(M35="","",(SIN(RADIANS((90-$Q$8)-W35))*AD35)+(COS(RADIANS((90-$Q$8)-W35))*AE35))</f>
        <v>2.9809011205604086E-2</v>
      </c>
      <c r="AM35" s="634">
        <f>IF(M35="","",AF35)</f>
        <v>-0.34071860661796932</v>
      </c>
      <c r="AN35" s="581">
        <f>IF(M35="","",DEGREES(ATAN2(-AM35,AL35)))</f>
        <v>4.9999992780894535</v>
      </c>
      <c r="AO35" s="582">
        <f t="shared" si="94"/>
        <v>19.999997112357679</v>
      </c>
      <c r="AP35" s="585">
        <f>IF(M35="","",DEGREES(ATAN2(AK35,AL35)))</f>
        <v>1.8169323867419604</v>
      </c>
      <c r="AQ35" s="586">
        <f t="shared" si="9"/>
        <v>1.406604384630445</v>
      </c>
      <c r="AS35" s="52">
        <f t="shared" si="116"/>
        <v>-144.7767310743954</v>
      </c>
      <c r="AT35" s="72">
        <f t="shared" si="10"/>
        <v>-4.230596528780424E-2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3.1059999999999999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1.3398202018821244</v>
      </c>
      <c r="C36" s="708">
        <v>-1.9134637571576902</v>
      </c>
      <c r="D36" s="709">
        <v>-8.0400242487131304E-2</v>
      </c>
      <c r="E36" s="710">
        <v>0.75265370426679912</v>
      </c>
      <c r="F36" s="708">
        <v>0.56340325927152335</v>
      </c>
      <c r="G36" s="711">
        <v>0.34071860661796932</v>
      </c>
      <c r="H36" s="710">
        <v>0.314</v>
      </c>
      <c r="I36" s="708">
        <v>0.52</v>
      </c>
      <c r="J36" s="570">
        <v>3.109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3.109</v>
      </c>
      <c r="N36" s="632">
        <f t="shared" si="2"/>
        <v>1.3398202018821244</v>
      </c>
      <c r="O36" s="629">
        <f t="shared" si="3"/>
        <v>-1.9134637571576902</v>
      </c>
      <c r="P36" s="633">
        <f t="shared" si="4"/>
        <v>-8.0400242487131304E-2</v>
      </c>
      <c r="Q36" s="585">
        <f t="shared" si="113"/>
        <v>304.99996895784517</v>
      </c>
      <c r="R36" s="629">
        <f>IF(M36="","",SQRT(N36^2+O36^2))</f>
        <v>2.3359070450956478</v>
      </c>
      <c r="S36" s="634">
        <f>IF(M36="","",P36)</f>
        <v>-8.0400242487131304E-2</v>
      </c>
      <c r="T36" s="635">
        <f>IF(M36="","",X36*COS(RADIANS(W36)))</f>
        <v>-1.9082275308886105</v>
      </c>
      <c r="U36" s="629">
        <f>IF(M36="","",X36*SIN(RADIANS(W36)))</f>
        <v>-1.3472673875984076</v>
      </c>
      <c r="V36" s="636">
        <f>IF(M36="","",Y36)</f>
        <v>-8.0400242487131304E-2</v>
      </c>
      <c r="W36" s="585">
        <f t="shared" si="224"/>
        <v>215.2232689256046</v>
      </c>
      <c r="X36" s="629">
        <f>IF(M36="","",R36)</f>
        <v>2.3359070450956478</v>
      </c>
      <c r="Y36" s="630">
        <f t="shared" si="223"/>
        <v>-8.0400242487131304E-2</v>
      </c>
      <c r="Z36" s="632">
        <f t="shared" si="6"/>
        <v>-0.75265370426679912</v>
      </c>
      <c r="AA36" s="629">
        <f t="shared" si="7"/>
        <v>-0.56340325927152335</v>
      </c>
      <c r="AB36" s="629">
        <f t="shared" si="8"/>
        <v>-0.34071860661796932</v>
      </c>
      <c r="AC36" s="636">
        <f>IF(M36="","",SQRT(Z36^2+AA36^2+AB36^2))</f>
        <v>1</v>
      </c>
      <c r="AD36" s="637">
        <f>IF(M36="","",Z36*(1/SQRT(Z36^2+AA36^2+AB36^2)))</f>
        <v>-0.75265370426679912</v>
      </c>
      <c r="AE36" s="629">
        <f>IF(M36="","",AA36*(1/SQRT(Z36^2+AA36^2+AB36^2)))</f>
        <v>-0.56340325927152335</v>
      </c>
      <c r="AF36" s="633">
        <f>IF(M36="","",AB36*(1/SQRT(Z36^2+AA36^2+AB36^2)))</f>
        <v>-0.34071860661796932</v>
      </c>
      <c r="AG36" s="602">
        <f>IF(M36="","",DEGREES(ATAN2(-AF36,AE36)))</f>
        <v>-58.836512662909328</v>
      </c>
      <c r="AH36" s="603">
        <f>IF(M36="","",DEGREES(ACOS(AD36)))</f>
        <v>138.8207758013327</v>
      </c>
      <c r="AI36" s="585">
        <f>IF(M36="","",DEGREES(-ACOS(-AF36)))</f>
        <v>-70.079338493247818</v>
      </c>
      <c r="AJ36" s="586">
        <f>IF(M36="","",DEGREES(ATAN2(-AE36,AD36)))</f>
        <v>-53.183098655412877</v>
      </c>
      <c r="AK36" s="635">
        <f>IF(M36="","",(COS(RADIANS((90-$Q$8)-W36))*AD36)+(-SIN(RADIANS((90-$Q$8)-W36))*AE36))</f>
        <v>0.93969263802333458</v>
      </c>
      <c r="AL36" s="629">
        <f>IF(M36="","",(SIN(RADIANS((90-$Q$8)-W36))*AD36)+(COS(RADIANS((90-$Q$8)-W36))*AE36))</f>
        <v>2.9809011205604086E-2</v>
      </c>
      <c r="AM36" s="634">
        <f>IF(M36="","",AF36)</f>
        <v>-0.34071860661796932</v>
      </c>
      <c r="AN36" s="581">
        <f>IF(M36="","",DEGREES(ATAN2(-AM36,AL36)))</f>
        <v>4.9999992780894535</v>
      </c>
      <c r="AO36" s="582">
        <f t="shared" si="94"/>
        <v>19.999997112357679</v>
      </c>
      <c r="AP36" s="585">
        <f>IF(M36="","",DEGREES(ATAN2(AK36,AL36)))</f>
        <v>1.8169323867419604</v>
      </c>
      <c r="AQ36" s="586">
        <f t="shared" si="9"/>
        <v>0.97585483735698897</v>
      </c>
      <c r="AS36" s="52">
        <f t="shared" si="116"/>
        <v>-144.7767310743954</v>
      </c>
      <c r="AT36" s="72">
        <f t="shared" si="10"/>
        <v>2.0294223514365106E-2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3.109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1.7562508972090274</v>
      </c>
      <c r="C37" s="708">
        <v>-2.5616900250998875</v>
      </c>
      <c r="D37" s="709">
        <v>-0.10240030883933117</v>
      </c>
      <c r="E37" s="710">
        <v>0.83275336678311562</v>
      </c>
      <c r="F37" s="708">
        <v>0.4446130452116811</v>
      </c>
      <c r="G37" s="711">
        <v>0.32991070024929681</v>
      </c>
      <c r="H37" s="710">
        <v>0.314</v>
      </c>
      <c r="I37" s="708">
        <v>0.52</v>
      </c>
      <c r="J37" s="570">
        <v>3.1139999999999999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3.1139999999999999</v>
      </c>
      <c r="N37" s="632">
        <f t="shared" si="2"/>
        <v>1.7562508972090274</v>
      </c>
      <c r="O37" s="629">
        <f t="shared" si="3"/>
        <v>-2.5616900250998875</v>
      </c>
      <c r="P37" s="633">
        <f t="shared" si="4"/>
        <v>-0.10240030883933117</v>
      </c>
      <c r="Q37" s="585">
        <f t="shared" si="113"/>
        <v>304.43386903957986</v>
      </c>
      <c r="R37" s="629">
        <f t="shared" si="79"/>
        <v>3.1059093674226519</v>
      </c>
      <c r="S37" s="634">
        <f t="shared" si="80"/>
        <v>-0.10240030883933117</v>
      </c>
      <c r="T37" s="635">
        <f t="shared" si="81"/>
        <v>-2.5548259164239528</v>
      </c>
      <c r="U37" s="629">
        <f t="shared" si="82"/>
        <v>-1.7662212589062243</v>
      </c>
      <c r="V37" s="636">
        <f t="shared" si="114"/>
        <v>-0.10240030883933117</v>
      </c>
      <c r="W37" s="585">
        <f t="shared" si="224"/>
        <v>214.65716900733929</v>
      </c>
      <c r="X37" s="629">
        <f t="shared" si="83"/>
        <v>3.1059093674226519</v>
      </c>
      <c r="Y37" s="630">
        <f t="shared" si="223"/>
        <v>-0.10240030883933117</v>
      </c>
      <c r="Z37" s="632">
        <f t="shared" si="6"/>
        <v>-0.83275336678311562</v>
      </c>
      <c r="AA37" s="629">
        <f t="shared" si="7"/>
        <v>-0.4446130452116811</v>
      </c>
      <c r="AB37" s="629">
        <f t="shared" si="8"/>
        <v>-0.32991070024929681</v>
      </c>
      <c r="AC37" s="636">
        <f t="shared" si="84"/>
        <v>1</v>
      </c>
      <c r="AD37" s="637">
        <f t="shared" si="115"/>
        <v>-0.83275336678311562</v>
      </c>
      <c r="AE37" s="629">
        <f t="shared" si="85"/>
        <v>-0.4446130452116811</v>
      </c>
      <c r="AF37" s="633">
        <f t="shared" si="86"/>
        <v>-0.32991070024929681</v>
      </c>
      <c r="AG37" s="602">
        <f t="shared" si="87"/>
        <v>-53.423935006120466</v>
      </c>
      <c r="AH37" s="603">
        <f t="shared" si="88"/>
        <v>146.38262302190472</v>
      </c>
      <c r="AI37" s="585">
        <f t="shared" si="89"/>
        <v>-70.736644548330375</v>
      </c>
      <c r="AJ37" s="586">
        <f t="shared" si="90"/>
        <v>-61.901919002590304</v>
      </c>
      <c r="AK37" s="635">
        <f t="shared" si="211"/>
        <v>0.93824632591861357</v>
      </c>
      <c r="AL37" s="629">
        <f t="shared" si="91"/>
        <v>-0.10417658931468898</v>
      </c>
      <c r="AM37" s="634">
        <f t="shared" si="92"/>
        <v>-0.32991070024929681</v>
      </c>
      <c r="AN37" s="581">
        <f t="shared" si="93"/>
        <v>-17.52466235747244</v>
      </c>
      <c r="AO37" s="582">
        <f t="shared" si="94"/>
        <v>20.240895064645297</v>
      </c>
      <c r="AP37" s="585">
        <f t="shared" si="95"/>
        <v>-6.3357880421701651</v>
      </c>
      <c r="AQ37" s="586">
        <f t="shared" si="9"/>
        <v>0.73395635986383623</v>
      </c>
      <c r="AS37" s="52">
        <f t="shared" si="116"/>
        <v>-145.34283099266071</v>
      </c>
      <c r="AT37" s="72">
        <f t="shared" si="10"/>
        <v>-1.3127178945949586E-3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3.1139999999999999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2.1227772258497462</v>
      </c>
      <c r="C38" s="708">
        <v>-3.1767362801200396</v>
      </c>
      <c r="D38" s="709">
        <v>-0.41930126461261419</v>
      </c>
      <c r="E38" s="710">
        <v>0.90450387297066059</v>
      </c>
      <c r="F38" s="708">
        <v>0.33066950702482067</v>
      </c>
      <c r="G38" s="711">
        <v>0.26931472463464956</v>
      </c>
      <c r="H38" s="710">
        <v>0.314</v>
      </c>
      <c r="I38" s="708">
        <v>0.52</v>
      </c>
      <c r="J38" s="570">
        <v>3.1190000000000002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3.1190000000000002</v>
      </c>
      <c r="N38" s="632">
        <f t="shared" si="2"/>
        <v>2.1227772258497462</v>
      </c>
      <c r="O38" s="629">
        <f t="shared" si="3"/>
        <v>-3.1767362801200396</v>
      </c>
      <c r="P38" s="633">
        <f t="shared" si="4"/>
        <v>-0.41930126461261419</v>
      </c>
      <c r="Q38" s="585">
        <f t="shared" si="113"/>
        <v>303.75186913804851</v>
      </c>
      <c r="R38" s="629">
        <f t="shared" si="79"/>
        <v>3.8207115232659548</v>
      </c>
      <c r="S38" s="634">
        <f t="shared" si="80"/>
        <v>-0.41930126461261419</v>
      </c>
      <c r="T38" s="635">
        <f t="shared" si="81"/>
        <v>-3.1684390338010977</v>
      </c>
      <c r="U38" s="629">
        <f t="shared" si="82"/>
        <v>-2.135141829739378</v>
      </c>
      <c r="V38" s="636">
        <f t="shared" si="114"/>
        <v>-0.41930126461261419</v>
      </c>
      <c r="W38" s="585">
        <f t="shared" si="224"/>
        <v>213.97516910580794</v>
      </c>
      <c r="X38" s="629">
        <f t="shared" si="83"/>
        <v>3.8207115232659548</v>
      </c>
      <c r="Y38" s="630">
        <f t="shared" si="223"/>
        <v>-0.41930126461261419</v>
      </c>
      <c r="Z38" s="632">
        <f t="shared" si="6"/>
        <v>-0.90450387297066059</v>
      </c>
      <c r="AA38" s="629">
        <f t="shared" si="7"/>
        <v>-0.33066950702482067</v>
      </c>
      <c r="AB38" s="629">
        <f t="shared" si="8"/>
        <v>-0.26931472463464956</v>
      </c>
      <c r="AC38" s="636">
        <f t="shared" si="84"/>
        <v>1</v>
      </c>
      <c r="AD38" s="637">
        <f t="shared" si="115"/>
        <v>-0.90450387297066059</v>
      </c>
      <c r="AE38" s="629">
        <f t="shared" si="85"/>
        <v>-0.33066950702482067</v>
      </c>
      <c r="AF38" s="633">
        <f t="shared" si="86"/>
        <v>-0.26931472463464956</v>
      </c>
      <c r="AG38" s="602">
        <f t="shared" si="87"/>
        <v>-50.838807957216602</v>
      </c>
      <c r="AH38" s="603">
        <f t="shared" si="88"/>
        <v>154.75654576615776</v>
      </c>
      <c r="AI38" s="585">
        <f t="shared" si="89"/>
        <v>-74.376506946725186</v>
      </c>
      <c r="AJ38" s="586">
        <f t="shared" si="90"/>
        <v>-69.91854374934799</v>
      </c>
      <c r="AK38" s="635">
        <f t="shared" si="211"/>
        <v>0.93577019510597703</v>
      </c>
      <c r="AL38" s="629">
        <f t="shared" si="91"/>
        <v>-0.22760430805739279</v>
      </c>
      <c r="AM38" s="634">
        <f t="shared" si="92"/>
        <v>-0.26931472463464956</v>
      </c>
      <c r="AN38" s="581">
        <f t="shared" si="93"/>
        <v>-40.201951047263854</v>
      </c>
      <c r="AO38" s="582">
        <f t="shared" si="94"/>
        <v>20.647066353554596</v>
      </c>
      <c r="AP38" s="585">
        <f t="shared" si="95"/>
        <v>-13.670412887396482</v>
      </c>
      <c r="AQ38" s="586">
        <f t="shared" si="9"/>
        <v>0.59665436945253714</v>
      </c>
      <c r="AS38" s="52">
        <f t="shared" si="116"/>
        <v>-146.02483089419206</v>
      </c>
      <c r="AT38" s="72">
        <f t="shared" si="10"/>
        <v>-0.31774006262514787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3.1190000000000002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2.3803577307364558</v>
      </c>
      <c r="C39" s="708">
        <v>-3.6414271097678155</v>
      </c>
      <c r="D39" s="709">
        <v>-0.98540297197536408</v>
      </c>
      <c r="E39" s="710">
        <v>0.95331535016786106</v>
      </c>
      <c r="F39" s="708">
        <v>0.24709331337381235</v>
      </c>
      <c r="G39" s="711">
        <v>0.17359359901874183</v>
      </c>
      <c r="H39" s="710">
        <v>0.314</v>
      </c>
      <c r="I39" s="708">
        <v>0.52</v>
      </c>
      <c r="J39" s="570">
        <v>3.1240000000000001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3.1240000000000001</v>
      </c>
      <c r="N39" s="632">
        <f t="shared" si="2"/>
        <v>2.3803577307364558</v>
      </c>
      <c r="O39" s="629">
        <f t="shared" si="3"/>
        <v>-3.6414271097678155</v>
      </c>
      <c r="P39" s="633">
        <f t="shared" si="4"/>
        <v>-0.98540297197536408</v>
      </c>
      <c r="Q39" s="585">
        <f t="shared" si="113"/>
        <v>303.1721692217468</v>
      </c>
      <c r="R39" s="629">
        <f t="shared" si="79"/>
        <v>4.3504131208459729</v>
      </c>
      <c r="S39" s="634">
        <f t="shared" si="80"/>
        <v>-0.98540297197536408</v>
      </c>
      <c r="T39" s="635">
        <f t="shared" si="81"/>
        <v>-3.6321224633118487</v>
      </c>
      <c r="U39" s="629">
        <f t="shared" si="82"/>
        <v>-2.3945314225405903</v>
      </c>
      <c r="V39" s="636">
        <f t="shared" si="114"/>
        <v>-0.98540297197536408</v>
      </c>
      <c r="W39" s="585">
        <f t="shared" si="224"/>
        <v>213.39546918950623</v>
      </c>
      <c r="X39" s="629">
        <f t="shared" si="83"/>
        <v>4.3504131208459729</v>
      </c>
      <c r="Y39" s="630">
        <f t="shared" si="223"/>
        <v>-0.98540297197536408</v>
      </c>
      <c r="Z39" s="632">
        <f t="shared" si="6"/>
        <v>-0.95331535016786106</v>
      </c>
      <c r="AA39" s="629">
        <f t="shared" si="7"/>
        <v>-0.24709331337381235</v>
      </c>
      <c r="AB39" s="629">
        <f t="shared" si="8"/>
        <v>-0.17359359901874183</v>
      </c>
      <c r="AC39" s="636">
        <f t="shared" si="84"/>
        <v>1</v>
      </c>
      <c r="AD39" s="637">
        <f t="shared" si="115"/>
        <v>-0.95331535016786106</v>
      </c>
      <c r="AE39" s="629">
        <f t="shared" si="85"/>
        <v>-0.24709331337381235</v>
      </c>
      <c r="AF39" s="633">
        <f t="shared" si="86"/>
        <v>-0.17359359901874183</v>
      </c>
      <c r="AG39" s="602">
        <f t="shared" si="87"/>
        <v>-54.910321431234209</v>
      </c>
      <c r="AH39" s="603">
        <f t="shared" si="88"/>
        <v>162.4236413194626</v>
      </c>
      <c r="AI39" s="585">
        <f t="shared" si="89"/>
        <v>-80.003175351641516</v>
      </c>
      <c r="AJ39" s="586">
        <f t="shared" si="90"/>
        <v>-75.469065765401808</v>
      </c>
      <c r="AK39" s="635">
        <f t="shared" si="211"/>
        <v>0.9331524906242159</v>
      </c>
      <c r="AL39" s="629">
        <f t="shared" si="91"/>
        <v>-0.3147883282803593</v>
      </c>
      <c r="AM39" s="634">
        <f t="shared" si="92"/>
        <v>-0.17359359901874183</v>
      </c>
      <c r="AN39" s="581">
        <f t="shared" si="93"/>
        <v>-61.124962127446857</v>
      </c>
      <c r="AO39" s="582">
        <f t="shared" si="94"/>
        <v>21.068312210088859</v>
      </c>
      <c r="AP39" s="585">
        <f t="shared" si="95"/>
        <v>-18.6412349871486</v>
      </c>
      <c r="AQ39" s="586">
        <f t="shared" si="9"/>
        <v>0.52401071034314195</v>
      </c>
      <c r="AS39" s="52">
        <f t="shared" si="116"/>
        <v>-146.60453081049377</v>
      </c>
      <c r="AT39" s="72">
        <f t="shared" si="10"/>
        <v>-0.8834392006015771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3.1240000000000001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2.5061928027234797</v>
      </c>
      <c r="C40" s="708">
        <v>-3.8796283331182355</v>
      </c>
      <c r="D40" s="709">
        <v>-1.68980509645217</v>
      </c>
      <c r="E40" s="710">
        <v>0.98188331037372523</v>
      </c>
      <c r="F40" s="708">
        <v>0.1679502972269529</v>
      </c>
      <c r="G40" s="711">
        <v>8.773746332618132E-2</v>
      </c>
      <c r="H40" s="710">
        <v>0.314</v>
      </c>
      <c r="I40" s="708">
        <v>0.52</v>
      </c>
      <c r="J40" s="570">
        <v>3.129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3.129</v>
      </c>
      <c r="N40" s="632">
        <f t="shared" si="2"/>
        <v>2.5061928027234797</v>
      </c>
      <c r="O40" s="629">
        <f t="shared" si="3"/>
        <v>-3.8796283331182355</v>
      </c>
      <c r="P40" s="633">
        <f t="shared" si="4"/>
        <v>-1.68980509645217</v>
      </c>
      <c r="Q40" s="585">
        <f t="shared" si="113"/>
        <v>302.86196926653412</v>
      </c>
      <c r="R40" s="629">
        <f t="shared" si="79"/>
        <v>4.6187139300412134</v>
      </c>
      <c r="S40" s="634">
        <f t="shared" si="80"/>
        <v>-1.68980509645217</v>
      </c>
      <c r="T40" s="635">
        <f t="shared" si="81"/>
        <v>-3.8698314593753071</v>
      </c>
      <c r="U40" s="629">
        <f t="shared" si="82"/>
        <v>-2.5212938828280076</v>
      </c>
      <c r="V40" s="636">
        <f t="shared" si="114"/>
        <v>-1.68980509645217</v>
      </c>
      <c r="W40" s="585">
        <f t="shared" si="224"/>
        <v>213.08526923429355</v>
      </c>
      <c r="X40" s="629">
        <f t="shared" si="83"/>
        <v>4.6187139300412134</v>
      </c>
      <c r="Y40" s="630">
        <f t="shared" si="223"/>
        <v>-1.68980509645217</v>
      </c>
      <c r="Z40" s="632">
        <f t="shared" si="6"/>
        <v>-0.98188331037372523</v>
      </c>
      <c r="AA40" s="629">
        <f t="shared" si="7"/>
        <v>-0.1679502972269529</v>
      </c>
      <c r="AB40" s="629">
        <f t="shared" si="8"/>
        <v>-8.773746332618132E-2</v>
      </c>
      <c r="AC40" s="636">
        <f t="shared" si="84"/>
        <v>1</v>
      </c>
      <c r="AD40" s="637">
        <f t="shared" si="115"/>
        <v>-0.98188331037372523</v>
      </c>
      <c r="AE40" s="629">
        <f t="shared" si="85"/>
        <v>-0.1679502972269529</v>
      </c>
      <c r="AF40" s="633">
        <f t="shared" si="86"/>
        <v>-8.773746332618132E-2</v>
      </c>
      <c r="AG40" s="602">
        <f t="shared" si="87"/>
        <v>-62.417372213180265</v>
      </c>
      <c r="AH40" s="603">
        <f t="shared" si="88"/>
        <v>169.07717675688016</v>
      </c>
      <c r="AI40" s="585">
        <f t="shared" si="89"/>
        <v>-84.966541693709033</v>
      </c>
      <c r="AJ40" s="586">
        <f t="shared" si="90"/>
        <v>-80.293541876782854</v>
      </c>
      <c r="AK40" s="635">
        <f t="shared" si="211"/>
        <v>0.91589524723596449</v>
      </c>
      <c r="AL40" s="629">
        <f t="shared" si="91"/>
        <v>-0.39171167153872077</v>
      </c>
      <c r="AM40" s="634">
        <f t="shared" si="92"/>
        <v>-8.773746332618132E-2</v>
      </c>
      <c r="AN40" s="581">
        <f t="shared" si="93"/>
        <v>-77.374992002840855</v>
      </c>
      <c r="AO40" s="582">
        <f t="shared" si="94"/>
        <v>23.666814377703897</v>
      </c>
      <c r="AP40" s="585">
        <f t="shared" si="95"/>
        <v>-23.155511143316961</v>
      </c>
      <c r="AQ40" s="586">
        <f t="shared" si="9"/>
        <v>0.49357251263320751</v>
      </c>
      <c r="AS40" s="52">
        <f t="shared" si="116"/>
        <v>-146.91473076570645</v>
      </c>
      <c r="AT40" s="72">
        <f t="shared" si="10"/>
        <v>-1.5876259084428188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3.129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2.5628496009444324</v>
      </c>
      <c r="C41" s="708">
        <v>-3.9860977324871203</v>
      </c>
      <c r="D41" s="709">
        <v>-2.3404070586676888</v>
      </c>
      <c r="E41" s="710">
        <v>0.99226662054051318</v>
      </c>
      <c r="F41" s="708">
        <v>-4.2793971084696215E-2</v>
      </c>
      <c r="G41" s="711">
        <v>0.11651450467607777</v>
      </c>
      <c r="H41" s="710">
        <v>0.26600000000000001</v>
      </c>
      <c r="I41" s="708">
        <v>0.52</v>
      </c>
      <c r="J41" s="570">
        <v>3.1339999999999999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3.1339999999999999</v>
      </c>
      <c r="N41" s="632">
        <f t="shared" ref="N41:N72" si="240">IF(M41="","",B41)</f>
        <v>2.5628496009444324</v>
      </c>
      <c r="O41" s="629">
        <f t="shared" ref="O41:O72" si="241">IF(M41="","",C41)</f>
        <v>-3.9860977324871203</v>
      </c>
      <c r="P41" s="633">
        <f t="shared" ref="P41:P72" si="242">IF(M41="","",D41)</f>
        <v>-2.3404070586676888</v>
      </c>
      <c r="Q41" s="585">
        <f t="shared" si="113"/>
        <v>302.73886928430755</v>
      </c>
      <c r="R41" s="629">
        <f t="shared" si="79"/>
        <v>4.7389000000000001</v>
      </c>
      <c r="S41" s="634">
        <f t="shared" si="80"/>
        <v>-2.3404070586676888</v>
      </c>
      <c r="T41" s="635">
        <f t="shared" si="81"/>
        <v>-3.9760792410635859</v>
      </c>
      <c r="U41" s="629">
        <f t="shared" si="82"/>
        <v>-2.5783651949991921</v>
      </c>
      <c r="V41" s="636">
        <f t="shared" si="114"/>
        <v>-2.3404070586676888</v>
      </c>
      <c r="W41" s="585">
        <f t="shared" si="224"/>
        <v>212.96216925206699</v>
      </c>
      <c r="X41" s="629">
        <f t="shared" si="83"/>
        <v>4.7389000000000001</v>
      </c>
      <c r="Y41" s="630">
        <f t="shared" si="223"/>
        <v>-2.3404070586676888</v>
      </c>
      <c r="Z41" s="632">
        <f t="shared" ref="Z41:Z72" si="243">IF(M41="","",-E41)</f>
        <v>-0.99226662054051318</v>
      </c>
      <c r="AA41" s="629">
        <f t="shared" ref="AA41:AA72" si="244">IF(M41="","",-F41)</f>
        <v>4.2793971084696215E-2</v>
      </c>
      <c r="AB41" s="629">
        <f t="shared" ref="AB41:AB72" si="245">IF(M41="","",-G41)</f>
        <v>-0.11651450467607777</v>
      </c>
      <c r="AC41" s="636">
        <f t="shared" si="84"/>
        <v>1</v>
      </c>
      <c r="AD41" s="637">
        <f t="shared" si="115"/>
        <v>-0.99226662054051318</v>
      </c>
      <c r="AE41" s="629">
        <f t="shared" si="85"/>
        <v>4.2793971084696215E-2</v>
      </c>
      <c r="AF41" s="633">
        <f t="shared" si="86"/>
        <v>-0.11651450467607777</v>
      </c>
      <c r="AG41" s="602">
        <f t="shared" si="87"/>
        <v>20.167501008607253</v>
      </c>
      <c r="AH41" s="603">
        <f t="shared" si="88"/>
        <v>172.86978593549387</v>
      </c>
      <c r="AI41" s="585">
        <f t="shared" si="89"/>
        <v>-83.309012928251477</v>
      </c>
      <c r="AJ41" s="586">
        <f t="shared" si="90"/>
        <v>-92.469492981519949</v>
      </c>
      <c r="AK41" s="635">
        <f t="shared" si="211"/>
        <v>0.81149575100592075</v>
      </c>
      <c r="AL41" s="629">
        <f t="shared" si="91"/>
        <v>-0.57262467314937215</v>
      </c>
      <c r="AM41" s="634">
        <f t="shared" si="92"/>
        <v>-0.11651450467607777</v>
      </c>
      <c r="AN41" s="581">
        <f t="shared" si="93"/>
        <v>-78.498779946556567</v>
      </c>
      <c r="AO41" s="582">
        <f t="shared" si="94"/>
        <v>35.757671184574768</v>
      </c>
      <c r="AP41" s="585">
        <f t="shared" si="95"/>
        <v>-35.208362265827503</v>
      </c>
      <c r="AQ41" s="586">
        <f t="shared" ref="AQ41:AQ72" si="246">IF(M41="","",DEGREES(ATAN(($AS$5*SIN(RADIANS(90)))/(($X41*2*PI())-($AS$5*COS(RADIANS(90)))))))</f>
        <v>0.48105532161341336</v>
      </c>
      <c r="AS41" s="52">
        <f t="shared" si="116"/>
        <v>-147.03783074793301</v>
      </c>
      <c r="AT41" s="72">
        <f t="shared" ref="AT41:AT72" si="247">IF(M41="","",Y41+(((AS41-$AS$9)*$AS$6)*-1))</f>
        <v>-2.2381423845595689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3.1339999999999999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2.5628496009444324</v>
      </c>
      <c r="C42" s="708">
        <v>-3.9860977324871207</v>
      </c>
      <c r="D42" s="709">
        <v>-2.9442088797339818</v>
      </c>
      <c r="E42" s="710">
        <v>0.99226662054051318</v>
      </c>
      <c r="F42" s="708">
        <v>-4.2793971084696215E-2</v>
      </c>
      <c r="G42" s="711">
        <v>0.11651450467607777</v>
      </c>
      <c r="H42" s="710">
        <v>0.26600000000000001</v>
      </c>
      <c r="I42" s="708">
        <v>0.52</v>
      </c>
      <c r="J42" s="570">
        <v>3.1389999999999998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3.1389999999999998</v>
      </c>
      <c r="N42" s="632">
        <f t="shared" si="240"/>
        <v>2.5628496009444324</v>
      </c>
      <c r="O42" s="629">
        <f t="shared" si="241"/>
        <v>-3.9860977324871207</v>
      </c>
      <c r="P42" s="633">
        <f t="shared" si="242"/>
        <v>-2.9442088797339818</v>
      </c>
      <c r="Q42" s="585">
        <f t="shared" si="113"/>
        <v>302.73886928430755</v>
      </c>
      <c r="R42" s="629">
        <f t="shared" ref="R42:R47" si="385">IF(M42="","",SQRT(N42^2+O42^2))</f>
        <v>4.7389000000000001</v>
      </c>
      <c r="S42" s="634">
        <f t="shared" ref="S42:S47" si="386">IF(M42="","",P42)</f>
        <v>-2.9442088797339818</v>
      </c>
      <c r="T42" s="635">
        <f t="shared" ref="T42:T47" si="387">IF(M42="","",X42*COS(RADIANS(W42)))</f>
        <v>-3.9760792410635859</v>
      </c>
      <c r="U42" s="629">
        <f t="shared" ref="U42:U47" si="388">IF(M42="","",X42*SIN(RADIANS(W42)))</f>
        <v>-2.5783651949991921</v>
      </c>
      <c r="V42" s="636">
        <f t="shared" ref="V42:V47" si="389">IF(M42="","",Y42)</f>
        <v>-2.9442088797339818</v>
      </c>
      <c r="W42" s="585">
        <f t="shared" si="224"/>
        <v>212.96216925206699</v>
      </c>
      <c r="X42" s="629">
        <f t="shared" ref="X42:X47" si="390">IF(M42="","",R42)</f>
        <v>4.7389000000000001</v>
      </c>
      <c r="Y42" s="630">
        <f t="shared" si="223"/>
        <v>-2.9442088797339818</v>
      </c>
      <c r="Z42" s="632">
        <f t="shared" si="243"/>
        <v>-0.99226662054051318</v>
      </c>
      <c r="AA42" s="629">
        <f t="shared" si="244"/>
        <v>4.2793971084696215E-2</v>
      </c>
      <c r="AB42" s="629">
        <f t="shared" si="245"/>
        <v>-0.11651450467607777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-0.99226662054051318</v>
      </c>
      <c r="AE42" s="629">
        <f t="shared" ref="AE42:AE47" si="393">IF(M42="","",AA42*(1/SQRT(Z42^2+AA42^2+AB42^2)))</f>
        <v>4.2793971084696215E-2</v>
      </c>
      <c r="AF42" s="633">
        <f t="shared" ref="AF42:AF47" si="394">IF(M42="","",AB42*(1/SQRT(Z42^2+AA42^2+AB42^2)))</f>
        <v>-0.11651450467607777</v>
      </c>
      <c r="AG42" s="602">
        <f t="shared" ref="AG42:AG47" si="395">IF(M42="","",DEGREES(ATAN2(-AF42,AE42)))</f>
        <v>20.167501008607253</v>
      </c>
      <c r="AH42" s="603">
        <f t="shared" ref="AH42:AH47" si="396">IF(M42="","",DEGREES(ACOS(AD42)))</f>
        <v>172.86978593549387</v>
      </c>
      <c r="AI42" s="585">
        <f t="shared" ref="AI42:AI47" si="397">IF(M42="","",DEGREES(-ACOS(-AF42)))</f>
        <v>-83.309012928251477</v>
      </c>
      <c r="AJ42" s="586">
        <f t="shared" ref="AJ42:AJ47" si="398">IF(M42="","",DEGREES(ATAN2(-AE42,AD42)))</f>
        <v>-92.469492981519949</v>
      </c>
      <c r="AK42" s="635">
        <f t="shared" ref="AK42:AK47" si="399">IF(M42="","",(COS(RADIANS((90-$Q$8)-W42))*AD42)+(-SIN(RADIANS((90-$Q$8)-W42))*AE42))</f>
        <v>0.81149575100592075</v>
      </c>
      <c r="AL42" s="629">
        <f t="shared" ref="AL42:AL47" si="400">IF(M42="","",(SIN(RADIANS((90-$Q$8)-W42))*AD42)+(COS(RADIANS((90-$Q$8)-W42))*AE42))</f>
        <v>-0.57262467314937215</v>
      </c>
      <c r="AM42" s="634">
        <f t="shared" ref="AM42:AM47" si="401">IF(M42="","",AF42)</f>
        <v>-0.11651450467607777</v>
      </c>
      <c r="AN42" s="581">
        <f t="shared" ref="AN42:AN47" si="402">IF(M42="","",DEGREES(ATAN2(-AM42,AL42)))</f>
        <v>-78.498779946556567</v>
      </c>
      <c r="AO42" s="582">
        <f t="shared" si="94"/>
        <v>35.757671184574768</v>
      </c>
      <c r="AP42" s="585">
        <f t="shared" ref="AP42:AP47" si="403">IF(M42="","",DEGREES(ATAN2(AK42,AL42)))</f>
        <v>-35.208362265827503</v>
      </c>
      <c r="AQ42" s="586">
        <f t="shared" si="246"/>
        <v>0.48105532161341336</v>
      </c>
      <c r="AS42" s="52">
        <f t="shared" si="116"/>
        <v>-147.03783074793301</v>
      </c>
      <c r="AT42" s="72">
        <f t="shared" si="247"/>
        <v>-2.8419442056258619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3.1389999999999998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-2.8233453289898808E-2</v>
      </c>
      <c r="C43" s="708">
        <v>-1.6174432365604898</v>
      </c>
      <c r="D43" s="709">
        <v>-0.13945113786268259</v>
      </c>
      <c r="E43" s="710">
        <v>1.5213511997894471E-3</v>
      </c>
      <c r="F43" s="708">
        <v>8.7142451173674654E-2</v>
      </c>
      <c r="G43" s="711">
        <v>0.99619469918985759</v>
      </c>
      <c r="H43" s="710">
        <v>0.26250000000000001</v>
      </c>
      <c r="I43" s="708">
        <v>0.40699999999999997</v>
      </c>
      <c r="J43" s="570">
        <v>3.206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3.206</v>
      </c>
      <c r="N43" s="632">
        <f t="shared" si="240"/>
        <v>-2.8233453289898808E-2</v>
      </c>
      <c r="O43" s="629">
        <f t="shared" si="241"/>
        <v>-1.6174432365604898</v>
      </c>
      <c r="P43" s="633">
        <f t="shared" si="242"/>
        <v>-0.13945113786268259</v>
      </c>
      <c r="Q43" s="585">
        <f t="shared" si="113"/>
        <v>268.99996895784517</v>
      </c>
      <c r="R43" s="629">
        <f t="shared" si="385"/>
        <v>1.6176896338234803</v>
      </c>
      <c r="S43" s="634">
        <f t="shared" si="386"/>
        <v>-0.13945113786268259</v>
      </c>
      <c r="T43" s="635">
        <f t="shared" si="387"/>
        <v>-1.6175409873360314</v>
      </c>
      <c r="U43" s="629">
        <f t="shared" si="388"/>
        <v>2.1929561507755595E-2</v>
      </c>
      <c r="V43" s="636">
        <f t="shared" si="389"/>
        <v>-0.13945113786268259</v>
      </c>
      <c r="W43" s="585">
        <f t="shared" si="224"/>
        <v>179.2232689256046</v>
      </c>
      <c r="X43" s="629">
        <f t="shared" si="390"/>
        <v>1.6176896338234803</v>
      </c>
      <c r="Y43" s="630">
        <f t="shared" si="223"/>
        <v>-0.13945113786268259</v>
      </c>
      <c r="Z43" s="632">
        <f t="shared" si="243"/>
        <v>-1.5213511997894471E-3</v>
      </c>
      <c r="AA43" s="629">
        <f t="shared" si="244"/>
        <v>-8.7142451173674654E-2</v>
      </c>
      <c r="AB43" s="629">
        <f t="shared" si="245"/>
        <v>-0.99619469918985759</v>
      </c>
      <c r="AC43" s="636">
        <f t="shared" si="391"/>
        <v>1</v>
      </c>
      <c r="AD43" s="637">
        <f t="shared" si="392"/>
        <v>-1.5213511997894471E-3</v>
      </c>
      <c r="AE43" s="629">
        <f t="shared" si="393"/>
        <v>-8.7142451173674654E-2</v>
      </c>
      <c r="AF43" s="633">
        <f t="shared" si="394"/>
        <v>-0.99619469918985759</v>
      </c>
      <c r="AG43" s="602">
        <f t="shared" si="395"/>
        <v>-4.9992413404779041</v>
      </c>
      <c r="AH43" s="603">
        <f t="shared" si="396"/>
        <v>90.087167036529948</v>
      </c>
      <c r="AI43" s="585">
        <f t="shared" si="397"/>
        <v>-4.9999992781061904</v>
      </c>
      <c r="AJ43" s="586">
        <f t="shared" si="398"/>
        <v>-1.0001801360855127</v>
      </c>
      <c r="AK43" s="635">
        <f t="shared" si="399"/>
        <v>2.2679489670150189E-7</v>
      </c>
      <c r="AL43" s="629">
        <f t="shared" si="400"/>
        <v>8.7155730195885212E-2</v>
      </c>
      <c r="AM43" s="634">
        <f t="shared" si="401"/>
        <v>-0.99619469918985759</v>
      </c>
      <c r="AN43" s="581">
        <f t="shared" si="402"/>
        <v>4.9999992780894251</v>
      </c>
      <c r="AO43" s="582">
        <f t="shared" si="94"/>
        <v>0</v>
      </c>
      <c r="AP43" s="585">
        <f t="shared" si="403"/>
        <v>89.999850906069327</v>
      </c>
      <c r="AQ43" s="586">
        <f t="shared" si="246"/>
        <v>1.4089643855125609</v>
      </c>
      <c r="AS43" s="52">
        <f t="shared" ref="AS43:AS74" si="406">IF(G43="","",IF(AND(W43&lt;(AS42+180),W43&gt;(AS42-180)),W43,IF(W43&gt;(AS42+180),W43-360,IF(W43&lt;(AS42-180),W43+360,"Error"))))</f>
        <v>-180.7767310743954</v>
      </c>
      <c r="AT43" s="72">
        <f t="shared" si="247"/>
        <v>-1.3756671861186176E-2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Nose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3.206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3.1059999999999999</v>
      </c>
      <c r="II43" s="734" cm="1">
        <f t="array" ref="II43">IFERROR(IF($IH43&lt;1,$IH43+LARGE((IF($M$9:$M$150="",0,$M$9:$M$150)-MOD(IF($M$9:$M$150="",0,$M$9:$M$150),1)),1),$IH43),"")</f>
        <v>3.1059999999999999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36</v>
      </c>
      <c r="IM43" s="759">
        <v>2.8736663883103499E-2</v>
      </c>
      <c r="IN43" s="5">
        <f t="shared" si="226"/>
        <v>0.28000000000000003</v>
      </c>
      <c r="IO43" s="771">
        <v>140</v>
      </c>
      <c r="IP43" s="9">
        <f t="shared" si="227"/>
        <v>-1.6204048871411394</v>
      </c>
      <c r="IQ43" s="5">
        <f t="shared" si="228"/>
        <v>-0.14300043128930065</v>
      </c>
      <c r="IR43" s="5">
        <f t="shared" si="383"/>
        <v>0.314</v>
      </c>
      <c r="IS43" s="5">
        <f t="shared" si="229"/>
        <v>0.29506348833932705</v>
      </c>
      <c r="IT43" s="727">
        <f t="shared" si="230"/>
        <v>-4.9999992780894535</v>
      </c>
      <c r="IU43" s="9">
        <f t="shared" si="231"/>
        <v>-1.6176896338234803</v>
      </c>
      <c r="IV43" s="5">
        <f t="shared" si="232"/>
        <v>-0.13945113786268259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-4.9999992780894251</v>
      </c>
    </row>
    <row r="44" spans="1:267" ht="15" customHeight="1" x14ac:dyDescent="0.25">
      <c r="A44" s="79"/>
      <c r="B44" s="707">
        <v>0.40515340265391547</v>
      </c>
      <c r="C44" s="708">
        <v>-2.2977455597907568</v>
      </c>
      <c r="D44" s="709">
        <v>-7.4712053720715918E-2</v>
      </c>
      <c r="E44" s="710">
        <v>-1.5134169277088974E-2</v>
      </c>
      <c r="F44" s="708">
        <v>8.5831685444955522E-2</v>
      </c>
      <c r="G44" s="711">
        <v>0.99619469918985759</v>
      </c>
      <c r="H44" s="710">
        <v>0.26250000000000001</v>
      </c>
      <c r="I44" s="708">
        <v>0.40699999999999997</v>
      </c>
      <c r="J44" s="570">
        <v>3.2090000000000001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Inactive</v>
      </c>
      <c r="L44" s="320"/>
      <c r="M44" s="168">
        <f t="shared" si="239"/>
        <v>3.2090000000000001</v>
      </c>
      <c r="N44" s="632">
        <f t="shared" si="240"/>
        <v>0.40515340265391547</v>
      </c>
      <c r="O44" s="629">
        <f t="shared" si="241"/>
        <v>-2.2977455597907568</v>
      </c>
      <c r="P44" s="633">
        <f t="shared" si="242"/>
        <v>-7.4712053720715918E-2</v>
      </c>
      <c r="Q44" s="585">
        <f t="shared" si="113"/>
        <v>279.99997256739806</v>
      </c>
      <c r="R44" s="629">
        <f t="shared" si="385"/>
        <v>2.3331917917779892</v>
      </c>
      <c r="S44" s="634">
        <f t="shared" si="386"/>
        <v>-7.4712053720715918E-2</v>
      </c>
      <c r="T44" s="635">
        <f t="shared" si="387"/>
        <v>-2.2961491011457489</v>
      </c>
      <c r="U44" s="629">
        <f t="shared" si="388"/>
        <v>-0.41410535196704912</v>
      </c>
      <c r="V44" s="636">
        <f t="shared" si="389"/>
        <v>-7.4712053720715918E-2</v>
      </c>
      <c r="W44" s="585">
        <f t="shared" si="224"/>
        <v>190.22327253515749</v>
      </c>
      <c r="X44" s="629">
        <f t="shared" si="390"/>
        <v>2.3331917917779892</v>
      </c>
      <c r="Y44" s="630">
        <f t="shared" si="223"/>
        <v>-7.4712053720715918E-2</v>
      </c>
      <c r="Z44" s="632">
        <f t="shared" si="243"/>
        <v>1.5134169277088974E-2</v>
      </c>
      <c r="AA44" s="629">
        <f t="shared" si="244"/>
        <v>-8.5831685444955522E-2</v>
      </c>
      <c r="AB44" s="629">
        <f t="shared" si="245"/>
        <v>-0.99619469918985759</v>
      </c>
      <c r="AC44" s="636">
        <f t="shared" si="391"/>
        <v>1</v>
      </c>
      <c r="AD44" s="637">
        <f t="shared" si="392"/>
        <v>1.5134169277088974E-2</v>
      </c>
      <c r="AE44" s="629">
        <f t="shared" si="393"/>
        <v>-8.5831685444955522E-2</v>
      </c>
      <c r="AF44" s="633">
        <f t="shared" si="394"/>
        <v>-0.99619469918985759</v>
      </c>
      <c r="AG44" s="602">
        <f t="shared" si="395"/>
        <v>-4.9244171021735115</v>
      </c>
      <c r="AH44" s="603">
        <f t="shared" si="396"/>
        <v>89.132842869114455</v>
      </c>
      <c r="AI44" s="585">
        <f t="shared" si="397"/>
        <v>-4.9999992781061904</v>
      </c>
      <c r="AJ44" s="586">
        <f t="shared" si="398"/>
        <v>9.9998234734673765</v>
      </c>
      <c r="AK44" s="635">
        <f t="shared" si="399"/>
        <v>2.2679489669608088E-7</v>
      </c>
      <c r="AL44" s="629">
        <f t="shared" si="400"/>
        <v>8.7155730195885212E-2</v>
      </c>
      <c r="AM44" s="634">
        <f t="shared" si="401"/>
        <v>-0.99619469918985759</v>
      </c>
      <c r="AN44" s="581">
        <f t="shared" si="402"/>
        <v>4.9999992780894251</v>
      </c>
      <c r="AO44" s="582">
        <f t="shared" si="94"/>
        <v>0</v>
      </c>
      <c r="AP44" s="585">
        <f t="shared" si="403"/>
        <v>89.999850906069327</v>
      </c>
      <c r="AQ44" s="586">
        <f t="shared" si="246"/>
        <v>0.97699026900265729</v>
      </c>
      <c r="AS44" s="52">
        <f t="shared" si="406"/>
        <v>-169.77672746484251</v>
      </c>
      <c r="AT44" s="72">
        <f t="shared" si="247"/>
        <v>4.3343520885257655E-2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Nose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3.2090000000000001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3.109</v>
      </c>
      <c r="II44" s="734" cm="1">
        <f t="array" ref="II44">IFERROR(IF($IH44&lt;1,$IH44+LARGE((IF($M$9:$M$150="",0,$M$9:$M$150)-MOD(IF($M$9:$M$150="",0,$M$9:$M$150),1)),1),$IH44),"")</f>
        <v>3.109</v>
      </c>
      <c r="IJ44" s="533">
        <f t="shared" si="112"/>
        <v>1613</v>
      </c>
      <c r="IK44" s="533" t="str">
        <f t="shared" si="382"/>
        <v>Inactive</v>
      </c>
      <c r="IL44" s="727">
        <f t="shared" si="225"/>
        <v>24.999996390447109</v>
      </c>
      <c r="IM44" s="759">
        <v>2.6615979764820798E-2</v>
      </c>
      <c r="IN44" s="5">
        <f t="shared" si="226"/>
        <v>0.38</v>
      </c>
      <c r="IO44" s="771">
        <v>190</v>
      </c>
      <c r="IP44" s="9">
        <f t="shared" si="227"/>
        <v>-2.3359070450956478</v>
      </c>
      <c r="IQ44" s="5">
        <f t="shared" si="228"/>
        <v>-8.0400242487131304E-2</v>
      </c>
      <c r="IR44" s="5">
        <f t="shared" si="383"/>
        <v>0.314</v>
      </c>
      <c r="IS44" s="5">
        <f t="shared" si="229"/>
        <v>0.29506348833932705</v>
      </c>
      <c r="IT44" s="727">
        <f t="shared" si="230"/>
        <v>-4.9999992780894535</v>
      </c>
      <c r="IU44" s="9">
        <f t="shared" si="231"/>
        <v>-2.3331917917779892</v>
      </c>
      <c r="IV44" s="5">
        <f t="shared" si="232"/>
        <v>-7.4712053720715918E-2</v>
      </c>
      <c r="IW44" s="5">
        <f t="shared" si="384"/>
        <v>0.26250000000000001</v>
      </c>
      <c r="IX44" s="5">
        <f t="shared" si="233"/>
        <v>0.26250000000000001</v>
      </c>
      <c r="IY44" s="762">
        <f t="shared" si="234"/>
        <v>-4.9999992780894251</v>
      </c>
    </row>
    <row r="45" spans="1:267" ht="15" customHeight="1" x14ac:dyDescent="0.25">
      <c r="A45" s="79"/>
      <c r="B45" s="707">
        <v>0.89735375586860544</v>
      </c>
      <c r="C45" s="708">
        <v>-2.9815859506299276</v>
      </c>
      <c r="D45" s="709">
        <v>-5.3021601363050078E-2</v>
      </c>
      <c r="E45" s="710">
        <v>0.89989000358976412</v>
      </c>
      <c r="F45" s="708">
        <v>0.14991147345056838</v>
      </c>
      <c r="G45" s="711">
        <v>0.40954185569620821</v>
      </c>
      <c r="H45" s="710">
        <v>0.26600000000000001</v>
      </c>
      <c r="I45" s="708">
        <v>0.52</v>
      </c>
      <c r="J45" s="570">
        <v>3.214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3.214</v>
      </c>
      <c r="N45" s="632">
        <f t="shared" si="240"/>
        <v>0.89735375586860544</v>
      </c>
      <c r="O45" s="629">
        <f t="shared" si="241"/>
        <v>-2.9815859506299276</v>
      </c>
      <c r="P45" s="633">
        <f t="shared" si="242"/>
        <v>-5.3021601363050078E-2</v>
      </c>
      <c r="Q45" s="585">
        <f t="shared" si="113"/>
        <v>286.74996895784517</v>
      </c>
      <c r="R45" s="629">
        <f t="shared" si="385"/>
        <v>3.1136953197391137</v>
      </c>
      <c r="S45" s="634">
        <f t="shared" si="386"/>
        <v>-5.3021601363050078E-2</v>
      </c>
      <c r="T45" s="635">
        <f t="shared" si="387"/>
        <v>-2.9780660412756226</v>
      </c>
      <c r="U45" s="629">
        <f t="shared" si="388"/>
        <v>-0.90896710499676692</v>
      </c>
      <c r="V45" s="636">
        <f t="shared" si="389"/>
        <v>-5.3021601363050078E-2</v>
      </c>
      <c r="W45" s="585">
        <f t="shared" si="224"/>
        <v>196.9732689256046</v>
      </c>
      <c r="X45" s="629">
        <f t="shared" si="390"/>
        <v>3.1136953197391137</v>
      </c>
      <c r="Y45" s="630">
        <f t="shared" si="223"/>
        <v>-5.3021601363050078E-2</v>
      </c>
      <c r="Z45" s="632">
        <f t="shared" si="243"/>
        <v>-0.89989000358976412</v>
      </c>
      <c r="AA45" s="629">
        <f t="shared" si="244"/>
        <v>-0.14991147345056838</v>
      </c>
      <c r="AB45" s="629">
        <f t="shared" si="245"/>
        <v>-0.40954185569620821</v>
      </c>
      <c r="AC45" s="636">
        <f t="shared" si="391"/>
        <v>1</v>
      </c>
      <c r="AD45" s="637">
        <f t="shared" si="392"/>
        <v>-0.89989000358976412</v>
      </c>
      <c r="AE45" s="629">
        <f t="shared" si="393"/>
        <v>-0.14991147345056838</v>
      </c>
      <c r="AF45" s="633">
        <f t="shared" si="394"/>
        <v>-0.40954185569620821</v>
      </c>
      <c r="AG45" s="602">
        <f t="shared" si="395"/>
        <v>-20.104988913046629</v>
      </c>
      <c r="AH45" s="603">
        <f t="shared" si="396"/>
        <v>154.14361246464799</v>
      </c>
      <c r="AI45" s="585">
        <f t="shared" si="397"/>
        <v>-65.823941856663453</v>
      </c>
      <c r="AJ45" s="586">
        <f t="shared" si="398"/>
        <v>-80.542026280387844</v>
      </c>
      <c r="AK45" s="635">
        <f t="shared" si="399"/>
        <v>0.90491288524668478</v>
      </c>
      <c r="AL45" s="629">
        <f t="shared" si="400"/>
        <v>-0.11579351686267428</v>
      </c>
      <c r="AM45" s="634">
        <f t="shared" si="401"/>
        <v>-0.40954185569620821</v>
      </c>
      <c r="AN45" s="581">
        <f t="shared" si="402"/>
        <v>-15.787674829212168</v>
      </c>
      <c r="AO45" s="582">
        <f t="shared" si="94"/>
        <v>25.188447277583435</v>
      </c>
      <c r="AP45" s="585">
        <f t="shared" si="403"/>
        <v>-7.2919952382329907</v>
      </c>
      <c r="AQ45" s="586">
        <f t="shared" si="246"/>
        <v>0.73212126495438312</v>
      </c>
      <c r="AS45" s="52">
        <f t="shared" si="406"/>
        <v>-163.0267310743954</v>
      </c>
      <c r="AT45" s="72">
        <f t="shared" si="247"/>
        <v>6.0346475749557454E-2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3.214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3.1139999999999999</v>
      </c>
      <c r="II45" s="734" cm="1">
        <f t="array" ref="II45">IFERROR(IF($IH45&lt;1,$IH45+LARGE((IF($M$9:$M$150="",0,$M$9:$M$150)-MOD(IF($M$9:$M$150="",0,$M$9:$M$150),1)),1),$IH45),"")</f>
        <v>3.1139999999999999</v>
      </c>
      <c r="IJ45" s="533">
        <f t="shared" si="112"/>
        <v>1613</v>
      </c>
      <c r="IK45" s="533">
        <f t="shared" si="382"/>
        <v>1313</v>
      </c>
      <c r="IL45" s="727">
        <f t="shared" si="225"/>
        <v>17.683900081734691</v>
      </c>
      <c r="IM45" s="759">
        <v>3.9809185184295501E-3</v>
      </c>
      <c r="IN45" s="5">
        <f t="shared" si="226"/>
        <v>0.06</v>
      </c>
      <c r="IO45" s="771">
        <v>30</v>
      </c>
      <c r="IP45" s="9">
        <f t="shared" si="227"/>
        <v>-3.1059093674226519</v>
      </c>
      <c r="IQ45" s="5">
        <f t="shared" si="228"/>
        <v>-0.10240030883933117</v>
      </c>
      <c r="IR45" s="5">
        <f t="shared" si="383"/>
        <v>0.314</v>
      </c>
      <c r="IS45" s="5">
        <f t="shared" si="229"/>
        <v>0.29460934633844466</v>
      </c>
      <c r="IT45" s="727">
        <f t="shared" si="230"/>
        <v>17.52466235747244</v>
      </c>
      <c r="IU45" s="9">
        <f t="shared" si="231"/>
        <v>-3.1136953197391137</v>
      </c>
      <c r="IV45" s="5">
        <f t="shared" si="232"/>
        <v>-5.3021601363050078E-2</v>
      </c>
      <c r="IW45" s="5">
        <f t="shared" si="384"/>
        <v>0.26600000000000001</v>
      </c>
      <c r="IX45" s="5">
        <f t="shared" si="233"/>
        <v>0.24070682747561817</v>
      </c>
      <c r="IY45" s="762">
        <f t="shared" si="234"/>
        <v>15.787674829212168</v>
      </c>
    </row>
    <row r="46" spans="1:267" ht="15" customHeight="1" x14ac:dyDescent="0.25">
      <c r="A46" s="79"/>
      <c r="B46" s="707">
        <v>1.2311868643863682</v>
      </c>
      <c r="C46" s="708">
        <v>-3.6411572111377488</v>
      </c>
      <c r="D46" s="709">
        <v>-0.37372208076653318</v>
      </c>
      <c r="E46" s="710">
        <v>0.938823124411719</v>
      </c>
      <c r="F46" s="708">
        <v>4.1106870603234424E-2</v>
      </c>
      <c r="G46" s="711">
        <v>0.3419376642884302</v>
      </c>
      <c r="H46" s="710">
        <v>0.26600000000000001</v>
      </c>
      <c r="I46" s="708">
        <v>0.52</v>
      </c>
      <c r="J46" s="570">
        <v>3.2189999999999999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3.2189999999999999</v>
      </c>
      <c r="N46" s="632">
        <f t="shared" si="240"/>
        <v>1.2311868643863682</v>
      </c>
      <c r="O46" s="629">
        <f t="shared" si="241"/>
        <v>-3.6411572111377488</v>
      </c>
      <c r="P46" s="633">
        <f t="shared" si="242"/>
        <v>-0.37372208076653318</v>
      </c>
      <c r="Q46" s="585">
        <f t="shared" si="113"/>
        <v>288.68197131387251</v>
      </c>
      <c r="R46" s="629">
        <f t="shared" si="385"/>
        <v>3.8436762261223261</v>
      </c>
      <c r="S46" s="634">
        <f t="shared" si="386"/>
        <v>-0.37372208076653318</v>
      </c>
      <c r="T46" s="635">
        <f t="shared" si="387"/>
        <v>-3.6363312416003555</v>
      </c>
      <c r="U46" s="629">
        <f t="shared" si="388"/>
        <v>-1.2453682317367765</v>
      </c>
      <c r="V46" s="636">
        <f t="shared" si="389"/>
        <v>-0.37372208076653318</v>
      </c>
      <c r="W46" s="585">
        <f t="shared" si="224"/>
        <v>198.90527128163194</v>
      </c>
      <c r="X46" s="629">
        <f t="shared" si="390"/>
        <v>3.8436762261223261</v>
      </c>
      <c r="Y46" s="630">
        <f t="shared" si="223"/>
        <v>-0.37372208076653318</v>
      </c>
      <c r="Z46" s="632">
        <f t="shared" si="243"/>
        <v>-0.938823124411719</v>
      </c>
      <c r="AA46" s="629">
        <f t="shared" si="244"/>
        <v>-4.1106870603234424E-2</v>
      </c>
      <c r="AB46" s="629">
        <f t="shared" si="245"/>
        <v>-0.3419376642884302</v>
      </c>
      <c r="AC46" s="636">
        <f t="shared" si="391"/>
        <v>1</v>
      </c>
      <c r="AD46" s="637">
        <f t="shared" si="392"/>
        <v>-0.938823124411719</v>
      </c>
      <c r="AE46" s="629">
        <f t="shared" si="393"/>
        <v>-4.1106870603234424E-2</v>
      </c>
      <c r="AF46" s="633">
        <f t="shared" si="394"/>
        <v>-0.3419376642884302</v>
      </c>
      <c r="AG46" s="602">
        <f t="shared" si="395"/>
        <v>-6.8550546305319235</v>
      </c>
      <c r="AH46" s="603">
        <f t="shared" si="396"/>
        <v>159.85484555064414</v>
      </c>
      <c r="AI46" s="585">
        <f t="shared" si="397"/>
        <v>-70.005028905358145</v>
      </c>
      <c r="AJ46" s="586">
        <f t="shared" si="398"/>
        <v>-87.492875152134673</v>
      </c>
      <c r="AK46" s="635">
        <f t="shared" si="399"/>
        <v>0.90252472489261459</v>
      </c>
      <c r="AL46" s="629">
        <f t="shared" si="400"/>
        <v>-0.26177806382216867</v>
      </c>
      <c r="AM46" s="634">
        <f t="shared" si="401"/>
        <v>-0.3419376642884302</v>
      </c>
      <c r="AN46" s="581">
        <f t="shared" si="402"/>
        <v>-37.436674212266226</v>
      </c>
      <c r="AO46" s="582">
        <f t="shared" si="94"/>
        <v>25.508058537501309</v>
      </c>
      <c r="AP46" s="585">
        <f t="shared" si="403"/>
        <v>-16.174846466007178</v>
      </c>
      <c r="AQ46" s="586">
        <f t="shared" si="246"/>
        <v>0.59308981099611502</v>
      </c>
      <c r="AS46" s="52">
        <f t="shared" si="406"/>
        <v>-161.09472871836806</v>
      </c>
      <c r="AT46" s="72">
        <f t="shared" si="247"/>
        <v>-0.26169567195672239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3.2189999999999999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3.1190000000000002</v>
      </c>
      <c r="II46" s="734" cm="1">
        <f t="array" ref="II46">IFERROR(IF($IH46&lt;1,$IH46+LARGE((IF($M$9:$M$150="",0,$M$9:$M$150)-MOD(IF($M$9:$M$150="",0,$M$9:$M$150),1)),1),$IH46),"")</f>
        <v>3.1190000000000002</v>
      </c>
      <c r="IJ46" s="533">
        <f t="shared" si="112"/>
        <v>1613</v>
      </c>
      <c r="IK46" s="533">
        <f t="shared" si="382"/>
        <v>1313</v>
      </c>
      <c r="IL46" s="727">
        <f t="shared" si="225"/>
        <v>15.069897824175996</v>
      </c>
      <c r="IM46" s="759">
        <v>2.9111374315747098E-3</v>
      </c>
      <c r="IN46" s="5">
        <f t="shared" si="226"/>
        <v>0.04</v>
      </c>
      <c r="IO46" s="771">
        <v>20</v>
      </c>
      <c r="IP46" s="9">
        <f t="shared" si="227"/>
        <v>-3.8207115232659548</v>
      </c>
      <c r="IQ46" s="5">
        <f t="shared" si="228"/>
        <v>-0.41930126461261419</v>
      </c>
      <c r="IR46" s="5">
        <f t="shared" si="383"/>
        <v>0.314</v>
      </c>
      <c r="IS46" s="5">
        <f t="shared" si="229"/>
        <v>0.29383184126327677</v>
      </c>
      <c r="IT46" s="727">
        <f t="shared" si="230"/>
        <v>40.201951047263854</v>
      </c>
      <c r="IU46" s="9">
        <f t="shared" si="231"/>
        <v>-3.8436762261223261</v>
      </c>
      <c r="IV46" s="5">
        <f t="shared" si="232"/>
        <v>-0.37372208076653318</v>
      </c>
      <c r="IW46" s="5">
        <f t="shared" si="384"/>
        <v>0.26600000000000001</v>
      </c>
      <c r="IX46" s="5">
        <f t="shared" si="233"/>
        <v>0.24007157682143548</v>
      </c>
      <c r="IY46" s="762">
        <f t="shared" si="234"/>
        <v>37.436674212266226</v>
      </c>
    </row>
    <row r="47" spans="1:267" ht="15" customHeight="1" x14ac:dyDescent="0.25">
      <c r="A47" s="79"/>
      <c r="B47" s="707">
        <v>1.4978816360359273</v>
      </c>
      <c r="C47" s="708">
        <v>-4.1228340323747714</v>
      </c>
      <c r="D47" s="709">
        <v>-0.94814543469742629</v>
      </c>
      <c r="E47" s="710">
        <v>0.97168193764764088</v>
      </c>
      <c r="F47" s="708">
        <v>-3.8875193826928743E-2</v>
      </c>
      <c r="G47" s="711">
        <v>0.23307280269101521</v>
      </c>
      <c r="H47" s="710">
        <v>0.26600000000000001</v>
      </c>
      <c r="I47" s="708">
        <v>0.52</v>
      </c>
      <c r="J47" s="570">
        <v>3.2240000000000002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3.2240000000000002</v>
      </c>
      <c r="N47" s="632">
        <f t="shared" si="240"/>
        <v>1.4978816360359273</v>
      </c>
      <c r="O47" s="629">
        <f t="shared" si="241"/>
        <v>-4.1228340323747714</v>
      </c>
      <c r="P47" s="633">
        <f t="shared" si="242"/>
        <v>-0.94814543469742629</v>
      </c>
      <c r="Q47" s="585">
        <f t="shared" si="113"/>
        <v>289.9667711283704</v>
      </c>
      <c r="R47" s="629">
        <f t="shared" si="385"/>
        <v>4.3865031464802673</v>
      </c>
      <c r="S47" s="634">
        <f t="shared" si="386"/>
        <v>-0.94814543469742629</v>
      </c>
      <c r="T47" s="635">
        <f t="shared" si="387"/>
        <v>-4.1169650125784569</v>
      </c>
      <c r="U47" s="629">
        <f t="shared" si="388"/>
        <v>-1.5139382217535022</v>
      </c>
      <c r="V47" s="636">
        <f t="shared" si="389"/>
        <v>-0.94814543469742629</v>
      </c>
      <c r="W47" s="585">
        <f t="shared" si="224"/>
        <v>200.19007109612983</v>
      </c>
      <c r="X47" s="629">
        <f t="shared" si="390"/>
        <v>4.3865031464802673</v>
      </c>
      <c r="Y47" s="630">
        <f t="shared" si="223"/>
        <v>-0.94814543469742629</v>
      </c>
      <c r="Z47" s="632">
        <f t="shared" si="243"/>
        <v>-0.97168193764764088</v>
      </c>
      <c r="AA47" s="629">
        <f t="shared" si="244"/>
        <v>3.8875193826928743E-2</v>
      </c>
      <c r="AB47" s="629">
        <f t="shared" si="245"/>
        <v>-0.23307280269101521</v>
      </c>
      <c r="AC47" s="636">
        <f t="shared" si="391"/>
        <v>1</v>
      </c>
      <c r="AD47" s="637">
        <f t="shared" si="392"/>
        <v>-0.97168193764764088</v>
      </c>
      <c r="AE47" s="629">
        <f t="shared" si="393"/>
        <v>3.8875193826928743E-2</v>
      </c>
      <c r="AF47" s="633">
        <f t="shared" si="394"/>
        <v>-0.23307280269101521</v>
      </c>
      <c r="AG47" s="602">
        <f t="shared" si="395"/>
        <v>9.469432209620523</v>
      </c>
      <c r="AH47" s="603">
        <f t="shared" si="396"/>
        <v>166.3321682325585</v>
      </c>
      <c r="AI47" s="585">
        <f t="shared" si="397"/>
        <v>-76.521951729226487</v>
      </c>
      <c r="AJ47" s="586">
        <f t="shared" si="398"/>
        <v>-92.291076087198405</v>
      </c>
      <c r="AK47" s="635">
        <f t="shared" si="399"/>
        <v>0.9000000206120039</v>
      </c>
      <c r="AL47" s="629">
        <f t="shared" si="400"/>
        <v>-0.36834363241971191</v>
      </c>
      <c r="AM47" s="634">
        <f t="shared" si="401"/>
        <v>-0.23307280269101521</v>
      </c>
      <c r="AN47" s="581">
        <f t="shared" si="402"/>
        <v>-57.6760428510295</v>
      </c>
      <c r="AO47" s="582">
        <f t="shared" si="94"/>
        <v>25.841930053811151</v>
      </c>
      <c r="AP47" s="585">
        <f t="shared" si="403"/>
        <v>-22.257847215568816</v>
      </c>
      <c r="AQ47" s="586">
        <f t="shared" si="246"/>
        <v>0.51969964119004686</v>
      </c>
      <c r="AS47" s="52">
        <f t="shared" si="406"/>
        <v>-159.80992890387017</v>
      </c>
      <c r="AT47" s="72">
        <f t="shared" si="247"/>
        <v>-0.83701124798101678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3.2240000000000002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3.1240000000000001</v>
      </c>
      <c r="II47" s="734" cm="1">
        <f t="array" ref="II47">IFERROR(IF($IH47&lt;1,$IH47+LARGE((IF($M$9:$M$150="",0,$M$9:$M$150)-MOD(IF($M$9:$M$150="",0,$M$9:$M$150),1)),1),$IH47),"")</f>
        <v>3.1240000000000001</v>
      </c>
      <c r="IJ47" s="533">
        <f t="shared" si="112"/>
        <v>1613</v>
      </c>
      <c r="IK47" s="533">
        <f t="shared" si="382"/>
        <v>1313</v>
      </c>
      <c r="IL47" s="727">
        <f t="shared" si="225"/>
        <v>13.205398093376402</v>
      </c>
      <c r="IM47" s="759">
        <v>2.0576478046193799E-3</v>
      </c>
      <c r="IN47" s="5">
        <f t="shared" si="226"/>
        <v>0.02</v>
      </c>
      <c r="IO47" s="771">
        <v>10</v>
      </c>
      <c r="IP47" s="9">
        <f t="shared" si="227"/>
        <v>-4.3504131208459729</v>
      </c>
      <c r="IQ47" s="5">
        <f t="shared" si="228"/>
        <v>-0.98540297197536408</v>
      </c>
      <c r="IR47" s="5">
        <f t="shared" si="383"/>
        <v>0.314</v>
      </c>
      <c r="IS47" s="5">
        <f t="shared" si="229"/>
        <v>0.29300988205600381</v>
      </c>
      <c r="IT47" s="727">
        <f t="shared" si="230"/>
        <v>61.124962127446857</v>
      </c>
      <c r="IU47" s="9">
        <f t="shared" si="231"/>
        <v>-4.3865031464802673</v>
      </c>
      <c r="IV47" s="5">
        <f t="shared" si="232"/>
        <v>-0.94814543469742629</v>
      </c>
      <c r="IW47" s="5">
        <f t="shared" si="384"/>
        <v>0.26600000000000001</v>
      </c>
      <c r="IX47" s="5">
        <f t="shared" si="233"/>
        <v>0.23940000548279305</v>
      </c>
      <c r="IY47" s="762">
        <f t="shared" si="234"/>
        <v>57.6760428510295</v>
      </c>
    </row>
    <row r="48" spans="1:267" ht="15" customHeight="1" x14ac:dyDescent="0.25">
      <c r="A48" s="79"/>
      <c r="B48" s="707">
        <v>-0.42377051621995193</v>
      </c>
      <c r="C48" s="708">
        <v>-0.42377022789307928</v>
      </c>
      <c r="D48" s="709">
        <v>-0.2218006689508174</v>
      </c>
      <c r="E48" s="710">
        <v>0.66690147880474759</v>
      </c>
      <c r="F48" s="708">
        <v>-0.61481134068008625</v>
      </c>
      <c r="G48" s="711">
        <v>0.42101001524808856</v>
      </c>
      <c r="H48" s="710">
        <v>0.314</v>
      </c>
      <c r="I48" s="708">
        <v>0.52</v>
      </c>
      <c r="J48" s="570">
        <v>4.1020000000000003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4.1020000000000003</v>
      </c>
      <c r="N48" s="632">
        <f t="shared" si="240"/>
        <v>-0.42377051621995193</v>
      </c>
      <c r="O48" s="629">
        <f t="shared" si="241"/>
        <v>-0.42377022789307928</v>
      </c>
      <c r="P48" s="633">
        <f t="shared" si="242"/>
        <v>-0.2218006689508174</v>
      </c>
      <c r="Q48" s="585">
        <f t="shared" si="113"/>
        <v>224.99998050841444</v>
      </c>
      <c r="R48" s="629">
        <f t="shared" si="79"/>
        <v>0.59930180749425144</v>
      </c>
      <c r="S48" s="634">
        <f t="shared" si="80"/>
        <v>-0.2218006689508174</v>
      </c>
      <c r="T48" s="635">
        <f t="shared" si="81"/>
        <v>-0.42541857453480986</v>
      </c>
      <c r="U48" s="629">
        <f t="shared" si="82"/>
        <v>0.42211573401929386</v>
      </c>
      <c r="V48" s="636">
        <f t="shared" si="114"/>
        <v>-0.2218006689508174</v>
      </c>
      <c r="W48" s="585">
        <f t="shared" si="224"/>
        <v>135.2232804761739</v>
      </c>
      <c r="X48" s="629">
        <f t="shared" si="83"/>
        <v>0.59930180749425144</v>
      </c>
      <c r="Y48" s="630">
        <f t="shared" si="223"/>
        <v>-0.2218006689508174</v>
      </c>
      <c r="Z48" s="632">
        <f t="shared" si="243"/>
        <v>-0.66690147880474759</v>
      </c>
      <c r="AA48" s="629">
        <f t="shared" si="244"/>
        <v>0.61481134068008625</v>
      </c>
      <c r="AB48" s="629">
        <f t="shared" si="245"/>
        <v>-0.42101001524808856</v>
      </c>
      <c r="AC48" s="636">
        <f t="shared" si="84"/>
        <v>1</v>
      </c>
      <c r="AD48" s="637">
        <f t="shared" si="115"/>
        <v>-0.66690147880474759</v>
      </c>
      <c r="AE48" s="629">
        <f t="shared" si="85"/>
        <v>0.61481134068008625</v>
      </c>
      <c r="AF48" s="633">
        <f t="shared" si="86"/>
        <v>-0.42101001524808856</v>
      </c>
      <c r="AG48" s="602">
        <f t="shared" si="87"/>
        <v>55.597468278017011</v>
      </c>
      <c r="AH48" s="603">
        <f t="shared" si="88"/>
        <v>131.82836753216222</v>
      </c>
      <c r="AI48" s="585">
        <f t="shared" si="89"/>
        <v>-65.101629594133072</v>
      </c>
      <c r="AJ48" s="586">
        <f t="shared" si="90"/>
        <v>-132.67272085836694</v>
      </c>
      <c r="AK48" s="635">
        <f t="shared" si="211"/>
        <v>0.90630781366099966</v>
      </c>
      <c r="AL48" s="629">
        <f t="shared" si="91"/>
        <v>3.6833598219873809E-2</v>
      </c>
      <c r="AM48" s="634">
        <f t="shared" si="92"/>
        <v>-0.42101001524808856</v>
      </c>
      <c r="AN48" s="581">
        <f t="shared" si="93"/>
        <v>4.9999992780893354</v>
      </c>
      <c r="AO48" s="582">
        <f t="shared" si="94"/>
        <v>24.999996390447087</v>
      </c>
      <c r="AP48" s="585">
        <f t="shared" si="95"/>
        <v>2.3272986332186059</v>
      </c>
      <c r="AQ48" s="586">
        <f t="shared" si="246"/>
        <v>3.7983964879416225</v>
      </c>
      <c r="AS48" s="52">
        <f t="shared" si="406"/>
        <v>-224.7767195238261</v>
      </c>
      <c r="AT48" s="72">
        <f t="shared" si="247"/>
        <v>-6.5550655414994108E-2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4.1020000000000003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-0.96541612847505542</v>
      </c>
      <c r="C49" s="708">
        <v>-0.96541547162092523</v>
      </c>
      <c r="D49" s="709">
        <v>-0.1653004985463038</v>
      </c>
      <c r="E49" s="710">
        <v>0.68554097166667227</v>
      </c>
      <c r="F49" s="708">
        <v>-0.64338511582925539</v>
      </c>
      <c r="G49" s="711">
        <v>0.34071860661796938</v>
      </c>
      <c r="H49" s="710">
        <v>0.314</v>
      </c>
      <c r="I49" s="708">
        <v>0.52</v>
      </c>
      <c r="J49" s="570">
        <v>4.1050000000000004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4.1050000000000004</v>
      </c>
      <c r="N49" s="632">
        <f t="shared" si="240"/>
        <v>-0.96541612847505542</v>
      </c>
      <c r="O49" s="629">
        <f t="shared" si="241"/>
        <v>-0.96541547162092523</v>
      </c>
      <c r="P49" s="633">
        <f t="shared" si="242"/>
        <v>-0.1653004985463038</v>
      </c>
      <c r="Q49" s="585">
        <f t="shared" si="113"/>
        <v>224.99998050841438</v>
      </c>
      <c r="R49" s="629">
        <f t="shared" si="79"/>
        <v>1.3653041177572192</v>
      </c>
      <c r="S49" s="634">
        <f t="shared" si="80"/>
        <v>-0.1653004985463038</v>
      </c>
      <c r="T49" s="635">
        <f t="shared" si="81"/>
        <v>-0.96917066546366648</v>
      </c>
      <c r="U49" s="629">
        <f t="shared" si="82"/>
        <v>0.96164627341321951</v>
      </c>
      <c r="V49" s="636">
        <f t="shared" si="114"/>
        <v>-0.1653004985463038</v>
      </c>
      <c r="W49" s="585">
        <f t="shared" si="224"/>
        <v>135.22328047617384</v>
      </c>
      <c r="X49" s="629">
        <f t="shared" si="83"/>
        <v>1.3653041177572192</v>
      </c>
      <c r="Y49" s="630">
        <f t="shared" si="223"/>
        <v>-0.1653004985463038</v>
      </c>
      <c r="Z49" s="632">
        <f t="shared" si="243"/>
        <v>-0.68554097166667227</v>
      </c>
      <c r="AA49" s="629">
        <f t="shared" si="244"/>
        <v>0.64338511582925539</v>
      </c>
      <c r="AB49" s="629">
        <f t="shared" si="245"/>
        <v>-0.34071860661796938</v>
      </c>
      <c r="AC49" s="636">
        <f t="shared" si="84"/>
        <v>1</v>
      </c>
      <c r="AD49" s="637">
        <f t="shared" si="115"/>
        <v>-0.68554097166667227</v>
      </c>
      <c r="AE49" s="629">
        <f t="shared" si="85"/>
        <v>0.64338511582925539</v>
      </c>
      <c r="AF49" s="633">
        <f t="shared" si="86"/>
        <v>-0.34071860661796938</v>
      </c>
      <c r="AG49" s="602">
        <f t="shared" si="87"/>
        <v>62.095567944875071</v>
      </c>
      <c r="AH49" s="603">
        <f t="shared" si="88"/>
        <v>133.27816636755389</v>
      </c>
      <c r="AI49" s="585">
        <f t="shared" si="89"/>
        <v>-70.079338493247803</v>
      </c>
      <c r="AJ49" s="586">
        <f t="shared" si="90"/>
        <v>-133.18308710484362</v>
      </c>
      <c r="AK49" s="635">
        <f t="shared" si="211"/>
        <v>0.93969263802333458</v>
      </c>
      <c r="AL49" s="629">
        <f t="shared" si="91"/>
        <v>2.9809011205603864E-2</v>
      </c>
      <c r="AM49" s="634">
        <f t="shared" si="92"/>
        <v>-0.34071860661796938</v>
      </c>
      <c r="AN49" s="581">
        <f t="shared" si="93"/>
        <v>4.9999992780894154</v>
      </c>
      <c r="AO49" s="582">
        <f t="shared" si="94"/>
        <v>19.999997112357679</v>
      </c>
      <c r="AP49" s="585">
        <f t="shared" si="95"/>
        <v>1.8169323867419469</v>
      </c>
      <c r="AQ49" s="586">
        <f t="shared" si="246"/>
        <v>1.6692849159765024</v>
      </c>
      <c r="AS49" s="52">
        <f t="shared" si="406"/>
        <v>-224.77671952382616</v>
      </c>
      <c r="AT49" s="72">
        <f t="shared" si="247"/>
        <v>-9.0504850104804746E-3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4.1050000000000004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-1.5064253424912166</v>
      </c>
      <c r="C50" s="708">
        <v>-1.5064243175428256</v>
      </c>
      <c r="D50" s="709">
        <v>-9.8300296473694301E-2</v>
      </c>
      <c r="E50" s="710">
        <v>0.6855409716666726</v>
      </c>
      <c r="F50" s="708">
        <v>-0.64338511582925517</v>
      </c>
      <c r="G50" s="711">
        <v>0.34071860661796932</v>
      </c>
      <c r="H50" s="710">
        <v>0.314</v>
      </c>
      <c r="I50" s="708">
        <v>0.52</v>
      </c>
      <c r="J50" s="570">
        <v>4.1079999999999997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4.1079999999999997</v>
      </c>
      <c r="N50" s="632">
        <f t="shared" si="240"/>
        <v>-1.5064253424912166</v>
      </c>
      <c r="O50" s="629">
        <f t="shared" si="241"/>
        <v>-1.5064243175428256</v>
      </c>
      <c r="P50" s="633">
        <f t="shared" si="242"/>
        <v>-9.8300296473694301E-2</v>
      </c>
      <c r="Q50" s="585">
        <f t="shared" si="113"/>
        <v>224.99998050841441</v>
      </c>
      <c r="R50" s="629">
        <f t="shared" si="79"/>
        <v>2.1304064253057788</v>
      </c>
      <c r="S50" s="634">
        <f t="shared" si="80"/>
        <v>-9.8300296473694301E-2</v>
      </c>
      <c r="T50" s="635">
        <f t="shared" si="81"/>
        <v>-1.5122838831786385</v>
      </c>
      <c r="U50" s="629">
        <f t="shared" si="82"/>
        <v>1.500542899640755</v>
      </c>
      <c r="V50" s="636">
        <f t="shared" si="114"/>
        <v>-9.8300296473694301E-2</v>
      </c>
      <c r="W50" s="585">
        <f t="shared" si="224"/>
        <v>135.22328047617384</v>
      </c>
      <c r="X50" s="629">
        <f t="shared" si="83"/>
        <v>2.1304064253057788</v>
      </c>
      <c r="Y50" s="630">
        <f t="shared" si="223"/>
        <v>-9.8300296473694301E-2</v>
      </c>
      <c r="Z50" s="632">
        <f t="shared" si="243"/>
        <v>-0.6855409716666726</v>
      </c>
      <c r="AA50" s="629">
        <f t="shared" si="244"/>
        <v>0.64338511582925517</v>
      </c>
      <c r="AB50" s="629">
        <f t="shared" si="245"/>
        <v>-0.34071860661796932</v>
      </c>
      <c r="AC50" s="636">
        <f t="shared" si="84"/>
        <v>1</v>
      </c>
      <c r="AD50" s="637">
        <f t="shared" si="115"/>
        <v>-0.6855409716666726</v>
      </c>
      <c r="AE50" s="629">
        <f t="shared" si="85"/>
        <v>0.64338511582925517</v>
      </c>
      <c r="AF50" s="633">
        <f t="shared" si="86"/>
        <v>-0.34071860661796932</v>
      </c>
      <c r="AG50" s="602">
        <f t="shared" si="87"/>
        <v>62.095567944875057</v>
      </c>
      <c r="AH50" s="603">
        <f t="shared" si="88"/>
        <v>133.27816636755389</v>
      </c>
      <c r="AI50" s="585">
        <f t="shared" si="89"/>
        <v>-70.079338493247818</v>
      </c>
      <c r="AJ50" s="586">
        <f t="shared" si="90"/>
        <v>-133.18308710484362</v>
      </c>
      <c r="AK50" s="635">
        <f t="shared" si="211"/>
        <v>0.93969263802333458</v>
      </c>
      <c r="AL50" s="629">
        <f t="shared" si="91"/>
        <v>2.9809011205604252E-2</v>
      </c>
      <c r="AM50" s="634">
        <f t="shared" si="92"/>
        <v>-0.34071860661796932</v>
      </c>
      <c r="AN50" s="581">
        <f t="shared" si="93"/>
        <v>4.9999992780894811</v>
      </c>
      <c r="AO50" s="582">
        <f t="shared" si="94"/>
        <v>19.999997112357679</v>
      </c>
      <c r="AP50" s="585">
        <f t="shared" si="95"/>
        <v>1.8169323867419707</v>
      </c>
      <c r="AQ50" s="586">
        <f t="shared" si="246"/>
        <v>1.0699656143542282</v>
      </c>
      <c r="AS50" s="52">
        <f t="shared" si="406"/>
        <v>-224.77671952382616</v>
      </c>
      <c r="AT50" s="72">
        <f t="shared" si="247"/>
        <v>5.7949717062129022E-2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4.1079999999999997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-2.103622464678621</v>
      </c>
      <c r="C51" s="708">
        <v>-2.071448862922626</v>
      </c>
      <c r="D51" s="709">
        <v>-7.5100226502283124E-2</v>
      </c>
      <c r="E51" s="710">
        <v>0.60345360777186119</v>
      </c>
      <c r="F51" s="708">
        <v>-0.72307354259238998</v>
      </c>
      <c r="G51" s="711">
        <v>0.33616721325854498</v>
      </c>
      <c r="H51" s="710">
        <v>0.314</v>
      </c>
      <c r="I51" s="708">
        <v>0.52</v>
      </c>
      <c r="J51" s="570">
        <v>4.1130000000000004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4.1130000000000004</v>
      </c>
      <c r="N51" s="632">
        <f t="shared" si="240"/>
        <v>-2.103622464678621</v>
      </c>
      <c r="O51" s="629">
        <f t="shared" si="241"/>
        <v>-2.071448862922626</v>
      </c>
      <c r="P51" s="633">
        <f t="shared" si="242"/>
        <v>-7.5100226502283124E-2</v>
      </c>
      <c r="Q51" s="585">
        <f t="shared" si="113"/>
        <v>224.55848057215911</v>
      </c>
      <c r="R51" s="629">
        <f t="shared" si="79"/>
        <v>2.9523089041636541</v>
      </c>
      <c r="S51" s="634">
        <f t="shared" si="80"/>
        <v>-7.5100226502283124E-2</v>
      </c>
      <c r="T51" s="635">
        <f t="shared" si="81"/>
        <v>-2.07963159964795</v>
      </c>
      <c r="U51" s="629">
        <f t="shared" si="82"/>
        <v>2.0955334106975494</v>
      </c>
      <c r="V51" s="636">
        <f t="shared" si="114"/>
        <v>-7.5100226502283124E-2</v>
      </c>
      <c r="W51" s="585">
        <f t="shared" si="224"/>
        <v>134.78178053991854</v>
      </c>
      <c r="X51" s="629">
        <f t="shared" si="83"/>
        <v>2.9523089041636541</v>
      </c>
      <c r="Y51" s="630">
        <f t="shared" si="223"/>
        <v>-7.5100226502283124E-2</v>
      </c>
      <c r="Z51" s="632">
        <f t="shared" si="243"/>
        <v>-0.60345360777186119</v>
      </c>
      <c r="AA51" s="629">
        <f t="shared" si="244"/>
        <v>0.72307354259238998</v>
      </c>
      <c r="AB51" s="629">
        <f t="shared" si="245"/>
        <v>-0.33616721325854498</v>
      </c>
      <c r="AC51" s="636">
        <f t="shared" si="84"/>
        <v>1</v>
      </c>
      <c r="AD51" s="637">
        <f t="shared" si="115"/>
        <v>-0.60345360777186119</v>
      </c>
      <c r="AE51" s="629">
        <f t="shared" si="85"/>
        <v>0.72307354259238998</v>
      </c>
      <c r="AF51" s="633">
        <f t="shared" si="86"/>
        <v>-0.33616721325854498</v>
      </c>
      <c r="AG51" s="602">
        <f t="shared" si="87"/>
        <v>65.065610847417048</v>
      </c>
      <c r="AH51" s="603">
        <f t="shared" si="88"/>
        <v>127.11764658215233</v>
      </c>
      <c r="AI51" s="585">
        <f t="shared" si="89"/>
        <v>-70.35646878675233</v>
      </c>
      <c r="AJ51" s="586">
        <f t="shared" si="90"/>
        <v>-140.15272555370194</v>
      </c>
      <c r="AK51" s="635">
        <f t="shared" si="211"/>
        <v>0.9386202892080816</v>
      </c>
      <c r="AL51" s="629">
        <f t="shared" si="91"/>
        <v>-7.735345769208618E-2</v>
      </c>
      <c r="AM51" s="634">
        <f t="shared" si="92"/>
        <v>-0.33616721325854498</v>
      </c>
      <c r="AN51" s="581">
        <f t="shared" si="93"/>
        <v>-12.958429794633105</v>
      </c>
      <c r="AO51" s="582">
        <f t="shared" si="94"/>
        <v>20.178871924341738</v>
      </c>
      <c r="AP51" s="585">
        <f t="shared" si="95"/>
        <v>-4.7112061258610662</v>
      </c>
      <c r="AQ51" s="586">
        <f t="shared" si="246"/>
        <v>0.77213756955944102</v>
      </c>
      <c r="AS51" s="52">
        <f t="shared" si="406"/>
        <v>-225.21821946008146</v>
      </c>
      <c r="AT51" s="72">
        <f t="shared" si="247"/>
        <v>8.1456384211495286E-2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4.1130000000000004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-2.6579056766886513</v>
      </c>
      <c r="C52" s="708">
        <v>-2.5567486105412107</v>
      </c>
      <c r="D52" s="709">
        <v>-0.33270100342622633</v>
      </c>
      <c r="E52" s="710">
        <v>0.50127179392549082</v>
      </c>
      <c r="F52" s="708">
        <v>-0.81701061556119292</v>
      </c>
      <c r="G52" s="711">
        <v>0.28499165369364921</v>
      </c>
      <c r="H52" s="710">
        <v>0.314</v>
      </c>
      <c r="I52" s="708">
        <v>0.52</v>
      </c>
      <c r="J52" s="570">
        <v>4.1180000000000003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4.1180000000000003</v>
      </c>
      <c r="N52" s="632">
        <f t="shared" si="240"/>
        <v>-2.6579056766886513</v>
      </c>
      <c r="O52" s="629">
        <f t="shared" si="241"/>
        <v>-2.5567486105412107</v>
      </c>
      <c r="P52" s="633">
        <f t="shared" si="242"/>
        <v>-0.33270100342622633</v>
      </c>
      <c r="Q52" s="585">
        <f t="shared" si="113"/>
        <v>223.88868066886624</v>
      </c>
      <c r="R52" s="629">
        <f t="shared" si="79"/>
        <v>3.6880111230415467</v>
      </c>
      <c r="S52" s="634">
        <f t="shared" si="80"/>
        <v>-0.33270100342622633</v>
      </c>
      <c r="T52" s="635">
        <f t="shared" si="81"/>
        <v>-2.5670878750269632</v>
      </c>
      <c r="U52" s="629">
        <f t="shared" si="82"/>
        <v>2.6479210497232959</v>
      </c>
      <c r="V52" s="636">
        <f t="shared" si="114"/>
        <v>-0.33270100342622633</v>
      </c>
      <c r="W52" s="585">
        <f t="shared" si="224"/>
        <v>134.11198063662567</v>
      </c>
      <c r="X52" s="629">
        <f t="shared" si="83"/>
        <v>3.6880111230415467</v>
      </c>
      <c r="Y52" s="630">
        <f t="shared" si="223"/>
        <v>-0.33270100342622633</v>
      </c>
      <c r="Z52" s="632">
        <f t="shared" si="243"/>
        <v>-0.50127179392549082</v>
      </c>
      <c r="AA52" s="629">
        <f t="shared" si="244"/>
        <v>0.81701061556119292</v>
      </c>
      <c r="AB52" s="629">
        <f t="shared" si="245"/>
        <v>-0.28499165369364921</v>
      </c>
      <c r="AC52" s="636">
        <f t="shared" si="84"/>
        <v>1</v>
      </c>
      <c r="AD52" s="637">
        <f t="shared" si="115"/>
        <v>-0.50127179392549082</v>
      </c>
      <c r="AE52" s="629">
        <f t="shared" si="85"/>
        <v>0.81701061556119292</v>
      </c>
      <c r="AF52" s="633">
        <f t="shared" si="86"/>
        <v>-0.28499165369364921</v>
      </c>
      <c r="AG52" s="602">
        <f t="shared" si="87"/>
        <v>70.770080964001735</v>
      </c>
      <c r="AH52" s="603">
        <f t="shared" si="88"/>
        <v>120.08417693948672</v>
      </c>
      <c r="AI52" s="585">
        <f t="shared" si="89"/>
        <v>-73.441650311558135</v>
      </c>
      <c r="AJ52" s="586">
        <f t="shared" si="90"/>
        <v>-148.46906119980483</v>
      </c>
      <c r="AK52" s="635">
        <f t="shared" si="211"/>
        <v>0.9363212312628868</v>
      </c>
      <c r="AL52" s="629">
        <f t="shared" si="91"/>
        <v>-0.20513973094286403</v>
      </c>
      <c r="AM52" s="634">
        <f t="shared" si="92"/>
        <v>-0.28499165369364921</v>
      </c>
      <c r="AN52" s="581">
        <f t="shared" si="93"/>
        <v>-35.746702349533301</v>
      </c>
      <c r="AO52" s="582">
        <f t="shared" si="94"/>
        <v>20.557341846393946</v>
      </c>
      <c r="AP52" s="585">
        <f t="shared" si="95"/>
        <v>-12.357741868671061</v>
      </c>
      <c r="AQ52" s="586">
        <f t="shared" si="246"/>
        <v>0.61812128873069072</v>
      </c>
      <c r="AS52" s="52">
        <f t="shared" si="406"/>
        <v>-225.88801936337433</v>
      </c>
      <c r="AT52" s="72">
        <f t="shared" si="247"/>
        <v>-0.17567925389071676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4.1180000000000003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-3.1048522510449406</v>
      </c>
      <c r="C53" s="708">
        <v>-2.9227642715093833</v>
      </c>
      <c r="D53" s="709">
        <v>-0.85710258502139669</v>
      </c>
      <c r="E53" s="710">
        <v>0.42075745532961822</v>
      </c>
      <c r="F53" s="708">
        <v>-0.88613055104122473</v>
      </c>
      <c r="G53" s="711">
        <v>0.19425707270501053</v>
      </c>
      <c r="H53" s="710">
        <v>0.314</v>
      </c>
      <c r="I53" s="708">
        <v>0.52</v>
      </c>
      <c r="J53" s="570">
        <v>4.1230000000000002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4.1230000000000002</v>
      </c>
      <c r="N53" s="632">
        <f t="shared" si="240"/>
        <v>-3.1048522510449406</v>
      </c>
      <c r="O53" s="629">
        <f t="shared" si="241"/>
        <v>-2.9227642715093833</v>
      </c>
      <c r="P53" s="633">
        <f t="shared" si="242"/>
        <v>-0.85710258502139669</v>
      </c>
      <c r="Q53" s="585">
        <f t="shared" si="113"/>
        <v>223.26968075823879</v>
      </c>
      <c r="R53" s="629">
        <f t="shared" ref="R53:R58" si="410">IF(M53="","",SQRT(N53^2+O53^2))</f>
        <v>4.2641128605643885</v>
      </c>
      <c r="S53" s="634">
        <f t="shared" ref="S53:S58" si="411">IF(M53="","",P53)</f>
        <v>-0.85710258502139669</v>
      </c>
      <c r="T53" s="635">
        <f t="shared" ref="T53:T58" si="412">IF(M53="","",X53*COS(RADIANS(W53)))</f>
        <v>-2.9348426455345606</v>
      </c>
      <c r="U53" s="629">
        <f t="shared" ref="U53:U58" si="413">IF(M53="","",X53*SIN(RADIANS(W53)))</f>
        <v>3.093437753306556</v>
      </c>
      <c r="V53" s="636">
        <f t="shared" ref="V53:V58" si="414">IF(M53="","",Y53)</f>
        <v>-0.85710258502139669</v>
      </c>
      <c r="W53" s="585">
        <f t="shared" si="224"/>
        <v>133.49298072599822</v>
      </c>
      <c r="X53" s="629">
        <f t="shared" ref="X53:X58" si="415">IF(M53="","",R53)</f>
        <v>4.2641128605643885</v>
      </c>
      <c r="Y53" s="630">
        <f t="shared" si="223"/>
        <v>-0.85710258502139669</v>
      </c>
      <c r="Z53" s="632">
        <f t="shared" si="243"/>
        <v>-0.42075745532961822</v>
      </c>
      <c r="AA53" s="629">
        <f t="shared" si="244"/>
        <v>0.88613055104122473</v>
      </c>
      <c r="AB53" s="629">
        <f t="shared" si="245"/>
        <v>-0.19425707270501053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-0.42075745532961822</v>
      </c>
      <c r="AE53" s="629">
        <f t="shared" ref="AE53:AE58" si="418">IF(M53="","",AA53*(1/SQRT(Z53^2+AA53^2+AB53^2)))</f>
        <v>0.88613055104122473</v>
      </c>
      <c r="AF53" s="633">
        <f t="shared" ref="AF53:AF58" si="419">IF(M53="","",AB53*(1/SQRT(Z53^2+AA53^2+AB53^2)))</f>
        <v>-0.19425707270501053</v>
      </c>
      <c r="AG53" s="602">
        <f t="shared" ref="AG53:AG58" si="420">IF(M53="","",DEGREES(ATAN2(-AF53,AE53)))</f>
        <v>77.635244770406672</v>
      </c>
      <c r="AH53" s="603">
        <f t="shared" ref="AH53:AH58" si="421">IF(M53="","",DEGREES(ACOS(AD53)))</f>
        <v>114.88241804701218</v>
      </c>
      <c r="AI53" s="585">
        <f t="shared" ref="AI53:AI58" si="422">IF(M53="","",DEGREES(-ACOS(-AF53)))</f>
        <v>-78.798672876965526</v>
      </c>
      <c r="AJ53" s="586">
        <f t="shared" ref="AJ53:AJ58" si="423">IF(M53="","",DEGREES(ATAN2(-AE53,AD53)))</f>
        <v>-154.60043613503436</v>
      </c>
      <c r="AK53" s="635">
        <f t="shared" ref="AK53:AK58" si="424">IF(M53="","",(COS(RADIANS((90-$Q$8)-W53))*AD53)+(-SIN(RADIANS((90-$Q$8)-W53))*AE53))</f>
        <v>0.93362427865047803</v>
      </c>
      <c r="AL53" s="629">
        <f t="shared" ref="AL53:AL58" si="425">IF(M53="","",(SIN(RADIANS((90-$Q$8)-W53))*AD53)+(COS(RADIANS((90-$Q$8)-W53))*AE53))</f>
        <v>-0.30101477707656643</v>
      </c>
      <c r="AM53" s="634">
        <f t="shared" ref="AM53:AM58" si="426">IF(M53="","",AF53)</f>
        <v>-0.19425707270501053</v>
      </c>
      <c r="AN53" s="581">
        <f t="shared" ref="AN53:AN58" si="427">IF(M53="","",DEGREES(ATAN2(-AM53,AL53)))</f>
        <v>-57.164202435159822</v>
      </c>
      <c r="AO53" s="582">
        <f t="shared" si="94"/>
        <v>20.992987810683019</v>
      </c>
      <c r="AP53" s="585">
        <f t="shared" ref="AP53:AP58" si="428">IF(M53="","",DEGREES(ATAN2(AK53,AL53)))</f>
        <v>-17.87011689327316</v>
      </c>
      <c r="AQ53" s="586">
        <f t="shared" si="246"/>
        <v>0.53461541604255935</v>
      </c>
      <c r="AS53" s="52">
        <f t="shared" si="406"/>
        <v>-226.50701927400178</v>
      </c>
      <c r="AT53" s="72">
        <f t="shared" si="247"/>
        <v>-0.69965097443684032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4.1230000000000002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-3.3653897859945374</v>
      </c>
      <c r="C54" s="708">
        <v>-3.1264026993213196</v>
      </c>
      <c r="D54" s="709">
        <v>-1.5419000000000009</v>
      </c>
      <c r="E54" s="710">
        <v>0.341017940042251</v>
      </c>
      <c r="F54" s="708">
        <v>-0.9335353281150407</v>
      </c>
      <c r="G54" s="711">
        <v>0.11053757610189864</v>
      </c>
      <c r="H54" s="710">
        <v>0.314</v>
      </c>
      <c r="I54" s="708">
        <v>0.52</v>
      </c>
      <c r="J54" s="570">
        <v>4.1280000000000001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4.1280000000000001</v>
      </c>
      <c r="N54" s="632">
        <f t="shared" si="240"/>
        <v>-3.3653897859945374</v>
      </c>
      <c r="O54" s="629">
        <f t="shared" si="241"/>
        <v>-3.1264026993213196</v>
      </c>
      <c r="P54" s="633">
        <f t="shared" si="242"/>
        <v>-1.5419000000000009</v>
      </c>
      <c r="Q54" s="585">
        <f t="shared" si="113"/>
        <v>222.89168081281522</v>
      </c>
      <c r="R54" s="629">
        <f t="shared" si="410"/>
        <v>4.5934999999999997</v>
      </c>
      <c r="S54" s="634">
        <f t="shared" si="411"/>
        <v>-1.5419000000000009</v>
      </c>
      <c r="T54" s="635">
        <f t="shared" si="412"/>
        <v>-3.1394949222920334</v>
      </c>
      <c r="U54" s="629">
        <f t="shared" si="413"/>
        <v>3.3531796675547429</v>
      </c>
      <c r="V54" s="636">
        <f t="shared" si="414"/>
        <v>-1.5419000000000009</v>
      </c>
      <c r="W54" s="585">
        <f t="shared" si="224"/>
        <v>133.11498078057468</v>
      </c>
      <c r="X54" s="629">
        <f t="shared" si="415"/>
        <v>4.5934999999999997</v>
      </c>
      <c r="Y54" s="630">
        <f t="shared" si="223"/>
        <v>-1.5419000000000009</v>
      </c>
      <c r="Z54" s="632">
        <f t="shared" si="243"/>
        <v>-0.341017940042251</v>
      </c>
      <c r="AA54" s="629">
        <f t="shared" si="244"/>
        <v>0.9335353281150407</v>
      </c>
      <c r="AB54" s="629">
        <f t="shared" si="245"/>
        <v>-0.11053757610189864</v>
      </c>
      <c r="AC54" s="636">
        <f t="shared" si="416"/>
        <v>1</v>
      </c>
      <c r="AD54" s="637">
        <f t="shared" si="417"/>
        <v>-0.341017940042251</v>
      </c>
      <c r="AE54" s="629">
        <f t="shared" si="418"/>
        <v>0.9335353281150407</v>
      </c>
      <c r="AF54" s="633">
        <f t="shared" si="419"/>
        <v>-0.11053757610189864</v>
      </c>
      <c r="AG54" s="602">
        <f t="shared" si="420"/>
        <v>83.24719223552664</v>
      </c>
      <c r="AH54" s="603">
        <f t="shared" si="421"/>
        <v>109.93890460861829</v>
      </c>
      <c r="AI54" s="585">
        <f t="shared" si="422"/>
        <v>-83.653694606400038</v>
      </c>
      <c r="AJ54" s="586">
        <f t="shared" si="423"/>
        <v>-159.93288754249684</v>
      </c>
      <c r="AK54" s="635">
        <f t="shared" si="424"/>
        <v>0.91604869192739879</v>
      </c>
      <c r="AL54" s="629">
        <f t="shared" si="425"/>
        <v>-0.3855337057737217</v>
      </c>
      <c r="AM54" s="634">
        <f t="shared" si="426"/>
        <v>-0.11053757610189864</v>
      </c>
      <c r="AN54" s="581">
        <f t="shared" si="427"/>
        <v>-74.001707638590588</v>
      </c>
      <c r="AO54" s="582">
        <f t="shared" si="94"/>
        <v>23.644903091224812</v>
      </c>
      <c r="AP54" s="585">
        <f t="shared" si="428"/>
        <v>-22.824568355312106</v>
      </c>
      <c r="AQ54" s="586">
        <f t="shared" si="246"/>
        <v>0.49628161942587673</v>
      </c>
      <c r="AS54" s="52">
        <f t="shared" si="406"/>
        <v>-226.88501921942532</v>
      </c>
      <c r="AT54" s="72">
        <f t="shared" si="247"/>
        <v>-1.3841858894533448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4.1280000000000001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-3.480505140029496</v>
      </c>
      <c r="C55" s="708">
        <v>-3.2160934657171056</v>
      </c>
      <c r="D55" s="709">
        <v>-2.2065066548240715</v>
      </c>
      <c r="E55" s="710">
        <v>0.13016165440571337</v>
      </c>
      <c r="F55" s="708">
        <v>-0.98462292981752964</v>
      </c>
      <c r="G55" s="711">
        <v>0.11651450467607806</v>
      </c>
      <c r="H55" s="710">
        <v>0.26600000000000001</v>
      </c>
      <c r="I55" s="708">
        <v>0.52</v>
      </c>
      <c r="J55" s="570">
        <v>4.133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4.133</v>
      </c>
      <c r="N55" s="632">
        <f t="shared" si="240"/>
        <v>-3.480505140029496</v>
      </c>
      <c r="O55" s="629">
        <f t="shared" si="241"/>
        <v>-3.2160934657171056</v>
      </c>
      <c r="P55" s="633">
        <f t="shared" si="242"/>
        <v>-2.2065066548240715</v>
      </c>
      <c r="Q55" s="585">
        <f t="shared" si="113"/>
        <v>222.73888083487682</v>
      </c>
      <c r="R55" s="629">
        <f t="shared" si="410"/>
        <v>4.738900000000001</v>
      </c>
      <c r="S55" s="634">
        <f t="shared" si="411"/>
        <v>-2.2065066548240715</v>
      </c>
      <c r="T55" s="635">
        <f t="shared" si="412"/>
        <v>-3.2296336477240093</v>
      </c>
      <c r="U55" s="629">
        <f t="shared" si="413"/>
        <v>3.4679445946394414</v>
      </c>
      <c r="V55" s="636">
        <f t="shared" si="414"/>
        <v>-2.2065066548240715</v>
      </c>
      <c r="W55" s="585">
        <f t="shared" si="224"/>
        <v>132.96218080263628</v>
      </c>
      <c r="X55" s="629">
        <f t="shared" si="415"/>
        <v>4.738900000000001</v>
      </c>
      <c r="Y55" s="630">
        <f t="shared" si="223"/>
        <v>-2.2065066548240715</v>
      </c>
      <c r="Z55" s="632">
        <f t="shared" si="243"/>
        <v>-0.13016165440571337</v>
      </c>
      <c r="AA55" s="629">
        <f t="shared" si="244"/>
        <v>0.98462292981752964</v>
      </c>
      <c r="AB55" s="629">
        <f t="shared" si="245"/>
        <v>-0.11651450467607806</v>
      </c>
      <c r="AC55" s="636">
        <f t="shared" si="416"/>
        <v>1</v>
      </c>
      <c r="AD55" s="637">
        <f t="shared" si="417"/>
        <v>-0.13016165440571337</v>
      </c>
      <c r="AE55" s="629">
        <f t="shared" si="418"/>
        <v>0.98462292981752964</v>
      </c>
      <c r="AF55" s="633">
        <f t="shared" si="419"/>
        <v>-0.11651450467607806</v>
      </c>
      <c r="AG55" s="602">
        <f t="shared" si="420"/>
        <v>83.251337042804238</v>
      </c>
      <c r="AH55" s="603">
        <f t="shared" si="421"/>
        <v>97.478933802550969</v>
      </c>
      <c r="AI55" s="585">
        <f t="shared" si="422"/>
        <v>-83.309012928251462</v>
      </c>
      <c r="AJ55" s="586">
        <f t="shared" si="423"/>
        <v>-172.46948143095071</v>
      </c>
      <c r="AK55" s="635">
        <f t="shared" si="424"/>
        <v>0.81149575100591986</v>
      </c>
      <c r="AL55" s="629">
        <f t="shared" si="425"/>
        <v>-0.57262467314937304</v>
      </c>
      <c r="AM55" s="634">
        <f t="shared" si="426"/>
        <v>-0.11651450467607806</v>
      </c>
      <c r="AN55" s="581">
        <f t="shared" si="427"/>
        <v>-78.498779946556567</v>
      </c>
      <c r="AO55" s="582">
        <f>IF(ROUND(IF(M55="",0,DEGREES(ACOS(AK55))),4)=90,0,IF(M55="","",DEGREES(ACOS(AK55))))</f>
        <v>35.757671184574853</v>
      </c>
      <c r="AP55" s="585">
        <f t="shared" si="428"/>
        <v>-35.208362265827567</v>
      </c>
      <c r="AQ55" s="586">
        <f t="shared" si="246"/>
        <v>0.48105532161341336</v>
      </c>
      <c r="AS55" s="52">
        <f t="shared" si="406"/>
        <v>-227.03781919736372</v>
      </c>
      <c r="AT55" s="72">
        <f t="shared" si="247"/>
        <v>-2.0486864331816248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4.133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-3.4805051400294946</v>
      </c>
      <c r="C56" s="708">
        <v>-3.2160934657171056</v>
      </c>
      <c r="D56" s="709">
        <v>-2.8103084758903636</v>
      </c>
      <c r="E56" s="710">
        <v>0.13016165440571337</v>
      </c>
      <c r="F56" s="708">
        <v>-0.98462292981752964</v>
      </c>
      <c r="G56" s="711">
        <v>0.11651450467607809</v>
      </c>
      <c r="H56" s="710">
        <v>0.26600000000000001</v>
      </c>
      <c r="I56" s="708">
        <v>0.52</v>
      </c>
      <c r="J56" s="570">
        <v>4.1379999999999999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4.1379999999999999</v>
      </c>
      <c r="N56" s="632">
        <f t="shared" si="240"/>
        <v>-3.4805051400294946</v>
      </c>
      <c r="O56" s="629">
        <f t="shared" si="241"/>
        <v>-3.2160934657171056</v>
      </c>
      <c r="P56" s="633">
        <f t="shared" si="242"/>
        <v>-2.8103084758903636</v>
      </c>
      <c r="Q56" s="585">
        <f t="shared" si="113"/>
        <v>222.73888083487682</v>
      </c>
      <c r="R56" s="629">
        <f t="shared" si="410"/>
        <v>4.7388999999999992</v>
      </c>
      <c r="S56" s="634">
        <f t="shared" si="411"/>
        <v>-2.8103084758903636</v>
      </c>
      <c r="T56" s="635">
        <f t="shared" si="412"/>
        <v>-3.229633647724008</v>
      </c>
      <c r="U56" s="629">
        <f t="shared" si="413"/>
        <v>3.46794459463944</v>
      </c>
      <c r="V56" s="636">
        <f t="shared" si="414"/>
        <v>-2.8103084758903636</v>
      </c>
      <c r="W56" s="585">
        <f t="shared" si="224"/>
        <v>132.96218080263628</v>
      </c>
      <c r="X56" s="629">
        <f t="shared" si="415"/>
        <v>4.7388999999999992</v>
      </c>
      <c r="Y56" s="630">
        <f t="shared" si="223"/>
        <v>-2.8103084758903636</v>
      </c>
      <c r="Z56" s="632">
        <f t="shared" si="243"/>
        <v>-0.13016165440571337</v>
      </c>
      <c r="AA56" s="629">
        <f t="shared" si="244"/>
        <v>0.98462292981752964</v>
      </c>
      <c r="AB56" s="629">
        <f t="shared" si="245"/>
        <v>-0.11651450467607809</v>
      </c>
      <c r="AC56" s="636">
        <f t="shared" si="416"/>
        <v>1</v>
      </c>
      <c r="AD56" s="637">
        <f t="shared" si="417"/>
        <v>-0.13016165440571337</v>
      </c>
      <c r="AE56" s="629">
        <f t="shared" si="418"/>
        <v>0.98462292981752964</v>
      </c>
      <c r="AF56" s="633">
        <f t="shared" si="419"/>
        <v>-0.11651450467607809</v>
      </c>
      <c r="AG56" s="602">
        <f t="shared" si="420"/>
        <v>83.251337042804238</v>
      </c>
      <c r="AH56" s="603">
        <f t="shared" si="421"/>
        <v>97.478933802550969</v>
      </c>
      <c r="AI56" s="585">
        <f t="shared" si="422"/>
        <v>-83.309012928251462</v>
      </c>
      <c r="AJ56" s="586">
        <f t="shared" si="423"/>
        <v>-172.46948143095071</v>
      </c>
      <c r="AK56" s="635">
        <f t="shared" si="424"/>
        <v>0.81149575100591986</v>
      </c>
      <c r="AL56" s="629">
        <f t="shared" si="425"/>
        <v>-0.57262467314937304</v>
      </c>
      <c r="AM56" s="634">
        <f t="shared" si="426"/>
        <v>-0.11651450467607809</v>
      </c>
      <c r="AN56" s="581">
        <f t="shared" si="427"/>
        <v>-78.498779946556567</v>
      </c>
      <c r="AO56" s="582">
        <f t="shared" ref="AO56:AO119" si="461">IF(ROUND(IF(M56="",0,DEGREES(ACOS(AK56))),4)=90,0,IF(M56="","",DEGREES(ACOS(AK56))))</f>
        <v>35.757671184574853</v>
      </c>
      <c r="AP56" s="585">
        <f t="shared" si="428"/>
        <v>-35.208362265827567</v>
      </c>
      <c r="AQ56" s="586">
        <f t="shared" si="246"/>
        <v>0.48105532161341358</v>
      </c>
      <c r="AS56" s="52">
        <f t="shared" si="406"/>
        <v>-227.03781919736372</v>
      </c>
      <c r="AT56" s="72">
        <f t="shared" si="247"/>
        <v>-2.6524882542479169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4.1379999999999999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-2.023554732722094</v>
      </c>
      <c r="C57" s="708">
        <v>-0.65749218020763855</v>
      </c>
      <c r="D57" s="709">
        <v>-9.3039886775238223E-2</v>
      </c>
      <c r="E57" s="710">
        <v>8.2890102548486319E-2</v>
      </c>
      <c r="F57" s="708">
        <v>2.6932363534060182E-2</v>
      </c>
      <c r="G57" s="711">
        <v>0.99619469918985748</v>
      </c>
      <c r="H57" s="710">
        <v>0.26250000000000001</v>
      </c>
      <c r="I57" s="708">
        <v>0.40699999999999997</v>
      </c>
      <c r="J57" s="570">
        <v>4.2080000000000002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Inactive</v>
      </c>
      <c r="L57" s="320"/>
      <c r="M57" s="168">
        <f t="shared" si="239"/>
        <v>4.2080000000000002</v>
      </c>
      <c r="N57" s="632">
        <f t="shared" si="240"/>
        <v>-2.023554732722094</v>
      </c>
      <c r="O57" s="629">
        <f t="shared" si="241"/>
        <v>-0.65749218020763855</v>
      </c>
      <c r="P57" s="633">
        <f t="shared" si="242"/>
        <v>-9.3039886775238223E-2</v>
      </c>
      <c r="Q57" s="585">
        <f t="shared" si="113"/>
        <v>197.99998440673153</v>
      </c>
      <c r="R57" s="629">
        <f t="shared" si="410"/>
        <v>2.1276911719881197</v>
      </c>
      <c r="S57" s="634">
        <f t="shared" si="411"/>
        <v>-9.3039886775238223E-2</v>
      </c>
      <c r="T57" s="635">
        <f t="shared" si="412"/>
        <v>-0.66537360652876765</v>
      </c>
      <c r="U57" s="629">
        <f t="shared" si="413"/>
        <v>2.0209769140420875</v>
      </c>
      <c r="V57" s="636">
        <f t="shared" si="414"/>
        <v>-9.3039886775238223E-2</v>
      </c>
      <c r="W57" s="585">
        <f t="shared" si="224"/>
        <v>108.22328437449097</v>
      </c>
      <c r="X57" s="629">
        <f t="shared" si="415"/>
        <v>2.1276911719881197</v>
      </c>
      <c r="Y57" s="630">
        <f t="shared" si="223"/>
        <v>-9.3039886775238223E-2</v>
      </c>
      <c r="Z57" s="632">
        <f t="shared" si="243"/>
        <v>-8.2890102548486319E-2</v>
      </c>
      <c r="AA57" s="629">
        <f t="shared" si="244"/>
        <v>-2.6932363534060182E-2</v>
      </c>
      <c r="AB57" s="629">
        <f t="shared" si="245"/>
        <v>-0.99619469918985748</v>
      </c>
      <c r="AC57" s="636">
        <f t="shared" si="416"/>
        <v>1</v>
      </c>
      <c r="AD57" s="637">
        <f t="shared" si="417"/>
        <v>-8.2890102548486319E-2</v>
      </c>
      <c r="AE57" s="629">
        <f t="shared" si="418"/>
        <v>-2.6932363534060182E-2</v>
      </c>
      <c r="AF57" s="633">
        <f t="shared" si="419"/>
        <v>-0.99619469918985748</v>
      </c>
      <c r="AG57" s="602">
        <f t="shared" si="420"/>
        <v>-1.5486279674580519</v>
      </c>
      <c r="AH57" s="603">
        <f t="shared" si="421"/>
        <v>94.754708427048612</v>
      </c>
      <c r="AI57" s="585">
        <f t="shared" si="422"/>
        <v>-4.9999992781062668</v>
      </c>
      <c r="AJ57" s="586">
        <f t="shared" si="423"/>
        <v>-72.000164687199174</v>
      </c>
      <c r="AK57" s="635">
        <f t="shared" si="424"/>
        <v>2.2679489672036701E-7</v>
      </c>
      <c r="AL57" s="629">
        <f t="shared" si="425"/>
        <v>8.7155730195885087E-2</v>
      </c>
      <c r="AM57" s="634">
        <f t="shared" si="426"/>
        <v>-0.99619469918985748</v>
      </c>
      <c r="AN57" s="581">
        <f t="shared" si="427"/>
        <v>4.999999278089418</v>
      </c>
      <c r="AO57" s="582">
        <f t="shared" si="461"/>
        <v>0</v>
      </c>
      <c r="AP57" s="585">
        <f t="shared" si="428"/>
        <v>89.999850906069312</v>
      </c>
      <c r="AQ57" s="586">
        <f t="shared" si="246"/>
        <v>1.0713307330527926</v>
      </c>
      <c r="AS57" s="52">
        <f t="shared" si="406"/>
        <v>-251.77671562550904</v>
      </c>
      <c r="AT57" s="72">
        <f t="shared" si="247"/>
        <v>8.1960124053420458E-2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4.2080000000000002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4.1079999999999997</v>
      </c>
      <c r="II57" s="734" cm="1">
        <f t="array" ref="II57">IFERROR(IF($IH57&lt;1,$IH57+LARGE((IF($M$9:$M$150="",0,$M$9:$M$150)-MOD(IF($M$9:$M$150="",0,$M$9:$M$150),1)),1),$IH57),"")</f>
        <v>4.1079999999999997</v>
      </c>
      <c r="IJ57" s="533">
        <f t="shared" si="112"/>
        <v>1613</v>
      </c>
      <c r="IK57" s="533" t="str">
        <f t="shared" si="382"/>
        <v>Inactive</v>
      </c>
      <c r="IL57" s="727">
        <f t="shared" si="225"/>
        <v>26.999996101682868</v>
      </c>
      <c r="IM57" s="759">
        <v>2.7040608994215599E-2</v>
      </c>
      <c r="IN57" s="5">
        <f t="shared" si="226"/>
        <v>0.36</v>
      </c>
      <c r="IO57" s="771">
        <v>180</v>
      </c>
      <c r="IP57" s="9">
        <f t="shared" si="227"/>
        <v>-2.1304064253057788</v>
      </c>
      <c r="IQ57" s="5">
        <f t="shared" si="228"/>
        <v>-9.8300296473694301E-2</v>
      </c>
      <c r="IR57" s="5">
        <f t="shared" si="383"/>
        <v>0.314</v>
      </c>
      <c r="IS57" s="5">
        <f t="shared" si="229"/>
        <v>0.29506348833932705</v>
      </c>
      <c r="IT57" s="727">
        <f t="shared" si="230"/>
        <v>-4.9999992780894811</v>
      </c>
      <c r="IU57" s="9">
        <f t="shared" si="231"/>
        <v>-2.1276911719881197</v>
      </c>
      <c r="IV57" s="5">
        <f t="shared" si="232"/>
        <v>-9.3039886775238223E-2</v>
      </c>
      <c r="IW57" s="5">
        <f t="shared" si="384"/>
        <v>0.26250000000000001</v>
      </c>
      <c r="IX57" s="5">
        <f t="shared" si="233"/>
        <v>0.26250000000000001</v>
      </c>
      <c r="IY57" s="762">
        <f t="shared" si="234"/>
        <v>-4.999999278089418</v>
      </c>
    </row>
    <row r="58" spans="1:259" ht="15" customHeight="1" x14ac:dyDescent="0.25">
      <c r="A58" s="79"/>
      <c r="B58" s="707">
        <v>-2.6995492415699305</v>
      </c>
      <c r="C58" s="708">
        <v>-1.2019158305128386</v>
      </c>
      <c r="D58" s="709">
        <v>-6.8462047370696791E-2</v>
      </c>
      <c r="E58" s="710">
        <v>-7.9620639365919038E-2</v>
      </c>
      <c r="F58" s="708">
        <v>-3.5449613439241009E-2</v>
      </c>
      <c r="G58" s="711">
        <v>0.99619469918985748</v>
      </c>
      <c r="H58" s="710">
        <v>0.26250000000000001</v>
      </c>
      <c r="I58" s="708">
        <v>0.40699999999999997</v>
      </c>
      <c r="J58" s="570">
        <v>4.2130000000000001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Inactive</v>
      </c>
      <c r="L58" s="320"/>
      <c r="M58" s="168">
        <f t="shared" si="239"/>
        <v>4.2130000000000001</v>
      </c>
      <c r="N58" s="632">
        <f t="shared" si="240"/>
        <v>-2.6995492415699305</v>
      </c>
      <c r="O58" s="629">
        <f t="shared" si="241"/>
        <v>-1.2019158305128386</v>
      </c>
      <c r="P58" s="633">
        <f t="shared" si="242"/>
        <v>-6.8462047370696791E-2</v>
      </c>
      <c r="Q58" s="585">
        <f t="shared" si="113"/>
        <v>203.99998354043882</v>
      </c>
      <c r="R58" s="629">
        <f t="shared" si="410"/>
        <v>2.9550241574813145</v>
      </c>
      <c r="S58" s="634">
        <f t="shared" si="411"/>
        <v>-6.8462047370696791E-2</v>
      </c>
      <c r="T58" s="635">
        <f t="shared" si="412"/>
        <v>-1.2124276822043401</v>
      </c>
      <c r="U58" s="629">
        <f t="shared" si="413"/>
        <v>2.6948445013994338</v>
      </c>
      <c r="V58" s="636">
        <f t="shared" si="414"/>
        <v>-6.8462047370696791E-2</v>
      </c>
      <c r="W58" s="585">
        <f t="shared" si="224"/>
        <v>114.22328350819826</v>
      </c>
      <c r="X58" s="629">
        <f t="shared" si="415"/>
        <v>2.9550241574813145</v>
      </c>
      <c r="Y58" s="630">
        <f t="shared" si="223"/>
        <v>-6.8462047370696791E-2</v>
      </c>
      <c r="Z58" s="632">
        <f t="shared" si="243"/>
        <v>7.9620639365919038E-2</v>
      </c>
      <c r="AA58" s="629">
        <f t="shared" si="244"/>
        <v>3.5449613439241009E-2</v>
      </c>
      <c r="AB58" s="629">
        <f t="shared" si="245"/>
        <v>-0.99619469918985748</v>
      </c>
      <c r="AC58" s="636">
        <f t="shared" si="416"/>
        <v>1</v>
      </c>
      <c r="AD58" s="637">
        <f t="shared" si="417"/>
        <v>7.9620639365919038E-2</v>
      </c>
      <c r="AE58" s="629">
        <f t="shared" si="418"/>
        <v>3.5449613439241009E-2</v>
      </c>
      <c r="AF58" s="633">
        <f t="shared" si="419"/>
        <v>-0.99619469918985748</v>
      </c>
      <c r="AG58" s="602">
        <f t="shared" si="420"/>
        <v>2.038011805357153</v>
      </c>
      <c r="AH58" s="603">
        <f t="shared" si="421"/>
        <v>85.433239585071689</v>
      </c>
      <c r="AI58" s="585">
        <f t="shared" si="422"/>
        <v>-4.9999992781062668</v>
      </c>
      <c r="AJ58" s="586">
        <f t="shared" si="423"/>
        <v>114.00013263436949</v>
      </c>
      <c r="AK58" s="635">
        <f t="shared" si="424"/>
        <v>2.2679489670301978E-7</v>
      </c>
      <c r="AL58" s="629">
        <f t="shared" si="425"/>
        <v>-8.7155730195885087E-2</v>
      </c>
      <c r="AM58" s="634">
        <f t="shared" si="426"/>
        <v>-0.99619469918985748</v>
      </c>
      <c r="AN58" s="581">
        <f t="shared" si="427"/>
        <v>-4.999999278089418</v>
      </c>
      <c r="AO58" s="582">
        <f t="shared" si="461"/>
        <v>0</v>
      </c>
      <c r="AP58" s="585">
        <f t="shared" si="428"/>
        <v>-89.999850906069327</v>
      </c>
      <c r="AQ58" s="586">
        <f t="shared" si="246"/>
        <v>0.77142816905849609</v>
      </c>
      <c r="AS58" s="52">
        <f t="shared" si="406"/>
        <v>-245.77671649180172</v>
      </c>
      <c r="AT58" s="72">
        <f t="shared" si="247"/>
        <v>0.10237129739288735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4.2130000000000001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4.1130000000000004</v>
      </c>
      <c r="II58" s="734" cm="1">
        <f t="array" ref="II58">IFERROR(IF($IH58&lt;1,$IH58+LARGE((IF($M$9:$M$150="",0,$M$9:$M$150)-MOD(IF($M$9:$M$150="",0,$M$9:$M$150),1)),1),$IH58),"")</f>
        <v>4.1130000000000004</v>
      </c>
      <c r="IJ58" s="533">
        <f t="shared" si="112"/>
        <v>1613</v>
      </c>
      <c r="IK58" s="533" t="str">
        <f t="shared" si="382"/>
        <v>Inactive</v>
      </c>
      <c r="IL58" s="727">
        <f t="shared" si="225"/>
        <v>20.558497031720279</v>
      </c>
      <c r="IM58" s="759">
        <v>2.5139868773309801E-2</v>
      </c>
      <c r="IN58" s="5">
        <f t="shared" si="226"/>
        <v>0.44</v>
      </c>
      <c r="IO58" s="771">
        <v>220</v>
      </c>
      <c r="IP58" s="9">
        <f t="shared" si="227"/>
        <v>-2.9523089041636541</v>
      </c>
      <c r="IQ58" s="5">
        <f t="shared" si="228"/>
        <v>-7.5100226502283124E-2</v>
      </c>
      <c r="IR58" s="5">
        <f t="shared" si="383"/>
        <v>0.314</v>
      </c>
      <c r="IS58" s="5">
        <f t="shared" si="229"/>
        <v>0.29472677081133763</v>
      </c>
      <c r="IT58" s="727">
        <f t="shared" si="230"/>
        <v>12.958429794633105</v>
      </c>
      <c r="IU58" s="9">
        <f t="shared" si="231"/>
        <v>-2.9550241574813145</v>
      </c>
      <c r="IV58" s="5">
        <f t="shared" si="232"/>
        <v>-6.8462047370696791E-2</v>
      </c>
      <c r="IW58" s="5">
        <f t="shared" si="384"/>
        <v>0.26250000000000001</v>
      </c>
      <c r="IX58" s="5">
        <f t="shared" si="233"/>
        <v>0.26250000000000001</v>
      </c>
      <c r="IY58" s="762">
        <f t="shared" si="234"/>
        <v>4.999999278089418</v>
      </c>
    </row>
    <row r="59" spans="1:259" ht="15" customHeight="1" x14ac:dyDescent="0.25">
      <c r="A59" s="79"/>
      <c r="B59" s="707">
        <v>-3.2659690313452683</v>
      </c>
      <c r="C59" s="708">
        <v>-1.7558516824524468</v>
      </c>
      <c r="D59" s="709">
        <v>-0.28596456133921588</v>
      </c>
      <c r="E59" s="710">
        <v>0.22066852205777765</v>
      </c>
      <c r="F59" s="708">
        <v>-0.9066553380917165</v>
      </c>
      <c r="G59" s="711">
        <v>0.35955736855560522</v>
      </c>
      <c r="H59" s="710">
        <v>0.26600000000000001</v>
      </c>
      <c r="I59" s="708">
        <v>0.52</v>
      </c>
      <c r="J59" s="570">
        <v>4.218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4.218</v>
      </c>
      <c r="N59" s="632">
        <f t="shared" si="240"/>
        <v>-3.2659690313452683</v>
      </c>
      <c r="O59" s="629">
        <f t="shared" si="241"/>
        <v>-1.7558516824524468</v>
      </c>
      <c r="P59" s="633">
        <f t="shared" si="242"/>
        <v>-0.28596456133921588</v>
      </c>
      <c r="Q59" s="585">
        <f t="shared" si="113"/>
        <v>208.26338292488012</v>
      </c>
      <c r="R59" s="629">
        <f t="shared" si="79"/>
        <v>3.7080411060932748</v>
      </c>
      <c r="S59" s="634">
        <f t="shared" si="80"/>
        <v>-0.28596456133921588</v>
      </c>
      <c r="T59" s="635">
        <f t="shared" si="81"/>
        <v>-1.7685668406480464</v>
      </c>
      <c r="U59" s="629">
        <f t="shared" si="82"/>
        <v>3.2591011298573762</v>
      </c>
      <c r="V59" s="636">
        <f t="shared" si="114"/>
        <v>-0.28596456133921588</v>
      </c>
      <c r="W59" s="585">
        <f t="shared" si="224"/>
        <v>118.48668289263956</v>
      </c>
      <c r="X59" s="629">
        <f t="shared" si="83"/>
        <v>3.7080411060932748</v>
      </c>
      <c r="Y59" s="630">
        <f t="shared" si="223"/>
        <v>-0.28596456133921588</v>
      </c>
      <c r="Z59" s="632">
        <f t="shared" si="243"/>
        <v>-0.22066852205777765</v>
      </c>
      <c r="AA59" s="629">
        <f t="shared" si="244"/>
        <v>0.9066553380917165</v>
      </c>
      <c r="AB59" s="629">
        <f t="shared" si="245"/>
        <v>-0.35955736855560522</v>
      </c>
      <c r="AC59" s="636">
        <f t="shared" si="84"/>
        <v>1</v>
      </c>
      <c r="AD59" s="637">
        <f t="shared" si="115"/>
        <v>-0.22066852205777765</v>
      </c>
      <c r="AE59" s="629">
        <f t="shared" si="85"/>
        <v>0.9066553380917165</v>
      </c>
      <c r="AF59" s="633">
        <f t="shared" si="86"/>
        <v>-0.35955736855560522</v>
      </c>
      <c r="AG59" s="602">
        <f t="shared" si="87"/>
        <v>68.367931957134701</v>
      </c>
      <c r="AH59" s="603">
        <f t="shared" si="88"/>
        <v>102.74830153454431</v>
      </c>
      <c r="AI59" s="585">
        <f t="shared" si="89"/>
        <v>-68.926984994138564</v>
      </c>
      <c r="AJ59" s="586">
        <f t="shared" si="90"/>
        <v>-166.32089276416278</v>
      </c>
      <c r="AK59" s="635">
        <f t="shared" si="211"/>
        <v>0.90305618417452116</v>
      </c>
      <c r="AL59" s="629">
        <f t="shared" si="91"/>
        <v>-0.23496388433442678</v>
      </c>
      <c r="AM59" s="634">
        <f t="shared" si="92"/>
        <v>-0.35955736855560522</v>
      </c>
      <c r="AN59" s="581">
        <f t="shared" si="93"/>
        <v>-33.163850398152789</v>
      </c>
      <c r="AO59" s="582">
        <f t="shared" si="461"/>
        <v>25.43725693566298</v>
      </c>
      <c r="AP59" s="585">
        <f t="shared" si="95"/>
        <v>-14.58427568904289</v>
      </c>
      <c r="AQ59" s="586">
        <f t="shared" si="246"/>
        <v>0.61478259702682536</v>
      </c>
      <c r="AS59" s="52">
        <f t="shared" si="406"/>
        <v>-241.51331710736042</v>
      </c>
      <c r="AT59" s="72">
        <f t="shared" si="247"/>
        <v>-0.11809191059260488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4.218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4.1180000000000003</v>
      </c>
      <c r="II59" s="734" cm="1">
        <f t="array" ref="II59">IFERROR(IF($IH59&lt;1,$IH59+LARGE((IF($M$9:$M$150="",0,$M$9:$M$150)-MOD(IF($M$9:$M$150="",0,$M$9:$M$150),1)),1),$IH59),"")</f>
        <v>4.1180000000000003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15.62529774398611</v>
      </c>
      <c r="IM59" s="759">
        <v>3.1136315717599601E-3</v>
      </c>
      <c r="IN59" s="5">
        <f t="shared" si="226"/>
        <v>0.04</v>
      </c>
      <c r="IO59" s="771">
        <v>20</v>
      </c>
      <c r="IP59" s="9">
        <f t="shared" si="227"/>
        <v>-3.6880111230415467</v>
      </c>
      <c r="IQ59" s="5">
        <f t="shared" si="228"/>
        <v>-0.33270100342622633</v>
      </c>
      <c r="IR59" s="5">
        <f t="shared" si="383"/>
        <v>0.314</v>
      </c>
      <c r="IS59" s="5">
        <f t="shared" si="229"/>
        <v>0.29400486661654646</v>
      </c>
      <c r="IT59" s="727">
        <f t="shared" si="230"/>
        <v>35.746702349533301</v>
      </c>
      <c r="IU59" s="9">
        <f t="shared" si="231"/>
        <v>-3.7080411060932748</v>
      </c>
      <c r="IV59" s="5">
        <f t="shared" si="232"/>
        <v>-0.28596456133921588</v>
      </c>
      <c r="IW59" s="5">
        <f t="shared" si="384"/>
        <v>0.26600000000000001</v>
      </c>
      <c r="IX59" s="5">
        <f t="shared" si="233"/>
        <v>0.24021294499042264</v>
      </c>
      <c r="IY59" s="762">
        <f t="shared" si="234"/>
        <v>33.163850398152789</v>
      </c>
    </row>
    <row r="60" spans="1:259" ht="15" customHeight="1" x14ac:dyDescent="0.25">
      <c r="A60" s="79"/>
      <c r="B60" s="707">
        <v>-3.7297488738816438</v>
      </c>
      <c r="C60" s="708">
        <v>-2.1355012407696048</v>
      </c>
      <c r="D60" s="709">
        <v>-0.8178919024058402</v>
      </c>
      <c r="E60" s="710">
        <v>0.14273986770997907</v>
      </c>
      <c r="F60" s="708">
        <v>-0.95587849407130276</v>
      </c>
      <c r="G60" s="711">
        <v>0.25675208808910677</v>
      </c>
      <c r="H60" s="710">
        <v>0.26600000000000001</v>
      </c>
      <c r="I60" s="708">
        <v>0.52</v>
      </c>
      <c r="J60" s="570">
        <v>4.2229999999999999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4.2229999999999999</v>
      </c>
      <c r="N60" s="632">
        <f t="shared" si="240"/>
        <v>-3.7297488738816438</v>
      </c>
      <c r="O60" s="629">
        <f t="shared" si="241"/>
        <v>-2.1355012407696048</v>
      </c>
      <c r="P60" s="633">
        <f t="shared" si="242"/>
        <v>-0.8178919024058402</v>
      </c>
      <c r="Q60" s="585">
        <f t="shared" si="113"/>
        <v>209.79368270393218</v>
      </c>
      <c r="R60" s="629">
        <f t="shared" si="79"/>
        <v>4.2978357590245242</v>
      </c>
      <c r="S60" s="634">
        <f t="shared" si="80"/>
        <v>-0.8178919024058402</v>
      </c>
      <c r="T60" s="635">
        <f t="shared" si="81"/>
        <v>-2.1500210094223329</v>
      </c>
      <c r="U60" s="629">
        <f t="shared" si="82"/>
        <v>3.7213978382581563</v>
      </c>
      <c r="V60" s="636">
        <f t="shared" si="114"/>
        <v>-0.8178919024058402</v>
      </c>
      <c r="W60" s="585">
        <f t="shared" si="224"/>
        <v>120.01698267169162</v>
      </c>
      <c r="X60" s="629">
        <f t="shared" si="83"/>
        <v>4.2978357590245242</v>
      </c>
      <c r="Y60" s="630">
        <f t="shared" si="223"/>
        <v>-0.8178919024058402</v>
      </c>
      <c r="Z60" s="632">
        <f t="shared" si="243"/>
        <v>-0.14273986770997907</v>
      </c>
      <c r="AA60" s="629">
        <f t="shared" si="244"/>
        <v>0.95587849407130276</v>
      </c>
      <c r="AB60" s="629">
        <f t="shared" si="245"/>
        <v>-0.25675208808910677</v>
      </c>
      <c r="AC60" s="636">
        <f t="shared" si="84"/>
        <v>1</v>
      </c>
      <c r="AD60" s="637">
        <f t="shared" si="115"/>
        <v>-0.14273986770997907</v>
      </c>
      <c r="AE60" s="629">
        <f t="shared" si="85"/>
        <v>0.95587849407130276</v>
      </c>
      <c r="AF60" s="633">
        <f t="shared" si="86"/>
        <v>-0.25675208808910677</v>
      </c>
      <c r="AG60" s="602">
        <f t="shared" si="87"/>
        <v>74.965040308787565</v>
      </c>
      <c r="AH60" s="603">
        <f t="shared" si="88"/>
        <v>98.206421756154853</v>
      </c>
      <c r="AI60" s="585">
        <f t="shared" si="89"/>
        <v>-75.122570561724686</v>
      </c>
      <c r="AJ60" s="586">
        <f t="shared" si="90"/>
        <v>-171.50686758194067</v>
      </c>
      <c r="AK60" s="635">
        <f t="shared" si="211"/>
        <v>0.90045504724229941</v>
      </c>
      <c r="AL60" s="629">
        <f t="shared" si="91"/>
        <v>-0.35108271554970083</v>
      </c>
      <c r="AM60" s="634">
        <f t="shared" si="92"/>
        <v>-0.25675208808910677</v>
      </c>
      <c r="AN60" s="581">
        <f t="shared" si="93"/>
        <v>-53.8214319812434</v>
      </c>
      <c r="AO60" s="582">
        <f t="shared" si="461"/>
        <v>25.782054221527673</v>
      </c>
      <c r="AP60" s="585">
        <f t="shared" si="95"/>
        <v>-21.300550285872852</v>
      </c>
      <c r="AQ60" s="586">
        <f t="shared" si="246"/>
        <v>0.53042080548363535</v>
      </c>
      <c r="AS60" s="52">
        <f t="shared" si="406"/>
        <v>-239.98301732830839</v>
      </c>
      <c r="AT60" s="72">
        <f t="shared" si="247"/>
        <v>-0.65108195983912642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4.2229999999999999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4.1230000000000002</v>
      </c>
      <c r="II60" s="734" cm="1">
        <f t="array" ref="II60">IFERROR(IF($IH60&lt;1,$IH60+LARGE((IF($M$9:$M$150="",0,$M$9:$M$150)-MOD(IF($M$9:$M$150="",0,$M$9:$M$150),1)),1),$IH60),"")</f>
        <v>4.1230000000000002</v>
      </c>
      <c r="IJ60" s="533">
        <f t="shared" si="112"/>
        <v>1613</v>
      </c>
      <c r="IK60" s="533">
        <f t="shared" si="382"/>
        <v>1313</v>
      </c>
      <c r="IL60" s="727">
        <f t="shared" si="225"/>
        <v>13.475998054306601</v>
      </c>
      <c r="IM60" s="759">
        <v>2.2099942822121901E-3</v>
      </c>
      <c r="IN60" s="5">
        <f t="shared" si="226"/>
        <v>0.02</v>
      </c>
      <c r="IO60" s="771">
        <v>10</v>
      </c>
      <c r="IP60" s="9">
        <f t="shared" si="227"/>
        <v>-4.2641128605643885</v>
      </c>
      <c r="IQ60" s="5">
        <f t="shared" si="228"/>
        <v>-0.85710258502139669</v>
      </c>
      <c r="IR60" s="5">
        <f t="shared" si="383"/>
        <v>0.314</v>
      </c>
      <c r="IS60" s="5">
        <f t="shared" si="229"/>
        <v>0.29315802349625009</v>
      </c>
      <c r="IT60" s="727">
        <f t="shared" si="230"/>
        <v>57.164202435159822</v>
      </c>
      <c r="IU60" s="9">
        <f t="shared" si="231"/>
        <v>-4.2978357590245242</v>
      </c>
      <c r="IV60" s="5">
        <f t="shared" si="232"/>
        <v>-0.8178919024058402</v>
      </c>
      <c r="IW60" s="5">
        <f t="shared" si="384"/>
        <v>0.26600000000000001</v>
      </c>
      <c r="IX60" s="5">
        <f t="shared" si="233"/>
        <v>0.23952104256645168</v>
      </c>
      <c r="IY60" s="762">
        <f t="shared" si="234"/>
        <v>53.8214319812434</v>
      </c>
    </row>
    <row r="61" spans="1:259" ht="15" customHeight="1" x14ac:dyDescent="0.25">
      <c r="A61" s="79"/>
      <c r="B61" s="707">
        <v>-4.0005846082604961</v>
      </c>
      <c r="C61" s="708">
        <v>-2.3463672351422762</v>
      </c>
      <c r="D61" s="709">
        <v>-1.5135999999999992</v>
      </c>
      <c r="E61" s="710">
        <v>5.6929063292625877E-2</v>
      </c>
      <c r="F61" s="708">
        <v>-0.9862112995176</v>
      </c>
      <c r="G61" s="711">
        <v>0.15539097289234943</v>
      </c>
      <c r="H61" s="710">
        <v>0.26600000000000001</v>
      </c>
      <c r="I61" s="708">
        <v>0.52</v>
      </c>
      <c r="J61" s="570">
        <v>4.2279999999999998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4.2279999999999998</v>
      </c>
      <c r="N61" s="632">
        <f t="shared" si="240"/>
        <v>-4.0005846082604961</v>
      </c>
      <c r="O61" s="629">
        <f t="shared" si="241"/>
        <v>-2.3463672351422762</v>
      </c>
      <c r="P61" s="633">
        <f t="shared" si="242"/>
        <v>-1.5135999999999992</v>
      </c>
      <c r="Q61" s="585">
        <f t="shared" si="113"/>
        <v>210.3918826175628</v>
      </c>
      <c r="R61" s="629">
        <f t="shared" si="79"/>
        <v>4.6378999999999992</v>
      </c>
      <c r="S61" s="634">
        <f t="shared" si="80"/>
        <v>-1.5135999999999992</v>
      </c>
      <c r="T61" s="635">
        <f t="shared" si="81"/>
        <v>-2.3619409331239543</v>
      </c>
      <c r="U61" s="629">
        <f t="shared" si="82"/>
        <v>3.9914097056595854</v>
      </c>
      <c r="V61" s="636">
        <f t="shared" si="114"/>
        <v>-1.5135999999999992</v>
      </c>
      <c r="W61" s="585">
        <f t="shared" si="224"/>
        <v>120.61518258532224</v>
      </c>
      <c r="X61" s="629">
        <f t="shared" si="83"/>
        <v>4.6378999999999992</v>
      </c>
      <c r="Y61" s="630">
        <f t="shared" si="223"/>
        <v>-1.5135999999999992</v>
      </c>
      <c r="Z61" s="632">
        <f t="shared" si="243"/>
        <v>-5.6929063292625877E-2</v>
      </c>
      <c r="AA61" s="629">
        <f t="shared" si="244"/>
        <v>0.9862112995176</v>
      </c>
      <c r="AB61" s="629">
        <f t="shared" si="245"/>
        <v>-0.15539097289234943</v>
      </c>
      <c r="AC61" s="636">
        <f t="shared" si="84"/>
        <v>1</v>
      </c>
      <c r="AD61" s="637">
        <f t="shared" si="115"/>
        <v>-5.6929063292625877E-2</v>
      </c>
      <c r="AE61" s="629">
        <f t="shared" si="85"/>
        <v>0.9862112995176</v>
      </c>
      <c r="AF61" s="633">
        <f t="shared" si="86"/>
        <v>-0.15539097289234943</v>
      </c>
      <c r="AG61" s="602">
        <f t="shared" si="87"/>
        <v>81.04588726364733</v>
      </c>
      <c r="AH61" s="603">
        <f t="shared" si="88"/>
        <v>93.263559501321424</v>
      </c>
      <c r="AI61" s="585">
        <f t="shared" si="89"/>
        <v>-81.06052790470163</v>
      </c>
      <c r="AJ61" s="586">
        <f t="shared" si="90"/>
        <v>-176.69626648359181</v>
      </c>
      <c r="AK61" s="635">
        <f t="shared" si="211"/>
        <v>0.87949249319300782</v>
      </c>
      <c r="AL61" s="629">
        <f t="shared" si="91"/>
        <v>-0.44982952322042657</v>
      </c>
      <c r="AM61" s="634">
        <f t="shared" si="92"/>
        <v>-0.15539097289234943</v>
      </c>
      <c r="AN61" s="581">
        <f t="shared" si="93"/>
        <v>-70.942828106255391</v>
      </c>
      <c r="AO61" s="582">
        <f t="shared" si="461"/>
        <v>28.418796340621718</v>
      </c>
      <c r="AP61" s="585">
        <f t="shared" si="95"/>
        <v>-27.088149101154613</v>
      </c>
      <c r="AQ61" s="586">
        <f t="shared" si="246"/>
        <v>0.49153080169189811</v>
      </c>
      <c r="AS61" s="52">
        <f t="shared" si="406"/>
        <v>-239.38481741467774</v>
      </c>
      <c r="AT61" s="72">
        <f t="shared" si="247"/>
        <v>-1.3472054740399733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4.2279999999999998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4.1280000000000001</v>
      </c>
      <c r="II61" s="734" cm="1">
        <f t="array" ref="II61">IFERROR(IF($IH61&lt;1,$IH61+LARGE((IF($M$9:$M$150="",0,$M$9:$M$150)-MOD(IF($M$9:$M$150="",0,$M$9:$M$150),1)),1),$IH61),"")</f>
        <v>4.1280000000000001</v>
      </c>
      <c r="IJ61" s="533">
        <f t="shared" si="112"/>
        <v>1613</v>
      </c>
      <c r="IK61" s="533">
        <f t="shared" si="382"/>
        <v>1313</v>
      </c>
      <c r="IL61" s="727">
        <f t="shared" si="225"/>
        <v>12.499798195252438</v>
      </c>
      <c r="IM61" s="759">
        <v>1.4287263614802101E-3</v>
      </c>
      <c r="IN61" s="5">
        <f t="shared" si="226"/>
        <v>0</v>
      </c>
      <c r="IO61" s="771">
        <v>0</v>
      </c>
      <c r="IP61" s="9">
        <f t="shared" si="227"/>
        <v>-4.5934999999999997</v>
      </c>
      <c r="IQ61" s="5">
        <f t="shared" si="228"/>
        <v>-1.5419000000000009</v>
      </c>
      <c r="IR61" s="5">
        <f t="shared" si="383"/>
        <v>0.314</v>
      </c>
      <c r="IS61" s="5">
        <f t="shared" si="229"/>
        <v>0.28763928926520321</v>
      </c>
      <c r="IT61" s="727">
        <f t="shared" si="230"/>
        <v>74.001707638590588</v>
      </c>
      <c r="IU61" s="9">
        <f t="shared" si="231"/>
        <v>-4.6378999999999992</v>
      </c>
      <c r="IV61" s="5">
        <f t="shared" si="232"/>
        <v>-1.5135999999999992</v>
      </c>
      <c r="IW61" s="5">
        <f t="shared" si="384"/>
        <v>0.26600000000000001</v>
      </c>
      <c r="IX61" s="5">
        <f t="shared" si="233"/>
        <v>0.23394500318934008</v>
      </c>
      <c r="IY61" s="762">
        <f t="shared" si="234"/>
        <v>70.942828106255391</v>
      </c>
    </row>
    <row r="62" spans="1:259" ht="15" customHeight="1" x14ac:dyDescent="0.25">
      <c r="A62" s="79"/>
      <c r="B62" s="707">
        <v>-2.5280849002585697</v>
      </c>
      <c r="C62" s="708">
        <v>1.1964462100406086</v>
      </c>
      <c r="D62" s="709">
        <v>-6.0100181262146619E-2</v>
      </c>
      <c r="E62" s="710">
        <v>-0.44692975566259147</v>
      </c>
      <c r="F62" s="708">
        <v>-0.82726921270017184</v>
      </c>
      <c r="G62" s="711">
        <v>0.34041069786628975</v>
      </c>
      <c r="H62" s="710">
        <v>0.314</v>
      </c>
      <c r="I62" s="708">
        <v>0.52</v>
      </c>
      <c r="J62" s="570">
        <v>5.1120000000000001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5.1120000000000001</v>
      </c>
      <c r="N62" s="632">
        <f t="shared" si="240"/>
        <v>-2.5280849002585697</v>
      </c>
      <c r="O62" s="629">
        <f t="shared" si="241"/>
        <v>1.1964462100406086</v>
      </c>
      <c r="P62" s="633">
        <f t="shared" si="242"/>
        <v>-6.0100181262146619E-2</v>
      </c>
      <c r="Q62" s="585">
        <f t="shared" si="113"/>
        <v>154.6735906622888</v>
      </c>
      <c r="R62" s="629">
        <f t="shared" si="79"/>
        <v>2.7969084354758413</v>
      </c>
      <c r="S62" s="634">
        <f t="shared" si="80"/>
        <v>-6.0100181262146619E-2</v>
      </c>
      <c r="T62" s="635">
        <f t="shared" si="81"/>
        <v>1.1865843935472955</v>
      </c>
      <c r="U62" s="629">
        <f t="shared" si="82"/>
        <v>2.5327286221436984</v>
      </c>
      <c r="V62" s="636">
        <f t="shared" si="114"/>
        <v>-6.0100181262146619E-2</v>
      </c>
      <c r="W62" s="585">
        <f t="shared" si="224"/>
        <v>64.896890630048247</v>
      </c>
      <c r="X62" s="629">
        <f t="shared" si="83"/>
        <v>2.7969084354758413</v>
      </c>
      <c r="Y62" s="630">
        <f t="shared" si="223"/>
        <v>-6.0100181262146619E-2</v>
      </c>
      <c r="Z62" s="632">
        <f t="shared" si="243"/>
        <v>0.44692975566259147</v>
      </c>
      <c r="AA62" s="629">
        <f t="shared" si="244"/>
        <v>0.82726921270017184</v>
      </c>
      <c r="AB62" s="629">
        <f t="shared" si="245"/>
        <v>-0.34041069786628975</v>
      </c>
      <c r="AC62" s="636">
        <f t="shared" si="84"/>
        <v>1</v>
      </c>
      <c r="AD62" s="637">
        <f t="shared" si="115"/>
        <v>0.44692975566259147</v>
      </c>
      <c r="AE62" s="629">
        <f t="shared" si="85"/>
        <v>0.82726921270017184</v>
      </c>
      <c r="AF62" s="633">
        <f t="shared" si="86"/>
        <v>-0.34041069786628975</v>
      </c>
      <c r="AG62" s="602">
        <f t="shared" si="87"/>
        <v>67.633460825989999</v>
      </c>
      <c r="AH62" s="603">
        <f t="shared" si="88"/>
        <v>63.453129771755236</v>
      </c>
      <c r="AI62" s="585">
        <f t="shared" si="89"/>
        <v>-70.098102028812676</v>
      </c>
      <c r="AJ62" s="586">
        <f t="shared" si="90"/>
        <v>151.61999541198944</v>
      </c>
      <c r="AK62" s="635">
        <f t="shared" si="211"/>
        <v>0.93894179161649782</v>
      </c>
      <c r="AL62" s="629">
        <f t="shared" si="91"/>
        <v>-5.0088608826629633E-2</v>
      </c>
      <c r="AM62" s="634">
        <f t="shared" si="92"/>
        <v>-0.34041069786628975</v>
      </c>
      <c r="AN62" s="581">
        <f t="shared" si="93"/>
        <v>-8.3705340298389785</v>
      </c>
      <c r="AO62" s="582">
        <f t="shared" si="461"/>
        <v>20.125403193506369</v>
      </c>
      <c r="AP62" s="585">
        <f t="shared" si="95"/>
        <v>-3.0535952502993737</v>
      </c>
      <c r="AQ62" s="586">
        <f t="shared" si="246"/>
        <v>0.81503306747553628</v>
      </c>
      <c r="AS62" s="52">
        <f t="shared" si="406"/>
        <v>-295.10310936995177</v>
      </c>
      <c r="AT62" s="72">
        <f t="shared" si="247"/>
        <v>0.14498760300015284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5.1120000000000001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-3.1892447809292714</v>
      </c>
      <c r="C63" s="708">
        <v>1.5562986153929133</v>
      </c>
      <c r="D63" s="709">
        <v>-0.25710077541593862</v>
      </c>
      <c r="E63" s="710">
        <v>-0.57380892751602541</v>
      </c>
      <c r="F63" s="708">
        <v>-0.76244079270757348</v>
      </c>
      <c r="G63" s="711">
        <v>0.29904406417509094</v>
      </c>
      <c r="H63" s="710">
        <v>0.314</v>
      </c>
      <c r="I63" s="708">
        <v>0.52</v>
      </c>
      <c r="J63" s="570">
        <v>5.117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5.117</v>
      </c>
      <c r="N63" s="632">
        <f t="shared" si="240"/>
        <v>-3.1892447809292714</v>
      </c>
      <c r="O63" s="629">
        <f t="shared" si="241"/>
        <v>1.5562986153929133</v>
      </c>
      <c r="P63" s="633">
        <f t="shared" si="242"/>
        <v>-0.25710077541593862</v>
      </c>
      <c r="Q63" s="585">
        <f t="shared" si="113"/>
        <v>153.98839076121945</v>
      </c>
      <c r="R63" s="629">
        <f t="shared" si="79"/>
        <v>3.5487107029114808</v>
      </c>
      <c r="S63" s="634">
        <f t="shared" si="80"/>
        <v>-0.25710077541593862</v>
      </c>
      <c r="T63" s="635">
        <f t="shared" si="81"/>
        <v>1.543857321109608</v>
      </c>
      <c r="U63" s="629">
        <f t="shared" si="82"/>
        <v>3.1952859379114669</v>
      </c>
      <c r="V63" s="636">
        <f t="shared" si="114"/>
        <v>-0.25710077541593862</v>
      </c>
      <c r="W63" s="585">
        <f t="shared" si="224"/>
        <v>64.211690728978894</v>
      </c>
      <c r="X63" s="629">
        <f t="shared" si="83"/>
        <v>3.5487107029114808</v>
      </c>
      <c r="Y63" s="630">
        <f t="shared" si="223"/>
        <v>-0.25710077541593862</v>
      </c>
      <c r="Z63" s="632">
        <f t="shared" si="243"/>
        <v>0.57380892751602541</v>
      </c>
      <c r="AA63" s="629">
        <f t="shared" si="244"/>
        <v>0.76244079270757348</v>
      </c>
      <c r="AB63" s="629">
        <f t="shared" si="245"/>
        <v>-0.29904406417509094</v>
      </c>
      <c r="AC63" s="636">
        <f t="shared" si="84"/>
        <v>1</v>
      </c>
      <c r="AD63" s="637">
        <f t="shared" si="115"/>
        <v>0.57380892751602541</v>
      </c>
      <c r="AE63" s="629">
        <f t="shared" si="85"/>
        <v>0.76244079270757348</v>
      </c>
      <c r="AF63" s="633">
        <f t="shared" si="86"/>
        <v>-0.29904406417509094</v>
      </c>
      <c r="AG63" s="602">
        <f t="shared" si="87"/>
        <v>68.583925456345398</v>
      </c>
      <c r="AH63" s="603">
        <f t="shared" si="88"/>
        <v>54.98373673520566</v>
      </c>
      <c r="AI63" s="585">
        <f t="shared" si="89"/>
        <v>-72.599803542938844</v>
      </c>
      <c r="AJ63" s="586">
        <f t="shared" si="90"/>
        <v>143.0350736273993</v>
      </c>
      <c r="AK63" s="635">
        <f t="shared" si="211"/>
        <v>0.93685527974310556</v>
      </c>
      <c r="AL63" s="629">
        <f t="shared" si="91"/>
        <v>-0.18131418173742453</v>
      </c>
      <c r="AM63" s="634">
        <f t="shared" si="92"/>
        <v>-0.29904406417509094</v>
      </c>
      <c r="AN63" s="581">
        <f t="shared" si="93"/>
        <v>-31.228960821012521</v>
      </c>
      <c r="AO63" s="582">
        <f t="shared" si="461"/>
        <v>20.470024453297174</v>
      </c>
      <c r="AP63" s="585">
        <f t="shared" si="95"/>
        <v>-10.953317133820143</v>
      </c>
      <c r="AQ63" s="586">
        <f t="shared" si="246"/>
        <v>0.64238291025106853</v>
      </c>
      <c r="AS63" s="52">
        <f t="shared" si="406"/>
        <v>-295.78830927102109</v>
      </c>
      <c r="AT63" s="72">
        <f t="shared" si="247"/>
        <v>-5.1537157889007701E-2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5.117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-3.726099593627894</v>
      </c>
      <c r="C64" s="708">
        <v>1.8677555000843324</v>
      </c>
      <c r="D64" s="709">
        <v>-0.7361022200842956</v>
      </c>
      <c r="E64" s="710">
        <v>-0.6735136808571327</v>
      </c>
      <c r="F64" s="708">
        <v>-0.70730867502648243</v>
      </c>
      <c r="G64" s="711">
        <v>0.21469457359364791</v>
      </c>
      <c r="H64" s="710">
        <v>0.314</v>
      </c>
      <c r="I64" s="708">
        <v>0.52</v>
      </c>
      <c r="J64" s="570">
        <v>5.1219999999999999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5.1219999999999999</v>
      </c>
      <c r="N64" s="632">
        <f t="shared" si="240"/>
        <v>-3.726099593627894</v>
      </c>
      <c r="O64" s="629">
        <f t="shared" si="241"/>
        <v>1.8677555000843324</v>
      </c>
      <c r="P64" s="633">
        <f t="shared" si="242"/>
        <v>-0.7361022200842956</v>
      </c>
      <c r="Q64" s="585">
        <f t="shared" si="113"/>
        <v>153.37709084948023</v>
      </c>
      <c r="R64" s="629">
        <f t="shared" si="79"/>
        <v>4.1680125707259128</v>
      </c>
      <c r="S64" s="634">
        <f t="shared" si="80"/>
        <v>-0.7361022200842956</v>
      </c>
      <c r="T64" s="635">
        <f t="shared" si="81"/>
        <v>1.8532195509112501</v>
      </c>
      <c r="U64" s="629">
        <f t="shared" si="82"/>
        <v>3.7333505174105381</v>
      </c>
      <c r="V64" s="636">
        <f t="shared" si="114"/>
        <v>-0.7361022200842956</v>
      </c>
      <c r="W64" s="585">
        <f t="shared" si="224"/>
        <v>63.600390817239671</v>
      </c>
      <c r="X64" s="629">
        <f t="shared" si="83"/>
        <v>4.1680125707259128</v>
      </c>
      <c r="Y64" s="630">
        <f t="shared" si="223"/>
        <v>-0.7361022200842956</v>
      </c>
      <c r="Z64" s="632">
        <f t="shared" si="243"/>
        <v>0.6735136808571327</v>
      </c>
      <c r="AA64" s="629">
        <f t="shared" si="244"/>
        <v>0.70730867502648243</v>
      </c>
      <c r="AB64" s="629">
        <f t="shared" si="245"/>
        <v>-0.21469457359364791</v>
      </c>
      <c r="AC64" s="636">
        <f t="shared" si="84"/>
        <v>1</v>
      </c>
      <c r="AD64" s="637">
        <f t="shared" si="115"/>
        <v>0.6735136808571327</v>
      </c>
      <c r="AE64" s="629">
        <f t="shared" si="85"/>
        <v>0.70730867502648243</v>
      </c>
      <c r="AF64" s="633">
        <f t="shared" si="86"/>
        <v>-0.21469457359364791</v>
      </c>
      <c r="AG64" s="602">
        <f t="shared" si="87"/>
        <v>73.114998716901965</v>
      </c>
      <c r="AH64" s="603">
        <f t="shared" si="88"/>
        <v>47.661164918719237</v>
      </c>
      <c r="AI64" s="585">
        <f t="shared" si="89"/>
        <v>-77.602390768222207</v>
      </c>
      <c r="AJ64" s="586">
        <f t="shared" si="90"/>
        <v>136.40200804722627</v>
      </c>
      <c r="AK64" s="635">
        <f t="shared" si="211"/>
        <v>0.93412900808754462</v>
      </c>
      <c r="AL64" s="629">
        <f t="shared" si="91"/>
        <v>-0.28514774471985865</v>
      </c>
      <c r="AM64" s="634">
        <f t="shared" si="92"/>
        <v>-0.21469457359364791</v>
      </c>
      <c r="AN64" s="581">
        <f t="shared" si="93"/>
        <v>-53.023032616265517</v>
      </c>
      <c r="AO64" s="582">
        <f t="shared" si="461"/>
        <v>20.912117295317156</v>
      </c>
      <c r="AP64" s="585">
        <f t="shared" si="95"/>
        <v>-16.975082802253947</v>
      </c>
      <c r="AQ64" s="586">
        <f t="shared" si="246"/>
        <v>0.54694110116541306</v>
      </c>
      <c r="AS64" s="52">
        <f t="shared" si="406"/>
        <v>-296.39960918276034</v>
      </c>
      <c r="AT64" s="72">
        <f t="shared" si="247"/>
        <v>-0.53011408872976795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5.1219999999999999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-4.0462420617344694</v>
      </c>
      <c r="C65" s="708">
        <v>2.0660871043866469</v>
      </c>
      <c r="D65" s="709">
        <v>-1.4003042233175376</v>
      </c>
      <c r="E65" s="710">
        <v>-0.73162564748626935</v>
      </c>
      <c r="F65" s="708">
        <v>-0.67292740123390637</v>
      </c>
      <c r="G65" s="711">
        <v>0.10905331085702252</v>
      </c>
      <c r="H65" s="710">
        <v>0.314</v>
      </c>
      <c r="I65" s="708">
        <v>0.52</v>
      </c>
      <c r="J65" s="570">
        <v>5.1269999999999998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5.1269999999999998</v>
      </c>
      <c r="N65" s="632">
        <f t="shared" si="240"/>
        <v>-4.0462420617344694</v>
      </c>
      <c r="O65" s="629">
        <f t="shared" si="241"/>
        <v>2.0660871043866469</v>
      </c>
      <c r="P65" s="633">
        <f t="shared" si="242"/>
        <v>-1.4003042233175376</v>
      </c>
      <c r="Q65" s="585">
        <f t="shared" si="113"/>
        <v>152.95029091110251</v>
      </c>
      <c r="R65" s="629">
        <f t="shared" si="79"/>
        <v>4.5432137023325243</v>
      </c>
      <c r="S65" s="634">
        <f t="shared" si="80"/>
        <v>-1.4003042233175376</v>
      </c>
      <c r="T65" s="635">
        <f t="shared" si="81"/>
        <v>2.0503019546007075</v>
      </c>
      <c r="U65" s="629">
        <f t="shared" si="82"/>
        <v>4.0542635138854157</v>
      </c>
      <c r="V65" s="636">
        <f t="shared" si="114"/>
        <v>-1.4003042233175376</v>
      </c>
      <c r="W65" s="585">
        <f t="shared" si="224"/>
        <v>63.173590878861958</v>
      </c>
      <c r="X65" s="629">
        <f t="shared" si="83"/>
        <v>4.5432137023325243</v>
      </c>
      <c r="Y65" s="630">
        <f t="shared" si="223"/>
        <v>-1.4003042233175376</v>
      </c>
      <c r="Z65" s="632">
        <f t="shared" si="243"/>
        <v>0.73162564748626935</v>
      </c>
      <c r="AA65" s="629">
        <f t="shared" si="244"/>
        <v>0.67292740123390637</v>
      </c>
      <c r="AB65" s="629">
        <f t="shared" si="245"/>
        <v>-0.10905331085702252</v>
      </c>
      <c r="AC65" s="636">
        <f t="shared" si="84"/>
        <v>1</v>
      </c>
      <c r="AD65" s="637">
        <f t="shared" si="115"/>
        <v>0.73162564748626935</v>
      </c>
      <c r="AE65" s="629">
        <f t="shared" si="85"/>
        <v>0.67292740123390637</v>
      </c>
      <c r="AF65" s="633">
        <f t="shared" si="86"/>
        <v>-0.10905331085702252</v>
      </c>
      <c r="AG65" s="602">
        <f t="shared" si="87"/>
        <v>80.794785198916742</v>
      </c>
      <c r="AH65" s="603">
        <f t="shared" si="88"/>
        <v>42.977148502800837</v>
      </c>
      <c r="AI65" s="585">
        <f t="shared" si="89"/>
        <v>-83.739254023541591</v>
      </c>
      <c r="AJ65" s="586">
        <f t="shared" si="90"/>
        <v>132.60692137441117</v>
      </c>
      <c r="AK65" s="635">
        <f t="shared" si="211"/>
        <v>0.93203396280967787</v>
      </c>
      <c r="AL65" s="629">
        <f t="shared" si="91"/>
        <v>-0.34557208735719602</v>
      </c>
      <c r="AM65" s="634">
        <f t="shared" si="92"/>
        <v>-0.10905331085702252</v>
      </c>
      <c r="AN65" s="581">
        <f t="shared" si="93"/>
        <v>-72.485696996882155</v>
      </c>
      <c r="AO65" s="582">
        <f t="shared" si="461"/>
        <v>21.245874640011401</v>
      </c>
      <c r="AP65" s="585">
        <f t="shared" si="95"/>
        <v>-20.343369536691355</v>
      </c>
      <c r="AQ65" s="586">
        <f t="shared" si="246"/>
        <v>0.50177440445806742</v>
      </c>
      <c r="AS65" s="52">
        <f t="shared" si="406"/>
        <v>-296.82640912113806</v>
      </c>
      <c r="AT65" s="72">
        <f t="shared" si="247"/>
        <v>-1.1940197031169144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5.1269999999999998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-4.2125425472223093</v>
      </c>
      <c r="C66" s="708">
        <v>2.1706355055240802</v>
      </c>
      <c r="D66" s="709">
        <v>-2.0569062036291106</v>
      </c>
      <c r="E66" s="710">
        <v>-0.88072491273214859</v>
      </c>
      <c r="F66" s="708">
        <v>-0.45907297708865158</v>
      </c>
      <c r="G66" s="711">
        <v>0.11651450467607778</v>
      </c>
      <c r="H66" s="710">
        <v>0.26600000000000001</v>
      </c>
      <c r="I66" s="708">
        <v>0.52</v>
      </c>
      <c r="J66" s="570">
        <v>5.1319999999999997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5.1319999999999997</v>
      </c>
      <c r="N66" s="632">
        <f t="shared" si="240"/>
        <v>-4.2125425472223093</v>
      </c>
      <c r="O66" s="629">
        <f t="shared" si="241"/>
        <v>2.1706355055240802</v>
      </c>
      <c r="P66" s="633">
        <f t="shared" si="242"/>
        <v>-2.0569062036291106</v>
      </c>
      <c r="Q66" s="585">
        <f t="shared" si="113"/>
        <v>152.7388909416249</v>
      </c>
      <c r="R66" s="629">
        <f t="shared" si="79"/>
        <v>4.7389000000000001</v>
      </c>
      <c r="S66" s="634">
        <f t="shared" si="80"/>
        <v>-2.0569062036291106</v>
      </c>
      <c r="T66" s="635">
        <f t="shared" si="81"/>
        <v>2.1542014372307396</v>
      </c>
      <c r="U66" s="629">
        <f t="shared" si="82"/>
        <v>4.2209701939048347</v>
      </c>
      <c r="V66" s="636">
        <f t="shared" si="114"/>
        <v>-2.0569062036291106</v>
      </c>
      <c r="W66" s="585">
        <f t="shared" si="224"/>
        <v>62.962190909384347</v>
      </c>
      <c r="X66" s="629">
        <f t="shared" si="83"/>
        <v>4.7389000000000001</v>
      </c>
      <c r="Y66" s="630">
        <f t="shared" si="223"/>
        <v>-2.0569062036291106</v>
      </c>
      <c r="Z66" s="632">
        <f t="shared" si="243"/>
        <v>0.88072491273214859</v>
      </c>
      <c r="AA66" s="629">
        <f t="shared" si="244"/>
        <v>0.45907297708865158</v>
      </c>
      <c r="AB66" s="629">
        <f t="shared" si="245"/>
        <v>-0.11651450467607778</v>
      </c>
      <c r="AC66" s="636">
        <f t="shared" si="84"/>
        <v>1</v>
      </c>
      <c r="AD66" s="637">
        <f t="shared" si="115"/>
        <v>0.88072491273214859</v>
      </c>
      <c r="AE66" s="629">
        <f t="shared" si="85"/>
        <v>0.45907297708865158</v>
      </c>
      <c r="AF66" s="633">
        <f t="shared" si="86"/>
        <v>-0.11651450467607778</v>
      </c>
      <c r="AG66" s="602">
        <f t="shared" si="87"/>
        <v>75.758814713563396</v>
      </c>
      <c r="AH66" s="603">
        <f t="shared" si="88"/>
        <v>28.270066786034768</v>
      </c>
      <c r="AI66" s="585">
        <f t="shared" si="89"/>
        <v>-83.309012928251477</v>
      </c>
      <c r="AJ66" s="586">
        <f t="shared" si="90"/>
        <v>117.53052867579736</v>
      </c>
      <c r="AK66" s="635">
        <f t="shared" si="211"/>
        <v>0.8114957510059202</v>
      </c>
      <c r="AL66" s="629">
        <f t="shared" si="91"/>
        <v>-0.57262467314937271</v>
      </c>
      <c r="AM66" s="634">
        <f t="shared" si="92"/>
        <v>-0.11651450467607778</v>
      </c>
      <c r="AN66" s="581">
        <f t="shared" si="93"/>
        <v>-78.498779946556581</v>
      </c>
      <c r="AO66" s="582">
        <f t="shared" si="461"/>
        <v>35.757671184574818</v>
      </c>
      <c r="AP66" s="585">
        <f t="shared" si="95"/>
        <v>-35.208362265827546</v>
      </c>
      <c r="AQ66" s="586">
        <f t="shared" si="246"/>
        <v>0.48105532161341336</v>
      </c>
      <c r="AS66" s="52">
        <f t="shared" si="406"/>
        <v>-297.03780909061567</v>
      </c>
      <c r="AT66" s="72">
        <f t="shared" si="247"/>
        <v>-1.8504748778941278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5.1319999999999997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-4.2125425472223093</v>
      </c>
      <c r="C67" s="708">
        <v>2.1706355055240802</v>
      </c>
      <c r="D67" s="709">
        <v>-2.6607080246954027</v>
      </c>
      <c r="E67" s="710">
        <v>-0.88072491273214859</v>
      </c>
      <c r="F67" s="708">
        <v>-0.45907297708865158</v>
      </c>
      <c r="G67" s="711">
        <v>0.11651450467607778</v>
      </c>
      <c r="H67" s="710">
        <v>0.26600000000000001</v>
      </c>
      <c r="I67" s="708">
        <v>0.52</v>
      </c>
      <c r="J67" s="570">
        <v>5.1369999999999996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5.1369999999999996</v>
      </c>
      <c r="N67" s="632">
        <f t="shared" si="240"/>
        <v>-4.2125425472223093</v>
      </c>
      <c r="O67" s="629">
        <f t="shared" si="241"/>
        <v>2.1706355055240802</v>
      </c>
      <c r="P67" s="633">
        <f t="shared" si="242"/>
        <v>-2.6607080246954027</v>
      </c>
      <c r="Q67" s="585">
        <f t="shared" si="113"/>
        <v>152.7388909416249</v>
      </c>
      <c r="R67" s="629">
        <f>IF(M67="","",SQRT(N67^2+O67^2))</f>
        <v>4.7389000000000001</v>
      </c>
      <c r="S67" s="634">
        <f>IF(M67="","",P67)</f>
        <v>-2.6607080246954027</v>
      </c>
      <c r="T67" s="635">
        <f>IF(M67="","",X67*COS(RADIANS(W67)))</f>
        <v>2.1542014372307396</v>
      </c>
      <c r="U67" s="629">
        <f>IF(M67="","",X67*SIN(RADIANS(W67)))</f>
        <v>4.2209701939048347</v>
      </c>
      <c r="V67" s="636">
        <f>IF(M67="","",Y67)</f>
        <v>-2.6607080246954027</v>
      </c>
      <c r="W67" s="585">
        <f t="shared" si="224"/>
        <v>62.962190909384347</v>
      </c>
      <c r="X67" s="629">
        <f>IF(M67="","",R67)</f>
        <v>4.7389000000000001</v>
      </c>
      <c r="Y67" s="630">
        <f t="shared" si="223"/>
        <v>-2.6607080246954027</v>
      </c>
      <c r="Z67" s="632">
        <f t="shared" si="243"/>
        <v>0.88072491273214859</v>
      </c>
      <c r="AA67" s="629">
        <f t="shared" si="244"/>
        <v>0.45907297708865158</v>
      </c>
      <c r="AB67" s="629">
        <f t="shared" si="245"/>
        <v>-0.11651450467607778</v>
      </c>
      <c r="AC67" s="636">
        <f>IF(M67="","",SQRT(Z67^2+AA67^2+AB67^2))</f>
        <v>1</v>
      </c>
      <c r="AD67" s="637">
        <f>IF(M67="","",Z67*(1/SQRT(Z67^2+AA67^2+AB67^2)))</f>
        <v>0.88072491273214859</v>
      </c>
      <c r="AE67" s="629">
        <f>IF(M67="","",AA67*(1/SQRT(Z67^2+AA67^2+AB67^2)))</f>
        <v>0.45907297708865158</v>
      </c>
      <c r="AF67" s="633">
        <f>IF(M67="","",AB67*(1/SQRT(Z67^2+AA67^2+AB67^2)))</f>
        <v>-0.11651450467607778</v>
      </c>
      <c r="AG67" s="602">
        <f>IF(M67="","",DEGREES(ATAN2(-AF67,AE67)))</f>
        <v>75.758814713563396</v>
      </c>
      <c r="AH67" s="603">
        <f>IF(M67="","",DEGREES(ACOS(AD67)))</f>
        <v>28.270066786034768</v>
      </c>
      <c r="AI67" s="585">
        <f>IF(M67="","",DEGREES(-ACOS(-AF67)))</f>
        <v>-83.309012928251477</v>
      </c>
      <c r="AJ67" s="586">
        <f>IF(M67="","",DEGREES(ATAN2(-AE67,AD67)))</f>
        <v>117.53052867579736</v>
      </c>
      <c r="AK67" s="635">
        <f>IF(M67="","",(COS(RADIANS((90-$Q$8)-W67))*AD67)+(-SIN(RADIANS((90-$Q$8)-W67))*AE67))</f>
        <v>0.8114957510059202</v>
      </c>
      <c r="AL67" s="629">
        <f>IF(M67="","",(SIN(RADIANS((90-$Q$8)-W67))*AD67)+(COS(RADIANS((90-$Q$8)-W67))*AE67))</f>
        <v>-0.57262467314937271</v>
      </c>
      <c r="AM67" s="634">
        <f>IF(M67="","",AF67)</f>
        <v>-0.11651450467607778</v>
      </c>
      <c r="AN67" s="581">
        <f>IF(M67="","",DEGREES(ATAN2(-AM67,AL67)))</f>
        <v>-78.498779946556581</v>
      </c>
      <c r="AO67" s="582">
        <f t="shared" si="461"/>
        <v>35.757671184574818</v>
      </c>
      <c r="AP67" s="585">
        <f>IF(M67="","",DEGREES(ATAN2(AK67,AL67)))</f>
        <v>-35.208362265827546</v>
      </c>
      <c r="AQ67" s="586">
        <f t="shared" si="246"/>
        <v>0.48105532161341336</v>
      </c>
      <c r="AS67" s="52">
        <f t="shared" si="406"/>
        <v>-297.03780909061567</v>
      </c>
      <c r="AT67" s="72">
        <f t="shared" si="247"/>
        <v>-2.4542766989604199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5.1369999999999996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-2.640333739378093</v>
      </c>
      <c r="C68" s="708">
        <v>2.3964780555331777</v>
      </c>
      <c r="D68" s="709">
        <v>-0.20939104738330042</v>
      </c>
      <c r="E68" s="710">
        <v>-0.76031658219466847</v>
      </c>
      <c r="F68" s="708">
        <v>-0.53016558055338681</v>
      </c>
      <c r="G68" s="711">
        <v>0.3752907566624954</v>
      </c>
      <c r="H68" s="710">
        <v>0.26600000000000001</v>
      </c>
      <c r="I68" s="708">
        <v>0.52</v>
      </c>
      <c r="J68" s="570">
        <v>5.2169999999999996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5.2169999999999996</v>
      </c>
      <c r="N68" s="632">
        <f t="shared" si="240"/>
        <v>-2.640333739378093</v>
      </c>
      <c r="O68" s="629">
        <f t="shared" si="241"/>
        <v>2.3964780555331777</v>
      </c>
      <c r="P68" s="633">
        <f t="shared" si="242"/>
        <v>-0.20939104738330042</v>
      </c>
      <c r="Q68" s="585">
        <f t="shared" si="113"/>
        <v>137.77179310260644</v>
      </c>
      <c r="R68" s="629">
        <f>IF(M68="","",SQRT(N68^2+O68^2))</f>
        <v>3.5657354537248533</v>
      </c>
      <c r="S68" s="634">
        <f>IF(M68="","",P68)</f>
        <v>-0.20939104738330042</v>
      </c>
      <c r="T68" s="635">
        <f>IF(M68="","",X68*COS(RADIANS(W68)))</f>
        <v>2.3861696568495283</v>
      </c>
      <c r="U68" s="629">
        <f>IF(M68="","",X68*SIN(RADIANS(W68)))</f>
        <v>2.6496535046456526</v>
      </c>
      <c r="V68" s="636">
        <f>IF(M68="","",Y68)</f>
        <v>-0.20939104738330042</v>
      </c>
      <c r="W68" s="585">
        <f t="shared" si="224"/>
        <v>47.995093070365883</v>
      </c>
      <c r="X68" s="629">
        <f>IF(M68="","",R68)</f>
        <v>3.5657354537248533</v>
      </c>
      <c r="Y68" s="630">
        <f t="shared" si="223"/>
        <v>-0.20939104738330042</v>
      </c>
      <c r="Z68" s="632">
        <f t="shared" si="243"/>
        <v>0.76031658219466847</v>
      </c>
      <c r="AA68" s="629">
        <f t="shared" si="244"/>
        <v>0.53016558055338681</v>
      </c>
      <c r="AB68" s="629">
        <f t="shared" si="245"/>
        <v>-0.3752907566624954</v>
      </c>
      <c r="AC68" s="636">
        <f>IF(M68="","",SQRT(Z68^2+AA68^2+AB68^2))</f>
        <v>1</v>
      </c>
      <c r="AD68" s="637">
        <f>IF(M68="","",Z68*(1/SQRT(Z68^2+AA68^2+AB68^2)))</f>
        <v>0.76031658219466847</v>
      </c>
      <c r="AE68" s="629">
        <f>IF(M68="","",AA68*(1/SQRT(Z68^2+AA68^2+AB68^2)))</f>
        <v>0.53016558055338681</v>
      </c>
      <c r="AF68" s="633">
        <f>IF(M68="","",AB68*(1/SQRT(Z68^2+AA68^2+AB68^2)))</f>
        <v>-0.3752907566624954</v>
      </c>
      <c r="AG68" s="602">
        <f>IF(M68="","",DEGREES(ATAN2(-AF68,AE68)))</f>
        <v>54.706291808855397</v>
      </c>
      <c r="AH68" s="603">
        <f>IF(M68="","",DEGREES(ACOS(AD68)))</f>
        <v>40.507884971475988</v>
      </c>
      <c r="AI68" s="585">
        <f>IF(M68="","",DEGREES(-ACOS(-AF68)))</f>
        <v>-67.957715489862608</v>
      </c>
      <c r="AJ68" s="586">
        <f>IF(M68="","",DEGREES(ATAN2(-AE68,AD68)))</f>
        <v>124.88790303716738</v>
      </c>
      <c r="AK68" s="635">
        <f>IF(M68="","",(COS(RADIANS((90-$Q$8)-W68))*AD68)+(-SIN(RADIANS((90-$Q$8)-W68))*AE68))</f>
        <v>0.90357125930750759</v>
      </c>
      <c r="AL68" s="629">
        <f>IF(M68="","",(SIN(RADIANS((90-$Q$8)-W68))*AD68)+(COS(RADIANS((90-$Q$8)-W68))*AE68))</f>
        <v>-0.20667807652757164</v>
      </c>
      <c r="AM68" s="634">
        <f>IF(M68="","",AF68)</f>
        <v>-0.3752907566624954</v>
      </c>
      <c r="AN68" s="581">
        <f>IF(M68="","",DEGREES(ATAN2(-AM68,AL68)))</f>
        <v>-28.842216230046866</v>
      </c>
      <c r="AO68" s="582">
        <f t="shared" si="461"/>
        <v>25.368462077764995</v>
      </c>
      <c r="AP68" s="585">
        <f>IF(M68="","",DEGREES(ATAN2(AK68,AL68)))</f>
        <v>-12.883890065439067</v>
      </c>
      <c r="AQ68" s="586">
        <f t="shared" si="246"/>
        <v>0.63931608176519972</v>
      </c>
      <c r="AS68" s="52">
        <f t="shared" si="406"/>
        <v>-312.0049069296341</v>
      </c>
      <c r="AT68" s="72">
        <f t="shared" si="247"/>
        <v>7.434096295445114E-3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5.2169999999999996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0.11700000000000001</v>
      </c>
      <c r="II68" s="734" cm="1">
        <f t="array" ref="II68">IFERROR(IF($IH68&lt;1,$IH68+LARGE((IF($M$9:$M$150="",0,$M$9:$M$150)-MOD(IF($M$9:$M$150="",0,$M$9:$M$150),1)),1),$IH68),"")</f>
        <v>5.117</v>
      </c>
      <c r="IJ68" s="533">
        <f t="shared" si="112"/>
        <v>1613</v>
      </c>
      <c r="IK68" s="533">
        <f t="shared" si="382"/>
        <v>1313</v>
      </c>
      <c r="IL68" s="727">
        <f t="shared" si="225"/>
        <v>16.216597658613011</v>
      </c>
      <c r="IM68" s="759">
        <v>3.3040343064854399E-3</v>
      </c>
      <c r="IN68" s="5">
        <f t="shared" si="226"/>
        <v>0.04</v>
      </c>
      <c r="IO68" s="771">
        <v>20</v>
      </c>
      <c r="IP68" s="9">
        <f t="shared" si="227"/>
        <v>-3.5487107029114808</v>
      </c>
      <c r="IQ68" s="5">
        <f t="shared" si="228"/>
        <v>-0.25710077541593862</v>
      </c>
      <c r="IR68" s="5">
        <f t="shared" si="383"/>
        <v>0.314</v>
      </c>
      <c r="IS68" s="5">
        <f t="shared" si="229"/>
        <v>0.29417255783933516</v>
      </c>
      <c r="IT68" s="727">
        <f t="shared" si="230"/>
        <v>31.228960821012521</v>
      </c>
      <c r="IU68" s="9">
        <f t="shared" si="231"/>
        <v>-3.5657354537248533</v>
      </c>
      <c r="IV68" s="5">
        <f t="shared" si="232"/>
        <v>-0.20939104738330042</v>
      </c>
      <c r="IW68" s="5">
        <f t="shared" si="384"/>
        <v>0.26600000000000001</v>
      </c>
      <c r="IX68" s="5">
        <f t="shared" si="233"/>
        <v>0.24034995497579703</v>
      </c>
      <c r="IY68" s="762">
        <f t="shared" si="234"/>
        <v>28.842216230046866</v>
      </c>
    </row>
    <row r="69" spans="1:259" ht="15" customHeight="1" x14ac:dyDescent="0.25">
      <c r="A69" s="79"/>
      <c r="B69" s="707">
        <v>-3.1971612764793789</v>
      </c>
      <c r="C69" s="708">
        <v>2.7223648048161682</v>
      </c>
      <c r="D69" s="709">
        <v>-0.69503308504991468</v>
      </c>
      <c r="E69" s="710">
        <v>-0.83644416685872924</v>
      </c>
      <c r="F69" s="708">
        <v>-0.47107744557929604</v>
      </c>
      <c r="G69" s="711">
        <v>0.28008426588170188</v>
      </c>
      <c r="H69" s="710">
        <v>0.26600000000000001</v>
      </c>
      <c r="I69" s="708">
        <v>0.52</v>
      </c>
      <c r="J69" s="570">
        <v>5.2220000000000004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5.2220000000000004</v>
      </c>
      <c r="N69" s="632">
        <f t="shared" si="240"/>
        <v>-3.1971612764793789</v>
      </c>
      <c r="O69" s="629">
        <f t="shared" si="241"/>
        <v>2.7223648048161682</v>
      </c>
      <c r="P69" s="633">
        <f t="shared" si="242"/>
        <v>-0.69503308504991468</v>
      </c>
      <c r="Q69" s="585">
        <f t="shared" si="113"/>
        <v>139.58579284069728</v>
      </c>
      <c r="R69" s="629">
        <f t="shared" si="79"/>
        <v>4.1991797244606035</v>
      </c>
      <c r="S69" s="634">
        <f t="shared" si="80"/>
        <v>-0.69503308504991468</v>
      </c>
      <c r="T69" s="635">
        <f t="shared" si="81"/>
        <v>2.7098838017601818</v>
      </c>
      <c r="U69" s="629">
        <f t="shared" si="82"/>
        <v>3.2077468945162764</v>
      </c>
      <c r="V69" s="636">
        <f t="shared" si="114"/>
        <v>-0.69503308504991468</v>
      </c>
      <c r="W69" s="585">
        <f t="shared" si="224"/>
        <v>49.809092808456725</v>
      </c>
      <c r="X69" s="629">
        <f t="shared" si="83"/>
        <v>4.1991797244606035</v>
      </c>
      <c r="Y69" s="630">
        <f t="shared" si="223"/>
        <v>-0.69503308504991468</v>
      </c>
      <c r="Z69" s="632">
        <f t="shared" si="243"/>
        <v>0.83644416685872924</v>
      </c>
      <c r="AA69" s="629">
        <f t="shared" si="244"/>
        <v>0.47107744557929604</v>
      </c>
      <c r="AB69" s="629">
        <f t="shared" si="245"/>
        <v>-0.28008426588170188</v>
      </c>
      <c r="AC69" s="636">
        <f t="shared" si="84"/>
        <v>1</v>
      </c>
      <c r="AD69" s="637">
        <f t="shared" si="115"/>
        <v>0.83644416685872924</v>
      </c>
      <c r="AE69" s="629">
        <f t="shared" si="85"/>
        <v>0.47107744557929604</v>
      </c>
      <c r="AF69" s="633">
        <f t="shared" si="86"/>
        <v>-0.28008426588170188</v>
      </c>
      <c r="AG69" s="602">
        <f t="shared" si="87"/>
        <v>59.265935396071256</v>
      </c>
      <c r="AH69" s="603">
        <f t="shared" si="88"/>
        <v>33.2334844672543</v>
      </c>
      <c r="AI69" s="585">
        <f t="shared" si="89"/>
        <v>-73.734765977948925</v>
      </c>
      <c r="AJ69" s="586">
        <f t="shared" si="90"/>
        <v>119.38780019228929</v>
      </c>
      <c r="AK69" s="635">
        <f t="shared" si="211"/>
        <v>0.90094184496113705</v>
      </c>
      <c r="AL69" s="629">
        <f t="shared" si="91"/>
        <v>-0.33144621887046921</v>
      </c>
      <c r="AM69" s="634">
        <f t="shared" si="92"/>
        <v>-0.28008426588170188</v>
      </c>
      <c r="AN69" s="581">
        <f t="shared" si="93"/>
        <v>-49.800958592697377</v>
      </c>
      <c r="AO69" s="582">
        <f t="shared" si="461"/>
        <v>25.717853952133417</v>
      </c>
      <c r="AP69" s="585">
        <f t="shared" si="95"/>
        <v>-20.197992648407979</v>
      </c>
      <c r="AQ69" s="586">
        <f t="shared" si="246"/>
        <v>0.54288183853693439</v>
      </c>
      <c r="AS69" s="52">
        <f t="shared" si="406"/>
        <v>-310.19090719154326</v>
      </c>
      <c r="AT69" s="72">
        <f t="shared" si="247"/>
        <v>-0.47946766341151004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5.2220000000000004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0.122</v>
      </c>
      <c r="II69" s="734" cm="1">
        <f t="array" ref="II69">IFERROR(IF($IH69&lt;1,$IH69+LARGE((IF($M$9:$M$150="",0,$M$9:$M$150)-MOD(IF($M$9:$M$150="",0,$M$9:$M$150),1)),1),$IH69),"")</f>
        <v>5.1219999999999999</v>
      </c>
      <c r="IJ69" s="533">
        <f t="shared" si="112"/>
        <v>1613</v>
      </c>
      <c r="IK69" s="533">
        <f t="shared" si="382"/>
        <v>1313</v>
      </c>
      <c r="IL69" s="727">
        <f t="shared" si="225"/>
        <v>13.791298008782945</v>
      </c>
      <c r="IM69" s="759">
        <v>2.3791903913643799E-3</v>
      </c>
      <c r="IN69" s="5">
        <f t="shared" si="226"/>
        <v>0.04</v>
      </c>
      <c r="IO69" s="771">
        <v>20</v>
      </c>
      <c r="IP69" s="9">
        <f t="shared" si="227"/>
        <v>-4.1680125707259128</v>
      </c>
      <c r="IQ69" s="5">
        <f t="shared" si="228"/>
        <v>-0.7361022200842956</v>
      </c>
      <c r="IR69" s="5">
        <f t="shared" si="383"/>
        <v>0.314</v>
      </c>
      <c r="IS69" s="5">
        <f t="shared" si="229"/>
        <v>0.29331650853948898</v>
      </c>
      <c r="IT69" s="727">
        <f t="shared" si="230"/>
        <v>53.023032616265517</v>
      </c>
      <c r="IU69" s="9">
        <f t="shared" si="231"/>
        <v>-4.1991797244606035</v>
      </c>
      <c r="IV69" s="5">
        <f t="shared" si="232"/>
        <v>-0.69503308504991468</v>
      </c>
      <c r="IW69" s="5">
        <f t="shared" si="384"/>
        <v>0.26600000000000001</v>
      </c>
      <c r="IX69" s="5">
        <f t="shared" si="233"/>
        <v>0.23965053075966247</v>
      </c>
      <c r="IY69" s="762">
        <f t="shared" si="234"/>
        <v>49.800958592697377</v>
      </c>
    </row>
    <row r="70" spans="1:259" ht="15" customHeight="1" x14ac:dyDescent="0.25">
      <c r="A70" s="79"/>
      <c r="B70" s="707">
        <v>-3.5287699455309487</v>
      </c>
      <c r="C70" s="708">
        <v>2.9284873596338712</v>
      </c>
      <c r="D70" s="709">
        <v>-1.3697273559191079</v>
      </c>
      <c r="E70" s="710">
        <v>-0.88840336124113484</v>
      </c>
      <c r="F70" s="708">
        <v>-0.43087732480300062</v>
      </c>
      <c r="G70" s="711">
        <v>0.15837991888513961</v>
      </c>
      <c r="H70" s="710">
        <v>0.26600000000000001</v>
      </c>
      <c r="I70" s="708">
        <v>0.52</v>
      </c>
      <c r="J70" s="570">
        <v>5.2270000000000003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5.2270000000000003</v>
      </c>
      <c r="N70" s="632">
        <f t="shared" si="240"/>
        <v>-3.5287699455309487</v>
      </c>
      <c r="O70" s="629">
        <f t="shared" si="241"/>
        <v>2.9284873596338712</v>
      </c>
      <c r="P70" s="633">
        <f t="shared" si="242"/>
        <v>-1.3697273559191079</v>
      </c>
      <c r="Q70" s="585">
        <f t="shared" si="113"/>
        <v>140.31109273597693</v>
      </c>
      <c r="R70" s="629">
        <f t="shared" si="79"/>
        <v>4.5856575912313664</v>
      </c>
      <c r="S70" s="634">
        <f t="shared" si="80"/>
        <v>-1.3697273559191079</v>
      </c>
      <c r="T70" s="635">
        <f t="shared" si="81"/>
        <v>2.9147124094591308</v>
      </c>
      <c r="U70" s="629">
        <f t="shared" si="82"/>
        <v>3.5401563686033426</v>
      </c>
      <c r="V70" s="636">
        <f t="shared" si="114"/>
        <v>-1.3697273559191079</v>
      </c>
      <c r="W70" s="585">
        <f t="shared" si="224"/>
        <v>50.534392703736373</v>
      </c>
      <c r="X70" s="629">
        <f t="shared" si="83"/>
        <v>4.5856575912313664</v>
      </c>
      <c r="Y70" s="630">
        <f t="shared" si="223"/>
        <v>-1.3697273559191079</v>
      </c>
      <c r="Z70" s="632">
        <f t="shared" si="243"/>
        <v>0.88840336124113484</v>
      </c>
      <c r="AA70" s="629">
        <f t="shared" si="244"/>
        <v>0.43087732480300062</v>
      </c>
      <c r="AB70" s="629">
        <f t="shared" si="245"/>
        <v>-0.15837991888513961</v>
      </c>
      <c r="AC70" s="636">
        <f t="shared" si="84"/>
        <v>1</v>
      </c>
      <c r="AD70" s="637">
        <f t="shared" si="115"/>
        <v>0.88840336124113484</v>
      </c>
      <c r="AE70" s="629">
        <f t="shared" si="85"/>
        <v>0.43087732480300062</v>
      </c>
      <c r="AF70" s="633">
        <f t="shared" si="86"/>
        <v>-0.15837991888513961</v>
      </c>
      <c r="AG70" s="602">
        <f t="shared" si="87"/>
        <v>69.817812325169712</v>
      </c>
      <c r="AH70" s="603">
        <f t="shared" si="88"/>
        <v>27.32670535546097</v>
      </c>
      <c r="AI70" s="585">
        <f t="shared" si="89"/>
        <v>-80.887126581716302</v>
      </c>
      <c r="AJ70" s="586">
        <f t="shared" si="90"/>
        <v>115.87347370392251</v>
      </c>
      <c r="AK70" s="635">
        <f t="shared" si="211"/>
        <v>0.89892123116842049</v>
      </c>
      <c r="AL70" s="629">
        <f t="shared" si="91"/>
        <v>-0.40848062554861531</v>
      </c>
      <c r="AM70" s="634">
        <f t="shared" si="92"/>
        <v>-0.15837991888513961</v>
      </c>
      <c r="AN70" s="581">
        <f t="shared" si="93"/>
        <v>-68.807227205761748</v>
      </c>
      <c r="AO70" s="582">
        <f t="shared" si="461"/>
        <v>25.983371795621601</v>
      </c>
      <c r="AP70" s="585">
        <f t="shared" si="95"/>
        <v>-24.437619032054407</v>
      </c>
      <c r="AQ70" s="586">
        <f t="shared" si="246"/>
        <v>0.4971303195480361</v>
      </c>
      <c r="AS70" s="52">
        <f t="shared" si="406"/>
        <v>-309.46560729626361</v>
      </c>
      <c r="AT70" s="72">
        <f t="shared" si="247"/>
        <v>-1.1546656147635364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5.2270000000000003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0.127</v>
      </c>
      <c r="II70" s="734" cm="1">
        <f t="array" ref="II70">IFERROR(IF($IH70&lt;1,$IH70+LARGE((IF($M$9:$M$150="",0,$M$9:$M$150)-MOD(IF($M$9:$M$150="",0,$M$9:$M$150),1)),1),$IH70),"")</f>
        <v>5.1269999999999998</v>
      </c>
      <c r="IJ70" s="533">
        <f t="shared" si="112"/>
        <v>1613</v>
      </c>
      <c r="IK70" s="533">
        <f t="shared" si="382"/>
        <v>1313</v>
      </c>
      <c r="IL70" s="727">
        <f t="shared" si="225"/>
        <v>12.639198175125586</v>
      </c>
      <c r="IM70" s="759">
        <v>1.6058509092365201E-3</v>
      </c>
      <c r="IN70" s="5">
        <f t="shared" si="226"/>
        <v>0</v>
      </c>
      <c r="IO70" s="771">
        <v>0</v>
      </c>
      <c r="IP70" s="9">
        <f t="shared" si="227"/>
        <v>-4.5432137023325243</v>
      </c>
      <c r="IQ70" s="5">
        <f t="shared" si="228"/>
        <v>-1.4003042233175376</v>
      </c>
      <c r="IR70" s="5">
        <f t="shared" si="383"/>
        <v>0.314</v>
      </c>
      <c r="IS70" s="5">
        <f t="shared" si="229"/>
        <v>0.29265866432223886</v>
      </c>
      <c r="IT70" s="727">
        <f t="shared" si="230"/>
        <v>72.485696996882155</v>
      </c>
      <c r="IU70" s="9">
        <f t="shared" si="231"/>
        <v>-4.5856575912313664</v>
      </c>
      <c r="IV70" s="5">
        <f t="shared" si="232"/>
        <v>-1.3697273559191079</v>
      </c>
      <c r="IW70" s="5">
        <f t="shared" si="384"/>
        <v>0.26600000000000001</v>
      </c>
      <c r="IX70" s="5">
        <f t="shared" si="233"/>
        <v>0.23911304749079987</v>
      </c>
      <c r="IY70" s="762">
        <f t="shared" si="234"/>
        <v>68.807227205761748</v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0.86602544158358563</v>
      </c>
      <c r="F154" s="170">
        <f t="shared" si="929"/>
        <v>4.3577859391853817E-2</v>
      </c>
      <c r="G154" s="170">
        <f t="shared" si="929"/>
        <v>-0.49809728437402601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0.93969263802333458</v>
      </c>
      <c r="F155" s="170">
        <f t="shared" si="929"/>
        <v>2.9809011205603888E-2</v>
      </c>
      <c r="G155" s="170">
        <f t="shared" si="929"/>
        <v>-0.34071860661796943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0.93969263802333458</v>
      </c>
      <c r="F156" s="170">
        <f t="shared" si="929"/>
        <v>2.9809011205603905E-2</v>
      </c>
      <c r="G156" s="170">
        <f t="shared" si="929"/>
        <v>-0.34071860661796938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0.93907525682697568</v>
      </c>
      <c r="F157" s="170">
        <f t="shared" si="929"/>
        <v>-3.578611720538534E-2</v>
      </c>
      <c r="G157" s="170">
        <f t="shared" si="929"/>
        <v>-0.34184355461338201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0.93499354542109359</v>
      </c>
      <c r="F158" s="170">
        <f t="shared" si="929"/>
        <v>-0.16988125794644826</v>
      </c>
      <c r="G158" s="170">
        <f t="shared" si="929"/>
        <v>-0.31133170127602777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0.92730666497714243</v>
      </c>
      <c r="F159" s="170">
        <f t="shared" si="929"/>
        <v>-0.29233662685609496</v>
      </c>
      <c r="G159" s="170">
        <f t="shared" si="929"/>
        <v>-0.23375552546917477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0.92008399203097091</v>
      </c>
      <c r="F160" s="170">
        <f t="shared" si="929"/>
        <v>-0.36923912980729467</v>
      </c>
      <c r="G160" s="170">
        <f t="shared" si="929"/>
        <v>-0.13079721949454515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0.88112448946762267</v>
      </c>
      <c r="F161" s="170">
        <f t="shared" si="929"/>
        <v>-0.46946456964502992</v>
      </c>
      <c r="G161" s="170">
        <f t="shared" si="929"/>
        <v>-5.6768405900010088E-2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0.78827194460907246</v>
      </c>
      <c r="F162" s="170">
        <f t="shared" si="929"/>
        <v>-0.60419509394095527</v>
      </c>
      <c r="G162" s="170">
        <f t="shared" si="929"/>
        <v>-0.11651450467607777</v>
      </c>
      <c r="H162" s="139"/>
      <c r="I162" s="86"/>
      <c r="J162" s="79">
        <f t="shared" si="930"/>
        <v>1.1359999999999999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0.78827194460907246</v>
      </c>
      <c r="F163" s="170">
        <f t="shared" si="929"/>
        <v>-0.60419509394095516</v>
      </c>
      <c r="G163" s="170">
        <f t="shared" si="929"/>
        <v>-0.11651450467607777</v>
      </c>
      <c r="H163" s="139"/>
      <c r="I163" s="86"/>
      <c r="J163" s="79">
        <f t="shared" si="930"/>
        <v>1.141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4.5370204961680476E-2</v>
      </c>
      <c r="F164" s="170">
        <f t="shared" si="929"/>
        <v>7.4415494406504162E-2</v>
      </c>
      <c r="G164" s="170">
        <f t="shared" si="929"/>
        <v>-0.99619469918985759</v>
      </c>
      <c r="H164" s="139"/>
      <c r="I164" s="86"/>
      <c r="J164" s="79">
        <f t="shared" si="930"/>
        <v>1.2070000000000001</v>
      </c>
    </row>
    <row r="165" spans="5:16" x14ac:dyDescent="0.25">
      <c r="E165" s="170">
        <f t="shared" si="929"/>
        <v>2.0826763089322761E-7</v>
      </c>
      <c r="F165" s="170">
        <f t="shared" si="929"/>
        <v>-8.9780393781368224E-8</v>
      </c>
      <c r="G165" s="170">
        <f t="shared" si="929"/>
        <v>-0.99999999999997435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0.8066143126402705</v>
      </c>
      <c r="F166" s="170">
        <f t="shared" si="929"/>
        <v>-0.44503907311545865</v>
      </c>
      <c r="G166" s="170">
        <f t="shared" si="929"/>
        <v>-0.38899045495281431</v>
      </c>
      <c r="H166" s="139"/>
      <c r="I166" s="86"/>
      <c r="J166" s="79">
        <f t="shared" si="930"/>
        <v>1.216</v>
      </c>
    </row>
    <row r="167" spans="5:16" x14ac:dyDescent="0.25">
      <c r="E167" s="170">
        <f t="shared" si="929"/>
        <v>0.78416616351082213</v>
      </c>
      <c r="F167" s="170">
        <f t="shared" si="929"/>
        <v>-0.5422507220963787</v>
      </c>
      <c r="G167" s="170">
        <f t="shared" si="929"/>
        <v>-0.301740919317673</v>
      </c>
      <c r="H167" s="139"/>
      <c r="I167" s="86"/>
      <c r="J167" s="79">
        <f t="shared" si="930"/>
        <v>1.2210000000000001</v>
      </c>
    </row>
    <row r="168" spans="5:16" x14ac:dyDescent="0.25">
      <c r="E168" s="170">
        <f t="shared" si="929"/>
        <v>0.76821045361074236</v>
      </c>
      <c r="F168" s="170">
        <f t="shared" si="929"/>
        <v>-0.61328133480582259</v>
      </c>
      <c r="G168" s="170">
        <f t="shared" si="929"/>
        <v>-0.18368098252667878</v>
      </c>
      <c r="H168" s="139"/>
      <c r="I168" s="86"/>
      <c r="J168" s="79">
        <f t="shared" si="930"/>
        <v>1.226</v>
      </c>
    </row>
    <row r="169" spans="5:16" x14ac:dyDescent="0.25">
      <c r="E169" s="170">
        <f t="shared" si="929"/>
        <v>0.33260964728438197</v>
      </c>
      <c r="F169" s="170">
        <f t="shared" si="929"/>
        <v>-0.87894001638480956</v>
      </c>
      <c r="G169" s="170">
        <f t="shared" si="929"/>
        <v>-0.34181174662499475</v>
      </c>
      <c r="H169" s="139"/>
      <c r="I169" s="86"/>
      <c r="J169" s="79">
        <f t="shared" si="930"/>
        <v>2.11</v>
      </c>
    </row>
    <row r="170" spans="5:16" x14ac:dyDescent="0.25">
      <c r="E170" s="170">
        <f t="shared" si="929"/>
        <v>0.18645163389532435</v>
      </c>
      <c r="F170" s="170">
        <f t="shared" si="929"/>
        <v>-0.92838143786289506</v>
      </c>
      <c r="G170" s="170">
        <f t="shared" si="929"/>
        <v>-0.32147114030560742</v>
      </c>
      <c r="H170" s="139"/>
      <c r="I170" s="86"/>
      <c r="J170" s="79">
        <f t="shared" si="930"/>
        <v>2.1150000000000002</v>
      </c>
    </row>
    <row r="171" spans="5:16" x14ac:dyDescent="0.25">
      <c r="E171" s="170">
        <f t="shared" si="929"/>
        <v>6.3029596645526736E-2</v>
      </c>
      <c r="F171" s="170">
        <f t="shared" si="929"/>
        <v>-0.96562900986670919</v>
      </c>
      <c r="G171" s="170">
        <f t="shared" si="929"/>
        <v>-0.25216638406128045</v>
      </c>
      <c r="H171" s="139"/>
      <c r="I171" s="86"/>
      <c r="J171" s="79">
        <f t="shared" si="930"/>
        <v>2.12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-2.1115978203351191E-2</v>
      </c>
      <c r="F172" s="170">
        <f t="shared" si="929"/>
        <v>-0.98809591296846466</v>
      </c>
      <c r="G172" s="170">
        <f t="shared" si="929"/>
        <v>-0.15238301165002593</v>
      </c>
      <c r="H172" s="139"/>
      <c r="I172" s="86"/>
      <c r="J172" s="79">
        <f t="shared" si="930"/>
        <v>2.125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-9.6785661102269882E-2</v>
      </c>
      <c r="F173" s="170">
        <f t="shared" si="929"/>
        <v>-0.99318784604843791</v>
      </c>
      <c r="G173" s="170">
        <f t="shared" si="929"/>
        <v>-6.4887889984658373E-2</v>
      </c>
      <c r="H173" s="139"/>
      <c r="I173" s="86"/>
      <c r="J173" s="79">
        <f t="shared" si="930"/>
        <v>2.13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-0.29815348014637372</v>
      </c>
      <c r="F174" s="170">
        <f t="shared" si="933"/>
        <v>-0.94738000426264768</v>
      </c>
      <c r="G174" s="170">
        <f t="shared" si="933"/>
        <v>-0.1165145046760778</v>
      </c>
      <c r="H174" s="139"/>
      <c r="I174" s="86"/>
      <c r="J174" s="79">
        <f t="shared" si="930"/>
        <v>2.1349999999999998</v>
      </c>
    </row>
    <row r="175" spans="5:16" x14ac:dyDescent="0.25">
      <c r="E175" s="170">
        <f t="shared" si="933"/>
        <v>-0.29815348014637372</v>
      </c>
      <c r="F175" s="170">
        <f t="shared" si="933"/>
        <v>-0.94738000426264768</v>
      </c>
      <c r="G175" s="170">
        <f t="shared" si="933"/>
        <v>-0.1165145046760778</v>
      </c>
      <c r="H175" s="139"/>
      <c r="I175" s="86"/>
      <c r="J175" s="79">
        <f t="shared" si="930"/>
        <v>2.14</v>
      </c>
    </row>
    <row r="176" spans="5:16" x14ac:dyDescent="0.25">
      <c r="E176" s="170">
        <f t="shared" si="933"/>
        <v>-0.11557454972158593</v>
      </c>
      <c r="F176" s="170">
        <f t="shared" si="933"/>
        <v>-0.90909416753915484</v>
      </c>
      <c r="G176" s="170">
        <f t="shared" si="933"/>
        <v>-0.40023782680169534</v>
      </c>
      <c r="H176" s="139"/>
      <c r="I176" s="86"/>
      <c r="J176" s="79">
        <f t="shared" si="930"/>
        <v>2.2149999999999999</v>
      </c>
    </row>
    <row r="177" spans="5:10" x14ac:dyDescent="0.25">
      <c r="E177" s="170">
        <f t="shared" si="933"/>
        <v>-0.22275594631281737</v>
      </c>
      <c r="F177" s="170">
        <f t="shared" si="933"/>
        <v>-0.91995309907719403</v>
      </c>
      <c r="G177" s="170">
        <f t="shared" si="933"/>
        <v>-0.32259275236828822</v>
      </c>
      <c r="H177" s="139"/>
      <c r="I177" s="86"/>
      <c r="J177" s="79">
        <f t="shared" si="930"/>
        <v>2.2200000000000002</v>
      </c>
    </row>
    <row r="178" spans="5:10" x14ac:dyDescent="0.25">
      <c r="E178" s="170">
        <f t="shared" si="933"/>
        <v>-0.30204579558427969</v>
      </c>
      <c r="F178" s="170">
        <f t="shared" si="933"/>
        <v>-0.93017820499813708</v>
      </c>
      <c r="G178" s="170">
        <f t="shared" si="933"/>
        <v>-0.20865484493848552</v>
      </c>
      <c r="H178" s="139"/>
      <c r="I178" s="86"/>
      <c r="J178" s="79">
        <f t="shared" si="930"/>
        <v>2.2250000000000001</v>
      </c>
    </row>
    <row r="179" spans="5:10" x14ac:dyDescent="0.25">
      <c r="E179" s="170">
        <f t="shared" si="933"/>
        <v>-0.75265370426679912</v>
      </c>
      <c r="F179" s="170">
        <f t="shared" si="933"/>
        <v>-0.56340325927152324</v>
      </c>
      <c r="G179" s="170">
        <f t="shared" si="933"/>
        <v>-0.34071860661796943</v>
      </c>
      <c r="H179" s="139"/>
      <c r="I179" s="86"/>
      <c r="J179" s="79">
        <f t="shared" si="930"/>
        <v>3.1030000000000002</v>
      </c>
    </row>
    <row r="180" spans="5:10" x14ac:dyDescent="0.25">
      <c r="E180" s="170">
        <f t="shared" si="933"/>
        <v>-0.75265370426679912</v>
      </c>
      <c r="F180" s="170">
        <f t="shared" si="933"/>
        <v>-0.56340325927152335</v>
      </c>
      <c r="G180" s="170">
        <f t="shared" si="933"/>
        <v>-0.34071860661796932</v>
      </c>
      <c r="H180" s="139"/>
      <c r="I180" s="86"/>
      <c r="J180" s="79">
        <f t="shared" si="930"/>
        <v>3.1059999999999999</v>
      </c>
    </row>
    <row r="181" spans="5:10" x14ac:dyDescent="0.25">
      <c r="E181" s="170">
        <f t="shared" si="933"/>
        <v>-0.75265370426679912</v>
      </c>
      <c r="F181" s="170">
        <f t="shared" si="933"/>
        <v>-0.56340325927152335</v>
      </c>
      <c r="G181" s="170">
        <f t="shared" si="933"/>
        <v>-0.34071860661796932</v>
      </c>
      <c r="H181" s="139"/>
      <c r="I181" s="86"/>
      <c r="J181" s="79">
        <f t="shared" si="930"/>
        <v>3.109</v>
      </c>
    </row>
    <row r="182" spans="5:10" x14ac:dyDescent="0.25">
      <c r="E182" s="170">
        <f t="shared" si="933"/>
        <v>-0.83275336678311562</v>
      </c>
      <c r="F182" s="170">
        <f t="shared" si="933"/>
        <v>-0.4446130452116811</v>
      </c>
      <c r="G182" s="170">
        <f t="shared" si="933"/>
        <v>-0.32991070024929681</v>
      </c>
      <c r="H182" s="139"/>
      <c r="I182" s="86"/>
      <c r="J182" s="79">
        <f t="shared" si="930"/>
        <v>3.1139999999999999</v>
      </c>
    </row>
    <row r="183" spans="5:10" x14ac:dyDescent="0.25">
      <c r="E183" s="170">
        <f t="shared" si="933"/>
        <v>-0.90450387297066059</v>
      </c>
      <c r="F183" s="170">
        <f t="shared" si="933"/>
        <v>-0.33066950702482067</v>
      </c>
      <c r="G183" s="170">
        <f t="shared" si="933"/>
        <v>-0.26931472463464956</v>
      </c>
      <c r="H183" s="139"/>
      <c r="I183" s="86"/>
      <c r="J183" s="79">
        <f t="shared" si="930"/>
        <v>3.1190000000000002</v>
      </c>
    </row>
    <row r="184" spans="5:10" x14ac:dyDescent="0.25">
      <c r="E184" s="170">
        <f t="shared" si="933"/>
        <v>-0.95331535016786106</v>
      </c>
      <c r="F184" s="170">
        <f t="shared" si="933"/>
        <v>-0.24709331337381235</v>
      </c>
      <c r="G184" s="170">
        <f t="shared" si="933"/>
        <v>-0.17359359901874183</v>
      </c>
      <c r="H184" s="139"/>
      <c r="I184" s="86"/>
      <c r="J184" s="79">
        <f t="shared" si="930"/>
        <v>3.1240000000000001</v>
      </c>
    </row>
    <row r="185" spans="5:10" x14ac:dyDescent="0.25">
      <c r="E185" s="170">
        <f t="shared" si="933"/>
        <v>-0.98188331037372523</v>
      </c>
      <c r="F185" s="170">
        <f t="shared" si="933"/>
        <v>-0.1679502972269529</v>
      </c>
      <c r="G185" s="170">
        <f t="shared" si="933"/>
        <v>-8.773746332618132E-2</v>
      </c>
      <c r="H185" s="139"/>
      <c r="I185" s="86"/>
      <c r="J185" s="79">
        <f t="shared" si="930"/>
        <v>3.129</v>
      </c>
    </row>
    <row r="186" spans="5:10" x14ac:dyDescent="0.25">
      <c r="E186" s="170">
        <f t="shared" si="933"/>
        <v>-0.99226662054051318</v>
      </c>
      <c r="F186" s="170">
        <f t="shared" si="933"/>
        <v>4.2793971084696215E-2</v>
      </c>
      <c r="G186" s="170">
        <f t="shared" si="933"/>
        <v>-0.11651450467607777</v>
      </c>
      <c r="H186" s="139"/>
      <c r="I186" s="86"/>
      <c r="J186" s="79">
        <f t="shared" si="930"/>
        <v>3.1339999999999999</v>
      </c>
    </row>
    <row r="187" spans="5:10" x14ac:dyDescent="0.25">
      <c r="E187" s="170">
        <f t="shared" si="933"/>
        <v>-0.99226662054051318</v>
      </c>
      <c r="F187" s="170">
        <f t="shared" si="933"/>
        <v>4.2793971084696215E-2</v>
      </c>
      <c r="G187" s="170">
        <f t="shared" si="933"/>
        <v>-0.11651450467607777</v>
      </c>
      <c r="H187" s="139"/>
      <c r="I187" s="86"/>
      <c r="J187" s="79">
        <f t="shared" si="930"/>
        <v>3.1389999999999998</v>
      </c>
    </row>
    <row r="188" spans="5:10" x14ac:dyDescent="0.25">
      <c r="E188" s="170">
        <f t="shared" si="933"/>
        <v>-1.5213511997894471E-3</v>
      </c>
      <c r="F188" s="170">
        <f t="shared" si="933"/>
        <v>-8.7142451173674654E-2</v>
      </c>
      <c r="G188" s="170">
        <f t="shared" si="933"/>
        <v>-0.99619469918985759</v>
      </c>
      <c r="H188" s="139"/>
      <c r="I188" s="86"/>
      <c r="J188" s="79">
        <f t="shared" si="930"/>
        <v>3.206</v>
      </c>
    </row>
    <row r="189" spans="5:10" x14ac:dyDescent="0.25">
      <c r="E189" s="170">
        <f t="shared" si="933"/>
        <v>1.5134169277088974E-2</v>
      </c>
      <c r="F189" s="170">
        <f t="shared" si="933"/>
        <v>-8.5831685444955522E-2</v>
      </c>
      <c r="G189" s="170">
        <f t="shared" si="933"/>
        <v>-0.99619469918985759</v>
      </c>
      <c r="H189" s="139"/>
      <c r="I189" s="86"/>
      <c r="J189" s="79">
        <f t="shared" si="930"/>
        <v>3.2090000000000001</v>
      </c>
    </row>
    <row r="190" spans="5:10" x14ac:dyDescent="0.25">
      <c r="E190" s="170">
        <f t="shared" si="933"/>
        <v>-0.89989000358976412</v>
      </c>
      <c r="F190" s="170">
        <f t="shared" si="933"/>
        <v>-0.14991147345056838</v>
      </c>
      <c r="G190" s="170">
        <f t="shared" si="933"/>
        <v>-0.40954185569620821</v>
      </c>
      <c r="H190" s="139"/>
      <c r="I190" s="86"/>
      <c r="J190" s="79">
        <f t="shared" si="930"/>
        <v>3.214</v>
      </c>
    </row>
    <row r="191" spans="5:10" x14ac:dyDescent="0.25">
      <c r="E191" s="170">
        <f t="shared" si="933"/>
        <v>-0.938823124411719</v>
      </c>
      <c r="F191" s="170">
        <f t="shared" si="933"/>
        <v>-4.1106870603234424E-2</v>
      </c>
      <c r="G191" s="170">
        <f t="shared" si="933"/>
        <v>-0.3419376642884302</v>
      </c>
      <c r="H191" s="139"/>
      <c r="I191" s="86"/>
      <c r="J191" s="79">
        <f t="shared" si="930"/>
        <v>3.2189999999999999</v>
      </c>
    </row>
    <row r="192" spans="5:10" x14ac:dyDescent="0.25">
      <c r="E192" s="170">
        <f t="shared" si="933"/>
        <v>-0.97168193764764088</v>
      </c>
      <c r="F192" s="170">
        <f t="shared" si="933"/>
        <v>3.8875193826928743E-2</v>
      </c>
      <c r="G192" s="170">
        <f t="shared" si="933"/>
        <v>-0.23307280269101521</v>
      </c>
      <c r="H192" s="139"/>
      <c r="I192" s="86"/>
      <c r="J192" s="79">
        <f t="shared" si="930"/>
        <v>3.2240000000000002</v>
      </c>
    </row>
    <row r="193" spans="5:10" x14ac:dyDescent="0.25">
      <c r="E193" s="170">
        <f t="shared" si="933"/>
        <v>-0.66690147880474759</v>
      </c>
      <c r="F193" s="170">
        <f t="shared" si="933"/>
        <v>0.61481134068008625</v>
      </c>
      <c r="G193" s="170">
        <f t="shared" si="933"/>
        <v>-0.42101001524808856</v>
      </c>
      <c r="H193" s="139"/>
      <c r="I193" s="86"/>
      <c r="J193" s="79">
        <f t="shared" si="930"/>
        <v>4.1020000000000003</v>
      </c>
    </row>
    <row r="194" spans="5:10" x14ac:dyDescent="0.25">
      <c r="E194" s="170">
        <f t="shared" ref="E194:G213" si="934">E49*-1</f>
        <v>-0.68554097166667227</v>
      </c>
      <c r="F194" s="170">
        <f t="shared" si="934"/>
        <v>0.64338511582925539</v>
      </c>
      <c r="G194" s="170">
        <f t="shared" si="934"/>
        <v>-0.34071860661796938</v>
      </c>
      <c r="H194" s="139"/>
      <c r="I194" s="86"/>
      <c r="J194" s="79">
        <f t="shared" si="930"/>
        <v>4.1050000000000004</v>
      </c>
    </row>
    <row r="195" spans="5:10" x14ac:dyDescent="0.25">
      <c r="E195" s="170">
        <f t="shared" si="934"/>
        <v>-0.6855409716666726</v>
      </c>
      <c r="F195" s="170">
        <f t="shared" si="934"/>
        <v>0.64338511582925517</v>
      </c>
      <c r="G195" s="170">
        <f t="shared" si="934"/>
        <v>-0.34071860661796932</v>
      </c>
      <c r="H195" s="139"/>
      <c r="I195" s="86"/>
      <c r="J195" s="79">
        <f t="shared" si="930"/>
        <v>4.1079999999999997</v>
      </c>
    </row>
    <row r="196" spans="5:10" x14ac:dyDescent="0.25">
      <c r="E196" s="170">
        <f t="shared" si="934"/>
        <v>-0.60345360777186119</v>
      </c>
      <c r="F196" s="170">
        <f t="shared" si="934"/>
        <v>0.72307354259238998</v>
      </c>
      <c r="G196" s="170">
        <f t="shared" si="934"/>
        <v>-0.33616721325854498</v>
      </c>
      <c r="H196" s="139"/>
      <c r="I196" s="86"/>
      <c r="J196" s="79">
        <f t="shared" si="930"/>
        <v>4.1130000000000004</v>
      </c>
    </row>
    <row r="197" spans="5:10" x14ac:dyDescent="0.25">
      <c r="E197" s="170">
        <f t="shared" si="934"/>
        <v>-0.50127179392549082</v>
      </c>
      <c r="F197" s="170">
        <f t="shared" si="934"/>
        <v>0.81701061556119292</v>
      </c>
      <c r="G197" s="170">
        <f t="shared" si="934"/>
        <v>-0.28499165369364921</v>
      </c>
      <c r="H197" s="139"/>
      <c r="I197" s="86"/>
      <c r="J197" s="79">
        <f t="shared" si="930"/>
        <v>4.1180000000000003</v>
      </c>
    </row>
    <row r="198" spans="5:10" x14ac:dyDescent="0.25">
      <c r="E198" s="170">
        <f t="shared" si="934"/>
        <v>-0.42075745532961822</v>
      </c>
      <c r="F198" s="170">
        <f t="shared" si="934"/>
        <v>0.88613055104122473</v>
      </c>
      <c r="G198" s="170">
        <f t="shared" si="934"/>
        <v>-0.19425707270501053</v>
      </c>
      <c r="H198" s="139"/>
      <c r="I198" s="86"/>
      <c r="J198" s="79">
        <f t="shared" si="930"/>
        <v>4.1230000000000002</v>
      </c>
    </row>
    <row r="199" spans="5:10" x14ac:dyDescent="0.25">
      <c r="E199" s="170">
        <f t="shared" si="934"/>
        <v>-0.341017940042251</v>
      </c>
      <c r="F199" s="170">
        <f t="shared" si="934"/>
        <v>0.9335353281150407</v>
      </c>
      <c r="G199" s="170">
        <f t="shared" si="934"/>
        <v>-0.11053757610189864</v>
      </c>
      <c r="H199" s="139"/>
      <c r="I199" s="86"/>
      <c r="J199" s="79">
        <f t="shared" si="930"/>
        <v>4.1280000000000001</v>
      </c>
    </row>
    <row r="200" spans="5:10" x14ac:dyDescent="0.25">
      <c r="E200" s="170">
        <f t="shared" si="934"/>
        <v>-0.13016165440571337</v>
      </c>
      <c r="F200" s="170">
        <f t="shared" si="934"/>
        <v>0.98462292981752964</v>
      </c>
      <c r="G200" s="170">
        <f t="shared" si="934"/>
        <v>-0.11651450467607806</v>
      </c>
      <c r="H200" s="139"/>
      <c r="I200" s="86"/>
      <c r="J200" s="79">
        <f t="shared" si="930"/>
        <v>4.133</v>
      </c>
    </row>
    <row r="201" spans="5:10" x14ac:dyDescent="0.25">
      <c r="E201" s="170">
        <f t="shared" si="934"/>
        <v>-0.13016165440571337</v>
      </c>
      <c r="F201" s="170">
        <f t="shared" si="934"/>
        <v>0.98462292981752964</v>
      </c>
      <c r="G201" s="170">
        <f t="shared" si="934"/>
        <v>-0.11651450467607809</v>
      </c>
      <c r="H201" s="139"/>
      <c r="I201" s="86"/>
      <c r="J201" s="79">
        <f t="shared" si="930"/>
        <v>4.1379999999999999</v>
      </c>
    </row>
    <row r="202" spans="5:10" x14ac:dyDescent="0.25">
      <c r="E202" s="170">
        <f t="shared" si="934"/>
        <v>-8.2890102548486319E-2</v>
      </c>
      <c r="F202" s="170">
        <f t="shared" si="934"/>
        <v>-2.6932363534060182E-2</v>
      </c>
      <c r="G202" s="170">
        <f t="shared" si="934"/>
        <v>-0.99619469918985748</v>
      </c>
      <c r="H202" s="139"/>
      <c r="I202" s="86"/>
      <c r="J202" s="79">
        <f t="shared" si="930"/>
        <v>4.2080000000000002</v>
      </c>
    </row>
    <row r="203" spans="5:10" x14ac:dyDescent="0.25">
      <c r="E203" s="170">
        <f t="shared" si="934"/>
        <v>7.9620639365919038E-2</v>
      </c>
      <c r="F203" s="170">
        <f t="shared" si="934"/>
        <v>3.5449613439241009E-2</v>
      </c>
      <c r="G203" s="170">
        <f t="shared" si="934"/>
        <v>-0.99619469918985748</v>
      </c>
      <c r="H203" s="139"/>
      <c r="I203" s="86"/>
      <c r="J203" s="79">
        <f t="shared" si="930"/>
        <v>4.2130000000000001</v>
      </c>
    </row>
    <row r="204" spans="5:10" x14ac:dyDescent="0.25">
      <c r="E204" s="170">
        <f t="shared" si="934"/>
        <v>-0.22066852205777765</v>
      </c>
      <c r="F204" s="170">
        <f t="shared" si="934"/>
        <v>0.9066553380917165</v>
      </c>
      <c r="G204" s="170">
        <f t="shared" si="934"/>
        <v>-0.35955736855560522</v>
      </c>
      <c r="H204" s="139"/>
      <c r="I204" s="86"/>
      <c r="J204" s="79">
        <f t="shared" si="930"/>
        <v>4.218</v>
      </c>
    </row>
    <row r="205" spans="5:10" x14ac:dyDescent="0.25">
      <c r="E205" s="170">
        <f t="shared" si="934"/>
        <v>-0.14273986770997907</v>
      </c>
      <c r="F205" s="170">
        <f t="shared" si="934"/>
        <v>0.95587849407130276</v>
      </c>
      <c r="G205" s="170">
        <f t="shared" si="934"/>
        <v>-0.25675208808910677</v>
      </c>
      <c r="H205" s="139"/>
      <c r="I205" s="86"/>
      <c r="J205" s="79">
        <f t="shared" si="930"/>
        <v>4.2229999999999999</v>
      </c>
    </row>
    <row r="206" spans="5:10" x14ac:dyDescent="0.25">
      <c r="E206" s="170">
        <f t="shared" si="934"/>
        <v>-5.6929063292625877E-2</v>
      </c>
      <c r="F206" s="170">
        <f t="shared" si="934"/>
        <v>0.9862112995176</v>
      </c>
      <c r="G206" s="170">
        <f t="shared" si="934"/>
        <v>-0.15539097289234943</v>
      </c>
      <c r="H206" s="139"/>
      <c r="I206" s="86"/>
      <c r="J206" s="79">
        <f t="shared" si="930"/>
        <v>4.2279999999999998</v>
      </c>
    </row>
    <row r="207" spans="5:10" x14ac:dyDescent="0.25">
      <c r="E207" s="170">
        <f t="shared" si="934"/>
        <v>0.44692975566259147</v>
      </c>
      <c r="F207" s="170">
        <f t="shared" si="934"/>
        <v>0.82726921270017184</v>
      </c>
      <c r="G207" s="170">
        <f t="shared" si="934"/>
        <v>-0.34041069786628975</v>
      </c>
      <c r="H207" s="139"/>
      <c r="I207" s="86"/>
      <c r="J207" s="79">
        <f t="shared" si="930"/>
        <v>5.1120000000000001</v>
      </c>
    </row>
    <row r="208" spans="5:10" x14ac:dyDescent="0.25">
      <c r="E208" s="170">
        <f t="shared" si="934"/>
        <v>0.57380892751602541</v>
      </c>
      <c r="F208" s="170">
        <f t="shared" si="934"/>
        <v>0.76244079270757348</v>
      </c>
      <c r="G208" s="170">
        <f t="shared" si="934"/>
        <v>-0.29904406417509094</v>
      </c>
      <c r="H208" s="139"/>
      <c r="I208" s="86"/>
      <c r="J208" s="79">
        <f t="shared" si="930"/>
        <v>5.117</v>
      </c>
    </row>
    <row r="209" spans="5:10" x14ac:dyDescent="0.25">
      <c r="E209" s="170">
        <f t="shared" si="934"/>
        <v>0.6735136808571327</v>
      </c>
      <c r="F209" s="170">
        <f t="shared" si="934"/>
        <v>0.70730867502648243</v>
      </c>
      <c r="G209" s="170">
        <f t="shared" si="934"/>
        <v>-0.21469457359364791</v>
      </c>
      <c r="H209" s="139"/>
      <c r="I209" s="86"/>
      <c r="J209" s="79">
        <f t="shared" si="930"/>
        <v>5.1219999999999999</v>
      </c>
    </row>
    <row r="210" spans="5:10" x14ac:dyDescent="0.25">
      <c r="E210" s="170">
        <f t="shared" si="934"/>
        <v>0.73162564748626935</v>
      </c>
      <c r="F210" s="170">
        <f t="shared" si="934"/>
        <v>0.67292740123390637</v>
      </c>
      <c r="G210" s="170">
        <f t="shared" si="934"/>
        <v>-0.10905331085702252</v>
      </c>
      <c r="H210" s="139"/>
      <c r="I210" s="86"/>
      <c r="J210" s="79">
        <f t="shared" si="930"/>
        <v>5.1269999999999998</v>
      </c>
    </row>
    <row r="211" spans="5:10" x14ac:dyDescent="0.25">
      <c r="E211" s="170">
        <f t="shared" si="934"/>
        <v>0.88072491273214859</v>
      </c>
      <c r="F211" s="170">
        <f t="shared" si="934"/>
        <v>0.45907297708865158</v>
      </c>
      <c r="G211" s="170">
        <f t="shared" si="934"/>
        <v>-0.11651450467607778</v>
      </c>
      <c r="H211" s="139"/>
      <c r="I211" s="86"/>
      <c r="J211" s="79">
        <f t="shared" si="930"/>
        <v>5.1319999999999997</v>
      </c>
    </row>
    <row r="212" spans="5:10" x14ac:dyDescent="0.25">
      <c r="E212" s="170">
        <f t="shared" si="934"/>
        <v>0.88072491273214859</v>
      </c>
      <c r="F212" s="170">
        <f t="shared" si="934"/>
        <v>0.45907297708865158</v>
      </c>
      <c r="G212" s="170">
        <f t="shared" si="934"/>
        <v>-0.11651450467607778</v>
      </c>
      <c r="H212" s="139"/>
      <c r="I212" s="86"/>
      <c r="J212" s="79">
        <f t="shared" si="930"/>
        <v>5.1369999999999996</v>
      </c>
    </row>
    <row r="213" spans="5:10" x14ac:dyDescent="0.25">
      <c r="E213" s="170">
        <f t="shared" si="934"/>
        <v>0.76031658219466847</v>
      </c>
      <c r="F213" s="170">
        <f t="shared" si="934"/>
        <v>0.53016558055338681</v>
      </c>
      <c r="G213" s="170">
        <f t="shared" si="934"/>
        <v>-0.3752907566624954</v>
      </c>
      <c r="H213" s="139"/>
      <c r="I213" s="86"/>
      <c r="J213" s="79">
        <f t="shared" si="930"/>
        <v>5.2169999999999996</v>
      </c>
    </row>
    <row r="214" spans="5:10" x14ac:dyDescent="0.25">
      <c r="E214" s="170">
        <f t="shared" ref="E214:G233" si="935">E69*-1</f>
        <v>0.83644416685872924</v>
      </c>
      <c r="F214" s="170">
        <f t="shared" si="935"/>
        <v>0.47107744557929604</v>
      </c>
      <c r="G214" s="170">
        <f t="shared" si="935"/>
        <v>-0.28008426588170188</v>
      </c>
      <c r="H214" s="139"/>
      <c r="I214" s="86"/>
      <c r="J214" s="79">
        <f t="shared" si="930"/>
        <v>5.2220000000000004</v>
      </c>
    </row>
    <row r="215" spans="5:10" x14ac:dyDescent="0.25">
      <c r="E215" s="170">
        <f t="shared" si="935"/>
        <v>0.88840336124113484</v>
      </c>
      <c r="F215" s="170">
        <f t="shared" si="935"/>
        <v>0.43087732480300062</v>
      </c>
      <c r="G215" s="170">
        <f t="shared" si="935"/>
        <v>-0.15837991888513961</v>
      </c>
      <c r="H215" s="139"/>
      <c r="I215" s="86"/>
      <c r="J215" s="79">
        <f t="shared" si="930"/>
        <v>5.2270000000000003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9AFC55D-C2A7-4940-9602-81AE39C8D15A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B4BAE081-BE9F-4569-9A4F-59CF637FD7A0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1" t="str">
        <f>CONCATENATE(Settings!$C$19," ",Settings!$B$28)</f>
        <v>9.875  Job# --- Assy# --- Post Braze --- yy.mm.dd</v>
      </c>
      <c r="D1" s="991"/>
      <c r="E1" s="991"/>
      <c r="F1" s="991"/>
      <c r="G1" s="991"/>
      <c r="H1" s="991"/>
      <c r="I1" s="991"/>
      <c r="J1" s="991"/>
      <c r="K1" s="991"/>
      <c r="M1" s="107" t="s">
        <v>319</v>
      </c>
      <c r="N1" s="1308" t="s">
        <v>321</v>
      </c>
      <c r="O1" s="1308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4" t="str">
        <f>Settings!B28</f>
        <v xml:space="preserve"> Job# --- Assy# --- Post Braze --- yy.mm.dd</v>
      </c>
      <c r="C2" s="1305"/>
      <c r="D2" s="1305"/>
      <c r="E2" s="1305"/>
      <c r="F2" s="1305"/>
      <c r="G2" s="1305"/>
      <c r="H2" s="1305"/>
      <c r="I2" s="1305"/>
      <c r="J2" s="1305"/>
      <c r="K2" s="1306"/>
      <c r="L2" s="990" t="str" cm="1">
        <f t="array" ref="L2">IF(OR($K$9:$K$150="Undefined"),"Undefined Element","")</f>
        <v/>
      </c>
      <c r="M2" s="1301" t="s">
        <v>0</v>
      </c>
      <c r="N2" s="1051" t="s">
        <v>1</v>
      </c>
      <c r="O2" s="1052"/>
      <c r="P2" s="1052"/>
      <c r="Q2" s="1052"/>
      <c r="R2" s="1052"/>
      <c r="S2" s="1052"/>
      <c r="T2" s="1052"/>
      <c r="U2" s="1052"/>
      <c r="V2" s="1052"/>
      <c r="W2" s="1052"/>
      <c r="X2" s="1052"/>
      <c r="Y2" s="1053"/>
      <c r="Z2" s="1051" t="s">
        <v>2</v>
      </c>
      <c r="AA2" s="1052"/>
      <c r="AB2" s="1052"/>
      <c r="AC2" s="1052"/>
      <c r="AD2" s="1052"/>
      <c r="AE2" s="1052"/>
      <c r="AF2" s="1052"/>
      <c r="AG2" s="1052"/>
      <c r="AH2" s="1052"/>
      <c r="AI2" s="1052"/>
      <c r="AJ2" s="1052"/>
      <c r="AK2" s="1052"/>
      <c r="AL2" s="1052"/>
      <c r="AM2" s="1052"/>
      <c r="AN2" s="1052"/>
      <c r="AO2" s="1052"/>
      <c r="AP2" s="1052"/>
      <c r="AQ2" s="1077"/>
      <c r="AS2" s="1059" t="s">
        <v>44</v>
      </c>
      <c r="AT2" s="1060"/>
      <c r="AV2" s="1298" t="str">
        <f>M2</f>
        <v>CS-Name</v>
      </c>
      <c r="AW2" s="1277"/>
      <c r="AX2" s="1277"/>
      <c r="AY2" s="1277"/>
      <c r="AZ2" s="1277"/>
      <c r="BA2" s="1277"/>
      <c r="BB2" s="1277"/>
      <c r="BC2" s="1278"/>
      <c r="BF2" s="1270" t="s">
        <v>322</v>
      </c>
      <c r="BG2" s="1271"/>
      <c r="BH2" s="1271"/>
      <c r="BI2" s="1271"/>
      <c r="BJ2" s="1271"/>
      <c r="BK2" s="1272"/>
      <c r="BM2" s="1260" t="s">
        <v>279</v>
      </c>
      <c r="BN2" s="982"/>
      <c r="BO2" s="982"/>
      <c r="BP2" s="983"/>
      <c r="BR2" s="1260" t="s">
        <v>279</v>
      </c>
      <c r="BS2" s="982"/>
      <c r="BT2" s="982"/>
      <c r="BU2" s="98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7"/>
      <c r="C3" s="998"/>
      <c r="D3" s="998"/>
      <c r="E3" s="998"/>
      <c r="F3" s="998"/>
      <c r="G3" s="998"/>
      <c r="H3" s="998"/>
      <c r="I3" s="998"/>
      <c r="J3" s="998"/>
      <c r="K3" s="999"/>
      <c r="L3" s="990"/>
      <c r="M3" s="1302"/>
      <c r="N3" s="1054"/>
      <c r="O3" s="1055"/>
      <c r="P3" s="1055"/>
      <c r="Q3" s="1055"/>
      <c r="R3" s="1055"/>
      <c r="S3" s="1055"/>
      <c r="T3" s="1055"/>
      <c r="U3" s="1055"/>
      <c r="V3" s="1055"/>
      <c r="W3" s="1055"/>
      <c r="X3" s="1055"/>
      <c r="Y3" s="1056"/>
      <c r="Z3" s="1099"/>
      <c r="AA3" s="1085"/>
      <c r="AB3" s="1085"/>
      <c r="AC3" s="1085"/>
      <c r="AD3" s="1085"/>
      <c r="AE3" s="1085"/>
      <c r="AF3" s="1085"/>
      <c r="AG3" s="1085"/>
      <c r="AH3" s="1085"/>
      <c r="AI3" s="1085"/>
      <c r="AJ3" s="1085"/>
      <c r="AK3" s="1085"/>
      <c r="AL3" s="1085"/>
      <c r="AM3" s="1085"/>
      <c r="AN3" s="1085"/>
      <c r="AO3" s="1085"/>
      <c r="AP3" s="1085"/>
      <c r="AQ3" s="1100"/>
      <c r="AS3" s="466">
        <v>100</v>
      </c>
      <c r="AT3" s="463" t="s">
        <v>45</v>
      </c>
      <c r="AV3" s="1299"/>
      <c r="AW3" s="1279"/>
      <c r="AX3" s="1279"/>
      <c r="AY3" s="1279"/>
      <c r="AZ3" s="1279"/>
      <c r="BA3" s="1279"/>
      <c r="BB3" s="1279"/>
      <c r="BC3" s="128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8" t="s">
        <v>316</v>
      </c>
      <c r="C4" s="872"/>
      <c r="D4" s="872"/>
      <c r="E4" s="872"/>
      <c r="F4" s="872"/>
      <c r="G4" s="872"/>
      <c r="H4" s="872"/>
      <c r="I4" s="872"/>
      <c r="J4" s="872"/>
      <c r="K4" s="1307"/>
      <c r="L4" s="990"/>
      <c r="M4" s="1302"/>
      <c r="N4" s="1018" t="s">
        <v>3</v>
      </c>
      <c r="O4" s="1013"/>
      <c r="P4" s="1013"/>
      <c r="Q4" s="1012" t="s">
        <v>4</v>
      </c>
      <c r="R4" s="1013"/>
      <c r="S4" s="1034"/>
      <c r="T4" s="1028" t="str">
        <f>N4</f>
        <v>Cartesian Coordinates</v>
      </c>
      <c r="U4" s="995"/>
      <c r="V4" s="1029"/>
      <c r="W4" s="995" t="str">
        <f>Q4</f>
        <v>Polar XY; Cartesian Z</v>
      </c>
      <c r="X4" s="995"/>
      <c r="Y4" s="996"/>
      <c r="Z4" s="1309" t="s">
        <v>3</v>
      </c>
      <c r="AA4" s="1284"/>
      <c r="AB4" s="1284"/>
      <c r="AC4" s="1284"/>
      <c r="AD4" s="1284"/>
      <c r="AE4" s="1284"/>
      <c r="AF4" s="1284"/>
      <c r="AG4" s="1283" t="s">
        <v>31</v>
      </c>
      <c r="AH4" s="1284"/>
      <c r="AI4" s="1284"/>
      <c r="AJ4" s="1285"/>
      <c r="AK4" s="1263" t="s">
        <v>32</v>
      </c>
      <c r="AL4" s="1264"/>
      <c r="AM4" s="1264"/>
      <c r="AN4" s="1264"/>
      <c r="AO4" s="1264"/>
      <c r="AP4" s="1264"/>
      <c r="AQ4" s="1265"/>
      <c r="AS4" s="467">
        <v>125</v>
      </c>
      <c r="AT4" s="464" t="s">
        <v>46</v>
      </c>
      <c r="AV4" s="1299"/>
      <c r="AW4" s="1281"/>
      <c r="AX4" s="1281"/>
      <c r="AY4" s="1281"/>
      <c r="AZ4" s="1282"/>
      <c r="BA4" s="1281" t="str">
        <f>Z2</f>
        <v>PDC Orientation</v>
      </c>
      <c r="BB4" s="1281"/>
      <c r="BC4" s="128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7" t="s">
        <v>381</v>
      </c>
      <c r="IF4" s="897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7" t="str">
        <f>CONCATENATE(B7," ; ",E7," ; ",H8)</f>
        <v>Absolute-Point ; Incremental-Vector Point ; Radius</v>
      </c>
      <c r="C5" s="998"/>
      <c r="D5" s="998"/>
      <c r="E5" s="998"/>
      <c r="F5" s="998"/>
      <c r="G5" s="998"/>
      <c r="H5" s="998"/>
      <c r="I5" s="998"/>
      <c r="J5" s="998"/>
      <c r="K5" s="999"/>
      <c r="L5" s="843"/>
      <c r="M5" s="1302"/>
      <c r="N5" s="1039" t="s">
        <v>5</v>
      </c>
      <c r="O5" s="977"/>
      <c r="P5" s="977"/>
      <c r="Q5" s="976" t="s">
        <v>6</v>
      </c>
      <c r="R5" s="977"/>
      <c r="S5" s="978"/>
      <c r="T5" s="1044" t="str">
        <f>CONCATENATE("Relative to ",M8,"'s θ &amp; Z; Z Axis")</f>
        <v>Relative to 's θ &amp; Z; Z Axis</v>
      </c>
      <c r="U5" s="1020"/>
      <c r="V5" s="1071"/>
      <c r="W5" s="1020" t="str">
        <f>CONCATENATE("Relative to ",M8,"'s θ &amp; Z; Z Axis")</f>
        <v>Relative to 's θ &amp; Z; Z Axis</v>
      </c>
      <c r="X5" s="1020"/>
      <c r="Y5" s="1030"/>
      <c r="Z5" s="1019" t="str">
        <f>N5</f>
        <v>Relative to World_CS</v>
      </c>
      <c r="AA5" s="1020"/>
      <c r="AB5" s="1020"/>
      <c r="AC5" s="1020"/>
      <c r="AD5" s="1020"/>
      <c r="AE5" s="1020"/>
      <c r="AF5" s="1020"/>
      <c r="AG5" s="1044" t="str">
        <f>N5</f>
        <v>Relative to World_CS</v>
      </c>
      <c r="AH5" s="1020"/>
      <c r="AI5" s="1020"/>
      <c r="AJ5" s="1045"/>
      <c r="AK5" s="1082" t="s">
        <v>7</v>
      </c>
      <c r="AL5" s="977"/>
      <c r="AM5" s="977"/>
      <c r="AN5" s="977"/>
      <c r="AO5" s="977"/>
      <c r="AP5" s="977"/>
      <c r="AQ5" s="978"/>
      <c r="AS5" s="171">
        <f>(((AS4*12)/60)/AS3)</f>
        <v>0.25</v>
      </c>
      <c r="AT5" s="464" t="s">
        <v>47</v>
      </c>
      <c r="AV5" s="1299"/>
      <c r="AW5" s="1028" t="str">
        <f>W4</f>
        <v>Polar XY; Cartesian Z</v>
      </c>
      <c r="AX5" s="995"/>
      <c r="AY5" s="995"/>
      <c r="AZ5" s="1239" t="s">
        <v>104</v>
      </c>
      <c r="BA5" s="995" t="str">
        <f>AK4</f>
        <v>Polar Z Projection → XZ Plane</v>
      </c>
      <c r="BB5" s="995"/>
      <c r="BC5" s="1104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0"/>
      <c r="C6" s="1001"/>
      <c r="D6" s="1001"/>
      <c r="E6" s="1001"/>
      <c r="F6" s="1001"/>
      <c r="G6" s="1001"/>
      <c r="H6" s="1001"/>
      <c r="I6" s="1001"/>
      <c r="J6" s="1001"/>
      <c r="K6" s="1002"/>
      <c r="L6" s="990" t="str" cm="1">
        <f t="array" ref="L6">IF(OR($K$9:$K$150="Inactive"),"Inactive Element","")</f>
        <v/>
      </c>
      <c r="M6" s="1302"/>
      <c r="N6" s="1035" t="s">
        <v>8</v>
      </c>
      <c r="O6" s="1037" t="s">
        <v>9</v>
      </c>
      <c r="P6" s="974" t="s">
        <v>10</v>
      </c>
      <c r="Q6" s="1040" t="s">
        <v>11</v>
      </c>
      <c r="R6" s="1041"/>
      <c r="S6" s="1031" t="s">
        <v>10</v>
      </c>
      <c r="T6" s="1067" t="str">
        <f>N6</f>
        <v>X</v>
      </c>
      <c r="U6" s="1069" t="str">
        <f>O6</f>
        <v>Y</v>
      </c>
      <c r="V6" s="1026" t="str">
        <f>P6</f>
        <v>Z</v>
      </c>
      <c r="W6" s="1016" t="str">
        <f>Q6</f>
        <v>Projected XY</v>
      </c>
      <c r="X6" s="1017"/>
      <c r="Y6" s="1065" t="str">
        <f>S6</f>
        <v>Z</v>
      </c>
      <c r="Z6" s="1047" t="s">
        <v>12</v>
      </c>
      <c r="AA6" s="1007"/>
      <c r="AB6" s="1007"/>
      <c r="AC6" s="1048"/>
      <c r="AD6" s="1012" t="s">
        <v>13</v>
      </c>
      <c r="AE6" s="1013"/>
      <c r="AF6" s="1013"/>
      <c r="AG6" s="1046" t="s">
        <v>7</v>
      </c>
      <c r="AH6" s="1013"/>
      <c r="AI6" s="1012" t="s">
        <v>14</v>
      </c>
      <c r="AJ6" s="1034"/>
      <c r="AK6" s="1028" t="str">
        <f>AD6</f>
        <v>Unit Vector</v>
      </c>
      <c r="AL6" s="995"/>
      <c r="AM6" s="1104"/>
      <c r="AN6" s="34" t="s">
        <v>15</v>
      </c>
      <c r="AO6" s="35" t="s">
        <v>16</v>
      </c>
      <c r="AP6" s="737" t="s">
        <v>17</v>
      </c>
      <c r="AQ6" s="1310" t="s">
        <v>108</v>
      </c>
      <c r="AS6" s="172">
        <f>(AS5/360)</f>
        <v>6.9444444444444447E-4</v>
      </c>
      <c r="AT6" s="465" t="s">
        <v>48</v>
      </c>
      <c r="AV6" s="1299"/>
      <c r="AW6" s="1044" t="str">
        <f>W5</f>
        <v>Relative to 's θ &amp; Z; Z Axis</v>
      </c>
      <c r="AX6" s="1020"/>
      <c r="AY6" s="1020"/>
      <c r="AZ6" s="1295"/>
      <c r="BA6" s="1020" t="str">
        <f>AK5</f>
        <v>Vector Along X Axis</v>
      </c>
      <c r="BB6" s="1020"/>
      <c r="BC6" s="1045"/>
      <c r="BD6" s="468"/>
      <c r="BF6" s="461">
        <f>SUM(AZ9:AZ150)</f>
        <v>0</v>
      </c>
      <c r="BG6" s="1288" t="s">
        <v>318</v>
      </c>
      <c r="BH6" s="1288"/>
      <c r="BI6" s="1288"/>
      <c r="BJ6" s="1288"/>
      <c r="BK6" s="1288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1" t="s">
        <v>40</v>
      </c>
      <c r="C7" s="1022"/>
      <c r="D7" s="1023"/>
      <c r="E7" s="1024" t="s">
        <v>41</v>
      </c>
      <c r="F7" s="1022"/>
      <c r="G7" s="1025"/>
      <c r="H7" s="895" t="s">
        <v>314</v>
      </c>
      <c r="I7" s="915"/>
      <c r="J7" s="896"/>
      <c r="K7" s="539"/>
      <c r="L7" s="990"/>
      <c r="M7" s="1303"/>
      <c r="N7" s="1036"/>
      <c r="O7" s="1038"/>
      <c r="P7" s="975"/>
      <c r="Q7" s="36" t="s">
        <v>18</v>
      </c>
      <c r="R7" s="2" t="s">
        <v>19</v>
      </c>
      <c r="S7" s="1032"/>
      <c r="T7" s="1068"/>
      <c r="U7" s="1070"/>
      <c r="V7" s="1027"/>
      <c r="W7" s="37" t="str">
        <f>Q7</f>
        <v>&lt; θ°</v>
      </c>
      <c r="X7" s="27" t="str">
        <f>R7</f>
        <v>r</v>
      </c>
      <c r="Y7" s="1066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1"/>
      <c r="AS7" s="1286" t="s">
        <v>54</v>
      </c>
      <c r="AT7" s="1261" t="s">
        <v>53</v>
      </c>
      <c r="AV7" s="1299"/>
      <c r="AW7" s="1294" t="str">
        <f>$W$6</f>
        <v>Projected XY</v>
      </c>
      <c r="AX7" s="1017"/>
      <c r="AY7" s="1296" t="str">
        <f>$Y$6</f>
        <v>Z</v>
      </c>
      <c r="AZ7" s="1295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8"/>
      <c r="BH7" s="1288"/>
      <c r="BI7" s="1288"/>
      <c r="BJ7" s="1288"/>
      <c r="BK7" s="1288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1" t="s">
        <v>33</v>
      </c>
      <c r="IH7" s="1231" t="s">
        <v>385</v>
      </c>
      <c r="II7" s="917" t="s">
        <v>333</v>
      </c>
      <c r="IJ7" s="918"/>
      <c r="IK7" s="918"/>
      <c r="IL7" s="915"/>
      <c r="IM7" s="915"/>
      <c r="IN7" s="915"/>
      <c r="IO7" s="896"/>
      <c r="IP7" s="895" t="s">
        <v>329</v>
      </c>
      <c r="IQ7" s="915"/>
      <c r="IR7" s="915"/>
      <c r="IS7" s="915"/>
      <c r="IT7" s="915"/>
      <c r="IU7" s="895" t="s">
        <v>328</v>
      </c>
      <c r="IV7" s="915"/>
      <c r="IW7" s="915"/>
      <c r="IX7" s="915"/>
      <c r="IY7" s="896"/>
      <c r="JA7" s="784"/>
      <c r="JB7" s="1259" t="s">
        <v>364</v>
      </c>
      <c r="JC7" s="979"/>
      <c r="JD7" s="979"/>
      <c r="JE7" s="98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0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7"/>
      <c r="AT8" s="1262"/>
      <c r="AV8" s="1300"/>
      <c r="AW8" s="46" t="str">
        <f>$W$7</f>
        <v>&lt; θ°</v>
      </c>
      <c r="AX8" s="27" t="str">
        <f>$X$7</f>
        <v>r</v>
      </c>
      <c r="AY8" s="1297"/>
      <c r="AZ8" s="1240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3"/>
      <c r="IH8" s="1232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1" t="s">
        <v>365</v>
      </c>
      <c r="JC19" s="982"/>
      <c r="JD19" s="982"/>
      <c r="JE19" s="982"/>
      <c r="JF19" s="982"/>
      <c r="JG19" s="982"/>
      <c r="JH19" s="982"/>
      <c r="JI19" s="98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4" t="s">
        <v>369</v>
      </c>
      <c r="JC20" s="985"/>
      <c r="JD20" s="985"/>
      <c r="JE20" s="985"/>
      <c r="JF20" s="1234" t="s">
        <v>370</v>
      </c>
      <c r="JG20" s="1235"/>
      <c r="JH20" s="1235"/>
      <c r="JI20" s="1236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6"/>
      <c r="JC21" s="987"/>
      <c r="JD21" s="987"/>
      <c r="JE21" s="987"/>
      <c r="JF21" s="1237" t="s">
        <v>358</v>
      </c>
      <c r="JG21" s="1238"/>
      <c r="JH21" s="988" t="s">
        <v>371</v>
      </c>
      <c r="JI21" s="98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2" t="str">
        <f>$W$6</f>
        <v>Projected XY</v>
      </c>
      <c r="AX152" s="1293"/>
      <c r="AY152" s="1275" t="str">
        <f>$Y$6</f>
        <v>Z</v>
      </c>
      <c r="AZ152" s="127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6"/>
      <c r="AZ153" s="127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3" t="s">
        <v>42</v>
      </c>
      <c r="C157" s="1004"/>
      <c r="D157" s="1004"/>
      <c r="E157" s="1004"/>
      <c r="F157" s="1004"/>
      <c r="G157" s="1004"/>
      <c r="H157" s="1004"/>
      <c r="I157" s="1004"/>
      <c r="J157" s="1004"/>
      <c r="K157" s="1005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6"/>
      <c r="C158" s="1007"/>
      <c r="D158" s="1007"/>
      <c r="E158" s="1007"/>
      <c r="F158" s="1007"/>
      <c r="G158" s="1007"/>
      <c r="H158" s="1007"/>
      <c r="I158" s="1007"/>
      <c r="J158" s="1007"/>
      <c r="K158" s="1008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09"/>
      <c r="C159" s="1010"/>
      <c r="D159" s="1010"/>
      <c r="E159" s="1010"/>
      <c r="F159" s="1010"/>
      <c r="G159" s="1010"/>
      <c r="H159" s="1010"/>
      <c r="I159" s="1010"/>
      <c r="J159" s="1010"/>
      <c r="K159" s="1011"/>
      <c r="AQ159" s="166"/>
      <c r="BD159" s="468"/>
    </row>
    <row r="160" spans="1:259" ht="15" customHeight="1" x14ac:dyDescent="0.25">
      <c r="B160" s="997" t="str">
        <f>CONCATENATE(B162," ; ",E162," ; ",H163)</f>
        <v>Absolute-Point ; Incremental-Vector Point ; Radius</v>
      </c>
      <c r="C160" s="998"/>
      <c r="D160" s="998"/>
      <c r="E160" s="998"/>
      <c r="F160" s="998"/>
      <c r="G160" s="998"/>
      <c r="H160" s="998"/>
      <c r="I160" s="998"/>
      <c r="J160" s="998"/>
      <c r="K160" s="999"/>
      <c r="AQ160" s="166"/>
      <c r="BD160" s="468"/>
    </row>
    <row r="161" spans="2:56" ht="15" customHeight="1" x14ac:dyDescent="0.25">
      <c r="B161" s="1000"/>
      <c r="C161" s="1001"/>
      <c r="D161" s="1001"/>
      <c r="E161" s="1001"/>
      <c r="F161" s="1001"/>
      <c r="G161" s="1001"/>
      <c r="H161" s="1001"/>
      <c r="I161" s="1001"/>
      <c r="J161" s="1001"/>
      <c r="K161" s="1002"/>
      <c r="AQ161" s="166"/>
      <c r="BD161" s="468"/>
    </row>
    <row r="162" spans="2:56" ht="15" customHeight="1" x14ac:dyDescent="0.25">
      <c r="B162" s="1021" t="s">
        <v>40</v>
      </c>
      <c r="C162" s="1022"/>
      <c r="D162" s="1023"/>
      <c r="E162" s="1024" t="s">
        <v>41</v>
      </c>
      <c r="F162" s="1022"/>
      <c r="G162" s="1025"/>
      <c r="H162" s="895" t="s">
        <v>314</v>
      </c>
      <c r="I162" s="915"/>
      <c r="J162" s="896"/>
      <c r="K162" s="539"/>
      <c r="M162" s="1200" t="s">
        <v>313</v>
      </c>
      <c r="N162" s="1289"/>
      <c r="O162" s="1266" t="s">
        <v>292</v>
      </c>
      <c r="P162" s="1267"/>
      <c r="Q162" s="1268"/>
      <c r="R162" s="1269" t="s">
        <v>41</v>
      </c>
      <c r="S162" s="1267"/>
      <c r="T162" s="126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0"/>
      <c r="N163" s="129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1.1359999999999999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1.2070000000000001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1.216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1.2210000000000001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1.226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2.1150000000000002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2.125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2.13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2.1349999999999998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2.14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2.2149999999999999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2.2200000000000002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2.2250000000000001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3.1030000000000002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3.1059999999999999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3.109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3.1139999999999999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3.1190000000000002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3.1240000000000001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3.129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3.1339999999999999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3.1389999999999998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3.206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3.2090000000000001</v>
      </c>
      <c r="N199" s="869" t="str">
        <f>Assy.Model!K44</f>
        <v>Inactive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3.214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3.2189999999999999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3.2240000000000002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4.1020000000000003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4.1050000000000004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4.1079999999999997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4.1130000000000004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4.1180000000000003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4.1230000000000002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4.1280000000000001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4.133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4.1379999999999999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4.2080000000000002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4.2130000000000001</v>
      </c>
      <c r="N213" s="869" t="str">
        <f>Assy.Model!K58</f>
        <v>Inactive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4.218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4.2229999999999999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4.2279999999999998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5.1120000000000001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5.117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5.1219999999999999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5.1269999999999998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5.1319999999999997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5.1369999999999996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5.2169999999999996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5.2220000000000004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5.2270000000000003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2023-03-28T19:06:42Z</dcterms:modified>
</cp:coreProperties>
</file>