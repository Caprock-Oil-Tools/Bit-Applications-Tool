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6\"/>
    </mc:Choice>
  </mc:AlternateContent>
  <xr:revisionPtr revIDLastSave="0" documentId="13_ncr:1_{09BD70BB-5FE5-4EE8-881B-1292ACAAA83F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2" i="1" l="1"/>
  <c r="L121" i="1"/>
  <c r="L120" i="1"/>
  <c r="L119" i="1"/>
  <c r="L118" i="1"/>
  <c r="L117" i="1"/>
  <c r="L116" i="1"/>
  <c r="L106" i="1"/>
  <c r="L105" i="1"/>
  <c r="L104" i="1"/>
  <c r="L103" i="1"/>
  <c r="L102" i="1"/>
  <c r="L101" i="1"/>
  <c r="L100" i="1"/>
  <c r="L86" i="1"/>
  <c r="L85" i="1"/>
  <c r="L84" i="1"/>
  <c r="L83" i="1"/>
  <c r="L82" i="1"/>
  <c r="L81" i="1"/>
  <c r="L80" i="1"/>
  <c r="L69" i="1"/>
  <c r="L68" i="1"/>
  <c r="L67" i="1"/>
  <c r="L66" i="1"/>
  <c r="L65" i="1"/>
  <c r="L64" i="1"/>
  <c r="L63" i="1"/>
  <c r="L62" i="1"/>
  <c r="L48" i="1"/>
  <c r="L47" i="1"/>
  <c r="L46" i="1"/>
  <c r="L45" i="1"/>
  <c r="L44" i="1"/>
  <c r="L43" i="1"/>
  <c r="L42" i="1"/>
  <c r="L41" i="1"/>
  <c r="L30" i="1"/>
  <c r="L29" i="1"/>
  <c r="L28" i="1"/>
  <c r="L27" i="1"/>
  <c r="L26" i="1"/>
  <c r="L25" i="1"/>
  <c r="L24" i="1"/>
  <c r="L2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W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K119" i="1"/>
  <c r="IW119" i="1"/>
  <c r="IR119" i="1"/>
  <c r="IN119" i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129" i="1"/>
  <c r="IF73" i="1"/>
  <c r="IF49" i="1"/>
  <c r="IF138" i="1"/>
  <c r="IF10" i="1"/>
  <c r="IF150" i="1"/>
  <c r="IF148" i="1"/>
  <c r="IF127" i="1"/>
  <c r="IF15" i="1"/>
  <c r="IF128" i="1"/>
  <c r="IF9" i="1"/>
  <c r="IF147" i="1"/>
  <c r="IF142" i="1"/>
  <c r="IF143" i="1"/>
  <c r="IF137" i="1"/>
  <c r="IF91" i="1"/>
  <c r="IF135" i="1"/>
  <c r="IF109" i="1"/>
  <c r="IF145" i="1"/>
  <c r="IF37" i="1"/>
  <c r="IF88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12" i="1"/>
  <c r="IF50" i="1"/>
  <c r="IF71" i="1"/>
  <c r="IF56" i="1"/>
  <c r="IF133" i="1"/>
  <c r="IF149" i="1"/>
  <c r="IF87" i="1"/>
  <c r="IF130" i="1"/>
  <c r="IF90" i="1"/>
  <c r="IF132" i="1"/>
  <c r="IF32" i="1"/>
  <c r="IF110" i="1"/>
  <c r="IF125" i="1"/>
  <c r="IF55" i="1"/>
  <c r="IF72" i="1"/>
  <c r="IF144" i="1"/>
  <c r="IF70" i="1"/>
  <c r="IF139" i="1"/>
  <c r="IF126" i="1"/>
  <c r="IF38" i="1"/>
  <c r="IF57" i="1"/>
  <c r="IF140" i="1"/>
  <c r="IF14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111" i="1" l="1"/>
  <c r="IQ119" i="1"/>
  <c r="IQ75" i="1"/>
  <c r="IV69" i="1"/>
  <c r="IQ113" i="1"/>
  <c r="IV106" i="1"/>
  <c r="IV113" i="1"/>
  <c r="IQ121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IP119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5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AE102" i="1" s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8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7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112" i="1" l="1"/>
  <c r="IQ120" i="1"/>
  <c r="R90" i="1"/>
  <c r="X90" i="1" s="1"/>
  <c r="IQ112" i="1"/>
  <c r="IV105" i="1"/>
  <c r="IQ111" i="1"/>
  <c r="IV104" i="1"/>
  <c r="IV59" i="1"/>
  <c r="IQ68" i="1"/>
  <c r="AD86" i="1"/>
  <c r="AH86" i="1" s="1"/>
  <c r="IQ95" i="1"/>
  <c r="IV86" i="1"/>
  <c r="IQ94" i="1"/>
  <c r="IV85" i="1"/>
  <c r="IV98" i="1"/>
  <c r="IQ106" i="1"/>
  <c r="IV114" i="1"/>
  <c r="IQ122" i="1"/>
  <c r="IV75" i="1"/>
  <c r="IQ83" i="1"/>
  <c r="IV77" i="1"/>
  <c r="IQ85" i="1"/>
  <c r="IV76" i="1"/>
  <c r="IQ84" i="1"/>
  <c r="IV96" i="1"/>
  <c r="IQ104" i="1"/>
  <c r="AD102" i="1"/>
  <c r="AH102" i="1" s="1"/>
  <c r="IV74" i="1"/>
  <c r="IQ82" i="1"/>
  <c r="IV97" i="1"/>
  <c r="IQ105" i="1"/>
  <c r="IQ52" i="1"/>
  <c r="IV48" i="1"/>
  <c r="AQ121" i="1"/>
  <c r="IU121" i="1"/>
  <c r="IE121" i="1" s="1"/>
  <c r="IV95" i="1"/>
  <c r="IQ103" i="1"/>
  <c r="IQ93" i="1"/>
  <c r="IV84" i="1"/>
  <c r="AC102" i="1"/>
  <c r="IV60" i="1"/>
  <c r="IQ69" i="1"/>
  <c r="IV78" i="1"/>
  <c r="IQ86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1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103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IP83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7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6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8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P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20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4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4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P82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03" i="1" l="1"/>
  <c r="IU103" i="1"/>
  <c r="IE103" i="1" s="1"/>
  <c r="AQ120" i="1"/>
  <c r="IU120" i="1"/>
  <c r="IE120" i="1" s="1"/>
  <c r="IP28" i="1"/>
  <c r="IP118" i="1"/>
  <c r="AJ111" i="1"/>
  <c r="IU59" i="1"/>
  <c r="IE59" i="1" s="1"/>
  <c r="IP68" i="1"/>
  <c r="AI108" i="1"/>
  <c r="IU60" i="1"/>
  <c r="IE60" i="1" s="1"/>
  <c r="IP69" i="1"/>
  <c r="AQ119" i="1"/>
  <c r="IU119" i="1"/>
  <c r="IE119" i="1" s="1"/>
  <c r="IP52" i="1"/>
  <c r="IU48" i="1"/>
  <c r="IE48" i="1" s="1"/>
  <c r="IP117" i="1"/>
  <c r="AQ122" i="1"/>
  <c r="IU122" i="1"/>
  <c r="IE122" i="1" s="1"/>
  <c r="AG10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IL119" i="1" s="1"/>
  <c r="W102" i="1"/>
  <c r="W122" i="1"/>
  <c r="W131" i="1"/>
  <c r="W110" i="1"/>
  <c r="W127" i="1"/>
  <c r="W97" i="1"/>
  <c r="IL105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IL104" i="1" s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IL85" i="1" s="1"/>
  <c r="W78" i="1"/>
  <c r="IL86" i="1" s="1"/>
  <c r="W75" i="1"/>
  <c r="IL83" i="1" s="1"/>
  <c r="W76" i="1"/>
  <c r="IL84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IL69" i="1" s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IL48" i="1" s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7" i="1" l="1"/>
  <c r="IL120" i="1"/>
  <c r="IL23" i="1"/>
  <c r="IL106" i="1"/>
  <c r="IL103" i="1"/>
  <c r="IL121" i="1"/>
  <c r="IL122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48" i="1" s="1"/>
  <c r="AL38" i="1"/>
  <c r="AN38" i="1" s="1"/>
  <c r="IT47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5" i="1" l="1"/>
  <c r="IT83" i="1"/>
  <c r="IT95" i="1"/>
  <c r="IY86" i="1"/>
  <c r="IY96" i="1"/>
  <c r="IT104" i="1"/>
  <c r="IT93" i="1"/>
  <c r="IY84" i="1"/>
  <c r="IY98" i="1"/>
  <c r="IT106" i="1"/>
  <c r="IY113" i="1"/>
  <c r="IT121" i="1"/>
  <c r="IY60" i="1"/>
  <c r="IT69" i="1"/>
  <c r="IT111" i="1"/>
  <c r="IY104" i="1"/>
  <c r="IY111" i="1"/>
  <c r="IT119" i="1"/>
  <c r="IY76" i="1"/>
  <c r="IT84" i="1"/>
  <c r="IT94" i="1"/>
  <c r="IY85" i="1"/>
  <c r="IS94" i="1"/>
  <c r="IX85" i="1"/>
  <c r="IY97" i="1"/>
  <c r="IT105" i="1"/>
  <c r="IT112" i="1"/>
  <c r="IY105" i="1"/>
  <c r="IY114" i="1"/>
  <c r="IT122" i="1"/>
  <c r="IY112" i="1"/>
  <c r="IT120" i="1"/>
  <c r="IY95" i="1"/>
  <c r="IT103" i="1"/>
  <c r="IY77" i="1"/>
  <c r="IT85" i="1"/>
  <c r="IT113" i="1"/>
  <c r="IY106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AP121" i="1"/>
  <c r="AO121" i="1"/>
  <c r="IX121" i="1" s="1"/>
  <c r="IF121" i="1" s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AP77" i="1"/>
  <c r="AP78" i="1"/>
  <c r="AO78" i="1"/>
  <c r="IS86" i="1" s="1"/>
  <c r="AO75" i="1"/>
  <c r="AP75" i="1"/>
  <c r="AO76" i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48" i="1" s="1"/>
  <c r="AP39" i="1"/>
  <c r="AP37" i="1"/>
  <c r="AO37" i="1"/>
  <c r="AO38" i="1"/>
  <c r="IS47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0" i="1" l="1"/>
  <c r="IF60" i="1" s="1"/>
  <c r="IS69" i="1"/>
  <c r="IS93" i="1"/>
  <c r="IX84" i="1"/>
  <c r="IX75" i="1"/>
  <c r="IF75" i="1" s="1"/>
  <c r="IS83" i="1"/>
  <c r="IX113" i="1"/>
  <c r="IF113" i="1" s="1"/>
  <c r="IS121" i="1"/>
  <c r="IF86" i="1"/>
  <c r="IS95" i="1"/>
  <c r="IX86" i="1"/>
  <c r="IS52" i="1"/>
  <c r="IX48" i="1"/>
  <c r="IF48" i="1" s="1"/>
  <c r="IT29" i="1"/>
  <c r="IY47" i="1"/>
  <c r="IF47" i="1" s="1"/>
  <c r="IS111" i="1"/>
  <c r="IX104" i="1"/>
  <c r="IF104" i="1" s="1"/>
  <c r="IS113" i="1"/>
  <c r="IX106" i="1"/>
  <c r="IX77" i="1"/>
  <c r="IF77" i="1" s="1"/>
  <c r="IS85" i="1"/>
  <c r="IX112" i="1"/>
  <c r="IF112" i="1" s="1"/>
  <c r="IS120" i="1"/>
  <c r="IX96" i="1"/>
  <c r="IF96" i="1" s="1"/>
  <c r="IS104" i="1"/>
  <c r="IF106" i="1"/>
  <c r="IF84" i="1"/>
  <c r="IX97" i="1"/>
  <c r="IF97" i="1" s="1"/>
  <c r="IS105" i="1"/>
  <c r="IS46" i="1"/>
  <c r="IX114" i="1"/>
  <c r="IF114" i="1" s="1"/>
  <c r="IS122" i="1"/>
  <c r="IX98" i="1"/>
  <c r="IF98" i="1" s="1"/>
  <c r="IS106" i="1"/>
  <c r="IS112" i="1"/>
  <c r="IX105" i="1"/>
  <c r="IF105" i="1" s="1"/>
  <c r="IF85" i="1"/>
  <c r="IS75" i="1"/>
  <c r="IX69" i="1"/>
  <c r="IF69" i="1" s="1"/>
  <c r="IX76" i="1"/>
  <c r="IF76" i="1" s="1"/>
  <c r="IS84" i="1"/>
  <c r="IX111" i="1"/>
  <c r="IF111" i="1" s="1"/>
  <c r="IS119" i="1"/>
  <c r="IX95" i="1"/>
  <c r="IF95" i="1" s="1"/>
  <c r="IS103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<sst xmlns="http://schemas.openxmlformats.org/spreadsheetml/2006/main" count="734" uniqueCount="391">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</sst>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26" fillId="0" borderId="0" xfId="0" applyNumberFormat="1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4" t="s">
        <v>77</v>
      </c>
      <c r="D1" s="874"/>
      <c r="E1" s="874"/>
      <c r="F1" s="874"/>
      <c r="G1" s="874"/>
      <c r="H1" s="874"/>
      <c r="I1" s="874"/>
      <c r="J1" s="874"/>
      <c r="K1" s="87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6" t="s">
        <v>379</v>
      </c>
      <c r="AQ7" s="896"/>
      <c r="AR7" s="896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9">
        <v>9</v>
      </c>
      <c r="D9" s="893"/>
      <c r="E9" s="893"/>
      <c r="F9" s="893"/>
      <c r="G9" s="893"/>
      <c r="H9" s="893"/>
      <c r="I9" s="893"/>
      <c r="J9" s="893"/>
      <c r="K9" s="890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1"/>
      <c r="C10" s="912"/>
      <c r="D10" s="912"/>
      <c r="E10" s="912"/>
      <c r="F10" s="912"/>
      <c r="G10" s="912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7"/>
      <c r="B11" s="900" t="s">
        <v>33</v>
      </c>
      <c r="C11" s="905" t="s">
        <v>34</v>
      </c>
      <c r="D11" s="905"/>
      <c r="E11" s="904" t="s">
        <v>39</v>
      </c>
      <c r="F11" s="900" t="s">
        <v>35</v>
      </c>
      <c r="G11" s="900" t="s">
        <v>36</v>
      </c>
      <c r="H11" s="900" t="s">
        <v>43</v>
      </c>
      <c r="I11" s="891" t="s">
        <v>67</v>
      </c>
      <c r="J11" s="905" t="s">
        <v>56</v>
      </c>
      <c r="K11" s="905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4" t="s">
        <v>347</v>
      </c>
      <c r="AN11" s="893"/>
      <c r="AO11" s="893"/>
      <c r="AP11" s="893"/>
      <c r="AQ11" s="893"/>
      <c r="AR11" s="915"/>
      <c r="AS11" s="922" t="s">
        <v>354</v>
      </c>
      <c r="AT11" s="923"/>
      <c r="AU11" s="923"/>
      <c r="AV11" s="924"/>
      <c r="BC11" s="470"/>
    </row>
    <row r="12" spans="1:55" ht="15.75" thickBot="1" x14ac:dyDescent="0.3">
      <c r="A12" s="906"/>
      <c r="B12" s="901"/>
      <c r="C12" s="48" t="s">
        <v>8</v>
      </c>
      <c r="D12" s="49" t="s">
        <v>10</v>
      </c>
      <c r="E12" s="901"/>
      <c r="F12" s="901"/>
      <c r="G12" s="901"/>
      <c r="H12" s="901"/>
      <c r="I12" s="892"/>
      <c r="J12" s="53" t="s">
        <v>8</v>
      </c>
      <c r="K12" s="54" t="s">
        <v>10</v>
      </c>
      <c r="M12" s="31"/>
      <c r="N12" s="31"/>
      <c r="O12" s="883" t="s">
        <v>46</v>
      </c>
      <c r="P12" s="884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889"/>
      <c r="AF12" s="877" t="s">
        <v>56</v>
      </c>
      <c r="AG12" s="878"/>
      <c r="AH12" s="31"/>
      <c r="AK12" s="897" t="s">
        <v>355</v>
      </c>
      <c r="AL12" s="913"/>
      <c r="AM12" s="916" t="s">
        <v>352</v>
      </c>
      <c r="AN12" s="917"/>
      <c r="AO12" s="898"/>
      <c r="AP12" s="897" t="s">
        <v>380</v>
      </c>
      <c r="AQ12" s="898"/>
      <c r="AR12" s="802" t="s">
        <v>378</v>
      </c>
      <c r="AS12" s="919" t="s">
        <v>352</v>
      </c>
      <c r="AT12" s="898"/>
      <c r="AU12" s="920" t="s">
        <v>353</v>
      </c>
      <c r="AV12" s="921"/>
      <c r="AW12" s="925" t="s">
        <v>351</v>
      </c>
      <c r="AX12" s="926"/>
      <c r="AZ12" s="897" t="s">
        <v>60</v>
      </c>
      <c r="BA12" s="898"/>
      <c r="BC12" s="918" t="s">
        <v>383</v>
      </c>
    </row>
    <row r="13" spans="1:55" ht="15.75" thickBot="1" x14ac:dyDescent="0.3">
      <c r="A13" s="64" t="s">
        <v>57</v>
      </c>
      <c r="B13" s="907" t="s">
        <v>97</v>
      </c>
      <c r="C13" s="909" t="str">
        <f>SUBSTITUTE(ADDRESS(1,COLUMN(Assy.Model!X9),4),"1","")</f>
        <v>X</v>
      </c>
      <c r="D13" s="101" t="str">
        <f>SUBSTITUTE(ADDRESS(1,COLUMN(Assy.Model!Y9),4),"1","")</f>
        <v>Y</v>
      </c>
      <c r="E13" s="894" t="str">
        <f>SUBSTITUTE(ADDRESS(1,COLUMN(Assy.Model!H9),4),"1","")</f>
        <v>H</v>
      </c>
      <c r="F13" s="894" t="str">
        <f>SUBSTITUTE(ADDRESS(1,COLUMN(Assy.Model!AN9),4),"1","")</f>
        <v>AN</v>
      </c>
      <c r="G13" s="894" t="str">
        <f>SUBSTITUTE(ADDRESS(1,COLUMN(Assy.Model!AO9),4),"1","")</f>
        <v>AO</v>
      </c>
      <c r="H13" s="894" t="str">
        <f>SUBSTITUTE(ADDRESS(1,COLUMN(Assy.Model!AO9),4),"1","")</f>
        <v>AO</v>
      </c>
      <c r="I13" s="894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5"/>
      <c r="P13" s="88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8"/>
    </row>
    <row r="14" spans="1:55" x14ac:dyDescent="0.25">
      <c r="A14" s="62" t="s">
        <v>58</v>
      </c>
      <c r="B14" s="908"/>
      <c r="C14" s="910"/>
      <c r="D14" s="102" t="str">
        <f>SUBSTITUTE(ADDRESS(1,COLUMN(Assy.Model!AT9),4),"1","")</f>
        <v>AT</v>
      </c>
      <c r="E14" s="895"/>
      <c r="F14" s="895"/>
      <c r="G14" s="895"/>
      <c r="H14" s="895"/>
      <c r="I14" s="895"/>
      <c r="J14" s="91">
        <v>0</v>
      </c>
      <c r="K14" s="92">
        <v>0</v>
      </c>
      <c r="L14" s="31"/>
      <c r="M14" s="190">
        <v>6.25E-2</v>
      </c>
      <c r="N14" s="31">
        <v>32</v>
      </c>
      <c r="O14" s="88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14.75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9" t="s">
        <v>64</v>
      </c>
      <c r="C21" s="893"/>
      <c r="D21" s="893"/>
      <c r="E21" s="893"/>
      <c r="F21" s="890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7"/>
      <c r="C22" s="889" t="s">
        <v>63</v>
      </c>
      <c r="D22" s="890"/>
      <c r="E22" s="891" t="s">
        <v>60</v>
      </c>
      <c r="F22" s="891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8"/>
      <c r="C23" s="57" t="s">
        <v>8</v>
      </c>
      <c r="D23" s="57" t="s">
        <v>9</v>
      </c>
      <c r="E23" s="892"/>
      <c r="F23" s="892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9">
        <v>0</v>
      </c>
      <c r="E24" s="879">
        <v>2</v>
      </c>
      <c r="F24" s="87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7.375</v>
      </c>
      <c r="D25" s="880"/>
      <c r="E25" s="880"/>
      <c r="F25" s="88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5" t="s">
        <v>311</v>
      </c>
      <c r="C27" s="875"/>
      <c r="D27" s="875"/>
      <c r="E27" s="875"/>
      <c r="F27" s="87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6" t="s">
        <v>390</v>
      </c>
      <c r="C28" s="876"/>
      <c r="D28" s="876"/>
      <c r="E28" s="876"/>
      <c r="F28" s="876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3" t="s">
        <v>95</v>
      </c>
      <c r="D3" s="893"/>
      <c r="E3" s="893"/>
      <c r="F3" s="893"/>
      <c r="G3" s="893"/>
      <c r="H3" s="893"/>
      <c r="I3" s="893"/>
      <c r="J3" s="893"/>
      <c r="K3" s="915"/>
      <c r="L3" s="973"/>
      <c r="M3" s="893"/>
      <c r="N3" s="893"/>
      <c r="O3" s="893"/>
      <c r="P3" s="893"/>
      <c r="Q3" s="893"/>
      <c r="R3" s="890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5" t="s">
        <v>86</v>
      </c>
      <c r="C4" s="956" t="s">
        <v>82</v>
      </c>
      <c r="D4" s="893" t="s">
        <v>83</v>
      </c>
      <c r="E4" s="893"/>
      <c r="F4" s="893"/>
      <c r="G4" s="893"/>
      <c r="H4" s="893"/>
      <c r="I4" s="893"/>
      <c r="J4" s="893"/>
      <c r="K4" s="893"/>
      <c r="L4" s="150" t="s">
        <v>91</v>
      </c>
      <c r="M4" s="889" t="s">
        <v>94</v>
      </c>
      <c r="N4" s="893"/>
      <c r="O4" s="893"/>
      <c r="P4" s="915"/>
      <c r="Q4" s="893" t="s">
        <v>52</v>
      </c>
      <c r="R4" s="890"/>
      <c r="S4" s="107"/>
      <c r="T4" s="889">
        <v>350</v>
      </c>
      <c r="U4" s="893"/>
      <c r="V4" s="893" t="s">
        <v>76</v>
      </c>
      <c r="W4" s="893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6"/>
      <c r="C5" s="957"/>
      <c r="D5" s="941" t="s">
        <v>85</v>
      </c>
      <c r="E5" s="959" t="s">
        <v>89</v>
      </c>
      <c r="F5" s="905" t="s">
        <v>34</v>
      </c>
      <c r="G5" s="905"/>
      <c r="H5" s="904" t="s">
        <v>39</v>
      </c>
      <c r="I5" s="900" t="s">
        <v>35</v>
      </c>
      <c r="J5" s="900" t="s">
        <v>36</v>
      </c>
      <c r="K5" s="967" t="s">
        <v>67</v>
      </c>
      <c r="L5" s="151" t="s">
        <v>92</v>
      </c>
      <c r="M5" s="891" t="s">
        <v>90</v>
      </c>
      <c r="N5" s="891" t="s">
        <v>47</v>
      </c>
      <c r="O5" s="969" t="s">
        <v>84</v>
      </c>
      <c r="P5" s="970"/>
      <c r="Q5" s="971" t="s">
        <v>84</v>
      </c>
      <c r="R5" s="972"/>
      <c r="S5" s="107"/>
      <c r="T5" s="883" t="s">
        <v>46</v>
      </c>
      <c r="U5" s="974"/>
      <c r="V5" s="926" t="s">
        <v>45</v>
      </c>
      <c r="W5" s="878"/>
      <c r="X5" s="878"/>
      <c r="Y5" s="878"/>
      <c r="Z5" s="878"/>
      <c r="AA5" s="878"/>
      <c r="AB5" s="878"/>
      <c r="AC5" s="878"/>
      <c r="AD5" s="878"/>
      <c r="AE5" s="878"/>
      <c r="AF5" s="878"/>
      <c r="AG5" s="878"/>
      <c r="AH5" s="878"/>
      <c r="AI5" s="878"/>
      <c r="AJ5" s="878"/>
      <c r="AK5" s="31"/>
      <c r="AL5" s="31"/>
    </row>
    <row r="6" spans="2:38" ht="15" customHeight="1" thickBot="1" x14ac:dyDescent="0.3">
      <c r="B6" s="937"/>
      <c r="C6" s="958"/>
      <c r="D6" s="942"/>
      <c r="E6" s="960"/>
      <c r="F6" s="108" t="s">
        <v>8</v>
      </c>
      <c r="G6" s="109" t="s">
        <v>10</v>
      </c>
      <c r="H6" s="955"/>
      <c r="I6" s="955"/>
      <c r="J6" s="955"/>
      <c r="K6" s="968"/>
      <c r="L6" s="152" t="s">
        <v>93</v>
      </c>
      <c r="M6" s="966"/>
      <c r="N6" s="96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8"/>
      <c r="U6" s="97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3">
        <f>ROW(Assy.Model!B9)</f>
        <v>9</v>
      </c>
      <c r="D7" s="932" t="str">
        <f>SUBSTITUTE(ADDRESS(1,COLUMN(Assy.Model!B9),4),"1","")</f>
        <v>B</v>
      </c>
      <c r="E7" s="946" t="str">
        <f>SUBSTITUTE(ADDRESS(1,COLUMN(Assy.Model!M9),4),"1","")</f>
        <v>M</v>
      </c>
      <c r="F7" s="949" t="str">
        <f>SUBSTITUTE(ADDRESS(1,COLUMN(Assy.Model!X9),4),"1","")</f>
        <v>X</v>
      </c>
      <c r="G7" s="938" t="str">
        <f>SUBSTITUTE(ADDRESS(1,COLUMN(Assy.Model!AT9),4),"1","")</f>
        <v>AT</v>
      </c>
      <c r="H7" s="952" t="str">
        <f>SUBSTITUTE(ADDRESS(1,COLUMN(Assy.Model!H9),4),"1","")</f>
        <v>H</v>
      </c>
      <c r="I7" s="952" t="str">
        <f>SUBSTITUTE(ADDRESS(1,COLUMN(Assy.Model!AN9),4),"1","")</f>
        <v>AN</v>
      </c>
      <c r="J7" s="952" t="str">
        <f>SUBSTITUTE(ADDRESS(1,COLUMN(Assy.Model!AO9),4),"1","")</f>
        <v>AO</v>
      </c>
      <c r="K7" s="96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7" t="s">
        <v>81</v>
      </c>
      <c r="C8" s="944"/>
      <c r="D8" s="933"/>
      <c r="E8" s="947"/>
      <c r="F8" s="950"/>
      <c r="G8" s="939"/>
      <c r="H8" s="953"/>
      <c r="I8" s="953"/>
      <c r="J8" s="953"/>
      <c r="K8" s="962"/>
      <c r="L8" s="153" t="s">
        <v>93</v>
      </c>
      <c r="M8" s="96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7"/>
      <c r="C9" s="944"/>
      <c r="D9" s="933"/>
      <c r="E9" s="947"/>
      <c r="F9" s="950"/>
      <c r="G9" s="939"/>
      <c r="H9" s="953"/>
      <c r="I9" s="953"/>
      <c r="J9" s="953"/>
      <c r="K9" s="962"/>
      <c r="L9" s="153" t="s">
        <v>92</v>
      </c>
      <c r="M9" s="96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7"/>
      <c r="C10" s="944"/>
      <c r="D10" s="933"/>
      <c r="E10" s="947"/>
      <c r="F10" s="950"/>
      <c r="G10" s="939"/>
      <c r="H10" s="953"/>
      <c r="I10" s="953"/>
      <c r="J10" s="953"/>
      <c r="K10" s="962"/>
      <c r="L10" s="153" t="s">
        <v>92</v>
      </c>
      <c r="M10" s="96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7"/>
      <c r="C11" s="944"/>
      <c r="D11" s="933"/>
      <c r="E11" s="947"/>
      <c r="F11" s="950"/>
      <c r="G11" s="939"/>
      <c r="H11" s="953"/>
      <c r="I11" s="953"/>
      <c r="J11" s="953"/>
      <c r="K11" s="962"/>
      <c r="L11" s="153" t="s">
        <v>92</v>
      </c>
      <c r="M11" s="96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7"/>
      <c r="C12" s="944"/>
      <c r="D12" s="933"/>
      <c r="E12" s="947"/>
      <c r="F12" s="950"/>
      <c r="G12" s="939"/>
      <c r="H12" s="953"/>
      <c r="I12" s="953"/>
      <c r="J12" s="953"/>
      <c r="K12" s="962"/>
      <c r="L12" s="153" t="s">
        <v>92</v>
      </c>
      <c r="M12" s="96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7"/>
      <c r="C13" s="944"/>
      <c r="D13" s="933"/>
      <c r="E13" s="947"/>
      <c r="F13" s="950"/>
      <c r="G13" s="939"/>
      <c r="H13" s="953"/>
      <c r="I13" s="953"/>
      <c r="J13" s="953"/>
      <c r="K13" s="962"/>
      <c r="L13" s="153" t="s">
        <v>92</v>
      </c>
      <c r="M13" s="96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8"/>
      <c r="C14" s="945"/>
      <c r="D14" s="934"/>
      <c r="E14" s="948"/>
      <c r="F14" s="951"/>
      <c r="G14" s="940"/>
      <c r="H14" s="954"/>
      <c r="I14" s="954"/>
      <c r="J14" s="954"/>
      <c r="K14" s="963"/>
      <c r="L14" s="154" t="s">
        <v>93</v>
      </c>
      <c r="M14" s="96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A13" sqref="A13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3" t="str">
        <f>CONCATENATE(Settings!$C$19," ",Settings!$B$28)</f>
        <v>14.75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5" t="s">
        <v>315</v>
      </c>
      <c r="C2" s="1006"/>
      <c r="D2" s="1006"/>
      <c r="E2" s="1006"/>
      <c r="F2" s="1006"/>
      <c r="G2" s="1006"/>
      <c r="H2" s="1006"/>
      <c r="I2" s="1006"/>
      <c r="J2" s="1006"/>
      <c r="K2" s="1007"/>
      <c r="L2" s="992" t="str" cm="1">
        <f t="array" ref="L2">IF(OR($K$9:$K$150="Undefined"),"Undefined Element","")</f>
        <v/>
      </c>
      <c r="M2" s="1016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051" t="s">
        <v>0</v>
      </c>
      <c r="AW2" s="1053" t="s">
        <v>109</v>
      </c>
      <c r="AX2" s="1054"/>
      <c r="AY2" s="1054"/>
      <c r="AZ2" s="1054"/>
      <c r="BA2" s="1054"/>
      <c r="BB2" s="1054"/>
      <c r="BC2" s="1054"/>
      <c r="BD2" s="1054"/>
      <c r="BE2" s="1079"/>
      <c r="BF2" s="1085" t="s">
        <v>115</v>
      </c>
      <c r="BG2" s="1054"/>
      <c r="BH2" s="1054"/>
      <c r="BI2" s="1054"/>
      <c r="BJ2" s="1054"/>
      <c r="BK2" s="1054"/>
      <c r="BL2" s="1054"/>
      <c r="BM2" s="1054"/>
      <c r="BN2" s="1054"/>
      <c r="BO2" s="1054"/>
      <c r="BP2" s="1054"/>
      <c r="BQ2" s="1054"/>
      <c r="BR2" s="1054"/>
      <c r="BS2" s="1054"/>
      <c r="BT2" s="1054"/>
      <c r="BU2" s="1054"/>
      <c r="BV2" s="1054"/>
      <c r="BW2" s="1054"/>
      <c r="BX2" s="1054"/>
      <c r="BY2" s="1054"/>
      <c r="BZ2" s="1054"/>
      <c r="CA2" s="1054"/>
      <c r="CB2" s="1054"/>
      <c r="CC2" s="1054"/>
      <c r="CD2" s="1054"/>
      <c r="CE2" s="1054"/>
      <c r="CF2" s="1054"/>
      <c r="CG2" s="1054"/>
      <c r="CH2" s="1054"/>
      <c r="CI2" s="1054"/>
      <c r="CJ2" s="1054"/>
      <c r="CK2" s="1054"/>
      <c r="CL2" s="1054"/>
      <c r="CM2" s="1054"/>
      <c r="CN2" s="1054"/>
      <c r="CO2" s="1054"/>
      <c r="CP2" s="1054"/>
      <c r="CQ2" s="1054"/>
      <c r="CR2" s="1054"/>
      <c r="CS2" s="1054"/>
      <c r="CT2" s="1054"/>
      <c r="CU2" s="1054"/>
      <c r="CV2" s="1054"/>
      <c r="CW2" s="1054"/>
      <c r="CX2" s="1054"/>
      <c r="CY2" s="1054"/>
      <c r="CZ2" s="1054"/>
      <c r="DA2" s="1054"/>
      <c r="DB2" s="1054"/>
      <c r="DC2" s="1054"/>
      <c r="DD2" s="1054"/>
      <c r="DE2" s="1054"/>
      <c r="DF2" s="1054"/>
      <c r="DG2" s="1054"/>
      <c r="DH2" s="1054"/>
      <c r="DI2" s="1054"/>
      <c r="DJ2" s="1054"/>
      <c r="DK2" s="1054"/>
      <c r="DL2" s="1054"/>
      <c r="DM2" s="1054"/>
      <c r="DN2" s="1054"/>
      <c r="DO2" s="1054"/>
      <c r="DP2" s="1054"/>
      <c r="DQ2" s="1054"/>
      <c r="DR2" s="1054"/>
      <c r="DS2" s="1054"/>
      <c r="DT2" s="1054"/>
      <c r="DU2" s="1054"/>
      <c r="DV2" s="1054"/>
      <c r="DW2" s="1054"/>
      <c r="DX2" s="1054"/>
      <c r="DY2" s="1054"/>
      <c r="DZ2" s="1054"/>
      <c r="EA2" s="1054"/>
      <c r="EB2" s="1054"/>
      <c r="EC2" s="1054"/>
      <c r="ED2" s="1054"/>
      <c r="EE2" s="1054"/>
      <c r="EF2" s="1054"/>
      <c r="EG2" s="1054"/>
      <c r="EH2" s="1054"/>
      <c r="EI2" s="1054"/>
      <c r="EJ2" s="1054"/>
      <c r="EK2" s="1054"/>
      <c r="EL2" s="1054"/>
      <c r="EM2" s="1054"/>
      <c r="EN2" s="1054"/>
      <c r="EO2" s="1054"/>
      <c r="EP2" s="1054"/>
      <c r="EQ2" s="1054"/>
      <c r="ER2" s="1055"/>
      <c r="ES2" s="1211" t="s">
        <v>197</v>
      </c>
      <c r="ET2" s="1212"/>
      <c r="EU2" s="1212"/>
      <c r="EV2" s="1212"/>
      <c r="EW2" s="1212"/>
      <c r="EX2" s="1212"/>
      <c r="EY2" s="1212"/>
      <c r="EZ2" s="1212"/>
      <c r="FA2" s="1212"/>
      <c r="FB2" s="1212"/>
      <c r="FC2" s="1212"/>
      <c r="FD2" s="1212"/>
      <c r="FE2" s="1212"/>
      <c r="FF2" s="1213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2" t="s">
        <v>266</v>
      </c>
      <c r="HQ2" s="1162" t="str">
        <f>IFERROR(CONCATENATE("Sum of Lateral Forces = ",ROUND(HE3,0)," lbs @ ",ROUND(HF3,1),"° Relative to Blade 1"),"")</f>
        <v/>
      </c>
      <c r="HR2" s="1163"/>
      <c r="HS2" s="1163"/>
      <c r="HT2" s="1163"/>
      <c r="HU2" s="1163"/>
      <c r="HV2" s="1164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8"/>
      <c r="C3" s="1009"/>
      <c r="D3" s="1009"/>
      <c r="E3" s="1009"/>
      <c r="F3" s="1009"/>
      <c r="G3" s="1009"/>
      <c r="H3" s="1009"/>
      <c r="I3" s="1009"/>
      <c r="J3" s="1009"/>
      <c r="K3" s="1010"/>
      <c r="L3" s="992"/>
      <c r="M3" s="1008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056"/>
      <c r="AA3" s="1057"/>
      <c r="AB3" s="1057"/>
      <c r="AC3" s="1057"/>
      <c r="AD3" s="1057"/>
      <c r="AE3" s="1057"/>
      <c r="AF3" s="1057"/>
      <c r="AG3" s="1057"/>
      <c r="AH3" s="1057"/>
      <c r="AI3" s="1057"/>
      <c r="AJ3" s="1057"/>
      <c r="AK3" s="1057"/>
      <c r="AL3" s="1057"/>
      <c r="AM3" s="1057"/>
      <c r="AN3" s="1057"/>
      <c r="AO3" s="1057"/>
      <c r="AP3" s="1057"/>
      <c r="AQ3" s="1080"/>
      <c r="AS3" s="466">
        <v>100</v>
      </c>
      <c r="AT3" s="463" t="s">
        <v>45</v>
      </c>
      <c r="AV3" s="1052"/>
      <c r="AW3" s="1101"/>
      <c r="AX3" s="1087"/>
      <c r="AY3" s="1087"/>
      <c r="AZ3" s="1087"/>
      <c r="BA3" s="1087"/>
      <c r="BB3" s="1087"/>
      <c r="BC3" s="1087"/>
      <c r="BD3" s="1087"/>
      <c r="BE3" s="1102"/>
      <c r="BF3" s="1086"/>
      <c r="BG3" s="1087"/>
      <c r="BH3" s="1087"/>
      <c r="BI3" s="1087"/>
      <c r="BJ3" s="1087"/>
      <c r="BK3" s="1087"/>
      <c r="BL3" s="1087"/>
      <c r="BM3" s="1087"/>
      <c r="BN3" s="1087"/>
      <c r="BO3" s="1087"/>
      <c r="BP3" s="1087"/>
      <c r="BQ3" s="1087"/>
      <c r="BR3" s="1087"/>
      <c r="BS3" s="1087"/>
      <c r="BT3" s="1087"/>
      <c r="BU3" s="1087"/>
      <c r="BV3" s="1087"/>
      <c r="BW3" s="1087"/>
      <c r="BX3" s="1087"/>
      <c r="BY3" s="1087"/>
      <c r="BZ3" s="1087"/>
      <c r="CA3" s="1087"/>
      <c r="CB3" s="1087"/>
      <c r="CC3" s="1087"/>
      <c r="CD3" s="1087"/>
      <c r="CE3" s="1087"/>
      <c r="CF3" s="1087"/>
      <c r="CG3" s="1087"/>
      <c r="CH3" s="1087"/>
      <c r="CI3" s="1087"/>
      <c r="CJ3" s="1087"/>
      <c r="CK3" s="1087"/>
      <c r="CL3" s="1087"/>
      <c r="CM3" s="1087"/>
      <c r="CN3" s="1087"/>
      <c r="CO3" s="1087"/>
      <c r="CP3" s="1087"/>
      <c r="CQ3" s="1087"/>
      <c r="CR3" s="1087"/>
      <c r="CS3" s="1087"/>
      <c r="CT3" s="1087"/>
      <c r="CU3" s="1087"/>
      <c r="CV3" s="1087"/>
      <c r="CW3" s="1087"/>
      <c r="CX3" s="1087"/>
      <c r="CY3" s="1087"/>
      <c r="CZ3" s="1087"/>
      <c r="DA3" s="1087"/>
      <c r="DB3" s="1087"/>
      <c r="DC3" s="1087"/>
      <c r="DD3" s="1087"/>
      <c r="DE3" s="1087"/>
      <c r="DF3" s="1087"/>
      <c r="DG3" s="1087"/>
      <c r="DH3" s="1087"/>
      <c r="DI3" s="1087"/>
      <c r="DJ3" s="1087"/>
      <c r="DK3" s="1087"/>
      <c r="DL3" s="1087"/>
      <c r="DM3" s="1087"/>
      <c r="DN3" s="1087"/>
      <c r="DO3" s="1087"/>
      <c r="DP3" s="1087"/>
      <c r="DQ3" s="1087"/>
      <c r="DR3" s="1087"/>
      <c r="DS3" s="1087"/>
      <c r="DT3" s="1087"/>
      <c r="DU3" s="1087"/>
      <c r="DV3" s="1087"/>
      <c r="DW3" s="1087"/>
      <c r="DX3" s="1087"/>
      <c r="DY3" s="1087"/>
      <c r="DZ3" s="1087"/>
      <c r="EA3" s="1087"/>
      <c r="EB3" s="1087"/>
      <c r="EC3" s="1087"/>
      <c r="ED3" s="1087"/>
      <c r="EE3" s="1087"/>
      <c r="EF3" s="1087"/>
      <c r="EG3" s="1087"/>
      <c r="EH3" s="1087"/>
      <c r="EI3" s="1087"/>
      <c r="EJ3" s="1087"/>
      <c r="EK3" s="1087"/>
      <c r="EL3" s="1087"/>
      <c r="EM3" s="1087"/>
      <c r="EN3" s="1087"/>
      <c r="EO3" s="1087"/>
      <c r="EP3" s="1087"/>
      <c r="EQ3" s="1087"/>
      <c r="ER3" s="1088"/>
      <c r="ES3" s="1101"/>
      <c r="ET3" s="1087"/>
      <c r="EU3" s="1087"/>
      <c r="EV3" s="1087"/>
      <c r="EW3" s="1087"/>
      <c r="EX3" s="1087"/>
      <c r="EY3" s="1087"/>
      <c r="EZ3" s="1087"/>
      <c r="FA3" s="1087"/>
      <c r="FB3" s="1087"/>
      <c r="FC3" s="1087"/>
      <c r="FD3" s="1087"/>
      <c r="FE3" s="1087"/>
      <c r="FF3" s="1088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8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1"/>
      <c r="C4" s="1012"/>
      <c r="D4" s="1012"/>
      <c r="E4" s="1012"/>
      <c r="F4" s="1012"/>
      <c r="G4" s="1012"/>
      <c r="H4" s="1012"/>
      <c r="I4" s="1012"/>
      <c r="J4" s="1012"/>
      <c r="K4" s="1013"/>
      <c r="L4" s="992"/>
      <c r="M4" s="1008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$Q$4</f>
        <v>Polar XY; Cartesian Z</v>
      </c>
      <c r="X4" s="997"/>
      <c r="Y4" s="998"/>
      <c r="Z4" s="1020" t="s">
        <v>3</v>
      </c>
      <c r="AA4" s="1015"/>
      <c r="AB4" s="1015"/>
      <c r="AC4" s="1015"/>
      <c r="AD4" s="1015"/>
      <c r="AE4" s="1015"/>
      <c r="AF4" s="1015"/>
      <c r="AG4" s="1048" t="s">
        <v>31</v>
      </c>
      <c r="AH4" s="1015"/>
      <c r="AI4" s="1015"/>
      <c r="AJ4" s="1036"/>
      <c r="AK4" s="1081" t="s">
        <v>32</v>
      </c>
      <c r="AL4" s="1082"/>
      <c r="AM4" s="1082"/>
      <c r="AN4" s="1082"/>
      <c r="AO4" s="1082"/>
      <c r="AP4" s="1082"/>
      <c r="AQ4" s="1083"/>
      <c r="AS4" s="467">
        <v>125</v>
      </c>
      <c r="AT4" s="464" t="s">
        <v>46</v>
      </c>
      <c r="AV4" s="1052"/>
      <c r="AW4" s="1112" t="s">
        <v>112</v>
      </c>
      <c r="AX4" s="1094"/>
      <c r="AY4" s="884"/>
      <c r="AZ4" s="1098"/>
      <c r="BA4" s="1099"/>
      <c r="BB4" s="1103" t="s">
        <v>113</v>
      </c>
      <c r="BC4" s="997" t="str">
        <f>$Q$4</f>
        <v>Polar XY; Cartesian Z</v>
      </c>
      <c r="BD4" s="997"/>
      <c r="BE4" s="1106"/>
      <c r="BF4" s="1121" t="s">
        <v>129</v>
      </c>
      <c r="BG4" s="1122"/>
      <c r="BH4" s="1122"/>
      <c r="BI4" s="1122"/>
      <c r="BJ4" s="1122"/>
      <c r="BK4" s="1122"/>
      <c r="BL4" s="1122"/>
      <c r="BM4" s="1122"/>
      <c r="BN4" s="1122"/>
      <c r="BO4" s="1122"/>
      <c r="BP4" s="1122"/>
      <c r="BQ4" s="1122"/>
      <c r="BR4" s="1122"/>
      <c r="BS4" s="1122"/>
      <c r="BT4" s="1122"/>
      <c r="BU4" s="1122"/>
      <c r="BV4" s="1122"/>
      <c r="BW4" s="1122"/>
      <c r="BX4" s="1122"/>
      <c r="BY4" s="1122"/>
      <c r="BZ4" s="1122"/>
      <c r="CA4" s="1122"/>
      <c r="CB4" s="1122"/>
      <c r="CC4" s="1122"/>
      <c r="CD4" s="1122"/>
      <c r="CE4" s="1122"/>
      <c r="CF4" s="1122"/>
      <c r="CG4" s="1122"/>
      <c r="CH4" s="1122"/>
      <c r="CI4" s="1122"/>
      <c r="CJ4" s="1122"/>
      <c r="CK4" s="1122"/>
      <c r="CL4" s="1122"/>
      <c r="CM4" s="1122"/>
      <c r="CN4" s="1123"/>
      <c r="CO4" s="1089" t="s">
        <v>193</v>
      </c>
      <c r="CP4" s="1090"/>
      <c r="CQ4" s="1090"/>
      <c r="CR4" s="1090"/>
      <c r="CS4" s="1090"/>
      <c r="CT4" s="1090"/>
      <c r="CU4" s="1090"/>
      <c r="CV4" s="1090"/>
      <c r="CW4" s="1090"/>
      <c r="CX4" s="1090"/>
      <c r="CY4" s="1090"/>
      <c r="CZ4" s="1090"/>
      <c r="DA4" s="1091"/>
      <c r="DB4" s="1208" t="s">
        <v>162</v>
      </c>
      <c r="DC4" s="1209"/>
      <c r="DD4" s="1209"/>
      <c r="DE4" s="1209"/>
      <c r="DF4" s="1209"/>
      <c r="DG4" s="1209"/>
      <c r="DH4" s="1209"/>
      <c r="DI4" s="1209"/>
      <c r="DJ4" s="1209"/>
      <c r="DK4" s="1209"/>
      <c r="DL4" s="1209"/>
      <c r="DM4" s="1209"/>
      <c r="DN4" s="1209"/>
      <c r="DO4" s="1209"/>
      <c r="DP4" s="1209"/>
      <c r="DQ4" s="1209"/>
      <c r="DR4" s="1209"/>
      <c r="DS4" s="1209"/>
      <c r="DT4" s="1209"/>
      <c r="DU4" s="1209"/>
      <c r="DV4" s="1209"/>
      <c r="DW4" s="1209"/>
      <c r="DX4" s="1209"/>
      <c r="DY4" s="1209"/>
      <c r="DZ4" s="1209"/>
      <c r="EA4" s="1209"/>
      <c r="EB4" s="1209"/>
      <c r="EC4" s="1209"/>
      <c r="ED4" s="1209"/>
      <c r="EE4" s="1209"/>
      <c r="EF4" s="1209"/>
      <c r="EG4" s="1209"/>
      <c r="EH4" s="1209"/>
      <c r="EI4" s="1209"/>
      <c r="EJ4" s="1209"/>
      <c r="EK4" s="1209"/>
      <c r="EL4" s="1209"/>
      <c r="EM4" s="1209"/>
      <c r="EN4" s="1209"/>
      <c r="EO4" s="1209"/>
      <c r="EP4" s="1209"/>
      <c r="EQ4" s="1209"/>
      <c r="ER4" s="1210"/>
      <c r="ES4" s="1224" t="s">
        <v>196</v>
      </c>
      <c r="ET4" s="1225"/>
      <c r="EU4" s="1225"/>
      <c r="EV4" s="1225"/>
      <c r="EW4" s="1225"/>
      <c r="EX4" s="1225"/>
      <c r="EY4" s="1226"/>
      <c r="EZ4" s="1145" t="s">
        <v>201</v>
      </c>
      <c r="FA4" s="1146"/>
      <c r="FB4" s="1146"/>
      <c r="FC4" s="1146"/>
      <c r="FD4" s="1146"/>
      <c r="FE4" s="1146"/>
      <c r="FF4" s="1147"/>
      <c r="FG4" s="343"/>
      <c r="FP4" s="1182" t="s">
        <v>229</v>
      </c>
      <c r="FZ4" s="118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1174"/>
      <c r="GO4" s="1243" t="s">
        <v>229</v>
      </c>
      <c r="GP4" s="1247" t="s">
        <v>228</v>
      </c>
      <c r="GR4" s="1252" t="s">
        <v>261</v>
      </c>
      <c r="GS4" s="973" t="s">
        <v>259</v>
      </c>
      <c r="GT4" s="893"/>
      <c r="GU4" s="893"/>
      <c r="GV4" s="893"/>
      <c r="GW4" s="893"/>
      <c r="GX4" s="893"/>
      <c r="GY4" s="893"/>
      <c r="GZ4" s="893"/>
      <c r="HA4" s="1168" t="str">
        <f>IFERROR(CONCATENATE("Lateral Forces = ",ROUND(HE3,0)," lbs @ ",ROUND(HF3,1),"° Relative to Blade 1"),"")</f>
        <v/>
      </c>
      <c r="HB4" s="1169"/>
      <c r="HC4" s="1169"/>
      <c r="HD4" s="1169"/>
      <c r="HE4" s="1169"/>
      <c r="HF4" s="1169"/>
      <c r="HG4" s="1169"/>
      <c r="HH4" s="1170"/>
      <c r="HI4" s="1177" t="s">
        <v>0</v>
      </c>
      <c r="HO4" s="1199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69</v>
      </c>
      <c r="IL4" s="31"/>
      <c r="IM4" s="767"/>
    </row>
    <row r="5" spans="1:283" ht="15" customHeight="1" x14ac:dyDescent="0.25">
      <c r="B5" s="999" t="str">
        <f>CONCATENATE(B7," ; ",E7," ; ",H7)</f>
        <v>Absolute-Point ; Incremental-Vector Point ; Pocket Info.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008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about Z Axis")</f>
        <v>Relative to 1.11's θ about Z Axis</v>
      </c>
      <c r="U5" s="1022"/>
      <c r="V5" s="1073"/>
      <c r="W5" s="1022" t="str">
        <f>CONCATENATE("Relative to ",M8,"'s θ about Z Axis")</f>
        <v>Relative to 1.11's θ about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052"/>
      <c r="AW5" s="1113"/>
      <c r="AX5" s="1114"/>
      <c r="AY5" s="1115"/>
      <c r="AZ5" s="1100"/>
      <c r="BA5" s="874"/>
      <c r="BB5" s="1104"/>
      <c r="BC5" s="1109" t="str">
        <f>$W$5</f>
        <v>Relative to 1.11's θ about Z Axis</v>
      </c>
      <c r="BD5" s="1022"/>
      <c r="BE5" s="1047"/>
      <c r="BF5" s="973" t="s">
        <v>128</v>
      </c>
      <c r="BG5" s="893"/>
      <c r="BH5" s="893"/>
      <c r="BI5" s="893"/>
      <c r="BJ5" s="893"/>
      <c r="BK5" s="893"/>
      <c r="BL5" s="893"/>
      <c r="BM5" s="893"/>
      <c r="BN5" s="893"/>
      <c r="BO5" s="893"/>
      <c r="BP5" s="893"/>
      <c r="BQ5" s="893"/>
      <c r="BR5" s="915"/>
      <c r="BS5" s="973" t="s">
        <v>130</v>
      </c>
      <c r="BT5" s="893"/>
      <c r="BU5" s="893"/>
      <c r="BV5" s="893"/>
      <c r="BW5" s="893"/>
      <c r="BX5" s="893"/>
      <c r="BY5" s="893"/>
      <c r="BZ5" s="893"/>
      <c r="CA5" s="893"/>
      <c r="CB5" s="893"/>
      <c r="CC5" s="893"/>
      <c r="CD5" s="893"/>
      <c r="CE5" s="915"/>
      <c r="CF5" s="973" t="s">
        <v>138</v>
      </c>
      <c r="CG5" s="893"/>
      <c r="CH5" s="915"/>
      <c r="CI5" s="973" t="s">
        <v>139</v>
      </c>
      <c r="CJ5" s="893"/>
      <c r="CK5" s="893"/>
      <c r="CL5" s="893"/>
      <c r="CM5" s="893"/>
      <c r="CN5" s="915"/>
      <c r="CO5" s="1092" t="s">
        <v>275</v>
      </c>
      <c r="CP5" s="1092" t="s">
        <v>149</v>
      </c>
      <c r="CQ5" s="1094"/>
      <c r="CR5" s="1094"/>
      <c r="CS5" s="974"/>
      <c r="CT5" s="1094" t="s">
        <v>150</v>
      </c>
      <c r="CU5" s="884"/>
      <c r="CV5" s="973" t="s">
        <v>161</v>
      </c>
      <c r="CW5" s="893"/>
      <c r="CX5" s="893"/>
      <c r="CY5" s="893"/>
      <c r="CZ5" s="893"/>
      <c r="DA5" s="915"/>
      <c r="DB5" s="973" t="s">
        <v>163</v>
      </c>
      <c r="DC5" s="893"/>
      <c r="DD5" s="893"/>
      <c r="DE5" s="893"/>
      <c r="DF5" s="893"/>
      <c r="DG5" s="893"/>
      <c r="DH5" s="915"/>
      <c r="DI5" s="1133" t="s">
        <v>173</v>
      </c>
      <c r="DJ5" s="1133"/>
      <c r="DK5" s="1134"/>
      <c r="DL5" s="1188" t="s">
        <v>174</v>
      </c>
      <c r="DM5" s="1133"/>
      <c r="DN5" s="1189"/>
      <c r="DO5" s="1137" t="s">
        <v>175</v>
      </c>
      <c r="DP5" s="1138"/>
      <c r="DQ5" s="1138"/>
      <c r="DR5" s="1074" t="s">
        <v>187</v>
      </c>
      <c r="DS5" s="1074"/>
      <c r="DT5" s="1074"/>
      <c r="DU5" s="1074"/>
      <c r="DV5" s="1074"/>
      <c r="DW5" s="1074"/>
      <c r="DX5" s="1092" t="s">
        <v>190</v>
      </c>
      <c r="DY5" s="935" t="s">
        <v>149</v>
      </c>
      <c r="DZ5" s="1074"/>
      <c r="EA5" s="1074"/>
      <c r="EB5" s="1074"/>
      <c r="EC5" s="1074" t="s">
        <v>150</v>
      </c>
      <c r="ED5" s="1074"/>
      <c r="EE5" s="1252" t="s">
        <v>194</v>
      </c>
      <c r="EF5" s="1252"/>
      <c r="EG5" s="1200"/>
      <c r="EH5" s="1192" t="s">
        <v>195</v>
      </c>
      <c r="EI5" s="1193"/>
      <c r="EJ5" s="1194"/>
      <c r="EK5" s="1074" t="s">
        <v>188</v>
      </c>
      <c r="EL5" s="1092"/>
      <c r="EM5" s="973" t="s">
        <v>189</v>
      </c>
      <c r="EN5" s="893"/>
      <c r="EO5" s="893"/>
      <c r="EP5" s="893"/>
      <c r="EQ5" s="893"/>
      <c r="ER5" s="1125"/>
      <c r="ES5" s="1112" t="s">
        <v>202</v>
      </c>
      <c r="ET5" s="1094"/>
      <c r="EU5" s="974"/>
      <c r="EV5" s="1227" t="s">
        <v>222</v>
      </c>
      <c r="EW5" s="1228"/>
      <c r="EX5" s="1228"/>
      <c r="EY5" s="1229"/>
      <c r="EZ5" s="1218" t="s">
        <v>200</v>
      </c>
      <c r="FA5" s="969" t="s">
        <v>202</v>
      </c>
      <c r="FB5" s="1154"/>
      <c r="FC5" s="970"/>
      <c r="FD5" s="1158" t="s">
        <v>222</v>
      </c>
      <c r="FE5" s="1159"/>
      <c r="FF5" s="1160"/>
      <c r="FP5" s="1199"/>
      <c r="FQ5" s="31"/>
      <c r="FR5" s="31"/>
      <c r="FS5" s="31"/>
      <c r="FT5" s="31"/>
      <c r="FZ5" s="1199"/>
      <c r="GJ5" s="1240" t="s">
        <v>269</v>
      </c>
      <c r="GK5" s="1202" t="s">
        <v>267</v>
      </c>
      <c r="GL5" s="1204" t="s">
        <v>110</v>
      </c>
      <c r="GM5" s="1204" t="s">
        <v>111</v>
      </c>
      <c r="GN5" s="1205"/>
      <c r="GO5" s="1244"/>
      <c r="GP5" s="1248"/>
      <c r="GQ5" s="31"/>
      <c r="GR5" s="992"/>
      <c r="GS5" s="1100" t="s">
        <v>248</v>
      </c>
      <c r="GT5" s="1258"/>
      <c r="GU5" s="1254" t="s">
        <v>249</v>
      </c>
      <c r="GV5" s="1255"/>
      <c r="GW5" s="1256"/>
      <c r="GX5" s="1257"/>
      <c r="GY5" s="1242" t="s">
        <v>107</v>
      </c>
      <c r="GZ5" s="876"/>
      <c r="HA5" s="1165" t="s">
        <v>248</v>
      </c>
      <c r="HB5" s="1166"/>
      <c r="HC5" s="1166"/>
      <c r="HD5" s="1167"/>
      <c r="HE5" s="1184" t="s">
        <v>249</v>
      </c>
      <c r="HF5" s="1166"/>
      <c r="HG5" s="1166"/>
      <c r="HH5" s="1185"/>
      <c r="HI5" s="1178"/>
      <c r="HN5" s="386" t="s">
        <v>263</v>
      </c>
      <c r="HO5" s="58" t="s">
        <v>264</v>
      </c>
      <c r="HS5" s="1171" t="s">
        <v>274</v>
      </c>
      <c r="HZ5" s="383"/>
    </row>
    <row r="6" spans="1:283" ht="15" customHeight="1" thickBot="1" x14ac:dyDescent="0.4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>Inactive Element</v>
      </c>
      <c r="M6" s="1008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$Q$6</f>
        <v>Projected XY</v>
      </c>
      <c r="X6" s="1019"/>
      <c r="Y6" s="1067" t="str">
        <f>$S$6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76" t="str">
        <f>AD6</f>
        <v>Unit Vector</v>
      </c>
      <c r="AL6" s="1077"/>
      <c r="AM6" s="1078"/>
      <c r="AN6" s="34" t="s">
        <v>15</v>
      </c>
      <c r="AO6" s="35" t="s">
        <v>16</v>
      </c>
      <c r="AP6" s="737" t="s">
        <v>17</v>
      </c>
      <c r="AQ6" s="1059" t="s">
        <v>108</v>
      </c>
      <c r="AS6" s="172">
        <f>(AS5/360)</f>
        <v>6.9444444444444447E-4</v>
      </c>
      <c r="AT6" s="465" t="s">
        <v>48</v>
      </c>
      <c r="AV6" s="1052"/>
      <c r="AW6" s="1044" t="s">
        <v>105</v>
      </c>
      <c r="AX6" s="1045"/>
      <c r="AY6" s="195" t="s">
        <v>110</v>
      </c>
      <c r="AZ6" s="1110" t="s">
        <v>111</v>
      </c>
      <c r="BA6" s="1111"/>
      <c r="BB6" s="1105"/>
      <c r="BC6" s="1018" t="str">
        <f>$Q$6</f>
        <v>Projected XY</v>
      </c>
      <c r="BD6" s="1019"/>
      <c r="BE6" s="1107" t="str">
        <f>$S$6</f>
        <v>Z</v>
      </c>
      <c r="BF6" s="919" t="s">
        <v>125</v>
      </c>
      <c r="BG6" s="917"/>
      <c r="BH6" s="1124"/>
      <c r="BI6" s="897" t="s">
        <v>126</v>
      </c>
      <c r="BJ6" s="917"/>
      <c r="BK6" s="898"/>
      <c r="BL6" s="920" t="s">
        <v>127</v>
      </c>
      <c r="BM6" s="917"/>
      <c r="BN6" s="921"/>
      <c r="BO6" s="919" t="s">
        <v>135</v>
      </c>
      <c r="BP6" s="917"/>
      <c r="BQ6" s="917"/>
      <c r="BR6" s="921"/>
      <c r="BS6" s="919" t="s">
        <v>125</v>
      </c>
      <c r="BT6" s="917"/>
      <c r="BU6" s="1124"/>
      <c r="BV6" s="897" t="s">
        <v>126</v>
      </c>
      <c r="BW6" s="917"/>
      <c r="BX6" s="898"/>
      <c r="BY6" s="920" t="s">
        <v>127</v>
      </c>
      <c r="BZ6" s="917"/>
      <c r="CA6" s="921"/>
      <c r="CB6" s="919" t="s">
        <v>135</v>
      </c>
      <c r="CC6" s="917"/>
      <c r="CD6" s="917"/>
      <c r="CE6" s="921"/>
      <c r="CF6" s="925" t="s">
        <v>136</v>
      </c>
      <c r="CG6" s="1097"/>
      <c r="CH6" s="1097"/>
      <c r="CI6" s="1128" t="s">
        <v>137</v>
      </c>
      <c r="CJ6" s="1097"/>
      <c r="CK6" s="926"/>
      <c r="CL6" s="1126" t="s">
        <v>140</v>
      </c>
      <c r="CM6" s="1097"/>
      <c r="CN6" s="1127"/>
      <c r="CO6" s="1093"/>
      <c r="CP6" s="1093"/>
      <c r="CQ6" s="989"/>
      <c r="CR6" s="989"/>
      <c r="CS6" s="1095"/>
      <c r="CT6" s="989"/>
      <c r="CU6" s="1096"/>
      <c r="CV6" s="1035" t="s">
        <v>147</v>
      </c>
      <c r="CW6" s="917"/>
      <c r="CX6" s="898"/>
      <c r="CY6" s="1116" t="s">
        <v>148</v>
      </c>
      <c r="CZ6" s="1117"/>
      <c r="DA6" s="1118"/>
      <c r="DB6" s="1129" t="s">
        <v>176</v>
      </c>
      <c r="DC6" s="1130"/>
      <c r="DD6" s="1131"/>
      <c r="DE6" s="1132" t="s">
        <v>177</v>
      </c>
      <c r="DF6" s="1130"/>
      <c r="DG6" s="1131"/>
      <c r="DH6" s="253" t="s">
        <v>29</v>
      </c>
      <c r="DI6" s="1135"/>
      <c r="DJ6" s="1135"/>
      <c r="DK6" s="1136"/>
      <c r="DL6" s="1190"/>
      <c r="DM6" s="1135"/>
      <c r="DN6" s="1191"/>
      <c r="DO6" s="1139"/>
      <c r="DP6" s="1140"/>
      <c r="DQ6" s="1140"/>
      <c r="DR6" s="1075"/>
      <c r="DS6" s="1075"/>
      <c r="DT6" s="1075"/>
      <c r="DU6" s="1075"/>
      <c r="DV6" s="1075"/>
      <c r="DW6" s="1075"/>
      <c r="DX6" s="1093"/>
      <c r="DY6" s="1141"/>
      <c r="DZ6" s="1075"/>
      <c r="EA6" s="1075"/>
      <c r="EB6" s="1075"/>
      <c r="EC6" s="1075"/>
      <c r="ED6" s="1075"/>
      <c r="EE6" s="1259"/>
      <c r="EF6" s="1259"/>
      <c r="EG6" s="1260"/>
      <c r="EH6" s="1195"/>
      <c r="EI6" s="1196"/>
      <c r="EJ6" s="1197"/>
      <c r="EK6" s="1075"/>
      <c r="EL6" s="1093"/>
      <c r="EM6" s="1149" t="s">
        <v>199</v>
      </c>
      <c r="EN6" s="1143"/>
      <c r="EO6" s="1187"/>
      <c r="EP6" s="1142" t="s">
        <v>198</v>
      </c>
      <c r="EQ6" s="1143"/>
      <c r="ER6" s="1144"/>
      <c r="ES6" s="988"/>
      <c r="ET6" s="989"/>
      <c r="EU6" s="1095"/>
      <c r="EV6" s="274" t="s">
        <v>221</v>
      </c>
      <c r="EW6" s="1142" t="s">
        <v>202</v>
      </c>
      <c r="EX6" s="1143"/>
      <c r="EY6" s="1148"/>
      <c r="EZ6" s="1219"/>
      <c r="FA6" s="1155"/>
      <c r="FB6" s="1156"/>
      <c r="FC6" s="1157"/>
      <c r="FD6" s="1149" t="s">
        <v>202</v>
      </c>
      <c r="FE6" s="1143"/>
      <c r="FF6" s="1144"/>
      <c r="FG6" s="1151" t="s">
        <v>224</v>
      </c>
      <c r="FH6" s="1152"/>
      <c r="FI6" s="1153"/>
      <c r="FJ6" s="1074" t="s">
        <v>203</v>
      </c>
      <c r="FK6" s="1092" t="s">
        <v>214</v>
      </c>
      <c r="FL6" s="1094"/>
      <c r="FM6" s="974"/>
      <c r="FN6" s="1119" t="s">
        <v>204</v>
      </c>
      <c r="FO6" s="1221" t="s">
        <v>227</v>
      </c>
      <c r="FP6" s="1214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2" t="s">
        <v>218</v>
      </c>
      <c r="FV6" s="1094"/>
      <c r="FW6" s="974"/>
      <c r="FX6" s="1119" t="s">
        <v>219</v>
      </c>
      <c r="FY6" s="1221" t="s">
        <v>227</v>
      </c>
      <c r="FZ6" s="1214" t="s">
        <v>225</v>
      </c>
      <c r="GA6" s="1216" t="s">
        <v>239</v>
      </c>
      <c r="GB6" s="336" t="s">
        <v>207</v>
      </c>
      <c r="GC6" s="337" t="s">
        <v>240</v>
      </c>
      <c r="GD6" s="338" t="s">
        <v>226</v>
      </c>
      <c r="GE6" s="1238"/>
      <c r="GF6" s="1200" t="s">
        <v>260</v>
      </c>
      <c r="GG6" s="336" t="s">
        <v>207</v>
      </c>
      <c r="GH6" s="337" t="s">
        <v>240</v>
      </c>
      <c r="GI6" s="338" t="s">
        <v>226</v>
      </c>
      <c r="GJ6" s="1241"/>
      <c r="GK6" s="1203"/>
      <c r="GL6" s="1206"/>
      <c r="GM6" s="1206"/>
      <c r="GN6" s="1207"/>
      <c r="GO6" s="1245" t="s">
        <v>238</v>
      </c>
      <c r="GP6" s="1249" t="s">
        <v>225</v>
      </c>
      <c r="GQ6" s="1094" t="s">
        <v>203</v>
      </c>
      <c r="GR6" s="992"/>
      <c r="GS6" s="1175" t="s">
        <v>252</v>
      </c>
      <c r="GT6" s="1176"/>
      <c r="GU6" s="1161" t="s">
        <v>251</v>
      </c>
      <c r="GV6" s="1117"/>
      <c r="GW6" s="1117"/>
      <c r="GX6" s="361" t="s">
        <v>106</v>
      </c>
      <c r="GY6" s="897" t="s">
        <v>250</v>
      </c>
      <c r="GZ6" s="1124"/>
      <c r="HA6" s="1223" t="s">
        <v>252</v>
      </c>
      <c r="HB6" s="1130"/>
      <c r="HC6" s="1130"/>
      <c r="HD6" s="1131"/>
      <c r="HE6" s="897" t="s">
        <v>251</v>
      </c>
      <c r="HF6" s="917"/>
      <c r="HG6" s="917"/>
      <c r="HH6" s="921"/>
      <c r="HI6" s="1178"/>
      <c r="HN6" s="956" t="s">
        <v>238</v>
      </c>
      <c r="HO6" s="959" t="s">
        <v>265</v>
      </c>
      <c r="HP6" s="935" t="s">
        <v>203</v>
      </c>
      <c r="HQ6" s="391"/>
      <c r="HS6" s="1172"/>
      <c r="HT6" s="890" t="s">
        <v>270</v>
      </c>
      <c r="HU6" s="903"/>
      <c r="HV6" s="1174"/>
      <c r="HW6" s="973" t="s">
        <v>258</v>
      </c>
      <c r="HX6" s="893"/>
      <c r="HY6" s="915"/>
      <c r="HZ6" s="973" t="s">
        <v>249</v>
      </c>
      <c r="IA6" s="890"/>
      <c r="IE6" s="853"/>
      <c r="IF6" s="853"/>
    </row>
    <row r="7" spans="1:283" ht="15" customHeight="1" thickBot="1" x14ac:dyDescent="0.4">
      <c r="A7" s="143"/>
      <c r="B7" s="1023" t="s">
        <v>40</v>
      </c>
      <c r="C7" s="1024"/>
      <c r="D7" s="1025"/>
      <c r="E7" s="1026" t="s">
        <v>41</v>
      </c>
      <c r="F7" s="1024"/>
      <c r="G7" s="1027"/>
      <c r="H7" s="994" t="s">
        <v>98</v>
      </c>
      <c r="I7" s="995"/>
      <c r="J7" s="996"/>
      <c r="K7" s="173"/>
      <c r="L7" s="992"/>
      <c r="M7" s="1017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$Q$7</f>
        <v>&lt; θ°</v>
      </c>
      <c r="X7" s="27" t="str">
        <f>$R$7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0"/>
      <c r="AS7" s="1065" t="s">
        <v>54</v>
      </c>
      <c r="AT7" s="1063" t="s">
        <v>53</v>
      </c>
      <c r="AV7" s="105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5"/>
      <c r="BC7" s="37" t="str">
        <f>$Q$7</f>
        <v>&lt; θ°</v>
      </c>
      <c r="BD7" s="27" t="str">
        <f>$R$7</f>
        <v>r</v>
      </c>
      <c r="BE7" s="1108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0"/>
      <c r="FK7" s="350" t="s">
        <v>211</v>
      </c>
      <c r="FL7" s="351" t="s">
        <v>212</v>
      </c>
      <c r="FM7" s="352" t="s">
        <v>213</v>
      </c>
      <c r="FN7" s="1120"/>
      <c r="FO7" s="1222"/>
      <c r="FP7" s="1215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0"/>
      <c r="FY7" s="1222"/>
      <c r="FZ7" s="1215"/>
      <c r="GA7" s="1217"/>
      <c r="GB7" s="223" t="s">
        <v>232</v>
      </c>
      <c r="GC7" s="131" t="s">
        <v>233</v>
      </c>
      <c r="GD7" s="224" t="s">
        <v>234</v>
      </c>
      <c r="GE7" s="1239"/>
      <c r="GF7" s="1201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6"/>
      <c r="GP7" s="1250"/>
      <c r="GQ7" s="1251"/>
      <c r="GR7" s="125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9"/>
      <c r="HJ7" s="31"/>
      <c r="HK7" s="1182" t="s">
        <v>246</v>
      </c>
      <c r="HL7" s="1182" t="s">
        <v>237</v>
      </c>
      <c r="HM7" s="883" t="s">
        <v>245</v>
      </c>
      <c r="HN7" s="957"/>
      <c r="HO7" s="1186"/>
      <c r="HP7" s="1180"/>
      <c r="HQ7" s="392"/>
      <c r="HR7" s="412"/>
      <c r="HS7" s="1172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981" t="s">
        <v>364</v>
      </c>
      <c r="JC7" s="981"/>
      <c r="JD7" s="981"/>
      <c r="JE7" s="98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2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-0.25270076214549853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6"/>
      <c r="AT8" s="1064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3"/>
      <c r="HL8" s="1183"/>
      <c r="HM8" s="968"/>
      <c r="HN8" s="958"/>
      <c r="HO8" s="960"/>
      <c r="HP8" s="1181"/>
      <c r="HQ8" s="393" t="s">
        <v>49</v>
      </c>
      <c r="HR8" s="413" t="s">
        <v>51</v>
      </c>
      <c r="HS8" s="1173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0.33740101760146912</v>
      </c>
      <c r="D9" s="704">
        <v>-0.83900253043163175</v>
      </c>
      <c r="E9" s="705">
        <v>-0.90630781366099955</v>
      </c>
      <c r="F9" s="703">
        <v>-0.10938162473876802</v>
      </c>
      <c r="G9" s="706">
        <v>0.40821784266066358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0.33740101760146912</v>
      </c>
      <c r="P9" s="625">
        <f t="shared" ref="P9:P40" si="4">IF(M9="","",D9)</f>
        <v>-0.83900253043163175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0.33740101760146912</v>
      </c>
      <c r="S9" s="626">
        <f>IF(M9="","",P9)</f>
        <v>-0.83900253043163175</v>
      </c>
      <c r="T9" s="627">
        <f>IF(M9="","",X9*COS(RADIANS(W9)))</f>
        <v>0.33740101760146912</v>
      </c>
      <c r="U9" s="624">
        <f>IF(M9="","",X9*SIN(RADIANS(W9)))</f>
        <v>0</v>
      </c>
      <c r="V9" s="628">
        <f>IF(M9="","",Y9)</f>
        <v>-0.83900253043163175</v>
      </c>
      <c r="W9" s="583">
        <f t="shared" ref="W9:W14" si="5">IF(M9="","",IF(Q9-$Q$8&lt;0,360+Q9-$Q$8,Q9-$Q$8))</f>
        <v>0</v>
      </c>
      <c r="X9" s="629">
        <f>IF(M9="","",R9)</f>
        <v>0.33740101760146912</v>
      </c>
      <c r="Y9" s="630">
        <f>IF(M9="","",S9)</f>
        <v>-0.83900253043163175</v>
      </c>
      <c r="Z9" s="623">
        <f t="shared" ref="Z9:Z40" si="6">IF(M9="","",-E9)</f>
        <v>0.90630781366099955</v>
      </c>
      <c r="AA9" s="624">
        <f t="shared" ref="AA9:AA40" si="7">IF(M9="","",-F9)</f>
        <v>0.10938162473876802</v>
      </c>
      <c r="AB9" s="624">
        <f t="shared" ref="AB9:AB40" si="8">IF(M9="","",-G9)</f>
        <v>-0.40821784266066358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0.10938162473876802</v>
      </c>
      <c r="AF9" s="625">
        <f>IF(M9="","",AB9*(1/SQRT(Z9^2+AA9^2+AB9^2)))</f>
        <v>-0.40821784266066358</v>
      </c>
      <c r="AG9" s="599">
        <f>IF(M9="","",DEGREES(ATAN2(-AF9,AE9)))</f>
        <v>14.999997834268262</v>
      </c>
      <c r="AH9" s="600">
        <f>IF(M9="","",DEGREES(ACOS(AD9)))</f>
        <v>24.999996390447112</v>
      </c>
      <c r="AI9" s="583">
        <f>IF(M9="","",DEGREES(-ACOS(-AF9)))</f>
        <v>-65.907068471181375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0.10938162473876802</v>
      </c>
      <c r="AM9" s="626">
        <f>IF(M9="","",AF9)</f>
        <v>-0.40821784266066358</v>
      </c>
      <c r="AN9" s="581">
        <f>IF(M9="","",DEGREES(ATAN2(-AM9,AL9)))</f>
        <v>14.999997834268262</v>
      </c>
      <c r="AO9" s="582">
        <f>IF(ROUND(IF(M9="",0,DEGREES(ACOS(AK9))),4)=90,0,IF(M9="","",DEGREES(ACOS(AK9))))</f>
        <v>24.999996390447112</v>
      </c>
      <c r="AP9" s="781">
        <f>IF(M9="","",DEGREES(ATAN2(AK9,AL9)))</f>
        <v>6.8817016489617506</v>
      </c>
      <c r="AQ9" s="584">
        <f t="shared" ref="AQ9:AQ40" si="9">IF(M9="","",DEGREES(ATAN(($AS$5*SIN(RADIANS(90)))/(($X9*2*PI())-($AS$5*COS(RADIANS(90)))))))</f>
        <v>6.7256644721742713</v>
      </c>
      <c r="AS9" s="51">
        <f>IF(M9="","",W9)</f>
        <v>0</v>
      </c>
      <c r="AT9" s="71">
        <f t="shared" ref="AT9:AT40" si="10">IF(M9="","",Y9+(((AS9-$AS$9)*$AS$6)*-1))</f>
        <v>-0.83900253043163175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-1.0201744851339982E-15</v>
      </c>
      <c r="C10" s="708">
        <v>1.0820032633218422</v>
      </c>
      <c r="D10" s="709">
        <v>-0.65020196100911409</v>
      </c>
      <c r="E10" s="710">
        <v>-0.93969263802333458</v>
      </c>
      <c r="F10" s="708">
        <v>-8.8521302156295584E-2</v>
      </c>
      <c r="G10" s="711">
        <v>0.33036604714967344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-1.0201744851339982E-15</v>
      </c>
      <c r="O10" s="629">
        <f t="shared" si="3"/>
        <v>1.0820032633218422</v>
      </c>
      <c r="P10" s="633">
        <f t="shared" si="4"/>
        <v>-0.65020196100911409</v>
      </c>
      <c r="Q10" s="585">
        <f>IF(M10="","",IF(DEGREES(ATAN2(N10,O10))&lt;0,DEGREES(ATAN2(N10,O10))+360,IF(DEGREES(ATAN2(N10,O10))&gt;360,DEGREES(ATAN2(N10,O10))-360,DEGREES(ATAN2(N10,O10)))))</f>
        <v>90.000000000000057</v>
      </c>
      <c r="R10" s="629">
        <f t="shared" ref="R10:R105" si="79">IF(M10="","",SQRT(N10^2+O10^2))</f>
        <v>1.0820032633218422</v>
      </c>
      <c r="S10" s="634">
        <f t="shared" ref="S10:S105" si="80">IF(M10="","",P10)</f>
        <v>-0.65020196100911409</v>
      </c>
      <c r="T10" s="635">
        <f t="shared" ref="T10:T105" si="81">IF(M10="","",X10*COS(RADIANS(W10)))</f>
        <v>1.0820032633218422</v>
      </c>
      <c r="U10" s="629">
        <f t="shared" ref="U10:U105" si="82">IF(M10="","",X10*SIN(RADIANS(W10)))</f>
        <v>1.0734606497799942E-15</v>
      </c>
      <c r="V10" s="636">
        <f>IF(M10="","",Y10)</f>
        <v>-0.65020196100911409</v>
      </c>
      <c r="W10" s="585">
        <f t="shared" si="5"/>
        <v>5.6843418860808015E-14</v>
      </c>
      <c r="X10" s="629">
        <f t="shared" ref="X10:X105" si="83">IF(M10="","",R10)</f>
        <v>1.0820032633218422</v>
      </c>
      <c r="Y10" s="630">
        <f>IF(M10="","",S10)</f>
        <v>-0.65020196100911409</v>
      </c>
      <c r="Z10" s="632">
        <f t="shared" si="6"/>
        <v>0.93969263802333458</v>
      </c>
      <c r="AA10" s="629">
        <f t="shared" si="7"/>
        <v>8.8521302156295584E-2</v>
      </c>
      <c r="AB10" s="629">
        <f t="shared" si="8"/>
        <v>-0.33036604714967344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8.8521302156295584E-2</v>
      </c>
      <c r="AF10" s="633">
        <f t="shared" ref="AF10:AF105" si="86">IF(M10="","",AB10*(1/SQRT(Z10^2+AA10^2+AB10^2)))</f>
        <v>-0.33036604714967344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-70.709005437865216</v>
      </c>
      <c r="AJ10" s="586">
        <f t="shared" ref="AJ10:AJ105" si="90">IF(M10="","",DEGREES(ATAN2(-AE10,AD10)))</f>
        <v>95.38151876223948</v>
      </c>
      <c r="AK10" s="635">
        <f>IF(M10="","",(COS(RADIANS((90-$Q$8)-W10))*AD10)+(-SIN(RADIANS((90-$Q$8)-W10))*AE10))</f>
        <v>0.93969263802333469</v>
      </c>
      <c r="AL10" s="629">
        <f t="shared" ref="AL10:AL105" si="91">IF(M10="","",(SIN(RADIANS((90-$Q$8)-W10))*AD10)+(COS(RADIANS((90-$Q$8)-W10))*AE10))</f>
        <v>8.8521302156294654E-2</v>
      </c>
      <c r="AM10" s="634">
        <f t="shared" ref="AM10:AM105" si="92">IF(M10="","",AF10)</f>
        <v>-0.33036604714967344</v>
      </c>
      <c r="AN10" s="581">
        <f t="shared" ref="AN10:AN105" si="93">IF(M10="","",DEGREES(ATAN2(-AM10,AL10)))</f>
        <v>14.999997834268115</v>
      </c>
      <c r="AO10" s="582">
        <f t="shared" ref="AO10:AO54" si="94">IF(ROUND(IF(M10="",0,DEGREES(ACOS(AK10))),4)=90,0,IF(M10="","",DEGREES(ACOS(AK10))))</f>
        <v>19.999997112357665</v>
      </c>
      <c r="AP10" s="585">
        <f t="shared" ref="AP10:AP105" si="95">IF(M10="","",DEGREES(ATAN2(AK10,AL10)))</f>
        <v>5.3815187622394225</v>
      </c>
      <c r="AQ10" s="586">
        <f t="shared" si="9"/>
        <v>2.1060009159113764</v>
      </c>
      <c r="AS10" s="52">
        <f>IF($M10="","",IF(AND($W10&lt;($AS$9+180),$W10&gt;($AS$9-180)),$W10,IF($W10&gt;($AS$9+180),$W10-360,IF($W10&lt;($AS$9-180),$W10+360,"Error"))))</f>
        <v>5.6843418860808015E-14</v>
      </c>
      <c r="AT10" s="72">
        <f t="shared" si="10"/>
        <v>-0.65020196100911409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4.2685124901004113E-18</v>
      </c>
      <c r="C11" s="708">
        <v>1.8239055008989908</v>
      </c>
      <c r="D11" s="709">
        <v>-0.45140136142650605</v>
      </c>
      <c r="E11" s="710">
        <v>-0.93969263802333458</v>
      </c>
      <c r="F11" s="708">
        <v>-8.8521302156295611E-2</v>
      </c>
      <c r="G11" s="711">
        <v>0.33036604714967333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4.2685124901004113E-18</v>
      </c>
      <c r="O11" s="629">
        <f t="shared" si="3"/>
        <v>1.8239055008989908</v>
      </c>
      <c r="P11" s="633">
        <f t="shared" si="4"/>
        <v>-0.45140136142650605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1.8239055008989908</v>
      </c>
      <c r="S11" s="634">
        <f t="shared" si="80"/>
        <v>-0.45140136142650605</v>
      </c>
      <c r="T11" s="635">
        <f t="shared" si="81"/>
        <v>1.8239055008989908</v>
      </c>
      <c r="U11" s="629">
        <f t="shared" si="82"/>
        <v>0</v>
      </c>
      <c r="V11" s="636">
        <f t="shared" ref="V11:V105" si="114">IF(M11="","",Y11)</f>
        <v>-0.45140136142650605</v>
      </c>
      <c r="W11" s="585">
        <f t="shared" si="5"/>
        <v>0</v>
      </c>
      <c r="X11" s="629">
        <f>IF(M11="","",R11)</f>
        <v>1.8239055008989908</v>
      </c>
      <c r="Y11" s="630">
        <f>IF(M11="","",S11)</f>
        <v>-0.45140136142650605</v>
      </c>
      <c r="Z11" s="632">
        <f t="shared" si="6"/>
        <v>0.93969263802333458</v>
      </c>
      <c r="AA11" s="629">
        <f t="shared" si="7"/>
        <v>8.8521302156295611E-2</v>
      </c>
      <c r="AB11" s="629">
        <f t="shared" si="8"/>
        <v>-0.33036604714967333</v>
      </c>
      <c r="AC11" s="636">
        <f t="shared" si="84"/>
        <v>1</v>
      </c>
      <c r="AD11" s="637">
        <f t="shared" ref="AD11:AD105" si="115">IF(M11="","",Z11*(1/SQRT(Z11^2+AA11^2+AB11^2)))</f>
        <v>0.93969263802333458</v>
      </c>
      <c r="AE11" s="629">
        <f t="shared" si="85"/>
        <v>8.8521302156295611E-2</v>
      </c>
      <c r="AF11" s="633">
        <f t="shared" si="86"/>
        <v>-0.33036604714967333</v>
      </c>
      <c r="AG11" s="602">
        <f>IF(M11="","",DEGREES(ATAN2(-AF11,AE11)))</f>
        <v>14.999997834268274</v>
      </c>
      <c r="AH11" s="603">
        <f t="shared" si="88"/>
        <v>19.999997112357679</v>
      </c>
      <c r="AI11" s="585">
        <f t="shared" si="89"/>
        <v>-70.709005437865216</v>
      </c>
      <c r="AJ11" s="586">
        <f t="shared" si="90"/>
        <v>95.38151876223948</v>
      </c>
      <c r="AK11" s="635">
        <f>IF(M11="","",(COS(RADIANS((90-$Q$8)-W11))*AD11)+(-SIN(RADIANS((90-$Q$8)-W11))*AE11))</f>
        <v>0.93969263802333458</v>
      </c>
      <c r="AL11" s="629">
        <f t="shared" si="91"/>
        <v>8.8521302156295611E-2</v>
      </c>
      <c r="AM11" s="634">
        <f t="shared" si="92"/>
        <v>-0.33036604714967333</v>
      </c>
      <c r="AN11" s="581">
        <f>IF(M11="","",DEGREES(ATAN2(-AM11,AL11)))</f>
        <v>14.999997834268274</v>
      </c>
      <c r="AO11" s="582">
        <f>IF(ROUND(IF(M11="",0,DEGREES(ACOS(AK11))),4)=90,0,IF(M11="","",DEGREES(ACOS(AK11))))</f>
        <v>19.999997112357679</v>
      </c>
      <c r="AP11" s="585">
        <f t="shared" si="95"/>
        <v>5.3815187622394811</v>
      </c>
      <c r="AQ11" s="586">
        <f t="shared" si="9"/>
        <v>1.2497166621283307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-0.45140136142650605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-1.4512942466341399E-16</v>
      </c>
      <c r="C12" s="708">
        <v>2.5657077381745386</v>
      </c>
      <c r="D12" s="709">
        <v>-0.25270076214549853</v>
      </c>
      <c r="E12" s="710">
        <v>-0.93969263802333458</v>
      </c>
      <c r="F12" s="708">
        <v>-8.8521302156295611E-2</v>
      </c>
      <c r="G12" s="711">
        <v>0.33036604714967344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-1.4512942466341399E-16</v>
      </c>
      <c r="O12" s="629">
        <f t="shared" si="3"/>
        <v>2.5657077381745386</v>
      </c>
      <c r="P12" s="633">
        <f t="shared" si="4"/>
        <v>-0.25270076214549853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2.5657077381745386</v>
      </c>
      <c r="S12" s="634">
        <f t="shared" si="80"/>
        <v>-0.25270076214549853</v>
      </c>
      <c r="T12" s="635">
        <f>IF(M12="","",X12*COS(RADIANS(W12)))</f>
        <v>2.5657077381745386</v>
      </c>
      <c r="U12" s="629">
        <f t="shared" si="82"/>
        <v>0</v>
      </c>
      <c r="V12" s="636">
        <f t="shared" si="114"/>
        <v>-0.25270076214549853</v>
      </c>
      <c r="W12" s="585">
        <f>IF(M12="","",IF(Q12-$Q$8&lt;0,360+Q12-$Q$8,Q12-$Q$8))</f>
        <v>0</v>
      </c>
      <c r="X12" s="629">
        <f t="shared" si="83"/>
        <v>2.5657077381745386</v>
      </c>
      <c r="Y12" s="630">
        <f>IF(M12="","",S12)</f>
        <v>-0.25270076214549853</v>
      </c>
      <c r="Z12" s="632">
        <f t="shared" si="6"/>
        <v>0.93969263802333458</v>
      </c>
      <c r="AA12" s="629">
        <f t="shared" si="7"/>
        <v>8.8521302156295611E-2</v>
      </c>
      <c r="AB12" s="629">
        <f t="shared" si="8"/>
        <v>-0.33036604714967344</v>
      </c>
      <c r="AC12" s="636">
        <f t="shared" si="84"/>
        <v>1</v>
      </c>
      <c r="AD12" s="637">
        <f t="shared" si="115"/>
        <v>0.93969263802333458</v>
      </c>
      <c r="AE12" s="629">
        <f t="shared" si="85"/>
        <v>8.8521302156295611E-2</v>
      </c>
      <c r="AF12" s="633">
        <f t="shared" si="86"/>
        <v>-0.33036604714967344</v>
      </c>
      <c r="AG12" s="602">
        <f t="shared" si="87"/>
        <v>14.999997834268267</v>
      </c>
      <c r="AH12" s="603">
        <f t="shared" si="88"/>
        <v>19.999997112357679</v>
      </c>
      <c r="AI12" s="585">
        <f t="shared" si="89"/>
        <v>-70.709005437865216</v>
      </c>
      <c r="AJ12" s="586">
        <f t="shared" si="90"/>
        <v>95.38151876223948</v>
      </c>
      <c r="AK12" s="635">
        <f t="shared" ref="AK12:AK105" si="211">IF(M12="","",(COS(RADIANS((90-$Q$8)-W12))*AD12)+(-SIN(RADIANS((90-$Q$8)-W12))*AE12))</f>
        <v>0.93969263802333458</v>
      </c>
      <c r="AL12" s="629">
        <f>IF(M12="","",(SIN(RADIANS((90-$Q$8)-W12))*AD12)+(COS(RADIANS((90-$Q$8)-W12))*AE12))</f>
        <v>8.8521302156295611E-2</v>
      </c>
      <c r="AM12" s="634">
        <f t="shared" si="92"/>
        <v>-0.33036604714967344</v>
      </c>
      <c r="AN12" s="581">
        <f>IF(M12="","",DEGREES(ATAN2(-AM12,AL12)))</f>
        <v>14.999997834268267</v>
      </c>
      <c r="AO12" s="582">
        <f t="shared" si="94"/>
        <v>19.999997112357679</v>
      </c>
      <c r="AP12" s="585">
        <f t="shared" si="95"/>
        <v>5.3815187622394811</v>
      </c>
      <c r="AQ12" s="586">
        <f t="shared" si="9"/>
        <v>0.88846592703262062</v>
      </c>
      <c r="AS12" s="52">
        <f t="shared" si="116"/>
        <v>0</v>
      </c>
      <c r="AT12" s="72">
        <f>IF(M12="","",Y12+(((AS12-$AS$9)*$AS$6)*-1))</f>
        <v>-0.25270076214549853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6.7015646094576452E-16</v>
      </c>
      <c r="C13" s="708">
        <v>3.3138099944509434</v>
      </c>
      <c r="D13" s="709">
        <v>-8.1100244598338034E-2</v>
      </c>
      <c r="E13" s="710">
        <v>-0.93969263802333458</v>
      </c>
      <c r="F13" s="708">
        <v>-5.3503723084143327E-2</v>
      </c>
      <c r="G13" s="711">
        <v>0.33780926224850877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1.115</v>
      </c>
      <c r="N13" s="632">
        <f t="shared" si="2"/>
        <v>6.7015646094576452E-16</v>
      </c>
      <c r="O13" s="629">
        <f t="shared" si="3"/>
        <v>3.3138099944509434</v>
      </c>
      <c r="P13" s="633">
        <f t="shared" si="4"/>
        <v>-8.1100244598338034E-2</v>
      </c>
      <c r="Q13" s="585">
        <f t="shared" si="113"/>
        <v>89.999999999999986</v>
      </c>
      <c r="R13" s="629">
        <f t="shared" si="79"/>
        <v>3.3138099944509434</v>
      </c>
      <c r="S13" s="634">
        <f t="shared" si="80"/>
        <v>-8.1100244598338034E-2</v>
      </c>
      <c r="T13" s="635">
        <f>IF(M13="","",X13*COS(RADIANS(W13)))</f>
        <v>3.3138099944509434</v>
      </c>
      <c r="U13" s="629">
        <f t="shared" si="82"/>
        <v>-8.1198183891246314E-16</v>
      </c>
      <c r="V13" s="636">
        <f t="shared" si="114"/>
        <v>-8.1100244598338034E-2</v>
      </c>
      <c r="W13" s="585">
        <f t="shared" si="5"/>
        <v>360</v>
      </c>
      <c r="X13" s="629">
        <f t="shared" si="83"/>
        <v>3.3138099944509434</v>
      </c>
      <c r="Y13" s="630">
        <f>IF(M13="","",S13)</f>
        <v>-8.1100244598338034E-2</v>
      </c>
      <c r="Z13" s="632">
        <f t="shared" si="6"/>
        <v>0.93969263802333458</v>
      </c>
      <c r="AA13" s="629">
        <f t="shared" si="7"/>
        <v>5.3503723084143327E-2</v>
      </c>
      <c r="AB13" s="629">
        <f t="shared" si="8"/>
        <v>-0.33780926224850877</v>
      </c>
      <c r="AC13" s="636">
        <f t="shared" si="84"/>
        <v>1</v>
      </c>
      <c r="AD13" s="637">
        <f>IF(M13="","",Z13*(1/SQRT(Z13^2+AA13^2+AB13^2)))</f>
        <v>0.93969263802333458</v>
      </c>
      <c r="AE13" s="629">
        <f t="shared" si="85"/>
        <v>5.3503723084143327E-2</v>
      </c>
      <c r="AF13" s="633">
        <f t="shared" si="86"/>
        <v>-0.33780926224850877</v>
      </c>
      <c r="AG13" s="602">
        <f>IF(M13="","",DEGREES(ATAN2(-AF13,AE13)))</f>
        <v>8.9999987005609601</v>
      </c>
      <c r="AH13" s="603">
        <f t="shared" si="88"/>
        <v>19.999997112357679</v>
      </c>
      <c r="AI13" s="585">
        <f t="shared" si="89"/>
        <v>-70.256541427921746</v>
      </c>
      <c r="AJ13" s="586">
        <f t="shared" si="90"/>
        <v>93.258758373305042</v>
      </c>
      <c r="AK13" s="635">
        <f t="shared" si="211"/>
        <v>0.93969263802333458</v>
      </c>
      <c r="AL13" s="629">
        <f t="shared" si="91"/>
        <v>5.3503723084143556E-2</v>
      </c>
      <c r="AM13" s="634">
        <f t="shared" si="92"/>
        <v>-0.33780926224850877</v>
      </c>
      <c r="AN13" s="581">
        <f t="shared" si="93"/>
        <v>8.9999987005609974</v>
      </c>
      <c r="AO13" s="582">
        <f t="shared" si="94"/>
        <v>19.999997112357679</v>
      </c>
      <c r="AP13" s="585">
        <f t="shared" si="95"/>
        <v>3.2587583733050556</v>
      </c>
      <c r="AQ13" s="586">
        <f t="shared" si="9"/>
        <v>0.68791424120900746</v>
      </c>
      <c r="AS13" s="52">
        <f t="shared" si="116"/>
        <v>0</v>
      </c>
      <c r="AT13" s="72">
        <f t="shared" si="10"/>
        <v>-8.1100244598338034E-2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4.1497819420086794E-3</v>
      </c>
      <c r="C14" s="708">
        <v>4.0505100906020051</v>
      </c>
      <c r="D14" s="709">
        <v>-7.0700213231842973E-2</v>
      </c>
      <c r="E14" s="710">
        <v>-0.93939740856403853</v>
      </c>
      <c r="F14" s="708">
        <v>4.8810469971324079E-2</v>
      </c>
      <c r="G14" s="711">
        <v>0.33933765898341928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4.1497819420086794E-3</v>
      </c>
      <c r="O14" s="629">
        <f t="shared" si="3"/>
        <v>4.0505100906020051</v>
      </c>
      <c r="P14" s="633">
        <f t="shared" si="4"/>
        <v>-7.0700213231842973E-2</v>
      </c>
      <c r="Q14" s="585">
        <f t="shared" si="113"/>
        <v>89.941300008475238</v>
      </c>
      <c r="R14" s="629">
        <f t="shared" si="79"/>
        <v>4.0505122163448455</v>
      </c>
      <c r="S14" s="634">
        <f t="shared" si="80"/>
        <v>-7.0700213231842973E-2</v>
      </c>
      <c r="T14" s="635">
        <f t="shared" si="81"/>
        <v>4.0505100906020051</v>
      </c>
      <c r="U14" s="629">
        <f t="shared" si="82"/>
        <v>-4.1497819420092978E-3</v>
      </c>
      <c r="V14" s="636">
        <f t="shared" si="114"/>
        <v>-7.0700213231842973E-2</v>
      </c>
      <c r="W14" s="585">
        <f t="shared" si="5"/>
        <v>359.94130000847525</v>
      </c>
      <c r="X14" s="629">
        <f t="shared" si="83"/>
        <v>4.0505122163448455</v>
      </c>
      <c r="Y14" s="630">
        <f t="shared" ref="Y14:Y75" si="223">IF(M14="","",S14)</f>
        <v>-7.0700213231842973E-2</v>
      </c>
      <c r="Z14" s="632">
        <f t="shared" si="6"/>
        <v>0.93939740856403853</v>
      </c>
      <c r="AA14" s="629">
        <f t="shared" si="7"/>
        <v>-4.8810469971324079E-2</v>
      </c>
      <c r="AB14" s="629">
        <f t="shared" si="8"/>
        <v>-0.33933765898341928</v>
      </c>
      <c r="AC14" s="636">
        <f t="shared" si="84"/>
        <v>1</v>
      </c>
      <c r="AD14" s="637">
        <f>IF(M14="","",Z14*(1/SQRT(Z14^2+AA14^2+AB14^2)))</f>
        <v>0.93939740856403853</v>
      </c>
      <c r="AE14" s="629">
        <f t="shared" si="85"/>
        <v>-4.8810469971324079E-2</v>
      </c>
      <c r="AF14" s="633">
        <f t="shared" si="86"/>
        <v>-0.33933765898341928</v>
      </c>
      <c r="AG14" s="602">
        <f t="shared" si="87"/>
        <v>-8.1853053809464758</v>
      </c>
      <c r="AH14" s="603">
        <f t="shared" si="88"/>
        <v>20.049395944187669</v>
      </c>
      <c r="AI14" s="585">
        <f t="shared" si="89"/>
        <v>-70.163474176820799</v>
      </c>
      <c r="AJ14" s="586">
        <f t="shared" si="90"/>
        <v>87.025623862810107</v>
      </c>
      <c r="AK14" s="635">
        <f>IF(M14="","",(COS(RADIANS((90-$Q$8)-W14))*AD14)+(-SIN(RADIANS((90-$Q$8)-W14))*AE14))</f>
        <v>0.93944692227461157</v>
      </c>
      <c r="AL14" s="629">
        <f t="shared" si="91"/>
        <v>-4.7848024247742399E-2</v>
      </c>
      <c r="AM14" s="634">
        <f t="shared" si="92"/>
        <v>-0.33933765898341928</v>
      </c>
      <c r="AN14" s="581">
        <f t="shared" si="93"/>
        <v>-8.0260311800391158</v>
      </c>
      <c r="AO14" s="582">
        <f t="shared" si="94"/>
        <v>20.041119285138379</v>
      </c>
      <c r="AP14" s="585">
        <f>IF(M14="","",DEGREES(ATAN2(AK14,AL14)))</f>
        <v>-2.915676145665115</v>
      </c>
      <c r="AQ14" s="586">
        <f t="shared" si="9"/>
        <v>0.56280618049694209</v>
      </c>
      <c r="AS14" s="52">
        <f t="shared" si="116"/>
        <v>-5.8699991524747475E-2</v>
      </c>
      <c r="AT14" s="72">
        <f t="shared" si="10"/>
        <v>-7.0659449348839679E-2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3.9136835731512012E-2</v>
      </c>
      <c r="C15" s="708">
        <v>4.8015549850499246</v>
      </c>
      <c r="D15" s="709">
        <v>-0.24060072565178883</v>
      </c>
      <c r="E15" s="710">
        <v>-0.93610828259230305</v>
      </c>
      <c r="F15" s="708">
        <v>0.15935850774474852</v>
      </c>
      <c r="G15" s="711">
        <v>0.31353811454344116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1.127</v>
      </c>
      <c r="N15" s="632">
        <f t="shared" si="2"/>
        <v>3.9136835731512012E-2</v>
      </c>
      <c r="O15" s="629">
        <f t="shared" si="3"/>
        <v>4.8015549850499246</v>
      </c>
      <c r="P15" s="633">
        <f t="shared" si="4"/>
        <v>-0.24060072565178883</v>
      </c>
      <c r="Q15" s="585">
        <f t="shared" si="113"/>
        <v>89.533000067426443</v>
      </c>
      <c r="R15" s="629">
        <f t="shared" si="79"/>
        <v>4.8017144819708779</v>
      </c>
      <c r="S15" s="634">
        <f t="shared" si="80"/>
        <v>-0.24060072565178883</v>
      </c>
      <c r="T15" s="635">
        <f t="shared" si="81"/>
        <v>4.8015549850499246</v>
      </c>
      <c r="U15" s="629">
        <f t="shared" si="82"/>
        <v>-3.9136835731515392E-2</v>
      </c>
      <c r="V15" s="636">
        <f t="shared" si="114"/>
        <v>-0.24060072565178883</v>
      </c>
      <c r="W15" s="585">
        <f t="shared" ref="W15:W78" si="224">IF(M15="","",IF(Q15-$Q$8&lt;0,360+Q15-$Q$8,Q15-$Q$8))</f>
        <v>359.53300006742643</v>
      </c>
      <c r="X15" s="629">
        <f>IF(M15="","",R15)</f>
        <v>4.8017144819708779</v>
      </c>
      <c r="Y15" s="630">
        <f>IF(M15="","",S15)</f>
        <v>-0.24060072565178883</v>
      </c>
      <c r="Z15" s="632">
        <f t="shared" si="6"/>
        <v>0.93610828259230305</v>
      </c>
      <c r="AA15" s="629">
        <f t="shared" si="7"/>
        <v>-0.15935850774474852</v>
      </c>
      <c r="AB15" s="629">
        <f t="shared" si="8"/>
        <v>-0.31353811454344116</v>
      </c>
      <c r="AC15" s="636">
        <f t="shared" si="84"/>
        <v>1</v>
      </c>
      <c r="AD15" s="637">
        <f t="shared" si="115"/>
        <v>0.93610828259230305</v>
      </c>
      <c r="AE15" s="629">
        <f t="shared" si="85"/>
        <v>-0.15935850774474852</v>
      </c>
      <c r="AF15" s="633">
        <f t="shared" si="86"/>
        <v>-0.31353811454344116</v>
      </c>
      <c r="AG15" s="602">
        <f t="shared" si="87"/>
        <v>-26.942355057001606</v>
      </c>
      <c r="AH15" s="603">
        <f t="shared" si="88"/>
        <v>20.592060337598127</v>
      </c>
      <c r="AI15" s="585">
        <f t="shared" si="89"/>
        <v>-71.727416356567574</v>
      </c>
      <c r="AJ15" s="586">
        <f t="shared" si="90"/>
        <v>80.338862082167381</v>
      </c>
      <c r="AK15" s="635">
        <f t="shared" si="211"/>
        <v>0.93737605504610677</v>
      </c>
      <c r="AL15" s="629">
        <f t="shared" si="91"/>
        <v>-0.15172337379172118</v>
      </c>
      <c r="AM15" s="634">
        <f t="shared" si="92"/>
        <v>-0.31353811454344116</v>
      </c>
      <c r="AN15" s="581">
        <f>IF(M15="","",DEGREES(ATAN2(-AM15,AL15)))</f>
        <v>-25.822677428956467</v>
      </c>
      <c r="AO15" s="582">
        <f t="shared" si="94"/>
        <v>20.384532563076583</v>
      </c>
      <c r="AP15" s="585">
        <f t="shared" si="95"/>
        <v>-9.1941379852590277</v>
      </c>
      <c r="AQ15" s="586">
        <f t="shared" si="9"/>
        <v>0.47476260082869454</v>
      </c>
      <c r="AS15" s="52">
        <f t="shared" si="116"/>
        <v>-0.46699993257357164</v>
      </c>
      <c r="AT15" s="72">
        <f t="shared" si="10"/>
        <v>-0.2402764201430572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0.10144968653179863</v>
      </c>
      <c r="C16" s="708">
        <v>5.4793774477698403</v>
      </c>
      <c r="D16" s="709">
        <v>-0.57870174536446362</v>
      </c>
      <c r="E16" s="710">
        <v>-0.92906024964294986</v>
      </c>
      <c r="F16" s="708">
        <v>0.25857796795303728</v>
      </c>
      <c r="G16" s="711">
        <v>0.2645458127104981</v>
      </c>
      <c r="H16" s="710">
        <v>0.314</v>
      </c>
      <c r="I16" s="708">
        <v>0.52</v>
      </c>
      <c r="J16" s="570">
        <v>1.133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</v>
      </c>
      <c r="N16" s="632">
        <f t="shared" si="2"/>
        <v>0.10144968653179863</v>
      </c>
      <c r="O16" s="629">
        <f t="shared" si="3"/>
        <v>5.4793774477698403</v>
      </c>
      <c r="P16" s="633">
        <f t="shared" si="4"/>
        <v>-0.57870174536446362</v>
      </c>
      <c r="Q16" s="585">
        <f>IF(M16="","",IF(DEGREES(ATAN2(N16,O16))&lt;0,DEGREES(ATAN2(N16,O16))+360,IF(DEGREES(ATAN2(N16,O16))&gt;360,DEGREES(ATAN2(N16,O16))-360,DEGREES(ATAN2(N16,O16)))))</f>
        <v>88.939300153146121</v>
      </c>
      <c r="R16" s="629">
        <f t="shared" si="79"/>
        <v>5.4803165286346491</v>
      </c>
      <c r="S16" s="634">
        <f t="shared" si="80"/>
        <v>-0.57870174536446362</v>
      </c>
      <c r="T16" s="635">
        <f t="shared" si="81"/>
        <v>5.4793774477698403</v>
      </c>
      <c r="U16" s="629">
        <f t="shared" si="82"/>
        <v>-0.10144968653179773</v>
      </c>
      <c r="V16" s="636">
        <f t="shared" si="114"/>
        <v>-0.57870174536446362</v>
      </c>
      <c r="W16" s="585">
        <f>IF(M16="","",IF(Q16-$Q$8&lt;0,360+Q16-$Q$8,Q16-$Q$8))</f>
        <v>358.93930015314612</v>
      </c>
      <c r="X16" s="629">
        <f t="shared" si="83"/>
        <v>5.4803165286346491</v>
      </c>
      <c r="Y16" s="630">
        <f t="shared" si="223"/>
        <v>-0.57870174536446362</v>
      </c>
      <c r="Z16" s="632">
        <f t="shared" si="6"/>
        <v>0.92906024964294986</v>
      </c>
      <c r="AA16" s="629">
        <f t="shared" si="7"/>
        <v>-0.25857796795303728</v>
      </c>
      <c r="AB16" s="629">
        <f t="shared" si="8"/>
        <v>-0.2645458127104981</v>
      </c>
      <c r="AC16" s="636">
        <f t="shared" si="84"/>
        <v>1</v>
      </c>
      <c r="AD16" s="637">
        <f t="shared" si="115"/>
        <v>0.92906024964294986</v>
      </c>
      <c r="AE16" s="629">
        <f t="shared" si="85"/>
        <v>-0.25857796795303728</v>
      </c>
      <c r="AF16" s="633">
        <f t="shared" si="86"/>
        <v>-0.2645458127104981</v>
      </c>
      <c r="AG16" s="602">
        <f t="shared" si="87"/>
        <v>-44.346392770426952</v>
      </c>
      <c r="AH16" s="603">
        <f t="shared" si="88"/>
        <v>21.71120421264667</v>
      </c>
      <c r="AI16" s="585">
        <f t="shared" si="89"/>
        <v>-74.660033330807508</v>
      </c>
      <c r="AJ16" s="586">
        <f t="shared" si="90"/>
        <v>74.446941572791815</v>
      </c>
      <c r="AK16" s="635">
        <f t="shared" si="211"/>
        <v>0.93368775445178054</v>
      </c>
      <c r="AL16" s="629">
        <f t="shared" si="91"/>
        <v>-0.24133522362915436</v>
      </c>
      <c r="AM16" s="634">
        <f t="shared" si="92"/>
        <v>-0.2645458127104981</v>
      </c>
      <c r="AN16" s="581">
        <f t="shared" si="93"/>
        <v>-42.373025077311517</v>
      </c>
      <c r="AO16" s="582">
        <f t="shared" si="94"/>
        <v>20.982833733618371</v>
      </c>
      <c r="AP16" s="585">
        <f t="shared" si="95"/>
        <v>-14.492358580354315</v>
      </c>
      <c r="AQ16" s="586">
        <f t="shared" si="9"/>
        <v>0.41597717304053683</v>
      </c>
      <c r="AS16" s="52">
        <f t="shared" si="116"/>
        <v>-1.0606998468538791</v>
      </c>
      <c r="AT16" s="72">
        <f t="shared" si="10"/>
        <v>-0.57796514824859291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0.1787377535503373</v>
      </c>
      <c r="C17" s="708">
        <v>6.0629842571796306</v>
      </c>
      <c r="D17" s="709">
        <v>-1.0619032027000597</v>
      </c>
      <c r="E17" s="710">
        <v>-0.89259818101381216</v>
      </c>
      <c r="F17" s="708">
        <v>0.37496715853112661</v>
      </c>
      <c r="G17" s="711">
        <v>0.2503360087441015</v>
      </c>
      <c r="H17" s="710">
        <v>0.314</v>
      </c>
      <c r="I17" s="708">
        <v>0.52</v>
      </c>
      <c r="J17" s="570">
        <v>1.139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</v>
      </c>
      <c r="N17" s="632">
        <f t="shared" si="2"/>
        <v>0.1787377535503373</v>
      </c>
      <c r="O17" s="629">
        <f t="shared" si="3"/>
        <v>6.0629842571796306</v>
      </c>
      <c r="P17" s="633">
        <f t="shared" si="4"/>
        <v>-1.0619032027000597</v>
      </c>
      <c r="Q17" s="585">
        <f>IF(M17="","",IF(DEGREES(ATAN2(N17,O17))&lt;0,DEGREES(ATAN2(N17,O17))+360,IF(DEGREES(ATAN2(N17,O17))&gt;360,DEGREES(ATAN2(N17,O17))-360,DEGREES(ATAN2(N17,O17)))))</f>
        <v>88.311400243803647</v>
      </c>
      <c r="R17" s="629">
        <f>IF(M17="","",SQRT(N17^2+O17^2))</f>
        <v>6.065618293904774</v>
      </c>
      <c r="S17" s="634">
        <f>IF(M17="","",P17)</f>
        <v>-1.0619032027000597</v>
      </c>
      <c r="T17" s="635">
        <f>IF(M17="","",X17*COS(RADIANS(W17)))</f>
        <v>6.0629842571796315</v>
      </c>
      <c r="U17" s="629">
        <f>IF(M17="","",X17*SIN(RADIANS(W17)))</f>
        <v>-0.17873775355033705</v>
      </c>
      <c r="V17" s="636">
        <f>IF(M17="","",Y17)</f>
        <v>-1.0619032027000597</v>
      </c>
      <c r="W17" s="585">
        <f t="shared" si="224"/>
        <v>358.31140024380363</v>
      </c>
      <c r="X17" s="629">
        <f>IF(M17="","",R17)</f>
        <v>6.065618293904774</v>
      </c>
      <c r="Y17" s="630">
        <f t="shared" si="223"/>
        <v>-1.0619032027000597</v>
      </c>
      <c r="Z17" s="632">
        <f t="shared" si="6"/>
        <v>0.89259818101381216</v>
      </c>
      <c r="AA17" s="629">
        <f t="shared" si="7"/>
        <v>-0.37496715853112661</v>
      </c>
      <c r="AB17" s="629">
        <f t="shared" si="8"/>
        <v>-0.2503360087441015</v>
      </c>
      <c r="AC17" s="636">
        <f>IF(M17="","",SQRT(Z17^2+AA17^2+AB17^2))</f>
        <v>1</v>
      </c>
      <c r="AD17" s="637">
        <f>IF(M17="","",Z17*(1/SQRT(Z17^2+AA17^2+AB17^2)))</f>
        <v>0.89259818101381216</v>
      </c>
      <c r="AE17" s="629">
        <f>IF(M17="","",AA17*(1/SQRT(Z17^2+AA17^2+AB17^2)))</f>
        <v>-0.37496715853112661</v>
      </c>
      <c r="AF17" s="633">
        <f>IF(M17="","",AB17*(1/SQRT(Z17^2+AA17^2+AB17^2)))</f>
        <v>-0.2503360087441015</v>
      </c>
      <c r="AG17" s="602">
        <f>IF(M17="","",DEGREES(ATAN2(-AF17,AE17)))</f>
        <v>-56.272087987022942</v>
      </c>
      <c r="AH17" s="603">
        <f>IF(M17="","",DEGREES(ACOS(AD17)))</f>
        <v>26.79842897068546</v>
      </c>
      <c r="AI17" s="585">
        <f>IF(M17="","",DEGREES(-ACOS(-AF17)))</f>
        <v>-75.502603663619553</v>
      </c>
      <c r="AJ17" s="586">
        <f>IF(M17="","",DEGREES(ATAN2(-AE17,AD17)))</f>
        <v>67.213451708054677</v>
      </c>
      <c r="AK17" s="635">
        <f>IF(M17="","",(COS(RADIANS((90-$Q$8)-W17))*AD17)+(-SIN(RADIANS((90-$Q$8)-W17))*AE17))</f>
        <v>0.90325985605630632</v>
      </c>
      <c r="AL17" s="629">
        <f>IF(M17="","",(SIN(RADIANS((90-$Q$8)-W17))*AD17)+(COS(RADIANS((90-$Q$8)-W17))*AE17))</f>
        <v>-0.34850181515052986</v>
      </c>
      <c r="AM17" s="634">
        <f>IF(M17="","",AF17)</f>
        <v>-0.2503360087441015</v>
      </c>
      <c r="AN17" s="581">
        <f>IF(M17="","",DEGREES(ATAN2(-AM17,AL17)))</f>
        <v>-54.309536854907314</v>
      </c>
      <c r="AO17" s="582">
        <f t="shared" si="94"/>
        <v>25.410074741399836</v>
      </c>
      <c r="AP17" s="585">
        <f>IF(M17="","",DEGREES(ATAN2(AK17,AL17)))</f>
        <v>-21.097948535748973</v>
      </c>
      <c r="AQ17" s="586">
        <f t="shared" si="9"/>
        <v>0.37583867357766676</v>
      </c>
      <c r="AS17" s="52">
        <f t="shared" si="116"/>
        <v>-1.6885997561963677</v>
      </c>
      <c r="AT17" s="72">
        <f t="shared" si="10"/>
        <v>-1.0607305639804789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0.25390554551451017</v>
      </c>
      <c r="C18" s="708">
        <v>6.5153741651149772</v>
      </c>
      <c r="D18" s="709">
        <v>-1.6715050412592036</v>
      </c>
      <c r="E18" s="710">
        <v>-0.85905746131502714</v>
      </c>
      <c r="F18" s="708">
        <v>0.47123229536851791</v>
      </c>
      <c r="G18" s="711">
        <v>0.19990098038953844</v>
      </c>
      <c r="H18" s="710">
        <v>0.314</v>
      </c>
      <c r="I18" s="708">
        <v>0.52</v>
      </c>
      <c r="J18" s="570">
        <v>1.145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</v>
      </c>
      <c r="N18" s="632">
        <f t="shared" si="2"/>
        <v>0.25390554551451017</v>
      </c>
      <c r="O18" s="629">
        <f t="shared" si="3"/>
        <v>6.5153741651149772</v>
      </c>
      <c r="P18" s="633">
        <f t="shared" si="4"/>
        <v>-1.6715050412592036</v>
      </c>
      <c r="Q18" s="585">
        <f t="shared" si="113"/>
        <v>87.76830032221757</v>
      </c>
      <c r="R18" s="629">
        <f>IF(M18="","",SQRT(N18^2+O18^2))</f>
        <v>6.520319665284112</v>
      </c>
      <c r="S18" s="634">
        <f>IF(M18="","",P18)</f>
        <v>-1.6715050412592036</v>
      </c>
      <c r="T18" s="635">
        <f>IF(M18="","",X18*COS(RADIANS(W18)))</f>
        <v>6.5153741651149781</v>
      </c>
      <c r="U18" s="629">
        <f>IF(M18="","",X18*SIN(RADIANS(W18)))</f>
        <v>-0.25390554551451405</v>
      </c>
      <c r="V18" s="636">
        <f>IF(M18="","",Y18)</f>
        <v>-1.6715050412592036</v>
      </c>
      <c r="W18" s="585">
        <f t="shared" si="224"/>
        <v>357.76830032221756</v>
      </c>
      <c r="X18" s="629">
        <f>IF(M18="","",R18)</f>
        <v>6.520319665284112</v>
      </c>
      <c r="Y18" s="630">
        <f t="shared" si="223"/>
        <v>-1.6715050412592036</v>
      </c>
      <c r="Z18" s="632">
        <f t="shared" si="6"/>
        <v>0.85905746131502714</v>
      </c>
      <c r="AA18" s="629">
        <f t="shared" si="7"/>
        <v>-0.47123229536851791</v>
      </c>
      <c r="AB18" s="629">
        <f t="shared" si="8"/>
        <v>-0.19990098038953844</v>
      </c>
      <c r="AC18" s="636">
        <f>IF(M18="","",SQRT(Z18^2+AA18^2+AB18^2))</f>
        <v>1</v>
      </c>
      <c r="AD18" s="637">
        <f>IF(M18="","",Z18*(1/SQRT(Z18^2+AA18^2+AB18^2)))</f>
        <v>0.85905746131502714</v>
      </c>
      <c r="AE18" s="629">
        <f>IF(M18="","",AA18*(1/SQRT(Z18^2+AA18^2+AB18^2)))</f>
        <v>-0.47123229536851791</v>
      </c>
      <c r="AF18" s="633">
        <f>IF(M18="","",AB18*(1/SQRT(Z18^2+AA18^2+AB18^2)))</f>
        <v>-0.19990098038953844</v>
      </c>
      <c r="AG18" s="602">
        <f>IF(M18="","",DEGREES(ATAN2(-AF18,AE18)))</f>
        <v>-67.012906222537254</v>
      </c>
      <c r="AH18" s="603">
        <f>IF(M18="","",DEGREES(ACOS(AD18)))</f>
        <v>30.789081146254766</v>
      </c>
      <c r="AI18" s="585">
        <f>IF(M18="","",DEGREES(-ACOS(-AF18)))</f>
        <v>-78.468831302985549</v>
      </c>
      <c r="AJ18" s="586">
        <f>IF(M18="","",DEGREES(ATAN2(-AE18,AD18)))</f>
        <v>61.253217893161029</v>
      </c>
      <c r="AK18" s="635">
        <f>IF(M18="","",(COS(RADIANS((90-$Q$8)-W18))*AD18)+(-SIN(RADIANS((90-$Q$8)-W18))*AE18))</f>
        <v>0.87675598379909958</v>
      </c>
      <c r="AL18" s="629">
        <f>IF(M18="","",(SIN(RADIANS((90-$Q$8)-W18))*AD18)+(COS(RADIANS((90-$Q$8)-W18))*AE18))</f>
        <v>-0.43742261362642704</v>
      </c>
      <c r="AM18" s="634">
        <f>IF(M18="","",AF18)</f>
        <v>-0.19990098038953844</v>
      </c>
      <c r="AN18" s="581">
        <f>IF(M18="","",DEGREES(ATAN2(-AM18,AL18)))</f>
        <v>-65.439724355386886</v>
      </c>
      <c r="AO18" s="582">
        <f t="shared" si="94"/>
        <v>28.746518132739446</v>
      </c>
      <c r="AP18" s="585">
        <f>IF(M18="","",DEGREES(ATAN2(AK18,AL18)))</f>
        <v>-26.515082429056509</v>
      </c>
      <c r="AQ18" s="586">
        <f t="shared" si="9"/>
        <v>0.34962984215116755</v>
      </c>
      <c r="AS18" s="52">
        <f t="shared" si="116"/>
        <v>-2.2316996777824443</v>
      </c>
      <c r="AT18" s="72">
        <f t="shared" si="10"/>
        <v>-1.6699552498162991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0.31024685625678539</v>
      </c>
      <c r="C19" s="708">
        <v>6.8106578649234768</v>
      </c>
      <c r="D19" s="709">
        <v>-2.3624071250198884</v>
      </c>
      <c r="E19" s="710">
        <v>-0.81575892333620881</v>
      </c>
      <c r="F19" s="708">
        <v>0.56040145140089526</v>
      </c>
      <c r="G19" s="711">
        <v>0.14313487438468453</v>
      </c>
      <c r="H19" s="710">
        <v>0.314</v>
      </c>
      <c r="I19" s="708">
        <v>0.52</v>
      </c>
      <c r="J19" s="570">
        <v>1.151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</v>
      </c>
      <c r="N19" s="632">
        <f t="shared" si="2"/>
        <v>0.31024685625678539</v>
      </c>
      <c r="O19" s="629">
        <f t="shared" si="3"/>
        <v>6.8106578649234768</v>
      </c>
      <c r="P19" s="633">
        <f t="shared" si="4"/>
        <v>-2.3624071250198884</v>
      </c>
      <c r="Q19" s="585">
        <f t="shared" si="113"/>
        <v>87.391800376577436</v>
      </c>
      <c r="R19" s="629">
        <f>IF(M19="","",SQRT(N19^2+O19^2))</f>
        <v>6.8177205622452171</v>
      </c>
      <c r="S19" s="634">
        <f>IF(M19="","",P19)</f>
        <v>-2.3624071250198884</v>
      </c>
      <c r="T19" s="635">
        <f>IF(M19="","",X19*COS(RADIANS(W19)))</f>
        <v>6.8106578649234777</v>
      </c>
      <c r="U19" s="629">
        <f>IF(M19="","",X19*SIN(RADIANS(W19)))</f>
        <v>-0.31024685625678872</v>
      </c>
      <c r="V19" s="636">
        <f>IF(M19="","",Y19)</f>
        <v>-2.3624071250198884</v>
      </c>
      <c r="W19" s="585">
        <f t="shared" si="224"/>
        <v>357.39180037657741</v>
      </c>
      <c r="X19" s="629">
        <f>IF(M19="","",R19)</f>
        <v>6.8177205622452171</v>
      </c>
      <c r="Y19" s="630">
        <f t="shared" si="223"/>
        <v>-2.3624071250198884</v>
      </c>
      <c r="Z19" s="632">
        <f t="shared" si="6"/>
        <v>0.81575892333620881</v>
      </c>
      <c r="AA19" s="629">
        <f t="shared" si="7"/>
        <v>-0.56040145140089526</v>
      </c>
      <c r="AB19" s="629">
        <f t="shared" si="8"/>
        <v>-0.14313487438468453</v>
      </c>
      <c r="AC19" s="636">
        <f>IF(M19="","",SQRT(Z19^2+AA19^2+AB19^2))</f>
        <v>1</v>
      </c>
      <c r="AD19" s="637">
        <f>IF(M19="","",Z19*(1/SQRT(Z19^2+AA19^2+AB19^2)))</f>
        <v>0.81575892333620881</v>
      </c>
      <c r="AE19" s="629">
        <f>IF(M19="","",AA19*(1/SQRT(Z19^2+AA19^2+AB19^2)))</f>
        <v>-0.56040145140089526</v>
      </c>
      <c r="AF19" s="633">
        <f>IF(M19="","",AB19*(1/SQRT(Z19^2+AA19^2+AB19^2)))</f>
        <v>-0.14313487438468453</v>
      </c>
      <c r="AG19" s="602">
        <f>IF(M19="","",DEGREES(ATAN2(-AF19,AE19)))</f>
        <v>-75.672130354251252</v>
      </c>
      <c r="AH19" s="603">
        <f>IF(M19="","",DEGREES(ACOS(AD19)))</f>
        <v>35.337528235854357</v>
      </c>
      <c r="AI19" s="585">
        <f>IF(M19="","",DEGREES(-ACOS(-AF19)))</f>
        <v>-81.770711223731126</v>
      </c>
      <c r="AJ19" s="586">
        <f>IF(M19="","",DEGREES(ATAN2(-AE19,AD19)))</f>
        <v>55.512124283057616</v>
      </c>
      <c r="AK19" s="635">
        <f>IF(M19="","",(COS(RADIANS((90-$Q$8)-W19))*AD19)+(-SIN(RADIANS((90-$Q$8)-W19))*AE19))</f>
        <v>0.84041545313104071</v>
      </c>
      <c r="AL19" s="629">
        <f>IF(M19="","",(SIN(RADIANS((90-$Q$8)-W19))*AD19)+(COS(RADIANS((90-$Q$8)-W19))*AE19))</f>
        <v>-0.52269902800122758</v>
      </c>
      <c r="AM19" s="634">
        <f>IF(M19="","",AF19)</f>
        <v>-0.14313487438468453</v>
      </c>
      <c r="AN19" s="581">
        <f>IF(M19="","",DEGREES(ATAN2(-AM19,AL19)))</f>
        <v>-74.685662043966488</v>
      </c>
      <c r="AO19" s="582">
        <f t="shared" si="94"/>
        <v>32.815983520161609</v>
      </c>
      <c r="AP19" s="585">
        <f>IF(M19="","",DEGREES(ATAN2(AK19,AL19)))</f>
        <v>-31.879676093519802</v>
      </c>
      <c r="AQ19" s="586">
        <f t="shared" si="9"/>
        <v>0.33437873103421667</v>
      </c>
      <c r="AS19" s="52">
        <f t="shared" si="116"/>
        <v>-2.6081996234225926</v>
      </c>
      <c r="AT19" s="72">
        <f t="shared" si="10"/>
        <v>-2.3605958752814002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707">
        <v>0.34748393061805544</v>
      </c>
      <c r="C20" s="708">
        <v>6.990790427171488</v>
      </c>
      <c r="D20" s="709">
        <v>-3.0791092865936074</v>
      </c>
      <c r="E20" s="710">
        <v>-0.78101870865938761</v>
      </c>
      <c r="F20" s="708">
        <v>0.62112210868069628</v>
      </c>
      <c r="G20" s="711">
        <v>6.4939224141254373E-2</v>
      </c>
      <c r="H20" s="710">
        <v>0.314</v>
      </c>
      <c r="I20" s="708">
        <v>0.52</v>
      </c>
      <c r="J20" s="570">
        <v>1.157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10</v>
      </c>
      <c r="M20" s="168">
        <f t="shared" si="1"/>
        <v>1.157</v>
      </c>
      <c r="N20" s="632">
        <f t="shared" si="2"/>
        <v>0.34748393061805544</v>
      </c>
      <c r="O20" s="629">
        <f t="shared" si="3"/>
        <v>6.990790427171488</v>
      </c>
      <c r="P20" s="633">
        <f t="shared" si="4"/>
        <v>-3.0791092865936074</v>
      </c>
      <c r="Q20" s="585">
        <f t="shared" si="113"/>
        <v>87.154400410853754</v>
      </c>
      <c r="R20" s="629">
        <f>IF(M20="","",SQRT(N20^2+O20^2))</f>
        <v>6.999421110254068</v>
      </c>
      <c r="S20" s="634">
        <f>IF(M20="","",P20)</f>
        <v>-3.0791092865936074</v>
      </c>
      <c r="T20" s="635">
        <f>IF(M20="","",X20*COS(RADIANS(W20)))</f>
        <v>6.990790427171488</v>
      </c>
      <c r="U20" s="629">
        <f>IF(M20="","",X20*SIN(RADIANS(W20)))</f>
        <v>-0.34748393061805138</v>
      </c>
      <c r="V20" s="636">
        <f>IF(M20="","",Y20)</f>
        <v>-3.0791092865936074</v>
      </c>
      <c r="W20" s="585">
        <f t="shared" si="224"/>
        <v>357.15440041085378</v>
      </c>
      <c r="X20" s="629">
        <f>IF(M20="","",R20)</f>
        <v>6.999421110254068</v>
      </c>
      <c r="Y20" s="630">
        <f t="shared" si="223"/>
        <v>-3.0791092865936074</v>
      </c>
      <c r="Z20" s="632">
        <f t="shared" si="6"/>
        <v>0.78101870865938761</v>
      </c>
      <c r="AA20" s="629">
        <f t="shared" si="7"/>
        <v>-0.62112210868069628</v>
      </c>
      <c r="AB20" s="629">
        <f t="shared" si="8"/>
        <v>-6.4939224141254373E-2</v>
      </c>
      <c r="AC20" s="636">
        <f>IF(M20="","",SQRT(Z20^2+AA20^2+AB20^2))</f>
        <v>1</v>
      </c>
      <c r="AD20" s="637">
        <f>IF(M20="","",Z20*(1/SQRT(Z20^2+AA20^2+AB20^2)))</f>
        <v>0.78101870865938761</v>
      </c>
      <c r="AE20" s="629">
        <f>IF(M20="","",AA20*(1/SQRT(Z20^2+AA20^2+AB20^2)))</f>
        <v>-0.62112210868069628</v>
      </c>
      <c r="AF20" s="633">
        <f>IF(M20="","",AB20*(1/SQRT(Z20^2+AA20^2+AB20^2)))</f>
        <v>-6.4939224141254373E-2</v>
      </c>
      <c r="AG20" s="602">
        <f>IF(M20="","",DEGREES(ATAN2(-AF20,AE20)))</f>
        <v>-84.031327358936892</v>
      </c>
      <c r="AH20" s="603">
        <f>IF(M20="","",DEGREES(ACOS(AD20)))</f>
        <v>38.646057735330686</v>
      </c>
      <c r="AI20" s="585">
        <f>IF(M20="","",DEGREES(-ACOS(-AF20)))</f>
        <v>-86.276636430340616</v>
      </c>
      <c r="AJ20" s="586">
        <f>IF(M20="","",DEGREES(ATAN2(-AE20,AD20)))</f>
        <v>51.505761734412452</v>
      </c>
      <c r="AK20" s="635">
        <f>IF(M20="","",(COS(RADIANS((90-$Q$8)-W20))*AD20)+(-SIN(RADIANS((90-$Q$8)-W20))*AE20))</f>
        <v>0.81089106859724347</v>
      </c>
      <c r="AL20" s="629">
        <f>IF(M20="","",(SIN(RADIANS((90-$Q$8)-W20))*AD20)+(COS(RADIANS((90-$Q$8)-W20))*AE20))</f>
        <v>-0.58158281614672269</v>
      </c>
      <c r="AM20" s="634">
        <f>IF(M20="","",AF20)</f>
        <v>-6.4939224141254373E-2</v>
      </c>
      <c r="AN20" s="581">
        <f>IF(M20="","",DEGREES(ATAN2(-AM20,AL20)))</f>
        <v>-83.628775103129882</v>
      </c>
      <c r="AO20" s="582">
        <f t="shared" si="94"/>
        <v>35.816917194725903</v>
      </c>
      <c r="AP20" s="585">
        <f>IF(M20="","",DEGREES(ATAN2(AK20,AL20)))</f>
        <v>-35.64863867644133</v>
      </c>
      <c r="AQ20" s="586">
        <f t="shared" si="9"/>
        <v>0.32569866000675929</v>
      </c>
      <c r="AS20" s="52">
        <f t="shared" si="116"/>
        <v>-2.845599589146218</v>
      </c>
      <c r="AT20" s="72">
        <f t="shared" si="10"/>
        <v>-3.0771331757678113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707">
        <v>0.40199276118580834</v>
      </c>
      <c r="C21" s="708">
        <v>7.0793171696415769</v>
      </c>
      <c r="D21" s="709">
        <v>-3.8271115425684128</v>
      </c>
      <c r="E21" s="710">
        <v>-0.74358922993511456</v>
      </c>
      <c r="F21" s="708">
        <v>0.66639464357346168</v>
      </c>
      <c r="G21" s="711">
        <v>5.4710475606618764E-2</v>
      </c>
      <c r="H21" s="710">
        <v>0.314</v>
      </c>
      <c r="I21" s="708">
        <v>0.52</v>
      </c>
      <c r="J21" s="570">
        <v>1.163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1.163</v>
      </c>
      <c r="N21" s="632">
        <f t="shared" si="2"/>
        <v>0.40199276118580834</v>
      </c>
      <c r="O21" s="629">
        <f t="shared" si="3"/>
        <v>7.0793171696415769</v>
      </c>
      <c r="P21" s="633">
        <f t="shared" si="4"/>
        <v>-3.8271115425684128</v>
      </c>
      <c r="Q21" s="585">
        <f t="shared" si="113"/>
        <v>86.750000000000014</v>
      </c>
      <c r="R21" s="629">
        <f>IF(M21="","",SQRT(N21^2+O21^2))</f>
        <v>7.0907213856156988</v>
      </c>
      <c r="S21" s="634">
        <f>IF(M21="","",P21)</f>
        <v>-3.8271115425684128</v>
      </c>
      <c r="T21" s="635">
        <f>IF(M21="","",X21*COS(RADIANS(W21)))</f>
        <v>7.0793171696415769</v>
      </c>
      <c r="U21" s="629">
        <f>IF(M21="","",X21*SIN(RADIANS(W21)))</f>
        <v>-0.40199276118581051</v>
      </c>
      <c r="V21" s="636">
        <f>IF(M21="","",Y21)</f>
        <v>-3.8271115425684128</v>
      </c>
      <c r="W21" s="585">
        <f t="shared" si="224"/>
        <v>356.75</v>
      </c>
      <c r="X21" s="629">
        <f>IF(M21="","",R21)</f>
        <v>7.0907213856156988</v>
      </c>
      <c r="Y21" s="630">
        <f t="shared" si="223"/>
        <v>-3.8271115425684128</v>
      </c>
      <c r="Z21" s="632">
        <f t="shared" si="6"/>
        <v>0.74358922993511456</v>
      </c>
      <c r="AA21" s="629">
        <f t="shared" si="7"/>
        <v>-0.66639464357346168</v>
      </c>
      <c r="AB21" s="629">
        <f t="shared" si="8"/>
        <v>-5.4710475606618764E-2</v>
      </c>
      <c r="AC21" s="636">
        <f>IF(M21="","",SQRT(Z21^2+AA21^2+AB21^2))</f>
        <v>1</v>
      </c>
      <c r="AD21" s="637">
        <f>IF(M21="","",Z21*(1/SQRT(Z21^2+AA21^2+AB21^2)))</f>
        <v>0.74358922993511456</v>
      </c>
      <c r="AE21" s="629">
        <f>IF(M21="","",AA21*(1/SQRT(Z21^2+AA21^2+AB21^2)))</f>
        <v>-0.66639464357346168</v>
      </c>
      <c r="AF21" s="633">
        <f>IF(M21="","",AB21*(1/SQRT(Z21^2+AA21^2+AB21^2)))</f>
        <v>-5.4710475606618764E-2</v>
      </c>
      <c r="AG21" s="602">
        <f>IF(M21="","",DEGREES(ATAN2(-AF21,AE21)))</f>
        <v>-85.306587694257715</v>
      </c>
      <c r="AH21" s="603">
        <f>IF(M21="","",DEGREES(ACOS(AD21)))</f>
        <v>41.961932843665437</v>
      </c>
      <c r="AI21" s="585">
        <f>IF(M21="","",DEGREES(-ACOS(-AF21)))</f>
        <v>-86.863754736529643</v>
      </c>
      <c r="AJ21" s="586">
        <f>IF(M21="","",DEGREES(ATAN2(-AE21,AD21)))</f>
        <v>48.133732885494105</v>
      </c>
      <c r="AK21" s="635">
        <f>IF(M21="","",(COS(RADIANS((90-$Q$8)-W21))*AD21)+(-SIN(RADIANS((90-$Q$8)-W21))*AE21))</f>
        <v>0.78017306344485471</v>
      </c>
      <c r="AL21" s="629">
        <f>IF(M21="","",(SIN(RADIANS((90-$Q$8)-W21))*AD21)+(COS(RADIANS((90-$Q$8)-W21))*AE21))</f>
        <v>-0.62316671520065026</v>
      </c>
      <c r="AM21" s="634">
        <f>IF(M21="","",AF21)</f>
        <v>-5.4710475606618764E-2</v>
      </c>
      <c r="AN21" s="581">
        <f>IF(M21="","",DEGREES(ATAN2(-AM21,AL21)))</f>
        <v>-84.982622709260156</v>
      </c>
      <c r="AO21" s="582">
        <f>IF(ROUND(IF(M21="",0,DEGREES(ACOS(AK21))),4)=90,0,IF(M21="","",DEGREES(ACOS(AK21))))</f>
        <v>38.723576340560797</v>
      </c>
      <c r="AP21" s="585">
        <f>IF(M21="","",DEGREES(ATAN2(AK21,AL21)))</f>
        <v>-38.616267114505881</v>
      </c>
      <c r="AQ21" s="586">
        <f t="shared" si="9"/>
        <v>0.32150504592229301</v>
      </c>
      <c r="AS21" s="52">
        <f t="shared" si="116"/>
        <v>-3.25</v>
      </c>
      <c r="AT21" s="72">
        <f t="shared" si="10"/>
        <v>-3.8248545981239683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1.163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707">
        <v>0.43750435857655096</v>
      </c>
      <c r="C22" s="708">
        <v>7.1531330328903096</v>
      </c>
      <c r="D22" s="709">
        <v>-4.5864138326241184</v>
      </c>
      <c r="E22" s="710">
        <v>-0.72537444039686494</v>
      </c>
      <c r="F22" s="708">
        <v>0.68835450257764275</v>
      </c>
      <c r="G22" s="711">
        <v>1.457809318607852E-7</v>
      </c>
      <c r="H22" s="710">
        <v>0.314</v>
      </c>
      <c r="I22" s="708">
        <v>0.52</v>
      </c>
      <c r="J22" s="570">
        <v>1.169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0</v>
      </c>
      <c r="M22" s="168">
        <f t="shared" si="1"/>
        <v>1.169</v>
      </c>
      <c r="N22" s="632">
        <f t="shared" si="2"/>
        <v>0.43750435857655096</v>
      </c>
      <c r="O22" s="629">
        <f t="shared" si="3"/>
        <v>7.1531330328903096</v>
      </c>
      <c r="P22" s="633">
        <f t="shared" si="4"/>
        <v>-4.5864138326241184</v>
      </c>
      <c r="Q22" s="585">
        <f t="shared" si="113"/>
        <v>86.500000000000014</v>
      </c>
      <c r="R22" s="629">
        <f t="shared" si="79"/>
        <v>7.1665000000000001</v>
      </c>
      <c r="S22" s="634">
        <f t="shared" si="80"/>
        <v>-4.5864138326241184</v>
      </c>
      <c r="T22" s="635">
        <f t="shared" si="81"/>
        <v>7.1531330328903096</v>
      </c>
      <c r="U22" s="629">
        <f t="shared" si="82"/>
        <v>-0.43750435857655173</v>
      </c>
      <c r="V22" s="636">
        <f t="shared" si="114"/>
        <v>-4.5864138326241184</v>
      </c>
      <c r="W22" s="585">
        <f t="shared" si="224"/>
        <v>356.5</v>
      </c>
      <c r="X22" s="629">
        <f t="shared" si="83"/>
        <v>7.1665000000000001</v>
      </c>
      <c r="Y22" s="630">
        <f t="shared" si="223"/>
        <v>-4.5864138326241184</v>
      </c>
      <c r="Z22" s="632">
        <f t="shared" si="6"/>
        <v>0.72537444039686494</v>
      </c>
      <c r="AA22" s="629">
        <f t="shared" si="7"/>
        <v>-0.68835450257764275</v>
      </c>
      <c r="AB22" s="629">
        <f t="shared" si="8"/>
        <v>-1.457809318607852E-7</v>
      </c>
      <c r="AC22" s="636">
        <f t="shared" si="84"/>
        <v>1</v>
      </c>
      <c r="AD22" s="637">
        <f t="shared" si="115"/>
        <v>0.72537444039686494</v>
      </c>
      <c r="AE22" s="629">
        <f t="shared" si="85"/>
        <v>-0.68835450257764275</v>
      </c>
      <c r="AF22" s="633">
        <f t="shared" si="86"/>
        <v>-1.457809318607852E-7</v>
      </c>
      <c r="AG22" s="602">
        <f t="shared" si="87"/>
        <v>-89.999987865798659</v>
      </c>
      <c r="AH22" s="603">
        <f t="shared" si="88"/>
        <v>43.499994224715287</v>
      </c>
      <c r="AI22" s="585">
        <f t="shared" si="89"/>
        <v>-89.999991647367878</v>
      </c>
      <c r="AJ22" s="586">
        <f t="shared" si="90"/>
        <v>46.500005775285345</v>
      </c>
      <c r="AK22" s="635">
        <f t="shared" si="211"/>
        <v>0.76604450791050727</v>
      </c>
      <c r="AL22" s="629">
        <f t="shared" si="91"/>
        <v>-0.64278753247097731</v>
      </c>
      <c r="AM22" s="634">
        <f t="shared" si="92"/>
        <v>-1.457809318607852E-7</v>
      </c>
      <c r="AN22" s="581">
        <f t="shared" si="93"/>
        <v>-89.999987005609626</v>
      </c>
      <c r="AO22" s="582">
        <f t="shared" si="94"/>
        <v>39.99999422471538</v>
      </c>
      <c r="AP22" s="585">
        <f t="shared" si="95"/>
        <v>-39.999994224714662</v>
      </c>
      <c r="AQ22" s="586">
        <f t="shared" si="9"/>
        <v>0.31810551985399932</v>
      </c>
      <c r="AS22" s="52">
        <f t="shared" si="116"/>
        <v>-3.5</v>
      </c>
      <c r="AT22" s="72">
        <f t="shared" si="10"/>
        <v>-4.5839832770685627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1.169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1.1874209622614451</v>
      </c>
      <c r="C23" s="708">
        <v>3.8754833827551742</v>
      </c>
      <c r="D23" s="709">
        <v>-4.3200130291592968E-2</v>
      </c>
      <c r="E23" s="710">
        <v>2.145496675588866E-2</v>
      </c>
      <c r="F23" s="708">
        <v>7.0025112452268432E-2</v>
      </c>
      <c r="G23" s="711">
        <v>0.99731447799956807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L23" s="1314">
        <f>IO23</f>
        <v>40</v>
      </c>
      <c r="M23" s="168">
        <f t="shared" si="1"/>
        <v>1.2210000000000001</v>
      </c>
      <c r="N23" s="632">
        <f t="shared" si="2"/>
        <v>1.1874209622614451</v>
      </c>
      <c r="O23" s="629">
        <f t="shared" si="3"/>
        <v>3.8754833827551742</v>
      </c>
      <c r="P23" s="633">
        <f t="shared" si="4"/>
        <v>-4.3200130291592968E-2</v>
      </c>
      <c r="Q23" s="585">
        <f t="shared" si="113"/>
        <v>72.965302459506034</v>
      </c>
      <c r="R23" s="629">
        <f t="shared" si="79"/>
        <v>4.0533122247896696</v>
      </c>
      <c r="S23" s="634">
        <f t="shared" si="80"/>
        <v>-4.3200130291592968E-2</v>
      </c>
      <c r="T23" s="635">
        <f t="shared" si="81"/>
        <v>3.8754833827551733</v>
      </c>
      <c r="U23" s="629">
        <f t="shared" si="82"/>
        <v>-1.187420962261446</v>
      </c>
      <c r="V23" s="636">
        <f t="shared" si="114"/>
        <v>-4.3200130291592968E-2</v>
      </c>
      <c r="W23" s="585">
        <f t="shared" si="224"/>
        <v>342.96530245950601</v>
      </c>
      <c r="X23" s="629">
        <f t="shared" si="83"/>
        <v>4.0533122247896696</v>
      </c>
      <c r="Y23" s="630">
        <f t="shared" si="223"/>
        <v>-4.3200130291592968E-2</v>
      </c>
      <c r="Z23" s="632">
        <f t="shared" si="6"/>
        <v>-2.145496675588866E-2</v>
      </c>
      <c r="AA23" s="629">
        <f t="shared" si="7"/>
        <v>-7.0025112452268432E-2</v>
      </c>
      <c r="AB23" s="629">
        <f t="shared" si="8"/>
        <v>-0.99731447799956807</v>
      </c>
      <c r="AC23" s="636">
        <f t="shared" si="84"/>
        <v>1</v>
      </c>
      <c r="AD23" s="637">
        <f t="shared" si="115"/>
        <v>-2.145496675588866E-2</v>
      </c>
      <c r="AE23" s="629">
        <f t="shared" si="85"/>
        <v>-7.0025112452268432E-2</v>
      </c>
      <c r="AF23" s="633">
        <f t="shared" si="86"/>
        <v>-0.99731447799956807</v>
      </c>
      <c r="AG23" s="602">
        <f t="shared" si="87"/>
        <v>-4.0163556137256435</v>
      </c>
      <c r="AH23" s="603">
        <f t="shared" si="88"/>
        <v>91.229373373633237</v>
      </c>
      <c r="AI23" s="585">
        <f t="shared" si="89"/>
        <v>-4.1999993936151441</v>
      </c>
      <c r="AJ23" s="586">
        <f t="shared" si="90"/>
        <v>-17.034520114058342</v>
      </c>
      <c r="AK23" s="635">
        <f t="shared" si="211"/>
        <v>2.2679489671342812E-7</v>
      </c>
      <c r="AL23" s="629">
        <f t="shared" si="91"/>
        <v>-7.3238186572290892E-2</v>
      </c>
      <c r="AM23" s="634">
        <f t="shared" si="92"/>
        <v>-0.99731447799956807</v>
      </c>
      <c r="AN23" s="581">
        <f t="shared" si="93"/>
        <v>-4.1999993935951148</v>
      </c>
      <c r="AO23" s="582">
        <f t="shared" si="94"/>
        <v>0</v>
      </c>
      <c r="AP23" s="585">
        <f t="shared" si="95"/>
        <v>-89.999822573564359</v>
      </c>
      <c r="AQ23" s="586">
        <f t="shared" si="9"/>
        <v>0.56241742169670483</v>
      </c>
      <c r="AS23" s="52">
        <f t="shared" si="116"/>
        <v>-17.034697540493994</v>
      </c>
      <c r="AT23" s="72">
        <f t="shared" si="10"/>
        <v>-3.137047922180547E-2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16.975997548969247</v>
      </c>
      <c r="IM23" s="759">
        <v>4.8610036911012301E-3</v>
      </c>
      <c r="IN23" s="5">
        <f t="shared" si="226"/>
        <v>0.08</v>
      </c>
      <c r="IO23" s="771">
        <v>40</v>
      </c>
      <c r="IP23" s="9">
        <f t="shared" si="227"/>
        <v>-4.0505122163448455</v>
      </c>
      <c r="IQ23" s="5">
        <f t="shared" si="228"/>
        <v>-7.0700213231842973E-2</v>
      </c>
      <c r="IR23" s="5">
        <f t="shared" si="71"/>
        <v>0.314</v>
      </c>
      <c r="IS23" s="5">
        <f t="shared" si="229"/>
        <v>0.29498633359422805</v>
      </c>
      <c r="IT23" s="727">
        <f t="shared" si="230"/>
        <v>8.0260311800391158</v>
      </c>
      <c r="IU23" s="9">
        <f t="shared" si="231"/>
        <v>-4.0533122247896696</v>
      </c>
      <c r="IV23" s="5">
        <f t="shared" si="232"/>
        <v>-4.3200130291592968E-2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4.1999993935951148</v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45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15</v>
      </c>
      <c r="JG23" s="801">
        <v>28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1.4314396120477515</v>
      </c>
      <c r="C24" s="708">
        <v>4.5933392759831664</v>
      </c>
      <c r="D24" s="709">
        <v>-0.21410064572754667</v>
      </c>
      <c r="E24" s="710">
        <v>7.2983987119499869E-2</v>
      </c>
      <c r="F24" s="708">
        <v>0.23419870659661671</v>
      </c>
      <c r="G24" s="711">
        <v>0.96944535867299542</v>
      </c>
      <c r="H24" s="710">
        <v>0.26250000000000001</v>
      </c>
      <c r="I24" s="708">
        <v>0.40699999999999997</v>
      </c>
      <c r="J24" s="570">
        <v>1.2270000000000001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L24" s="1314">
        <f t="shared" ref="L24:L30" si="236">IO24</f>
        <v>30</v>
      </c>
      <c r="M24" s="168">
        <f t="shared" si="1"/>
        <v>1.2270000000000001</v>
      </c>
      <c r="N24" s="632">
        <f t="shared" si="2"/>
        <v>1.4314396120477515</v>
      </c>
      <c r="O24" s="629">
        <f t="shared" si="3"/>
        <v>4.5933392759831664</v>
      </c>
      <c r="P24" s="633">
        <f t="shared" si="4"/>
        <v>-0.21410064572754667</v>
      </c>
      <c r="Q24" s="585">
        <f t="shared" si="113"/>
        <v>72.691202499081172</v>
      </c>
      <c r="R24" s="629">
        <f t="shared" si="79"/>
        <v>4.8112145106229649</v>
      </c>
      <c r="S24" s="634">
        <f t="shared" si="80"/>
        <v>-0.21410064572754667</v>
      </c>
      <c r="T24" s="635">
        <f t="shared" si="81"/>
        <v>4.5933392759831664</v>
      </c>
      <c r="U24" s="629">
        <f t="shared" si="82"/>
        <v>-1.4314396120477522</v>
      </c>
      <c r="V24" s="636">
        <f t="shared" si="114"/>
        <v>-0.21410064572754667</v>
      </c>
      <c r="W24" s="585">
        <f t="shared" si="224"/>
        <v>342.69120249908116</v>
      </c>
      <c r="X24" s="629">
        <f t="shared" si="83"/>
        <v>4.8112145106229649</v>
      </c>
      <c r="Y24" s="630">
        <f t="shared" si="223"/>
        <v>-0.21410064572754667</v>
      </c>
      <c r="Z24" s="632">
        <f t="shared" si="6"/>
        <v>-7.2983987119499869E-2</v>
      </c>
      <c r="AA24" s="629">
        <f t="shared" si="7"/>
        <v>-0.23419870659661671</v>
      </c>
      <c r="AB24" s="629">
        <f t="shared" si="8"/>
        <v>-0.96944535867299542</v>
      </c>
      <c r="AC24" s="636">
        <f t="shared" si="84"/>
        <v>1</v>
      </c>
      <c r="AD24" s="637">
        <f t="shared" si="115"/>
        <v>-7.2983987119499869E-2</v>
      </c>
      <c r="AE24" s="629">
        <f t="shared" si="85"/>
        <v>-0.23419870659661671</v>
      </c>
      <c r="AF24" s="633">
        <f t="shared" si="86"/>
        <v>-0.96944535867299542</v>
      </c>
      <c r="AG24" s="602">
        <f t="shared" si="87"/>
        <v>-13.58130489332056</v>
      </c>
      <c r="AH24" s="603">
        <f t="shared" si="88"/>
        <v>94.185395755550118</v>
      </c>
      <c r="AI24" s="585">
        <f t="shared" si="89"/>
        <v>-14.199997949779753</v>
      </c>
      <c r="AJ24" s="586">
        <f t="shared" si="90"/>
        <v>-17.308744529043626</v>
      </c>
      <c r="AK24" s="635">
        <f>IF(M24="","",(COS(RADIANS((90-$Q$8)-W24))*AD24)+(-SIN(RADIANS((90-$Q$8)-W24))*AE24))</f>
        <v>2.2679489673771425E-7</v>
      </c>
      <c r="AL24" s="629">
        <f t="shared" si="91"/>
        <v>-0.24530735118894428</v>
      </c>
      <c r="AM24" s="634">
        <f t="shared" si="92"/>
        <v>-0.96944535867299542</v>
      </c>
      <c r="AN24" s="581">
        <f t="shared" si="93"/>
        <v>-14.199997949773959</v>
      </c>
      <c r="AO24" s="582">
        <f t="shared" si="94"/>
        <v>0</v>
      </c>
      <c r="AP24" s="585">
        <f t="shared" si="95"/>
        <v>-89.99994702812478</v>
      </c>
      <c r="AQ24" s="586">
        <f t="shared" si="9"/>
        <v>0.47382519667361223</v>
      </c>
      <c r="AS24" s="52">
        <f t="shared" si="116"/>
        <v>-17.308797500918843</v>
      </c>
      <c r="AT24" s="72">
        <f t="shared" si="10"/>
        <v>-0.20208064746301968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734" cm="1">
        <f t="array" ref="II24">IFERROR(ROUND(VALUE(IF($IH24&lt;1,$IH24+LARGE((IF($M$9:$M$150="",0,$M$9:$M$150)-MOD(IF($M$9:$M$150="",0,$M$9:$M$150),1)),1),$IH24)),4),"")</f>
        <v>1.127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16.841797568345271</v>
      </c>
      <c r="IM24" s="759">
        <v>3.79450971546821E-3</v>
      </c>
      <c r="IN24" s="5">
        <f t="shared" si="226"/>
        <v>0.06</v>
      </c>
      <c r="IO24" s="771">
        <v>30</v>
      </c>
      <c r="IP24" s="9">
        <f t="shared" si="227"/>
        <v>-4.8017144819708779</v>
      </c>
      <c r="IQ24" s="5">
        <f t="shared" si="228"/>
        <v>-0.24060072565178883</v>
      </c>
      <c r="IR24" s="5">
        <f t="shared" si="71"/>
        <v>0.314</v>
      </c>
      <c r="IS24" s="5">
        <f t="shared" si="229"/>
        <v>0.29433608128447752</v>
      </c>
      <c r="IT24" s="727">
        <f t="shared" si="230"/>
        <v>25.822677428956467</v>
      </c>
      <c r="IU24" s="9">
        <f t="shared" si="231"/>
        <v>-4.8112145106229649</v>
      </c>
      <c r="IV24" s="5">
        <f t="shared" si="232"/>
        <v>-0.21410064572754667</v>
      </c>
      <c r="IW24" s="5">
        <f t="shared" si="76"/>
        <v>0.26250000000000001</v>
      </c>
      <c r="IX24" s="5">
        <f t="shared" si="233"/>
        <v>0.26250000000000001</v>
      </c>
      <c r="IY24" s="762">
        <f t="shared" si="234"/>
        <v>14.199997949773959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1.6585743477594368</v>
      </c>
      <c r="C25" s="708">
        <v>5.2397833291527558</v>
      </c>
      <c r="D25" s="709">
        <v>-0.55420167147223987</v>
      </c>
      <c r="E25" s="710">
        <v>0.12274374961941174</v>
      </c>
      <c r="F25" s="708">
        <v>0.3877739338913791</v>
      </c>
      <c r="G25" s="711">
        <v>0.91354548224145449</v>
      </c>
      <c r="H25" s="710">
        <v>0.26250000000000001</v>
      </c>
      <c r="I25" s="708">
        <v>0.40699999999999997</v>
      </c>
      <c r="J25" s="570">
        <v>1.2330000000000001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1314">
        <f t="shared" si="236"/>
        <v>10</v>
      </c>
      <c r="M25" s="168">
        <f t="shared" si="1"/>
        <v>1.2330000000000001</v>
      </c>
      <c r="N25" s="632">
        <f t="shared" si="2"/>
        <v>1.6585743477594368</v>
      </c>
      <c r="O25" s="629">
        <f t="shared" si="3"/>
        <v>5.2397833291527558</v>
      </c>
      <c r="P25" s="633">
        <f t="shared" si="4"/>
        <v>-0.55420167147223987</v>
      </c>
      <c r="Q25" s="585">
        <f t="shared" si="113"/>
        <v>72.435602535985225</v>
      </c>
      <c r="R25" s="629">
        <f>IF(M25="","",SQRT(N25^2+O25^2))</f>
        <v>5.4960165759859914</v>
      </c>
      <c r="S25" s="634">
        <f>IF(M25="","",P25)</f>
        <v>-0.55420167147223987</v>
      </c>
      <c r="T25" s="635">
        <f>IF(M25="","",X25*COS(RADIANS(W25)))</f>
        <v>5.2397833291527567</v>
      </c>
      <c r="U25" s="629">
        <f>IF(M25="","",X25*SIN(RADIANS(W25)))</f>
        <v>-1.6585743477594335</v>
      </c>
      <c r="V25" s="636">
        <f>IF(M25="","",Y25)</f>
        <v>-0.55420167147223987</v>
      </c>
      <c r="W25" s="585">
        <f t="shared" si="224"/>
        <v>342.43560253598525</v>
      </c>
      <c r="X25" s="629">
        <f>IF(M25="","",R25)</f>
        <v>5.4960165759859914</v>
      </c>
      <c r="Y25" s="630">
        <f t="shared" si="223"/>
        <v>-0.55420167147223987</v>
      </c>
      <c r="Z25" s="632">
        <f t="shared" si="6"/>
        <v>-0.12274374961941174</v>
      </c>
      <c r="AA25" s="629">
        <f t="shared" si="7"/>
        <v>-0.3877739338913791</v>
      </c>
      <c r="AB25" s="629">
        <f t="shared" si="8"/>
        <v>-0.91354548224145449</v>
      </c>
      <c r="AC25" s="636">
        <f>IF(M25="","",SQRT(Z25^2+AA25^2+AB25^2))</f>
        <v>1</v>
      </c>
      <c r="AD25" s="637">
        <f>IF(M25="","",Z25*(1/SQRT(Z25^2+AA25^2+AB25^2)))</f>
        <v>-0.12274374961941174</v>
      </c>
      <c r="AE25" s="629">
        <f>IF(M25="","",AA25*(1/SQRT(Z25^2+AA25^2+AB25^2)))</f>
        <v>-0.3877739338913791</v>
      </c>
      <c r="AF25" s="633">
        <f>IF(M25="","",AB25*(1/SQRT(Z25^2+AA25^2+AB25^2)))</f>
        <v>-0.91354548224145449</v>
      </c>
      <c r="AG25" s="602">
        <f>IF(M25="","",DEGREES(ATAN2(-AF25,AE25)))</f>
        <v>-22.99983436519214</v>
      </c>
      <c r="AH25" s="603">
        <f>IF(M25="","",DEGREES(ACOS(AD25)))</f>
        <v>97.05047876312176</v>
      </c>
      <c r="AI25" s="585">
        <f>IF(M25="","",DEGREES(-ACOS(-AF25)))</f>
        <v>-23.999996534832512</v>
      </c>
      <c r="AJ25" s="586">
        <f>IF(M25="","",DEGREES(ATAN2(-AE25,AD25)))</f>
        <v>-17.564365516088806</v>
      </c>
      <c r="AK25" s="635">
        <f>IF(M25="","",(COS(RADIANS((90-$Q$8)-W25))*AD25)+(-SIN(RADIANS((90-$Q$8)-W25))*AE25))</f>
        <v>2.2679489641852513E-7</v>
      </c>
      <c r="AL25" s="629">
        <f>IF(M25="","",(SIN(RADIANS((90-$Q$8)-W25))*AD25)+(COS(RADIANS((90-$Q$8)-W25))*AE25))</f>
        <v>-0.40673658782580285</v>
      </c>
      <c r="AM25" s="634">
        <f>IF(M25="","",AF25)</f>
        <v>-0.91354548224145449</v>
      </c>
      <c r="AN25" s="581">
        <f>IF(M25="","",DEGREES(ATAN2(-AM25,AL25)))</f>
        <v>-23.999996534829222</v>
      </c>
      <c r="AO25" s="582">
        <f>IF(ROUND(IF(M25="",0,DEGREES(ACOS(AK25))),4)=90,0,IF(M25="","",DEGREES(ACOS(AK25))))</f>
        <v>0</v>
      </c>
      <c r="AP25" s="585">
        <f>IF(M25="","",DEGREES(ATAN2(AK25,AL25)))</f>
        <v>-89.999968052074081</v>
      </c>
      <c r="AQ25" s="586">
        <f t="shared" si="9"/>
        <v>0.41478892465855333</v>
      </c>
      <c r="AS25" s="52">
        <f t="shared" si="116"/>
        <v>-17.564397464014746</v>
      </c>
      <c r="AT25" s="72">
        <f t="shared" si="10"/>
        <v>-0.54200417323334071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1.2330000000000001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734" cm="1">
        <f t="array" ref="II25">IFERROR(ROUND(VALUE(IF($IH25&lt;1,$IH25+LARGE((IF($M$9:$M$150="",0,$M$9:$M$150)-MOD(IF($M$9:$M$150="",0,$M$9:$M$150),1)),1),$IH25)),4),"")</f>
        <v>1.133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16.503697617160867</v>
      </c>
      <c r="IM25" s="759">
        <v>1.83659657778276E-3</v>
      </c>
      <c r="IN25" s="5">
        <f t="shared" si="226"/>
        <v>0.02</v>
      </c>
      <c r="IO25" s="771">
        <v>10</v>
      </c>
      <c r="IP25" s="9">
        <f t="shared" si="227"/>
        <v>-5.4803165286346491</v>
      </c>
      <c r="IQ25" s="5">
        <f t="shared" si="228"/>
        <v>-0.57870174536446362</v>
      </c>
      <c r="IR25" s="5">
        <f t="shared" si="71"/>
        <v>0.314</v>
      </c>
      <c r="IS25" s="5">
        <f t="shared" si="229"/>
        <v>0.29317795489785908</v>
      </c>
      <c r="IT25" s="727">
        <f t="shared" si="230"/>
        <v>42.373025077311517</v>
      </c>
      <c r="IU25" s="9">
        <f t="shared" si="231"/>
        <v>-5.4960165759859914</v>
      </c>
      <c r="IV25" s="5">
        <f t="shared" si="232"/>
        <v>-0.55420167147223987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23.999996534829222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1.8825700381990096</v>
      </c>
      <c r="C26" s="708">
        <v>5.7839585047230679</v>
      </c>
      <c r="D26" s="709">
        <v>-1.0473031586663273</v>
      </c>
      <c r="E26" s="710">
        <v>0.17262184248242679</v>
      </c>
      <c r="F26" s="708">
        <v>0.53035952616624571</v>
      </c>
      <c r="G26" s="711">
        <v>0.83001233274132002</v>
      </c>
      <c r="H26" s="710">
        <v>0.26250000000000001</v>
      </c>
      <c r="I26" s="708">
        <v>0.40699999999999997</v>
      </c>
      <c r="J26" s="570">
        <v>1.2390000000000001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1314">
        <f t="shared" si="236"/>
        <v>0</v>
      </c>
      <c r="M26" s="168">
        <f t="shared" si="1"/>
        <v>1.2390000000000001</v>
      </c>
      <c r="N26" s="632">
        <f t="shared" si="2"/>
        <v>1.8825700381990096</v>
      </c>
      <c r="O26" s="629">
        <f t="shared" si="3"/>
        <v>5.7839585047230679</v>
      </c>
      <c r="P26" s="633">
        <f t="shared" si="4"/>
        <v>-1.0473031586663273</v>
      </c>
      <c r="Q26" s="585">
        <f t="shared" si="113"/>
        <v>71.970902603079594</v>
      </c>
      <c r="R26" s="629">
        <f>IF(M26="","",SQRT(N26^2+O26^2))</f>
        <v>6.0826183451769298</v>
      </c>
      <c r="S26" s="634">
        <f>IF(M26="","",P26)</f>
        <v>-1.0473031586663273</v>
      </c>
      <c r="T26" s="635">
        <f>IF(M26="","",X26*COS(RADIANS(W26)))</f>
        <v>5.7839585047230671</v>
      </c>
      <c r="U26" s="629">
        <f>IF(M26="","",X26*SIN(RADIANS(W26)))</f>
        <v>-1.8825700381990125</v>
      </c>
      <c r="V26" s="636">
        <f>IF(M26="","",Y26)</f>
        <v>-1.0473031586663273</v>
      </c>
      <c r="W26" s="585">
        <f t="shared" si="224"/>
        <v>341.97090260307959</v>
      </c>
      <c r="X26" s="629">
        <f>IF(M26="","",R26)</f>
        <v>6.0826183451769298</v>
      </c>
      <c r="Y26" s="630">
        <f t="shared" si="223"/>
        <v>-1.0473031586663273</v>
      </c>
      <c r="Z26" s="632">
        <f t="shared" si="6"/>
        <v>-0.17262184248242679</v>
      </c>
      <c r="AA26" s="629">
        <f t="shared" si="7"/>
        <v>-0.53035952616624571</v>
      </c>
      <c r="AB26" s="629">
        <f t="shared" si="8"/>
        <v>-0.83001233274132002</v>
      </c>
      <c r="AC26" s="636">
        <f>IF(M26="","",SQRT(Z26^2+AA26^2+AB26^2))</f>
        <v>1</v>
      </c>
      <c r="AD26" s="637">
        <f>IF(M26="","",Z26*(1/SQRT(Z26^2+AA26^2+AB26^2)))</f>
        <v>-0.17262184248242679</v>
      </c>
      <c r="AE26" s="629">
        <f>IF(M26="","",AA26*(1/SQRT(Z26^2+AA26^2+AB26^2)))</f>
        <v>-0.53035952616624571</v>
      </c>
      <c r="AF26" s="633">
        <f>IF(M26="","",AB26*(1/SQRT(Z26^2+AA26^2+AB26^2)))</f>
        <v>-0.83001233274132002</v>
      </c>
      <c r="AG26" s="602">
        <f>IF(M26="","",DEGREES(ATAN2(-AF26,AE26)))</f>
        <v>-32.577678111097093</v>
      </c>
      <c r="AH26" s="603">
        <f>IF(M26="","",DEGREES(ACOS(AD26)))</f>
        <v>99.940293643253213</v>
      </c>
      <c r="AI26" s="585">
        <f>IF(M26="","",DEGREES(-ACOS(-AF26)))</f>
        <v>-33.89999510544849</v>
      </c>
      <c r="AJ26" s="586">
        <f>IF(M26="","",DEGREES(ATAN2(-AE26,AD26)))</f>
        <v>-18.029074098837025</v>
      </c>
      <c r="AK26" s="635">
        <f>IF(M26="","",(COS(RADIANS((90-$Q$8)-W26))*AD26)+(-SIN(RADIANS((90-$Q$8)-W26))*AE26))</f>
        <v>2.2679489702914779E-7</v>
      </c>
      <c r="AL26" s="629">
        <f>IF(M26="","",(SIN(RADIANS((90-$Q$8)-W26))*AD26)+(COS(RADIANS((90-$Q$8)-W26))*AE26))</f>
        <v>-0.5577450380749801</v>
      </c>
      <c r="AM26" s="634">
        <f>IF(M26="","",AF26)</f>
        <v>-0.83001233274132002</v>
      </c>
      <c r="AN26" s="581">
        <f>IF(M26="","",DEGREES(ATAN2(-AM26,AL26)))</f>
        <v>-33.899995105446308</v>
      </c>
      <c r="AO26" s="582">
        <f t="shared" si="94"/>
        <v>0</v>
      </c>
      <c r="AP26" s="585">
        <f>IF(M26="","",DEGREES(ATAN2(AK26,AL26)))</f>
        <v>-89.999976701916594</v>
      </c>
      <c r="AQ26" s="586">
        <f t="shared" si="9"/>
        <v>0.37478828806172165</v>
      </c>
      <c r="AS26" s="52">
        <f t="shared" si="116"/>
        <v>-18.029097396920406</v>
      </c>
      <c r="AT26" s="72">
        <f t="shared" si="10"/>
        <v>-1.0347829521406882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734" cm="1">
        <f t="array" ref="II26">IFERROR(ROUND(VALUE(IF($IH26&lt;1,$IH26+LARGE((IF($M$9:$M$150="",0,$M$9:$M$150)-MOD(IF($M$9:$M$150="",0,$M$9:$M$150),1)),1),$IH26)),4),"")</f>
        <v>1.139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16.340497640724038</v>
      </c>
      <c r="IM26" s="759">
        <v>1.8865853197273401E-4</v>
      </c>
      <c r="IN26" s="5">
        <f t="shared" si="226"/>
        <v>0</v>
      </c>
      <c r="IO26" s="771">
        <v>0</v>
      </c>
      <c r="IP26" s="9">
        <f t="shared" si="227"/>
        <v>-6.065618293904774</v>
      </c>
      <c r="IQ26" s="5">
        <f t="shared" si="228"/>
        <v>-1.0619032027000597</v>
      </c>
      <c r="IR26" s="5">
        <f t="shared" si="71"/>
        <v>0.314</v>
      </c>
      <c r="IS26" s="5">
        <f t="shared" si="229"/>
        <v>0.2836235948016802</v>
      </c>
      <c r="IT26" s="727">
        <f t="shared" si="230"/>
        <v>54.309536854907314</v>
      </c>
      <c r="IU26" s="9">
        <f t="shared" si="231"/>
        <v>-6.0826183451769298</v>
      </c>
      <c r="IV26" s="5">
        <f t="shared" si="232"/>
        <v>-1.0473031586663273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33.899995105446308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2.0702700531968814</v>
      </c>
      <c r="C27" s="708">
        <v>6.2000057967894087</v>
      </c>
      <c r="D27" s="709">
        <v>-1.6652050222583474</v>
      </c>
      <c r="E27" s="710">
        <v>0.2188185238522764</v>
      </c>
      <c r="F27" s="708">
        <v>0.65531431355216985</v>
      </c>
      <c r="G27" s="711">
        <v>0.72296722199056807</v>
      </c>
      <c r="H27" s="710">
        <v>0.26250000000000001</v>
      </c>
      <c r="I27" s="708">
        <v>0.40699999999999997</v>
      </c>
      <c r="J27" s="570">
        <v>1.2450000000000001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1314">
        <f t="shared" si="236"/>
        <v>0</v>
      </c>
      <c r="M27" s="168">
        <f t="shared" si="1"/>
        <v>1.2450000000000001</v>
      </c>
      <c r="N27" s="632">
        <f t="shared" si="2"/>
        <v>2.0702700531968814</v>
      </c>
      <c r="O27" s="629">
        <f t="shared" si="3"/>
        <v>6.2000057967894087</v>
      </c>
      <c r="P27" s="633">
        <f t="shared" si="4"/>
        <v>-1.6652050222583474</v>
      </c>
      <c r="Q27" s="585">
        <f t="shared" si="113"/>
        <v>71.535102666001336</v>
      </c>
      <c r="R27" s="629">
        <f t="shared" si="79"/>
        <v>6.5365197141434592</v>
      </c>
      <c r="S27" s="634">
        <f t="shared" si="80"/>
        <v>-1.6652050222583474</v>
      </c>
      <c r="T27" s="635">
        <f t="shared" si="81"/>
        <v>6.2000057967894087</v>
      </c>
      <c r="U27" s="629">
        <f t="shared" si="82"/>
        <v>-2.0702700531968823</v>
      </c>
      <c r="V27" s="636">
        <f t="shared" si="114"/>
        <v>-1.6652050222583474</v>
      </c>
      <c r="W27" s="585">
        <f t="shared" si="224"/>
        <v>341.53510266600131</v>
      </c>
      <c r="X27" s="629">
        <f t="shared" si="83"/>
        <v>6.5365197141434592</v>
      </c>
      <c r="Y27" s="630">
        <f t="shared" si="223"/>
        <v>-1.6652050222583474</v>
      </c>
      <c r="Z27" s="632">
        <f t="shared" si="6"/>
        <v>-0.2188185238522764</v>
      </c>
      <c r="AA27" s="629">
        <f t="shared" si="7"/>
        <v>-0.65531431355216985</v>
      </c>
      <c r="AB27" s="629">
        <f t="shared" si="8"/>
        <v>-0.72296722199056807</v>
      </c>
      <c r="AC27" s="636">
        <f t="shared" si="84"/>
        <v>1</v>
      </c>
      <c r="AD27" s="637">
        <f t="shared" si="115"/>
        <v>-0.2188185238522764</v>
      </c>
      <c r="AE27" s="629">
        <f t="shared" si="85"/>
        <v>-0.65531431355216985</v>
      </c>
      <c r="AF27" s="633">
        <f t="shared" si="86"/>
        <v>-0.72296722199056807</v>
      </c>
      <c r="AG27" s="602">
        <f t="shared" si="87"/>
        <v>-42.189893736249921</v>
      </c>
      <c r="AH27" s="603">
        <f t="shared" si="88"/>
        <v>102.63964869943686</v>
      </c>
      <c r="AI27" s="585">
        <f t="shared" si="89"/>
        <v>-43.699993690503078</v>
      </c>
      <c r="AJ27" s="586">
        <f t="shared" si="90"/>
        <v>-18.464878525599904</v>
      </c>
      <c r="AK27" s="635">
        <f t="shared" si="211"/>
        <v>2.2679489675159203E-7</v>
      </c>
      <c r="AL27" s="629">
        <f t="shared" si="91"/>
        <v>-0.69088233146259381</v>
      </c>
      <c r="AM27" s="634">
        <f t="shared" si="92"/>
        <v>-0.72296722199056807</v>
      </c>
      <c r="AN27" s="581">
        <f t="shared" si="93"/>
        <v>-43.69999369050155</v>
      </c>
      <c r="AO27" s="582">
        <f t="shared" si="94"/>
        <v>0</v>
      </c>
      <c r="AP27" s="585">
        <f t="shared" si="95"/>
        <v>-89.999981191601222</v>
      </c>
      <c r="AQ27" s="586">
        <f t="shared" si="9"/>
        <v>0.34876334427613948</v>
      </c>
      <c r="AS27" s="52">
        <f t="shared" si="116"/>
        <v>-18.464897333998692</v>
      </c>
      <c r="AT27" s="72">
        <f t="shared" si="10"/>
        <v>-1.6523821768875151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734" cm="1">
        <f t="array" ref="II27">IFERROR(ROUND(VALUE(IF($IH27&lt;1,$IH27+LARGE((IF($M$9:$M$150="",0,$M$9:$M$150)-MOD(IF($M$9:$M$150="",0,$M$9:$M$150),1)),1),$IH27)),4),"")</f>
        <v>1.145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16.233197656216248</v>
      </c>
      <c r="IM27" s="759">
        <v>3.5390301870542401E-4</v>
      </c>
      <c r="IN27" s="5">
        <f t="shared" si="226"/>
        <v>0</v>
      </c>
      <c r="IO27" s="771">
        <v>0</v>
      </c>
      <c r="IP27" s="9">
        <f t="shared" si="227"/>
        <v>-6.520319665284112</v>
      </c>
      <c r="IQ27" s="5">
        <f t="shared" si="228"/>
        <v>-1.6715050412592036</v>
      </c>
      <c r="IR27" s="5">
        <f t="shared" si="71"/>
        <v>0.314</v>
      </c>
      <c r="IS27" s="5">
        <f t="shared" si="229"/>
        <v>0.27530137891291728</v>
      </c>
      <c r="IT27" s="727">
        <f t="shared" si="230"/>
        <v>65.439724355386886</v>
      </c>
      <c r="IU27" s="9">
        <f t="shared" si="231"/>
        <v>-6.5365197141434592</v>
      </c>
      <c r="IV27" s="5">
        <f t="shared" si="232"/>
        <v>-1.6652050222583474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43.69999369050155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2.1797804306145103</v>
      </c>
      <c r="C28" s="708">
        <v>6.4707358543659446</v>
      </c>
      <c r="D28" s="709">
        <v>-2.3652071334647169</v>
      </c>
      <c r="E28" s="710">
        <v>0.25629157900836536</v>
      </c>
      <c r="F28" s="708">
        <v>0.76080904054826848</v>
      </c>
      <c r="G28" s="711">
        <v>0.59622498299670579</v>
      </c>
      <c r="H28" s="710">
        <v>0.26250000000000001</v>
      </c>
      <c r="I28" s="708">
        <v>0.40699999999999997</v>
      </c>
      <c r="J28" s="570">
        <v>1.2509999999999999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Inactive</v>
      </c>
      <c r="L28" s="1314">
        <f t="shared" si="236"/>
        <v>0</v>
      </c>
      <c r="M28" s="168">
        <f t="shared" si="1"/>
        <v>1.2509999999999999</v>
      </c>
      <c r="N28" s="632">
        <f t="shared" si="2"/>
        <v>2.1797804306145103</v>
      </c>
      <c r="O28" s="629">
        <f t="shared" si="3"/>
        <v>6.4707358543659446</v>
      </c>
      <c r="P28" s="633">
        <f t="shared" si="4"/>
        <v>-2.3652071334647169</v>
      </c>
      <c r="Q28" s="585">
        <f t="shared" si="113"/>
        <v>71.383002687961849</v>
      </c>
      <c r="R28" s="629">
        <f t="shared" si="79"/>
        <v>6.8280205933101108</v>
      </c>
      <c r="S28" s="634">
        <f t="shared" si="80"/>
        <v>-2.3652071334647169</v>
      </c>
      <c r="T28" s="635">
        <f t="shared" si="81"/>
        <v>6.4707358543659454</v>
      </c>
      <c r="U28" s="629">
        <f t="shared" si="82"/>
        <v>-2.1797804306145099</v>
      </c>
      <c r="V28" s="636">
        <f t="shared" si="114"/>
        <v>-2.3652071334647169</v>
      </c>
      <c r="W28" s="585">
        <f t="shared" si="224"/>
        <v>341.38300268796183</v>
      </c>
      <c r="X28" s="629">
        <f t="shared" si="83"/>
        <v>6.8280205933101108</v>
      </c>
      <c r="Y28" s="630">
        <f t="shared" si="223"/>
        <v>-2.3652071334647169</v>
      </c>
      <c r="Z28" s="632">
        <f t="shared" si="6"/>
        <v>-0.25629157900836536</v>
      </c>
      <c r="AA28" s="629">
        <f t="shared" si="7"/>
        <v>-0.76080904054826848</v>
      </c>
      <c r="AB28" s="629">
        <f t="shared" si="8"/>
        <v>-0.59622498299670579</v>
      </c>
      <c r="AC28" s="636">
        <f t="shared" si="84"/>
        <v>1</v>
      </c>
      <c r="AD28" s="637">
        <f t="shared" si="115"/>
        <v>-0.25629157900836536</v>
      </c>
      <c r="AE28" s="629">
        <f t="shared" si="85"/>
        <v>-0.76080904054826848</v>
      </c>
      <c r="AF28" s="633">
        <f t="shared" si="86"/>
        <v>-0.59622498299670579</v>
      </c>
      <c r="AG28" s="602">
        <f t="shared" si="87"/>
        <v>-51.915183570792976</v>
      </c>
      <c r="AH28" s="603">
        <f t="shared" si="88"/>
        <v>104.85013075457653</v>
      </c>
      <c r="AI28" s="585">
        <f t="shared" si="89"/>
        <v>-53.399992289996149</v>
      </c>
      <c r="AJ28" s="586">
        <f t="shared" si="90"/>
        <v>-18.616981126053048</v>
      </c>
      <c r="AK28" s="635">
        <f t="shared" si="211"/>
        <v>2.2679489661281416E-7</v>
      </c>
      <c r="AL28" s="629">
        <f t="shared" si="91"/>
        <v>-0.8028173949601034</v>
      </c>
      <c r="AM28" s="634">
        <f t="shared" si="92"/>
        <v>-0.59622498299670579</v>
      </c>
      <c r="AN28" s="581">
        <f t="shared" si="93"/>
        <v>-53.399992289995062</v>
      </c>
      <c r="AO28" s="582">
        <f t="shared" si="94"/>
        <v>0</v>
      </c>
      <c r="AP28" s="585">
        <f t="shared" si="95"/>
        <v>-89.999983814014897</v>
      </c>
      <c r="AQ28" s="586">
        <f t="shared" si="9"/>
        <v>0.33387433400649835</v>
      </c>
      <c r="AS28" s="52">
        <f t="shared" si="116"/>
        <v>-18.616997312038166</v>
      </c>
      <c r="AT28" s="72">
        <f t="shared" si="10"/>
        <v>-2.3522786631091348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1.2509999999999999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</v>
      </c>
      <c r="II28" s="734" cm="1">
        <f t="array" ref="II28">IFERROR(ROUND(VALUE(IF($IH28&lt;1,$IH28+LARGE((IF($M$9:$M$150="",0,$M$9:$M$150)-MOD(IF($M$9:$M$150="",0,$M$9:$M$150),1)),1),$IH28)),4),"")</f>
        <v>1.151</v>
      </c>
      <c r="IJ28" s="533">
        <f t="shared" si="112"/>
        <v>1613</v>
      </c>
      <c r="IK28" s="533" t="str">
        <f t="shared" si="66"/>
        <v>Inactive</v>
      </c>
      <c r="IL28" s="727">
        <f t="shared" si="225"/>
        <v>16.008797688615573</v>
      </c>
      <c r="IM28" s="759">
        <v>5.0608649700948098E-4</v>
      </c>
      <c r="IN28" s="5">
        <f t="shared" si="226"/>
        <v>0</v>
      </c>
      <c r="IO28" s="771">
        <v>0</v>
      </c>
      <c r="IP28" s="9">
        <f t="shared" si="227"/>
        <v>-6.8177205622452171</v>
      </c>
      <c r="IQ28" s="5">
        <f t="shared" si="228"/>
        <v>-2.3624071250198884</v>
      </c>
      <c r="IR28" s="5">
        <f t="shared" si="71"/>
        <v>0.314</v>
      </c>
      <c r="IS28" s="5">
        <f t="shared" si="229"/>
        <v>0.26389045228314678</v>
      </c>
      <c r="IT28" s="727">
        <f t="shared" si="230"/>
        <v>74.685662043966488</v>
      </c>
      <c r="IU28" s="9">
        <f t="shared" si="231"/>
        <v>-6.8280205933101108</v>
      </c>
      <c r="IV28" s="5">
        <f t="shared" si="232"/>
        <v>-2.3652071334647169</v>
      </c>
      <c r="IW28" s="5">
        <f t="shared" si="76"/>
        <v>0.26250000000000001</v>
      </c>
      <c r="IX28" s="5">
        <f t="shared" si="233"/>
        <v>0.26250000000000001</v>
      </c>
      <c r="IY28" s="762">
        <f t="shared" si="234"/>
        <v>53.399992289995062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2.2526441877646017</v>
      </c>
      <c r="C29" s="708">
        <v>6.630829434246289</v>
      </c>
      <c r="D29" s="709">
        <v>-3.0876093122296857</v>
      </c>
      <c r="E29" s="710">
        <v>0.28609608943913867</v>
      </c>
      <c r="F29" s="708">
        <v>0.84214629608583824</v>
      </c>
      <c r="G29" s="711">
        <v>0.45709806781098533</v>
      </c>
      <c r="H29" s="710">
        <v>0.26250000000000001</v>
      </c>
      <c r="I29" s="708">
        <v>0.40699999999999997</v>
      </c>
      <c r="J29" s="570">
        <v>1.2569999999999999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1314">
        <f t="shared" si="236"/>
        <v>0</v>
      </c>
      <c r="M29" s="168">
        <f t="shared" si="1"/>
        <v>1.2569999999999999</v>
      </c>
      <c r="N29" s="632">
        <f t="shared" si="2"/>
        <v>2.2526441877646017</v>
      </c>
      <c r="O29" s="629">
        <f t="shared" si="3"/>
        <v>6.630829434246289</v>
      </c>
      <c r="P29" s="633">
        <f t="shared" si="4"/>
        <v>-3.0876093122296857</v>
      </c>
      <c r="Q29" s="585">
        <f t="shared" si="113"/>
        <v>71.236202709157141</v>
      </c>
      <c r="R29" s="629">
        <f>IF(M29="","",SQRT(N29^2+O29^2))</f>
        <v>7.0030211211117024</v>
      </c>
      <c r="S29" s="634">
        <f>IF(M29="","",P29)</f>
        <v>-3.0876093122296857</v>
      </c>
      <c r="T29" s="635">
        <f>IF(M29="","",X29*COS(RADIANS(W29)))</f>
        <v>6.6308294342462899</v>
      </c>
      <c r="U29" s="629">
        <f>IF(M29="","",X29*SIN(RADIANS(W29)))</f>
        <v>-2.2526441877645991</v>
      </c>
      <c r="V29" s="636">
        <f>IF(M29="","",Y29)</f>
        <v>-3.0876093122296857</v>
      </c>
      <c r="W29" s="585">
        <f t="shared" si="224"/>
        <v>341.23620270915717</v>
      </c>
      <c r="X29" s="629">
        <f>IF(M29="","",R29)</f>
        <v>7.0030211211117024</v>
      </c>
      <c r="Y29" s="630">
        <f t="shared" si="223"/>
        <v>-3.0876093122296857</v>
      </c>
      <c r="Z29" s="632">
        <f t="shared" si="6"/>
        <v>-0.28609608943913867</v>
      </c>
      <c r="AA29" s="629">
        <f t="shared" si="7"/>
        <v>-0.84214629608583824</v>
      </c>
      <c r="AB29" s="629">
        <f t="shared" si="8"/>
        <v>-0.45709806781098533</v>
      </c>
      <c r="AC29" s="636">
        <f>IF(M29="","",SQRT(Z29^2+AA29^2+AB29^2))</f>
        <v>1</v>
      </c>
      <c r="AD29" s="637">
        <f>IF(M29="","",Z29*(1/SQRT(Z29^2+AA29^2+AB29^2)))</f>
        <v>-0.28609608943913867</v>
      </c>
      <c r="AE29" s="629">
        <f>IF(M29="","",AA29*(1/SQRT(Z29^2+AA29^2+AB29^2)))</f>
        <v>-0.84214629608583824</v>
      </c>
      <c r="AF29" s="633">
        <f>IF(M29="","",AB29*(1/SQRT(Z29^2+AA29^2+AB29^2)))</f>
        <v>-0.45709806781098533</v>
      </c>
      <c r="AG29" s="602">
        <f>IF(M29="","",DEGREES(ATAN2(-AF29,AE29)))</f>
        <v>-61.507885692672772</v>
      </c>
      <c r="AH29" s="603">
        <f>IF(M29="","",DEGREES(ACOS(AD29)))</f>
        <v>106.62437825712153</v>
      </c>
      <c r="AI29" s="585">
        <f>IF(M29="","",DEGREES(-ACOS(-AF29)))</f>
        <v>-62.799990932804015</v>
      </c>
      <c r="AJ29" s="586">
        <f>IF(M29="","",DEGREES(ATAN2(-AE29,AD29)))</f>
        <v>-18.763782680822359</v>
      </c>
      <c r="AK29" s="635">
        <f>IF(M29="","",(COS(RADIANS((90-$Q$8)-W29))*AD29)+(-SIN(RADIANS((90-$Q$8)-W29))*AE29))</f>
        <v>2.2679489625199167E-7</v>
      </c>
      <c r="AL29" s="629">
        <f>IF(M29="","",(SIN(RADIANS((90-$Q$8)-W29))*AD29)+(COS(RADIANS((90-$Q$8)-W29))*AE29))</f>
        <v>-0.88941630095440261</v>
      </c>
      <c r="AM29" s="634">
        <f>IF(M29="","",AF29)</f>
        <v>-0.45709806781098533</v>
      </c>
      <c r="AN29" s="581">
        <f>IF(M29="","",DEGREES(ATAN2(-AM29,AL29)))</f>
        <v>-62.799990932803269</v>
      </c>
      <c r="AO29" s="582">
        <f t="shared" si="94"/>
        <v>0</v>
      </c>
      <c r="AP29" s="585">
        <f>IF(M29="","",DEGREES(ATAN2(AK29,AL29)))</f>
        <v>-89.999985389979528</v>
      </c>
      <c r="AQ29" s="586">
        <f t="shared" si="9"/>
        <v>0.32553123319870658</v>
      </c>
      <c r="AS29" s="52">
        <f t="shared" si="116"/>
        <v>-18.763797290842831</v>
      </c>
      <c r="AT29" s="72">
        <f t="shared" si="10"/>
        <v>-3.0745788974443782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7">IF(ISNUMBER($HL29),VLOOKUP($HL29,$GJ$9:$HI$150,HM$1,FALSE),"")</f>
        <v/>
      </c>
      <c r="HN29" s="384" t="str">
        <f t="shared" si="237"/>
        <v/>
      </c>
      <c r="HO29" s="385" t="str">
        <f t="shared" si="237"/>
        <v/>
      </c>
      <c r="HP29" s="380" t="str">
        <f t="shared" si="237"/>
        <v/>
      </c>
      <c r="HQ29" s="384" t="str">
        <f t="shared" si="237"/>
        <v/>
      </c>
      <c r="HR29" s="395" t="str">
        <f t="shared" si="237"/>
        <v/>
      </c>
      <c r="HS29" s="379" t="str">
        <f t="shared" si="237"/>
        <v/>
      </c>
      <c r="HT29" s="374" t="str">
        <f t="shared" si="237"/>
        <v/>
      </c>
      <c r="HU29" s="375" t="str">
        <f t="shared" si="237"/>
        <v/>
      </c>
      <c r="HV29" s="376" t="str">
        <f t="shared" si="237"/>
        <v/>
      </c>
      <c r="HW29" s="374" t="str">
        <f t="shared" si="237"/>
        <v/>
      </c>
      <c r="HX29" s="375" t="str">
        <f t="shared" si="237"/>
        <v/>
      </c>
      <c r="HY29" s="376" t="str">
        <f t="shared" si="237"/>
        <v/>
      </c>
      <c r="HZ29" s="374" t="str">
        <f t="shared" si="237"/>
        <v/>
      </c>
      <c r="IA29" s="375" t="str">
        <f t="shared" si="237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1.2569999999999999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</v>
      </c>
      <c r="II29" s="734" cm="1">
        <f t="array" ref="II29">IFERROR(ROUND(VALUE(IF($IH29&lt;1,$IH29+LARGE((IF($M$9:$M$150="",0,$M$9:$M$150)-MOD(IF($M$9:$M$150="",0,$M$9:$M$150),1)),1),$IH29)),4),"")</f>
        <v>1.157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15.918197701696613</v>
      </c>
      <c r="IM29" s="759">
        <v>4.1569306667098798E-4</v>
      </c>
      <c r="IN29" s="5">
        <f t="shared" si="226"/>
        <v>0</v>
      </c>
      <c r="IO29" s="771">
        <v>0</v>
      </c>
      <c r="IP29" s="9">
        <f t="shared" si="227"/>
        <v>-6.999421110254068</v>
      </c>
      <c r="IQ29" s="5">
        <f t="shared" si="228"/>
        <v>-3.0791092865936074</v>
      </c>
      <c r="IR29" s="5">
        <f t="shared" si="71"/>
        <v>0.314</v>
      </c>
      <c r="IS29" s="5">
        <f t="shared" si="229"/>
        <v>0.25461979553953445</v>
      </c>
      <c r="IT29" s="727">
        <f t="shared" si="230"/>
        <v>83.628775103129882</v>
      </c>
      <c r="IU29" s="9">
        <f t="shared" si="231"/>
        <v>-7.0030211211117024</v>
      </c>
      <c r="IV29" s="5">
        <f t="shared" si="232"/>
        <v>-3.0876093122296857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62.799990932803269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2.2367731974593346</v>
      </c>
      <c r="C30" s="708">
        <v>6.7235191799043381</v>
      </c>
      <c r="D30" s="709">
        <v>-3.8395115799669246</v>
      </c>
      <c r="E30" s="710">
        <v>0.28609291441338697</v>
      </c>
      <c r="F30" s="708">
        <v>0.85996774572681467</v>
      </c>
      <c r="G30" s="711">
        <v>0.42261841019055846</v>
      </c>
      <c r="H30" s="710">
        <v>0.26250000000000001</v>
      </c>
      <c r="I30" s="708">
        <v>0.40699999999999997</v>
      </c>
      <c r="J30" s="570">
        <v>1.2629999999999999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1314">
        <f t="shared" si="236"/>
        <v>0</v>
      </c>
      <c r="M30" s="168">
        <f t="shared" si="1"/>
        <v>1.2629999999999999</v>
      </c>
      <c r="N30" s="632">
        <f t="shared" si="2"/>
        <v>2.2367731974593346</v>
      </c>
      <c r="O30" s="629">
        <f t="shared" si="3"/>
        <v>6.7235191799043381</v>
      </c>
      <c r="P30" s="633">
        <f t="shared" si="4"/>
        <v>-3.8395115799669246</v>
      </c>
      <c r="Q30" s="585">
        <f t="shared" si="113"/>
        <v>71.598802656804196</v>
      </c>
      <c r="R30" s="629">
        <f>IF(M30="","",SQRT(N30^2+O30^2))</f>
        <v>7.0858213708372553</v>
      </c>
      <c r="S30" s="634">
        <f>IF(M30="","",P30)</f>
        <v>-3.8395115799669246</v>
      </c>
      <c r="T30" s="635">
        <f>IF(M30="","",X30*COS(RADIANS(W30)))</f>
        <v>6.7235191799043381</v>
      </c>
      <c r="U30" s="629">
        <f>IF(M30="","",X30*SIN(RADIANS(W30)))</f>
        <v>-2.2367731974593337</v>
      </c>
      <c r="V30" s="636">
        <f>IF(M30="","",Y30)</f>
        <v>-3.8395115799669246</v>
      </c>
      <c r="W30" s="585">
        <f t="shared" si="224"/>
        <v>341.5988026568042</v>
      </c>
      <c r="X30" s="629">
        <f>IF(M30="","",R30)</f>
        <v>7.0858213708372553</v>
      </c>
      <c r="Y30" s="630">
        <f t="shared" si="223"/>
        <v>-3.8395115799669246</v>
      </c>
      <c r="Z30" s="632">
        <f t="shared" si="6"/>
        <v>-0.28609291441338697</v>
      </c>
      <c r="AA30" s="629">
        <f t="shared" si="7"/>
        <v>-0.85996774572681467</v>
      </c>
      <c r="AB30" s="629">
        <f t="shared" si="8"/>
        <v>-0.42261841019055846</v>
      </c>
      <c r="AC30" s="636">
        <f>IF(M30="","",SQRT(Z30^2+AA30^2+AB30^2))</f>
        <v>1</v>
      </c>
      <c r="AD30" s="637">
        <f>IF(M30="","",Z30*(1/SQRT(Z30^2+AA30^2+AB30^2)))</f>
        <v>-0.28609291441338697</v>
      </c>
      <c r="AE30" s="629">
        <f>IF(M30="","",AA30*(1/SQRT(Z30^2+AA30^2+AB30^2)))</f>
        <v>-0.85996774572681467</v>
      </c>
      <c r="AF30" s="633">
        <f>IF(M30="","",AB30*(1/SQRT(Z30^2+AA30^2+AB30^2)))</f>
        <v>-0.42261841019055846</v>
      </c>
      <c r="AG30" s="602">
        <f>IF(M30="","",DEGREES(ATAN2(-AF30,AE30)))</f>
        <v>-63.828874292468328</v>
      </c>
      <c r="AH30" s="603">
        <f>IF(M30="","",DEGREES(ACOS(AD30)))</f>
        <v>106.62418840603792</v>
      </c>
      <c r="AI30" s="585">
        <f>IF(M30="","",DEGREES(-ACOS(-AF30)))</f>
        <v>-64.999990615163156</v>
      </c>
      <c r="AJ30" s="586">
        <f>IF(M30="","",DEGREES(ATAN2(-AE30,AD30)))</f>
        <v>-18.401183005471289</v>
      </c>
      <c r="AK30" s="635">
        <f>IF(M30="","",(COS(RADIANS((90-$Q$8)-W30))*AD30)+(-SIN(RADIANS((90-$Q$8)-W30))*AE30))</f>
        <v>2.2679489658505858E-7</v>
      </c>
      <c r="AL30" s="629">
        <f>IF(M30="","",(SIN(RADIANS((90-$Q$8)-W30))*AD30)+(COS(RADIANS((90-$Q$8)-W30))*AE30))</f>
        <v>-0.90630771781330066</v>
      </c>
      <c r="AM30" s="634">
        <f>IF(M30="","",AF30)</f>
        <v>-0.42261841019055846</v>
      </c>
      <c r="AN30" s="581">
        <f>IF(M30="","",DEGREES(ATAN2(-AM30,AL30)))</f>
        <v>-64.999990615162474</v>
      </c>
      <c r="AO30" s="582">
        <f>IF(ROUND(IF(M30="",0,DEGREES(ACOS(AK30))),4)=90,0,IF(M30="","",DEGREES(ACOS(AK30))))</f>
        <v>0</v>
      </c>
      <c r="AP30" s="585">
        <f>IF(M30="","",DEGREES(ATAN2(AK30,AL30)))</f>
        <v>-89.999985662275478</v>
      </c>
      <c r="AQ30" s="586">
        <f t="shared" si="9"/>
        <v>0.32172736967144977</v>
      </c>
      <c r="AS30" s="52">
        <f t="shared" si="116"/>
        <v>-18.401197343195804</v>
      </c>
      <c r="AT30" s="72">
        <f t="shared" si="10"/>
        <v>-3.8267329707008164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7"/>
        <v/>
      </c>
      <c r="HN30" s="384" t="str">
        <f t="shared" si="237"/>
        <v/>
      </c>
      <c r="HO30" s="385" t="str">
        <f t="shared" si="237"/>
        <v/>
      </c>
      <c r="HP30" s="380" t="str">
        <f t="shared" si="237"/>
        <v/>
      </c>
      <c r="HQ30" s="384" t="str">
        <f t="shared" si="237"/>
        <v/>
      </c>
      <c r="HR30" s="395" t="str">
        <f t="shared" si="237"/>
        <v/>
      </c>
      <c r="HS30" s="379" t="str">
        <f t="shared" si="237"/>
        <v/>
      </c>
      <c r="HT30" s="374" t="str">
        <f t="shared" si="237"/>
        <v/>
      </c>
      <c r="HU30" s="375" t="str">
        <f t="shared" si="237"/>
        <v/>
      </c>
      <c r="HV30" s="376" t="str">
        <f t="shared" si="237"/>
        <v/>
      </c>
      <c r="HW30" s="374" t="str">
        <f t="shared" si="237"/>
        <v/>
      </c>
      <c r="HX30" s="375" t="str">
        <f t="shared" si="237"/>
        <v/>
      </c>
      <c r="HY30" s="376" t="str">
        <f t="shared" si="237"/>
        <v/>
      </c>
      <c r="HZ30" s="374" t="str">
        <f t="shared" si="237"/>
        <v/>
      </c>
      <c r="IA30" s="375" t="str">
        <f t="shared" si="237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1.2629999999999999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</v>
      </c>
      <c r="II30" s="734" cm="1">
        <f t="array" ref="II30">IFERROR(ROUND(VALUE(IF($IH30&lt;1,$IH30+LARGE((IF($M$9:$M$150="",0,$M$9:$M$150)-MOD(IF($M$9:$M$150="",0,$M$9:$M$150),1)),1),$IH30)),4),"")</f>
        <v>1.163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15.151197343195804</v>
      </c>
      <c r="IM30" s="759">
        <v>1.7859273836915899E-4</v>
      </c>
      <c r="IN30" s="5">
        <f t="shared" si="226"/>
        <v>0</v>
      </c>
      <c r="IO30" s="771">
        <v>0</v>
      </c>
      <c r="IP30" s="9">
        <f t="shared" si="227"/>
        <v>-7.0907213856156988</v>
      </c>
      <c r="IQ30" s="5">
        <f t="shared" si="228"/>
        <v>-3.8271115425684128</v>
      </c>
      <c r="IR30" s="5">
        <f t="shared" si="71"/>
        <v>0.314</v>
      </c>
      <c r="IS30" s="5">
        <f t="shared" si="229"/>
        <v>0.24497434192168435</v>
      </c>
      <c r="IT30" s="727">
        <f t="shared" si="230"/>
        <v>84.982622709260156</v>
      </c>
      <c r="IU30" s="9">
        <f t="shared" si="231"/>
        <v>-7.0858213708372553</v>
      </c>
      <c r="IV30" s="5">
        <f t="shared" si="232"/>
        <v>-3.8395115799669246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64.999990615162474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45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2.8885938921557575</v>
      </c>
      <c r="C31" s="708">
        <v>1.3469708389584762</v>
      </c>
      <c r="D31" s="709">
        <v>-0.10020030220411148</v>
      </c>
      <c r="E31" s="710">
        <v>-0.46157817470970963</v>
      </c>
      <c r="F31" s="708">
        <v>0.82159872802864986</v>
      </c>
      <c r="G31" s="711">
        <v>0.33454613842242703</v>
      </c>
      <c r="H31" s="710">
        <v>0.314</v>
      </c>
      <c r="I31" s="708">
        <v>0.52</v>
      </c>
      <c r="J31" s="570">
        <v>2.1139999999999999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2.1139999999999999</v>
      </c>
      <c r="N31" s="632">
        <f t="shared" si="2"/>
        <v>2.8885938921557575</v>
      </c>
      <c r="O31" s="629">
        <f t="shared" si="3"/>
        <v>1.3469708389584762</v>
      </c>
      <c r="P31" s="633">
        <f t="shared" si="4"/>
        <v>-0.10020030220411148</v>
      </c>
      <c r="Q31" s="585">
        <f t="shared" si="113"/>
        <v>24.999957407275939</v>
      </c>
      <c r="R31" s="629">
        <f>IF(M31="","",SQRT(N31^2+O31^2))</f>
        <v>3.1872096126241911</v>
      </c>
      <c r="S31" s="634">
        <f>IF(M31="","",P31)</f>
        <v>-0.10020030220411148</v>
      </c>
      <c r="T31" s="635">
        <f>IF(M31="","",X31*COS(RADIANS(W31)))</f>
        <v>1.346970838958474</v>
      </c>
      <c r="U31" s="629">
        <f>IF(M31="","",X31*SIN(RADIANS(W31)))</f>
        <v>-2.8885938921557579</v>
      </c>
      <c r="V31" s="636">
        <f>IF(M31="","",Y31)</f>
        <v>-0.10020030220411148</v>
      </c>
      <c r="W31" s="585">
        <f t="shared" si="224"/>
        <v>294.99995740727593</v>
      </c>
      <c r="X31" s="629">
        <f>IF(M31="","",R31)</f>
        <v>3.1872096126241911</v>
      </c>
      <c r="Y31" s="630">
        <f t="shared" si="223"/>
        <v>-0.10020030220411148</v>
      </c>
      <c r="Z31" s="632">
        <f t="shared" si="6"/>
        <v>0.46157817470970963</v>
      </c>
      <c r="AA31" s="629">
        <f t="shared" si="7"/>
        <v>-0.82159872802864986</v>
      </c>
      <c r="AB31" s="629">
        <f t="shared" si="8"/>
        <v>-0.33454613842242703</v>
      </c>
      <c r="AC31" s="636">
        <f>IF(M31="","",SQRT(Z31^2+AA31^2+AB31^2))</f>
        <v>1</v>
      </c>
      <c r="AD31" s="637">
        <f>IF(M31="","",Z31*(1/SQRT(Z31^2+AA31^2+AB31^2)))</f>
        <v>0.46157817470970963</v>
      </c>
      <c r="AE31" s="629">
        <f>IF(M31="","",AA31*(1/SQRT(Z31^2+AA31^2+AB31^2)))</f>
        <v>-0.82159872802864986</v>
      </c>
      <c r="AF31" s="633">
        <f>IF(M31="","",AB31*(1/SQRT(Z31^2+AA31^2+AB31^2)))</f>
        <v>-0.33454613842242703</v>
      </c>
      <c r="AG31" s="602">
        <f>IF(M31="","",DEGREES(ATAN2(-AF31,AE31)))</f>
        <v>-67.844377034299455</v>
      </c>
      <c r="AH31" s="603">
        <f>IF(M31="","",DEGREES(ACOS(AD31)))</f>
        <v>62.511008794380956</v>
      </c>
      <c r="AI31" s="585">
        <f>IF(M31="","",DEGREES(-ACOS(-AF31)))</f>
        <v>-70.455058773042126</v>
      </c>
      <c r="AJ31" s="586">
        <f>IF(M31="","",DEGREES(ATAN2(-AE31,AD31)))</f>
        <v>29.327489877093502</v>
      </c>
      <c r="AK31" s="635">
        <f>IF(M31="","",(COS(RADIANS((90-$Q$8)-W31))*AD31)+(-SIN(RADIANS((90-$Q$8)-W31))*AE31))</f>
        <v>0.93969263802333458</v>
      </c>
      <c r="AL31" s="629">
        <f>IF(M31="","",(SIN(RADIANS((90-$Q$8)-W31))*AD31)+(COS(RADIANS((90-$Q$8)-W31))*AE31))</f>
        <v>7.1109966329543972E-2</v>
      </c>
      <c r="AM31" s="634">
        <f>IF(M31="","",AF31)</f>
        <v>-0.33454613842242703</v>
      </c>
      <c r="AN31" s="581">
        <f>IF(M31="","",DEGREES(ATAN2(-AM31,AL31)))</f>
        <v>11.999998267414806</v>
      </c>
      <c r="AO31" s="582">
        <f t="shared" si="94"/>
        <v>19.999997112357679</v>
      </c>
      <c r="AP31" s="585">
        <f>IF(M31="","",DEGREES(ATAN2(AK31,AL31)))</f>
        <v>4.3275324698176059</v>
      </c>
      <c r="AQ31" s="586">
        <f t="shared" si="9"/>
        <v>0.71523636359499698</v>
      </c>
      <c r="AS31" s="52">
        <f t="shared" si="116"/>
        <v>-65.000042592724071</v>
      </c>
      <c r="AT31" s="72">
        <f t="shared" si="10"/>
        <v>-5.5061383736941985E-2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7"/>
        <v/>
      </c>
      <c r="HN31" s="384" t="str">
        <f t="shared" si="237"/>
        <v/>
      </c>
      <c r="HO31" s="385" t="str">
        <f t="shared" si="237"/>
        <v/>
      </c>
      <c r="HP31" s="380" t="str">
        <f t="shared" si="237"/>
        <v/>
      </c>
      <c r="HQ31" s="384" t="str">
        <f t="shared" si="237"/>
        <v/>
      </c>
      <c r="HR31" s="395" t="str">
        <f t="shared" si="237"/>
        <v/>
      </c>
      <c r="HS31" s="379" t="str">
        <f t="shared" si="237"/>
        <v/>
      </c>
      <c r="HT31" s="374" t="str">
        <f t="shared" si="237"/>
        <v/>
      </c>
      <c r="HU31" s="375" t="str">
        <f t="shared" si="237"/>
        <v/>
      </c>
      <c r="HV31" s="376" t="str">
        <f t="shared" si="237"/>
        <v/>
      </c>
      <c r="HW31" s="374" t="str">
        <f t="shared" si="237"/>
        <v/>
      </c>
      <c r="HX31" s="375" t="str">
        <f t="shared" si="237"/>
        <v/>
      </c>
      <c r="HY31" s="376" t="str">
        <f t="shared" si="237"/>
        <v/>
      </c>
      <c r="HZ31" s="374" t="str">
        <f t="shared" si="237"/>
        <v/>
      </c>
      <c r="IA31" s="375" t="str">
        <f t="shared" si="237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2.1139999999999999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3.5598983273715481</v>
      </c>
      <c r="C32" s="708">
        <v>1.6600046305048324</v>
      </c>
      <c r="D32" s="709">
        <v>-5.9900180658944722E-2</v>
      </c>
      <c r="E32" s="710">
        <v>-0.38306921945179306</v>
      </c>
      <c r="F32" s="708">
        <v>0.85820798404649346</v>
      </c>
      <c r="G32" s="711">
        <v>0.34166801024890786</v>
      </c>
      <c r="H32" s="710">
        <v>0.314</v>
      </c>
      <c r="I32" s="708">
        <v>0.52</v>
      </c>
      <c r="J32" s="570">
        <v>2.12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2.12</v>
      </c>
      <c r="N32" s="632">
        <f t="shared" si="2"/>
        <v>3.5598983273715481</v>
      </c>
      <c r="O32" s="629">
        <f t="shared" si="3"/>
        <v>1.6600046305048324</v>
      </c>
      <c r="P32" s="633">
        <f t="shared" si="4"/>
        <v>-5.9900180658944722E-2</v>
      </c>
      <c r="Q32" s="585">
        <f t="shared" si="113"/>
        <v>24.999957407275954</v>
      </c>
      <c r="R32" s="629">
        <f t="shared" si="79"/>
        <v>3.9279118465821292</v>
      </c>
      <c r="S32" s="634">
        <f t="shared" si="80"/>
        <v>-5.9900180658944722E-2</v>
      </c>
      <c r="T32" s="635">
        <f t="shared" si="81"/>
        <v>1.6600046305048288</v>
      </c>
      <c r="U32" s="629">
        <f t="shared" si="82"/>
        <v>-3.5598983273715499</v>
      </c>
      <c r="V32" s="636">
        <f t="shared" si="114"/>
        <v>-5.9900180658944722E-2</v>
      </c>
      <c r="W32" s="585">
        <f t="shared" si="224"/>
        <v>294.99995740727593</v>
      </c>
      <c r="X32" s="629">
        <f t="shared" si="83"/>
        <v>3.9279118465821292</v>
      </c>
      <c r="Y32" s="630">
        <f t="shared" si="223"/>
        <v>-5.9900180658944722E-2</v>
      </c>
      <c r="Z32" s="632">
        <f t="shared" si="6"/>
        <v>0.38306921945179306</v>
      </c>
      <c r="AA32" s="629">
        <f t="shared" si="7"/>
        <v>-0.85820798404649346</v>
      </c>
      <c r="AB32" s="629">
        <f t="shared" si="8"/>
        <v>-0.34166801024890786</v>
      </c>
      <c r="AC32" s="636">
        <f t="shared" si="84"/>
        <v>1</v>
      </c>
      <c r="AD32" s="637">
        <f t="shared" si="115"/>
        <v>0.38306921945179306</v>
      </c>
      <c r="AE32" s="629">
        <f t="shared" si="85"/>
        <v>-0.85820798404649346</v>
      </c>
      <c r="AF32" s="633">
        <f t="shared" si="86"/>
        <v>-0.34166801024890786</v>
      </c>
      <c r="AG32" s="602">
        <f t="shared" si="87"/>
        <v>-68.291610331629769</v>
      </c>
      <c r="AH32" s="603">
        <f t="shared" si="88"/>
        <v>67.476072763110366</v>
      </c>
      <c r="AI32" s="585">
        <f t="shared" si="89"/>
        <v>-70.021469109622103</v>
      </c>
      <c r="AJ32" s="586">
        <f t="shared" si="90"/>
        <v>24.054045777028882</v>
      </c>
      <c r="AK32" s="635">
        <f t="shared" si="211"/>
        <v>0.93969263802333469</v>
      </c>
      <c r="AL32" s="629">
        <f t="shared" si="91"/>
        <v>-1.5515051314722972E-2</v>
      </c>
      <c r="AM32" s="634">
        <f t="shared" si="92"/>
        <v>-0.34166801024890786</v>
      </c>
      <c r="AN32" s="581">
        <f t="shared" si="93"/>
        <v>-2.5999996246063763</v>
      </c>
      <c r="AO32" s="582">
        <f t="shared" si="94"/>
        <v>19.999997112357665</v>
      </c>
      <c r="AP32" s="585">
        <f t="shared" si="95"/>
        <v>-0.94591163024701119</v>
      </c>
      <c r="AQ32" s="586">
        <f t="shared" si="9"/>
        <v>0.58037164535830565</v>
      </c>
      <c r="AS32" s="52">
        <f t="shared" si="116"/>
        <v>-65.000042592724071</v>
      </c>
      <c r="AT32" s="72">
        <f t="shared" si="10"/>
        <v>-1.4761262191775225E-2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7"/>
        <v/>
      </c>
      <c r="HN32" s="384" t="str">
        <f t="shared" si="237"/>
        <v/>
      </c>
      <c r="HO32" s="385" t="str">
        <f t="shared" si="237"/>
        <v/>
      </c>
      <c r="HP32" s="380" t="str">
        <f t="shared" si="237"/>
        <v/>
      </c>
      <c r="HQ32" s="384" t="str">
        <f t="shared" si="237"/>
        <v/>
      </c>
      <c r="HR32" s="395" t="str">
        <f t="shared" si="237"/>
        <v/>
      </c>
      <c r="HS32" s="379" t="str">
        <f t="shared" si="237"/>
        <v/>
      </c>
      <c r="HT32" s="374" t="str">
        <f t="shared" si="237"/>
        <v/>
      </c>
      <c r="HU32" s="375" t="str">
        <f t="shared" si="237"/>
        <v/>
      </c>
      <c r="HV32" s="376" t="str">
        <f t="shared" si="237"/>
        <v/>
      </c>
      <c r="HW32" s="374" t="str">
        <f t="shared" si="237"/>
        <v/>
      </c>
      <c r="HX32" s="375" t="str">
        <f t="shared" si="237"/>
        <v/>
      </c>
      <c r="HY32" s="376" t="str">
        <f t="shared" si="237"/>
        <v/>
      </c>
      <c r="HZ32" s="374" t="str">
        <f t="shared" si="237"/>
        <v/>
      </c>
      <c r="IA32" s="375" t="str">
        <f t="shared" si="237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4.2542828315550789</v>
      </c>
      <c r="C33" s="708">
        <v>1.9495645098515759</v>
      </c>
      <c r="D33" s="709">
        <v>-0.19970060229701639</v>
      </c>
      <c r="E33" s="710">
        <v>-0.26807811307199214</v>
      </c>
      <c r="F33" s="708">
        <v>0.90879280180528532</v>
      </c>
      <c r="G33" s="711">
        <v>0.31973390292344622</v>
      </c>
      <c r="H33" s="710">
        <v>0.314</v>
      </c>
      <c r="I33" s="708">
        <v>0.52</v>
      </c>
      <c r="J33" s="570">
        <v>2.1259999999999999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2.1259999999999999</v>
      </c>
      <c r="N33" s="632">
        <f t="shared" si="2"/>
        <v>4.2542828315550789</v>
      </c>
      <c r="O33" s="629">
        <f t="shared" si="3"/>
        <v>1.9495645098515759</v>
      </c>
      <c r="P33" s="633">
        <f t="shared" si="4"/>
        <v>-0.19970060229701639</v>
      </c>
      <c r="Q33" s="585">
        <f t="shared" si="113"/>
        <v>24.620057462126717</v>
      </c>
      <c r="R33" s="629">
        <f t="shared" si="79"/>
        <v>4.6797141140177692</v>
      </c>
      <c r="S33" s="634">
        <f t="shared" si="80"/>
        <v>-0.19970060229701639</v>
      </c>
      <c r="T33" s="635">
        <f t="shared" si="81"/>
        <v>1.9495645098515775</v>
      </c>
      <c r="U33" s="629">
        <f t="shared" si="82"/>
        <v>-4.254282831555078</v>
      </c>
      <c r="V33" s="636">
        <f t="shared" si="114"/>
        <v>-0.19970060229701639</v>
      </c>
      <c r="W33" s="585">
        <f t="shared" si="224"/>
        <v>294.62005746212674</v>
      </c>
      <c r="X33" s="629">
        <f t="shared" si="83"/>
        <v>4.6797141140177692</v>
      </c>
      <c r="Y33" s="630">
        <f t="shared" si="223"/>
        <v>-0.19970060229701639</v>
      </c>
      <c r="Z33" s="632">
        <f t="shared" si="6"/>
        <v>0.26807811307199214</v>
      </c>
      <c r="AA33" s="629">
        <f t="shared" si="7"/>
        <v>-0.90879280180528532</v>
      </c>
      <c r="AB33" s="629">
        <f t="shared" si="8"/>
        <v>-0.31973390292344622</v>
      </c>
      <c r="AC33" s="636">
        <f t="shared" si="84"/>
        <v>1</v>
      </c>
      <c r="AD33" s="637">
        <f t="shared" si="115"/>
        <v>0.26807811307199214</v>
      </c>
      <c r="AE33" s="629">
        <f t="shared" si="85"/>
        <v>-0.90879280180528532</v>
      </c>
      <c r="AF33" s="633">
        <f t="shared" si="86"/>
        <v>-0.31973390292344622</v>
      </c>
      <c r="AG33" s="602">
        <f t="shared" si="87"/>
        <v>-70.616972538554407</v>
      </c>
      <c r="AH33" s="603">
        <f t="shared" si="88"/>
        <v>74.45006466769631</v>
      </c>
      <c r="AI33" s="585">
        <f t="shared" si="89"/>
        <v>-71.353166770364425</v>
      </c>
      <c r="AJ33" s="586">
        <f t="shared" si="90"/>
        <v>16.435144960191025</v>
      </c>
      <c r="AK33" s="635">
        <f t="shared" si="211"/>
        <v>0.93785583528009753</v>
      </c>
      <c r="AL33" s="629">
        <f t="shared" si="91"/>
        <v>-0.1348950093680677</v>
      </c>
      <c r="AM33" s="634">
        <f t="shared" si="92"/>
        <v>-0.31973390292344622</v>
      </c>
      <c r="AN33" s="581">
        <f t="shared" si="93"/>
        <v>-22.874770979007867</v>
      </c>
      <c r="AO33" s="582">
        <f t="shared" si="94"/>
        <v>20.305465588545374</v>
      </c>
      <c r="AP33" s="585">
        <f t="shared" si="95"/>
        <v>-8.184912501935715</v>
      </c>
      <c r="AQ33" s="586">
        <f t="shared" si="9"/>
        <v>0.48713909536962041</v>
      </c>
      <c r="AS33" s="52">
        <f t="shared" si="116"/>
        <v>-65.379942537873262</v>
      </c>
      <c r="AT33" s="72">
        <f t="shared" si="10"/>
        <v>-0.1542978644234933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7"/>
        <v/>
      </c>
      <c r="HN33" s="384" t="str">
        <f t="shared" si="237"/>
        <v/>
      </c>
      <c r="HO33" s="385" t="str">
        <f t="shared" si="237"/>
        <v/>
      </c>
      <c r="HP33" s="380" t="str">
        <f t="shared" si="237"/>
        <v/>
      </c>
      <c r="HQ33" s="384" t="str">
        <f t="shared" si="237"/>
        <v/>
      </c>
      <c r="HR33" s="395" t="str">
        <f t="shared" si="237"/>
        <v/>
      </c>
      <c r="HS33" s="379" t="str">
        <f t="shared" si="237"/>
        <v/>
      </c>
      <c r="HT33" s="374" t="str">
        <f t="shared" si="237"/>
        <v/>
      </c>
      <c r="HU33" s="375" t="str">
        <f t="shared" si="237"/>
        <v/>
      </c>
      <c r="HV33" s="376" t="str">
        <f t="shared" si="237"/>
        <v/>
      </c>
      <c r="HW33" s="374" t="str">
        <f t="shared" si="237"/>
        <v/>
      </c>
      <c r="HX33" s="375" t="str">
        <f t="shared" si="237"/>
        <v/>
      </c>
      <c r="HY33" s="376" t="str">
        <f t="shared" si="237"/>
        <v/>
      </c>
      <c r="HZ33" s="374" t="str">
        <f t="shared" si="237"/>
        <v/>
      </c>
      <c r="IA33" s="375" t="str">
        <f t="shared" si="237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4.9068202749629837</v>
      </c>
      <c r="C34" s="708">
        <v>2.1891591830166512</v>
      </c>
      <c r="D34" s="709">
        <v>-0.5113015420854512</v>
      </c>
      <c r="E34" s="710">
        <v>-0.1727419213989986</v>
      </c>
      <c r="F34" s="708">
        <v>0.94609325835545666</v>
      </c>
      <c r="G34" s="711">
        <v>0.27398499062127013</v>
      </c>
      <c r="H34" s="710">
        <v>0.314</v>
      </c>
      <c r="I34" s="708">
        <v>0.52</v>
      </c>
      <c r="J34" s="570">
        <v>2.1320000000000001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2.1320000000000001</v>
      </c>
      <c r="N34" s="632">
        <f t="shared" si="2"/>
        <v>4.9068202749629837</v>
      </c>
      <c r="O34" s="629">
        <f t="shared" si="3"/>
        <v>2.1891591830166512</v>
      </c>
      <c r="P34" s="633">
        <f t="shared" si="4"/>
        <v>-0.5113015420854512</v>
      </c>
      <c r="Q34" s="585">
        <f t="shared" si="113"/>
        <v>24.043857545319682</v>
      </c>
      <c r="R34" s="629">
        <f>IF(M34="","",SQRT(N34^2+O34^2))</f>
        <v>5.3730162050168753</v>
      </c>
      <c r="S34" s="634">
        <f>IF(M34="","",P34)</f>
        <v>-0.5113015420854512</v>
      </c>
      <c r="T34" s="635">
        <f>IF(M34="","",X34*COS(RADIANS(W34)))</f>
        <v>2.1891591830166504</v>
      </c>
      <c r="U34" s="629">
        <f>IF(M34="","",X34*SIN(RADIANS(W34)))</f>
        <v>-4.9068202749629837</v>
      </c>
      <c r="V34" s="636">
        <f>IF(M34="","",Y34)</f>
        <v>-0.5113015420854512</v>
      </c>
      <c r="W34" s="585">
        <f t="shared" si="224"/>
        <v>294.04385754531967</v>
      </c>
      <c r="X34" s="629">
        <f>IF(M34="","",R34)</f>
        <v>5.3730162050168753</v>
      </c>
      <c r="Y34" s="630">
        <f t="shared" si="223"/>
        <v>-0.5113015420854512</v>
      </c>
      <c r="Z34" s="632">
        <f t="shared" si="6"/>
        <v>0.1727419213989986</v>
      </c>
      <c r="AA34" s="629">
        <f t="shared" si="7"/>
        <v>-0.94609325835545666</v>
      </c>
      <c r="AB34" s="629">
        <f t="shared" si="8"/>
        <v>-0.27398499062127013</v>
      </c>
      <c r="AC34" s="636">
        <f>IF(M34="","",SQRT(Z34^2+AA34^2+AB34^2))</f>
        <v>1</v>
      </c>
      <c r="AD34" s="637">
        <f>IF(M34="","",Z34*(1/SQRT(Z34^2+AA34^2+AB34^2)))</f>
        <v>0.1727419213989986</v>
      </c>
      <c r="AE34" s="629">
        <f>IF(M34="","",AA34*(1/SQRT(Z34^2+AA34^2+AB34^2)))</f>
        <v>-0.94609325835545666</v>
      </c>
      <c r="AF34" s="633">
        <f>IF(M34="","",AB34*(1/SQRT(Z34^2+AA34^2+AB34^2)))</f>
        <v>-0.27398499062127013</v>
      </c>
      <c r="AG34" s="602">
        <f>IF(M34="","",DEGREES(ATAN2(-AF34,AE34)))</f>
        <v>-73.849185746915467</v>
      </c>
      <c r="AH34" s="603">
        <f>IF(M34="","",DEGREES(ACOS(AD34)))</f>
        <v>80.052721411307061</v>
      </c>
      <c r="AI34" s="585">
        <f>IF(M34="","",DEGREES(-ACOS(-AF34)))</f>
        <v>-74.098464630380676</v>
      </c>
      <c r="AJ34" s="586">
        <f>IF(M34="","",DEGREES(ATAN2(-AE34,AD34)))</f>
        <v>10.347339981732135</v>
      </c>
      <c r="AK34" s="635">
        <f>IF(M34="","",(COS(RADIANS((90-$Q$8)-W34))*AD34)+(-SIN(RADIANS((90-$Q$8)-W34))*AE34))</f>
        <v>0.93438563258737417</v>
      </c>
      <c r="AL34" s="629">
        <f>IF(M34="","",(SIN(RADIANS((90-$Q$8)-W34))*AD34)+(COS(RADIANS((90-$Q$8)-W34))*AE34))</f>
        <v>-0.227718498432945</v>
      </c>
      <c r="AM34" s="634">
        <f>IF(M34="","",AF34)</f>
        <v>-0.27398499062127013</v>
      </c>
      <c r="AN34" s="581">
        <f>IF(M34="","",DEGREES(ATAN2(-AM34,AL34)))</f>
        <v>-39.731154380185927</v>
      </c>
      <c r="AO34" s="582">
        <f t="shared" si="94"/>
        <v>20.870884751880503</v>
      </c>
      <c r="AP34" s="585">
        <f>IF(M34="","",DEGREES(ATAN2(AK34,AL34)))</f>
        <v>-13.69651756358753</v>
      </c>
      <c r="AQ34" s="586">
        <f t="shared" si="9"/>
        <v>0.42428402860285996</v>
      </c>
      <c r="AS34" s="52">
        <f t="shared" si="116"/>
        <v>-65.956142454680332</v>
      </c>
      <c r="AT34" s="72">
        <f t="shared" si="10"/>
        <v>-0.46549866538081208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7"/>
        <v/>
      </c>
      <c r="HN34" s="384" t="str">
        <f t="shared" si="237"/>
        <v/>
      </c>
      <c r="HO34" s="385" t="str">
        <f t="shared" si="237"/>
        <v/>
      </c>
      <c r="HP34" s="380" t="str">
        <f t="shared" si="237"/>
        <v/>
      </c>
      <c r="HQ34" s="384" t="str">
        <f t="shared" si="237"/>
        <v/>
      </c>
      <c r="HR34" s="395" t="str">
        <f t="shared" si="237"/>
        <v/>
      </c>
      <c r="HS34" s="379" t="str">
        <f t="shared" si="237"/>
        <v/>
      </c>
      <c r="HT34" s="374" t="str">
        <f t="shared" si="237"/>
        <v/>
      </c>
      <c r="HU34" s="375" t="str">
        <f t="shared" si="237"/>
        <v/>
      </c>
      <c r="HV34" s="376" t="str">
        <f t="shared" si="237"/>
        <v/>
      </c>
      <c r="HW34" s="374" t="str">
        <f t="shared" si="237"/>
        <v/>
      </c>
      <c r="HX34" s="375" t="str">
        <f t="shared" si="237"/>
        <v/>
      </c>
      <c r="HY34" s="376" t="str">
        <f t="shared" si="237"/>
        <v/>
      </c>
      <c r="HZ34" s="374" t="str">
        <f t="shared" si="237"/>
        <v/>
      </c>
      <c r="IA34" s="375" t="str">
        <f t="shared" si="237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2.1320000000000001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5.4836811338979263</v>
      </c>
      <c r="C35" s="708">
        <v>2.3745414524360391</v>
      </c>
      <c r="D35" s="709">
        <v>-0.97230293246564459</v>
      </c>
      <c r="E35" s="710">
        <v>-6.1076267254086242E-2</v>
      </c>
      <c r="F35" s="708">
        <v>0.96619882403468105</v>
      </c>
      <c r="G35" s="711">
        <v>0.25045862335385255</v>
      </c>
      <c r="H35" s="710">
        <v>0.314</v>
      </c>
      <c r="I35" s="708">
        <v>0.52</v>
      </c>
      <c r="J35" s="570">
        <v>2.1379999999999999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2.1379999999999999</v>
      </c>
      <c r="N35" s="632">
        <f t="shared" si="2"/>
        <v>5.4836811338979263</v>
      </c>
      <c r="O35" s="629">
        <f t="shared" si="3"/>
        <v>2.3745414524360391</v>
      </c>
      <c r="P35" s="633">
        <f t="shared" si="4"/>
        <v>-0.97230293246564459</v>
      </c>
      <c r="Q35" s="585">
        <f t="shared" si="113"/>
        <v>23.413557636323738</v>
      </c>
      <c r="R35" s="629">
        <f>IF(M35="","",SQRT(N35^2+O35^2))</f>
        <v>5.9757180227655571</v>
      </c>
      <c r="S35" s="634">
        <f>IF(M35="","",P35)</f>
        <v>-0.97230293246564459</v>
      </c>
      <c r="T35" s="635">
        <f>IF(M35="","",X35*COS(RADIANS(W35)))</f>
        <v>2.374541452436036</v>
      </c>
      <c r="U35" s="629">
        <f>IF(M35="","",X35*SIN(RADIANS(W35)))</f>
        <v>-5.4836811338979272</v>
      </c>
      <c r="V35" s="636">
        <f>IF(M35="","",Y35)</f>
        <v>-0.97230293246564459</v>
      </c>
      <c r="W35" s="585">
        <f t="shared" si="224"/>
        <v>293.41355763632373</v>
      </c>
      <c r="X35" s="629">
        <f>IF(M35="","",R35)</f>
        <v>5.9757180227655571</v>
      </c>
      <c r="Y35" s="630">
        <f t="shared" si="223"/>
        <v>-0.97230293246564459</v>
      </c>
      <c r="Z35" s="632">
        <f t="shared" si="6"/>
        <v>6.1076267254086242E-2</v>
      </c>
      <c r="AA35" s="629">
        <f t="shared" si="7"/>
        <v>-0.96619882403468105</v>
      </c>
      <c r="AB35" s="629">
        <f t="shared" si="8"/>
        <v>-0.25045862335385255</v>
      </c>
      <c r="AC35" s="636">
        <f>IF(M35="","",SQRT(Z35^2+AA35^2+AB35^2))</f>
        <v>1</v>
      </c>
      <c r="AD35" s="637">
        <f>IF(M35="","",Z35*(1/SQRT(Z35^2+AA35^2+AB35^2)))</f>
        <v>6.1076267254086242E-2</v>
      </c>
      <c r="AE35" s="629">
        <f>IF(M35="","",AA35*(1/SQRT(Z35^2+AA35^2+AB35^2)))</f>
        <v>-0.96619882403468105</v>
      </c>
      <c r="AF35" s="633">
        <f>IF(M35="","",AB35*(1/SQRT(Z35^2+AA35^2+AB35^2)))</f>
        <v>-0.25045862335385255</v>
      </c>
      <c r="AG35" s="602">
        <f>IF(M35="","",DEGREES(ATAN2(-AF35,AE35)))</f>
        <v>-75.467621308465169</v>
      </c>
      <c r="AH35" s="603">
        <f>IF(M35="","",DEGREES(ACOS(AD35)))</f>
        <v>86.498408348612102</v>
      </c>
      <c r="AI35" s="585">
        <f>IF(M35="","",DEGREES(-ACOS(-AF35)))</f>
        <v>-75.495347195858059</v>
      </c>
      <c r="AJ35" s="586">
        <f>IF(M35="","",DEGREES(ATAN2(-AE35,AD35)))</f>
        <v>3.6170220105778657</v>
      </c>
      <c r="AK35" s="635">
        <f>IF(M35="","",(COS(RADIANS((90-$Q$8)-W35))*AD35)+(-SIN(RADIANS((90-$Q$8)-W35))*AE35))</f>
        <v>0.9109121900616477</v>
      </c>
      <c r="AL35" s="629">
        <f>IF(M35="","",(SIN(RADIANS((90-$Q$8)-W35))*AD35)+(COS(RADIANS((90-$Q$8)-W35))*AE35))</f>
        <v>-0.32788635223928664</v>
      </c>
      <c r="AM35" s="634">
        <f>IF(M35="","",AF35)</f>
        <v>-0.25045862335385255</v>
      </c>
      <c r="AN35" s="581">
        <f>IF(M35="","",DEGREES(ATAN2(-AM35,AL35)))</f>
        <v>-52.625309040106117</v>
      </c>
      <c r="AO35" s="582">
        <f t="shared" si="94"/>
        <v>24.368284638521029</v>
      </c>
      <c r="AP35" s="585">
        <f>IF(M35="","",DEGREES(ATAN2(AK35,AL35)))</f>
        <v>-19.796535625745843</v>
      </c>
      <c r="AQ35" s="586">
        <f t="shared" si="9"/>
        <v>0.38149272340456336</v>
      </c>
      <c r="AS35" s="52">
        <f t="shared" si="116"/>
        <v>-66.586442363676269</v>
      </c>
      <c r="AT35" s="72">
        <f t="shared" si="10"/>
        <v>-0.92606234749086935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7"/>
        <v/>
      </c>
      <c r="HN35" s="384" t="str">
        <f t="shared" si="237"/>
        <v/>
      </c>
      <c r="HO35" s="385" t="str">
        <f t="shared" si="237"/>
        <v/>
      </c>
      <c r="HP35" s="380" t="str">
        <f t="shared" si="237"/>
        <v/>
      </c>
      <c r="HQ35" s="384" t="str">
        <f t="shared" si="237"/>
        <v/>
      </c>
      <c r="HR35" s="395" t="str">
        <f t="shared" si="237"/>
        <v/>
      </c>
      <c r="HS35" s="379" t="str">
        <f t="shared" si="237"/>
        <v/>
      </c>
      <c r="HT35" s="374" t="str">
        <f t="shared" si="237"/>
        <v/>
      </c>
      <c r="HU35" s="375" t="str">
        <f t="shared" si="237"/>
        <v/>
      </c>
      <c r="HV35" s="376" t="str">
        <f t="shared" si="237"/>
        <v/>
      </c>
      <c r="HW35" s="374" t="str">
        <f t="shared" si="237"/>
        <v/>
      </c>
      <c r="HX35" s="375" t="str">
        <f t="shared" si="237"/>
        <v/>
      </c>
      <c r="HY35" s="376" t="str">
        <f t="shared" si="237"/>
        <v/>
      </c>
      <c r="HZ35" s="374" t="str">
        <f t="shared" si="237"/>
        <v/>
      </c>
      <c r="IA35" s="375" t="str">
        <f t="shared" si="237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2.1379999999999999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5.9491938459305631</v>
      </c>
      <c r="C36" s="708">
        <v>2.5066723887832185</v>
      </c>
      <c r="D36" s="709">
        <v>-1.5620047110062083</v>
      </c>
      <c r="E36" s="710">
        <v>5.455646593490919E-2</v>
      </c>
      <c r="F36" s="708">
        <v>0.97509111895475598</v>
      </c>
      <c r="G36" s="711">
        <v>0.21499046899863983</v>
      </c>
      <c r="H36" s="710">
        <v>0.314</v>
      </c>
      <c r="I36" s="708">
        <v>0.52</v>
      </c>
      <c r="J36" s="570">
        <v>2.1440000000000001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2.1440000000000001</v>
      </c>
      <c r="N36" s="632">
        <f t="shared" si="2"/>
        <v>5.9491938459305631</v>
      </c>
      <c r="O36" s="629">
        <f t="shared" si="3"/>
        <v>2.5066723887832185</v>
      </c>
      <c r="P36" s="633">
        <f t="shared" si="4"/>
        <v>-1.5620047110062083</v>
      </c>
      <c r="Q36" s="585">
        <f t="shared" si="113"/>
        <v>22.847957717986265</v>
      </c>
      <c r="R36" s="629">
        <f>IF(M36="","",SQRT(N36^2+O36^2))</f>
        <v>6.4557194704499246</v>
      </c>
      <c r="S36" s="634">
        <f>IF(M36="","",P36)</f>
        <v>-1.5620047110062083</v>
      </c>
      <c r="T36" s="635">
        <f>IF(M36="","",X36*COS(RADIANS(W36)))</f>
        <v>2.5066723887832207</v>
      </c>
      <c r="U36" s="629">
        <f>IF(M36="","",X36*SIN(RADIANS(W36)))</f>
        <v>-5.9491938459305631</v>
      </c>
      <c r="V36" s="636">
        <f>IF(M36="","",Y36)</f>
        <v>-1.5620047110062083</v>
      </c>
      <c r="W36" s="585">
        <f t="shared" si="224"/>
        <v>292.84795771798628</v>
      </c>
      <c r="X36" s="629">
        <f>IF(M36="","",R36)</f>
        <v>6.4557194704499246</v>
      </c>
      <c r="Y36" s="630">
        <f t="shared" si="223"/>
        <v>-1.5620047110062083</v>
      </c>
      <c r="Z36" s="632">
        <f t="shared" si="6"/>
        <v>-5.455646593490919E-2</v>
      </c>
      <c r="AA36" s="629">
        <f t="shared" si="7"/>
        <v>-0.97509111895475598</v>
      </c>
      <c r="AB36" s="629">
        <f t="shared" si="8"/>
        <v>-0.21499046899863983</v>
      </c>
      <c r="AC36" s="636">
        <f>IF(M36="","",SQRT(Z36^2+AA36^2+AB36^2))</f>
        <v>1</v>
      </c>
      <c r="AD36" s="637">
        <f>IF(M36="","",Z36*(1/SQRT(Z36^2+AA36^2+AB36^2)))</f>
        <v>-5.455646593490919E-2</v>
      </c>
      <c r="AE36" s="629">
        <f>IF(M36="","",AA36*(1/SQRT(Z36^2+AA36^2+AB36^2)))</f>
        <v>-0.97509111895475598</v>
      </c>
      <c r="AF36" s="633">
        <f>IF(M36="","",AB36*(1/SQRT(Z36^2+AA36^2+AB36^2)))</f>
        <v>-0.21499046899863983</v>
      </c>
      <c r="AG36" s="602">
        <f>IF(M36="","",DEGREES(ATAN2(-AF36,AE36)))</f>
        <v>-77.56621847360438</v>
      </c>
      <c r="AH36" s="603">
        <f>IF(M36="","",DEGREES(ACOS(AD36)))</f>
        <v>93.127407960549931</v>
      </c>
      <c r="AI36" s="585">
        <f>IF(M36="","",DEGREES(-ACOS(-AF36)))</f>
        <v>-77.585031857195133</v>
      </c>
      <c r="AJ36" s="586">
        <f>IF(M36="","",DEGREES(ATAN2(-AE36,AD36)))</f>
        <v>-3.2023669919409321</v>
      </c>
      <c r="AK36" s="635">
        <f>IF(M36="","",(COS(RADIANS((90-$Q$8)-W36))*AD36)+(-SIN(RADIANS((90-$Q$8)-W36))*AE36))</f>
        <v>0.87740040800189656</v>
      </c>
      <c r="AL36" s="629">
        <f>IF(M36="","",(SIN(RADIANS((90-$Q$8)-W36))*AD36)+(COS(RADIANS((90-$Q$8)-W36))*AE36))</f>
        <v>-0.42889115434787245</v>
      </c>
      <c r="AM36" s="634">
        <f>IF(M36="","",AF36)</f>
        <v>-0.21499046899863983</v>
      </c>
      <c r="AN36" s="581">
        <f>IF(M36="","",DEGREES(ATAN2(-AM36,AL36)))</f>
        <v>-63.376744528859888</v>
      </c>
      <c r="AO36" s="582">
        <f t="shared" si="94"/>
        <v>28.669651264279633</v>
      </c>
      <c r="AP36" s="585">
        <f>IF(M36="","",DEGREES(ATAN2(AK36,AL36)))</f>
        <v>-26.050324709927217</v>
      </c>
      <c r="AQ36" s="586">
        <f t="shared" si="9"/>
        <v>0.35312838122132012</v>
      </c>
      <c r="AS36" s="52">
        <f t="shared" si="116"/>
        <v>-67.152042282013724</v>
      </c>
      <c r="AT36" s="72">
        <f t="shared" si="10"/>
        <v>-1.5153713483103655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7"/>
        <v/>
      </c>
      <c r="HN36" s="384" t="str">
        <f t="shared" si="237"/>
        <v/>
      </c>
      <c r="HO36" s="385" t="str">
        <f t="shared" si="237"/>
        <v/>
      </c>
      <c r="HP36" s="380" t="str">
        <f t="shared" si="237"/>
        <v/>
      </c>
      <c r="HQ36" s="384" t="str">
        <f t="shared" si="237"/>
        <v/>
      </c>
      <c r="HR36" s="395" t="str">
        <f t="shared" si="237"/>
        <v/>
      </c>
      <c r="HS36" s="379" t="str">
        <f t="shared" si="237"/>
        <v/>
      </c>
      <c r="HT36" s="374" t="str">
        <f t="shared" si="237"/>
        <v/>
      </c>
      <c r="HU36" s="375" t="str">
        <f t="shared" si="237"/>
        <v/>
      </c>
      <c r="HV36" s="376" t="str">
        <f t="shared" si="237"/>
        <v/>
      </c>
      <c r="HW36" s="374" t="str">
        <f t="shared" si="237"/>
        <v/>
      </c>
      <c r="HX36" s="375" t="str">
        <f t="shared" si="237"/>
        <v/>
      </c>
      <c r="HY36" s="376" t="str">
        <f t="shared" si="237"/>
        <v/>
      </c>
      <c r="HZ36" s="374" t="str">
        <f t="shared" si="237"/>
        <v/>
      </c>
      <c r="IA36" s="375" t="str">
        <f t="shared" si="237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2.1440000000000001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6.2686825663780814</v>
      </c>
      <c r="C37" s="708">
        <v>2.5885858584225763</v>
      </c>
      <c r="D37" s="709">
        <v>-2.2417067609875909</v>
      </c>
      <c r="E37" s="710">
        <v>0.1572268693315873</v>
      </c>
      <c r="F37" s="708">
        <v>0.9745866574869182</v>
      </c>
      <c r="G37" s="711">
        <v>0.15956365064971595</v>
      </c>
      <c r="H37" s="710">
        <v>0.314</v>
      </c>
      <c r="I37" s="708">
        <v>0.52</v>
      </c>
      <c r="J37" s="570">
        <v>2.15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2.15</v>
      </c>
      <c r="N37" s="632">
        <f t="shared" si="2"/>
        <v>6.2686825663780814</v>
      </c>
      <c r="O37" s="629">
        <f t="shared" si="3"/>
        <v>2.5885858584225763</v>
      </c>
      <c r="P37" s="633">
        <f t="shared" si="4"/>
        <v>-2.2417067609875909</v>
      </c>
      <c r="Q37" s="585">
        <f t="shared" si="113"/>
        <v>22.437657777226239</v>
      </c>
      <c r="R37" s="629">
        <f t="shared" si="79"/>
        <v>6.782120454875292</v>
      </c>
      <c r="S37" s="634">
        <f t="shared" si="80"/>
        <v>-2.2417067609875909</v>
      </c>
      <c r="T37" s="635">
        <f t="shared" si="81"/>
        <v>2.5885858584225758</v>
      </c>
      <c r="U37" s="629">
        <f t="shared" si="82"/>
        <v>-6.2686825663780823</v>
      </c>
      <c r="V37" s="636">
        <f t="shared" si="114"/>
        <v>-2.2417067609875909</v>
      </c>
      <c r="W37" s="585">
        <f t="shared" si="224"/>
        <v>292.43765777722626</v>
      </c>
      <c r="X37" s="629">
        <f t="shared" si="83"/>
        <v>6.782120454875292</v>
      </c>
      <c r="Y37" s="630">
        <f t="shared" si="223"/>
        <v>-2.2417067609875909</v>
      </c>
      <c r="Z37" s="632">
        <f t="shared" si="6"/>
        <v>-0.1572268693315873</v>
      </c>
      <c r="AA37" s="629">
        <f t="shared" si="7"/>
        <v>-0.9745866574869182</v>
      </c>
      <c r="AB37" s="629">
        <f t="shared" si="8"/>
        <v>-0.15956365064971595</v>
      </c>
      <c r="AC37" s="636">
        <f t="shared" si="84"/>
        <v>1</v>
      </c>
      <c r="AD37" s="637">
        <f t="shared" si="115"/>
        <v>-0.1572268693315873</v>
      </c>
      <c r="AE37" s="629">
        <f t="shared" si="85"/>
        <v>-0.9745866574869182</v>
      </c>
      <c r="AF37" s="633">
        <f t="shared" si="86"/>
        <v>-0.15956365064971595</v>
      </c>
      <c r="AG37" s="602">
        <f t="shared" si="87"/>
        <v>-80.701776902157306</v>
      </c>
      <c r="AH37" s="603">
        <f t="shared" si="88"/>
        <v>99.045970281808877</v>
      </c>
      <c r="AI37" s="585">
        <f t="shared" si="89"/>
        <v>-80.818430139174581</v>
      </c>
      <c r="AJ37" s="586">
        <f t="shared" si="90"/>
        <v>-9.1643796068760039</v>
      </c>
      <c r="AK37" s="635">
        <f t="shared" si="211"/>
        <v>0.84079590986886765</v>
      </c>
      <c r="AL37" s="629">
        <f t="shared" si="91"/>
        <v>-0.51730230942759059</v>
      </c>
      <c r="AM37" s="634">
        <f t="shared" si="92"/>
        <v>-0.15956365064971595</v>
      </c>
      <c r="AN37" s="581">
        <f t="shared" si="93"/>
        <v>-72.857444187742715</v>
      </c>
      <c r="AO37" s="582">
        <f t="shared" si="94"/>
        <v>32.775738589089869</v>
      </c>
      <c r="AP37" s="585">
        <f t="shared" si="95"/>
        <v>-31.602037384102246</v>
      </c>
      <c r="AQ37" s="586">
        <f t="shared" si="9"/>
        <v>0.33613388215336737</v>
      </c>
      <c r="AS37" s="52">
        <f t="shared" si="116"/>
        <v>-67.562342222773736</v>
      </c>
      <c r="AT37" s="72">
        <f t="shared" si="10"/>
        <v>-2.1947884677773315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7"/>
        <v/>
      </c>
      <c r="HN37" s="384" t="str">
        <f t="shared" si="237"/>
        <v/>
      </c>
      <c r="HO37" s="385" t="str">
        <f t="shared" si="237"/>
        <v/>
      </c>
      <c r="HP37" s="380" t="str">
        <f t="shared" si="237"/>
        <v/>
      </c>
      <c r="HQ37" s="384" t="str">
        <f t="shared" si="237"/>
        <v/>
      </c>
      <c r="HR37" s="395" t="str">
        <f t="shared" si="237"/>
        <v/>
      </c>
      <c r="HS37" s="379" t="str">
        <f t="shared" si="237"/>
        <v/>
      </c>
      <c r="HT37" s="374" t="str">
        <f t="shared" si="237"/>
        <v/>
      </c>
      <c r="HU37" s="375" t="str">
        <f t="shared" si="237"/>
        <v/>
      </c>
      <c r="HV37" s="376" t="str">
        <f t="shared" si="237"/>
        <v/>
      </c>
      <c r="HW37" s="374" t="str">
        <f t="shared" si="237"/>
        <v/>
      </c>
      <c r="HX37" s="375" t="str">
        <f t="shared" si="237"/>
        <v/>
      </c>
      <c r="HY37" s="376" t="str">
        <f t="shared" si="237"/>
        <v/>
      </c>
      <c r="HZ37" s="374" t="str">
        <f t="shared" si="237"/>
        <v/>
      </c>
      <c r="IA37" s="375" t="str">
        <f t="shared" si="237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2.15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6.4584831416907651</v>
      </c>
      <c r="C38" s="708">
        <v>2.6339170396918714</v>
      </c>
      <c r="D38" s="709">
        <v>-2.9569089180372967</v>
      </c>
      <c r="E38" s="710">
        <v>0.22991177563809914</v>
      </c>
      <c r="F38" s="708">
        <v>0.96978664268637083</v>
      </c>
      <c r="G38" s="711">
        <v>8.1574769935524233E-2</v>
      </c>
      <c r="H38" s="710">
        <v>0.314</v>
      </c>
      <c r="I38" s="708">
        <v>0.52</v>
      </c>
      <c r="J38" s="570">
        <v>2.1560000000000001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2.1560000000000001</v>
      </c>
      <c r="N38" s="632">
        <f t="shared" si="2"/>
        <v>6.4584831416907651</v>
      </c>
      <c r="O38" s="629">
        <f t="shared" si="3"/>
        <v>2.6339170396918714</v>
      </c>
      <c r="P38" s="633">
        <f t="shared" si="4"/>
        <v>-2.9569089180372967</v>
      </c>
      <c r="Q38" s="585">
        <f t="shared" si="113"/>
        <v>22.186757813451724</v>
      </c>
      <c r="R38" s="629">
        <f t="shared" si="79"/>
        <v>6.9749210363618461</v>
      </c>
      <c r="S38" s="634">
        <f t="shared" si="80"/>
        <v>-2.9569089180372967</v>
      </c>
      <c r="T38" s="635">
        <f t="shared" si="81"/>
        <v>2.6339170396918692</v>
      </c>
      <c r="U38" s="629">
        <f t="shared" si="82"/>
        <v>-6.458483141690766</v>
      </c>
      <c r="V38" s="636">
        <f t="shared" si="114"/>
        <v>-2.9569089180372967</v>
      </c>
      <c r="W38" s="585">
        <f t="shared" si="224"/>
        <v>292.18675781345172</v>
      </c>
      <c r="X38" s="629">
        <f t="shared" si="83"/>
        <v>6.9749210363618461</v>
      </c>
      <c r="Y38" s="630">
        <f t="shared" si="223"/>
        <v>-2.9569089180372967</v>
      </c>
      <c r="Z38" s="632">
        <f t="shared" si="6"/>
        <v>-0.22991177563809914</v>
      </c>
      <c r="AA38" s="629">
        <f t="shared" si="7"/>
        <v>-0.96978664268637083</v>
      </c>
      <c r="AB38" s="629">
        <f t="shared" si="8"/>
        <v>-8.1574769935524233E-2</v>
      </c>
      <c r="AC38" s="636">
        <f t="shared" si="84"/>
        <v>1</v>
      </c>
      <c r="AD38" s="637">
        <f t="shared" si="115"/>
        <v>-0.22991177563809914</v>
      </c>
      <c r="AE38" s="629">
        <f t="shared" si="85"/>
        <v>-0.96978664268637083</v>
      </c>
      <c r="AF38" s="633">
        <f t="shared" si="86"/>
        <v>-8.1574769935524233E-2</v>
      </c>
      <c r="AG38" s="602">
        <f t="shared" si="87"/>
        <v>-85.191815431865848</v>
      </c>
      <c r="AH38" s="603">
        <f t="shared" si="88"/>
        <v>103.29187766776029</v>
      </c>
      <c r="AI38" s="585">
        <f t="shared" si="89"/>
        <v>-85.320910694420746</v>
      </c>
      <c r="AJ38" s="586">
        <f t="shared" si="90"/>
        <v>-13.337143764965649</v>
      </c>
      <c r="AK38" s="635">
        <f t="shared" si="211"/>
        <v>0.81116074430843121</v>
      </c>
      <c r="AL38" s="629">
        <f t="shared" si="91"/>
        <v>-0.57910603847910114</v>
      </c>
      <c r="AM38" s="634">
        <f t="shared" si="92"/>
        <v>-8.1574769935524233E-2</v>
      </c>
      <c r="AN38" s="581">
        <f t="shared" si="93"/>
        <v>-81.981884484309475</v>
      </c>
      <c r="AO38" s="582">
        <f t="shared" si="94"/>
        <v>35.790505210799843</v>
      </c>
      <c r="AP38" s="585">
        <f t="shared" si="95"/>
        <v>-35.523901578417352</v>
      </c>
      <c r="AQ38" s="586">
        <f t="shared" si="9"/>
        <v>0.32684268276893313</v>
      </c>
      <c r="AS38" s="52">
        <f t="shared" si="116"/>
        <v>-67.81324218654828</v>
      </c>
      <c r="AT38" s="72">
        <f t="shared" si="10"/>
        <v>-2.9098163887410826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8">IF(ISNUMBER(HL38),HK37+1,"")</f>
        <v/>
      </c>
      <c r="HL38" s="322" t="str">
        <f t="shared" si="111"/>
        <v/>
      </c>
      <c r="HM38" s="369" t="str">
        <f t="shared" si="237"/>
        <v/>
      </c>
      <c r="HN38" s="384" t="str">
        <f t="shared" si="237"/>
        <v/>
      </c>
      <c r="HO38" s="385" t="str">
        <f t="shared" si="237"/>
        <v/>
      </c>
      <c r="HP38" s="380" t="str">
        <f t="shared" si="237"/>
        <v/>
      </c>
      <c r="HQ38" s="384" t="str">
        <f t="shared" si="237"/>
        <v/>
      </c>
      <c r="HR38" s="395" t="str">
        <f t="shared" si="237"/>
        <v/>
      </c>
      <c r="HS38" s="379" t="str">
        <f t="shared" si="237"/>
        <v/>
      </c>
      <c r="HT38" s="374" t="str">
        <f t="shared" si="237"/>
        <v/>
      </c>
      <c r="HU38" s="375" t="str">
        <f t="shared" si="237"/>
        <v/>
      </c>
      <c r="HV38" s="376" t="str">
        <f t="shared" si="237"/>
        <v/>
      </c>
      <c r="HW38" s="374" t="str">
        <f t="shared" si="237"/>
        <v/>
      </c>
      <c r="HX38" s="375" t="str">
        <f t="shared" si="237"/>
        <v/>
      </c>
      <c r="HY38" s="376" t="str">
        <f t="shared" si="237"/>
        <v/>
      </c>
      <c r="HZ38" s="374" t="str">
        <f t="shared" si="237"/>
        <v/>
      </c>
      <c r="IA38" s="375" t="str">
        <f t="shared" si="237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2.1560000000000001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6.5862103567542576</v>
      </c>
      <c r="C39" s="708">
        <v>2.6276258182386036</v>
      </c>
      <c r="D39" s="709">
        <v>-3.7017111643608711</v>
      </c>
      <c r="E39" s="710">
        <v>0.28971029315139718</v>
      </c>
      <c r="F39" s="708">
        <v>0.95555027333428155</v>
      </c>
      <c r="G39" s="711">
        <v>5.4695714392550415E-2</v>
      </c>
      <c r="H39" s="710">
        <v>0.314</v>
      </c>
      <c r="I39" s="708">
        <v>0.52</v>
      </c>
      <c r="J39" s="570">
        <v>2.1619999999999999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2.1619999999999999</v>
      </c>
      <c r="N39" s="632">
        <f t="shared" si="2"/>
        <v>6.5862103567542576</v>
      </c>
      <c r="O39" s="629">
        <f t="shared" si="3"/>
        <v>2.6276258182386036</v>
      </c>
      <c r="P39" s="633">
        <f t="shared" si="4"/>
        <v>-3.7017111643608711</v>
      </c>
      <c r="Q39" s="585">
        <f t="shared" si="113"/>
        <v>21.749957407275954</v>
      </c>
      <c r="R39" s="629">
        <f t="shared" si="79"/>
        <v>7.0910213865205014</v>
      </c>
      <c r="S39" s="634">
        <f t="shared" si="80"/>
        <v>-3.7017111643608711</v>
      </c>
      <c r="T39" s="635">
        <f t="shared" si="81"/>
        <v>2.6276258182386032</v>
      </c>
      <c r="U39" s="629">
        <f t="shared" si="82"/>
        <v>-6.5862103567542576</v>
      </c>
      <c r="V39" s="636">
        <f t="shared" si="114"/>
        <v>-3.7017111643608711</v>
      </c>
      <c r="W39" s="585">
        <f t="shared" si="224"/>
        <v>291.74995740727593</v>
      </c>
      <c r="X39" s="629">
        <f t="shared" si="83"/>
        <v>7.0910213865205014</v>
      </c>
      <c r="Y39" s="630">
        <f t="shared" si="223"/>
        <v>-3.7017111643608711</v>
      </c>
      <c r="Z39" s="632">
        <f t="shared" si="6"/>
        <v>-0.28971029315139718</v>
      </c>
      <c r="AA39" s="629">
        <f t="shared" si="7"/>
        <v>-0.95555027333428155</v>
      </c>
      <c r="AB39" s="629">
        <f t="shared" si="8"/>
        <v>-5.4695714392550415E-2</v>
      </c>
      <c r="AC39" s="636">
        <f t="shared" si="84"/>
        <v>1</v>
      </c>
      <c r="AD39" s="637">
        <f t="shared" si="115"/>
        <v>-0.28971029315139718</v>
      </c>
      <c r="AE39" s="629">
        <f t="shared" si="85"/>
        <v>-0.95555027333428155</v>
      </c>
      <c r="AF39" s="633">
        <f t="shared" si="86"/>
        <v>-5.4695714392550415E-2</v>
      </c>
      <c r="AG39" s="602">
        <f t="shared" si="87"/>
        <v>-86.723963346059733</v>
      </c>
      <c r="AH39" s="603">
        <f t="shared" si="88"/>
        <v>106.84061249416739</v>
      </c>
      <c r="AI39" s="585">
        <f t="shared" si="89"/>
        <v>-86.864601760074521</v>
      </c>
      <c r="AJ39" s="586">
        <f t="shared" si="90"/>
        <v>-16.866614385197121</v>
      </c>
      <c r="AK39" s="635">
        <f t="shared" si="211"/>
        <v>0.7801703815272405</v>
      </c>
      <c r="AL39" s="629">
        <f t="shared" si="91"/>
        <v>-0.62317136857747946</v>
      </c>
      <c r="AM39" s="634">
        <f t="shared" si="92"/>
        <v>-5.4695714392550415E-2</v>
      </c>
      <c r="AN39" s="581">
        <f t="shared" si="93"/>
        <v>-84.984006785339233</v>
      </c>
      <c r="AO39" s="582">
        <f t="shared" si="94"/>
        <v>38.723821978439091</v>
      </c>
      <c r="AP39" s="585">
        <f t="shared" si="95"/>
        <v>-38.616571792473067</v>
      </c>
      <c r="AQ39" s="586">
        <f t="shared" si="9"/>
        <v>0.32149144424562165</v>
      </c>
      <c r="AS39" s="52">
        <f t="shared" si="116"/>
        <v>-68.250042592724071</v>
      </c>
      <c r="AT39" s="72">
        <f t="shared" si="10"/>
        <v>-3.6543153014492571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8"/>
        <v/>
      </c>
      <c r="HL39" s="322" t="str">
        <f t="shared" si="111"/>
        <v/>
      </c>
      <c r="HM39" s="369" t="str">
        <f t="shared" ref="HM39:IA48" si="239">IF(ISNUMBER($HL39),VLOOKUP($HL39,$GJ$9:$HI$150,HM$1,FALSE),"")</f>
        <v/>
      </c>
      <c r="HN39" s="384" t="str">
        <f t="shared" si="239"/>
        <v/>
      </c>
      <c r="HO39" s="385" t="str">
        <f t="shared" si="239"/>
        <v/>
      </c>
      <c r="HP39" s="380" t="str">
        <f t="shared" si="239"/>
        <v/>
      </c>
      <c r="HQ39" s="384" t="str">
        <f t="shared" si="239"/>
        <v/>
      </c>
      <c r="HR39" s="395" t="str">
        <f t="shared" si="239"/>
        <v/>
      </c>
      <c r="HS39" s="379" t="str">
        <f t="shared" si="239"/>
        <v/>
      </c>
      <c r="HT39" s="374" t="str">
        <f t="shared" si="239"/>
        <v/>
      </c>
      <c r="HU39" s="375" t="str">
        <f t="shared" si="239"/>
        <v/>
      </c>
      <c r="HV39" s="376" t="str">
        <f t="shared" si="239"/>
        <v/>
      </c>
      <c r="HW39" s="374" t="str">
        <f t="shared" si="239"/>
        <v/>
      </c>
      <c r="HX39" s="375" t="str">
        <f t="shared" si="239"/>
        <v/>
      </c>
      <c r="HY39" s="376" t="str">
        <f t="shared" si="239"/>
        <v/>
      </c>
      <c r="HZ39" s="374" t="str">
        <f t="shared" si="239"/>
        <v/>
      </c>
      <c r="IA39" s="375" t="str">
        <f t="shared" si="239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2.1619999999999999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6.6676533698924878</v>
      </c>
      <c r="C40" s="708">
        <v>2.6264527844530781</v>
      </c>
      <c r="D40" s="709">
        <v>-4.4598134507973679</v>
      </c>
      <c r="E40" s="710">
        <v>0.31730526578407953</v>
      </c>
      <c r="F40" s="708">
        <v>0.94832345131061346</v>
      </c>
      <c r="G40" s="711">
        <v>1.4578093196799048E-7</v>
      </c>
      <c r="H40" s="710">
        <v>0.314</v>
      </c>
      <c r="I40" s="708">
        <v>0.52</v>
      </c>
      <c r="J40" s="570">
        <v>2.1680000000000001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2.1680000000000001</v>
      </c>
      <c r="N40" s="632">
        <f t="shared" si="2"/>
        <v>6.6676533698924878</v>
      </c>
      <c r="O40" s="629">
        <f t="shared" si="3"/>
        <v>2.6264527844530781</v>
      </c>
      <c r="P40" s="633">
        <f t="shared" si="4"/>
        <v>-4.4598134507973679</v>
      </c>
      <c r="Q40" s="585">
        <f t="shared" si="113"/>
        <v>21.499957407275957</v>
      </c>
      <c r="R40" s="629">
        <f t="shared" si="79"/>
        <v>7.1662999999999988</v>
      </c>
      <c r="S40" s="634">
        <f t="shared" si="80"/>
        <v>-4.4598134507973679</v>
      </c>
      <c r="T40" s="635">
        <f t="shared" si="81"/>
        <v>2.6264527844530732</v>
      </c>
      <c r="U40" s="629">
        <f t="shared" si="82"/>
        <v>-6.6676533698924905</v>
      </c>
      <c r="V40" s="636">
        <f t="shared" si="114"/>
        <v>-4.4598134507973679</v>
      </c>
      <c r="W40" s="585">
        <f t="shared" si="224"/>
        <v>291.49995740727593</v>
      </c>
      <c r="X40" s="629">
        <f t="shared" si="83"/>
        <v>7.1662999999999988</v>
      </c>
      <c r="Y40" s="630">
        <f t="shared" si="223"/>
        <v>-4.4598134507973679</v>
      </c>
      <c r="Z40" s="632">
        <f t="shared" si="6"/>
        <v>-0.31730526578407953</v>
      </c>
      <c r="AA40" s="629">
        <f t="shared" si="7"/>
        <v>-0.94832345131061346</v>
      </c>
      <c r="AB40" s="629">
        <f t="shared" si="8"/>
        <v>-1.4578093196799048E-7</v>
      </c>
      <c r="AC40" s="636">
        <f t="shared" si="84"/>
        <v>1</v>
      </c>
      <c r="AD40" s="637">
        <f t="shared" si="115"/>
        <v>-0.31730526578407953</v>
      </c>
      <c r="AE40" s="629">
        <f t="shared" si="85"/>
        <v>-0.94832345131061346</v>
      </c>
      <c r="AF40" s="633">
        <f t="shared" si="86"/>
        <v>-1.4578093196799048E-7</v>
      </c>
      <c r="AG40" s="602">
        <f t="shared" si="87"/>
        <v>-89.99999119221178</v>
      </c>
      <c r="AH40" s="603">
        <f t="shared" si="88"/>
        <v>108.5000368174385</v>
      </c>
      <c r="AI40" s="585">
        <f t="shared" si="89"/>
        <v>-89.999991647367864</v>
      </c>
      <c r="AJ40" s="586">
        <f t="shared" si="90"/>
        <v>-18.500036817438705</v>
      </c>
      <c r="AK40" s="635">
        <f t="shared" si="211"/>
        <v>0.76604450791050771</v>
      </c>
      <c r="AL40" s="629">
        <f t="shared" si="91"/>
        <v>-0.64278753247097664</v>
      </c>
      <c r="AM40" s="634">
        <f t="shared" si="92"/>
        <v>-1.4578093196799048E-7</v>
      </c>
      <c r="AN40" s="581">
        <f t="shared" si="93"/>
        <v>-89.999987005609611</v>
      </c>
      <c r="AO40" s="582">
        <f t="shared" si="94"/>
        <v>39.999994224715337</v>
      </c>
      <c r="AP40" s="585">
        <f t="shared" si="95"/>
        <v>-39.999994224714619</v>
      </c>
      <c r="AQ40" s="586">
        <f t="shared" si="9"/>
        <v>0.31811439748911496</v>
      </c>
      <c r="AS40" s="52">
        <f t="shared" si="116"/>
        <v>-68.500042592724071</v>
      </c>
      <c r="AT40" s="72">
        <f t="shared" si="10"/>
        <v>-4.4122439767746426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8"/>
        <v/>
      </c>
      <c r="HL40" s="322" t="str">
        <f t="shared" si="111"/>
        <v/>
      </c>
      <c r="HM40" s="369" t="str">
        <f t="shared" si="239"/>
        <v/>
      </c>
      <c r="HN40" s="384" t="str">
        <f t="shared" si="239"/>
        <v/>
      </c>
      <c r="HO40" s="385" t="str">
        <f t="shared" si="239"/>
        <v/>
      </c>
      <c r="HP40" s="380" t="str">
        <f t="shared" si="239"/>
        <v/>
      </c>
      <c r="HQ40" s="384" t="str">
        <f t="shared" si="239"/>
        <v/>
      </c>
      <c r="HR40" s="395" t="str">
        <f t="shared" si="239"/>
        <v/>
      </c>
      <c r="HS40" s="379" t="str">
        <f t="shared" si="239"/>
        <v/>
      </c>
      <c r="HT40" s="374" t="str">
        <f t="shared" si="239"/>
        <v/>
      </c>
      <c r="HU40" s="375" t="str">
        <f t="shared" si="239"/>
        <v/>
      </c>
      <c r="HV40" s="376" t="str">
        <f t="shared" si="239"/>
        <v/>
      </c>
      <c r="HW40" s="374" t="str">
        <f t="shared" si="239"/>
        <v/>
      </c>
      <c r="HX40" s="375" t="str">
        <f t="shared" si="239"/>
        <v/>
      </c>
      <c r="HY40" s="376" t="str">
        <f t="shared" si="239"/>
        <v/>
      </c>
      <c r="HZ40" s="374" t="str">
        <f t="shared" si="239"/>
        <v/>
      </c>
      <c r="IA40" s="375" t="str">
        <f t="shared" si="239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2.1680000000000001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3.8966199876840637</v>
      </c>
      <c r="C41" s="708">
        <v>0.50890854916806239</v>
      </c>
      <c r="D41" s="709">
        <v>-3.27000986234968E-2</v>
      </c>
      <c r="E41" s="710">
        <v>4.4980953306641654E-2</v>
      </c>
      <c r="F41" s="708">
        <v>5.8748564136167454E-3</v>
      </c>
      <c r="G41" s="711">
        <v>0.99897057008790069</v>
      </c>
      <c r="H41" s="710">
        <v>0.26250000000000001</v>
      </c>
      <c r="I41" s="708">
        <v>0.40699999999999997</v>
      </c>
      <c r="J41" s="570">
        <v>2.2200000000000002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1314">
        <f t="shared" ref="L41:L48" si="240">IO41</f>
        <v>40</v>
      </c>
      <c r="M41" s="168">
        <f t="shared" ref="M41:M72" si="241">IF(J41="","",VALUE(J41))</f>
        <v>2.2200000000000002</v>
      </c>
      <c r="N41" s="632">
        <f t="shared" ref="N41:N72" si="242">IF(M41="","",B41)</f>
        <v>3.8966199876840637</v>
      </c>
      <c r="O41" s="629">
        <f t="shared" ref="O41:O72" si="243">IF(M41="","",C41)</f>
        <v>0.50890854916806239</v>
      </c>
      <c r="P41" s="633">
        <f t="shared" ref="P41:P72" si="244">IF(M41="","",D41)</f>
        <v>-3.27000986234968E-2</v>
      </c>
      <c r="Q41" s="585">
        <f t="shared" si="113"/>
        <v>7.4408599424959503</v>
      </c>
      <c r="R41" s="629">
        <f t="shared" si="79"/>
        <v>3.9297118520109455</v>
      </c>
      <c r="S41" s="634">
        <f t="shared" si="80"/>
        <v>-3.27000986234968E-2</v>
      </c>
      <c r="T41" s="635">
        <f t="shared" si="81"/>
        <v>0.50890854916806272</v>
      </c>
      <c r="U41" s="629">
        <f t="shared" si="82"/>
        <v>-3.8966199876840637</v>
      </c>
      <c r="V41" s="636">
        <f t="shared" si="114"/>
        <v>-3.27000986234968E-2</v>
      </c>
      <c r="W41" s="585">
        <f t="shared" si="224"/>
        <v>277.44085994249593</v>
      </c>
      <c r="X41" s="629">
        <f t="shared" si="83"/>
        <v>3.9297118520109455</v>
      </c>
      <c r="Y41" s="630">
        <f t="shared" si="223"/>
        <v>-3.27000986234968E-2</v>
      </c>
      <c r="Z41" s="632">
        <f t="shared" ref="Z41:Z72" si="245">IF(M41="","",-E41)</f>
        <v>-4.4980953306641654E-2</v>
      </c>
      <c r="AA41" s="629">
        <f t="shared" ref="AA41:AA72" si="246">IF(M41="","",-F41)</f>
        <v>-5.8748564136167454E-3</v>
      </c>
      <c r="AB41" s="629">
        <f t="shared" ref="AB41:AB72" si="247">IF(M41="","",-G41)</f>
        <v>-0.99897057008790069</v>
      </c>
      <c r="AC41" s="636">
        <f t="shared" si="84"/>
        <v>1</v>
      </c>
      <c r="AD41" s="637">
        <f t="shared" si="115"/>
        <v>-4.4980953306641654E-2</v>
      </c>
      <c r="AE41" s="629">
        <f t="shared" si="85"/>
        <v>-5.8748564136167454E-3</v>
      </c>
      <c r="AF41" s="633">
        <f t="shared" si="86"/>
        <v>-0.99897057008790069</v>
      </c>
      <c r="AG41" s="602">
        <f t="shared" si="87"/>
        <v>-0.33694746112076912</v>
      </c>
      <c r="AH41" s="603">
        <f t="shared" si="88"/>
        <v>92.578088650357003</v>
      </c>
      <c r="AI41" s="585">
        <f t="shared" si="89"/>
        <v>-2.5999996246388277</v>
      </c>
      <c r="AJ41" s="586">
        <f t="shared" si="90"/>
        <v>-82.558853603881687</v>
      </c>
      <c r="AK41" s="635">
        <f t="shared" si="211"/>
        <v>2.2679489670301978E-7</v>
      </c>
      <c r="AL41" s="629">
        <f t="shared" si="91"/>
        <v>-4.5362981584144736E-2</v>
      </c>
      <c r="AM41" s="634">
        <f t="shared" si="92"/>
        <v>-0.99897057008790069</v>
      </c>
      <c r="AN41" s="581">
        <f t="shared" si="93"/>
        <v>-2.5999996246065007</v>
      </c>
      <c r="AO41" s="582">
        <f t="shared" si="94"/>
        <v>0</v>
      </c>
      <c r="AP41" s="585">
        <f t="shared" si="95"/>
        <v>-89.999713546377635</v>
      </c>
      <c r="AQ41" s="586">
        <f t="shared" ref="AQ41:AQ72" si="248">IF(M41="","",DEGREES(ATAN(($AS$5*SIN(RADIANS(90)))/(($X41*2*PI())-($AS$5*COS(RADIANS(90)))))))</f>
        <v>0.58010582416238987</v>
      </c>
      <c r="AS41" s="52">
        <f t="shared" si="116"/>
        <v>-82.559140057504067</v>
      </c>
      <c r="AT41" s="72">
        <f t="shared" ref="AT41:AT72" si="249">IF(M41="","",Y41+(((AS41-$AS$9)*$AS$6)*-1))</f>
        <v>2.4632637527547692E-2</v>
      </c>
      <c r="AU41" s="469"/>
      <c r="AV41" s="168" t="str">
        <f t="shared" ref="AV41:AV72" si="250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51">IF(ISNUMBER(AV41),$AY41*SQRT((2*PI()*$AW41)^2+$AS$5^2),"")</f>
        <v/>
      </c>
      <c r="BA41" s="307" t="str">
        <f t="shared" ref="BA41:BA72" si="252">IF(ISNUMBER(AV41),AZ41/$AZ$151,"")</f>
        <v/>
      </c>
      <c r="BB41" s="198" t="str">
        <f t="shared" si="118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77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4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77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1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4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77" t="str">
        <f t="shared" ref="DM41:DM53" si="297">IF(ISNUMBER($AV41),CW41-DC41,"")</f>
        <v/>
      </c>
      <c r="DN41" s="182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77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77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1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77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78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77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0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6">IF(ISNUMBER($AV41),FN41*FO41,"")</f>
        <v/>
      </c>
      <c r="FQ41" s="177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88" t="str">
        <f t="shared" ref="FZ41:FZ53" si="356">IF(ISNUMBER($AV41),FX41*FY41,"")</f>
        <v/>
      </c>
      <c r="GA41" s="181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24" t="str">
        <f t="shared" ref="GE41:GE53" si="361">IF(ISNUMBER($AV41),SUM(ABS(GB41),ABS(GC41),ABS(GD41)),"")</f>
        <v/>
      </c>
      <c r="GF41" s="362" t="str">
        <f t="shared" ref="GF41:GF53" si="362">IF(ISNUMBER($AV41),1/GE41,"")</f>
        <v/>
      </c>
      <c r="GG41" s="296" t="str">
        <f t="shared" ref="GG41:GG53" si="363">IF(ISNUMBER($AV41),ABS(GB41)/(ABS($GB41)+ABS($GC41)+ABS($GD41)),"")</f>
        <v/>
      </c>
      <c r="GH41" s="297" t="str">
        <f t="shared" ref="GH41:GH53" si="364">IF(ISNUMBER($AV41),ABS(GC41)/(ABS($GB41)+ABS($GC41)+ABS($GD41)),"")</f>
        <v/>
      </c>
      <c r="GI41" s="292" t="str">
        <f t="shared" ref="GI41:GI53" si="365">IF(ISNUMBER($AV41),ABS(GD41)/(ABS($GB41)+ABS($GC41)+ABS($GD41)),"")</f>
        <v/>
      </c>
      <c r="GJ41" s="171" t="str">
        <f t="shared" ref="GJ41:GJ53" si="366">IF(ISNUMBER($AV41),AW41,"")</f>
        <v/>
      </c>
      <c r="GK41" s="178" t="str">
        <f t="shared" si="52"/>
        <v/>
      </c>
      <c r="GL41" s="178" t="str">
        <f t="shared" ref="GL41:GL53" si="367">IF(ISNUMBER($AV41),AY41,"")</f>
        <v/>
      </c>
      <c r="GM41" s="181" t="str">
        <f t="shared" ref="GM41:GM53" si="368">IF(ISNUMBER($AV41),AZ41,"")</f>
        <v/>
      </c>
      <c r="GN41" s="291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1" t="str">
        <f t="shared" ref="GQ41:GQ53" si="372">IF(ISNUMBER($AV41),FJ41,"")</f>
        <v/>
      </c>
      <c r="GR41" s="417" t="str">
        <f t="shared" ref="GR41:GR53" si="373">IF(ISNUMBER($AV41),GS41+GU41+GY41,"")</f>
        <v/>
      </c>
      <c r="GS41" s="363" t="str">
        <f t="shared" ref="GS41:GS53" si="374">IF(ISNUMBER($AV41),GU41/GH41*GG41,"")</f>
        <v/>
      </c>
      <c r="GT41" s="364" t="str">
        <f t="shared" ref="GT41:GT53" si="375">IF(ISNUMBER($AV41),GS41/$GK41,"")</f>
        <v/>
      </c>
      <c r="GU41" s="365" t="str">
        <f t="shared" si="56"/>
        <v/>
      </c>
      <c r="GV41" s="364" t="str">
        <f t="shared" ref="GV41:GV53" si="376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7">IF(ISNUMBER($AV41),GU41/GH41*GI41,"")</f>
        <v/>
      </c>
      <c r="GZ41" s="366" t="str">
        <f t="shared" ref="GZ41:GZ53" si="378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9">IF(ISNUMBER($AV41),HA41*COS(RADIANS(HB41)),"")</f>
        <v/>
      </c>
      <c r="HD41" s="366" t="str">
        <f t="shared" ref="HD41:HD53" si="380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81">IF(ISNUMBER($AV41),HE41*COS(RADIANS(HF41)),"")</f>
        <v/>
      </c>
      <c r="HH41" s="370" t="str">
        <f t="shared" ref="HH41:HH53" si="382">IF(ISNUMBER($AV41),HE41*SIN(RADIANS(HF41)),"")</f>
        <v/>
      </c>
      <c r="HI41" s="335" t="str">
        <f t="shared" ref="HI41:HI72" si="383">IF(ISNUMBER($AV41),$M41,"")</f>
        <v/>
      </c>
      <c r="HJ41" s="357"/>
      <c r="HK41" s="323" t="str">
        <f t="shared" si="238"/>
        <v/>
      </c>
      <c r="HL41" s="322" t="str">
        <f t="shared" si="111"/>
        <v/>
      </c>
      <c r="HM41" s="369" t="str">
        <f t="shared" si="239"/>
        <v/>
      </c>
      <c r="HN41" s="384" t="str">
        <f t="shared" si="239"/>
        <v/>
      </c>
      <c r="HO41" s="385" t="str">
        <f t="shared" si="239"/>
        <v/>
      </c>
      <c r="HP41" s="380" t="str">
        <f t="shared" si="239"/>
        <v/>
      </c>
      <c r="HQ41" s="384" t="str">
        <f t="shared" si="239"/>
        <v/>
      </c>
      <c r="HR41" s="395" t="str">
        <f t="shared" si="239"/>
        <v/>
      </c>
      <c r="HS41" s="379" t="str">
        <f t="shared" si="239"/>
        <v/>
      </c>
      <c r="HT41" s="374" t="str">
        <f t="shared" si="239"/>
        <v/>
      </c>
      <c r="HU41" s="375" t="str">
        <f t="shared" si="239"/>
        <v/>
      </c>
      <c r="HV41" s="376" t="str">
        <f t="shared" si="239"/>
        <v/>
      </c>
      <c r="HW41" s="374" t="str">
        <f t="shared" si="239"/>
        <v/>
      </c>
      <c r="HX41" s="375" t="str">
        <f t="shared" si="239"/>
        <v/>
      </c>
      <c r="HY41" s="376" t="str">
        <f t="shared" si="239"/>
        <v/>
      </c>
      <c r="HZ41" s="374" t="str">
        <f t="shared" si="239"/>
        <v/>
      </c>
      <c r="IA41" s="375" t="str">
        <f t="shared" si="239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2.2200000000000002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I41" s="734" cm="1">
        <f t="array" ref="II41">IFERROR(ROUND(VALUE(IF($IH41&lt;1,$IH41+LARGE((IF($M$9:$M$150="",0,$M$9:$M$150)-MOD(IF($M$9:$M$150="",0,$M$9:$M$150),1)),1),$IH41)),4),"")</f>
        <v>2.12</v>
      </c>
      <c r="IJ41" s="533">
        <f t="shared" si="112"/>
        <v>1613</v>
      </c>
      <c r="IK41" s="533" t="str">
        <f t="shared" ref="IK41:IK72" si="384">IF(ISNUMBER($II41),INDEX($K$9:$K$150,MATCH($IG41,$M$9:$M$150,0)),"")</f>
        <v>Inactive</v>
      </c>
      <c r="IL41" s="727">
        <f t="shared" si="225"/>
        <v>17.559097464779995</v>
      </c>
      <c r="IM41" s="759">
        <v>5.30975579465653E-3</v>
      </c>
      <c r="IN41" s="5">
        <f t="shared" si="226"/>
        <v>0.08</v>
      </c>
      <c r="IO41" s="771">
        <v>40</v>
      </c>
      <c r="IP41" s="9">
        <f t="shared" si="227"/>
        <v>-3.9279118465821292</v>
      </c>
      <c r="IQ41" s="5">
        <f t="shared" si="228"/>
        <v>-5.9900180658944722E-2</v>
      </c>
      <c r="IR41" s="5">
        <f t="shared" ref="IR41:IR72" si="385">IF(ISNUMBER($II41),INDEX($H$9:$H$150,MATCH($II41,$M$9:$M$150,0)),"")</f>
        <v>0.314</v>
      </c>
      <c r="IS41" s="5">
        <f t="shared" si="229"/>
        <v>0.29506348833932711</v>
      </c>
      <c r="IT41" s="727">
        <f t="shared" si="230"/>
        <v>2.5999996246063763</v>
      </c>
      <c r="IU41" s="9">
        <f t="shared" si="231"/>
        <v>-3.9297118520109455</v>
      </c>
      <c r="IV41" s="5">
        <f t="shared" si="232"/>
        <v>-3.27000986234968E-2</v>
      </c>
      <c r="IW41" s="5">
        <f t="shared" ref="IW41:IW72" si="386">IF(ISNUMBER($II41),$H41,"")</f>
        <v>0.26250000000000001</v>
      </c>
      <c r="IX41" s="5">
        <f t="shared" si="233"/>
        <v>0.26250000000000001</v>
      </c>
      <c r="IY41" s="762">
        <f t="shared" si="234"/>
        <v>2.5999996246065007</v>
      </c>
    </row>
    <row r="42" spans="1:267" ht="15" customHeight="1" x14ac:dyDescent="0.25">
      <c r="A42" s="79"/>
      <c r="B42" s="707">
        <v>4.6499221949869822</v>
      </c>
      <c r="C42" s="708">
        <v>0.59719156404111928</v>
      </c>
      <c r="D42" s="709">
        <v>-0.17330052267437607</v>
      </c>
      <c r="E42" s="710">
        <v>0.21467631895730332</v>
      </c>
      <c r="F42" s="708">
        <v>2.7571203247073482E-2</v>
      </c>
      <c r="G42" s="711">
        <v>0.97629601393760224</v>
      </c>
      <c r="H42" s="710">
        <v>0.26250000000000001</v>
      </c>
      <c r="I42" s="708">
        <v>0.40699999999999997</v>
      </c>
      <c r="J42" s="570">
        <v>2.226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1314">
        <f t="shared" si="240"/>
        <v>30</v>
      </c>
      <c r="M42" s="168">
        <f t="shared" si="241"/>
        <v>2.226</v>
      </c>
      <c r="N42" s="632">
        <f t="shared" si="242"/>
        <v>4.6499221949869822</v>
      </c>
      <c r="O42" s="629">
        <f t="shared" si="243"/>
        <v>0.59719156404111928</v>
      </c>
      <c r="P42" s="633">
        <f t="shared" si="244"/>
        <v>-0.17330052267437607</v>
      </c>
      <c r="Q42" s="585">
        <f t="shared" si="113"/>
        <v>7.3184599601683242</v>
      </c>
      <c r="R42" s="629">
        <f t="shared" ref="R42:R47" si="387">IF(M42="","",SQRT(N42^2+O42^2))</f>
        <v>4.6881141393522441</v>
      </c>
      <c r="S42" s="634">
        <f t="shared" ref="S42:S47" si="388">IF(M42="","",P42)</f>
        <v>-0.17330052267437607</v>
      </c>
      <c r="T42" s="635">
        <f t="shared" ref="T42:T47" si="389">IF(M42="","",X42*COS(RADIANS(W42)))</f>
        <v>0.59719156404111484</v>
      </c>
      <c r="U42" s="629">
        <f t="shared" ref="U42:U47" si="390">IF(M42="","",X42*SIN(RADIANS(W42)))</f>
        <v>-4.6499221949869831</v>
      </c>
      <c r="V42" s="636">
        <f t="shared" ref="V42:V47" si="391">IF(M42="","",Y42)</f>
        <v>-0.17330052267437607</v>
      </c>
      <c r="W42" s="585">
        <f t="shared" si="224"/>
        <v>277.3184599601683</v>
      </c>
      <c r="X42" s="629">
        <f t="shared" ref="X42:X47" si="392">IF(M42="","",R42)</f>
        <v>4.6881141393522441</v>
      </c>
      <c r="Y42" s="630">
        <f t="shared" si="223"/>
        <v>-0.17330052267437607</v>
      </c>
      <c r="Z42" s="632">
        <f t="shared" si="245"/>
        <v>-0.21467631895730332</v>
      </c>
      <c r="AA42" s="629">
        <f t="shared" si="246"/>
        <v>-2.7571203247073482E-2</v>
      </c>
      <c r="AB42" s="629">
        <f t="shared" si="247"/>
        <v>-0.97629601393760224</v>
      </c>
      <c r="AC42" s="636">
        <f t="shared" ref="AC42:AC47" si="393">IF(M42="","",SQRT(Z42^2+AA42^2+AB42^2))</f>
        <v>1</v>
      </c>
      <c r="AD42" s="637">
        <f t="shared" ref="AD42:AD47" si="394">IF(M42="","",Z42*(1/SQRT(Z42^2+AA42^2+AB42^2)))</f>
        <v>-0.21467631895730332</v>
      </c>
      <c r="AE42" s="629">
        <f t="shared" ref="AE42:AE47" si="395">IF(M42="","",AA42*(1/SQRT(Z42^2+AA42^2+AB42^2)))</f>
        <v>-2.7571203247073482E-2</v>
      </c>
      <c r="AF42" s="633">
        <f t="shared" ref="AF42:AF47" si="396">IF(M42="","",AB42*(1/SQRT(Z42^2+AA42^2+AB42^2)))</f>
        <v>-0.97629601393760224</v>
      </c>
      <c r="AG42" s="602">
        <f t="shared" ref="AG42:AG47" si="397">IF(M42="","",DEGREES(ATAN2(-AF42,AE42)))</f>
        <v>-1.6176383010835607</v>
      </c>
      <c r="AH42" s="603">
        <f t="shared" ref="AH42:AH47" si="398">IF(M42="","",DEGREES(ACOS(AD42)))</f>
        <v>102.39653834863783</v>
      </c>
      <c r="AI42" s="585">
        <f t="shared" ref="AI42:AI47" si="399">IF(M42="","",DEGREES(-ACOS(-AF42)))</f>
        <v>-12.499998195230186</v>
      </c>
      <c r="AJ42" s="586">
        <f t="shared" ref="AJ42:AJ47" si="400">IF(M42="","",DEGREES(ATAN2(-AE42,AD42)))</f>
        <v>-82.681480002798679</v>
      </c>
      <c r="AK42" s="635">
        <f t="shared" ref="AK42:AK47" si="401">IF(M42="","",(COS(RADIANS((90-$Q$8)-W42))*AD42)+(-SIN(RADIANS((90-$Q$8)-W42))*AE42))</f>
        <v>2.2679489691118659E-7</v>
      </c>
      <c r="AL42" s="629">
        <f t="shared" ref="AL42:AL47" si="402">IF(M42="","",(SIN(RADIANS((90-$Q$8)-W42))*AD42)+(COS(RADIANS((90-$Q$8)-W42))*AE42))</f>
        <v>-0.21643958318546502</v>
      </c>
      <c r="AM42" s="634">
        <f t="shared" ref="AM42:AM47" si="403">IF(M42="","",AF42)</f>
        <v>-0.97629601393760224</v>
      </c>
      <c r="AN42" s="581">
        <f t="shared" ref="AN42:AN47" si="404">IF(M42="","",DEGREES(ATAN2(-AM42,AL42)))</f>
        <v>-12.49999819522356</v>
      </c>
      <c r="AO42" s="582">
        <f t="shared" si="94"/>
        <v>0</v>
      </c>
      <c r="AP42" s="585">
        <f t="shared" ref="AP42:AP47" si="405">IF(M42="","",DEGREES(ATAN2(AK42,AL42)))</f>
        <v>-89.999939962966963</v>
      </c>
      <c r="AQ42" s="586">
        <f t="shared" si="248"/>
        <v>0.48626629578429637</v>
      </c>
      <c r="AS42" s="52">
        <f t="shared" si="116"/>
        <v>-82.681540039831702</v>
      </c>
      <c r="AT42" s="72">
        <f t="shared" si="249"/>
        <v>-0.11588278653560405</v>
      </c>
      <c r="AU42" s="469"/>
      <c r="AV42" s="168" t="str">
        <f t="shared" si="250"/>
        <v/>
      </c>
      <c r="AW42" s="192"/>
      <c r="AX42" s="193"/>
      <c r="AY42" s="196"/>
      <c r="AZ42" s="308" t="str">
        <f t="shared" si="251"/>
        <v/>
      </c>
      <c r="BA42" s="307" t="str">
        <f t="shared" si="252"/>
        <v/>
      </c>
      <c r="BB42" s="198" t="str">
        <f t="shared" si="118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77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6">IF(ISNUMBER($AV42),0,"")</f>
        <v/>
      </c>
      <c r="BT42" s="5" t="str">
        <f t="shared" si="406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4"/>
        <v/>
      </c>
      <c r="CJ42" s="5" t="str">
        <f t="shared" si="275"/>
        <v/>
      </c>
      <c r="CK42" s="8" t="str">
        <f t="shared" si="276"/>
        <v/>
      </c>
      <c r="CL42" s="177" t="str">
        <f t="shared" si="277"/>
        <v/>
      </c>
      <c r="CM42" s="5" t="str">
        <f t="shared" si="278"/>
        <v/>
      </c>
      <c r="CN42" s="6" t="str">
        <f t="shared" si="279"/>
        <v/>
      </c>
      <c r="CO42" s="171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4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77" t="str">
        <f t="shared" si="297"/>
        <v/>
      </c>
      <c r="DN42" s="182" t="str">
        <f t="shared" si="298"/>
        <v/>
      </c>
      <c r="DO42" s="9" t="str">
        <f t="shared" si="299"/>
        <v/>
      </c>
      <c r="DP42" s="177" t="str">
        <f t="shared" si="300"/>
        <v/>
      </c>
      <c r="DQ42" s="11" t="str">
        <f t="shared" si="301"/>
        <v/>
      </c>
      <c r="DR42" s="177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1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77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47" t="str">
        <f t="shared" si="174"/>
        <v/>
      </c>
      <c r="EL42" s="249" t="str">
        <f t="shared" si="175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78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77" t="str">
        <f t="shared" si="337"/>
        <v/>
      </c>
      <c r="FH42" s="5" t="str">
        <f t="shared" si="338"/>
        <v/>
      </c>
      <c r="FI42" s="10" t="str">
        <f t="shared" si="339"/>
        <v/>
      </c>
      <c r="FJ42" s="290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88" t="str">
        <f t="shared" si="346"/>
        <v/>
      </c>
      <c r="FQ42" s="177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88" t="str">
        <f t="shared" si="356"/>
        <v/>
      </c>
      <c r="GA42" s="181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24" t="str">
        <f t="shared" si="361"/>
        <v/>
      </c>
      <c r="GF42" s="362" t="str">
        <f t="shared" si="362"/>
        <v/>
      </c>
      <c r="GG42" s="296" t="str">
        <f t="shared" si="363"/>
        <v/>
      </c>
      <c r="GH42" s="297" t="str">
        <f t="shared" si="364"/>
        <v/>
      </c>
      <c r="GI42" s="292" t="str">
        <f t="shared" si="365"/>
        <v/>
      </c>
      <c r="GJ42" s="171" t="str">
        <f t="shared" si="366"/>
        <v/>
      </c>
      <c r="GK42" s="178" t="str">
        <f t="shared" si="52"/>
        <v/>
      </c>
      <c r="GL42" s="178" t="str">
        <f t="shared" si="367"/>
        <v/>
      </c>
      <c r="GM42" s="181" t="str">
        <f t="shared" si="368"/>
        <v/>
      </c>
      <c r="GN42" s="291" t="str">
        <f t="shared" si="369"/>
        <v/>
      </c>
      <c r="GO42" s="4" t="str">
        <f t="shared" si="370"/>
        <v/>
      </c>
      <c r="GP42" s="8" t="str">
        <f t="shared" si="371"/>
        <v/>
      </c>
      <c r="GQ42" s="181" t="str">
        <f t="shared" si="372"/>
        <v/>
      </c>
      <c r="GR42" s="417" t="str">
        <f t="shared" si="373"/>
        <v/>
      </c>
      <c r="GS42" s="363" t="str">
        <f t="shared" si="374"/>
        <v/>
      </c>
      <c r="GT42" s="364" t="str">
        <f t="shared" si="375"/>
        <v/>
      </c>
      <c r="GU42" s="365" t="str">
        <f t="shared" si="56"/>
        <v/>
      </c>
      <c r="GV42" s="364" t="str">
        <f t="shared" si="376"/>
        <v/>
      </c>
      <c r="GW42" s="366" t="str">
        <f t="shared" si="57"/>
        <v/>
      </c>
      <c r="GX42" s="367" t="str">
        <f t="shared" si="58"/>
        <v/>
      </c>
      <c r="GY42" s="365" t="str">
        <f t="shared" si="377"/>
        <v/>
      </c>
      <c r="GZ42" s="366" t="str">
        <f t="shared" si="378"/>
        <v/>
      </c>
      <c r="HA42" s="363" t="str">
        <f t="shared" si="61"/>
        <v/>
      </c>
      <c r="HB42" s="5" t="str">
        <f t="shared" si="205"/>
        <v/>
      </c>
      <c r="HC42" s="364" t="str">
        <f t="shared" si="379"/>
        <v/>
      </c>
      <c r="HD42" s="366" t="str">
        <f t="shared" si="380"/>
        <v/>
      </c>
      <c r="HE42" s="365" t="str">
        <f t="shared" si="62"/>
        <v/>
      </c>
      <c r="HF42" s="5" t="str">
        <f t="shared" si="63"/>
        <v/>
      </c>
      <c r="HG42" s="364" t="str">
        <f t="shared" si="381"/>
        <v/>
      </c>
      <c r="HH42" s="370" t="str">
        <f t="shared" si="382"/>
        <v/>
      </c>
      <c r="HI42" s="335" t="str">
        <f t="shared" si="383"/>
        <v/>
      </c>
      <c r="HJ42" s="357"/>
      <c r="HK42" s="323" t="str">
        <f t="shared" si="238"/>
        <v/>
      </c>
      <c r="HL42" s="322" t="str">
        <f t="shared" ref="HL42:HL73" si="407">IFERROR(SMALL($GJ$9:$GJ$150,($HK41+1)),"")</f>
        <v/>
      </c>
      <c r="HM42" s="369" t="str">
        <f t="shared" si="239"/>
        <v/>
      </c>
      <c r="HN42" s="384" t="str">
        <f t="shared" si="239"/>
        <v/>
      </c>
      <c r="HO42" s="385" t="str">
        <f t="shared" si="239"/>
        <v/>
      </c>
      <c r="HP42" s="380" t="str">
        <f t="shared" si="239"/>
        <v/>
      </c>
      <c r="HQ42" s="384" t="str">
        <f t="shared" si="239"/>
        <v/>
      </c>
      <c r="HR42" s="395" t="str">
        <f t="shared" si="239"/>
        <v/>
      </c>
      <c r="HS42" s="379" t="str">
        <f t="shared" si="239"/>
        <v/>
      </c>
      <c r="HT42" s="374" t="str">
        <f t="shared" si="239"/>
        <v/>
      </c>
      <c r="HU42" s="375" t="str">
        <f t="shared" si="239"/>
        <v/>
      </c>
      <c r="HV42" s="376" t="str">
        <f t="shared" si="239"/>
        <v/>
      </c>
      <c r="HW42" s="374" t="str">
        <f t="shared" si="239"/>
        <v/>
      </c>
      <c r="HX42" s="375" t="str">
        <f t="shared" si="239"/>
        <v/>
      </c>
      <c r="HY42" s="376" t="str">
        <f t="shared" si="239"/>
        <v/>
      </c>
      <c r="HZ42" s="374" t="str">
        <f t="shared" si="239"/>
        <v/>
      </c>
      <c r="IA42" s="375" t="str">
        <f t="shared" si="239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2.226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2.1259999999999999</v>
      </c>
      <c r="II42" s="734" cm="1">
        <f t="array" ref="II42">IFERROR(ROUND(VALUE(IF($IH42&lt;1,$IH42+LARGE((IF($M$9:$M$150="",0,$M$9:$M$150)-MOD(IF($M$9:$M$150="",0,$M$9:$M$150),1)),1),$IH42)),4),"")</f>
        <v>2.1259999999999999</v>
      </c>
      <c r="IJ42" s="533">
        <f t="shared" si="112"/>
        <v>1613</v>
      </c>
      <c r="IK42" s="533" t="str">
        <f t="shared" si="384"/>
        <v>Inactive</v>
      </c>
      <c r="IL42" s="727">
        <f t="shared" si="225"/>
        <v>17.30159750195844</v>
      </c>
      <c r="IM42" s="759">
        <v>4.3528887180528204E-3</v>
      </c>
      <c r="IN42" s="5">
        <f t="shared" si="226"/>
        <v>0.06</v>
      </c>
      <c r="IO42" s="771">
        <v>30</v>
      </c>
      <c r="IP42" s="9">
        <f t="shared" si="227"/>
        <v>-4.6797141140177692</v>
      </c>
      <c r="IQ42" s="5">
        <f t="shared" si="228"/>
        <v>-0.19970060229701639</v>
      </c>
      <c r="IR42" s="5">
        <f t="shared" si="385"/>
        <v>0.314</v>
      </c>
      <c r="IS42" s="5">
        <f t="shared" si="229"/>
        <v>0.29448673227795064</v>
      </c>
      <c r="IT42" s="727">
        <f t="shared" si="230"/>
        <v>22.874770979007867</v>
      </c>
      <c r="IU42" s="9">
        <f t="shared" si="231"/>
        <v>-4.6881141393522441</v>
      </c>
      <c r="IV42" s="5">
        <f t="shared" si="232"/>
        <v>-0.17330052267437607</v>
      </c>
      <c r="IW42" s="5">
        <f t="shared" si="386"/>
        <v>0.26250000000000001</v>
      </c>
      <c r="IX42" s="5">
        <f t="shared" si="233"/>
        <v>0.26250000000000001</v>
      </c>
      <c r="IY42" s="762">
        <f t="shared" si="234"/>
        <v>12.49999819522356</v>
      </c>
    </row>
    <row r="43" spans="1:267" ht="15" customHeight="1" x14ac:dyDescent="0.25">
      <c r="A43" s="79"/>
      <c r="B43" s="707">
        <v>5.3452282548731276</v>
      </c>
      <c r="C43" s="708">
        <v>0.67529348200601813</v>
      </c>
      <c r="D43" s="709">
        <v>-0.48660146759002693</v>
      </c>
      <c r="E43" s="710">
        <v>0.37806514233182231</v>
      </c>
      <c r="F43" s="708">
        <v>4.7763376253231155E-2</v>
      </c>
      <c r="G43" s="711">
        <v>0.92454605512246457</v>
      </c>
      <c r="H43" s="710">
        <v>0.26250000000000001</v>
      </c>
      <c r="I43" s="708">
        <v>0.40699999999999997</v>
      </c>
      <c r="J43" s="570">
        <v>2.2320000000000002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1314">
        <f t="shared" si="240"/>
        <v>10</v>
      </c>
      <c r="M43" s="168">
        <f t="shared" si="241"/>
        <v>2.2320000000000002</v>
      </c>
      <c r="N43" s="632">
        <f t="shared" si="242"/>
        <v>5.3452282548731276</v>
      </c>
      <c r="O43" s="629">
        <f t="shared" si="243"/>
        <v>0.67529348200601813</v>
      </c>
      <c r="P43" s="633">
        <f t="shared" si="244"/>
        <v>-0.48660146759002693</v>
      </c>
      <c r="Q43" s="585">
        <f t="shared" si="113"/>
        <v>7.2003599772198505</v>
      </c>
      <c r="R43" s="629">
        <f t="shared" si="387"/>
        <v>5.3877162493522093</v>
      </c>
      <c r="S43" s="634">
        <f t="shared" si="388"/>
        <v>-0.48660146759002693</v>
      </c>
      <c r="T43" s="635">
        <f t="shared" si="389"/>
        <v>0.67529348200601791</v>
      </c>
      <c r="U43" s="629">
        <f t="shared" si="390"/>
        <v>-5.3452282548731285</v>
      </c>
      <c r="V43" s="636">
        <f t="shared" si="391"/>
        <v>-0.48660146759002693</v>
      </c>
      <c r="W43" s="585">
        <f t="shared" si="224"/>
        <v>277.20035997721988</v>
      </c>
      <c r="X43" s="629">
        <f t="shared" si="392"/>
        <v>5.3877162493522093</v>
      </c>
      <c r="Y43" s="630">
        <f t="shared" si="223"/>
        <v>-0.48660146759002693</v>
      </c>
      <c r="Z43" s="632">
        <f t="shared" si="245"/>
        <v>-0.37806514233182231</v>
      </c>
      <c r="AA43" s="629">
        <f t="shared" si="246"/>
        <v>-4.7763376253231155E-2</v>
      </c>
      <c r="AB43" s="629">
        <f t="shared" si="247"/>
        <v>-0.92454605512246457</v>
      </c>
      <c r="AC43" s="636">
        <f t="shared" si="393"/>
        <v>1</v>
      </c>
      <c r="AD43" s="637">
        <f t="shared" si="394"/>
        <v>-0.37806514233182231</v>
      </c>
      <c r="AE43" s="629">
        <f t="shared" si="395"/>
        <v>-4.7763376253231155E-2</v>
      </c>
      <c r="AF43" s="633">
        <f t="shared" si="396"/>
        <v>-0.92454605512246457</v>
      </c>
      <c r="AG43" s="602">
        <f t="shared" si="397"/>
        <v>-2.9573531151528516</v>
      </c>
      <c r="AH43" s="603">
        <f t="shared" si="398"/>
        <v>112.21388451043961</v>
      </c>
      <c r="AI43" s="585">
        <f t="shared" si="399"/>
        <v>-22.399996765844175</v>
      </c>
      <c r="AJ43" s="586">
        <f t="shared" si="400"/>
        <v>-82.799605923062671</v>
      </c>
      <c r="AK43" s="635">
        <f t="shared" si="401"/>
        <v>2.2679489671689756E-7</v>
      </c>
      <c r="AL43" s="629">
        <f t="shared" si="402"/>
        <v>-0.3810703241626634</v>
      </c>
      <c r="AM43" s="634">
        <f t="shared" si="403"/>
        <v>-0.92454605512246457</v>
      </c>
      <c r="AN43" s="581">
        <f t="shared" si="404"/>
        <v>-22.399996765840605</v>
      </c>
      <c r="AO43" s="582">
        <f t="shared" si="94"/>
        <v>0</v>
      </c>
      <c r="AP43" s="585">
        <f t="shared" si="405"/>
        <v>-89.999965900282518</v>
      </c>
      <c r="AQ43" s="586">
        <f t="shared" si="248"/>
        <v>0.42312643850934795</v>
      </c>
      <c r="AS43" s="52">
        <f t="shared" ref="AS43:AS74" si="408">IF(G43="","",IF(AND(W43&lt;(AS42+180),W43&gt;(AS42-180)),W43,IF(W43&gt;(AS42+180),W43-360,IF(W43&lt;(AS42-180),W43+360,"Error"))))</f>
        <v>-82.799640022780125</v>
      </c>
      <c r="AT43" s="72">
        <f t="shared" si="249"/>
        <v>-0.4291017175742074</v>
      </c>
      <c r="AU43" s="469"/>
      <c r="AV43" s="168" t="str">
        <f t="shared" si="250"/>
        <v/>
      </c>
      <c r="AW43" s="192"/>
      <c r="AX43" s="193"/>
      <c r="AY43" s="196"/>
      <c r="AZ43" s="308" t="str">
        <f t="shared" si="251"/>
        <v/>
      </c>
      <c r="BA43" s="307" t="str">
        <f t="shared" si="252"/>
        <v/>
      </c>
      <c r="BB43" s="198" t="str">
        <f t="shared" si="118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77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6"/>
        <v/>
      </c>
      <c r="BT43" s="5" t="str">
        <f t="shared" si="406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4"/>
        <v/>
      </c>
      <c r="CJ43" s="5" t="str">
        <f t="shared" si="275"/>
        <v/>
      </c>
      <c r="CK43" s="8" t="str">
        <f t="shared" si="276"/>
        <v/>
      </c>
      <c r="CL43" s="177" t="str">
        <f t="shared" si="277"/>
        <v/>
      </c>
      <c r="CM43" s="5" t="str">
        <f t="shared" si="278"/>
        <v/>
      </c>
      <c r="CN43" s="6" t="str">
        <f t="shared" si="279"/>
        <v/>
      </c>
      <c r="CO43" s="171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4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09">IF(ISNUMBER($AV43),0,"")</f>
        <v/>
      </c>
      <c r="DC43" s="5" t="str">
        <f t="shared" si="409"/>
        <v/>
      </c>
      <c r="DD43" s="10" t="str">
        <f t="shared" si="142"/>
        <v/>
      </c>
      <c r="DE43" s="9" t="str">
        <f t="shared" ref="DE43:DF53" si="410">IF(ISNUMBER($AV43),0,"")</f>
        <v/>
      </c>
      <c r="DF43" s="5" t="str">
        <f t="shared" si="410"/>
        <v/>
      </c>
      <c r="DG43" s="10" t="str">
        <f t="shared" si="144"/>
        <v/>
      </c>
      <c r="DH43" s="72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77" t="str">
        <f t="shared" si="297"/>
        <v/>
      </c>
      <c r="DN43" s="182" t="str">
        <f t="shared" si="298"/>
        <v/>
      </c>
      <c r="DO43" s="9" t="str">
        <f t="shared" si="299"/>
        <v/>
      </c>
      <c r="DP43" s="177" t="str">
        <f t="shared" si="300"/>
        <v/>
      </c>
      <c r="DQ43" s="11" t="str">
        <f t="shared" si="301"/>
        <v/>
      </c>
      <c r="DR43" s="177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1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77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47" t="str">
        <f t="shared" si="174"/>
        <v/>
      </c>
      <c r="EL43" s="249" t="str">
        <f t="shared" si="175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78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77" t="str">
        <f t="shared" si="337"/>
        <v/>
      </c>
      <c r="FH43" s="5" t="str">
        <f t="shared" si="338"/>
        <v/>
      </c>
      <c r="FI43" s="10" t="str">
        <f t="shared" si="339"/>
        <v/>
      </c>
      <c r="FJ43" s="290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88" t="str">
        <f t="shared" si="346"/>
        <v/>
      </c>
      <c r="FQ43" s="177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88" t="str">
        <f t="shared" si="356"/>
        <v/>
      </c>
      <c r="GA43" s="181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24" t="str">
        <f t="shared" si="361"/>
        <v/>
      </c>
      <c r="GF43" s="362" t="str">
        <f t="shared" si="362"/>
        <v/>
      </c>
      <c r="GG43" s="296" t="str">
        <f t="shared" si="363"/>
        <v/>
      </c>
      <c r="GH43" s="297" t="str">
        <f t="shared" si="364"/>
        <v/>
      </c>
      <c r="GI43" s="292" t="str">
        <f t="shared" si="365"/>
        <v/>
      </c>
      <c r="GJ43" s="171" t="str">
        <f t="shared" si="366"/>
        <v/>
      </c>
      <c r="GK43" s="178" t="str">
        <f t="shared" si="52"/>
        <v/>
      </c>
      <c r="GL43" s="178" t="str">
        <f t="shared" si="367"/>
        <v/>
      </c>
      <c r="GM43" s="181" t="str">
        <f t="shared" si="368"/>
        <v/>
      </c>
      <c r="GN43" s="291" t="str">
        <f t="shared" si="369"/>
        <v/>
      </c>
      <c r="GO43" s="4" t="str">
        <f t="shared" si="370"/>
        <v/>
      </c>
      <c r="GP43" s="8" t="str">
        <f t="shared" si="371"/>
        <v/>
      </c>
      <c r="GQ43" s="181" t="str">
        <f t="shared" si="372"/>
        <v/>
      </c>
      <c r="GR43" s="417" t="str">
        <f t="shared" si="373"/>
        <v/>
      </c>
      <c r="GS43" s="363" t="str">
        <f t="shared" si="374"/>
        <v/>
      </c>
      <c r="GT43" s="364" t="str">
        <f t="shared" si="375"/>
        <v/>
      </c>
      <c r="GU43" s="365" t="str">
        <f t="shared" si="56"/>
        <v/>
      </c>
      <c r="GV43" s="364" t="str">
        <f t="shared" si="376"/>
        <v/>
      </c>
      <c r="GW43" s="366" t="str">
        <f t="shared" si="57"/>
        <v/>
      </c>
      <c r="GX43" s="367" t="str">
        <f t="shared" si="58"/>
        <v/>
      </c>
      <c r="GY43" s="365" t="str">
        <f t="shared" si="377"/>
        <v/>
      </c>
      <c r="GZ43" s="366" t="str">
        <f t="shared" si="378"/>
        <v/>
      </c>
      <c r="HA43" s="363" t="str">
        <f t="shared" si="61"/>
        <v/>
      </c>
      <c r="HB43" s="5" t="str">
        <f t="shared" si="205"/>
        <v/>
      </c>
      <c r="HC43" s="364" t="str">
        <f t="shared" si="379"/>
        <v/>
      </c>
      <c r="HD43" s="366" t="str">
        <f t="shared" si="380"/>
        <v/>
      </c>
      <c r="HE43" s="365" t="str">
        <f t="shared" si="62"/>
        <v/>
      </c>
      <c r="HF43" s="5" t="str">
        <f t="shared" si="63"/>
        <v/>
      </c>
      <c r="HG43" s="364" t="str">
        <f t="shared" si="381"/>
        <v/>
      </c>
      <c r="HH43" s="370" t="str">
        <f t="shared" si="382"/>
        <v/>
      </c>
      <c r="HI43" s="335" t="str">
        <f t="shared" si="383"/>
        <v/>
      </c>
      <c r="HJ43" s="357"/>
      <c r="HK43" s="323" t="str">
        <f t="shared" si="238"/>
        <v/>
      </c>
      <c r="HL43" s="322" t="str">
        <f t="shared" si="407"/>
        <v/>
      </c>
      <c r="HM43" s="369" t="str">
        <f t="shared" si="239"/>
        <v/>
      </c>
      <c r="HN43" s="384" t="str">
        <f t="shared" si="239"/>
        <v/>
      </c>
      <c r="HO43" s="385" t="str">
        <f t="shared" si="239"/>
        <v/>
      </c>
      <c r="HP43" s="380" t="str">
        <f t="shared" si="239"/>
        <v/>
      </c>
      <c r="HQ43" s="384" t="str">
        <f t="shared" si="239"/>
        <v/>
      </c>
      <c r="HR43" s="395" t="str">
        <f t="shared" si="239"/>
        <v/>
      </c>
      <c r="HS43" s="379" t="str">
        <f t="shared" si="239"/>
        <v/>
      </c>
      <c r="HT43" s="374" t="str">
        <f t="shared" si="239"/>
        <v/>
      </c>
      <c r="HU43" s="375" t="str">
        <f t="shared" si="239"/>
        <v/>
      </c>
      <c r="HV43" s="376" t="str">
        <f t="shared" si="239"/>
        <v/>
      </c>
      <c r="HW43" s="374" t="str">
        <f t="shared" si="239"/>
        <v/>
      </c>
      <c r="HX43" s="375" t="str">
        <f t="shared" si="239"/>
        <v/>
      </c>
      <c r="HY43" s="376" t="str">
        <f t="shared" si="239"/>
        <v/>
      </c>
      <c r="HZ43" s="374" t="str">
        <f t="shared" si="239"/>
        <v/>
      </c>
      <c r="IA43" s="375" t="str">
        <f t="shared" si="239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2.2320000000000002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2.1320000000000001</v>
      </c>
      <c r="II43" s="734" cm="1">
        <f t="array" ref="II43">IFERROR(ROUND(VALUE(IF($IH43&lt;1,$IH43+LARGE((IF($M$9:$M$150="",0,$M$9:$M$150)-MOD(IF($M$9:$M$150="",0,$M$9:$M$150),1)),1),$IH43)),4),"")</f>
        <v>2.1320000000000001</v>
      </c>
      <c r="IJ43" s="533">
        <f t="shared" si="112"/>
        <v>1613</v>
      </c>
      <c r="IK43" s="533" t="str">
        <f t="shared" si="384"/>
        <v>Inactive</v>
      </c>
      <c r="IL43" s="727">
        <f t="shared" si="225"/>
        <v>16.843497568099792</v>
      </c>
      <c r="IM43" s="759">
        <v>2.3734993388371999E-3</v>
      </c>
      <c r="IN43" s="5">
        <f t="shared" si="226"/>
        <v>0.02</v>
      </c>
      <c r="IO43" s="771">
        <v>10</v>
      </c>
      <c r="IP43" s="9">
        <f t="shared" si="227"/>
        <v>-5.3730162050168753</v>
      </c>
      <c r="IQ43" s="5">
        <f t="shared" si="228"/>
        <v>-0.5113015420854512</v>
      </c>
      <c r="IR43" s="5">
        <f t="shared" si="385"/>
        <v>0.314</v>
      </c>
      <c r="IS43" s="5">
        <f t="shared" si="229"/>
        <v>0.29339708863243547</v>
      </c>
      <c r="IT43" s="727">
        <f t="shared" si="230"/>
        <v>39.731154380185927</v>
      </c>
      <c r="IU43" s="9">
        <f t="shared" si="231"/>
        <v>-5.3877162493522093</v>
      </c>
      <c r="IV43" s="5">
        <f t="shared" si="232"/>
        <v>-0.48660146759002693</v>
      </c>
      <c r="IW43" s="5">
        <f t="shared" si="386"/>
        <v>0.26250000000000001</v>
      </c>
      <c r="IX43" s="5">
        <f t="shared" si="233"/>
        <v>0.26250000000000001</v>
      </c>
      <c r="IY43" s="762">
        <f t="shared" si="234"/>
        <v>22.399996765840605</v>
      </c>
    </row>
    <row r="44" spans="1:267" ht="15" customHeight="1" x14ac:dyDescent="0.25">
      <c r="A44" s="79"/>
      <c r="B44" s="707">
        <v>5.950296089464163</v>
      </c>
      <c r="C44" s="708">
        <v>0.71515083131129897</v>
      </c>
      <c r="D44" s="709">
        <v>-0.95550288179669096</v>
      </c>
      <c r="E44" s="710">
        <v>0.52906867695763404</v>
      </c>
      <c r="F44" s="708">
        <v>6.3587636256549451E-2</v>
      </c>
      <c r="G44" s="711">
        <v>0.84619320936627918</v>
      </c>
      <c r="H44" s="710">
        <v>0.26250000000000001</v>
      </c>
      <c r="I44" s="708">
        <v>0.40699999999999997</v>
      </c>
      <c r="J44" s="570">
        <v>2.238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Inactive</v>
      </c>
      <c r="L44" s="1314">
        <f t="shared" si="240"/>
        <v>0</v>
      </c>
      <c r="M44" s="168">
        <f t="shared" si="241"/>
        <v>2.238</v>
      </c>
      <c r="N44" s="632">
        <f t="shared" si="242"/>
        <v>5.950296089464163</v>
      </c>
      <c r="O44" s="629">
        <f t="shared" si="243"/>
        <v>0.71515083131129897</v>
      </c>
      <c r="P44" s="633">
        <f t="shared" si="244"/>
        <v>-0.95550288179669096</v>
      </c>
      <c r="Q44" s="585">
        <f t="shared" si="113"/>
        <v>6.8533600273204458</v>
      </c>
      <c r="R44" s="629">
        <f t="shared" si="387"/>
        <v>5.9931180752441167</v>
      </c>
      <c r="S44" s="634">
        <f t="shared" si="388"/>
        <v>-0.95550288179669096</v>
      </c>
      <c r="T44" s="635">
        <f t="shared" si="389"/>
        <v>0.7151508313112972</v>
      </c>
      <c r="U44" s="629">
        <f t="shared" si="390"/>
        <v>-5.9502960894641621</v>
      </c>
      <c r="V44" s="636">
        <f t="shared" si="391"/>
        <v>-0.95550288179669096</v>
      </c>
      <c r="W44" s="585">
        <f t="shared" si="224"/>
        <v>276.85336002732043</v>
      </c>
      <c r="X44" s="629">
        <f t="shared" si="392"/>
        <v>5.9931180752441167</v>
      </c>
      <c r="Y44" s="630">
        <f t="shared" si="223"/>
        <v>-0.95550288179669096</v>
      </c>
      <c r="Z44" s="632">
        <f t="shared" si="245"/>
        <v>-0.52906867695763404</v>
      </c>
      <c r="AA44" s="629">
        <f t="shared" si="246"/>
        <v>-6.3587636256549451E-2</v>
      </c>
      <c r="AB44" s="629">
        <f t="shared" si="247"/>
        <v>-0.84619320936627918</v>
      </c>
      <c r="AC44" s="636">
        <f t="shared" si="393"/>
        <v>1</v>
      </c>
      <c r="AD44" s="637">
        <f t="shared" si="394"/>
        <v>-0.52906867695763404</v>
      </c>
      <c r="AE44" s="629">
        <f t="shared" si="395"/>
        <v>-6.3587636256549451E-2</v>
      </c>
      <c r="AF44" s="633">
        <f t="shared" si="396"/>
        <v>-0.84619320936627918</v>
      </c>
      <c r="AG44" s="602">
        <f t="shared" si="397"/>
        <v>-4.2974447896907657</v>
      </c>
      <c r="AH44" s="603">
        <f t="shared" si="398"/>
        <v>121.94255065623163</v>
      </c>
      <c r="AI44" s="585">
        <f t="shared" si="399"/>
        <v>-32.199995350898206</v>
      </c>
      <c r="AJ44" s="586">
        <f t="shared" si="400"/>
        <v>-83.14661558729658</v>
      </c>
      <c r="AK44" s="635">
        <f t="shared" si="401"/>
        <v>2.2679489684873655E-7</v>
      </c>
      <c r="AL44" s="629">
        <f t="shared" si="402"/>
        <v>-0.53287620740876129</v>
      </c>
      <c r="AM44" s="634">
        <f t="shared" si="403"/>
        <v>-0.84619320936627918</v>
      </c>
      <c r="AN44" s="581">
        <f t="shared" si="404"/>
        <v>-32.199995350895875</v>
      </c>
      <c r="AO44" s="582">
        <f t="shared" si="94"/>
        <v>0</v>
      </c>
      <c r="AP44" s="585">
        <f t="shared" si="405"/>
        <v>-89.999975614617014</v>
      </c>
      <c r="AQ44" s="586">
        <f t="shared" si="248"/>
        <v>0.38038515335651846</v>
      </c>
      <c r="AS44" s="52">
        <f t="shared" si="408"/>
        <v>-83.146639972679566</v>
      </c>
      <c r="AT44" s="72">
        <f t="shared" si="249"/>
        <v>-0.8977621595934413</v>
      </c>
      <c r="AU44" s="469"/>
      <c r="AV44" s="168" t="str">
        <f t="shared" si="250"/>
        <v/>
      </c>
      <c r="AW44" s="192"/>
      <c r="AX44" s="193"/>
      <c r="AY44" s="196"/>
      <c r="AZ44" s="308" t="str">
        <f t="shared" si="251"/>
        <v/>
      </c>
      <c r="BA44" s="307" t="str">
        <f t="shared" si="252"/>
        <v/>
      </c>
      <c r="BB44" s="198" t="str">
        <f t="shared" si="118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77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6"/>
        <v/>
      </c>
      <c r="BT44" s="5" t="str">
        <f t="shared" si="406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4"/>
        <v/>
      </c>
      <c r="CJ44" s="5" t="str">
        <f t="shared" si="275"/>
        <v/>
      </c>
      <c r="CK44" s="8" t="str">
        <f t="shared" si="276"/>
        <v/>
      </c>
      <c r="CL44" s="177" t="str">
        <f t="shared" si="277"/>
        <v/>
      </c>
      <c r="CM44" s="5" t="str">
        <f t="shared" si="278"/>
        <v/>
      </c>
      <c r="CN44" s="6" t="str">
        <f t="shared" si="279"/>
        <v/>
      </c>
      <c r="CO44" s="171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4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09"/>
        <v/>
      </c>
      <c r="DC44" s="5" t="str">
        <f t="shared" si="409"/>
        <v/>
      </c>
      <c r="DD44" s="10" t="str">
        <f t="shared" si="142"/>
        <v/>
      </c>
      <c r="DE44" s="9" t="str">
        <f t="shared" si="410"/>
        <v/>
      </c>
      <c r="DF44" s="5" t="str">
        <f t="shared" si="410"/>
        <v/>
      </c>
      <c r="DG44" s="10" t="str">
        <f t="shared" si="144"/>
        <v/>
      </c>
      <c r="DH44" s="72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77" t="str">
        <f t="shared" si="297"/>
        <v/>
      </c>
      <c r="DN44" s="182" t="str">
        <f t="shared" si="298"/>
        <v/>
      </c>
      <c r="DO44" s="9" t="str">
        <f t="shared" si="299"/>
        <v/>
      </c>
      <c r="DP44" s="177" t="str">
        <f t="shared" si="300"/>
        <v/>
      </c>
      <c r="DQ44" s="11" t="str">
        <f t="shared" si="301"/>
        <v/>
      </c>
      <c r="DR44" s="177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1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77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47" t="str">
        <f t="shared" si="174"/>
        <v/>
      </c>
      <c r="EL44" s="249" t="str">
        <f t="shared" si="175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78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77" t="str">
        <f t="shared" si="337"/>
        <v/>
      </c>
      <c r="FH44" s="5" t="str">
        <f t="shared" si="338"/>
        <v/>
      </c>
      <c r="FI44" s="10" t="str">
        <f t="shared" si="339"/>
        <v/>
      </c>
      <c r="FJ44" s="290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88" t="str">
        <f t="shared" si="346"/>
        <v/>
      </c>
      <c r="FQ44" s="177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88" t="str">
        <f t="shared" si="356"/>
        <v/>
      </c>
      <c r="GA44" s="181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24" t="str">
        <f t="shared" si="361"/>
        <v/>
      </c>
      <c r="GF44" s="362" t="str">
        <f t="shared" si="362"/>
        <v/>
      </c>
      <c r="GG44" s="296" t="str">
        <f t="shared" si="363"/>
        <v/>
      </c>
      <c r="GH44" s="297" t="str">
        <f t="shared" si="364"/>
        <v/>
      </c>
      <c r="GI44" s="292" t="str">
        <f t="shared" si="365"/>
        <v/>
      </c>
      <c r="GJ44" s="171" t="str">
        <f t="shared" si="366"/>
        <v/>
      </c>
      <c r="GK44" s="178" t="str">
        <f t="shared" si="52"/>
        <v/>
      </c>
      <c r="GL44" s="178" t="str">
        <f t="shared" si="367"/>
        <v/>
      </c>
      <c r="GM44" s="181" t="str">
        <f t="shared" si="368"/>
        <v/>
      </c>
      <c r="GN44" s="291" t="str">
        <f t="shared" si="369"/>
        <v/>
      </c>
      <c r="GO44" s="4" t="str">
        <f t="shared" si="370"/>
        <v/>
      </c>
      <c r="GP44" s="8" t="str">
        <f t="shared" si="371"/>
        <v/>
      </c>
      <c r="GQ44" s="181" t="str">
        <f t="shared" si="372"/>
        <v/>
      </c>
      <c r="GR44" s="417" t="str">
        <f t="shared" si="373"/>
        <v/>
      </c>
      <c r="GS44" s="363" t="str">
        <f t="shared" si="374"/>
        <v/>
      </c>
      <c r="GT44" s="364" t="str">
        <f t="shared" si="375"/>
        <v/>
      </c>
      <c r="GU44" s="365" t="str">
        <f t="shared" si="56"/>
        <v/>
      </c>
      <c r="GV44" s="364" t="str">
        <f t="shared" si="376"/>
        <v/>
      </c>
      <c r="GW44" s="366" t="str">
        <f t="shared" si="57"/>
        <v/>
      </c>
      <c r="GX44" s="367" t="str">
        <f t="shared" si="58"/>
        <v/>
      </c>
      <c r="GY44" s="365" t="str">
        <f t="shared" si="377"/>
        <v/>
      </c>
      <c r="GZ44" s="366" t="str">
        <f t="shared" si="378"/>
        <v/>
      </c>
      <c r="HA44" s="363" t="str">
        <f t="shared" si="61"/>
        <v/>
      </c>
      <c r="HB44" s="5" t="str">
        <f t="shared" si="205"/>
        <v/>
      </c>
      <c r="HC44" s="364" t="str">
        <f t="shared" si="379"/>
        <v/>
      </c>
      <c r="HD44" s="366" t="str">
        <f t="shared" si="380"/>
        <v/>
      </c>
      <c r="HE44" s="365" t="str">
        <f t="shared" si="62"/>
        <v/>
      </c>
      <c r="HF44" s="5" t="str">
        <f t="shared" si="63"/>
        <v/>
      </c>
      <c r="HG44" s="364" t="str">
        <f t="shared" si="381"/>
        <v/>
      </c>
      <c r="HH44" s="370" t="str">
        <f t="shared" si="382"/>
        <v/>
      </c>
      <c r="HI44" s="335" t="str">
        <f t="shared" si="383"/>
        <v/>
      </c>
      <c r="HJ44" s="357"/>
      <c r="HK44" s="323" t="str">
        <f t="shared" si="238"/>
        <v/>
      </c>
      <c r="HL44" s="322" t="str">
        <f t="shared" si="407"/>
        <v/>
      </c>
      <c r="HM44" s="369" t="str">
        <f t="shared" si="239"/>
        <v/>
      </c>
      <c r="HN44" s="384" t="str">
        <f t="shared" si="239"/>
        <v/>
      </c>
      <c r="HO44" s="385" t="str">
        <f t="shared" si="239"/>
        <v/>
      </c>
      <c r="HP44" s="380" t="str">
        <f t="shared" si="239"/>
        <v/>
      </c>
      <c r="HQ44" s="384" t="str">
        <f t="shared" si="239"/>
        <v/>
      </c>
      <c r="HR44" s="395" t="str">
        <f t="shared" si="239"/>
        <v/>
      </c>
      <c r="HS44" s="379" t="str">
        <f t="shared" si="239"/>
        <v/>
      </c>
      <c r="HT44" s="374" t="str">
        <f t="shared" si="239"/>
        <v/>
      </c>
      <c r="HU44" s="375" t="str">
        <f t="shared" si="239"/>
        <v/>
      </c>
      <c r="HV44" s="376" t="str">
        <f t="shared" si="239"/>
        <v/>
      </c>
      <c r="HW44" s="374" t="str">
        <f t="shared" si="239"/>
        <v/>
      </c>
      <c r="HX44" s="375" t="str">
        <f t="shared" si="239"/>
        <v/>
      </c>
      <c r="HY44" s="376" t="str">
        <f t="shared" si="239"/>
        <v/>
      </c>
      <c r="HZ44" s="374" t="str">
        <f t="shared" si="239"/>
        <v/>
      </c>
      <c r="IA44" s="375" t="str">
        <f t="shared" si="239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2.238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2.1379999999999999</v>
      </c>
      <c r="II44" s="734" cm="1">
        <f t="array" ref="II44">IFERROR(ROUND(VALUE(IF($IH44&lt;1,$IH44+LARGE((IF($M$9:$M$150="",0,$M$9:$M$150)-MOD(IF($M$9:$M$150="",0,$M$9:$M$150),1)),1),$IH44)),4),"")</f>
        <v>2.1379999999999999</v>
      </c>
      <c r="IJ44" s="533">
        <f t="shared" si="112"/>
        <v>1613</v>
      </c>
      <c r="IK44" s="533" t="str">
        <f t="shared" si="384"/>
        <v>Inactive</v>
      </c>
      <c r="IL44" s="727">
        <f t="shared" si="225"/>
        <v>16.560197609003296</v>
      </c>
      <c r="IM44" s="759">
        <v>1.70799989378777E-4</v>
      </c>
      <c r="IN44" s="5">
        <f t="shared" si="226"/>
        <v>0</v>
      </c>
      <c r="IO44" s="771">
        <v>0</v>
      </c>
      <c r="IP44" s="9">
        <f t="shared" si="227"/>
        <v>-5.9757180227655571</v>
      </c>
      <c r="IQ44" s="5">
        <f t="shared" si="228"/>
        <v>-0.97230293246564459</v>
      </c>
      <c r="IR44" s="5">
        <f t="shared" si="385"/>
        <v>0.314</v>
      </c>
      <c r="IS44" s="5">
        <f t="shared" si="229"/>
        <v>0.28602642767935738</v>
      </c>
      <c r="IT44" s="727">
        <f t="shared" si="230"/>
        <v>52.625309040106117</v>
      </c>
      <c r="IU44" s="9">
        <f t="shared" si="231"/>
        <v>-5.9931180752441167</v>
      </c>
      <c r="IV44" s="5">
        <f t="shared" si="232"/>
        <v>-0.95550288179669096</v>
      </c>
      <c r="IW44" s="5">
        <f t="shared" si="386"/>
        <v>0.26250000000000001</v>
      </c>
      <c r="IX44" s="5">
        <f t="shared" si="233"/>
        <v>0.26250000000000001</v>
      </c>
      <c r="IY44" s="762">
        <f t="shared" si="234"/>
        <v>32.199995350895875</v>
      </c>
    </row>
    <row r="45" spans="1:267" ht="15" customHeight="1" x14ac:dyDescent="0.25">
      <c r="A45" s="79"/>
      <c r="B45" s="707">
        <v>6.4304386244430436</v>
      </c>
      <c r="C45" s="708">
        <v>0.72713800110449067</v>
      </c>
      <c r="D45" s="709">
        <v>-1.5553046907989481</v>
      </c>
      <c r="E45" s="710">
        <v>0.66618097350346073</v>
      </c>
      <c r="F45" s="708">
        <v>7.5330315305517259E-2</v>
      </c>
      <c r="G45" s="711">
        <v>0.74197591210089342</v>
      </c>
      <c r="H45" s="710">
        <v>0.26250000000000001</v>
      </c>
      <c r="I45" s="708">
        <v>0.40699999999999997</v>
      </c>
      <c r="J45" s="570">
        <v>2.2440000000000002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1314">
        <f t="shared" si="240"/>
        <v>0</v>
      </c>
      <c r="M45" s="168">
        <f t="shared" si="241"/>
        <v>2.2440000000000002</v>
      </c>
      <c r="N45" s="632">
        <f t="shared" si="242"/>
        <v>6.4304386244430436</v>
      </c>
      <c r="O45" s="629">
        <f t="shared" si="243"/>
        <v>0.72713800110449067</v>
      </c>
      <c r="P45" s="633">
        <f t="shared" si="244"/>
        <v>-1.5553046907989481</v>
      </c>
      <c r="Q45" s="585">
        <f t="shared" si="113"/>
        <v>6.4514600853476161</v>
      </c>
      <c r="R45" s="629">
        <f t="shared" si="387"/>
        <v>6.4714195178012668</v>
      </c>
      <c r="S45" s="634">
        <f t="shared" si="388"/>
        <v>-1.5553046907989481</v>
      </c>
      <c r="T45" s="635">
        <f t="shared" si="389"/>
        <v>0.7271380011044869</v>
      </c>
      <c r="U45" s="629">
        <f t="shared" si="390"/>
        <v>-6.4304386244430445</v>
      </c>
      <c r="V45" s="636">
        <f t="shared" si="391"/>
        <v>-1.5553046907989481</v>
      </c>
      <c r="W45" s="585">
        <f t="shared" si="224"/>
        <v>276.45146008534761</v>
      </c>
      <c r="X45" s="629">
        <f t="shared" si="392"/>
        <v>6.4714195178012668</v>
      </c>
      <c r="Y45" s="630">
        <f t="shared" si="223"/>
        <v>-1.5553046907989481</v>
      </c>
      <c r="Z45" s="632">
        <f t="shared" si="245"/>
        <v>-0.66618097350346073</v>
      </c>
      <c r="AA45" s="629">
        <f t="shared" si="246"/>
        <v>-7.5330315305517259E-2</v>
      </c>
      <c r="AB45" s="629">
        <f t="shared" si="247"/>
        <v>-0.74197591210089342</v>
      </c>
      <c r="AC45" s="636">
        <f t="shared" si="393"/>
        <v>1</v>
      </c>
      <c r="AD45" s="637">
        <f t="shared" si="394"/>
        <v>-0.66618097350346073</v>
      </c>
      <c r="AE45" s="629">
        <f t="shared" si="395"/>
        <v>-7.5330315305517259E-2</v>
      </c>
      <c r="AF45" s="633">
        <f t="shared" si="396"/>
        <v>-0.74197591210089342</v>
      </c>
      <c r="AG45" s="602">
        <f t="shared" si="397"/>
        <v>-5.7971835126535538</v>
      </c>
      <c r="AH45" s="603">
        <f t="shared" si="398"/>
        <v>131.77299036120829</v>
      </c>
      <c r="AI45" s="585">
        <f t="shared" si="399"/>
        <v>-42.099993921514574</v>
      </c>
      <c r="AJ45" s="586">
        <f t="shared" si="400"/>
        <v>-83.548520532379143</v>
      </c>
      <c r="AK45" s="635">
        <f t="shared" si="401"/>
        <v>2.2679489709853673E-7</v>
      </c>
      <c r="AL45" s="629">
        <f t="shared" si="402"/>
        <v>-0.67042654024284865</v>
      </c>
      <c r="AM45" s="634">
        <f t="shared" si="403"/>
        <v>-0.74197591210089342</v>
      </c>
      <c r="AN45" s="581">
        <f t="shared" si="404"/>
        <v>-42.099993921512947</v>
      </c>
      <c r="AO45" s="582">
        <f t="shared" si="94"/>
        <v>0</v>
      </c>
      <c r="AP45" s="585">
        <f t="shared" si="405"/>
        <v>-89.99998061772672</v>
      </c>
      <c r="AQ45" s="586">
        <f t="shared" si="248"/>
        <v>0.35227169245247503</v>
      </c>
      <c r="AS45" s="52">
        <f t="shared" si="408"/>
        <v>-83.548539914652395</v>
      </c>
      <c r="AT45" s="72">
        <f t="shared" si="249"/>
        <v>-1.4972848714137728</v>
      </c>
      <c r="AU45" s="469"/>
      <c r="AV45" s="168" t="str">
        <f t="shared" si="250"/>
        <v/>
      </c>
      <c r="AW45" s="192"/>
      <c r="AX45" s="193"/>
      <c r="AY45" s="196"/>
      <c r="AZ45" s="308" t="str">
        <f t="shared" si="251"/>
        <v/>
      </c>
      <c r="BA45" s="307" t="str">
        <f t="shared" si="252"/>
        <v/>
      </c>
      <c r="BB45" s="198" t="str">
        <f t="shared" si="118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77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6"/>
        <v/>
      </c>
      <c r="BT45" s="5" t="str">
        <f t="shared" si="406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4"/>
        <v/>
      </c>
      <c r="CJ45" s="5" t="str">
        <f t="shared" si="275"/>
        <v/>
      </c>
      <c r="CK45" s="8" t="str">
        <f t="shared" si="276"/>
        <v/>
      </c>
      <c r="CL45" s="177" t="str">
        <f t="shared" si="277"/>
        <v/>
      </c>
      <c r="CM45" s="5" t="str">
        <f t="shared" si="278"/>
        <v/>
      </c>
      <c r="CN45" s="6" t="str">
        <f t="shared" si="279"/>
        <v/>
      </c>
      <c r="CO45" s="171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4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09"/>
        <v/>
      </c>
      <c r="DC45" s="5" t="str">
        <f t="shared" si="409"/>
        <v/>
      </c>
      <c r="DD45" s="10" t="str">
        <f t="shared" si="142"/>
        <v/>
      </c>
      <c r="DE45" s="9" t="str">
        <f t="shared" si="410"/>
        <v/>
      </c>
      <c r="DF45" s="5" t="str">
        <f t="shared" si="410"/>
        <v/>
      </c>
      <c r="DG45" s="10" t="str">
        <f t="shared" si="144"/>
        <v/>
      </c>
      <c r="DH45" s="72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77" t="str">
        <f t="shared" si="297"/>
        <v/>
      </c>
      <c r="DN45" s="182" t="str">
        <f t="shared" si="298"/>
        <v/>
      </c>
      <c r="DO45" s="9" t="str">
        <f t="shared" si="299"/>
        <v/>
      </c>
      <c r="DP45" s="177" t="str">
        <f t="shared" si="300"/>
        <v/>
      </c>
      <c r="DQ45" s="11" t="str">
        <f t="shared" si="301"/>
        <v/>
      </c>
      <c r="DR45" s="177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1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77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47" t="str">
        <f t="shared" si="174"/>
        <v/>
      </c>
      <c r="EL45" s="249" t="str">
        <f t="shared" si="175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78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77" t="str">
        <f t="shared" si="337"/>
        <v/>
      </c>
      <c r="FH45" s="5" t="str">
        <f t="shared" si="338"/>
        <v/>
      </c>
      <c r="FI45" s="10" t="str">
        <f t="shared" si="339"/>
        <v/>
      </c>
      <c r="FJ45" s="290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88" t="str">
        <f t="shared" si="346"/>
        <v/>
      </c>
      <c r="FQ45" s="177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88" t="str">
        <f t="shared" si="356"/>
        <v/>
      </c>
      <c r="GA45" s="181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24" t="str">
        <f t="shared" si="361"/>
        <v/>
      </c>
      <c r="GF45" s="362" t="str">
        <f t="shared" si="362"/>
        <v/>
      </c>
      <c r="GG45" s="296" t="str">
        <f t="shared" si="363"/>
        <v/>
      </c>
      <c r="GH45" s="297" t="str">
        <f t="shared" si="364"/>
        <v/>
      </c>
      <c r="GI45" s="292" t="str">
        <f t="shared" si="365"/>
        <v/>
      </c>
      <c r="GJ45" s="171" t="str">
        <f t="shared" si="366"/>
        <v/>
      </c>
      <c r="GK45" s="178" t="str">
        <f t="shared" si="52"/>
        <v/>
      </c>
      <c r="GL45" s="178" t="str">
        <f t="shared" si="367"/>
        <v/>
      </c>
      <c r="GM45" s="181" t="str">
        <f t="shared" si="368"/>
        <v/>
      </c>
      <c r="GN45" s="291" t="str">
        <f t="shared" si="369"/>
        <v/>
      </c>
      <c r="GO45" s="4" t="str">
        <f t="shared" si="370"/>
        <v/>
      </c>
      <c r="GP45" s="8" t="str">
        <f t="shared" si="371"/>
        <v/>
      </c>
      <c r="GQ45" s="181" t="str">
        <f t="shared" si="372"/>
        <v/>
      </c>
      <c r="GR45" s="417" t="str">
        <f t="shared" si="373"/>
        <v/>
      </c>
      <c r="GS45" s="363" t="str">
        <f t="shared" si="374"/>
        <v/>
      </c>
      <c r="GT45" s="364" t="str">
        <f t="shared" si="375"/>
        <v/>
      </c>
      <c r="GU45" s="365" t="str">
        <f t="shared" si="56"/>
        <v/>
      </c>
      <c r="GV45" s="364" t="str">
        <f t="shared" si="376"/>
        <v/>
      </c>
      <c r="GW45" s="366" t="str">
        <f t="shared" si="57"/>
        <v/>
      </c>
      <c r="GX45" s="367" t="str">
        <f t="shared" si="58"/>
        <v/>
      </c>
      <c r="GY45" s="365" t="str">
        <f t="shared" si="377"/>
        <v/>
      </c>
      <c r="GZ45" s="366" t="str">
        <f t="shared" si="378"/>
        <v/>
      </c>
      <c r="HA45" s="363" t="str">
        <f t="shared" si="61"/>
        <v/>
      </c>
      <c r="HB45" s="5" t="str">
        <f t="shared" si="205"/>
        <v/>
      </c>
      <c r="HC45" s="364" t="str">
        <f t="shared" si="379"/>
        <v/>
      </c>
      <c r="HD45" s="366" t="str">
        <f t="shared" si="380"/>
        <v/>
      </c>
      <c r="HE45" s="365" t="str">
        <f t="shared" si="62"/>
        <v/>
      </c>
      <c r="HF45" s="5" t="str">
        <f t="shared" si="63"/>
        <v/>
      </c>
      <c r="HG45" s="364" t="str">
        <f t="shared" si="381"/>
        <v/>
      </c>
      <c r="HH45" s="370" t="str">
        <f t="shared" si="382"/>
        <v/>
      </c>
      <c r="HI45" s="335" t="str">
        <f t="shared" si="383"/>
        <v/>
      </c>
      <c r="HJ45" s="357"/>
      <c r="HK45" s="323" t="str">
        <f t="shared" si="238"/>
        <v/>
      </c>
      <c r="HL45" s="322" t="str">
        <f t="shared" si="407"/>
        <v/>
      </c>
      <c r="HM45" s="369" t="str">
        <f t="shared" si="239"/>
        <v/>
      </c>
      <c r="HN45" s="384" t="str">
        <f t="shared" si="239"/>
        <v/>
      </c>
      <c r="HO45" s="385" t="str">
        <f t="shared" si="239"/>
        <v/>
      </c>
      <c r="HP45" s="380" t="str">
        <f t="shared" si="239"/>
        <v/>
      </c>
      <c r="HQ45" s="384" t="str">
        <f t="shared" si="239"/>
        <v/>
      </c>
      <c r="HR45" s="395" t="str">
        <f t="shared" si="239"/>
        <v/>
      </c>
      <c r="HS45" s="379" t="str">
        <f t="shared" si="239"/>
        <v/>
      </c>
      <c r="HT45" s="374" t="str">
        <f t="shared" si="239"/>
        <v/>
      </c>
      <c r="HU45" s="375" t="str">
        <f t="shared" si="239"/>
        <v/>
      </c>
      <c r="HV45" s="376" t="str">
        <f t="shared" si="239"/>
        <v/>
      </c>
      <c r="HW45" s="374" t="str">
        <f t="shared" si="239"/>
        <v/>
      </c>
      <c r="HX45" s="375" t="str">
        <f t="shared" si="239"/>
        <v/>
      </c>
      <c r="HY45" s="376" t="str">
        <f t="shared" si="239"/>
        <v/>
      </c>
      <c r="HZ45" s="374" t="str">
        <f t="shared" si="239"/>
        <v/>
      </c>
      <c r="IA45" s="375" t="str">
        <f t="shared" si="239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2.2440000000000002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2.1440000000000001</v>
      </c>
      <c r="II45" s="734" cm="1">
        <f t="array" ref="II45">IFERROR(ROUND(VALUE(IF($IH45&lt;1,$IH45+LARGE((IF($M$9:$M$150="",0,$M$9:$M$150)-MOD(IF($M$9:$M$150="",0,$M$9:$M$150),1)),1),$IH45)),4),"")</f>
        <v>2.1440000000000001</v>
      </c>
      <c r="IJ45" s="533">
        <f t="shared" si="112"/>
        <v>1613</v>
      </c>
      <c r="IK45" s="533" t="str">
        <f t="shared" si="384"/>
        <v>Inactive</v>
      </c>
      <c r="IL45" s="727">
        <f t="shared" si="225"/>
        <v>16.39649763263867</v>
      </c>
      <c r="IM45" s="759">
        <v>1.1154623623633301E-4</v>
      </c>
      <c r="IN45" s="5">
        <f t="shared" si="226"/>
        <v>0</v>
      </c>
      <c r="IO45" s="771">
        <v>0</v>
      </c>
      <c r="IP45" s="9">
        <f t="shared" si="227"/>
        <v>-6.4557194704499246</v>
      </c>
      <c r="IQ45" s="5">
        <f t="shared" si="228"/>
        <v>-1.5620047110062083</v>
      </c>
      <c r="IR45" s="5">
        <f t="shared" si="385"/>
        <v>0.314</v>
      </c>
      <c r="IS45" s="5">
        <f t="shared" si="229"/>
        <v>0.27550372811259555</v>
      </c>
      <c r="IT45" s="727">
        <f t="shared" si="230"/>
        <v>63.376744528859888</v>
      </c>
      <c r="IU45" s="9">
        <f t="shared" si="231"/>
        <v>-6.4714195178012668</v>
      </c>
      <c r="IV45" s="5">
        <f t="shared" si="232"/>
        <v>-1.5553046907989481</v>
      </c>
      <c r="IW45" s="5">
        <f t="shared" si="386"/>
        <v>0.26250000000000001</v>
      </c>
      <c r="IX45" s="5">
        <f t="shared" si="233"/>
        <v>0.26250000000000001</v>
      </c>
      <c r="IY45" s="762">
        <f t="shared" si="234"/>
        <v>42.099993921512947</v>
      </c>
    </row>
    <row r="46" spans="1:267" ht="15" customHeight="1" x14ac:dyDescent="0.25">
      <c r="A46" s="79"/>
      <c r="B46" s="707">
        <v>6.7506045339048297</v>
      </c>
      <c r="C46" s="708">
        <v>0.75073134226230354</v>
      </c>
      <c r="D46" s="709">
        <v>-2.2442067685276141</v>
      </c>
      <c r="E46" s="710">
        <v>0.78104184078434058</v>
      </c>
      <c r="F46" s="708">
        <v>8.685949932202891E-2</v>
      </c>
      <c r="G46" s="711">
        <v>0.61840849793783992</v>
      </c>
      <c r="H46" s="710">
        <v>0.26250000000000001</v>
      </c>
      <c r="I46" s="708">
        <v>0.40699999999999997</v>
      </c>
      <c r="J46" s="570">
        <v>2.25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1314">
        <f t="shared" si="240"/>
        <v>0</v>
      </c>
      <c r="M46" s="168">
        <f t="shared" si="241"/>
        <v>2.25</v>
      </c>
      <c r="N46" s="632">
        <f t="shared" si="242"/>
        <v>6.7506045339048297</v>
      </c>
      <c r="O46" s="629">
        <f t="shared" si="243"/>
        <v>0.75073134226230354</v>
      </c>
      <c r="P46" s="633">
        <f t="shared" si="244"/>
        <v>-2.2442067685276141</v>
      </c>
      <c r="Q46" s="585">
        <f t="shared" si="113"/>
        <v>6.3457601006088087</v>
      </c>
      <c r="R46" s="629">
        <f t="shared" si="387"/>
        <v>6.7922204853369861</v>
      </c>
      <c r="S46" s="634">
        <f t="shared" si="388"/>
        <v>-2.2442067685276141</v>
      </c>
      <c r="T46" s="635">
        <f t="shared" si="389"/>
        <v>0.75073134226230387</v>
      </c>
      <c r="U46" s="629">
        <f t="shared" si="390"/>
        <v>-6.7506045339048297</v>
      </c>
      <c r="V46" s="636">
        <f t="shared" si="391"/>
        <v>-2.2442067685276141</v>
      </c>
      <c r="W46" s="585">
        <f t="shared" si="224"/>
        <v>276.3457601006088</v>
      </c>
      <c r="X46" s="629">
        <f t="shared" si="392"/>
        <v>6.7922204853369861</v>
      </c>
      <c r="Y46" s="630">
        <f t="shared" si="223"/>
        <v>-2.2442067685276141</v>
      </c>
      <c r="Z46" s="632">
        <f t="shared" si="245"/>
        <v>-0.78104184078434058</v>
      </c>
      <c r="AA46" s="629">
        <f t="shared" si="246"/>
        <v>-8.685949932202891E-2</v>
      </c>
      <c r="AB46" s="629">
        <f t="shared" si="247"/>
        <v>-0.61840849793783992</v>
      </c>
      <c r="AC46" s="636">
        <f t="shared" si="393"/>
        <v>1</v>
      </c>
      <c r="AD46" s="637">
        <f t="shared" si="394"/>
        <v>-0.78104184078434058</v>
      </c>
      <c r="AE46" s="629">
        <f t="shared" si="395"/>
        <v>-8.685949932202891E-2</v>
      </c>
      <c r="AF46" s="633">
        <f t="shared" si="396"/>
        <v>-0.61840849793783992</v>
      </c>
      <c r="AG46" s="602">
        <f t="shared" si="397"/>
        <v>-7.9952620716893934</v>
      </c>
      <c r="AH46" s="603">
        <f t="shared" si="398"/>
        <v>141.35606458275228</v>
      </c>
      <c r="AI46" s="585">
        <f t="shared" si="399"/>
        <v>-51.799992521007596</v>
      </c>
      <c r="AJ46" s="586">
        <f t="shared" si="400"/>
        <v>-83.654223364075605</v>
      </c>
      <c r="AK46" s="635">
        <f t="shared" si="401"/>
        <v>2.267948966822031E-7</v>
      </c>
      <c r="AL46" s="629">
        <f t="shared" si="402"/>
        <v>-0.78585681245263328</v>
      </c>
      <c r="AM46" s="634">
        <f t="shared" si="403"/>
        <v>-0.61840849793783992</v>
      </c>
      <c r="AN46" s="581">
        <f t="shared" si="404"/>
        <v>-51.799992521006438</v>
      </c>
      <c r="AO46" s="582">
        <f t="shared" si="94"/>
        <v>0</v>
      </c>
      <c r="AP46" s="585">
        <f t="shared" si="405"/>
        <v>-89.999983464684419</v>
      </c>
      <c r="AQ46" s="586">
        <f t="shared" si="248"/>
        <v>0.3356340625828651</v>
      </c>
      <c r="AS46" s="52">
        <f t="shared" si="408"/>
        <v>-83.6542398993912</v>
      </c>
      <c r="AT46" s="72">
        <f t="shared" si="249"/>
        <v>-2.186113546375259</v>
      </c>
      <c r="AU46" s="469"/>
      <c r="AV46" s="168" t="str">
        <f t="shared" si="250"/>
        <v/>
      </c>
      <c r="AW46" s="192"/>
      <c r="AX46" s="193"/>
      <c r="AY46" s="196"/>
      <c r="AZ46" s="308" t="str">
        <f t="shared" si="251"/>
        <v/>
      </c>
      <c r="BA46" s="307" t="str">
        <f t="shared" si="252"/>
        <v/>
      </c>
      <c r="BB46" s="198" t="str">
        <f t="shared" si="118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77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6"/>
        <v/>
      </c>
      <c r="BT46" s="5" t="str">
        <f t="shared" si="406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4"/>
        <v/>
      </c>
      <c r="CJ46" s="5" t="str">
        <f t="shared" si="275"/>
        <v/>
      </c>
      <c r="CK46" s="8" t="str">
        <f t="shared" si="276"/>
        <v/>
      </c>
      <c r="CL46" s="177" t="str">
        <f t="shared" si="277"/>
        <v/>
      </c>
      <c r="CM46" s="5" t="str">
        <f t="shared" si="278"/>
        <v/>
      </c>
      <c r="CN46" s="6" t="str">
        <f t="shared" si="279"/>
        <v/>
      </c>
      <c r="CO46" s="171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4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09"/>
        <v/>
      </c>
      <c r="DC46" s="5" t="str">
        <f t="shared" si="409"/>
        <v/>
      </c>
      <c r="DD46" s="10" t="str">
        <f t="shared" si="142"/>
        <v/>
      </c>
      <c r="DE46" s="9" t="str">
        <f t="shared" si="410"/>
        <v/>
      </c>
      <c r="DF46" s="5" t="str">
        <f t="shared" si="410"/>
        <v/>
      </c>
      <c r="DG46" s="10" t="str">
        <f t="shared" si="144"/>
        <v/>
      </c>
      <c r="DH46" s="72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77" t="str">
        <f t="shared" si="297"/>
        <v/>
      </c>
      <c r="DN46" s="182" t="str">
        <f t="shared" si="298"/>
        <v/>
      </c>
      <c r="DO46" s="9" t="str">
        <f t="shared" si="299"/>
        <v/>
      </c>
      <c r="DP46" s="177" t="str">
        <f t="shared" si="300"/>
        <v/>
      </c>
      <c r="DQ46" s="11" t="str">
        <f t="shared" si="301"/>
        <v/>
      </c>
      <c r="DR46" s="177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1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77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47" t="str">
        <f t="shared" si="174"/>
        <v/>
      </c>
      <c r="EL46" s="249" t="str">
        <f t="shared" si="175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78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77" t="str">
        <f t="shared" si="337"/>
        <v/>
      </c>
      <c r="FH46" s="5" t="str">
        <f t="shared" si="338"/>
        <v/>
      </c>
      <c r="FI46" s="10" t="str">
        <f t="shared" si="339"/>
        <v/>
      </c>
      <c r="FJ46" s="290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88" t="str">
        <f t="shared" si="346"/>
        <v/>
      </c>
      <c r="FQ46" s="177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88" t="str">
        <f t="shared" si="356"/>
        <v/>
      </c>
      <c r="GA46" s="181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24" t="str">
        <f t="shared" si="361"/>
        <v/>
      </c>
      <c r="GF46" s="362" t="str">
        <f t="shared" si="362"/>
        <v/>
      </c>
      <c r="GG46" s="296" t="str">
        <f t="shared" si="363"/>
        <v/>
      </c>
      <c r="GH46" s="297" t="str">
        <f t="shared" si="364"/>
        <v/>
      </c>
      <c r="GI46" s="292" t="str">
        <f t="shared" si="365"/>
        <v/>
      </c>
      <c r="GJ46" s="171" t="str">
        <f t="shared" si="366"/>
        <v/>
      </c>
      <c r="GK46" s="178" t="str">
        <f t="shared" si="52"/>
        <v/>
      </c>
      <c r="GL46" s="178" t="str">
        <f t="shared" si="367"/>
        <v/>
      </c>
      <c r="GM46" s="181" t="str">
        <f t="shared" si="368"/>
        <v/>
      </c>
      <c r="GN46" s="291" t="str">
        <f t="shared" si="369"/>
        <v/>
      </c>
      <c r="GO46" s="4" t="str">
        <f t="shared" si="370"/>
        <v/>
      </c>
      <c r="GP46" s="8" t="str">
        <f t="shared" si="371"/>
        <v/>
      </c>
      <c r="GQ46" s="181" t="str">
        <f t="shared" si="372"/>
        <v/>
      </c>
      <c r="GR46" s="417" t="str">
        <f t="shared" si="373"/>
        <v/>
      </c>
      <c r="GS46" s="363" t="str">
        <f t="shared" si="374"/>
        <v/>
      </c>
      <c r="GT46" s="364" t="str">
        <f t="shared" si="375"/>
        <v/>
      </c>
      <c r="GU46" s="365" t="str">
        <f t="shared" si="56"/>
        <v/>
      </c>
      <c r="GV46" s="364" t="str">
        <f t="shared" si="376"/>
        <v/>
      </c>
      <c r="GW46" s="366" t="str">
        <f t="shared" si="57"/>
        <v/>
      </c>
      <c r="GX46" s="367" t="str">
        <f t="shared" si="58"/>
        <v/>
      </c>
      <c r="GY46" s="365" t="str">
        <f t="shared" si="377"/>
        <v/>
      </c>
      <c r="GZ46" s="366" t="str">
        <f t="shared" si="378"/>
        <v/>
      </c>
      <c r="HA46" s="363" t="str">
        <f t="shared" si="61"/>
        <v/>
      </c>
      <c r="HB46" s="5" t="str">
        <f t="shared" si="205"/>
        <v/>
      </c>
      <c r="HC46" s="364" t="str">
        <f t="shared" si="379"/>
        <v/>
      </c>
      <c r="HD46" s="366" t="str">
        <f t="shared" si="380"/>
        <v/>
      </c>
      <c r="HE46" s="365" t="str">
        <f t="shared" si="62"/>
        <v/>
      </c>
      <c r="HF46" s="5" t="str">
        <f t="shared" si="63"/>
        <v/>
      </c>
      <c r="HG46" s="364" t="str">
        <f t="shared" si="381"/>
        <v/>
      </c>
      <c r="HH46" s="370" t="str">
        <f t="shared" si="382"/>
        <v/>
      </c>
      <c r="HI46" s="335" t="str">
        <f t="shared" si="383"/>
        <v/>
      </c>
      <c r="HJ46" s="357"/>
      <c r="HK46" s="323" t="str">
        <f t="shared" si="238"/>
        <v/>
      </c>
      <c r="HL46" s="322" t="str">
        <f t="shared" si="407"/>
        <v/>
      </c>
      <c r="HM46" s="369" t="str">
        <f t="shared" si="239"/>
        <v/>
      </c>
      <c r="HN46" s="384" t="str">
        <f t="shared" si="239"/>
        <v/>
      </c>
      <c r="HO46" s="385" t="str">
        <f t="shared" si="239"/>
        <v/>
      </c>
      <c r="HP46" s="380" t="str">
        <f t="shared" si="239"/>
        <v/>
      </c>
      <c r="HQ46" s="384" t="str">
        <f t="shared" si="239"/>
        <v/>
      </c>
      <c r="HR46" s="395" t="str">
        <f t="shared" si="239"/>
        <v/>
      </c>
      <c r="HS46" s="379" t="str">
        <f t="shared" si="239"/>
        <v/>
      </c>
      <c r="HT46" s="374" t="str">
        <f t="shared" si="239"/>
        <v/>
      </c>
      <c r="HU46" s="375" t="str">
        <f t="shared" si="239"/>
        <v/>
      </c>
      <c r="HV46" s="376" t="str">
        <f t="shared" si="239"/>
        <v/>
      </c>
      <c r="HW46" s="374" t="str">
        <f t="shared" si="239"/>
        <v/>
      </c>
      <c r="HX46" s="375" t="str">
        <f t="shared" si="239"/>
        <v/>
      </c>
      <c r="HY46" s="376" t="str">
        <f t="shared" si="239"/>
        <v/>
      </c>
      <c r="HZ46" s="374" t="str">
        <f t="shared" si="239"/>
        <v/>
      </c>
      <c r="IA46" s="375" t="str">
        <f t="shared" si="239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2.25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2.15</v>
      </c>
      <c r="II46" s="734" cm="1">
        <f t="array" ref="II46">IFERROR(ROUND(VALUE(IF($IH46&lt;1,$IH46+LARGE((IF($M$9:$M$150="",0,$M$9:$M$150)-MOD(IF($M$9:$M$150="",0,$M$9:$M$150),1)),1),$IH46)),4),"")</f>
        <v>2.15</v>
      </c>
      <c r="IJ46" s="533">
        <f t="shared" si="112"/>
        <v>1613</v>
      </c>
      <c r="IK46" s="533" t="str">
        <f t="shared" si="384"/>
        <v>Inactive</v>
      </c>
      <c r="IL46" s="727">
        <f t="shared" si="225"/>
        <v>16.091897676617464</v>
      </c>
      <c r="IM46" s="759">
        <v>5.3861253639824901E-4</v>
      </c>
      <c r="IN46" s="5">
        <f t="shared" si="226"/>
        <v>0</v>
      </c>
      <c r="IO46" s="771">
        <v>0</v>
      </c>
      <c r="IP46" s="9">
        <f t="shared" si="227"/>
        <v>-6.782120454875292</v>
      </c>
      <c r="IQ46" s="5">
        <f t="shared" si="228"/>
        <v>-2.2417067609875909</v>
      </c>
      <c r="IR46" s="5">
        <f t="shared" si="385"/>
        <v>0.314</v>
      </c>
      <c r="IS46" s="5">
        <f t="shared" si="229"/>
        <v>0.26400991569882443</v>
      </c>
      <c r="IT46" s="727">
        <f t="shared" si="230"/>
        <v>72.857444187742715</v>
      </c>
      <c r="IU46" s="9">
        <f t="shared" si="231"/>
        <v>-6.7922204853369861</v>
      </c>
      <c r="IV46" s="5">
        <f t="shared" si="232"/>
        <v>-2.2442067685276141</v>
      </c>
      <c r="IW46" s="5">
        <f t="shared" si="386"/>
        <v>0.26250000000000001</v>
      </c>
      <c r="IX46" s="5">
        <f t="shared" si="233"/>
        <v>0.26250000000000001</v>
      </c>
      <c r="IY46" s="762">
        <f t="shared" si="234"/>
        <v>51.799992521006438</v>
      </c>
    </row>
    <row r="47" spans="1:267" ht="15" customHeight="1" x14ac:dyDescent="0.25">
      <c r="A47" s="79"/>
      <c r="B47" s="707">
        <v>6.9375050838595902</v>
      </c>
      <c r="C47" s="708">
        <v>0.75549931694713446</v>
      </c>
      <c r="D47" s="709">
        <v>-2.9654089436733742</v>
      </c>
      <c r="E47" s="710">
        <v>0.87199067579555944</v>
      </c>
      <c r="F47" s="708">
        <v>9.4960642864749589E-2</v>
      </c>
      <c r="G47" s="711">
        <v>0.48022363293815207</v>
      </c>
      <c r="H47" s="710">
        <v>0.26250000000000001</v>
      </c>
      <c r="I47" s="708">
        <v>0.40699999999999997</v>
      </c>
      <c r="J47" s="570">
        <v>2.2559999999999998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1314">
        <f t="shared" si="240"/>
        <v>0</v>
      </c>
      <c r="M47" s="168">
        <f t="shared" si="241"/>
        <v>2.2559999999999998</v>
      </c>
      <c r="N47" s="632">
        <f t="shared" si="242"/>
        <v>6.9375050838595902</v>
      </c>
      <c r="O47" s="629">
        <f t="shared" si="243"/>
        <v>0.75549931694713446</v>
      </c>
      <c r="P47" s="633">
        <f t="shared" si="244"/>
        <v>-2.9654089436733742</v>
      </c>
      <c r="Q47" s="585">
        <f t="shared" si="113"/>
        <v>6.2150601194795492</v>
      </c>
      <c r="R47" s="629">
        <f t="shared" si="387"/>
        <v>6.9785210472194787</v>
      </c>
      <c r="S47" s="634">
        <f t="shared" si="388"/>
        <v>-2.9654089436733742</v>
      </c>
      <c r="T47" s="635">
        <f t="shared" si="389"/>
        <v>0.75549931694713635</v>
      </c>
      <c r="U47" s="629">
        <f t="shared" si="390"/>
        <v>-6.9375050838595902</v>
      </c>
      <c r="V47" s="636">
        <f t="shared" si="391"/>
        <v>-2.9654089436733742</v>
      </c>
      <c r="W47" s="585">
        <f t="shared" si="224"/>
        <v>276.21506011947957</v>
      </c>
      <c r="X47" s="629">
        <f t="shared" si="392"/>
        <v>6.9785210472194787</v>
      </c>
      <c r="Y47" s="630">
        <f t="shared" si="223"/>
        <v>-2.9654089436733742</v>
      </c>
      <c r="Z47" s="632">
        <f t="shared" si="245"/>
        <v>-0.87199067579555944</v>
      </c>
      <c r="AA47" s="629">
        <f t="shared" si="246"/>
        <v>-9.4960642864749589E-2</v>
      </c>
      <c r="AB47" s="629">
        <f t="shared" si="247"/>
        <v>-0.48022363293815207</v>
      </c>
      <c r="AC47" s="636">
        <f t="shared" si="393"/>
        <v>1</v>
      </c>
      <c r="AD47" s="637">
        <f t="shared" si="394"/>
        <v>-0.87199067579555944</v>
      </c>
      <c r="AE47" s="629">
        <f t="shared" si="395"/>
        <v>-9.4960642864749589E-2</v>
      </c>
      <c r="AF47" s="633">
        <f t="shared" si="396"/>
        <v>-0.48022363293815207</v>
      </c>
      <c r="AG47" s="602">
        <f t="shared" si="397"/>
        <v>-11.185510672642343</v>
      </c>
      <c r="AH47" s="603">
        <f t="shared" si="398"/>
        <v>150.69079940167933</v>
      </c>
      <c r="AI47" s="585">
        <f t="shared" si="399"/>
        <v>-61.299991149377163</v>
      </c>
      <c r="AJ47" s="586">
        <f t="shared" si="400"/>
        <v>-83.784925066123449</v>
      </c>
      <c r="AK47" s="635">
        <f t="shared" si="401"/>
        <v>2.2679489643240291E-7</v>
      </c>
      <c r="AL47" s="629">
        <f t="shared" si="402"/>
        <v>-0.87714608952422024</v>
      </c>
      <c r="AM47" s="634">
        <f t="shared" si="403"/>
        <v>-0.48022363293815207</v>
      </c>
      <c r="AN47" s="581">
        <f t="shared" si="404"/>
        <v>-61.299991149376361</v>
      </c>
      <c r="AO47" s="582">
        <f t="shared" si="94"/>
        <v>0</v>
      </c>
      <c r="AP47" s="585">
        <f t="shared" si="405"/>
        <v>-89.999985185603023</v>
      </c>
      <c r="AQ47" s="586">
        <f t="shared" si="248"/>
        <v>0.32667407803268445</v>
      </c>
      <c r="AS47" s="52">
        <f t="shared" si="408"/>
        <v>-83.784939880520426</v>
      </c>
      <c r="AT47" s="72">
        <f t="shared" si="249"/>
        <v>-2.9072249576452349</v>
      </c>
      <c r="AU47" s="469"/>
      <c r="AV47" s="168" t="str">
        <f t="shared" si="250"/>
        <v/>
      </c>
      <c r="AW47" s="192"/>
      <c r="AX47" s="193"/>
      <c r="AY47" s="196"/>
      <c r="AZ47" s="308" t="str">
        <f t="shared" si="251"/>
        <v/>
      </c>
      <c r="BA47" s="307" t="str">
        <f t="shared" si="252"/>
        <v/>
      </c>
      <c r="BB47" s="198" t="str">
        <f t="shared" si="118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77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6"/>
        <v/>
      </c>
      <c r="BT47" s="5" t="str">
        <f t="shared" si="406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4"/>
        <v/>
      </c>
      <c r="CJ47" s="5" t="str">
        <f t="shared" si="275"/>
        <v/>
      </c>
      <c r="CK47" s="8" t="str">
        <f t="shared" si="276"/>
        <v/>
      </c>
      <c r="CL47" s="177" t="str">
        <f t="shared" si="277"/>
        <v/>
      </c>
      <c r="CM47" s="5" t="str">
        <f t="shared" si="278"/>
        <v/>
      </c>
      <c r="CN47" s="6" t="str">
        <f t="shared" si="279"/>
        <v/>
      </c>
      <c r="CO47" s="171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4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09"/>
        <v/>
      </c>
      <c r="DC47" s="5" t="str">
        <f t="shared" si="409"/>
        <v/>
      </c>
      <c r="DD47" s="10" t="str">
        <f t="shared" si="142"/>
        <v/>
      </c>
      <c r="DE47" s="9" t="str">
        <f t="shared" si="410"/>
        <v/>
      </c>
      <c r="DF47" s="5" t="str">
        <f t="shared" si="410"/>
        <v/>
      </c>
      <c r="DG47" s="10" t="str">
        <f t="shared" si="144"/>
        <v/>
      </c>
      <c r="DH47" s="72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77" t="str">
        <f t="shared" si="297"/>
        <v/>
      </c>
      <c r="DN47" s="182" t="str">
        <f t="shared" si="298"/>
        <v/>
      </c>
      <c r="DO47" s="9" t="str">
        <f t="shared" si="299"/>
        <v/>
      </c>
      <c r="DP47" s="177" t="str">
        <f t="shared" si="300"/>
        <v/>
      </c>
      <c r="DQ47" s="11" t="str">
        <f t="shared" si="301"/>
        <v/>
      </c>
      <c r="DR47" s="177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1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77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47" t="str">
        <f t="shared" si="174"/>
        <v/>
      </c>
      <c r="EL47" s="249" t="str">
        <f t="shared" si="175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78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77" t="str">
        <f t="shared" si="337"/>
        <v/>
      </c>
      <c r="FH47" s="5" t="str">
        <f t="shared" si="338"/>
        <v/>
      </c>
      <c r="FI47" s="10" t="str">
        <f t="shared" si="339"/>
        <v/>
      </c>
      <c r="FJ47" s="290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88" t="str">
        <f t="shared" si="346"/>
        <v/>
      </c>
      <c r="FQ47" s="177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88" t="str">
        <f t="shared" si="356"/>
        <v/>
      </c>
      <c r="GA47" s="181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24" t="str">
        <f t="shared" si="361"/>
        <v/>
      </c>
      <c r="GF47" s="362" t="str">
        <f t="shared" si="362"/>
        <v/>
      </c>
      <c r="GG47" s="296" t="str">
        <f t="shared" si="363"/>
        <v/>
      </c>
      <c r="GH47" s="297" t="str">
        <f t="shared" si="364"/>
        <v/>
      </c>
      <c r="GI47" s="292" t="str">
        <f t="shared" si="365"/>
        <v/>
      </c>
      <c r="GJ47" s="171" t="str">
        <f t="shared" si="366"/>
        <v/>
      </c>
      <c r="GK47" s="178" t="str">
        <f t="shared" si="52"/>
        <v/>
      </c>
      <c r="GL47" s="178" t="str">
        <f t="shared" si="367"/>
        <v/>
      </c>
      <c r="GM47" s="181" t="str">
        <f t="shared" si="368"/>
        <v/>
      </c>
      <c r="GN47" s="291" t="str">
        <f t="shared" si="369"/>
        <v/>
      </c>
      <c r="GO47" s="4" t="str">
        <f t="shared" si="370"/>
        <v/>
      </c>
      <c r="GP47" s="8" t="str">
        <f t="shared" si="371"/>
        <v/>
      </c>
      <c r="GQ47" s="181" t="str">
        <f t="shared" si="372"/>
        <v/>
      </c>
      <c r="GR47" s="417" t="str">
        <f t="shared" si="373"/>
        <v/>
      </c>
      <c r="GS47" s="363" t="str">
        <f t="shared" si="374"/>
        <v/>
      </c>
      <c r="GT47" s="364" t="str">
        <f t="shared" si="375"/>
        <v/>
      </c>
      <c r="GU47" s="365" t="str">
        <f t="shared" si="56"/>
        <v/>
      </c>
      <c r="GV47" s="364" t="str">
        <f t="shared" si="376"/>
        <v/>
      </c>
      <c r="GW47" s="366" t="str">
        <f t="shared" si="57"/>
        <v/>
      </c>
      <c r="GX47" s="367" t="str">
        <f t="shared" si="58"/>
        <v/>
      </c>
      <c r="GY47" s="365" t="str">
        <f t="shared" si="377"/>
        <v/>
      </c>
      <c r="GZ47" s="366" t="str">
        <f t="shared" si="378"/>
        <v/>
      </c>
      <c r="HA47" s="363" t="str">
        <f t="shared" si="61"/>
        <v/>
      </c>
      <c r="HB47" s="5" t="str">
        <f t="shared" si="205"/>
        <v/>
      </c>
      <c r="HC47" s="364" t="str">
        <f t="shared" si="379"/>
        <v/>
      </c>
      <c r="HD47" s="366" t="str">
        <f t="shared" si="380"/>
        <v/>
      </c>
      <c r="HE47" s="365" t="str">
        <f t="shared" si="62"/>
        <v/>
      </c>
      <c r="HF47" s="5" t="str">
        <f t="shared" si="63"/>
        <v/>
      </c>
      <c r="HG47" s="364" t="str">
        <f t="shared" si="381"/>
        <v/>
      </c>
      <c r="HH47" s="370" t="str">
        <f t="shared" si="382"/>
        <v/>
      </c>
      <c r="HI47" s="335" t="str">
        <f t="shared" si="383"/>
        <v/>
      </c>
      <c r="HJ47" s="357"/>
      <c r="HK47" s="323" t="str">
        <f t="shared" si="238"/>
        <v/>
      </c>
      <c r="HL47" s="322" t="str">
        <f t="shared" si="407"/>
        <v/>
      </c>
      <c r="HM47" s="369" t="str">
        <f t="shared" si="239"/>
        <v/>
      </c>
      <c r="HN47" s="384" t="str">
        <f t="shared" si="239"/>
        <v/>
      </c>
      <c r="HO47" s="385" t="str">
        <f t="shared" si="239"/>
        <v/>
      </c>
      <c r="HP47" s="380" t="str">
        <f t="shared" si="239"/>
        <v/>
      </c>
      <c r="HQ47" s="384" t="str">
        <f t="shared" si="239"/>
        <v/>
      </c>
      <c r="HR47" s="395" t="str">
        <f t="shared" si="239"/>
        <v/>
      </c>
      <c r="HS47" s="379" t="str">
        <f t="shared" si="239"/>
        <v/>
      </c>
      <c r="HT47" s="374" t="str">
        <f t="shared" si="239"/>
        <v/>
      </c>
      <c r="HU47" s="375" t="str">
        <f t="shared" si="239"/>
        <v/>
      </c>
      <c r="HV47" s="376" t="str">
        <f t="shared" si="239"/>
        <v/>
      </c>
      <c r="HW47" s="374" t="str">
        <f t="shared" si="239"/>
        <v/>
      </c>
      <c r="HX47" s="375" t="str">
        <f t="shared" si="239"/>
        <v/>
      </c>
      <c r="HY47" s="376" t="str">
        <f t="shared" si="239"/>
        <v/>
      </c>
      <c r="HZ47" s="374" t="str">
        <f t="shared" si="239"/>
        <v/>
      </c>
      <c r="IA47" s="375" t="str">
        <f t="shared" si="239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2.2559999999999998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2.1560000000000001</v>
      </c>
      <c r="II47" s="734" cm="1">
        <f t="array" ref="II47">IFERROR(ROUND(VALUE(IF($IH47&lt;1,$IH47+LARGE((IF($M$9:$M$150="",0,$M$9:$M$150)-MOD(IF($M$9:$M$150="",0,$M$9:$M$150),1)),1),$IH47)),4),"")</f>
        <v>2.1560000000000001</v>
      </c>
      <c r="IJ47" s="533">
        <f t="shared" si="112"/>
        <v>1613</v>
      </c>
      <c r="IK47" s="533" t="str">
        <f t="shared" si="384"/>
        <v>Inactive</v>
      </c>
      <c r="IL47" s="727">
        <f t="shared" si="225"/>
        <v>15.971697693972146</v>
      </c>
      <c r="IM47" s="759">
        <v>5.5048763517360903E-4</v>
      </c>
      <c r="IN47" s="5">
        <f t="shared" si="226"/>
        <v>0</v>
      </c>
      <c r="IO47" s="771">
        <v>0</v>
      </c>
      <c r="IP47" s="9">
        <f t="shared" si="227"/>
        <v>-6.9749210363618461</v>
      </c>
      <c r="IQ47" s="5">
        <f t="shared" si="228"/>
        <v>-2.9569089180372967</v>
      </c>
      <c r="IR47" s="5">
        <f t="shared" si="385"/>
        <v>0.314</v>
      </c>
      <c r="IS47" s="5">
        <f t="shared" si="229"/>
        <v>0.25470447371284738</v>
      </c>
      <c r="IT47" s="727">
        <f t="shared" si="230"/>
        <v>81.981884484309475</v>
      </c>
      <c r="IU47" s="9">
        <f t="shared" si="231"/>
        <v>-6.9785210472194787</v>
      </c>
      <c r="IV47" s="5">
        <f t="shared" si="232"/>
        <v>-2.9654089436733742</v>
      </c>
      <c r="IW47" s="5">
        <f t="shared" si="386"/>
        <v>0.26250000000000001</v>
      </c>
      <c r="IX47" s="5">
        <f t="shared" si="233"/>
        <v>0.26250000000000001</v>
      </c>
      <c r="IY47" s="762">
        <f t="shared" si="234"/>
        <v>61.299991149376361</v>
      </c>
    </row>
    <row r="48" spans="1:267" ht="15" customHeight="1" x14ac:dyDescent="0.25">
      <c r="A48" s="79"/>
      <c r="B48" s="707">
        <v>7.0391733446551141</v>
      </c>
      <c r="C48" s="708">
        <v>0.81434312114518104</v>
      </c>
      <c r="D48" s="709">
        <v>-3.714111201759386</v>
      </c>
      <c r="E48" s="710">
        <v>0.90030308682524773</v>
      </c>
      <c r="F48" s="708">
        <v>0.10415388240932703</v>
      </c>
      <c r="G48" s="711">
        <v>0.42261841019055796</v>
      </c>
      <c r="H48" s="710">
        <v>0.26250000000000001</v>
      </c>
      <c r="I48" s="708">
        <v>0.40699999999999997</v>
      </c>
      <c r="J48" s="570">
        <v>2.262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1314">
        <f t="shared" si="240"/>
        <v>0</v>
      </c>
      <c r="M48" s="168">
        <f t="shared" si="241"/>
        <v>2.262</v>
      </c>
      <c r="N48" s="632">
        <f t="shared" si="242"/>
        <v>7.0391733446551141</v>
      </c>
      <c r="O48" s="629">
        <f t="shared" si="243"/>
        <v>0.81434312114518104</v>
      </c>
      <c r="P48" s="633">
        <f t="shared" si="244"/>
        <v>-3.714111201759386</v>
      </c>
      <c r="Q48" s="585">
        <f t="shared" si="113"/>
        <v>6.5990600640368156</v>
      </c>
      <c r="R48" s="629">
        <f t="shared" si="79"/>
        <v>7.0861213717420579</v>
      </c>
      <c r="S48" s="634">
        <f t="shared" si="80"/>
        <v>-3.714111201759386</v>
      </c>
      <c r="T48" s="635">
        <f t="shared" si="81"/>
        <v>0.8143431211451746</v>
      </c>
      <c r="U48" s="629">
        <f t="shared" si="82"/>
        <v>-7.039173344655115</v>
      </c>
      <c r="V48" s="636">
        <f t="shared" si="114"/>
        <v>-3.714111201759386</v>
      </c>
      <c r="W48" s="585">
        <f t="shared" si="224"/>
        <v>276.59906006403679</v>
      </c>
      <c r="X48" s="629">
        <f t="shared" si="83"/>
        <v>7.0861213717420579</v>
      </c>
      <c r="Y48" s="630">
        <f t="shared" si="223"/>
        <v>-3.714111201759386</v>
      </c>
      <c r="Z48" s="632">
        <f t="shared" si="245"/>
        <v>-0.90030308682524773</v>
      </c>
      <c r="AA48" s="629">
        <f t="shared" si="246"/>
        <v>-0.10415388240932703</v>
      </c>
      <c r="AB48" s="629">
        <f t="shared" si="247"/>
        <v>-0.42261841019055796</v>
      </c>
      <c r="AC48" s="636">
        <f t="shared" si="84"/>
        <v>1</v>
      </c>
      <c r="AD48" s="637">
        <f t="shared" si="115"/>
        <v>-0.90030308682524773</v>
      </c>
      <c r="AE48" s="629">
        <f t="shared" si="85"/>
        <v>-0.10415388240932703</v>
      </c>
      <c r="AF48" s="633">
        <f t="shared" si="86"/>
        <v>-0.42261841019055796</v>
      </c>
      <c r="AG48" s="602">
        <f t="shared" si="87"/>
        <v>-13.844594541633825</v>
      </c>
      <c r="AH48" s="603">
        <f t="shared" si="88"/>
        <v>154.19793528869999</v>
      </c>
      <c r="AI48" s="585">
        <f t="shared" si="89"/>
        <v>-64.999990615163185</v>
      </c>
      <c r="AJ48" s="586">
        <f t="shared" si="90"/>
        <v>-83.400925598238658</v>
      </c>
      <c r="AK48" s="635">
        <f t="shared" si="211"/>
        <v>2.2679489757038152E-7</v>
      </c>
      <c r="AL48" s="629">
        <f t="shared" si="91"/>
        <v>-0.90630771781330099</v>
      </c>
      <c r="AM48" s="634">
        <f t="shared" si="92"/>
        <v>-0.42261841019055796</v>
      </c>
      <c r="AN48" s="581">
        <f t="shared" si="93"/>
        <v>-64.999990615162503</v>
      </c>
      <c r="AO48" s="582">
        <f t="shared" si="94"/>
        <v>0</v>
      </c>
      <c r="AP48" s="585">
        <f t="shared" si="95"/>
        <v>-89.999985662275421</v>
      </c>
      <c r="AQ48" s="586">
        <f t="shared" si="248"/>
        <v>0.32171374917749712</v>
      </c>
      <c r="AS48" s="52">
        <f t="shared" si="408"/>
        <v>-83.400939935963208</v>
      </c>
      <c r="AT48" s="72">
        <f t="shared" si="249"/>
        <v>-3.6561938823594118</v>
      </c>
      <c r="AU48" s="469"/>
      <c r="AV48" s="168" t="str">
        <f t="shared" si="250"/>
        <v/>
      </c>
      <c r="AW48" s="192"/>
      <c r="AX48" s="193"/>
      <c r="AY48" s="196"/>
      <c r="AZ48" s="308" t="str">
        <f t="shared" si="251"/>
        <v/>
      </c>
      <c r="BA48" s="307" t="str">
        <f t="shared" si="252"/>
        <v/>
      </c>
      <c r="BB48" s="198" t="str">
        <f t="shared" si="118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77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6"/>
        <v/>
      </c>
      <c r="BT48" s="5" t="str">
        <f t="shared" si="406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4"/>
        <v/>
      </c>
      <c r="CJ48" s="5" t="str">
        <f t="shared" si="275"/>
        <v/>
      </c>
      <c r="CK48" s="8" t="str">
        <f t="shared" si="276"/>
        <v/>
      </c>
      <c r="CL48" s="177" t="str">
        <f t="shared" si="277"/>
        <v/>
      </c>
      <c r="CM48" s="5" t="str">
        <f t="shared" si="278"/>
        <v/>
      </c>
      <c r="CN48" s="6" t="str">
        <f t="shared" si="279"/>
        <v/>
      </c>
      <c r="CO48" s="171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4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09"/>
        <v/>
      </c>
      <c r="DC48" s="5" t="str">
        <f t="shared" si="409"/>
        <v/>
      </c>
      <c r="DD48" s="10" t="str">
        <f t="shared" si="142"/>
        <v/>
      </c>
      <c r="DE48" s="9" t="str">
        <f t="shared" si="410"/>
        <v/>
      </c>
      <c r="DF48" s="5" t="str">
        <f t="shared" si="410"/>
        <v/>
      </c>
      <c r="DG48" s="10" t="str">
        <f t="shared" si="144"/>
        <v/>
      </c>
      <c r="DH48" s="72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77" t="str">
        <f t="shared" si="297"/>
        <v/>
      </c>
      <c r="DN48" s="182" t="str">
        <f t="shared" si="298"/>
        <v/>
      </c>
      <c r="DO48" s="9" t="str">
        <f t="shared" si="299"/>
        <v/>
      </c>
      <c r="DP48" s="177" t="str">
        <f t="shared" si="300"/>
        <v/>
      </c>
      <c r="DQ48" s="11" t="str">
        <f t="shared" si="301"/>
        <v/>
      </c>
      <c r="DR48" s="177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1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77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47" t="str">
        <f t="shared" si="174"/>
        <v/>
      </c>
      <c r="EL48" s="249" t="str">
        <f t="shared" si="175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78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77" t="str">
        <f t="shared" si="337"/>
        <v/>
      </c>
      <c r="FH48" s="5" t="str">
        <f t="shared" si="338"/>
        <v/>
      </c>
      <c r="FI48" s="10" t="str">
        <f t="shared" si="339"/>
        <v/>
      </c>
      <c r="FJ48" s="290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88" t="str">
        <f t="shared" si="346"/>
        <v/>
      </c>
      <c r="FQ48" s="177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88" t="str">
        <f t="shared" si="356"/>
        <v/>
      </c>
      <c r="GA48" s="181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24" t="str">
        <f t="shared" si="361"/>
        <v/>
      </c>
      <c r="GF48" s="362" t="str">
        <f t="shared" si="362"/>
        <v/>
      </c>
      <c r="GG48" s="296" t="str">
        <f t="shared" si="363"/>
        <v/>
      </c>
      <c r="GH48" s="297" t="str">
        <f t="shared" si="364"/>
        <v/>
      </c>
      <c r="GI48" s="292" t="str">
        <f t="shared" si="365"/>
        <v/>
      </c>
      <c r="GJ48" s="171" t="str">
        <f t="shared" si="366"/>
        <v/>
      </c>
      <c r="GK48" s="178" t="str">
        <f t="shared" si="52"/>
        <v/>
      </c>
      <c r="GL48" s="178" t="str">
        <f t="shared" si="367"/>
        <v/>
      </c>
      <c r="GM48" s="181" t="str">
        <f t="shared" si="368"/>
        <v/>
      </c>
      <c r="GN48" s="291" t="str">
        <f t="shared" si="369"/>
        <v/>
      </c>
      <c r="GO48" s="4" t="str">
        <f t="shared" si="370"/>
        <v/>
      </c>
      <c r="GP48" s="8" t="str">
        <f t="shared" si="371"/>
        <v/>
      </c>
      <c r="GQ48" s="181" t="str">
        <f t="shared" si="372"/>
        <v/>
      </c>
      <c r="GR48" s="417" t="str">
        <f t="shared" si="373"/>
        <v/>
      </c>
      <c r="GS48" s="363" t="str">
        <f t="shared" si="374"/>
        <v/>
      </c>
      <c r="GT48" s="364" t="str">
        <f t="shared" si="375"/>
        <v/>
      </c>
      <c r="GU48" s="365" t="str">
        <f t="shared" si="56"/>
        <v/>
      </c>
      <c r="GV48" s="364" t="str">
        <f t="shared" si="376"/>
        <v/>
      </c>
      <c r="GW48" s="366" t="str">
        <f t="shared" si="57"/>
        <v/>
      </c>
      <c r="GX48" s="367" t="str">
        <f t="shared" si="58"/>
        <v/>
      </c>
      <c r="GY48" s="365" t="str">
        <f t="shared" si="377"/>
        <v/>
      </c>
      <c r="GZ48" s="366" t="str">
        <f t="shared" si="378"/>
        <v/>
      </c>
      <c r="HA48" s="363" t="str">
        <f t="shared" si="61"/>
        <v/>
      </c>
      <c r="HB48" s="5" t="str">
        <f t="shared" si="205"/>
        <v/>
      </c>
      <c r="HC48" s="364" t="str">
        <f t="shared" si="379"/>
        <v/>
      </c>
      <c r="HD48" s="366" t="str">
        <f t="shared" si="380"/>
        <v/>
      </c>
      <c r="HE48" s="365" t="str">
        <f t="shared" si="62"/>
        <v/>
      </c>
      <c r="HF48" s="5" t="str">
        <f t="shared" si="63"/>
        <v/>
      </c>
      <c r="HG48" s="364" t="str">
        <f t="shared" si="381"/>
        <v/>
      </c>
      <c r="HH48" s="370" t="str">
        <f t="shared" si="382"/>
        <v/>
      </c>
      <c r="HI48" s="335" t="str">
        <f t="shared" si="383"/>
        <v/>
      </c>
      <c r="HJ48" s="357"/>
      <c r="HK48" s="323" t="str">
        <f t="shared" si="238"/>
        <v/>
      </c>
      <c r="HL48" s="322" t="str">
        <f t="shared" si="407"/>
        <v/>
      </c>
      <c r="HM48" s="369" t="str">
        <f t="shared" si="239"/>
        <v/>
      </c>
      <c r="HN48" s="384" t="str">
        <f t="shared" si="239"/>
        <v/>
      </c>
      <c r="HO48" s="385" t="str">
        <f t="shared" si="239"/>
        <v/>
      </c>
      <c r="HP48" s="380" t="str">
        <f t="shared" si="239"/>
        <v/>
      </c>
      <c r="HQ48" s="384" t="str">
        <f t="shared" si="239"/>
        <v/>
      </c>
      <c r="HR48" s="395" t="str">
        <f t="shared" si="239"/>
        <v/>
      </c>
      <c r="HS48" s="379" t="str">
        <f t="shared" si="239"/>
        <v/>
      </c>
      <c r="HT48" s="374" t="str">
        <f t="shared" si="239"/>
        <v/>
      </c>
      <c r="HU48" s="375" t="str">
        <f t="shared" si="239"/>
        <v/>
      </c>
      <c r="HV48" s="376" t="str">
        <f t="shared" si="239"/>
        <v/>
      </c>
      <c r="HW48" s="374" t="str">
        <f t="shared" si="239"/>
        <v/>
      </c>
      <c r="HX48" s="375" t="str">
        <f t="shared" si="239"/>
        <v/>
      </c>
      <c r="HY48" s="376" t="str">
        <f t="shared" si="239"/>
        <v/>
      </c>
      <c r="HZ48" s="374" t="str">
        <f t="shared" si="239"/>
        <v/>
      </c>
      <c r="IA48" s="375" t="str">
        <f t="shared" si="239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>Gage</v>
      </c>
      <c r="IG48" s="847">
        <f t="shared" si="210"/>
        <v>2.262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2.1619999999999999</v>
      </c>
      <c r="II48" s="734" cm="1">
        <f t="array" ref="II48">IFERROR(ROUND(VALUE(IF($IH48&lt;1,$IH48+LARGE((IF($M$9:$M$150="",0,$M$9:$M$150)-MOD(IF($M$9:$M$150="",0,$M$9:$M$150),1)),1),$IH48)),4),"")</f>
        <v>2.1619999999999999</v>
      </c>
      <c r="IJ48" s="533">
        <f t="shared" si="112"/>
        <v>1613</v>
      </c>
      <c r="IK48" s="533" t="str">
        <f t="shared" si="384"/>
        <v>Inactive</v>
      </c>
      <c r="IL48" s="727">
        <f t="shared" si="225"/>
        <v>15.150897343239137</v>
      </c>
      <c r="IM48" s="759">
        <v>1.7369210557098699E-4</v>
      </c>
      <c r="IN48" s="5">
        <f t="shared" si="226"/>
        <v>0</v>
      </c>
      <c r="IO48" s="771">
        <v>0</v>
      </c>
      <c r="IP48" s="9">
        <f t="shared" si="227"/>
        <v>-7.0910213865205014</v>
      </c>
      <c r="IQ48" s="5">
        <f t="shared" si="228"/>
        <v>-3.7017111643608711</v>
      </c>
      <c r="IR48" s="5">
        <f t="shared" si="385"/>
        <v>0.314</v>
      </c>
      <c r="IS48" s="5">
        <f t="shared" si="229"/>
        <v>0.24497349979955355</v>
      </c>
      <c r="IT48" s="727">
        <f t="shared" si="230"/>
        <v>84.984006785339233</v>
      </c>
      <c r="IU48" s="9">
        <f t="shared" si="231"/>
        <v>-7.0861213717420579</v>
      </c>
      <c r="IV48" s="5">
        <f t="shared" si="232"/>
        <v>-3.714111201759386</v>
      </c>
      <c r="IW48" s="5">
        <f t="shared" si="386"/>
        <v>0.26250000000000001</v>
      </c>
      <c r="IX48" s="5">
        <f t="shared" si="233"/>
        <v>0.26250000000000001</v>
      </c>
      <c r="IY48" s="762">
        <f t="shared" si="234"/>
        <v>64.999990615162503</v>
      </c>
    </row>
    <row r="49" spans="1:259" ht="15" customHeight="1" x14ac:dyDescent="0.25">
      <c r="A49" s="79"/>
      <c r="B49" s="707">
        <v>0.68374799003402975</v>
      </c>
      <c r="C49" s="708">
        <v>-0.47876610028608785</v>
      </c>
      <c r="D49" s="709">
        <v>-0.71650216097051767</v>
      </c>
      <c r="E49" s="710">
        <v>0.46647363486210169</v>
      </c>
      <c r="F49" s="708">
        <v>0.8205246022327658</v>
      </c>
      <c r="G49" s="711">
        <v>0.33036604714967321</v>
      </c>
      <c r="H49" s="710">
        <v>0.314</v>
      </c>
      <c r="I49" s="708">
        <v>0.52</v>
      </c>
      <c r="J49" s="570">
        <v>3.1030000000000002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41"/>
        <v>3.1030000000000002</v>
      </c>
      <c r="N49" s="632">
        <f t="shared" si="242"/>
        <v>0.68374799003402975</v>
      </c>
      <c r="O49" s="629">
        <f t="shared" si="243"/>
        <v>-0.47876610028608785</v>
      </c>
      <c r="P49" s="633">
        <f t="shared" si="244"/>
        <v>-0.71650216097051767</v>
      </c>
      <c r="Q49" s="585">
        <f t="shared" si="113"/>
        <v>324.99996607020285</v>
      </c>
      <c r="R49" s="629">
        <f t="shared" si="79"/>
        <v>0.83470251746279278</v>
      </c>
      <c r="S49" s="634">
        <f t="shared" si="80"/>
        <v>-0.71650216097051767</v>
      </c>
      <c r="T49" s="635">
        <f t="shared" si="81"/>
        <v>-0.47876610028608835</v>
      </c>
      <c r="U49" s="629">
        <f t="shared" si="82"/>
        <v>-0.68374799003402931</v>
      </c>
      <c r="V49" s="636">
        <f t="shared" si="114"/>
        <v>-0.71650216097051767</v>
      </c>
      <c r="W49" s="585">
        <f t="shared" si="224"/>
        <v>234.99996607020285</v>
      </c>
      <c r="X49" s="629">
        <f t="shared" si="83"/>
        <v>0.83470251746279278</v>
      </c>
      <c r="Y49" s="630">
        <f t="shared" si="223"/>
        <v>-0.71650216097051767</v>
      </c>
      <c r="Z49" s="632">
        <f t="shared" si="245"/>
        <v>-0.46647363486210169</v>
      </c>
      <c r="AA49" s="629">
        <f t="shared" si="246"/>
        <v>-0.8205246022327658</v>
      </c>
      <c r="AB49" s="629">
        <f t="shared" si="247"/>
        <v>-0.33036604714967321</v>
      </c>
      <c r="AC49" s="636">
        <f t="shared" si="84"/>
        <v>1</v>
      </c>
      <c r="AD49" s="637">
        <f t="shared" si="115"/>
        <v>-0.46647363486210169</v>
      </c>
      <c r="AE49" s="629">
        <f t="shared" si="85"/>
        <v>-0.8205246022327658</v>
      </c>
      <c r="AF49" s="633">
        <f t="shared" si="86"/>
        <v>-0.33036604714967321</v>
      </c>
      <c r="AG49" s="602">
        <f t="shared" si="87"/>
        <v>-68.068911637548212</v>
      </c>
      <c r="AH49" s="603">
        <f t="shared" si="88"/>
        <v>117.80563492584972</v>
      </c>
      <c r="AI49" s="585">
        <f t="shared" si="89"/>
        <v>-70.70900543786523</v>
      </c>
      <c r="AJ49" s="586">
        <f t="shared" si="90"/>
        <v>-29.618515167557632</v>
      </c>
      <c r="AK49" s="635">
        <f t="shared" si="211"/>
        <v>0.93969263802333447</v>
      </c>
      <c r="AL49" s="629">
        <f t="shared" si="91"/>
        <v>8.8521302156296666E-2</v>
      </c>
      <c r="AM49" s="634">
        <f t="shared" si="92"/>
        <v>-0.33036604714967321</v>
      </c>
      <c r="AN49" s="581">
        <f t="shared" si="93"/>
        <v>14.999997834268449</v>
      </c>
      <c r="AO49" s="582">
        <f t="shared" si="94"/>
        <v>19.999997112357704</v>
      </c>
      <c r="AP49" s="585">
        <f t="shared" si="95"/>
        <v>5.3815187622395451</v>
      </c>
      <c r="AQ49" s="586">
        <f t="shared" si="248"/>
        <v>2.7291187324492987</v>
      </c>
      <c r="AS49" s="52">
        <f t="shared" si="408"/>
        <v>-125.00003392979715</v>
      </c>
      <c r="AT49" s="72">
        <f t="shared" si="249"/>
        <v>-0.62969658185260302</v>
      </c>
      <c r="AU49" s="469"/>
      <c r="AV49" s="168" t="str">
        <f t="shared" si="250"/>
        <v/>
      </c>
      <c r="AW49" s="192"/>
      <c r="AX49" s="193"/>
      <c r="AY49" s="196"/>
      <c r="AZ49" s="308" t="str">
        <f t="shared" si="251"/>
        <v/>
      </c>
      <c r="BA49" s="307" t="str">
        <f t="shared" si="252"/>
        <v/>
      </c>
      <c r="BB49" s="198" t="str">
        <f t="shared" si="118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77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6"/>
        <v/>
      </c>
      <c r="BT49" s="5" t="str">
        <f t="shared" si="406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4"/>
        <v/>
      </c>
      <c r="CJ49" s="5" t="str">
        <f t="shared" si="275"/>
        <v/>
      </c>
      <c r="CK49" s="8" t="str">
        <f t="shared" si="276"/>
        <v/>
      </c>
      <c r="CL49" s="177" t="str">
        <f t="shared" si="277"/>
        <v/>
      </c>
      <c r="CM49" s="5" t="str">
        <f t="shared" si="278"/>
        <v/>
      </c>
      <c r="CN49" s="6" t="str">
        <f t="shared" si="279"/>
        <v/>
      </c>
      <c r="CO49" s="171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4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09"/>
        <v/>
      </c>
      <c r="DC49" s="5" t="str">
        <f t="shared" si="409"/>
        <v/>
      </c>
      <c r="DD49" s="10" t="str">
        <f t="shared" si="142"/>
        <v/>
      </c>
      <c r="DE49" s="9" t="str">
        <f t="shared" si="410"/>
        <v/>
      </c>
      <c r="DF49" s="5" t="str">
        <f t="shared" si="410"/>
        <v/>
      </c>
      <c r="DG49" s="10" t="str">
        <f t="shared" si="144"/>
        <v/>
      </c>
      <c r="DH49" s="72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77" t="str">
        <f t="shared" si="297"/>
        <v/>
      </c>
      <c r="DN49" s="182" t="str">
        <f t="shared" si="298"/>
        <v/>
      </c>
      <c r="DO49" s="9" t="str">
        <f t="shared" si="299"/>
        <v/>
      </c>
      <c r="DP49" s="177" t="str">
        <f t="shared" si="300"/>
        <v/>
      </c>
      <c r="DQ49" s="11" t="str">
        <f t="shared" si="301"/>
        <v/>
      </c>
      <c r="DR49" s="177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1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77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47" t="str">
        <f t="shared" si="174"/>
        <v/>
      </c>
      <c r="EL49" s="249" t="str">
        <f t="shared" si="175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78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77" t="str">
        <f t="shared" si="337"/>
        <v/>
      </c>
      <c r="FH49" s="5" t="str">
        <f t="shared" si="338"/>
        <v/>
      </c>
      <c r="FI49" s="10" t="str">
        <f t="shared" si="339"/>
        <v/>
      </c>
      <c r="FJ49" s="290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88" t="str">
        <f t="shared" si="346"/>
        <v/>
      </c>
      <c r="FQ49" s="177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88" t="str">
        <f t="shared" si="356"/>
        <v/>
      </c>
      <c r="GA49" s="181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24" t="str">
        <f t="shared" si="361"/>
        <v/>
      </c>
      <c r="GF49" s="362" t="str">
        <f t="shared" si="362"/>
        <v/>
      </c>
      <c r="GG49" s="296" t="str">
        <f t="shared" si="363"/>
        <v/>
      </c>
      <c r="GH49" s="297" t="str">
        <f t="shared" si="364"/>
        <v/>
      </c>
      <c r="GI49" s="292" t="str">
        <f t="shared" si="365"/>
        <v/>
      </c>
      <c r="GJ49" s="171" t="str">
        <f t="shared" si="366"/>
        <v/>
      </c>
      <c r="GK49" s="178" t="str">
        <f t="shared" si="52"/>
        <v/>
      </c>
      <c r="GL49" s="178" t="str">
        <f t="shared" si="367"/>
        <v/>
      </c>
      <c r="GM49" s="181" t="str">
        <f t="shared" si="368"/>
        <v/>
      </c>
      <c r="GN49" s="291" t="str">
        <f t="shared" si="369"/>
        <v/>
      </c>
      <c r="GO49" s="4" t="str">
        <f t="shared" si="370"/>
        <v/>
      </c>
      <c r="GP49" s="8" t="str">
        <f t="shared" si="371"/>
        <v/>
      </c>
      <c r="GQ49" s="181" t="str">
        <f t="shared" si="372"/>
        <v/>
      </c>
      <c r="GR49" s="417" t="str">
        <f t="shared" si="373"/>
        <v/>
      </c>
      <c r="GS49" s="363" t="str">
        <f t="shared" si="374"/>
        <v/>
      </c>
      <c r="GT49" s="364" t="str">
        <f t="shared" si="375"/>
        <v/>
      </c>
      <c r="GU49" s="365" t="str">
        <f t="shared" si="56"/>
        <v/>
      </c>
      <c r="GV49" s="364" t="str">
        <f t="shared" si="376"/>
        <v/>
      </c>
      <c r="GW49" s="366" t="str">
        <f t="shared" si="57"/>
        <v/>
      </c>
      <c r="GX49" s="367" t="str">
        <f t="shared" si="58"/>
        <v/>
      </c>
      <c r="GY49" s="365" t="str">
        <f t="shared" si="377"/>
        <v/>
      </c>
      <c r="GZ49" s="366" t="str">
        <f t="shared" si="378"/>
        <v/>
      </c>
      <c r="HA49" s="363" t="str">
        <f t="shared" si="61"/>
        <v/>
      </c>
      <c r="HB49" s="5" t="str">
        <f t="shared" si="205"/>
        <v/>
      </c>
      <c r="HC49" s="364" t="str">
        <f t="shared" si="379"/>
        <v/>
      </c>
      <c r="HD49" s="366" t="str">
        <f t="shared" si="380"/>
        <v/>
      </c>
      <c r="HE49" s="365" t="str">
        <f t="shared" si="62"/>
        <v/>
      </c>
      <c r="HF49" s="5" t="str">
        <f t="shared" si="63"/>
        <v/>
      </c>
      <c r="HG49" s="364" t="str">
        <f t="shared" si="381"/>
        <v/>
      </c>
      <c r="HH49" s="370" t="str">
        <f t="shared" si="382"/>
        <v/>
      </c>
      <c r="HI49" s="335" t="str">
        <f t="shared" si="383"/>
        <v/>
      </c>
      <c r="HJ49" s="357"/>
      <c r="HK49" s="323" t="str">
        <f t="shared" si="238"/>
        <v/>
      </c>
      <c r="HL49" s="322" t="str">
        <f t="shared" si="407"/>
        <v/>
      </c>
      <c r="HM49" s="369" t="str">
        <f t="shared" ref="HM49:IA58" si="411">IF(ISNUMBER($HL49),VLOOKUP($HL49,$GJ$9:$HI$150,HM$1,FALSE),"")</f>
        <v/>
      </c>
      <c r="HN49" s="384" t="str">
        <f t="shared" si="411"/>
        <v/>
      </c>
      <c r="HO49" s="385" t="str">
        <f t="shared" si="411"/>
        <v/>
      </c>
      <c r="HP49" s="380" t="str">
        <f t="shared" si="411"/>
        <v/>
      </c>
      <c r="HQ49" s="384" t="str">
        <f t="shared" si="411"/>
        <v/>
      </c>
      <c r="HR49" s="395" t="str">
        <f t="shared" si="411"/>
        <v/>
      </c>
      <c r="HS49" s="379" t="str">
        <f t="shared" si="411"/>
        <v/>
      </c>
      <c r="HT49" s="374" t="str">
        <f t="shared" si="411"/>
        <v/>
      </c>
      <c r="HU49" s="375" t="str">
        <f t="shared" si="411"/>
        <v/>
      </c>
      <c r="HV49" s="376" t="str">
        <f t="shared" si="411"/>
        <v/>
      </c>
      <c r="HW49" s="374" t="str">
        <f t="shared" si="411"/>
        <v/>
      </c>
      <c r="HX49" s="375" t="str">
        <f t="shared" si="411"/>
        <v/>
      </c>
      <c r="HY49" s="376" t="str">
        <f t="shared" si="411"/>
        <v/>
      </c>
      <c r="HZ49" s="374" t="str">
        <f t="shared" si="411"/>
        <v/>
      </c>
      <c r="IA49" s="375" t="str">
        <f t="shared" si="411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3.1030000000000002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4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5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6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1.291478472610101</v>
      </c>
      <c r="C50" s="708">
        <v>-0.90430410172642373</v>
      </c>
      <c r="D50" s="709">
        <v>-0.51770156138790902</v>
      </c>
      <c r="E50" s="710">
        <v>0.46647363486210203</v>
      </c>
      <c r="F50" s="708">
        <v>0.82052460223276569</v>
      </c>
      <c r="G50" s="711">
        <v>0.33036604714967344</v>
      </c>
      <c r="H50" s="710">
        <v>0.314</v>
      </c>
      <c r="I50" s="708">
        <v>0.52</v>
      </c>
      <c r="J50" s="570">
        <v>3.1059999999999999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41"/>
        <v>3.1059999999999999</v>
      </c>
      <c r="N50" s="632">
        <f t="shared" si="242"/>
        <v>1.291478472610101</v>
      </c>
      <c r="O50" s="629">
        <f t="shared" si="243"/>
        <v>-0.90430410172642373</v>
      </c>
      <c r="P50" s="633">
        <f t="shared" si="244"/>
        <v>-0.51770156138790902</v>
      </c>
      <c r="Q50" s="585">
        <f t="shared" si="113"/>
        <v>324.99996607020285</v>
      </c>
      <c r="R50" s="629">
        <f t="shared" si="79"/>
        <v>1.5766047550399414</v>
      </c>
      <c r="S50" s="634">
        <f t="shared" si="80"/>
        <v>-0.51770156138790902</v>
      </c>
      <c r="T50" s="635">
        <f t="shared" si="81"/>
        <v>-0.90430410172642484</v>
      </c>
      <c r="U50" s="629">
        <f t="shared" si="82"/>
        <v>-1.2914784726101003</v>
      </c>
      <c r="V50" s="636">
        <f t="shared" si="114"/>
        <v>-0.51770156138790902</v>
      </c>
      <c r="W50" s="585">
        <f t="shared" si="224"/>
        <v>234.99996607020285</v>
      </c>
      <c r="X50" s="629">
        <f t="shared" si="83"/>
        <v>1.5766047550399414</v>
      </c>
      <c r="Y50" s="630">
        <f t="shared" si="223"/>
        <v>-0.51770156138790902</v>
      </c>
      <c r="Z50" s="632">
        <f t="shared" si="245"/>
        <v>-0.46647363486210203</v>
      </c>
      <c r="AA50" s="629">
        <f t="shared" si="246"/>
        <v>-0.82052460223276569</v>
      </c>
      <c r="AB50" s="629">
        <f t="shared" si="247"/>
        <v>-0.33036604714967344</v>
      </c>
      <c r="AC50" s="636">
        <f t="shared" si="84"/>
        <v>1.0000000000000002</v>
      </c>
      <c r="AD50" s="637">
        <f t="shared" si="115"/>
        <v>-0.46647363486210192</v>
      </c>
      <c r="AE50" s="629">
        <f t="shared" si="85"/>
        <v>-0.82052460223276547</v>
      </c>
      <c r="AF50" s="633">
        <f t="shared" si="86"/>
        <v>-0.33036604714967338</v>
      </c>
      <c r="AG50" s="602">
        <f t="shared" si="87"/>
        <v>-68.068911637548197</v>
      </c>
      <c r="AH50" s="603">
        <f t="shared" si="88"/>
        <v>117.80563492584972</v>
      </c>
      <c r="AI50" s="585">
        <f t="shared" si="89"/>
        <v>-70.709005437865216</v>
      </c>
      <c r="AJ50" s="586">
        <f t="shared" si="90"/>
        <v>-29.618515167557653</v>
      </c>
      <c r="AK50" s="635">
        <f t="shared" si="211"/>
        <v>0.93969263802333436</v>
      </c>
      <c r="AL50" s="629">
        <f t="shared" si="91"/>
        <v>8.8521302156296222E-2</v>
      </c>
      <c r="AM50" s="634">
        <f t="shared" si="92"/>
        <v>-0.33036604714967338</v>
      </c>
      <c r="AN50" s="581">
        <f t="shared" si="93"/>
        <v>14.999997834268372</v>
      </c>
      <c r="AO50" s="582">
        <f t="shared" si="94"/>
        <v>19.999997112357715</v>
      </c>
      <c r="AP50" s="585">
        <f t="shared" si="95"/>
        <v>5.3815187622395193</v>
      </c>
      <c r="AQ50" s="586">
        <f t="shared" si="248"/>
        <v>1.445665325959965</v>
      </c>
      <c r="AS50" s="52">
        <f t="shared" si="408"/>
        <v>-125.00003392979715</v>
      </c>
      <c r="AT50" s="72">
        <f t="shared" si="249"/>
        <v>-0.43089598226999432</v>
      </c>
      <c r="AU50" s="469"/>
      <c r="AV50" s="168" t="str">
        <f t="shared" si="250"/>
        <v/>
      </c>
      <c r="AW50" s="192"/>
      <c r="AX50" s="193"/>
      <c r="AY50" s="196"/>
      <c r="AZ50" s="308" t="str">
        <f t="shared" si="251"/>
        <v/>
      </c>
      <c r="BA50" s="307" t="str">
        <f t="shared" si="252"/>
        <v/>
      </c>
      <c r="BB50" s="198" t="str">
        <f t="shared" si="118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77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6"/>
        <v/>
      </c>
      <c r="BT50" s="5" t="str">
        <f t="shared" si="406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4"/>
        <v/>
      </c>
      <c r="CJ50" s="5" t="str">
        <f t="shared" si="275"/>
        <v/>
      </c>
      <c r="CK50" s="8" t="str">
        <f t="shared" si="276"/>
        <v/>
      </c>
      <c r="CL50" s="177" t="str">
        <f t="shared" si="277"/>
        <v/>
      </c>
      <c r="CM50" s="5" t="str">
        <f t="shared" si="278"/>
        <v/>
      </c>
      <c r="CN50" s="6" t="str">
        <f t="shared" si="279"/>
        <v/>
      </c>
      <c r="CO50" s="171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4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09"/>
        <v/>
      </c>
      <c r="DC50" s="5" t="str">
        <f t="shared" si="409"/>
        <v/>
      </c>
      <c r="DD50" s="10" t="str">
        <f t="shared" si="142"/>
        <v/>
      </c>
      <c r="DE50" s="9" t="str">
        <f t="shared" si="410"/>
        <v/>
      </c>
      <c r="DF50" s="5" t="str">
        <f t="shared" si="410"/>
        <v/>
      </c>
      <c r="DG50" s="10" t="str">
        <f t="shared" si="144"/>
        <v/>
      </c>
      <c r="DH50" s="72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77" t="str">
        <f t="shared" si="297"/>
        <v/>
      </c>
      <c r="DN50" s="182" t="str">
        <f t="shared" si="298"/>
        <v/>
      </c>
      <c r="DO50" s="9" t="str">
        <f t="shared" si="299"/>
        <v/>
      </c>
      <c r="DP50" s="177" t="str">
        <f t="shared" si="300"/>
        <v/>
      </c>
      <c r="DQ50" s="11" t="str">
        <f t="shared" si="301"/>
        <v/>
      </c>
      <c r="DR50" s="177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1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77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47" t="str">
        <f t="shared" si="174"/>
        <v/>
      </c>
      <c r="EL50" s="249" t="str">
        <f t="shared" si="175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78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77" t="str">
        <f t="shared" si="337"/>
        <v/>
      </c>
      <c r="FH50" s="5" t="str">
        <f t="shared" si="338"/>
        <v/>
      </c>
      <c r="FI50" s="10" t="str">
        <f t="shared" si="339"/>
        <v/>
      </c>
      <c r="FJ50" s="290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88" t="str">
        <f t="shared" si="346"/>
        <v/>
      </c>
      <c r="FQ50" s="177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88" t="str">
        <f t="shared" si="356"/>
        <v/>
      </c>
      <c r="GA50" s="181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24" t="str">
        <f t="shared" si="361"/>
        <v/>
      </c>
      <c r="GF50" s="362" t="str">
        <f t="shared" si="362"/>
        <v/>
      </c>
      <c r="GG50" s="296" t="str">
        <f t="shared" si="363"/>
        <v/>
      </c>
      <c r="GH50" s="297" t="str">
        <f t="shared" si="364"/>
        <v/>
      </c>
      <c r="GI50" s="292" t="str">
        <f t="shared" si="365"/>
        <v/>
      </c>
      <c r="GJ50" s="171" t="str">
        <f t="shared" si="366"/>
        <v/>
      </c>
      <c r="GK50" s="178" t="str">
        <f t="shared" si="52"/>
        <v/>
      </c>
      <c r="GL50" s="178" t="str">
        <f t="shared" si="367"/>
        <v/>
      </c>
      <c r="GM50" s="181" t="str">
        <f t="shared" si="368"/>
        <v/>
      </c>
      <c r="GN50" s="291" t="str">
        <f t="shared" si="369"/>
        <v/>
      </c>
      <c r="GO50" s="4" t="str">
        <f t="shared" si="370"/>
        <v/>
      </c>
      <c r="GP50" s="8" t="str">
        <f t="shared" si="371"/>
        <v/>
      </c>
      <c r="GQ50" s="181" t="str">
        <f t="shared" si="372"/>
        <v/>
      </c>
      <c r="GR50" s="417" t="str">
        <f t="shared" si="373"/>
        <v/>
      </c>
      <c r="GS50" s="363" t="str">
        <f t="shared" si="374"/>
        <v/>
      </c>
      <c r="GT50" s="364" t="str">
        <f t="shared" si="375"/>
        <v/>
      </c>
      <c r="GU50" s="365" t="str">
        <f t="shared" si="56"/>
        <v/>
      </c>
      <c r="GV50" s="364" t="str">
        <f t="shared" si="376"/>
        <v/>
      </c>
      <c r="GW50" s="366" t="str">
        <f t="shared" si="57"/>
        <v/>
      </c>
      <c r="GX50" s="367" t="str">
        <f t="shared" si="58"/>
        <v/>
      </c>
      <c r="GY50" s="365" t="str">
        <f t="shared" si="377"/>
        <v/>
      </c>
      <c r="GZ50" s="366" t="str">
        <f t="shared" si="378"/>
        <v/>
      </c>
      <c r="HA50" s="363" t="str">
        <f t="shared" si="61"/>
        <v/>
      </c>
      <c r="HB50" s="5" t="str">
        <f t="shared" si="205"/>
        <v/>
      </c>
      <c r="HC50" s="364" t="str">
        <f t="shared" si="379"/>
        <v/>
      </c>
      <c r="HD50" s="366" t="str">
        <f t="shared" si="380"/>
        <v/>
      </c>
      <c r="HE50" s="365" t="str">
        <f t="shared" si="62"/>
        <v/>
      </c>
      <c r="HF50" s="5" t="str">
        <f t="shared" si="63"/>
        <v/>
      </c>
      <c r="HG50" s="364" t="str">
        <f t="shared" si="381"/>
        <v/>
      </c>
      <c r="HH50" s="370" t="str">
        <f t="shared" si="382"/>
        <v/>
      </c>
      <c r="HI50" s="335" t="str">
        <f t="shared" si="383"/>
        <v/>
      </c>
      <c r="HJ50" s="357"/>
      <c r="HK50" s="323" t="str">
        <f t="shared" si="238"/>
        <v/>
      </c>
      <c r="HL50" s="322" t="str">
        <f t="shared" si="407"/>
        <v/>
      </c>
      <c r="HM50" s="369" t="str">
        <f t="shared" si="411"/>
        <v/>
      </c>
      <c r="HN50" s="384" t="str">
        <f t="shared" si="411"/>
        <v/>
      </c>
      <c r="HO50" s="385" t="str">
        <f t="shared" si="411"/>
        <v/>
      </c>
      <c r="HP50" s="380" t="str">
        <f t="shared" si="411"/>
        <v/>
      </c>
      <c r="HQ50" s="384" t="str">
        <f t="shared" si="411"/>
        <v/>
      </c>
      <c r="HR50" s="395" t="str">
        <f t="shared" si="411"/>
        <v/>
      </c>
      <c r="HS50" s="379" t="str">
        <f t="shared" si="411"/>
        <v/>
      </c>
      <c r="HT50" s="374" t="str">
        <f t="shared" si="411"/>
        <v/>
      </c>
      <c r="HU50" s="375" t="str">
        <f t="shared" si="411"/>
        <v/>
      </c>
      <c r="HV50" s="376" t="str">
        <f t="shared" si="411"/>
        <v/>
      </c>
      <c r="HW50" s="374" t="str">
        <f t="shared" si="411"/>
        <v/>
      </c>
      <c r="HX50" s="375" t="str">
        <f t="shared" si="411"/>
        <v/>
      </c>
      <c r="HY50" s="376" t="str">
        <f t="shared" si="411"/>
        <v/>
      </c>
      <c r="HZ50" s="374" t="str">
        <f t="shared" si="411"/>
        <v/>
      </c>
      <c r="IA50" s="375" t="str">
        <f t="shared" si="411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3.1059999999999999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4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5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6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1.8991270397686533</v>
      </c>
      <c r="C51" s="708">
        <v>-1.329784745301624</v>
      </c>
      <c r="D51" s="709">
        <v>-0.31890096180530081</v>
      </c>
      <c r="E51" s="710">
        <v>0.46647363486210203</v>
      </c>
      <c r="F51" s="708">
        <v>0.82052460223276569</v>
      </c>
      <c r="G51" s="711">
        <v>0.33036604714967344</v>
      </c>
      <c r="H51" s="710">
        <v>0.314</v>
      </c>
      <c r="I51" s="708">
        <v>0.52</v>
      </c>
      <c r="J51" s="570">
        <v>3.109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41"/>
        <v>3.109</v>
      </c>
      <c r="N51" s="632">
        <f t="shared" si="242"/>
        <v>1.8991270397686533</v>
      </c>
      <c r="O51" s="629">
        <f t="shared" si="243"/>
        <v>-1.329784745301624</v>
      </c>
      <c r="P51" s="633">
        <f t="shared" si="244"/>
        <v>-0.31890096180530081</v>
      </c>
      <c r="Q51" s="585">
        <f t="shared" si="113"/>
        <v>324.9999660702029</v>
      </c>
      <c r="R51" s="629">
        <f t="shared" si="79"/>
        <v>2.3184069923154893</v>
      </c>
      <c r="S51" s="634">
        <f t="shared" si="80"/>
        <v>-0.31890096180530081</v>
      </c>
      <c r="T51" s="635">
        <f t="shared" si="81"/>
        <v>-1.3297847453016243</v>
      </c>
      <c r="U51" s="629">
        <f t="shared" si="82"/>
        <v>-1.8991270397686533</v>
      </c>
      <c r="V51" s="636">
        <f t="shared" si="114"/>
        <v>-0.31890096180530081</v>
      </c>
      <c r="W51" s="585">
        <f t="shared" si="224"/>
        <v>234.9999660702029</v>
      </c>
      <c r="X51" s="629">
        <f t="shared" si="83"/>
        <v>2.3184069923154893</v>
      </c>
      <c r="Y51" s="630">
        <f t="shared" si="223"/>
        <v>-0.31890096180530081</v>
      </c>
      <c r="Z51" s="632">
        <f t="shared" si="245"/>
        <v>-0.46647363486210203</v>
      </c>
      <c r="AA51" s="629">
        <f t="shared" si="246"/>
        <v>-0.82052460223276569</v>
      </c>
      <c r="AB51" s="629">
        <f t="shared" si="247"/>
        <v>-0.33036604714967344</v>
      </c>
      <c r="AC51" s="636">
        <f t="shared" si="84"/>
        <v>1.0000000000000002</v>
      </c>
      <c r="AD51" s="637">
        <f t="shared" si="115"/>
        <v>-0.46647363486210192</v>
      </c>
      <c r="AE51" s="629">
        <f t="shared" si="85"/>
        <v>-0.82052460223276547</v>
      </c>
      <c r="AF51" s="633">
        <f t="shared" si="86"/>
        <v>-0.33036604714967338</v>
      </c>
      <c r="AG51" s="602">
        <f t="shared" si="87"/>
        <v>-68.068911637548197</v>
      </c>
      <c r="AH51" s="603">
        <f t="shared" si="88"/>
        <v>117.80563492584972</v>
      </c>
      <c r="AI51" s="585">
        <f t="shared" si="89"/>
        <v>-70.709005437865216</v>
      </c>
      <c r="AJ51" s="586">
        <f t="shared" si="90"/>
        <v>-29.618515167557653</v>
      </c>
      <c r="AK51" s="635">
        <f t="shared" si="211"/>
        <v>0.93969263802333436</v>
      </c>
      <c r="AL51" s="629">
        <f t="shared" si="91"/>
        <v>8.8521302156295389E-2</v>
      </c>
      <c r="AM51" s="634">
        <f t="shared" si="92"/>
        <v>-0.33036604714967338</v>
      </c>
      <c r="AN51" s="581">
        <f t="shared" si="93"/>
        <v>14.999997834268235</v>
      </c>
      <c r="AO51" s="582">
        <f t="shared" si="94"/>
        <v>19.999997112357715</v>
      </c>
      <c r="AP51" s="585">
        <f t="shared" si="95"/>
        <v>5.3815187622394687</v>
      </c>
      <c r="AQ51" s="586">
        <f t="shared" si="248"/>
        <v>0.9832194507797809</v>
      </c>
      <c r="AS51" s="52">
        <f t="shared" si="408"/>
        <v>-125.0000339297971</v>
      </c>
      <c r="AT51" s="72">
        <f t="shared" si="249"/>
        <v>-0.23209538268738616</v>
      </c>
      <c r="AU51" s="469"/>
      <c r="AV51" s="168" t="str">
        <f t="shared" si="250"/>
        <v/>
      </c>
      <c r="AW51" s="192"/>
      <c r="AX51" s="193"/>
      <c r="AY51" s="196"/>
      <c r="AZ51" s="308" t="str">
        <f t="shared" si="251"/>
        <v/>
      </c>
      <c r="BA51" s="307" t="str">
        <f t="shared" si="252"/>
        <v/>
      </c>
      <c r="BB51" s="198" t="str">
        <f t="shared" si="118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77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6"/>
        <v/>
      </c>
      <c r="BT51" s="5" t="str">
        <f t="shared" si="406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4"/>
        <v/>
      </c>
      <c r="CJ51" s="5" t="str">
        <f t="shared" si="275"/>
        <v/>
      </c>
      <c r="CK51" s="8" t="str">
        <f t="shared" si="276"/>
        <v/>
      </c>
      <c r="CL51" s="177" t="str">
        <f t="shared" si="277"/>
        <v/>
      </c>
      <c r="CM51" s="5" t="str">
        <f t="shared" si="278"/>
        <v/>
      </c>
      <c r="CN51" s="6" t="str">
        <f t="shared" si="279"/>
        <v/>
      </c>
      <c r="CO51" s="171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4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09"/>
        <v/>
      </c>
      <c r="DC51" s="5" t="str">
        <f t="shared" si="409"/>
        <v/>
      </c>
      <c r="DD51" s="10" t="str">
        <f t="shared" si="142"/>
        <v/>
      </c>
      <c r="DE51" s="9" t="str">
        <f t="shared" si="410"/>
        <v/>
      </c>
      <c r="DF51" s="5" t="str">
        <f t="shared" si="410"/>
        <v/>
      </c>
      <c r="DG51" s="10" t="str">
        <f t="shared" si="144"/>
        <v/>
      </c>
      <c r="DH51" s="72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77" t="str">
        <f t="shared" si="297"/>
        <v/>
      </c>
      <c r="DN51" s="182" t="str">
        <f t="shared" si="298"/>
        <v/>
      </c>
      <c r="DO51" s="9" t="str">
        <f t="shared" si="299"/>
        <v/>
      </c>
      <c r="DP51" s="177" t="str">
        <f t="shared" si="300"/>
        <v/>
      </c>
      <c r="DQ51" s="11" t="str">
        <f t="shared" si="301"/>
        <v/>
      </c>
      <c r="DR51" s="177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1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77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47" t="str">
        <f t="shared" si="174"/>
        <v/>
      </c>
      <c r="EL51" s="249" t="str">
        <f t="shared" si="175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78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77" t="str">
        <f t="shared" si="337"/>
        <v/>
      </c>
      <c r="FH51" s="5" t="str">
        <f t="shared" si="338"/>
        <v/>
      </c>
      <c r="FI51" s="10" t="str">
        <f t="shared" si="339"/>
        <v/>
      </c>
      <c r="FJ51" s="290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88" t="str">
        <f t="shared" si="346"/>
        <v/>
      </c>
      <c r="FQ51" s="177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88" t="str">
        <f t="shared" si="356"/>
        <v/>
      </c>
      <c r="GA51" s="181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24" t="str">
        <f t="shared" si="361"/>
        <v/>
      </c>
      <c r="GF51" s="362" t="str">
        <f t="shared" si="362"/>
        <v/>
      </c>
      <c r="GG51" s="296" t="str">
        <f t="shared" si="363"/>
        <v/>
      </c>
      <c r="GH51" s="297" t="str">
        <f t="shared" si="364"/>
        <v/>
      </c>
      <c r="GI51" s="292" t="str">
        <f t="shared" si="365"/>
        <v/>
      </c>
      <c r="GJ51" s="171" t="str">
        <f t="shared" si="366"/>
        <v/>
      </c>
      <c r="GK51" s="178" t="str">
        <f t="shared" si="52"/>
        <v/>
      </c>
      <c r="GL51" s="178" t="str">
        <f t="shared" si="367"/>
        <v/>
      </c>
      <c r="GM51" s="181" t="str">
        <f t="shared" si="368"/>
        <v/>
      </c>
      <c r="GN51" s="291" t="str">
        <f t="shared" si="369"/>
        <v/>
      </c>
      <c r="GO51" s="4" t="str">
        <f t="shared" si="370"/>
        <v/>
      </c>
      <c r="GP51" s="8" t="str">
        <f t="shared" si="371"/>
        <v/>
      </c>
      <c r="GQ51" s="181" t="str">
        <f t="shared" si="372"/>
        <v/>
      </c>
      <c r="GR51" s="417" t="str">
        <f t="shared" si="373"/>
        <v/>
      </c>
      <c r="GS51" s="363" t="str">
        <f t="shared" si="374"/>
        <v/>
      </c>
      <c r="GT51" s="364" t="str">
        <f t="shared" si="375"/>
        <v/>
      </c>
      <c r="GU51" s="365" t="str">
        <f t="shared" si="56"/>
        <v/>
      </c>
      <c r="GV51" s="364" t="str">
        <f t="shared" si="376"/>
        <v/>
      </c>
      <c r="GW51" s="366" t="str">
        <f t="shared" si="57"/>
        <v/>
      </c>
      <c r="GX51" s="367" t="str">
        <f t="shared" si="58"/>
        <v/>
      </c>
      <c r="GY51" s="365" t="str">
        <f t="shared" si="377"/>
        <v/>
      </c>
      <c r="GZ51" s="366" t="str">
        <f t="shared" si="378"/>
        <v/>
      </c>
      <c r="HA51" s="363" t="str">
        <f t="shared" si="61"/>
        <v/>
      </c>
      <c r="HB51" s="5" t="str">
        <f t="shared" si="205"/>
        <v/>
      </c>
      <c r="HC51" s="364" t="str">
        <f t="shared" si="379"/>
        <v/>
      </c>
      <c r="HD51" s="366" t="str">
        <f t="shared" si="380"/>
        <v/>
      </c>
      <c r="HE51" s="365" t="str">
        <f t="shared" si="62"/>
        <v/>
      </c>
      <c r="HF51" s="5" t="str">
        <f t="shared" si="63"/>
        <v/>
      </c>
      <c r="HG51" s="364" t="str">
        <f t="shared" si="381"/>
        <v/>
      </c>
      <c r="HH51" s="370" t="str">
        <f t="shared" si="382"/>
        <v/>
      </c>
      <c r="HI51" s="335" t="str">
        <f t="shared" si="383"/>
        <v/>
      </c>
      <c r="HJ51" s="357"/>
      <c r="HK51" s="323" t="str">
        <f t="shared" si="238"/>
        <v/>
      </c>
      <c r="HL51" s="322" t="str">
        <f t="shared" si="407"/>
        <v/>
      </c>
      <c r="HM51" s="369" t="str">
        <f t="shared" si="411"/>
        <v/>
      </c>
      <c r="HN51" s="384" t="str">
        <f t="shared" si="411"/>
        <v/>
      </c>
      <c r="HO51" s="385" t="str">
        <f t="shared" si="411"/>
        <v/>
      </c>
      <c r="HP51" s="380" t="str">
        <f t="shared" si="411"/>
        <v/>
      </c>
      <c r="HQ51" s="384" t="str">
        <f t="shared" si="411"/>
        <v/>
      </c>
      <c r="HR51" s="395" t="str">
        <f t="shared" si="411"/>
        <v/>
      </c>
      <c r="HS51" s="379" t="str">
        <f t="shared" si="411"/>
        <v/>
      </c>
      <c r="HT51" s="374" t="str">
        <f t="shared" si="411"/>
        <v/>
      </c>
      <c r="HU51" s="375" t="str">
        <f t="shared" si="411"/>
        <v/>
      </c>
      <c r="HV51" s="376" t="str">
        <f t="shared" si="411"/>
        <v/>
      </c>
      <c r="HW51" s="374" t="str">
        <f t="shared" si="411"/>
        <v/>
      </c>
      <c r="HX51" s="375" t="str">
        <f t="shared" si="411"/>
        <v/>
      </c>
      <c r="HY51" s="376" t="str">
        <f t="shared" si="411"/>
        <v/>
      </c>
      <c r="HZ51" s="374" t="str">
        <f t="shared" si="411"/>
        <v/>
      </c>
      <c r="IA51" s="375" t="str">
        <f t="shared" si="411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3.109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4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5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6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2.5077585919374372</v>
      </c>
      <c r="C52" s="708">
        <v>-1.7559536832584506</v>
      </c>
      <c r="D52" s="709">
        <v>-0.12400037398512773</v>
      </c>
      <c r="E52" s="710">
        <v>0.46647363486210175</v>
      </c>
      <c r="F52" s="708">
        <v>0.8205246022327658</v>
      </c>
      <c r="G52" s="711">
        <v>0.33036604714967333</v>
      </c>
      <c r="H52" s="710">
        <v>0.314</v>
      </c>
      <c r="I52" s="708">
        <v>0.52</v>
      </c>
      <c r="J52" s="570">
        <v>3.113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41"/>
        <v>3.113</v>
      </c>
      <c r="N52" s="632">
        <f t="shared" si="242"/>
        <v>2.5077585919374372</v>
      </c>
      <c r="O52" s="629">
        <f t="shared" si="243"/>
        <v>-1.7559536832584506</v>
      </c>
      <c r="P52" s="633">
        <f t="shared" si="244"/>
        <v>-0.12400037398512773</v>
      </c>
      <c r="Q52" s="585">
        <f t="shared" si="113"/>
        <v>324.9999660702029</v>
      </c>
      <c r="R52" s="629">
        <f t="shared" si="79"/>
        <v>3.0614092332102478</v>
      </c>
      <c r="S52" s="634">
        <f t="shared" si="80"/>
        <v>-0.12400037398512773</v>
      </c>
      <c r="T52" s="635">
        <f t="shared" si="81"/>
        <v>-1.7559536832584508</v>
      </c>
      <c r="U52" s="629">
        <f t="shared" si="82"/>
        <v>-2.5077585919374372</v>
      </c>
      <c r="V52" s="636">
        <f t="shared" si="114"/>
        <v>-0.12400037398512773</v>
      </c>
      <c r="W52" s="585">
        <f t="shared" si="224"/>
        <v>234.9999660702029</v>
      </c>
      <c r="X52" s="629">
        <f t="shared" si="83"/>
        <v>3.0614092332102478</v>
      </c>
      <c r="Y52" s="630">
        <f t="shared" si="223"/>
        <v>-0.12400037398512773</v>
      </c>
      <c r="Z52" s="632">
        <f t="shared" si="245"/>
        <v>-0.46647363486210175</v>
      </c>
      <c r="AA52" s="629">
        <f t="shared" si="246"/>
        <v>-0.8205246022327658</v>
      </c>
      <c r="AB52" s="629">
        <f t="shared" si="247"/>
        <v>-0.33036604714967333</v>
      </c>
      <c r="AC52" s="636">
        <f t="shared" si="84"/>
        <v>1</v>
      </c>
      <c r="AD52" s="637">
        <f t="shared" si="115"/>
        <v>-0.46647363486210175</v>
      </c>
      <c r="AE52" s="629">
        <f t="shared" si="85"/>
        <v>-0.8205246022327658</v>
      </c>
      <c r="AF52" s="633">
        <f t="shared" si="86"/>
        <v>-0.33036604714967333</v>
      </c>
      <c r="AG52" s="602">
        <f t="shared" si="87"/>
        <v>-68.068911637548212</v>
      </c>
      <c r="AH52" s="603">
        <f t="shared" si="88"/>
        <v>117.80563492584972</v>
      </c>
      <c r="AI52" s="585">
        <f t="shared" si="89"/>
        <v>-70.709005437865216</v>
      </c>
      <c r="AJ52" s="586">
        <f t="shared" si="90"/>
        <v>-29.618515167557632</v>
      </c>
      <c r="AK52" s="635">
        <f t="shared" si="211"/>
        <v>0.93969263802333469</v>
      </c>
      <c r="AL52" s="629">
        <f t="shared" si="91"/>
        <v>8.8521302156295667E-2</v>
      </c>
      <c r="AM52" s="634">
        <f t="shared" si="92"/>
        <v>-0.33036604714967333</v>
      </c>
      <c r="AN52" s="581">
        <f t="shared" si="93"/>
        <v>14.999997834268283</v>
      </c>
      <c r="AO52" s="582">
        <f t="shared" si="94"/>
        <v>19.999997112357665</v>
      </c>
      <c r="AP52" s="585">
        <f t="shared" si="95"/>
        <v>5.3815187622394829</v>
      </c>
      <c r="AQ52" s="586">
        <f t="shared" si="248"/>
        <v>0.74462383450029801</v>
      </c>
      <c r="AS52" s="52">
        <f t="shared" si="408"/>
        <v>-125.0000339297971</v>
      </c>
      <c r="AT52" s="72">
        <f t="shared" si="249"/>
        <v>-3.7194794867213068E-2</v>
      </c>
      <c r="AU52" s="469"/>
      <c r="AV52" s="168" t="str">
        <f t="shared" si="250"/>
        <v/>
      </c>
      <c r="AW52" s="192"/>
      <c r="AX52" s="193"/>
      <c r="AY52" s="196"/>
      <c r="AZ52" s="308" t="str">
        <f t="shared" si="251"/>
        <v/>
      </c>
      <c r="BA52" s="307" t="str">
        <f t="shared" si="252"/>
        <v/>
      </c>
      <c r="BB52" s="198" t="str">
        <f t="shared" si="118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77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6"/>
        <v/>
      </c>
      <c r="BT52" s="5" t="str">
        <f t="shared" si="406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4"/>
        <v/>
      </c>
      <c r="CJ52" s="5" t="str">
        <f t="shared" si="275"/>
        <v/>
      </c>
      <c r="CK52" s="8" t="str">
        <f t="shared" si="276"/>
        <v/>
      </c>
      <c r="CL52" s="177" t="str">
        <f t="shared" si="277"/>
        <v/>
      </c>
      <c r="CM52" s="5" t="str">
        <f t="shared" si="278"/>
        <v/>
      </c>
      <c r="CN52" s="6" t="str">
        <f t="shared" si="279"/>
        <v/>
      </c>
      <c r="CO52" s="171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4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09"/>
        <v/>
      </c>
      <c r="DC52" s="5" t="str">
        <f t="shared" si="409"/>
        <v/>
      </c>
      <c r="DD52" s="10" t="str">
        <f t="shared" si="142"/>
        <v/>
      </c>
      <c r="DE52" s="9" t="str">
        <f t="shared" si="410"/>
        <v/>
      </c>
      <c r="DF52" s="5" t="str">
        <f t="shared" si="410"/>
        <v/>
      </c>
      <c r="DG52" s="10" t="str">
        <f t="shared" si="144"/>
        <v/>
      </c>
      <c r="DH52" s="72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77" t="str">
        <f t="shared" si="297"/>
        <v/>
      </c>
      <c r="DN52" s="182" t="str">
        <f t="shared" si="298"/>
        <v/>
      </c>
      <c r="DO52" s="9" t="str">
        <f t="shared" si="299"/>
        <v/>
      </c>
      <c r="DP52" s="177" t="str">
        <f t="shared" si="300"/>
        <v/>
      </c>
      <c r="DQ52" s="11" t="str">
        <f t="shared" si="301"/>
        <v/>
      </c>
      <c r="DR52" s="177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1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77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47" t="str">
        <f t="shared" si="174"/>
        <v/>
      </c>
      <c r="EL52" s="249" t="str">
        <f t="shared" si="175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78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77" t="str">
        <f t="shared" si="337"/>
        <v/>
      </c>
      <c r="FH52" s="5" t="str">
        <f t="shared" si="338"/>
        <v/>
      </c>
      <c r="FI52" s="10" t="str">
        <f t="shared" si="339"/>
        <v/>
      </c>
      <c r="FJ52" s="290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88" t="str">
        <f t="shared" si="346"/>
        <v/>
      </c>
      <c r="FQ52" s="177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88" t="str">
        <f t="shared" si="356"/>
        <v/>
      </c>
      <c r="GA52" s="181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24" t="str">
        <f t="shared" si="361"/>
        <v/>
      </c>
      <c r="GF52" s="362" t="str">
        <f t="shared" si="362"/>
        <v/>
      </c>
      <c r="GG52" s="296" t="str">
        <f t="shared" si="363"/>
        <v/>
      </c>
      <c r="GH52" s="297" t="str">
        <f t="shared" si="364"/>
        <v/>
      </c>
      <c r="GI52" s="292" t="str">
        <f t="shared" si="365"/>
        <v/>
      </c>
      <c r="GJ52" s="171" t="str">
        <f t="shared" si="366"/>
        <v/>
      </c>
      <c r="GK52" s="178" t="str">
        <f t="shared" si="52"/>
        <v/>
      </c>
      <c r="GL52" s="178" t="str">
        <f t="shared" si="367"/>
        <v/>
      </c>
      <c r="GM52" s="181" t="str">
        <f t="shared" si="368"/>
        <v/>
      </c>
      <c r="GN52" s="291" t="str">
        <f t="shared" si="369"/>
        <v/>
      </c>
      <c r="GO52" s="4" t="str">
        <f t="shared" si="370"/>
        <v/>
      </c>
      <c r="GP52" s="8" t="str">
        <f t="shared" si="371"/>
        <v/>
      </c>
      <c r="GQ52" s="181" t="str">
        <f t="shared" si="372"/>
        <v/>
      </c>
      <c r="GR52" s="417" t="str">
        <f t="shared" si="373"/>
        <v/>
      </c>
      <c r="GS52" s="363" t="str">
        <f t="shared" si="374"/>
        <v/>
      </c>
      <c r="GT52" s="364" t="str">
        <f t="shared" si="375"/>
        <v/>
      </c>
      <c r="GU52" s="365" t="str">
        <f t="shared" si="56"/>
        <v/>
      </c>
      <c r="GV52" s="364" t="str">
        <f t="shared" si="376"/>
        <v/>
      </c>
      <c r="GW52" s="366" t="str">
        <f t="shared" si="57"/>
        <v/>
      </c>
      <c r="GX52" s="367" t="str">
        <f t="shared" si="58"/>
        <v/>
      </c>
      <c r="GY52" s="365" t="str">
        <f t="shared" si="377"/>
        <v/>
      </c>
      <c r="GZ52" s="366" t="str">
        <f t="shared" si="378"/>
        <v/>
      </c>
      <c r="HA52" s="363" t="str">
        <f t="shared" si="61"/>
        <v/>
      </c>
      <c r="HB52" s="5" t="str">
        <f t="shared" si="205"/>
        <v/>
      </c>
      <c r="HC52" s="364" t="str">
        <f t="shared" si="379"/>
        <v/>
      </c>
      <c r="HD52" s="366" t="str">
        <f t="shared" si="380"/>
        <v/>
      </c>
      <c r="HE52" s="365" t="str">
        <f t="shared" si="62"/>
        <v/>
      </c>
      <c r="HF52" s="5" t="str">
        <f t="shared" si="63"/>
        <v/>
      </c>
      <c r="HG52" s="364" t="str">
        <f t="shared" si="381"/>
        <v/>
      </c>
      <c r="HH52" s="370" t="str">
        <f t="shared" si="382"/>
        <v/>
      </c>
      <c r="HI52" s="335" t="str">
        <f t="shared" si="383"/>
        <v/>
      </c>
      <c r="HJ52" s="357"/>
      <c r="HK52" s="323" t="str">
        <f t="shared" si="238"/>
        <v/>
      </c>
      <c r="HL52" s="322" t="str">
        <f t="shared" si="407"/>
        <v/>
      </c>
      <c r="HM52" s="369" t="str">
        <f t="shared" si="411"/>
        <v/>
      </c>
      <c r="HN52" s="384" t="str">
        <f t="shared" si="411"/>
        <v/>
      </c>
      <c r="HO52" s="385" t="str">
        <f t="shared" si="411"/>
        <v/>
      </c>
      <c r="HP52" s="380" t="str">
        <f t="shared" si="411"/>
        <v/>
      </c>
      <c r="HQ52" s="384" t="str">
        <f t="shared" si="411"/>
        <v/>
      </c>
      <c r="HR52" s="395" t="str">
        <f t="shared" si="411"/>
        <v/>
      </c>
      <c r="HS52" s="379" t="str">
        <f t="shared" si="411"/>
        <v/>
      </c>
      <c r="HT52" s="374" t="str">
        <f t="shared" si="411"/>
        <v/>
      </c>
      <c r="HU52" s="375" t="str">
        <f t="shared" si="411"/>
        <v/>
      </c>
      <c r="HV52" s="376" t="str">
        <f t="shared" si="411"/>
        <v/>
      </c>
      <c r="HW52" s="374" t="str">
        <f t="shared" si="411"/>
        <v/>
      </c>
      <c r="HX52" s="375" t="str">
        <f t="shared" si="411"/>
        <v/>
      </c>
      <c r="HY52" s="376" t="str">
        <f t="shared" si="411"/>
        <v/>
      </c>
      <c r="HZ52" s="374" t="str">
        <f t="shared" si="411"/>
        <v/>
      </c>
      <c r="IA52" s="375" t="str">
        <f t="shared" si="411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3.113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4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5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6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3.1167997211938179</v>
      </c>
      <c r="C53" s="708">
        <v>-2.1824094105409557</v>
      </c>
      <c r="D53" s="709">
        <v>-5.520016648370249E-2</v>
      </c>
      <c r="E53" s="710">
        <v>0.54387558662958935</v>
      </c>
      <c r="F53" s="708">
        <v>0.76632710382343583</v>
      </c>
      <c r="G53" s="711">
        <v>0.34196800466404054</v>
      </c>
      <c r="H53" s="710">
        <v>0.314</v>
      </c>
      <c r="I53" s="708">
        <v>0.52</v>
      </c>
      <c r="J53" s="570">
        <v>3.1190000000000002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41"/>
        <v>3.1190000000000002</v>
      </c>
      <c r="N53" s="632">
        <f t="shared" si="242"/>
        <v>3.1167997211938179</v>
      </c>
      <c r="O53" s="629">
        <f t="shared" si="243"/>
        <v>-2.1824094105409557</v>
      </c>
      <c r="P53" s="633">
        <f t="shared" si="244"/>
        <v>-5.520016648370249E-2</v>
      </c>
      <c r="Q53" s="585">
        <f t="shared" si="113"/>
        <v>324.99996607020285</v>
      </c>
      <c r="R53" s="629">
        <f t="shared" ref="R53:R58" si="412">IF(M53="","",SQRT(N53^2+O53^2))</f>
        <v>3.8049114756130114</v>
      </c>
      <c r="S53" s="634">
        <f t="shared" ref="S53:S58" si="413">IF(M53="","",P53)</f>
        <v>-5.520016648370249E-2</v>
      </c>
      <c r="T53" s="635">
        <f t="shared" ref="T53:T58" si="414">IF(M53="","",X53*COS(RADIANS(W53)))</f>
        <v>-2.1824094105409579</v>
      </c>
      <c r="U53" s="629">
        <f t="shared" ref="U53:U58" si="415">IF(M53="","",X53*SIN(RADIANS(W53)))</f>
        <v>-3.1167997211938165</v>
      </c>
      <c r="V53" s="636">
        <f t="shared" ref="V53:V58" si="416">IF(M53="","",Y53)</f>
        <v>-5.520016648370249E-2</v>
      </c>
      <c r="W53" s="585">
        <f t="shared" si="224"/>
        <v>234.99996607020285</v>
      </c>
      <c r="X53" s="629">
        <f t="shared" ref="X53:X58" si="417">IF(M53="","",R53)</f>
        <v>3.8049114756130114</v>
      </c>
      <c r="Y53" s="630">
        <f t="shared" si="223"/>
        <v>-5.520016648370249E-2</v>
      </c>
      <c r="Z53" s="632">
        <f t="shared" si="245"/>
        <v>-0.54387558662958935</v>
      </c>
      <c r="AA53" s="629">
        <f t="shared" si="246"/>
        <v>-0.76632710382343583</v>
      </c>
      <c r="AB53" s="629">
        <f t="shared" si="247"/>
        <v>-0.34196800466404054</v>
      </c>
      <c r="AC53" s="636">
        <f t="shared" ref="AC53:AC58" si="418">IF(M53="","",SQRT(Z53^2+AA53^2+AB53^2))</f>
        <v>1</v>
      </c>
      <c r="AD53" s="637">
        <f t="shared" ref="AD53:AD58" si="419">IF(M53="","",Z53*(1/SQRT(Z53^2+AA53^2+AB53^2)))</f>
        <v>-0.54387558662958935</v>
      </c>
      <c r="AE53" s="629">
        <f t="shared" ref="AE53:AE58" si="420">IF(M53="","",AA53*(1/SQRT(Z53^2+AA53^2+AB53^2)))</f>
        <v>-0.76632710382343583</v>
      </c>
      <c r="AF53" s="633">
        <f t="shared" ref="AF53:AF58" si="421">IF(M53="","",AB53*(1/SQRT(Z53^2+AA53^2+AB53^2)))</f>
        <v>-0.34196800466404054</v>
      </c>
      <c r="AG53" s="602">
        <f t="shared" ref="AG53:AG58" si="422">IF(M53="","",DEGREES(ATAN2(-AF53,AE53)))</f>
        <v>-65.951523033668693</v>
      </c>
      <c r="AH53" s="603">
        <f t="shared" ref="AH53:AH58" si="423">IF(M53="","",DEGREES(ACOS(AD53)))</f>
        <v>122.94785860346569</v>
      </c>
      <c r="AI53" s="585">
        <f t="shared" ref="AI53:AI58" si="424">IF(M53="","",DEGREES(-ACOS(-AF53)))</f>
        <v>-70.003179013043805</v>
      </c>
      <c r="AJ53" s="586">
        <f t="shared" ref="AJ53:AJ58" si="425">IF(M53="","",DEGREES(ATAN2(-AE53,AD53)))</f>
        <v>-35.363980681102142</v>
      </c>
      <c r="AK53" s="635">
        <f t="shared" ref="AK53:AK58" si="426">IF(M53="","",(COS(RADIANS((90-$Q$8)-W53))*AD53)+(-SIN(RADIANS((90-$Q$8)-W53))*AE53))</f>
        <v>0.93969263802333458</v>
      </c>
      <c r="AL53" s="629">
        <f t="shared" ref="AL53:AL58" si="427">IF(M53="","",(SIN(RADIANS((90-$Q$8)-W53))*AD53)+(COS(RADIANS((90-$Q$8)-W53))*AE53))</f>
        <v>-5.9690728627803669E-3</v>
      </c>
      <c r="AM53" s="634">
        <f t="shared" ref="AM53:AM58" si="428">IF(M53="","",AF53)</f>
        <v>-0.34196800466404054</v>
      </c>
      <c r="AN53" s="581">
        <f t="shared" ref="AN53:AN58" si="429">IF(M53="","",DEGREES(ATAN2(-AM53,AL53)))</f>
        <v>-0.99999985561772708</v>
      </c>
      <c r="AO53" s="582">
        <f t="shared" si="94"/>
        <v>19.999997112357679</v>
      </c>
      <c r="AP53" s="585">
        <f t="shared" ref="AP53:AP58" si="430">IF(M53="","",DEGREES(ATAN2(AK53,AL53)))</f>
        <v>-0.36394675130496457</v>
      </c>
      <c r="AQ53" s="586">
        <f t="shared" si="248"/>
        <v>0.59913182044078495</v>
      </c>
      <c r="AS53" s="52">
        <f t="shared" si="408"/>
        <v>-125.00003392979715</v>
      </c>
      <c r="AT53" s="72">
        <f t="shared" si="249"/>
        <v>3.160541263421221E-2</v>
      </c>
      <c r="AU53" s="469"/>
      <c r="AV53" s="168" t="str">
        <f t="shared" si="250"/>
        <v/>
      </c>
      <c r="AW53" s="192"/>
      <c r="AX53" s="193"/>
      <c r="AY53" s="196"/>
      <c r="AZ53" s="308" t="str">
        <f t="shared" si="251"/>
        <v/>
      </c>
      <c r="BA53" s="307" t="str">
        <f t="shared" si="252"/>
        <v/>
      </c>
      <c r="BB53" s="198" t="str">
        <f t="shared" si="118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77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6"/>
        <v/>
      </c>
      <c r="BT53" s="5" t="str">
        <f t="shared" si="406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4"/>
        <v/>
      </c>
      <c r="CJ53" s="5" t="str">
        <f t="shared" si="275"/>
        <v/>
      </c>
      <c r="CK53" s="8" t="str">
        <f t="shared" si="276"/>
        <v/>
      </c>
      <c r="CL53" s="177" t="str">
        <f t="shared" si="277"/>
        <v/>
      </c>
      <c r="CM53" s="5" t="str">
        <f t="shared" si="278"/>
        <v/>
      </c>
      <c r="CN53" s="6" t="str">
        <f t="shared" si="279"/>
        <v/>
      </c>
      <c r="CO53" s="171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4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09"/>
        <v/>
      </c>
      <c r="DC53" s="5" t="str">
        <f t="shared" si="409"/>
        <v/>
      </c>
      <c r="DD53" s="10" t="str">
        <f t="shared" si="142"/>
        <v/>
      </c>
      <c r="DE53" s="9" t="str">
        <f t="shared" si="410"/>
        <v/>
      </c>
      <c r="DF53" s="5" t="str">
        <f t="shared" si="410"/>
        <v/>
      </c>
      <c r="DG53" s="10" t="str">
        <f t="shared" si="144"/>
        <v/>
      </c>
      <c r="DH53" s="72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77" t="str">
        <f t="shared" si="297"/>
        <v/>
      </c>
      <c r="DN53" s="182" t="str">
        <f t="shared" si="298"/>
        <v/>
      </c>
      <c r="DO53" s="9" t="str">
        <f t="shared" si="299"/>
        <v/>
      </c>
      <c r="DP53" s="177" t="str">
        <f t="shared" si="300"/>
        <v/>
      </c>
      <c r="DQ53" s="11" t="str">
        <f t="shared" si="301"/>
        <v/>
      </c>
      <c r="DR53" s="177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1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77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47" t="str">
        <f t="shared" si="174"/>
        <v/>
      </c>
      <c r="EL53" s="249" t="str">
        <f t="shared" si="175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78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77" t="str">
        <f t="shared" si="337"/>
        <v/>
      </c>
      <c r="FH53" s="5" t="str">
        <f t="shared" si="338"/>
        <v/>
      </c>
      <c r="FI53" s="10" t="str">
        <f t="shared" si="339"/>
        <v/>
      </c>
      <c r="FJ53" s="290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88" t="str">
        <f t="shared" si="346"/>
        <v/>
      </c>
      <c r="FQ53" s="177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88" t="str">
        <f t="shared" si="356"/>
        <v/>
      </c>
      <c r="GA53" s="181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24" t="str">
        <f t="shared" si="361"/>
        <v/>
      </c>
      <c r="GF53" s="362" t="str">
        <f t="shared" si="362"/>
        <v/>
      </c>
      <c r="GG53" s="296" t="str">
        <f t="shared" si="363"/>
        <v/>
      </c>
      <c r="GH53" s="297" t="str">
        <f t="shared" si="364"/>
        <v/>
      </c>
      <c r="GI53" s="292" t="str">
        <f t="shared" si="365"/>
        <v/>
      </c>
      <c r="GJ53" s="171" t="str">
        <f t="shared" si="366"/>
        <v/>
      </c>
      <c r="GK53" s="178" t="str">
        <f t="shared" si="52"/>
        <v/>
      </c>
      <c r="GL53" s="178" t="str">
        <f t="shared" si="367"/>
        <v/>
      </c>
      <c r="GM53" s="181" t="str">
        <f t="shared" si="368"/>
        <v/>
      </c>
      <c r="GN53" s="291" t="str">
        <f t="shared" si="369"/>
        <v/>
      </c>
      <c r="GO53" s="4" t="str">
        <f t="shared" si="370"/>
        <v/>
      </c>
      <c r="GP53" s="8" t="str">
        <f t="shared" si="371"/>
        <v/>
      </c>
      <c r="GQ53" s="181" t="str">
        <f t="shared" si="372"/>
        <v/>
      </c>
      <c r="GR53" s="417" t="str">
        <f t="shared" si="373"/>
        <v/>
      </c>
      <c r="GS53" s="363" t="str">
        <f t="shared" si="374"/>
        <v/>
      </c>
      <c r="GT53" s="364" t="str">
        <f t="shared" si="375"/>
        <v/>
      </c>
      <c r="GU53" s="365" t="str">
        <f t="shared" si="56"/>
        <v/>
      </c>
      <c r="GV53" s="364" t="str">
        <f t="shared" si="376"/>
        <v/>
      </c>
      <c r="GW53" s="366" t="str">
        <f t="shared" si="57"/>
        <v/>
      </c>
      <c r="GX53" s="367" t="str">
        <f t="shared" si="58"/>
        <v/>
      </c>
      <c r="GY53" s="365" t="str">
        <f t="shared" si="377"/>
        <v/>
      </c>
      <c r="GZ53" s="366" t="str">
        <f t="shared" si="378"/>
        <v/>
      </c>
      <c r="HA53" s="363" t="str">
        <f t="shared" si="61"/>
        <v/>
      </c>
      <c r="HB53" s="5" t="str">
        <f t="shared" si="205"/>
        <v/>
      </c>
      <c r="HC53" s="364" t="str">
        <f t="shared" si="379"/>
        <v/>
      </c>
      <c r="HD53" s="366" t="str">
        <f t="shared" si="380"/>
        <v/>
      </c>
      <c r="HE53" s="365" t="str">
        <f t="shared" si="62"/>
        <v/>
      </c>
      <c r="HF53" s="5" t="str">
        <f t="shared" si="63"/>
        <v/>
      </c>
      <c r="HG53" s="364" t="str">
        <f t="shared" si="381"/>
        <v/>
      </c>
      <c r="HH53" s="370" t="str">
        <f t="shared" si="382"/>
        <v/>
      </c>
      <c r="HI53" s="335" t="str">
        <f t="shared" si="383"/>
        <v/>
      </c>
      <c r="HJ53" s="357"/>
      <c r="HK53" s="323" t="str">
        <f t="shared" si="238"/>
        <v/>
      </c>
      <c r="HL53" s="322" t="str">
        <f t="shared" si="407"/>
        <v/>
      </c>
      <c r="HM53" s="369" t="str">
        <f t="shared" si="411"/>
        <v/>
      </c>
      <c r="HN53" s="384" t="str">
        <f t="shared" si="411"/>
        <v/>
      </c>
      <c r="HO53" s="385" t="str">
        <f t="shared" si="411"/>
        <v/>
      </c>
      <c r="HP53" s="380" t="str">
        <f t="shared" si="411"/>
        <v/>
      </c>
      <c r="HQ53" s="384" t="str">
        <f t="shared" si="411"/>
        <v/>
      </c>
      <c r="HR53" s="395" t="str">
        <f t="shared" si="411"/>
        <v/>
      </c>
      <c r="HS53" s="379" t="str">
        <f t="shared" si="411"/>
        <v/>
      </c>
      <c r="HT53" s="374" t="str">
        <f t="shared" si="411"/>
        <v/>
      </c>
      <c r="HU53" s="375" t="str">
        <f t="shared" si="411"/>
        <v/>
      </c>
      <c r="HV53" s="376" t="str">
        <f t="shared" si="411"/>
        <v/>
      </c>
      <c r="HW53" s="374" t="str">
        <f t="shared" si="411"/>
        <v/>
      </c>
      <c r="HX53" s="375" t="str">
        <f t="shared" si="411"/>
        <v/>
      </c>
      <c r="HY53" s="376" t="str">
        <f t="shared" si="411"/>
        <v/>
      </c>
      <c r="HZ53" s="374" t="str">
        <f t="shared" si="411"/>
        <v/>
      </c>
      <c r="IA53" s="375" t="str">
        <f t="shared" si="411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3.1190000000000002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4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5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6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3.7184187268696922</v>
      </c>
      <c r="C54" s="708">
        <v>-2.6327807722581107</v>
      </c>
      <c r="D54" s="709">
        <v>-0.16380049402228949</v>
      </c>
      <c r="E54" s="710">
        <v>0.63874642151513483</v>
      </c>
      <c r="F54" s="708">
        <v>0.69740781252659889</v>
      </c>
      <c r="G54" s="711">
        <v>0.32500054158181674</v>
      </c>
      <c r="H54" s="710">
        <v>0.314</v>
      </c>
      <c r="I54" s="708">
        <v>0.52</v>
      </c>
      <c r="J54" s="570">
        <v>3.125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41"/>
        <v>3.125</v>
      </c>
      <c r="N54" s="632">
        <f t="shared" si="242"/>
        <v>3.7184187268696922</v>
      </c>
      <c r="O54" s="629">
        <f t="shared" si="243"/>
        <v>-2.6327807722581107</v>
      </c>
      <c r="P54" s="633">
        <f t="shared" si="244"/>
        <v>-0.16380049402228949</v>
      </c>
      <c r="Q54" s="585">
        <f t="shared" si="113"/>
        <v>324.70006611350311</v>
      </c>
      <c r="R54" s="629">
        <f t="shared" si="412"/>
        <v>4.5561137412390442</v>
      </c>
      <c r="S54" s="634">
        <f t="shared" si="413"/>
        <v>-0.16380049402228949</v>
      </c>
      <c r="T54" s="635">
        <f t="shared" si="414"/>
        <v>-2.6327807722581094</v>
      </c>
      <c r="U54" s="629">
        <f t="shared" si="415"/>
        <v>-3.7184187268696935</v>
      </c>
      <c r="V54" s="636">
        <f t="shared" si="416"/>
        <v>-0.16380049402228949</v>
      </c>
      <c r="W54" s="585">
        <f t="shared" si="224"/>
        <v>234.70006611350311</v>
      </c>
      <c r="X54" s="629">
        <f t="shared" si="417"/>
        <v>4.5561137412390442</v>
      </c>
      <c r="Y54" s="630">
        <f t="shared" si="223"/>
        <v>-0.16380049402228949</v>
      </c>
      <c r="Z54" s="632">
        <f t="shared" si="245"/>
        <v>-0.63874642151513483</v>
      </c>
      <c r="AA54" s="629">
        <f t="shared" si="246"/>
        <v>-0.69740781252659889</v>
      </c>
      <c r="AB54" s="629">
        <f t="shared" si="247"/>
        <v>-0.32500054158181674</v>
      </c>
      <c r="AC54" s="636">
        <f t="shared" si="418"/>
        <v>1</v>
      </c>
      <c r="AD54" s="637">
        <f t="shared" si="419"/>
        <v>-0.63874642151513483</v>
      </c>
      <c r="AE54" s="629">
        <f t="shared" si="420"/>
        <v>-0.69740781252659889</v>
      </c>
      <c r="AF54" s="633">
        <f t="shared" si="421"/>
        <v>-0.32500054158181674</v>
      </c>
      <c r="AG54" s="602">
        <f t="shared" si="422"/>
        <v>-65.013907044435399</v>
      </c>
      <c r="AH54" s="603">
        <f t="shared" si="423"/>
        <v>129.69840669731857</v>
      </c>
      <c r="AI54" s="585">
        <f t="shared" si="424"/>
        <v>-71.034392199587998</v>
      </c>
      <c r="AJ54" s="586">
        <f t="shared" si="425"/>
        <v>-42.486148624750484</v>
      </c>
      <c r="AK54" s="635">
        <f t="shared" si="426"/>
        <v>0.93828508462900617</v>
      </c>
      <c r="AL54" s="629">
        <f t="shared" si="427"/>
        <v>-0.11830362604022249</v>
      </c>
      <c r="AM54" s="634">
        <f t="shared" si="428"/>
        <v>-0.32500054158181674</v>
      </c>
      <c r="AN54" s="581">
        <f t="shared" si="429"/>
        <v>-20.00203970864403</v>
      </c>
      <c r="AO54" s="582">
        <f t="shared" si="94"/>
        <v>20.234475256420911</v>
      </c>
      <c r="AP54" s="585">
        <f t="shared" si="430"/>
        <v>-7.1862147382536001</v>
      </c>
      <c r="AQ54" s="586">
        <f t="shared" si="248"/>
        <v>0.50035376832972611</v>
      </c>
      <c r="AS54" s="52">
        <f t="shared" si="408"/>
        <v>-125.29993388649689</v>
      </c>
      <c r="AT54" s="72">
        <f t="shared" si="249"/>
        <v>-7.6786651045555543E-2</v>
      </c>
      <c r="AU54" s="469"/>
      <c r="AV54" s="168" t="str">
        <f t="shared" si="250"/>
        <v/>
      </c>
      <c r="AW54" s="418"/>
      <c r="AX54" s="419"/>
      <c r="AY54" s="420"/>
      <c r="AZ54" s="308" t="str">
        <f t="shared" si="117"/>
        <v/>
      </c>
      <c r="BA54" s="307" t="str">
        <f t="shared" si="252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0"/>
        <v/>
      </c>
      <c r="BJ54" s="5" t="str">
        <f t="shared" si="259"/>
        <v/>
      </c>
      <c r="BK54" s="8" t="str">
        <f t="shared" si="260"/>
        <v/>
      </c>
      <c r="BL54" s="177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31">IF(ISNUMBER($AV54),0,"")</f>
        <v/>
      </c>
      <c r="BT54" s="5" t="str">
        <f t="shared" si="431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80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2">IF(ISNUMBER($AV54),0,"")</f>
        <v/>
      </c>
      <c r="DC54" s="5" t="str">
        <f t="shared" si="432"/>
        <v/>
      </c>
      <c r="DD54" s="10" t="str">
        <f t="shared" si="142"/>
        <v/>
      </c>
      <c r="DE54" s="9" t="str">
        <f t="shared" ref="DE54:DF74" si="433">IF(ISNUMBER($AV54),0,"")</f>
        <v/>
      </c>
      <c r="DF54" s="5" t="str">
        <f t="shared" si="433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78" t="str">
        <f t="shared" ref="EV54:EV72" si="434">IF(ISNUMBER($AV54),IF(($EV$1-EP54)&lt;0,(360+($EV$1-EP54)),($EV$1-EP54)),"")</f>
        <v/>
      </c>
      <c r="EW54" s="9" t="str">
        <f t="shared" ref="EW54:EW72" si="435">IF(ISNUMBER($AV54),(COS(RADIANS($EV54))*ES54)+(-SIN(RADIANS($EV54))*ET54),"")</f>
        <v/>
      </c>
      <c r="EX54" s="5" t="str">
        <f t="shared" ref="EX54:EX72" si="436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7">IF(ISNUMBER($AV54),SIN(RADIANS($EP54))*COS(RADIANS($EZ54)),"")</f>
        <v/>
      </c>
      <c r="FB54" s="5" t="str">
        <f t="shared" ref="FB54:FB72" si="438">IF(ISNUMBER($AV54),-1*COS(RADIANS($EP54))*COS(RADIANS($EZ54)),"")</f>
        <v/>
      </c>
      <c r="FC54" s="6" t="str">
        <f t="shared" ref="FC54:FC72" si="439">IF(ISNUMBER($AV54),-1*SIN(RADIANS($EZ54)),"")</f>
        <v/>
      </c>
      <c r="FD54" s="4" t="str">
        <f t="shared" ref="FD54:FD72" si="440">IF(ISNUMBER($AV54),(COS(RADIANS($EV54))*FA54)+(-SIN(RADIANS($EV54))*FB54),"")</f>
        <v/>
      </c>
      <c r="FE54" s="5" t="str">
        <f t="shared" ref="FE54:FE72" si="441">IF(ISNUMBER($AV54),(SIN(RADIANS($EV54))*FA54)+(COS(RADIANS($EV54))*FB54),"")</f>
        <v/>
      </c>
      <c r="FF54" s="7" t="str">
        <f t="shared" si="184"/>
        <v/>
      </c>
      <c r="FG54" s="177" t="str">
        <f t="shared" ref="FG54:FG72" si="442">IF(ISNUMBER($AV54),EW54-FD54,"")</f>
        <v/>
      </c>
      <c r="FH54" s="5" t="str">
        <f t="shared" ref="FH54:FH72" si="443">IF(ISNUMBER($AV54),EX54-FE54,"")</f>
        <v/>
      </c>
      <c r="FI54" s="10" t="str">
        <f t="shared" ref="FI54:FI72" si="444">IF(ISNUMBER($AV54),EY54-FF54,"")</f>
        <v/>
      </c>
      <c r="FJ54" s="290" t="str">
        <f t="shared" si="185"/>
        <v/>
      </c>
      <c r="FK54" s="4" t="str">
        <f t="shared" ref="FK54:FK72" si="445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6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7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8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9">IF(ISNUMBER($AV54),ABS(GB54)/(ABS($GB54)+ABS($GC54)+ABS($GD54)),"")</f>
        <v/>
      </c>
      <c r="GH54" s="297" t="str">
        <f t="shared" ref="GH54:GH72" si="450">IF(ISNUMBER($AV54),ABS(GC54)/(ABS($GB54)+ABS($GC54)+ABS($GD54)),"")</f>
        <v/>
      </c>
      <c r="GI54" s="292" t="str">
        <f t="shared" ref="GI54:GI72" si="451">IF(ISNUMBER($AV54),ABS(GD54)/(ABS($GB54)+ABS($GC54)+ABS($GD54)),"")</f>
        <v/>
      </c>
      <c r="GJ54" s="171" t="str">
        <f t="shared" si="199"/>
        <v/>
      </c>
      <c r="GK54" s="178" t="str">
        <f t="shared" ref="GK54:GK72" si="452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3">IF(ISNUMBER($AV54),GU54/GH54*GG54,"")</f>
        <v/>
      </c>
      <c r="GT54" s="364" t="str">
        <f t="shared" ref="GT54:GT72" si="454">IF(ISNUMBER($AV54),GS54/$GK54,"")</f>
        <v/>
      </c>
      <c r="GU54" s="365" t="str">
        <f t="shared" ref="GU54:GU72" si="455">IF(ISNUMBER($AV54),$GV54*$GK54,"")</f>
        <v/>
      </c>
      <c r="GV54" s="364" t="str">
        <f t="shared" si="204"/>
        <v/>
      </c>
      <c r="GW54" s="366" t="str">
        <f t="shared" ref="GW54:GW72" si="456">IF(ISNUMBER($AV54),$GW$2,"")</f>
        <v/>
      </c>
      <c r="GX54" s="367" t="str">
        <f t="shared" ref="GX54:GX72" si="457">IF(ISNUMBER($AV54),($GJ54/12)*$GV54,"")</f>
        <v/>
      </c>
      <c r="GY54" s="365" t="str">
        <f t="shared" ref="GY54:GY72" si="458">IF(ISNUMBER($AV54),GU54/GH54*GI54,"")</f>
        <v/>
      </c>
      <c r="GZ54" s="366" t="str">
        <f t="shared" ref="GZ54:GZ72" si="459">IF(ISNUMBER($AV54),GY54/$GK54,"")</f>
        <v/>
      </c>
      <c r="HA54" s="363" t="str">
        <f t="shared" ref="HA54:HA72" si="460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61">IF(ISNUMBER($AV54),$FY54*$GV54,"")</f>
        <v/>
      </c>
      <c r="HF54" s="5" t="str">
        <f t="shared" ref="HF54:HF72" si="462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3"/>
        <v/>
      </c>
      <c r="HK54" s="323" t="str">
        <f t="shared" si="238"/>
        <v/>
      </c>
      <c r="HL54" s="322" t="str">
        <f t="shared" si="407"/>
        <v/>
      </c>
      <c r="HM54" s="369" t="str">
        <f t="shared" si="411"/>
        <v/>
      </c>
      <c r="HN54" s="384" t="str">
        <f t="shared" si="411"/>
        <v/>
      </c>
      <c r="HO54" s="385" t="str">
        <f t="shared" si="411"/>
        <v/>
      </c>
      <c r="HP54" s="380" t="str">
        <f t="shared" si="411"/>
        <v/>
      </c>
      <c r="HQ54" s="384" t="str">
        <f t="shared" si="411"/>
        <v/>
      </c>
      <c r="HR54" s="395" t="str">
        <f t="shared" si="411"/>
        <v/>
      </c>
      <c r="HS54" s="379" t="str">
        <f t="shared" si="411"/>
        <v/>
      </c>
      <c r="HT54" s="374" t="str">
        <f t="shared" si="411"/>
        <v/>
      </c>
      <c r="HU54" s="375" t="str">
        <f t="shared" si="411"/>
        <v/>
      </c>
      <c r="HV54" s="376" t="str">
        <f t="shared" si="411"/>
        <v/>
      </c>
      <c r="HW54" s="374" t="str">
        <f t="shared" si="411"/>
        <v/>
      </c>
      <c r="HX54" s="375" t="str">
        <f t="shared" si="411"/>
        <v/>
      </c>
      <c r="HY54" s="376" t="str">
        <f t="shared" si="411"/>
        <v/>
      </c>
      <c r="HZ54" s="374" t="str">
        <f t="shared" si="411"/>
        <v/>
      </c>
      <c r="IA54" s="375" t="str">
        <f t="shared" si="411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3.125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4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5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6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4.2660442082018921</v>
      </c>
      <c r="C55" s="708">
        <v>-3.0827521478151381</v>
      </c>
      <c r="D55" s="709">
        <v>-0.44810135147367608</v>
      </c>
      <c r="E55" s="710">
        <v>0.72080431307773618</v>
      </c>
      <c r="F55" s="708">
        <v>0.6327713658511932</v>
      </c>
      <c r="G55" s="711">
        <v>0.28291613741062616</v>
      </c>
      <c r="H55" s="710">
        <v>0.314</v>
      </c>
      <c r="I55" s="708">
        <v>0.52</v>
      </c>
      <c r="J55" s="570">
        <v>3.1309999999999998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41"/>
        <v>3.1309999999999998</v>
      </c>
      <c r="N55" s="632">
        <f t="shared" si="242"/>
        <v>4.2660442082018921</v>
      </c>
      <c r="O55" s="629">
        <f t="shared" si="243"/>
        <v>-3.0827521478151381</v>
      </c>
      <c r="P55" s="633">
        <f t="shared" si="244"/>
        <v>-0.44810135147367608</v>
      </c>
      <c r="Q55" s="585">
        <f t="shared" si="113"/>
        <v>324.14716619333194</v>
      </c>
      <c r="R55" s="629">
        <f t="shared" si="412"/>
        <v>5.2633158741606758</v>
      </c>
      <c r="S55" s="634">
        <f t="shared" si="413"/>
        <v>-0.44810135147367608</v>
      </c>
      <c r="T55" s="635">
        <f t="shared" si="414"/>
        <v>-3.0827521478151376</v>
      </c>
      <c r="U55" s="629">
        <f t="shared" si="415"/>
        <v>-4.266044208201893</v>
      </c>
      <c r="V55" s="636">
        <f t="shared" si="416"/>
        <v>-0.44810135147367608</v>
      </c>
      <c r="W55" s="585">
        <f t="shared" si="224"/>
        <v>234.14716619333194</v>
      </c>
      <c r="X55" s="629">
        <f t="shared" si="417"/>
        <v>5.2633158741606758</v>
      </c>
      <c r="Y55" s="630">
        <f t="shared" si="223"/>
        <v>-0.44810135147367608</v>
      </c>
      <c r="Z55" s="632">
        <f t="shared" si="245"/>
        <v>-0.72080431307773618</v>
      </c>
      <c r="AA55" s="629">
        <f t="shared" si="246"/>
        <v>-0.6327713658511932</v>
      </c>
      <c r="AB55" s="629">
        <f t="shared" si="247"/>
        <v>-0.28291613741062616</v>
      </c>
      <c r="AC55" s="636">
        <f t="shared" si="418"/>
        <v>1</v>
      </c>
      <c r="AD55" s="637">
        <f t="shared" si="419"/>
        <v>-0.72080431307773618</v>
      </c>
      <c r="AE55" s="629">
        <f t="shared" si="420"/>
        <v>-0.6327713658511932</v>
      </c>
      <c r="AF55" s="633">
        <f t="shared" si="421"/>
        <v>-0.28291613741062616</v>
      </c>
      <c r="AG55" s="602">
        <f t="shared" si="422"/>
        <v>-65.910275105703164</v>
      </c>
      <c r="AH55" s="603">
        <f t="shared" si="423"/>
        <v>136.12092599797907</v>
      </c>
      <c r="AI55" s="585">
        <f t="shared" si="424"/>
        <v>-73.565673724001087</v>
      </c>
      <c r="AJ55" s="586">
        <f t="shared" si="425"/>
        <v>-48.721123783573354</v>
      </c>
      <c r="AK55" s="635">
        <f t="shared" si="426"/>
        <v>0.93505534958703285</v>
      </c>
      <c r="AL55" s="629">
        <f t="shared" si="427"/>
        <v>-0.21361168601301661</v>
      </c>
      <c r="AM55" s="634">
        <f t="shared" si="428"/>
        <v>-0.28291613741062616</v>
      </c>
      <c r="AN55" s="581">
        <f t="shared" si="429"/>
        <v>-37.054094718363395</v>
      </c>
      <c r="AO55" s="582">
        <f>IF(ROUND(IF(M55="",0,DEGREES(ACOS(AK55))),4)=90,0,IF(M55="","",DEGREES(ACOS(AK55))))</f>
        <v>20.76291109802116</v>
      </c>
      <c r="AP55" s="585">
        <f t="shared" si="430"/>
        <v>-12.868289976905308</v>
      </c>
      <c r="AQ55" s="586">
        <f t="shared" si="248"/>
        <v>0.43312680839150725</v>
      </c>
      <c r="AS55" s="52">
        <f t="shared" si="408"/>
        <v>-125.85283380666806</v>
      </c>
      <c r="AT55" s="72">
        <f t="shared" si="249"/>
        <v>-0.36070355021904549</v>
      </c>
      <c r="AU55" s="469"/>
      <c r="AV55" s="168" t="str">
        <f t="shared" si="250"/>
        <v/>
      </c>
      <c r="AW55" s="418"/>
      <c r="AX55" s="419"/>
      <c r="AY55" s="420"/>
      <c r="AZ55" s="308" t="str">
        <f t="shared" si="117"/>
        <v/>
      </c>
      <c r="BA55" s="307" t="str">
        <f t="shared" si="252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0"/>
        <v/>
      </c>
      <c r="BJ55" s="5" t="str">
        <f t="shared" si="259"/>
        <v/>
      </c>
      <c r="BK55" s="8" t="str">
        <f t="shared" si="260"/>
        <v/>
      </c>
      <c r="BL55" s="177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31"/>
        <v/>
      </c>
      <c r="BT55" s="5" t="str">
        <f t="shared" si="431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80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2"/>
        <v/>
      </c>
      <c r="DC55" s="5" t="str">
        <f t="shared" si="432"/>
        <v/>
      </c>
      <c r="DD55" s="10" t="str">
        <f t="shared" si="142"/>
        <v/>
      </c>
      <c r="DE55" s="9" t="str">
        <f t="shared" si="433"/>
        <v/>
      </c>
      <c r="DF55" s="5" t="str">
        <f t="shared" si="433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78" t="str">
        <f t="shared" si="434"/>
        <v/>
      </c>
      <c r="EW55" s="9" t="str">
        <f t="shared" si="435"/>
        <v/>
      </c>
      <c r="EX55" s="5" t="str">
        <f t="shared" si="436"/>
        <v/>
      </c>
      <c r="EY55" s="6" t="str">
        <f t="shared" si="182"/>
        <v/>
      </c>
      <c r="EZ55" s="52" t="str">
        <f t="shared" si="183"/>
        <v/>
      </c>
      <c r="FA55" s="177" t="str">
        <f t="shared" si="437"/>
        <v/>
      </c>
      <c r="FB55" s="5" t="str">
        <f t="shared" si="438"/>
        <v/>
      </c>
      <c r="FC55" s="6" t="str">
        <f t="shared" si="439"/>
        <v/>
      </c>
      <c r="FD55" s="4" t="str">
        <f t="shared" si="440"/>
        <v/>
      </c>
      <c r="FE55" s="5" t="str">
        <f t="shared" si="441"/>
        <v/>
      </c>
      <c r="FF55" s="7" t="str">
        <f t="shared" si="184"/>
        <v/>
      </c>
      <c r="FG55" s="177" t="str">
        <f t="shared" si="442"/>
        <v/>
      </c>
      <c r="FH55" s="5" t="str">
        <f t="shared" si="443"/>
        <v/>
      </c>
      <c r="FI55" s="10" t="str">
        <f t="shared" si="444"/>
        <v/>
      </c>
      <c r="FJ55" s="290" t="str">
        <f t="shared" si="185"/>
        <v/>
      </c>
      <c r="FK55" s="4" t="str">
        <f t="shared" si="445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6"/>
        <v/>
      </c>
      <c r="FP55" s="288" t="str">
        <f t="shared" si="447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8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9"/>
        <v/>
      </c>
      <c r="GH55" s="297" t="str">
        <f t="shared" si="450"/>
        <v/>
      </c>
      <c r="GI55" s="292" t="str">
        <f t="shared" si="451"/>
        <v/>
      </c>
      <c r="GJ55" s="171" t="str">
        <f t="shared" si="199"/>
        <v/>
      </c>
      <c r="GK55" s="178" t="str">
        <f t="shared" si="452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3"/>
        <v/>
      </c>
      <c r="GT55" s="364" t="str">
        <f t="shared" si="454"/>
        <v/>
      </c>
      <c r="GU55" s="365" t="str">
        <f t="shared" si="455"/>
        <v/>
      </c>
      <c r="GV55" s="364" t="str">
        <f t="shared" si="204"/>
        <v/>
      </c>
      <c r="GW55" s="366" t="str">
        <f t="shared" si="456"/>
        <v/>
      </c>
      <c r="GX55" s="367" t="str">
        <f t="shared" si="457"/>
        <v/>
      </c>
      <c r="GY55" s="365" t="str">
        <f t="shared" si="458"/>
        <v/>
      </c>
      <c r="GZ55" s="366" t="str">
        <f t="shared" si="459"/>
        <v/>
      </c>
      <c r="HA55" s="363" t="str">
        <f t="shared" si="460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61"/>
        <v/>
      </c>
      <c r="HF55" s="5" t="str">
        <f t="shared" si="462"/>
        <v/>
      </c>
      <c r="HG55" s="364" t="str">
        <f t="shared" si="208"/>
        <v/>
      </c>
      <c r="HH55" s="370" t="str">
        <f t="shared" si="209"/>
        <v/>
      </c>
      <c r="HI55" s="335" t="str">
        <f t="shared" si="383"/>
        <v/>
      </c>
      <c r="HK55" s="323" t="str">
        <f t="shared" si="238"/>
        <v/>
      </c>
      <c r="HL55" s="322" t="str">
        <f t="shared" si="407"/>
        <v/>
      </c>
      <c r="HM55" s="369" t="str">
        <f t="shared" si="411"/>
        <v/>
      </c>
      <c r="HN55" s="384" t="str">
        <f t="shared" si="411"/>
        <v/>
      </c>
      <c r="HO55" s="385" t="str">
        <f t="shared" si="411"/>
        <v/>
      </c>
      <c r="HP55" s="380" t="str">
        <f t="shared" si="411"/>
        <v/>
      </c>
      <c r="HQ55" s="384" t="str">
        <f t="shared" si="411"/>
        <v/>
      </c>
      <c r="HR55" s="395" t="str">
        <f t="shared" si="411"/>
        <v/>
      </c>
      <c r="HS55" s="379" t="str">
        <f t="shared" si="411"/>
        <v/>
      </c>
      <c r="HT55" s="374" t="str">
        <f t="shared" si="411"/>
        <v/>
      </c>
      <c r="HU55" s="375" t="str">
        <f t="shared" si="411"/>
        <v/>
      </c>
      <c r="HV55" s="376" t="str">
        <f t="shared" si="411"/>
        <v/>
      </c>
      <c r="HW55" s="374" t="str">
        <f t="shared" si="411"/>
        <v/>
      </c>
      <c r="HX55" s="375" t="str">
        <f t="shared" si="411"/>
        <v/>
      </c>
      <c r="HY55" s="376" t="str">
        <f t="shared" si="411"/>
        <v/>
      </c>
      <c r="HZ55" s="374" t="str">
        <f t="shared" si="411"/>
        <v/>
      </c>
      <c r="IA55" s="375" t="str">
        <f t="shared" si="411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3.1309999999999998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4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5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6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4.7306419523903918</v>
      </c>
      <c r="C56" s="708">
        <v>-3.4984512608519354</v>
      </c>
      <c r="D56" s="709">
        <v>-0.88490266886644986</v>
      </c>
      <c r="E56" s="710">
        <v>0.79573934744121411</v>
      </c>
      <c r="F56" s="708">
        <v>0.54541470110974799</v>
      </c>
      <c r="G56" s="711">
        <v>0.26329013416228642</v>
      </c>
      <c r="H56" s="710">
        <v>0.314</v>
      </c>
      <c r="I56" s="708">
        <v>0.52</v>
      </c>
      <c r="J56" s="570">
        <v>3.137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41"/>
        <v>3.137</v>
      </c>
      <c r="N56" s="632">
        <f t="shared" si="242"/>
        <v>4.7306419523903918</v>
      </c>
      <c r="O56" s="629">
        <f t="shared" si="243"/>
        <v>-3.4984512608519354</v>
      </c>
      <c r="P56" s="633">
        <f t="shared" si="244"/>
        <v>-0.88490266886644986</v>
      </c>
      <c r="Q56" s="585">
        <f t="shared" si="113"/>
        <v>323.51596628446595</v>
      </c>
      <c r="R56" s="629">
        <f t="shared" si="412"/>
        <v>5.8837177452927225</v>
      </c>
      <c r="S56" s="634">
        <f t="shared" si="413"/>
        <v>-0.88490266886644986</v>
      </c>
      <c r="T56" s="635">
        <f t="shared" si="414"/>
        <v>-3.4984512608519336</v>
      </c>
      <c r="U56" s="629">
        <f t="shared" si="415"/>
        <v>-4.7306419523903935</v>
      </c>
      <c r="V56" s="636">
        <f t="shared" si="416"/>
        <v>-0.88490266886644986</v>
      </c>
      <c r="W56" s="585">
        <f t="shared" si="224"/>
        <v>233.51596628446595</v>
      </c>
      <c r="X56" s="629">
        <f t="shared" si="417"/>
        <v>5.8837177452927225</v>
      </c>
      <c r="Y56" s="630">
        <f t="shared" si="223"/>
        <v>-0.88490266886644986</v>
      </c>
      <c r="Z56" s="632">
        <f t="shared" si="245"/>
        <v>-0.79573934744121411</v>
      </c>
      <c r="AA56" s="629">
        <f t="shared" si="246"/>
        <v>-0.54541470110974799</v>
      </c>
      <c r="AB56" s="629">
        <f t="shared" si="247"/>
        <v>-0.26329013416228642</v>
      </c>
      <c r="AC56" s="636">
        <f t="shared" si="418"/>
        <v>0.99999999999999978</v>
      </c>
      <c r="AD56" s="637">
        <f t="shared" si="419"/>
        <v>-0.79573934744121433</v>
      </c>
      <c r="AE56" s="629">
        <f t="shared" si="420"/>
        <v>-0.5454147011097481</v>
      </c>
      <c r="AF56" s="633">
        <f t="shared" si="421"/>
        <v>-0.26329013416228647</v>
      </c>
      <c r="AG56" s="602">
        <f t="shared" si="422"/>
        <v>-64.231823764529025</v>
      </c>
      <c r="AH56" s="603">
        <f t="shared" si="423"/>
        <v>142.72514474338334</v>
      </c>
      <c r="AI56" s="585">
        <f t="shared" si="424"/>
        <v>-74.734622984931335</v>
      </c>
      <c r="AJ56" s="586">
        <f t="shared" si="425"/>
        <v>-55.572528112450264</v>
      </c>
      <c r="AK56" s="635">
        <f t="shared" si="426"/>
        <v>0.91167136529908199</v>
      </c>
      <c r="AL56" s="629">
        <f t="shared" si="427"/>
        <v>-0.31548950370260059</v>
      </c>
      <c r="AM56" s="634">
        <f t="shared" si="428"/>
        <v>-0.26329013416228647</v>
      </c>
      <c r="AN56" s="581">
        <f t="shared" si="429"/>
        <v>-50.153487885453238</v>
      </c>
      <c r="AO56" s="582">
        <f t="shared" ref="AO56:AO119" si="463">IF(ROUND(IF(M56="",0,DEGREES(ACOS(AK56))),4)=90,0,IF(M56="","",DEGREES(ACOS(AK56))))</f>
        <v>24.262646631805087</v>
      </c>
      <c r="AP56" s="585">
        <f t="shared" si="430"/>
        <v>-19.088494396916229</v>
      </c>
      <c r="AQ56" s="586">
        <f t="shared" si="248"/>
        <v>0.38745772311448895</v>
      </c>
      <c r="AS56" s="52">
        <f t="shared" si="408"/>
        <v>-126.48403371553405</v>
      </c>
      <c r="AT56" s="72">
        <f t="shared" si="249"/>
        <v>-0.79706653434177344</v>
      </c>
      <c r="AU56" s="469"/>
      <c r="AV56" s="168" t="str">
        <f t="shared" si="250"/>
        <v/>
      </c>
      <c r="AW56" s="418"/>
      <c r="AX56" s="419"/>
      <c r="AY56" s="420"/>
      <c r="AZ56" s="308" t="str">
        <f t="shared" si="117"/>
        <v/>
      </c>
      <c r="BA56" s="307" t="str">
        <f t="shared" si="252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0"/>
        <v/>
      </c>
      <c r="BJ56" s="5" t="str">
        <f t="shared" si="259"/>
        <v/>
      </c>
      <c r="BK56" s="8" t="str">
        <f t="shared" si="260"/>
        <v/>
      </c>
      <c r="BL56" s="177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31"/>
        <v/>
      </c>
      <c r="BT56" s="5" t="str">
        <f t="shared" si="431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80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2"/>
        <v/>
      </c>
      <c r="DC56" s="5" t="str">
        <f t="shared" si="432"/>
        <v/>
      </c>
      <c r="DD56" s="10" t="str">
        <f t="shared" si="142"/>
        <v/>
      </c>
      <c r="DE56" s="9" t="str">
        <f t="shared" si="433"/>
        <v/>
      </c>
      <c r="DF56" s="5" t="str">
        <f t="shared" si="433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78" t="str">
        <f t="shared" si="434"/>
        <v/>
      </c>
      <c r="EW56" s="9" t="str">
        <f t="shared" si="435"/>
        <v/>
      </c>
      <c r="EX56" s="5" t="str">
        <f t="shared" si="436"/>
        <v/>
      </c>
      <c r="EY56" s="6" t="str">
        <f t="shared" si="182"/>
        <v/>
      </c>
      <c r="EZ56" s="52" t="str">
        <f t="shared" si="183"/>
        <v/>
      </c>
      <c r="FA56" s="177" t="str">
        <f t="shared" si="437"/>
        <v/>
      </c>
      <c r="FB56" s="5" t="str">
        <f t="shared" si="438"/>
        <v/>
      </c>
      <c r="FC56" s="6" t="str">
        <f t="shared" si="439"/>
        <v/>
      </c>
      <c r="FD56" s="4" t="str">
        <f t="shared" si="440"/>
        <v/>
      </c>
      <c r="FE56" s="5" t="str">
        <f t="shared" si="441"/>
        <v/>
      </c>
      <c r="FF56" s="7" t="str">
        <f t="shared" si="184"/>
        <v/>
      </c>
      <c r="FG56" s="177" t="str">
        <f t="shared" si="442"/>
        <v/>
      </c>
      <c r="FH56" s="5" t="str">
        <f t="shared" si="443"/>
        <v/>
      </c>
      <c r="FI56" s="10" t="str">
        <f t="shared" si="444"/>
        <v/>
      </c>
      <c r="FJ56" s="290" t="str">
        <f t="shared" si="185"/>
        <v/>
      </c>
      <c r="FK56" s="4" t="str">
        <f t="shared" si="445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6"/>
        <v/>
      </c>
      <c r="FP56" s="288" t="str">
        <f t="shared" si="447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8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9"/>
        <v/>
      </c>
      <c r="GH56" s="297" t="str">
        <f t="shared" si="450"/>
        <v/>
      </c>
      <c r="GI56" s="292" t="str">
        <f t="shared" si="451"/>
        <v/>
      </c>
      <c r="GJ56" s="171" t="str">
        <f t="shared" si="199"/>
        <v/>
      </c>
      <c r="GK56" s="178" t="str">
        <f t="shared" si="452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3"/>
        <v/>
      </c>
      <c r="GT56" s="364" t="str">
        <f t="shared" si="454"/>
        <v/>
      </c>
      <c r="GU56" s="365" t="str">
        <f t="shared" si="455"/>
        <v/>
      </c>
      <c r="GV56" s="364" t="str">
        <f t="shared" si="204"/>
        <v/>
      </c>
      <c r="GW56" s="366" t="str">
        <f t="shared" si="456"/>
        <v/>
      </c>
      <c r="GX56" s="367" t="str">
        <f t="shared" si="457"/>
        <v/>
      </c>
      <c r="GY56" s="365" t="str">
        <f t="shared" si="458"/>
        <v/>
      </c>
      <c r="GZ56" s="366" t="str">
        <f t="shared" si="459"/>
        <v/>
      </c>
      <c r="HA56" s="363" t="str">
        <f t="shared" si="460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61"/>
        <v/>
      </c>
      <c r="HF56" s="5" t="str">
        <f t="shared" si="462"/>
        <v/>
      </c>
      <c r="HG56" s="364" t="str">
        <f t="shared" si="208"/>
        <v/>
      </c>
      <c r="HH56" s="370" t="str">
        <f t="shared" si="209"/>
        <v/>
      </c>
      <c r="HI56" s="335" t="str">
        <f t="shared" si="383"/>
        <v/>
      </c>
      <c r="HK56" s="323" t="str">
        <f t="shared" si="238"/>
        <v/>
      </c>
      <c r="HL56" s="322" t="str">
        <f t="shared" si="407"/>
        <v/>
      </c>
      <c r="HM56" s="369" t="str">
        <f t="shared" si="411"/>
        <v/>
      </c>
      <c r="HN56" s="384" t="str">
        <f t="shared" si="411"/>
        <v/>
      </c>
      <c r="HO56" s="385" t="str">
        <f t="shared" si="411"/>
        <v/>
      </c>
      <c r="HP56" s="380" t="str">
        <f t="shared" si="411"/>
        <v/>
      </c>
      <c r="HQ56" s="384" t="str">
        <f t="shared" si="411"/>
        <v/>
      </c>
      <c r="HR56" s="395" t="str">
        <f t="shared" si="411"/>
        <v/>
      </c>
      <c r="HS56" s="379" t="str">
        <f t="shared" si="411"/>
        <v/>
      </c>
      <c r="HT56" s="374" t="str">
        <f t="shared" si="411"/>
        <v/>
      </c>
      <c r="HU56" s="375" t="str">
        <f t="shared" si="411"/>
        <v/>
      </c>
      <c r="HV56" s="376" t="str">
        <f t="shared" si="411"/>
        <v/>
      </c>
      <c r="HW56" s="374" t="str">
        <f t="shared" si="411"/>
        <v/>
      </c>
      <c r="HX56" s="375" t="str">
        <f t="shared" si="411"/>
        <v/>
      </c>
      <c r="HY56" s="376" t="str">
        <f t="shared" si="411"/>
        <v/>
      </c>
      <c r="HZ56" s="374" t="str">
        <f t="shared" si="411"/>
        <v/>
      </c>
      <c r="IA56" s="375" t="str">
        <f t="shared" si="411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3.137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4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5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6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5.0948181844479343</v>
      </c>
      <c r="C57" s="708">
        <v>-3.8483790853762776</v>
      </c>
      <c r="D57" s="709">
        <v>-1.4564043925156478</v>
      </c>
      <c r="E57" s="710">
        <v>0.86039383615314957</v>
      </c>
      <c r="F57" s="708">
        <v>0.4601565460288034</v>
      </c>
      <c r="G57" s="711">
        <v>0.21903972209740655</v>
      </c>
      <c r="H57" s="710">
        <v>0.314</v>
      </c>
      <c r="I57" s="708">
        <v>0.52</v>
      </c>
      <c r="J57" s="570">
        <v>3.1429999999999998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41"/>
        <v>3.1429999999999998</v>
      </c>
      <c r="N57" s="632">
        <f t="shared" si="242"/>
        <v>5.0948181844479343</v>
      </c>
      <c r="O57" s="629">
        <f t="shared" si="243"/>
        <v>-3.8483790853762776</v>
      </c>
      <c r="P57" s="633">
        <f t="shared" si="244"/>
        <v>-1.4564043925156478</v>
      </c>
      <c r="Q57" s="585">
        <f t="shared" si="113"/>
        <v>322.93436636843859</v>
      </c>
      <c r="R57" s="629">
        <f t="shared" si="412"/>
        <v>6.3849192569164801</v>
      </c>
      <c r="S57" s="634">
        <f t="shared" si="413"/>
        <v>-1.4564043925156478</v>
      </c>
      <c r="T57" s="635">
        <f t="shared" si="414"/>
        <v>-3.8483790853762772</v>
      </c>
      <c r="U57" s="629">
        <f t="shared" si="415"/>
        <v>-5.0948181844479343</v>
      </c>
      <c r="V57" s="636">
        <f t="shared" si="416"/>
        <v>-1.4564043925156478</v>
      </c>
      <c r="W57" s="585">
        <f t="shared" si="224"/>
        <v>232.93436636843859</v>
      </c>
      <c r="X57" s="629">
        <f t="shared" si="417"/>
        <v>6.3849192569164801</v>
      </c>
      <c r="Y57" s="630">
        <f t="shared" si="223"/>
        <v>-1.4564043925156478</v>
      </c>
      <c r="Z57" s="632">
        <f t="shared" si="245"/>
        <v>-0.86039383615314957</v>
      </c>
      <c r="AA57" s="629">
        <f t="shared" si="246"/>
        <v>-0.4601565460288034</v>
      </c>
      <c r="AB57" s="629">
        <f t="shared" si="247"/>
        <v>-0.21903972209740655</v>
      </c>
      <c r="AC57" s="636">
        <f t="shared" si="418"/>
        <v>1</v>
      </c>
      <c r="AD57" s="637">
        <f t="shared" si="419"/>
        <v>-0.86039383615314957</v>
      </c>
      <c r="AE57" s="629">
        <f t="shared" si="420"/>
        <v>-0.4601565460288034</v>
      </c>
      <c r="AF57" s="633">
        <f t="shared" si="421"/>
        <v>-0.21903972209740655</v>
      </c>
      <c r="AG57" s="602">
        <f t="shared" si="422"/>
        <v>-64.545023303720271</v>
      </c>
      <c r="AH57" s="603">
        <f t="shared" si="423"/>
        <v>149.3608315876819</v>
      </c>
      <c r="AI57" s="585">
        <f t="shared" si="424"/>
        <v>-77.347362475686054</v>
      </c>
      <c r="AJ57" s="586">
        <f t="shared" si="425"/>
        <v>-61.861200608539264</v>
      </c>
      <c r="AK57" s="635">
        <f t="shared" si="426"/>
        <v>0.88576462051769422</v>
      </c>
      <c r="AL57" s="629">
        <f t="shared" si="427"/>
        <v>-0.40919755275738889</v>
      </c>
      <c r="AM57" s="634">
        <f t="shared" si="428"/>
        <v>-0.21903972209740655</v>
      </c>
      <c r="AN57" s="581">
        <f t="shared" si="429"/>
        <v>-61.840262469426335</v>
      </c>
      <c r="AO57" s="582">
        <f t="shared" si="463"/>
        <v>27.654236889784869</v>
      </c>
      <c r="AP57" s="585">
        <f t="shared" si="430"/>
        <v>-24.795566976977835</v>
      </c>
      <c r="AQ57" s="586">
        <f t="shared" si="248"/>
        <v>0.35704400177816176</v>
      </c>
      <c r="AS57" s="52">
        <f t="shared" si="408"/>
        <v>-127.06563363156141</v>
      </c>
      <c r="AT57" s="72">
        <f t="shared" si="249"/>
        <v>-1.3681643691603969</v>
      </c>
      <c r="AU57" s="469"/>
      <c r="AV57" s="168" t="str">
        <f t="shared" si="250"/>
        <v/>
      </c>
      <c r="AW57" s="418"/>
      <c r="AX57" s="419"/>
      <c r="AY57" s="420"/>
      <c r="AZ57" s="308" t="str">
        <f t="shared" si="117"/>
        <v/>
      </c>
      <c r="BA57" s="307" t="str">
        <f t="shared" si="252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0"/>
        <v/>
      </c>
      <c r="BJ57" s="5" t="str">
        <f t="shared" si="259"/>
        <v/>
      </c>
      <c r="BK57" s="8" t="str">
        <f t="shared" si="260"/>
        <v/>
      </c>
      <c r="BL57" s="177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31"/>
        <v/>
      </c>
      <c r="BT57" s="5" t="str">
        <f t="shared" si="431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80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2"/>
        <v/>
      </c>
      <c r="DC57" s="5" t="str">
        <f t="shared" si="432"/>
        <v/>
      </c>
      <c r="DD57" s="10" t="str">
        <f t="shared" si="142"/>
        <v/>
      </c>
      <c r="DE57" s="9" t="str">
        <f t="shared" si="433"/>
        <v/>
      </c>
      <c r="DF57" s="5" t="str">
        <f t="shared" si="433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78" t="str">
        <f t="shared" si="434"/>
        <v/>
      </c>
      <c r="EW57" s="9" t="str">
        <f t="shared" si="435"/>
        <v/>
      </c>
      <c r="EX57" s="5" t="str">
        <f t="shared" si="436"/>
        <v/>
      </c>
      <c r="EY57" s="6" t="str">
        <f t="shared" si="182"/>
        <v/>
      </c>
      <c r="EZ57" s="52" t="str">
        <f t="shared" si="183"/>
        <v/>
      </c>
      <c r="FA57" s="177" t="str">
        <f t="shared" si="437"/>
        <v/>
      </c>
      <c r="FB57" s="5" t="str">
        <f t="shared" si="438"/>
        <v/>
      </c>
      <c r="FC57" s="6" t="str">
        <f t="shared" si="439"/>
        <v/>
      </c>
      <c r="FD57" s="4" t="str">
        <f t="shared" si="440"/>
        <v/>
      </c>
      <c r="FE57" s="5" t="str">
        <f t="shared" si="441"/>
        <v/>
      </c>
      <c r="FF57" s="7" t="str">
        <f t="shared" si="184"/>
        <v/>
      </c>
      <c r="FG57" s="177" t="str">
        <f t="shared" si="442"/>
        <v/>
      </c>
      <c r="FH57" s="5" t="str">
        <f t="shared" si="443"/>
        <v/>
      </c>
      <c r="FI57" s="10" t="str">
        <f t="shared" si="444"/>
        <v/>
      </c>
      <c r="FJ57" s="290" t="str">
        <f t="shared" si="185"/>
        <v/>
      </c>
      <c r="FK57" s="4" t="str">
        <f t="shared" si="445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6"/>
        <v/>
      </c>
      <c r="FP57" s="288" t="str">
        <f t="shared" si="447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8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9"/>
        <v/>
      </c>
      <c r="GH57" s="297" t="str">
        <f t="shared" si="450"/>
        <v/>
      </c>
      <c r="GI57" s="292" t="str">
        <f t="shared" si="451"/>
        <v/>
      </c>
      <c r="GJ57" s="171" t="str">
        <f t="shared" si="199"/>
        <v/>
      </c>
      <c r="GK57" s="178" t="str">
        <f t="shared" si="452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3"/>
        <v/>
      </c>
      <c r="GT57" s="364" t="str">
        <f t="shared" si="454"/>
        <v/>
      </c>
      <c r="GU57" s="365" t="str">
        <f t="shared" si="455"/>
        <v/>
      </c>
      <c r="GV57" s="364" t="str">
        <f t="shared" si="204"/>
        <v/>
      </c>
      <c r="GW57" s="366" t="str">
        <f t="shared" si="456"/>
        <v/>
      </c>
      <c r="GX57" s="367" t="str">
        <f t="shared" si="457"/>
        <v/>
      </c>
      <c r="GY57" s="365" t="str">
        <f t="shared" si="458"/>
        <v/>
      </c>
      <c r="GZ57" s="366" t="str">
        <f t="shared" si="459"/>
        <v/>
      </c>
      <c r="HA57" s="363" t="str">
        <f t="shared" si="460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61"/>
        <v/>
      </c>
      <c r="HF57" s="5" t="str">
        <f t="shared" si="462"/>
        <v/>
      </c>
      <c r="HG57" s="364" t="str">
        <f t="shared" si="208"/>
        <v/>
      </c>
      <c r="HH57" s="370" t="str">
        <f t="shared" si="209"/>
        <v/>
      </c>
      <c r="HI57" s="335" t="str">
        <f t="shared" si="383"/>
        <v/>
      </c>
      <c r="HK57" s="323" t="str">
        <f t="shared" si="238"/>
        <v/>
      </c>
      <c r="HL57" s="322" t="str">
        <f t="shared" si="407"/>
        <v/>
      </c>
      <c r="HM57" s="369" t="str">
        <f t="shared" si="411"/>
        <v/>
      </c>
      <c r="HN57" s="384" t="str">
        <f t="shared" si="411"/>
        <v/>
      </c>
      <c r="HO57" s="385" t="str">
        <f t="shared" si="411"/>
        <v/>
      </c>
      <c r="HP57" s="380" t="str">
        <f t="shared" si="411"/>
        <v/>
      </c>
      <c r="HQ57" s="384" t="str">
        <f t="shared" si="411"/>
        <v/>
      </c>
      <c r="HR57" s="395" t="str">
        <f t="shared" si="411"/>
        <v/>
      </c>
      <c r="HS57" s="379" t="str">
        <f t="shared" si="411"/>
        <v/>
      </c>
      <c r="HT57" s="374" t="str">
        <f t="shared" si="411"/>
        <v/>
      </c>
      <c r="HU57" s="375" t="str">
        <f t="shared" si="411"/>
        <v/>
      </c>
      <c r="HV57" s="376" t="str">
        <f t="shared" si="411"/>
        <v/>
      </c>
      <c r="HW57" s="374" t="str">
        <f t="shared" si="411"/>
        <v/>
      </c>
      <c r="HX57" s="375" t="str">
        <f t="shared" si="411"/>
        <v/>
      </c>
      <c r="HY57" s="376" t="str">
        <f t="shared" si="411"/>
        <v/>
      </c>
      <c r="HZ57" s="374" t="str">
        <f t="shared" si="411"/>
        <v/>
      </c>
      <c r="IA57" s="375" t="str">
        <f t="shared" si="411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3.1429999999999998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4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5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6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5.3453576104341458</v>
      </c>
      <c r="C58" s="708">
        <v>-4.1025315514636898</v>
      </c>
      <c r="D58" s="709">
        <v>-2.123806405400118</v>
      </c>
      <c r="E58" s="710">
        <v>0.91394602211845144</v>
      </c>
      <c r="F58" s="708">
        <v>0.36998024850270705</v>
      </c>
      <c r="G58" s="711">
        <v>0.16678514433766092</v>
      </c>
      <c r="H58" s="710">
        <v>0.314</v>
      </c>
      <c r="I58" s="708">
        <v>0.52</v>
      </c>
      <c r="J58" s="570">
        <v>3.149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41"/>
        <v>3.149</v>
      </c>
      <c r="N58" s="632">
        <f t="shared" si="242"/>
        <v>5.3453576104341458</v>
      </c>
      <c r="O58" s="629">
        <f t="shared" si="243"/>
        <v>-4.1025315514636898</v>
      </c>
      <c r="P58" s="633">
        <f t="shared" si="244"/>
        <v>-2.123806405400118</v>
      </c>
      <c r="Q58" s="585">
        <f t="shared" si="113"/>
        <v>322.49396643202448</v>
      </c>
      <c r="R58" s="629">
        <f t="shared" si="412"/>
        <v>6.7382203224724933</v>
      </c>
      <c r="S58" s="634">
        <f t="shared" si="413"/>
        <v>-2.123806405400118</v>
      </c>
      <c r="T58" s="635">
        <f t="shared" si="414"/>
        <v>-4.1025315514636906</v>
      </c>
      <c r="U58" s="629">
        <f t="shared" si="415"/>
        <v>-5.3453576104341449</v>
      </c>
      <c r="V58" s="636">
        <f t="shared" si="416"/>
        <v>-2.123806405400118</v>
      </c>
      <c r="W58" s="585">
        <f t="shared" si="224"/>
        <v>232.49396643202448</v>
      </c>
      <c r="X58" s="629">
        <f t="shared" si="417"/>
        <v>6.7382203224724933</v>
      </c>
      <c r="Y58" s="630">
        <f t="shared" si="223"/>
        <v>-2.123806405400118</v>
      </c>
      <c r="Z58" s="632">
        <f t="shared" si="245"/>
        <v>-0.91394602211845144</v>
      </c>
      <c r="AA58" s="629">
        <f t="shared" si="246"/>
        <v>-0.36998024850270705</v>
      </c>
      <c r="AB58" s="629">
        <f t="shared" si="247"/>
        <v>-0.16678514433766092</v>
      </c>
      <c r="AC58" s="636">
        <f t="shared" si="418"/>
        <v>1</v>
      </c>
      <c r="AD58" s="637">
        <f t="shared" si="419"/>
        <v>-0.91394602211845144</v>
      </c>
      <c r="AE58" s="629">
        <f t="shared" si="420"/>
        <v>-0.36998024850270705</v>
      </c>
      <c r="AF58" s="633">
        <f t="shared" si="421"/>
        <v>-0.16678514433766092</v>
      </c>
      <c r="AG58" s="602">
        <f t="shared" si="422"/>
        <v>-65.734399515879943</v>
      </c>
      <c r="AH58" s="603">
        <f t="shared" si="423"/>
        <v>156.05648887849136</v>
      </c>
      <c r="AI58" s="585">
        <f t="shared" si="424"/>
        <v>-80.399047140358135</v>
      </c>
      <c r="AJ58" s="586">
        <f t="shared" si="425"/>
        <v>-67.961095141001394</v>
      </c>
      <c r="AK58" s="635">
        <f t="shared" si="426"/>
        <v>0.84995278501348226</v>
      </c>
      <c r="AL58" s="629">
        <f t="shared" si="427"/>
        <v>-0.49976292267043076</v>
      </c>
      <c r="AM58" s="634">
        <f t="shared" si="428"/>
        <v>-0.16678514433766092</v>
      </c>
      <c r="AN58" s="581">
        <f t="shared" si="429"/>
        <v>-71.544674925902541</v>
      </c>
      <c r="AO58" s="582">
        <f t="shared" si="463"/>
        <v>31.793465607124027</v>
      </c>
      <c r="AP58" s="585">
        <f t="shared" si="430"/>
        <v>-30.455061573025855</v>
      </c>
      <c r="AQ58" s="586">
        <f t="shared" si="248"/>
        <v>0.3383237749333623</v>
      </c>
      <c r="AS58" s="52">
        <f t="shared" si="408"/>
        <v>-127.50603356797552</v>
      </c>
      <c r="AT58" s="72">
        <f t="shared" si="249"/>
        <v>-2.0352605487556907</v>
      </c>
      <c r="AU58" s="469"/>
      <c r="AV58" s="168" t="str">
        <f t="shared" si="250"/>
        <v/>
      </c>
      <c r="AW58" s="418"/>
      <c r="AX58" s="419"/>
      <c r="AY58" s="420"/>
      <c r="AZ58" s="308" t="str">
        <f t="shared" si="117"/>
        <v/>
      </c>
      <c r="BA58" s="307" t="str">
        <f t="shared" si="252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0"/>
        <v/>
      </c>
      <c r="BJ58" s="5" t="str">
        <f t="shared" si="259"/>
        <v/>
      </c>
      <c r="BK58" s="8" t="str">
        <f t="shared" si="260"/>
        <v/>
      </c>
      <c r="BL58" s="177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31"/>
        <v/>
      </c>
      <c r="BT58" s="5" t="str">
        <f t="shared" si="431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80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2"/>
        <v/>
      </c>
      <c r="DC58" s="5" t="str">
        <f t="shared" si="432"/>
        <v/>
      </c>
      <c r="DD58" s="10" t="str">
        <f t="shared" si="142"/>
        <v/>
      </c>
      <c r="DE58" s="9" t="str">
        <f t="shared" si="433"/>
        <v/>
      </c>
      <c r="DF58" s="5" t="str">
        <f t="shared" si="433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78" t="str">
        <f t="shared" si="434"/>
        <v/>
      </c>
      <c r="EW58" s="9" t="str">
        <f t="shared" si="435"/>
        <v/>
      </c>
      <c r="EX58" s="5" t="str">
        <f t="shared" si="436"/>
        <v/>
      </c>
      <c r="EY58" s="6" t="str">
        <f t="shared" si="182"/>
        <v/>
      </c>
      <c r="EZ58" s="52" t="str">
        <f t="shared" si="183"/>
        <v/>
      </c>
      <c r="FA58" s="177" t="str">
        <f t="shared" si="437"/>
        <v/>
      </c>
      <c r="FB58" s="5" t="str">
        <f t="shared" si="438"/>
        <v/>
      </c>
      <c r="FC58" s="6" t="str">
        <f t="shared" si="439"/>
        <v/>
      </c>
      <c r="FD58" s="4" t="str">
        <f t="shared" si="440"/>
        <v/>
      </c>
      <c r="FE58" s="5" t="str">
        <f t="shared" si="441"/>
        <v/>
      </c>
      <c r="FF58" s="7" t="str">
        <f t="shared" si="184"/>
        <v/>
      </c>
      <c r="FG58" s="177" t="str">
        <f t="shared" si="442"/>
        <v/>
      </c>
      <c r="FH58" s="5" t="str">
        <f t="shared" si="443"/>
        <v/>
      </c>
      <c r="FI58" s="10" t="str">
        <f t="shared" si="444"/>
        <v/>
      </c>
      <c r="FJ58" s="290" t="str">
        <f t="shared" si="185"/>
        <v/>
      </c>
      <c r="FK58" s="4" t="str">
        <f t="shared" si="445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6"/>
        <v/>
      </c>
      <c r="FP58" s="288" t="str">
        <f t="shared" si="447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8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9"/>
        <v/>
      </c>
      <c r="GH58" s="297" t="str">
        <f t="shared" si="450"/>
        <v/>
      </c>
      <c r="GI58" s="292" t="str">
        <f t="shared" si="451"/>
        <v/>
      </c>
      <c r="GJ58" s="171" t="str">
        <f t="shared" si="199"/>
        <v/>
      </c>
      <c r="GK58" s="178" t="str">
        <f t="shared" si="452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3"/>
        <v/>
      </c>
      <c r="GT58" s="364" t="str">
        <f t="shared" si="454"/>
        <v/>
      </c>
      <c r="GU58" s="365" t="str">
        <f t="shared" si="455"/>
        <v/>
      </c>
      <c r="GV58" s="364" t="str">
        <f t="shared" si="204"/>
        <v/>
      </c>
      <c r="GW58" s="366" t="str">
        <f t="shared" si="456"/>
        <v/>
      </c>
      <c r="GX58" s="367" t="str">
        <f t="shared" si="457"/>
        <v/>
      </c>
      <c r="GY58" s="365" t="str">
        <f t="shared" si="458"/>
        <v/>
      </c>
      <c r="GZ58" s="366" t="str">
        <f t="shared" si="459"/>
        <v/>
      </c>
      <c r="HA58" s="363" t="str">
        <f t="shared" si="460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61"/>
        <v/>
      </c>
      <c r="HF58" s="5" t="str">
        <f t="shared" si="462"/>
        <v/>
      </c>
      <c r="HG58" s="364" t="str">
        <f t="shared" si="208"/>
        <v/>
      </c>
      <c r="HH58" s="370" t="str">
        <f t="shared" si="209"/>
        <v/>
      </c>
      <c r="HI58" s="335" t="str">
        <f t="shared" si="383"/>
        <v/>
      </c>
      <c r="HK58" s="323" t="str">
        <f t="shared" si="238"/>
        <v/>
      </c>
      <c r="HL58" s="322" t="str">
        <f t="shared" si="407"/>
        <v/>
      </c>
      <c r="HM58" s="369" t="str">
        <f t="shared" si="411"/>
        <v/>
      </c>
      <c r="HN58" s="384" t="str">
        <f t="shared" si="411"/>
        <v/>
      </c>
      <c r="HO58" s="385" t="str">
        <f t="shared" si="411"/>
        <v/>
      </c>
      <c r="HP58" s="380" t="str">
        <f t="shared" si="411"/>
        <v/>
      </c>
      <c r="HQ58" s="384" t="str">
        <f t="shared" si="411"/>
        <v/>
      </c>
      <c r="HR58" s="395" t="str">
        <f t="shared" si="411"/>
        <v/>
      </c>
      <c r="HS58" s="379" t="str">
        <f t="shared" si="411"/>
        <v/>
      </c>
      <c r="HT58" s="374" t="str">
        <f t="shared" si="411"/>
        <v/>
      </c>
      <c r="HU58" s="375" t="str">
        <f t="shared" si="411"/>
        <v/>
      </c>
      <c r="HV58" s="376" t="str">
        <f t="shared" si="411"/>
        <v/>
      </c>
      <c r="HW58" s="374" t="str">
        <f t="shared" si="411"/>
        <v/>
      </c>
      <c r="HX58" s="375" t="str">
        <f t="shared" si="411"/>
        <v/>
      </c>
      <c r="HY58" s="376" t="str">
        <f t="shared" si="411"/>
        <v/>
      </c>
      <c r="HZ58" s="374" t="str">
        <f t="shared" si="411"/>
        <v/>
      </c>
      <c r="IA58" s="375" t="str">
        <f t="shared" si="411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3.149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4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5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6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5.4901297541406882</v>
      </c>
      <c r="C59" s="708">
        <v>-4.2547507485931373</v>
      </c>
      <c r="D59" s="709">
        <v>-2.8363085543066004</v>
      </c>
      <c r="E59" s="710">
        <v>0.94831613924730529</v>
      </c>
      <c r="F59" s="708">
        <v>0.3036381847185074</v>
      </c>
      <c r="G59" s="711">
        <v>9.2197358009519073E-2</v>
      </c>
      <c r="H59" s="710">
        <v>0.314</v>
      </c>
      <c r="I59" s="708">
        <v>0.52</v>
      </c>
      <c r="J59" s="570">
        <v>3.1549999999999998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41"/>
        <v>3.1549999999999998</v>
      </c>
      <c r="N59" s="632">
        <f t="shared" si="242"/>
        <v>5.4901297541406882</v>
      </c>
      <c r="O59" s="629">
        <f t="shared" si="243"/>
        <v>-4.2547507485931373</v>
      </c>
      <c r="P59" s="633">
        <f t="shared" si="244"/>
        <v>-2.8363085543066004</v>
      </c>
      <c r="Q59" s="585">
        <f t="shared" si="113"/>
        <v>322.22496647086325</v>
      </c>
      <c r="R59" s="629">
        <f t="shared" si="79"/>
        <v>6.9458209485959799</v>
      </c>
      <c r="S59" s="634">
        <f t="shared" si="80"/>
        <v>-2.8363085543066004</v>
      </c>
      <c r="T59" s="635">
        <f t="shared" si="81"/>
        <v>-4.2547507485931382</v>
      </c>
      <c r="U59" s="629">
        <f t="shared" si="82"/>
        <v>-5.4901297541406873</v>
      </c>
      <c r="V59" s="636">
        <f t="shared" si="114"/>
        <v>-2.8363085543066004</v>
      </c>
      <c r="W59" s="585">
        <f t="shared" si="224"/>
        <v>232.22496647086325</v>
      </c>
      <c r="X59" s="629">
        <f t="shared" si="83"/>
        <v>6.9458209485959799</v>
      </c>
      <c r="Y59" s="630">
        <f t="shared" si="223"/>
        <v>-2.8363085543066004</v>
      </c>
      <c r="Z59" s="632">
        <f t="shared" si="245"/>
        <v>-0.94831613924730529</v>
      </c>
      <c r="AA59" s="629">
        <f t="shared" si="246"/>
        <v>-0.3036381847185074</v>
      </c>
      <c r="AB59" s="629">
        <f t="shared" si="247"/>
        <v>-9.2197358009519073E-2</v>
      </c>
      <c r="AC59" s="636">
        <f t="shared" si="84"/>
        <v>1</v>
      </c>
      <c r="AD59" s="637">
        <f t="shared" si="115"/>
        <v>-0.94831613924730529</v>
      </c>
      <c r="AE59" s="629">
        <f t="shared" si="85"/>
        <v>-0.3036381847185074</v>
      </c>
      <c r="AF59" s="633">
        <f t="shared" si="86"/>
        <v>-9.2197358009519073E-2</v>
      </c>
      <c r="AG59" s="602">
        <f t="shared" si="87"/>
        <v>-73.109497647637994</v>
      </c>
      <c r="AH59" s="603">
        <f t="shared" si="88"/>
        <v>161.49864288949681</v>
      </c>
      <c r="AI59" s="585">
        <f t="shared" si="89"/>
        <v>-84.70996785116111</v>
      </c>
      <c r="AJ59" s="586">
        <f t="shared" si="90"/>
        <v>-72.245627085155448</v>
      </c>
      <c r="AK59" s="635">
        <f t="shared" si="211"/>
        <v>0.82090538727957552</v>
      </c>
      <c r="AL59" s="629">
        <f t="shared" si="91"/>
        <v>-0.56357252622127985</v>
      </c>
      <c r="AM59" s="634">
        <f t="shared" si="92"/>
        <v>-9.2197358009519073E-2</v>
      </c>
      <c r="AN59" s="581">
        <f t="shared" si="93"/>
        <v>-80.709028229209878</v>
      </c>
      <c r="AO59" s="582">
        <f t="shared" si="463"/>
        <v>34.824470546044907</v>
      </c>
      <c r="AP59" s="585">
        <f t="shared" si="95"/>
        <v>-34.470593556018692</v>
      </c>
      <c r="AQ59" s="586">
        <f t="shared" si="248"/>
        <v>0.32821198715957639</v>
      </c>
      <c r="AS59" s="52">
        <f t="shared" si="408"/>
        <v>-127.77503352913675</v>
      </c>
      <c r="AT59" s="72">
        <f t="shared" si="249"/>
        <v>-2.7475758921335887</v>
      </c>
      <c r="AU59" s="469"/>
      <c r="AV59" s="168" t="str">
        <f t="shared" si="250"/>
        <v/>
      </c>
      <c r="AW59" s="418"/>
      <c r="AX59" s="419"/>
      <c r="AY59" s="420"/>
      <c r="AZ59" s="308" t="str">
        <f t="shared" si="117"/>
        <v/>
      </c>
      <c r="BA59" s="307" t="str">
        <f t="shared" si="252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0"/>
        <v/>
      </c>
      <c r="BJ59" s="5" t="str">
        <f t="shared" si="259"/>
        <v/>
      </c>
      <c r="BK59" s="8" t="str">
        <f t="shared" si="260"/>
        <v/>
      </c>
      <c r="BL59" s="177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31"/>
        <v/>
      </c>
      <c r="BT59" s="5" t="str">
        <f t="shared" si="431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80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2"/>
        <v/>
      </c>
      <c r="DC59" s="5" t="str">
        <f t="shared" si="432"/>
        <v/>
      </c>
      <c r="DD59" s="10" t="str">
        <f t="shared" si="142"/>
        <v/>
      </c>
      <c r="DE59" s="9" t="str">
        <f t="shared" si="433"/>
        <v/>
      </c>
      <c r="DF59" s="5" t="str">
        <f t="shared" si="433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78" t="str">
        <f t="shared" si="434"/>
        <v/>
      </c>
      <c r="EW59" s="9" t="str">
        <f t="shared" si="435"/>
        <v/>
      </c>
      <c r="EX59" s="5" t="str">
        <f t="shared" si="436"/>
        <v/>
      </c>
      <c r="EY59" s="6" t="str">
        <f t="shared" si="182"/>
        <v/>
      </c>
      <c r="EZ59" s="52" t="str">
        <f t="shared" si="183"/>
        <v/>
      </c>
      <c r="FA59" s="177" t="str">
        <f t="shared" si="437"/>
        <v/>
      </c>
      <c r="FB59" s="5" t="str">
        <f t="shared" si="438"/>
        <v/>
      </c>
      <c r="FC59" s="6" t="str">
        <f t="shared" si="439"/>
        <v/>
      </c>
      <c r="FD59" s="4" t="str">
        <f t="shared" si="440"/>
        <v/>
      </c>
      <c r="FE59" s="5" t="str">
        <f t="shared" si="441"/>
        <v/>
      </c>
      <c r="FF59" s="7" t="str">
        <f t="shared" si="184"/>
        <v/>
      </c>
      <c r="FG59" s="177" t="str">
        <f t="shared" si="442"/>
        <v/>
      </c>
      <c r="FH59" s="5" t="str">
        <f t="shared" si="443"/>
        <v/>
      </c>
      <c r="FI59" s="10" t="str">
        <f t="shared" si="444"/>
        <v/>
      </c>
      <c r="FJ59" s="290" t="str">
        <f t="shared" si="185"/>
        <v/>
      </c>
      <c r="FK59" s="4" t="str">
        <f t="shared" si="445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6"/>
        <v/>
      </c>
      <c r="FP59" s="288" t="str">
        <f t="shared" si="447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8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9"/>
        <v/>
      </c>
      <c r="GH59" s="297" t="str">
        <f t="shared" si="450"/>
        <v/>
      </c>
      <c r="GI59" s="292" t="str">
        <f t="shared" si="451"/>
        <v/>
      </c>
      <c r="GJ59" s="171" t="str">
        <f t="shared" si="199"/>
        <v/>
      </c>
      <c r="GK59" s="178" t="str">
        <f t="shared" si="452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3"/>
        <v/>
      </c>
      <c r="GT59" s="364" t="str">
        <f t="shared" si="454"/>
        <v/>
      </c>
      <c r="GU59" s="365" t="str">
        <f t="shared" si="455"/>
        <v/>
      </c>
      <c r="GV59" s="364" t="str">
        <f t="shared" si="204"/>
        <v/>
      </c>
      <c r="GW59" s="366" t="str">
        <f t="shared" si="456"/>
        <v/>
      </c>
      <c r="GX59" s="367" t="str">
        <f t="shared" si="457"/>
        <v/>
      </c>
      <c r="GY59" s="365" t="str">
        <f t="shared" si="458"/>
        <v/>
      </c>
      <c r="GZ59" s="366" t="str">
        <f t="shared" si="459"/>
        <v/>
      </c>
      <c r="HA59" s="363" t="str">
        <f t="shared" si="460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61"/>
        <v/>
      </c>
      <c r="HF59" s="5" t="str">
        <f t="shared" si="462"/>
        <v/>
      </c>
      <c r="HG59" s="364" t="str">
        <f t="shared" si="208"/>
        <v/>
      </c>
      <c r="HH59" s="370" t="str">
        <f t="shared" si="209"/>
        <v/>
      </c>
      <c r="HI59" s="335" t="str">
        <f t="shared" si="383"/>
        <v/>
      </c>
      <c r="HK59" s="323" t="str">
        <f t="shared" si="238"/>
        <v/>
      </c>
      <c r="HL59" s="322" t="str">
        <f t="shared" si="407"/>
        <v/>
      </c>
      <c r="HM59" s="369" t="str">
        <f t="shared" ref="HM59:IA68" si="464">IF(ISNUMBER($HL59),VLOOKUP($HL59,$GJ$9:$HI$150,HM$1,FALSE),"")</f>
        <v/>
      </c>
      <c r="HN59" s="384" t="str">
        <f t="shared" si="464"/>
        <v/>
      </c>
      <c r="HO59" s="385" t="str">
        <f t="shared" si="464"/>
        <v/>
      </c>
      <c r="HP59" s="380" t="str">
        <f t="shared" si="464"/>
        <v/>
      </c>
      <c r="HQ59" s="384" t="str">
        <f t="shared" si="464"/>
        <v/>
      </c>
      <c r="HR59" s="395" t="str">
        <f t="shared" si="464"/>
        <v/>
      </c>
      <c r="HS59" s="379" t="str">
        <f t="shared" si="464"/>
        <v/>
      </c>
      <c r="HT59" s="374" t="str">
        <f t="shared" si="464"/>
        <v/>
      </c>
      <c r="HU59" s="375" t="str">
        <f t="shared" si="464"/>
        <v/>
      </c>
      <c r="HV59" s="376" t="str">
        <f t="shared" si="464"/>
        <v/>
      </c>
      <c r="HW59" s="374" t="str">
        <f t="shared" si="464"/>
        <v/>
      </c>
      <c r="HX59" s="375" t="str">
        <f t="shared" si="464"/>
        <v/>
      </c>
      <c r="HY59" s="376" t="str">
        <f t="shared" si="464"/>
        <v/>
      </c>
      <c r="HZ59" s="374" t="str">
        <f t="shared" si="464"/>
        <v/>
      </c>
      <c r="IA59" s="375" t="str">
        <f t="shared" si="464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3.1549999999999998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5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6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5.561314554398372</v>
      </c>
      <c r="C60" s="708">
        <v>-4.3841922274834841</v>
      </c>
      <c r="D60" s="709">
        <v>-3.5768107876613349</v>
      </c>
      <c r="E60" s="710">
        <v>0.96883361691615077</v>
      </c>
      <c r="F60" s="708">
        <v>0.24272396789293629</v>
      </c>
      <c r="G60" s="711">
        <v>4.9462087940947794E-2</v>
      </c>
      <c r="H60" s="710">
        <v>0.314</v>
      </c>
      <c r="I60" s="708">
        <v>0.52</v>
      </c>
      <c r="J60" s="570">
        <v>3.161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41"/>
        <v>3.161</v>
      </c>
      <c r="N60" s="632">
        <f t="shared" si="242"/>
        <v>5.561314554398372</v>
      </c>
      <c r="O60" s="629">
        <f t="shared" si="243"/>
        <v>-4.3841922274834841</v>
      </c>
      <c r="P60" s="633">
        <f t="shared" si="244"/>
        <v>-3.5768107876613349</v>
      </c>
      <c r="Q60" s="585">
        <f t="shared" si="113"/>
        <v>321.7499660702029</v>
      </c>
      <c r="R60" s="629">
        <f t="shared" si="79"/>
        <v>7.0816213581700165</v>
      </c>
      <c r="S60" s="634">
        <f t="shared" si="80"/>
        <v>-3.5768107876613349</v>
      </c>
      <c r="T60" s="635">
        <f t="shared" si="81"/>
        <v>-4.384192227483485</v>
      </c>
      <c r="U60" s="629">
        <f t="shared" si="82"/>
        <v>-5.5613145543983702</v>
      </c>
      <c r="V60" s="636">
        <f t="shared" si="114"/>
        <v>-3.5768107876613349</v>
      </c>
      <c r="W60" s="585">
        <f t="shared" si="224"/>
        <v>231.7499660702029</v>
      </c>
      <c r="X60" s="629">
        <f t="shared" si="83"/>
        <v>7.0816213581700165</v>
      </c>
      <c r="Y60" s="630">
        <f t="shared" si="223"/>
        <v>-3.5768107876613349</v>
      </c>
      <c r="Z60" s="632">
        <f t="shared" si="245"/>
        <v>-0.96883361691615077</v>
      </c>
      <c r="AA60" s="629">
        <f t="shared" si="246"/>
        <v>-0.24272396789293629</v>
      </c>
      <c r="AB60" s="629">
        <f t="shared" si="247"/>
        <v>-4.9462087940947794E-2</v>
      </c>
      <c r="AC60" s="636">
        <f t="shared" si="84"/>
        <v>1</v>
      </c>
      <c r="AD60" s="637">
        <f t="shared" si="115"/>
        <v>-0.96883361691615077</v>
      </c>
      <c r="AE60" s="629">
        <f t="shared" si="85"/>
        <v>-0.24272396789293629</v>
      </c>
      <c r="AF60" s="633">
        <f t="shared" si="86"/>
        <v>-4.9462087940947794E-2</v>
      </c>
      <c r="AG60" s="602">
        <f t="shared" si="87"/>
        <v>-78.482017424874499</v>
      </c>
      <c r="AH60" s="603">
        <f t="shared" si="88"/>
        <v>165.65781624838797</v>
      </c>
      <c r="AI60" s="585">
        <f t="shared" si="89"/>
        <v>-87.164874291114302</v>
      </c>
      <c r="AJ60" s="586">
        <f t="shared" si="90"/>
        <v>-75.93506376823386</v>
      </c>
      <c r="AK60" s="635">
        <f t="shared" si="211"/>
        <v>0.79041463321038896</v>
      </c>
      <c r="AL60" s="629">
        <f t="shared" si="91"/>
        <v>-0.61057203462278564</v>
      </c>
      <c r="AM60" s="634">
        <f t="shared" si="92"/>
        <v>-4.9462087940947794E-2</v>
      </c>
      <c r="AN60" s="581">
        <f t="shared" si="93"/>
        <v>-85.368615513501197</v>
      </c>
      <c r="AO60" s="582">
        <f t="shared" si="463"/>
        <v>37.775723493055054</v>
      </c>
      <c r="AP60" s="585">
        <f t="shared" si="95"/>
        <v>-37.685029838436741</v>
      </c>
      <c r="AQ60" s="586">
        <f t="shared" si="248"/>
        <v>0.32191817775489195</v>
      </c>
      <c r="AS60" s="52">
        <f t="shared" si="408"/>
        <v>-128.2500339297971</v>
      </c>
      <c r="AT60" s="72">
        <f t="shared" si="249"/>
        <v>-3.4877482640989759</v>
      </c>
      <c r="AU60" s="469"/>
      <c r="AV60" s="168" t="str">
        <f t="shared" si="250"/>
        <v/>
      </c>
      <c r="AW60" s="418"/>
      <c r="AX60" s="419"/>
      <c r="AY60" s="420"/>
      <c r="AZ60" s="308" t="str">
        <f t="shared" si="117"/>
        <v/>
      </c>
      <c r="BA60" s="307" t="str">
        <f t="shared" si="252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0"/>
        <v/>
      </c>
      <c r="BJ60" s="5" t="str">
        <f t="shared" si="259"/>
        <v/>
      </c>
      <c r="BK60" s="8" t="str">
        <f t="shared" si="260"/>
        <v/>
      </c>
      <c r="BL60" s="177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31"/>
        <v/>
      </c>
      <c r="BT60" s="5" t="str">
        <f t="shared" si="431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80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2"/>
        <v/>
      </c>
      <c r="DC60" s="5" t="str">
        <f t="shared" si="432"/>
        <v/>
      </c>
      <c r="DD60" s="10" t="str">
        <f t="shared" si="142"/>
        <v/>
      </c>
      <c r="DE60" s="9" t="str">
        <f t="shared" si="433"/>
        <v/>
      </c>
      <c r="DF60" s="5" t="str">
        <f t="shared" si="433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78" t="str">
        <f t="shared" si="434"/>
        <v/>
      </c>
      <c r="EW60" s="9" t="str">
        <f t="shared" si="435"/>
        <v/>
      </c>
      <c r="EX60" s="5" t="str">
        <f t="shared" si="436"/>
        <v/>
      </c>
      <c r="EY60" s="6" t="str">
        <f t="shared" si="182"/>
        <v/>
      </c>
      <c r="EZ60" s="52" t="str">
        <f t="shared" si="183"/>
        <v/>
      </c>
      <c r="FA60" s="177" t="str">
        <f t="shared" si="437"/>
        <v/>
      </c>
      <c r="FB60" s="5" t="str">
        <f t="shared" si="438"/>
        <v/>
      </c>
      <c r="FC60" s="6" t="str">
        <f t="shared" si="439"/>
        <v/>
      </c>
      <c r="FD60" s="4" t="str">
        <f t="shared" si="440"/>
        <v/>
      </c>
      <c r="FE60" s="5" t="str">
        <f t="shared" si="441"/>
        <v/>
      </c>
      <c r="FF60" s="7" t="str">
        <f t="shared" si="184"/>
        <v/>
      </c>
      <c r="FG60" s="177" t="str">
        <f t="shared" si="442"/>
        <v/>
      </c>
      <c r="FH60" s="5" t="str">
        <f t="shared" si="443"/>
        <v/>
      </c>
      <c r="FI60" s="10" t="str">
        <f t="shared" si="444"/>
        <v/>
      </c>
      <c r="FJ60" s="290" t="str">
        <f t="shared" si="185"/>
        <v/>
      </c>
      <c r="FK60" s="4" t="str">
        <f t="shared" si="445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6"/>
        <v/>
      </c>
      <c r="FP60" s="288" t="str">
        <f t="shared" si="447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8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9"/>
        <v/>
      </c>
      <c r="GH60" s="297" t="str">
        <f t="shared" si="450"/>
        <v/>
      </c>
      <c r="GI60" s="292" t="str">
        <f t="shared" si="451"/>
        <v/>
      </c>
      <c r="GJ60" s="171" t="str">
        <f t="shared" si="199"/>
        <v/>
      </c>
      <c r="GK60" s="178" t="str">
        <f t="shared" si="452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3"/>
        <v/>
      </c>
      <c r="GT60" s="364" t="str">
        <f t="shared" si="454"/>
        <v/>
      </c>
      <c r="GU60" s="365" t="str">
        <f t="shared" si="455"/>
        <v/>
      </c>
      <c r="GV60" s="364" t="str">
        <f t="shared" si="204"/>
        <v/>
      </c>
      <c r="GW60" s="366" t="str">
        <f t="shared" si="456"/>
        <v/>
      </c>
      <c r="GX60" s="367" t="str">
        <f t="shared" si="457"/>
        <v/>
      </c>
      <c r="GY60" s="365" t="str">
        <f t="shared" si="458"/>
        <v/>
      </c>
      <c r="GZ60" s="366" t="str">
        <f t="shared" si="459"/>
        <v/>
      </c>
      <c r="HA60" s="363" t="str">
        <f t="shared" si="460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61"/>
        <v/>
      </c>
      <c r="HF60" s="5" t="str">
        <f t="shared" si="462"/>
        <v/>
      </c>
      <c r="HG60" s="364" t="str">
        <f t="shared" si="208"/>
        <v/>
      </c>
      <c r="HH60" s="370" t="str">
        <f t="shared" si="209"/>
        <v/>
      </c>
      <c r="HI60" s="335" t="str">
        <f t="shared" si="383"/>
        <v/>
      </c>
      <c r="HK60" s="323" t="str">
        <f t="shared" si="238"/>
        <v/>
      </c>
      <c r="HL60" s="322" t="str">
        <f t="shared" si="407"/>
        <v/>
      </c>
      <c r="HM60" s="369" t="str">
        <f t="shared" si="464"/>
        <v/>
      </c>
      <c r="HN60" s="384" t="str">
        <f t="shared" si="464"/>
        <v/>
      </c>
      <c r="HO60" s="385" t="str">
        <f t="shared" si="464"/>
        <v/>
      </c>
      <c r="HP60" s="380" t="str">
        <f t="shared" si="464"/>
        <v/>
      </c>
      <c r="HQ60" s="384" t="str">
        <f t="shared" si="464"/>
        <v/>
      </c>
      <c r="HR60" s="395" t="str">
        <f t="shared" si="464"/>
        <v/>
      </c>
      <c r="HS60" s="379" t="str">
        <f t="shared" si="464"/>
        <v/>
      </c>
      <c r="HT60" s="374" t="str">
        <f t="shared" si="464"/>
        <v/>
      </c>
      <c r="HU60" s="375" t="str">
        <f t="shared" si="464"/>
        <v/>
      </c>
      <c r="HV60" s="376" t="str">
        <f t="shared" si="464"/>
        <v/>
      </c>
      <c r="HW60" s="374" t="str">
        <f t="shared" si="464"/>
        <v/>
      </c>
      <c r="HX60" s="375" t="str">
        <f t="shared" si="464"/>
        <v/>
      </c>
      <c r="HY60" s="376" t="str">
        <f t="shared" si="464"/>
        <v/>
      </c>
      <c r="HZ60" s="374" t="str">
        <f t="shared" si="464"/>
        <v/>
      </c>
      <c r="IA60" s="375" t="str">
        <f t="shared" si="464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3.161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4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5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6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5.608402192630721</v>
      </c>
      <c r="C61" s="708">
        <v>-4.4611299617579974</v>
      </c>
      <c r="D61" s="709">
        <v>-4.3333130692722168</v>
      </c>
      <c r="E61" s="710">
        <v>0.97992480258789694</v>
      </c>
      <c r="F61" s="708">
        <v>0.19936745289301905</v>
      </c>
      <c r="G61" s="711">
        <v>1.4578093205264883E-7</v>
      </c>
      <c r="H61" s="710">
        <v>0.314</v>
      </c>
      <c r="I61" s="708">
        <v>0.52</v>
      </c>
      <c r="J61" s="570">
        <v>3.1669999999999998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41"/>
        <v>3.1669999999999998</v>
      </c>
      <c r="N61" s="632">
        <f t="shared" si="242"/>
        <v>5.608402192630721</v>
      </c>
      <c r="O61" s="629">
        <f t="shared" si="243"/>
        <v>-4.4611299617579974</v>
      </c>
      <c r="P61" s="633">
        <f t="shared" si="244"/>
        <v>-4.3333130692722168</v>
      </c>
      <c r="Q61" s="585">
        <f t="shared" si="113"/>
        <v>321.4999660702029</v>
      </c>
      <c r="R61" s="629">
        <f t="shared" si="79"/>
        <v>7.1662999999999997</v>
      </c>
      <c r="S61" s="634">
        <f t="shared" si="80"/>
        <v>-4.3333130692722168</v>
      </c>
      <c r="T61" s="635">
        <f t="shared" si="81"/>
        <v>-4.4611299617579965</v>
      </c>
      <c r="U61" s="629">
        <f t="shared" si="82"/>
        <v>-5.6084021926307228</v>
      </c>
      <c r="V61" s="636">
        <f t="shared" si="114"/>
        <v>-4.3333130692722168</v>
      </c>
      <c r="W61" s="585">
        <f t="shared" si="224"/>
        <v>231.4999660702029</v>
      </c>
      <c r="X61" s="629">
        <f t="shared" si="83"/>
        <v>7.1662999999999997</v>
      </c>
      <c r="Y61" s="630">
        <f t="shared" si="223"/>
        <v>-4.3333130692722168</v>
      </c>
      <c r="Z61" s="632">
        <f t="shared" si="245"/>
        <v>-0.97992480258789694</v>
      </c>
      <c r="AA61" s="629">
        <f t="shared" si="246"/>
        <v>-0.19936745289301905</v>
      </c>
      <c r="AB61" s="629">
        <f t="shared" si="247"/>
        <v>-1.4578093205264883E-7</v>
      </c>
      <c r="AC61" s="636">
        <f t="shared" si="84"/>
        <v>1</v>
      </c>
      <c r="AD61" s="637">
        <f t="shared" si="115"/>
        <v>-0.97992480258789694</v>
      </c>
      <c r="AE61" s="629">
        <f t="shared" si="85"/>
        <v>-0.19936745289301905</v>
      </c>
      <c r="AF61" s="633">
        <f t="shared" si="86"/>
        <v>-1.4578093205264883E-7</v>
      </c>
      <c r="AG61" s="602">
        <f t="shared" si="87"/>
        <v>-89.999958104334397</v>
      </c>
      <c r="AH61" s="603">
        <f t="shared" si="88"/>
        <v>168.50002815450887</v>
      </c>
      <c r="AI61" s="585">
        <f t="shared" si="89"/>
        <v>-89.999991647367864</v>
      </c>
      <c r="AJ61" s="586">
        <f t="shared" si="90"/>
        <v>-78.500028154511782</v>
      </c>
      <c r="AK61" s="635">
        <f t="shared" si="211"/>
        <v>0.76604450791050704</v>
      </c>
      <c r="AL61" s="629">
        <f t="shared" si="91"/>
        <v>-0.64278753247097753</v>
      </c>
      <c r="AM61" s="634">
        <f t="shared" si="92"/>
        <v>-1.4578093205264883E-7</v>
      </c>
      <c r="AN61" s="581">
        <f t="shared" si="93"/>
        <v>-89.999987005609611</v>
      </c>
      <c r="AO61" s="582">
        <f t="shared" si="463"/>
        <v>39.999994224715394</v>
      </c>
      <c r="AP61" s="585">
        <f t="shared" si="95"/>
        <v>-39.999994224714683</v>
      </c>
      <c r="AQ61" s="586">
        <f t="shared" si="248"/>
        <v>0.31811439748911491</v>
      </c>
      <c r="AS61" s="52">
        <f t="shared" si="408"/>
        <v>-128.5000339297971</v>
      </c>
      <c r="AT61" s="72">
        <f t="shared" si="249"/>
        <v>-4.2440769345987466</v>
      </c>
      <c r="AU61" s="469"/>
      <c r="AV61" s="168" t="str">
        <f t="shared" si="250"/>
        <v/>
      </c>
      <c r="AW61" s="418"/>
      <c r="AX61" s="419"/>
      <c r="AY61" s="420"/>
      <c r="AZ61" s="308" t="str">
        <f t="shared" si="117"/>
        <v/>
      </c>
      <c r="BA61" s="307" t="str">
        <f t="shared" si="252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0"/>
        <v/>
      </c>
      <c r="BJ61" s="5" t="str">
        <f t="shared" si="259"/>
        <v/>
      </c>
      <c r="BK61" s="8" t="str">
        <f t="shared" si="260"/>
        <v/>
      </c>
      <c r="BL61" s="177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31"/>
        <v/>
      </c>
      <c r="BT61" s="5" t="str">
        <f t="shared" si="431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80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2"/>
        <v/>
      </c>
      <c r="DC61" s="5" t="str">
        <f t="shared" si="432"/>
        <v/>
      </c>
      <c r="DD61" s="10" t="str">
        <f t="shared" si="142"/>
        <v/>
      </c>
      <c r="DE61" s="9" t="str">
        <f t="shared" si="433"/>
        <v/>
      </c>
      <c r="DF61" s="5" t="str">
        <f t="shared" si="433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78" t="str">
        <f t="shared" si="434"/>
        <v/>
      </c>
      <c r="EW61" s="9" t="str">
        <f t="shared" si="435"/>
        <v/>
      </c>
      <c r="EX61" s="5" t="str">
        <f t="shared" si="436"/>
        <v/>
      </c>
      <c r="EY61" s="6" t="str">
        <f t="shared" si="182"/>
        <v/>
      </c>
      <c r="EZ61" s="52" t="str">
        <f t="shared" si="183"/>
        <v/>
      </c>
      <c r="FA61" s="177" t="str">
        <f t="shared" si="437"/>
        <v/>
      </c>
      <c r="FB61" s="5" t="str">
        <f t="shared" si="438"/>
        <v/>
      </c>
      <c r="FC61" s="6" t="str">
        <f t="shared" si="439"/>
        <v/>
      </c>
      <c r="FD61" s="4" t="str">
        <f t="shared" si="440"/>
        <v/>
      </c>
      <c r="FE61" s="5" t="str">
        <f t="shared" si="441"/>
        <v/>
      </c>
      <c r="FF61" s="7" t="str">
        <f t="shared" si="184"/>
        <v/>
      </c>
      <c r="FG61" s="177" t="str">
        <f t="shared" si="442"/>
        <v/>
      </c>
      <c r="FH61" s="5" t="str">
        <f t="shared" si="443"/>
        <v/>
      </c>
      <c r="FI61" s="10" t="str">
        <f t="shared" si="444"/>
        <v/>
      </c>
      <c r="FJ61" s="290" t="str">
        <f t="shared" si="185"/>
        <v/>
      </c>
      <c r="FK61" s="4" t="str">
        <f t="shared" si="445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6"/>
        <v/>
      </c>
      <c r="FP61" s="288" t="str">
        <f t="shared" si="447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8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9"/>
        <v/>
      </c>
      <c r="GH61" s="297" t="str">
        <f t="shared" si="450"/>
        <v/>
      </c>
      <c r="GI61" s="292" t="str">
        <f t="shared" si="451"/>
        <v/>
      </c>
      <c r="GJ61" s="171" t="str">
        <f t="shared" si="199"/>
        <v/>
      </c>
      <c r="GK61" s="178" t="str">
        <f t="shared" si="452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3"/>
        <v/>
      </c>
      <c r="GT61" s="364" t="str">
        <f t="shared" si="454"/>
        <v/>
      </c>
      <c r="GU61" s="365" t="str">
        <f t="shared" si="455"/>
        <v/>
      </c>
      <c r="GV61" s="364" t="str">
        <f t="shared" si="204"/>
        <v/>
      </c>
      <c r="GW61" s="366" t="str">
        <f t="shared" si="456"/>
        <v/>
      </c>
      <c r="GX61" s="367" t="str">
        <f t="shared" si="457"/>
        <v/>
      </c>
      <c r="GY61" s="365" t="str">
        <f t="shared" si="458"/>
        <v/>
      </c>
      <c r="GZ61" s="366" t="str">
        <f t="shared" si="459"/>
        <v/>
      </c>
      <c r="HA61" s="363" t="str">
        <f t="shared" si="460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61"/>
        <v/>
      </c>
      <c r="HF61" s="5" t="str">
        <f t="shared" si="462"/>
        <v/>
      </c>
      <c r="HG61" s="364" t="str">
        <f t="shared" si="208"/>
        <v/>
      </c>
      <c r="HH61" s="370" t="str">
        <f t="shared" si="209"/>
        <v/>
      </c>
      <c r="HI61" s="335" t="str">
        <f t="shared" si="383"/>
        <v/>
      </c>
      <c r="HK61" s="323" t="str">
        <f t="shared" si="238"/>
        <v/>
      </c>
      <c r="HL61" s="322" t="str">
        <f t="shared" si="407"/>
        <v/>
      </c>
      <c r="HM61" s="369" t="str">
        <f t="shared" si="464"/>
        <v/>
      </c>
      <c r="HN61" s="384" t="str">
        <f t="shared" si="464"/>
        <v/>
      </c>
      <c r="HO61" s="385" t="str">
        <f t="shared" si="464"/>
        <v/>
      </c>
      <c r="HP61" s="380" t="str">
        <f t="shared" si="464"/>
        <v/>
      </c>
      <c r="HQ61" s="384" t="str">
        <f t="shared" si="464"/>
        <v/>
      </c>
      <c r="HR61" s="395" t="str">
        <f t="shared" si="464"/>
        <v/>
      </c>
      <c r="HS61" s="379" t="str">
        <f t="shared" si="464"/>
        <v/>
      </c>
      <c r="HT61" s="374" t="str">
        <f t="shared" si="464"/>
        <v/>
      </c>
      <c r="HU61" s="375" t="str">
        <f t="shared" si="464"/>
        <v/>
      </c>
      <c r="HV61" s="376" t="str">
        <f t="shared" si="464"/>
        <v/>
      </c>
      <c r="HW61" s="374" t="str">
        <f t="shared" si="464"/>
        <v/>
      </c>
      <c r="HX61" s="375" t="str">
        <f t="shared" si="464"/>
        <v/>
      </c>
      <c r="HY61" s="376" t="str">
        <f t="shared" si="464"/>
        <v/>
      </c>
      <c r="HZ61" s="374" t="str">
        <f t="shared" si="464"/>
        <v/>
      </c>
      <c r="IA61" s="375" t="str">
        <f t="shared" si="464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3.1669999999999998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4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5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6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2.2822599609219658</v>
      </c>
      <c r="C62" s="708">
        <v>-3.0453190621277706</v>
      </c>
      <c r="D62" s="709">
        <v>-2.8400085654659304E-2</v>
      </c>
      <c r="E62" s="710">
        <v>1.0466547512595794E-2</v>
      </c>
      <c r="F62" s="708">
        <v>-1.3965592924232823E-2</v>
      </c>
      <c r="G62" s="711">
        <v>0.99984769520034478</v>
      </c>
      <c r="H62" s="710">
        <v>0.26250000000000001</v>
      </c>
      <c r="I62" s="708">
        <v>0.40699999999999997</v>
      </c>
      <c r="J62" s="570">
        <v>3.2189999999999999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Inactive</v>
      </c>
      <c r="L62" s="1314">
        <f t="shared" ref="L62:L69" si="465">IO62</f>
        <v>50</v>
      </c>
      <c r="M62" s="168">
        <f t="shared" si="241"/>
        <v>3.2189999999999999</v>
      </c>
      <c r="N62" s="632">
        <f t="shared" si="242"/>
        <v>2.2822599609219658</v>
      </c>
      <c r="O62" s="629">
        <f t="shared" si="243"/>
        <v>-3.0453190621277706</v>
      </c>
      <c r="P62" s="633">
        <f t="shared" si="244"/>
        <v>-2.8400085654659304E-2</v>
      </c>
      <c r="Q62" s="585">
        <f t="shared" si="113"/>
        <v>306.84906869086819</v>
      </c>
      <c r="R62" s="629">
        <f t="shared" si="79"/>
        <v>3.8056114777242169</v>
      </c>
      <c r="S62" s="634">
        <f t="shared" si="80"/>
        <v>-2.8400085654659304E-2</v>
      </c>
      <c r="T62" s="635">
        <f t="shared" si="81"/>
        <v>-3.0453190621277715</v>
      </c>
      <c r="U62" s="629">
        <f t="shared" si="82"/>
        <v>-2.2822599609219645</v>
      </c>
      <c r="V62" s="636">
        <f t="shared" si="114"/>
        <v>-2.8400085654659304E-2</v>
      </c>
      <c r="W62" s="585">
        <f t="shared" si="224"/>
        <v>216.84906869086819</v>
      </c>
      <c r="X62" s="629">
        <f t="shared" si="83"/>
        <v>3.8056114777242169</v>
      </c>
      <c r="Y62" s="630">
        <f t="shared" si="223"/>
        <v>-2.8400085654659304E-2</v>
      </c>
      <c r="Z62" s="632">
        <f t="shared" si="245"/>
        <v>-1.0466547512595794E-2</v>
      </c>
      <c r="AA62" s="629">
        <f t="shared" si="246"/>
        <v>1.3965592924232823E-2</v>
      </c>
      <c r="AB62" s="629">
        <f t="shared" si="247"/>
        <v>-0.99984769520034478</v>
      </c>
      <c r="AC62" s="636">
        <f t="shared" si="84"/>
        <v>1</v>
      </c>
      <c r="AD62" s="637">
        <f t="shared" si="115"/>
        <v>-1.0466547512595794E-2</v>
      </c>
      <c r="AE62" s="629">
        <f t="shared" si="85"/>
        <v>1.3965592924232823E-2</v>
      </c>
      <c r="AF62" s="633">
        <f t="shared" si="86"/>
        <v>-0.99984769520034478</v>
      </c>
      <c r="AG62" s="602">
        <f t="shared" si="87"/>
        <v>0.80023938239791048</v>
      </c>
      <c r="AH62" s="603">
        <f t="shared" si="88"/>
        <v>90.599699948268068</v>
      </c>
      <c r="AI62" s="585">
        <f t="shared" si="89"/>
        <v>-0.99999985570170868</v>
      </c>
      <c r="AJ62" s="586">
        <f t="shared" si="90"/>
        <v>-143.15018674749652</v>
      </c>
      <c r="AK62" s="635">
        <f t="shared" si="211"/>
        <v>2.2679489678975595E-7</v>
      </c>
      <c r="AL62" s="629">
        <f t="shared" si="91"/>
        <v>-1.7452403917723517E-2</v>
      </c>
      <c r="AM62" s="634">
        <f t="shared" si="92"/>
        <v>-0.99984769520034478</v>
      </c>
      <c r="AN62" s="581">
        <f t="shared" si="93"/>
        <v>-0.99999985561788163</v>
      </c>
      <c r="AO62" s="582">
        <f t="shared" si="463"/>
        <v>0</v>
      </c>
      <c r="AP62" s="585">
        <f t="shared" si="95"/>
        <v>-89.999255438364727</v>
      </c>
      <c r="AQ62" s="586">
        <f t="shared" si="248"/>
        <v>0.59902162448979923</v>
      </c>
      <c r="AS62" s="52">
        <f t="shared" si="408"/>
        <v>-143.15093130913181</v>
      </c>
      <c r="AT62" s="72">
        <f t="shared" si="249"/>
        <v>7.1010283310015562E-2</v>
      </c>
      <c r="AU62" s="469"/>
      <c r="AV62" s="168" t="str">
        <f t="shared" si="250"/>
        <v/>
      </c>
      <c r="AW62" s="418"/>
      <c r="AX62" s="419"/>
      <c r="AY62" s="420"/>
      <c r="AZ62" s="308" t="str">
        <f t="shared" si="117"/>
        <v/>
      </c>
      <c r="BA62" s="307" t="str">
        <f t="shared" si="252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0"/>
        <v/>
      </c>
      <c r="BJ62" s="5" t="str">
        <f t="shared" si="259"/>
        <v/>
      </c>
      <c r="BK62" s="8" t="str">
        <f t="shared" si="260"/>
        <v/>
      </c>
      <c r="BL62" s="177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31"/>
        <v/>
      </c>
      <c r="BT62" s="5" t="str">
        <f t="shared" si="431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80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2"/>
        <v/>
      </c>
      <c r="DC62" s="5" t="str">
        <f t="shared" si="432"/>
        <v/>
      </c>
      <c r="DD62" s="10" t="str">
        <f t="shared" si="142"/>
        <v/>
      </c>
      <c r="DE62" s="9" t="str">
        <f t="shared" si="433"/>
        <v/>
      </c>
      <c r="DF62" s="5" t="str">
        <f t="shared" si="433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78" t="str">
        <f t="shared" si="434"/>
        <v/>
      </c>
      <c r="EW62" s="9" t="str">
        <f t="shared" si="435"/>
        <v/>
      </c>
      <c r="EX62" s="5" t="str">
        <f t="shared" si="436"/>
        <v/>
      </c>
      <c r="EY62" s="6" t="str">
        <f t="shared" si="182"/>
        <v/>
      </c>
      <c r="EZ62" s="52" t="str">
        <f t="shared" si="183"/>
        <v/>
      </c>
      <c r="FA62" s="177" t="str">
        <f t="shared" si="437"/>
        <v/>
      </c>
      <c r="FB62" s="5" t="str">
        <f t="shared" si="438"/>
        <v/>
      </c>
      <c r="FC62" s="6" t="str">
        <f t="shared" si="439"/>
        <v/>
      </c>
      <c r="FD62" s="4" t="str">
        <f t="shared" si="440"/>
        <v/>
      </c>
      <c r="FE62" s="5" t="str">
        <f t="shared" si="441"/>
        <v/>
      </c>
      <c r="FF62" s="7" t="str">
        <f t="shared" si="184"/>
        <v/>
      </c>
      <c r="FG62" s="177" t="str">
        <f t="shared" si="442"/>
        <v/>
      </c>
      <c r="FH62" s="5" t="str">
        <f t="shared" si="443"/>
        <v/>
      </c>
      <c r="FI62" s="10" t="str">
        <f t="shared" si="444"/>
        <v/>
      </c>
      <c r="FJ62" s="290" t="str">
        <f t="shared" si="185"/>
        <v/>
      </c>
      <c r="FK62" s="4" t="str">
        <f t="shared" si="445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6"/>
        <v/>
      </c>
      <c r="FP62" s="288" t="str">
        <f t="shared" si="447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8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9"/>
        <v/>
      </c>
      <c r="GH62" s="297" t="str">
        <f t="shared" si="450"/>
        <v/>
      </c>
      <c r="GI62" s="292" t="str">
        <f t="shared" si="451"/>
        <v/>
      </c>
      <c r="GJ62" s="171" t="str">
        <f t="shared" si="199"/>
        <v/>
      </c>
      <c r="GK62" s="178" t="str">
        <f t="shared" si="452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3"/>
        <v/>
      </c>
      <c r="GT62" s="364" t="str">
        <f t="shared" si="454"/>
        <v/>
      </c>
      <c r="GU62" s="365" t="str">
        <f t="shared" si="455"/>
        <v/>
      </c>
      <c r="GV62" s="364" t="str">
        <f t="shared" si="204"/>
        <v/>
      </c>
      <c r="GW62" s="366" t="str">
        <f t="shared" si="456"/>
        <v/>
      </c>
      <c r="GX62" s="367" t="str">
        <f t="shared" si="457"/>
        <v/>
      </c>
      <c r="GY62" s="365" t="str">
        <f t="shared" si="458"/>
        <v/>
      </c>
      <c r="GZ62" s="366" t="str">
        <f t="shared" si="459"/>
        <v/>
      </c>
      <c r="HA62" s="363" t="str">
        <f t="shared" si="460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61"/>
        <v/>
      </c>
      <c r="HF62" s="5" t="str">
        <f t="shared" si="462"/>
        <v/>
      </c>
      <c r="HG62" s="364" t="str">
        <f t="shared" si="208"/>
        <v/>
      </c>
      <c r="HH62" s="370" t="str">
        <f t="shared" si="209"/>
        <v/>
      </c>
      <c r="HI62" s="335" t="str">
        <f t="shared" si="383"/>
        <v/>
      </c>
      <c r="HK62" s="323" t="str">
        <f t="shared" si="238"/>
        <v/>
      </c>
      <c r="HL62" s="322" t="str">
        <f t="shared" si="407"/>
        <v/>
      </c>
      <c r="HM62" s="369" t="str">
        <f t="shared" si="464"/>
        <v/>
      </c>
      <c r="HN62" s="384" t="str">
        <f t="shared" si="464"/>
        <v/>
      </c>
      <c r="HO62" s="385" t="str">
        <f t="shared" si="464"/>
        <v/>
      </c>
      <c r="HP62" s="380" t="str">
        <f t="shared" si="464"/>
        <v/>
      </c>
      <c r="HQ62" s="384" t="str">
        <f t="shared" si="464"/>
        <v/>
      </c>
      <c r="HR62" s="395" t="str">
        <f t="shared" si="464"/>
        <v/>
      </c>
      <c r="HS62" s="379" t="str">
        <f t="shared" si="464"/>
        <v/>
      </c>
      <c r="HT62" s="374" t="str">
        <f t="shared" si="464"/>
        <v/>
      </c>
      <c r="HU62" s="375" t="str">
        <f t="shared" si="464"/>
        <v/>
      </c>
      <c r="HV62" s="376" t="str">
        <f t="shared" si="464"/>
        <v/>
      </c>
      <c r="HW62" s="374" t="str">
        <f t="shared" si="464"/>
        <v/>
      </c>
      <c r="HX62" s="375" t="str">
        <f t="shared" si="464"/>
        <v/>
      </c>
      <c r="HY62" s="376" t="str">
        <f t="shared" si="464"/>
        <v/>
      </c>
      <c r="HZ62" s="374" t="str">
        <f t="shared" si="464"/>
        <v/>
      </c>
      <c r="IA62" s="375" t="str">
        <f t="shared" si="464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3.2189999999999999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3.1190000000000002</v>
      </c>
      <c r="II62" s="734" cm="1">
        <f t="array" ref="II62">IFERROR(ROUND(VALUE(IF($IH62&lt;1,$IH62+LARGE((IF($M$9:$M$150="",0,$M$9:$M$150)-MOD(IF($M$9:$M$150="",0,$M$9:$M$150),1)),1),$IH62)),4),"")</f>
        <v>3.1190000000000002</v>
      </c>
      <c r="IJ62" s="533">
        <f t="shared" si="112"/>
        <v>1613</v>
      </c>
      <c r="IK62" s="533" t="str">
        <f t="shared" si="384"/>
        <v>Inactive</v>
      </c>
      <c r="IL62" s="727">
        <f t="shared" si="225"/>
        <v>18.150897379334651</v>
      </c>
      <c r="IM62" s="759">
        <v>5.7581323363927097E-3</v>
      </c>
      <c r="IN62" s="5">
        <f t="shared" si="226"/>
        <v>0.1</v>
      </c>
      <c r="IO62" s="771">
        <v>50</v>
      </c>
      <c r="IP62" s="9">
        <f t="shared" si="227"/>
        <v>-3.8049114756130114</v>
      </c>
      <c r="IQ62" s="5">
        <f t="shared" si="228"/>
        <v>-5.520016648370249E-2</v>
      </c>
      <c r="IR62" s="5">
        <f t="shared" si="385"/>
        <v>0.314</v>
      </c>
      <c r="IS62" s="5">
        <f t="shared" si="229"/>
        <v>0.29506348833932705</v>
      </c>
      <c r="IT62" s="727">
        <f t="shared" si="230"/>
        <v>0.99999985561772708</v>
      </c>
      <c r="IU62" s="9">
        <f t="shared" si="231"/>
        <v>-3.8056114777242169</v>
      </c>
      <c r="IV62" s="5">
        <f t="shared" si="232"/>
        <v>-2.8400085654659304E-2</v>
      </c>
      <c r="IW62" s="5">
        <f t="shared" si="386"/>
        <v>0.26250000000000001</v>
      </c>
      <c r="IX62" s="5">
        <f t="shared" si="233"/>
        <v>0.26250000000000001</v>
      </c>
      <c r="IY62" s="762">
        <f t="shared" si="234"/>
        <v>0.99999985561788163</v>
      </c>
    </row>
    <row r="63" spans="1:259" ht="15" customHeight="1" x14ac:dyDescent="0.25">
      <c r="A63" s="79"/>
      <c r="B63" s="707">
        <v>2.7403333259637037</v>
      </c>
      <c r="C63" s="708">
        <v>-3.6490160916726802</v>
      </c>
      <c r="D63" s="709">
        <v>-0.13750041470125116</v>
      </c>
      <c r="E63" s="710">
        <v>0.11355211794552451</v>
      </c>
      <c r="F63" s="708">
        <v>-0.15120513506219646</v>
      </c>
      <c r="G63" s="711">
        <v>0.98195871789037492</v>
      </c>
      <c r="H63" s="710">
        <v>0.26250000000000001</v>
      </c>
      <c r="I63" s="708">
        <v>0.40699999999999997</v>
      </c>
      <c r="J63" s="570">
        <v>3.2250000000000001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Inactive</v>
      </c>
      <c r="L63" s="1314">
        <f t="shared" si="465"/>
        <v>40</v>
      </c>
      <c r="M63" s="168">
        <f t="shared" si="241"/>
        <v>3.2250000000000001</v>
      </c>
      <c r="N63" s="632">
        <f t="shared" si="242"/>
        <v>2.7403333259637037</v>
      </c>
      <c r="O63" s="629">
        <f t="shared" si="243"/>
        <v>-3.6490160916726802</v>
      </c>
      <c r="P63" s="633">
        <f t="shared" si="244"/>
        <v>-0.13750041470125116</v>
      </c>
      <c r="Q63" s="585">
        <f t="shared" si="113"/>
        <v>306.90576868268175</v>
      </c>
      <c r="R63" s="629">
        <f t="shared" si="79"/>
        <v>4.5634137632559089</v>
      </c>
      <c r="S63" s="634">
        <f t="shared" si="80"/>
        <v>-0.13750041470125116</v>
      </c>
      <c r="T63" s="635">
        <f t="shared" si="81"/>
        <v>-3.6490160916726802</v>
      </c>
      <c r="U63" s="629">
        <f t="shared" si="82"/>
        <v>-2.7403333259637037</v>
      </c>
      <c r="V63" s="636">
        <f t="shared" si="114"/>
        <v>-0.13750041470125116</v>
      </c>
      <c r="W63" s="585">
        <f t="shared" si="224"/>
        <v>216.90576868268175</v>
      </c>
      <c r="X63" s="629">
        <f t="shared" si="83"/>
        <v>4.5634137632559089</v>
      </c>
      <c r="Y63" s="630">
        <f t="shared" si="223"/>
        <v>-0.13750041470125116</v>
      </c>
      <c r="Z63" s="632">
        <f t="shared" si="245"/>
        <v>-0.11355211794552451</v>
      </c>
      <c r="AA63" s="629">
        <f t="shared" si="246"/>
        <v>0.15120513506219646</v>
      </c>
      <c r="AB63" s="629">
        <f t="shared" si="247"/>
        <v>-0.98195871789037492</v>
      </c>
      <c r="AC63" s="636">
        <f t="shared" si="84"/>
        <v>1</v>
      </c>
      <c r="AD63" s="637">
        <f t="shared" si="115"/>
        <v>-0.11355211794552451</v>
      </c>
      <c r="AE63" s="629">
        <f t="shared" si="85"/>
        <v>0.15120513506219646</v>
      </c>
      <c r="AF63" s="633">
        <f t="shared" si="86"/>
        <v>-0.98195871789037492</v>
      </c>
      <c r="AG63" s="602">
        <f t="shared" si="87"/>
        <v>8.7538321143657978</v>
      </c>
      <c r="AH63" s="603">
        <f t="shared" si="88"/>
        <v>96.52012047448541</v>
      </c>
      <c r="AI63" s="585">
        <f t="shared" si="89"/>
        <v>-10.899998426242545</v>
      </c>
      <c r="AJ63" s="586">
        <f t="shared" si="90"/>
        <v>-143.09416259862229</v>
      </c>
      <c r="AK63" s="635">
        <f t="shared" si="211"/>
        <v>2.2679489673771425E-7</v>
      </c>
      <c r="AL63" s="629">
        <f t="shared" si="91"/>
        <v>-0.18909541601805144</v>
      </c>
      <c r="AM63" s="634">
        <f t="shared" si="92"/>
        <v>-0.98195871789037492</v>
      </c>
      <c r="AN63" s="581">
        <f t="shared" si="93"/>
        <v>-10.899998426234944</v>
      </c>
      <c r="AO63" s="582">
        <f t="shared" si="463"/>
        <v>0</v>
      </c>
      <c r="AP63" s="585">
        <f t="shared" si="95"/>
        <v>-89.999931281304058</v>
      </c>
      <c r="AQ63" s="586">
        <f t="shared" si="248"/>
        <v>0.49955340078482147</v>
      </c>
      <c r="AS63" s="52">
        <f t="shared" si="408"/>
        <v>-143.09423131731825</v>
      </c>
      <c r="AT63" s="72">
        <f t="shared" si="249"/>
        <v>-3.8129420730891261E-2</v>
      </c>
      <c r="AU63" s="469"/>
      <c r="AV63" s="168" t="str">
        <f t="shared" si="250"/>
        <v/>
      </c>
      <c r="AW63" s="418"/>
      <c r="AX63" s="419"/>
      <c r="AY63" s="420"/>
      <c r="AZ63" s="308" t="str">
        <f t="shared" si="117"/>
        <v/>
      </c>
      <c r="BA63" s="307" t="str">
        <f t="shared" si="252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0"/>
        <v/>
      </c>
      <c r="BJ63" s="5" t="str">
        <f t="shared" si="259"/>
        <v/>
      </c>
      <c r="BK63" s="8" t="str">
        <f t="shared" si="260"/>
        <v/>
      </c>
      <c r="BL63" s="177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31"/>
        <v/>
      </c>
      <c r="BT63" s="5" t="str">
        <f t="shared" si="431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80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2"/>
        <v/>
      </c>
      <c r="DC63" s="5" t="str">
        <f t="shared" si="432"/>
        <v/>
      </c>
      <c r="DD63" s="10" t="str">
        <f t="shared" si="142"/>
        <v/>
      </c>
      <c r="DE63" s="9" t="str">
        <f t="shared" si="433"/>
        <v/>
      </c>
      <c r="DF63" s="5" t="str">
        <f t="shared" si="433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78" t="str">
        <f t="shared" si="434"/>
        <v/>
      </c>
      <c r="EW63" s="9" t="str">
        <f t="shared" si="435"/>
        <v/>
      </c>
      <c r="EX63" s="5" t="str">
        <f t="shared" si="436"/>
        <v/>
      </c>
      <c r="EY63" s="6" t="str">
        <f t="shared" si="182"/>
        <v/>
      </c>
      <c r="EZ63" s="52" t="str">
        <f t="shared" si="183"/>
        <v/>
      </c>
      <c r="FA63" s="177" t="str">
        <f t="shared" si="437"/>
        <v/>
      </c>
      <c r="FB63" s="5" t="str">
        <f t="shared" si="438"/>
        <v/>
      </c>
      <c r="FC63" s="6" t="str">
        <f t="shared" si="439"/>
        <v/>
      </c>
      <c r="FD63" s="4" t="str">
        <f t="shared" si="440"/>
        <v/>
      </c>
      <c r="FE63" s="5" t="str">
        <f t="shared" si="441"/>
        <v/>
      </c>
      <c r="FF63" s="7" t="str">
        <f t="shared" si="184"/>
        <v/>
      </c>
      <c r="FG63" s="177" t="str">
        <f t="shared" si="442"/>
        <v/>
      </c>
      <c r="FH63" s="5" t="str">
        <f t="shared" si="443"/>
        <v/>
      </c>
      <c r="FI63" s="10" t="str">
        <f t="shared" si="444"/>
        <v/>
      </c>
      <c r="FJ63" s="290" t="str">
        <f t="shared" si="185"/>
        <v/>
      </c>
      <c r="FK63" s="4" t="str">
        <f t="shared" si="445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6"/>
        <v/>
      </c>
      <c r="FP63" s="288" t="str">
        <f t="shared" si="447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8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9"/>
        <v/>
      </c>
      <c r="GH63" s="297" t="str">
        <f t="shared" si="450"/>
        <v/>
      </c>
      <c r="GI63" s="292" t="str">
        <f t="shared" si="451"/>
        <v/>
      </c>
      <c r="GJ63" s="171" t="str">
        <f t="shared" si="199"/>
        <v/>
      </c>
      <c r="GK63" s="178" t="str">
        <f t="shared" si="452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3"/>
        <v/>
      </c>
      <c r="GT63" s="364" t="str">
        <f t="shared" si="454"/>
        <v/>
      </c>
      <c r="GU63" s="365" t="str">
        <f t="shared" si="455"/>
        <v/>
      </c>
      <c r="GV63" s="364" t="str">
        <f t="shared" si="204"/>
        <v/>
      </c>
      <c r="GW63" s="366" t="str">
        <f t="shared" si="456"/>
        <v/>
      </c>
      <c r="GX63" s="367" t="str">
        <f t="shared" si="457"/>
        <v/>
      </c>
      <c r="GY63" s="365" t="str">
        <f t="shared" si="458"/>
        <v/>
      </c>
      <c r="GZ63" s="366" t="str">
        <f t="shared" si="459"/>
        <v/>
      </c>
      <c r="HA63" s="363" t="str">
        <f t="shared" si="460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61"/>
        <v/>
      </c>
      <c r="HF63" s="5" t="str">
        <f t="shared" si="462"/>
        <v/>
      </c>
      <c r="HG63" s="364" t="str">
        <f t="shared" si="208"/>
        <v/>
      </c>
      <c r="HH63" s="370" t="str">
        <f t="shared" si="209"/>
        <v/>
      </c>
      <c r="HI63" s="335" t="str">
        <f t="shared" si="383"/>
        <v/>
      </c>
      <c r="HK63" s="323" t="str">
        <f t="shared" si="238"/>
        <v/>
      </c>
      <c r="HL63" s="322" t="str">
        <f t="shared" si="407"/>
        <v/>
      </c>
      <c r="HM63" s="369" t="str">
        <f t="shared" si="464"/>
        <v/>
      </c>
      <c r="HN63" s="384" t="str">
        <f t="shared" si="464"/>
        <v/>
      </c>
      <c r="HO63" s="385" t="str">
        <f t="shared" si="464"/>
        <v/>
      </c>
      <c r="HP63" s="380" t="str">
        <f t="shared" si="464"/>
        <v/>
      </c>
      <c r="HQ63" s="384" t="str">
        <f t="shared" si="464"/>
        <v/>
      </c>
      <c r="HR63" s="395" t="str">
        <f t="shared" si="464"/>
        <v/>
      </c>
      <c r="HS63" s="379" t="str">
        <f t="shared" si="464"/>
        <v/>
      </c>
      <c r="HT63" s="374" t="str">
        <f t="shared" si="464"/>
        <v/>
      </c>
      <c r="HU63" s="375" t="str">
        <f t="shared" si="464"/>
        <v/>
      </c>
      <c r="HV63" s="376" t="str">
        <f t="shared" si="464"/>
        <v/>
      </c>
      <c r="HW63" s="374" t="str">
        <f t="shared" si="464"/>
        <v/>
      </c>
      <c r="HX63" s="375" t="str">
        <f t="shared" si="464"/>
        <v/>
      </c>
      <c r="HY63" s="376" t="str">
        <f t="shared" si="464"/>
        <v/>
      </c>
      <c r="HZ63" s="374" t="str">
        <f t="shared" si="464"/>
        <v/>
      </c>
      <c r="IA63" s="375" t="str">
        <f t="shared" si="464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3.2250000000000001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3.125</v>
      </c>
      <c r="II63" s="734" cm="1">
        <f t="array" ref="II63">IFERROR(ROUND(VALUE(IF($IH63&lt;1,$IH63+LARGE((IF($M$9:$M$150="",0,$M$9:$M$150)-MOD(IF($M$9:$M$150="",0,$M$9:$M$150),1)),1),$IH63)),4),"")</f>
        <v>3.125</v>
      </c>
      <c r="IJ63" s="533">
        <f t="shared" si="112"/>
        <v>1613</v>
      </c>
      <c r="IK63" s="533" t="str">
        <f t="shared" si="384"/>
        <v>Inactive</v>
      </c>
      <c r="IL63" s="727">
        <f t="shared" si="225"/>
        <v>17.794297430821359</v>
      </c>
      <c r="IM63" s="759">
        <v>4.8925761951436001E-3</v>
      </c>
      <c r="IN63" s="5">
        <f t="shared" si="226"/>
        <v>0.08</v>
      </c>
      <c r="IO63" s="771">
        <v>40</v>
      </c>
      <c r="IP63" s="9">
        <f t="shared" si="227"/>
        <v>-4.5561137412390442</v>
      </c>
      <c r="IQ63" s="5">
        <f t="shared" si="228"/>
        <v>-0.16380049402228949</v>
      </c>
      <c r="IR63" s="5">
        <f t="shared" si="385"/>
        <v>0.314</v>
      </c>
      <c r="IS63" s="5">
        <f t="shared" si="229"/>
        <v>0.29462151657350794</v>
      </c>
      <c r="IT63" s="727">
        <f t="shared" si="230"/>
        <v>20.00203970864403</v>
      </c>
      <c r="IU63" s="9">
        <f t="shared" si="231"/>
        <v>-4.5634137632559089</v>
      </c>
      <c r="IV63" s="5">
        <f t="shared" si="232"/>
        <v>-0.13750041470125116</v>
      </c>
      <c r="IW63" s="5">
        <f t="shared" si="386"/>
        <v>0.26250000000000001</v>
      </c>
      <c r="IX63" s="5">
        <f t="shared" si="233"/>
        <v>0.26250000000000001</v>
      </c>
      <c r="IY63" s="762">
        <f t="shared" si="234"/>
        <v>10.899998426234944</v>
      </c>
    </row>
    <row r="64" spans="1:259" ht="15" customHeight="1" x14ac:dyDescent="0.25">
      <c r="A64" s="79"/>
      <c r="B64" s="707">
        <v>3.1713480027983505</v>
      </c>
      <c r="C64" s="708">
        <v>-4.2177540015245247</v>
      </c>
      <c r="D64" s="709">
        <v>-0.42320127637505056</v>
      </c>
      <c r="E64" s="710">
        <v>0.21341011193131049</v>
      </c>
      <c r="F64" s="708">
        <v>-0.2838257283557522</v>
      </c>
      <c r="G64" s="711">
        <v>0.93482569500885693</v>
      </c>
      <c r="H64" s="710">
        <v>0.26250000000000001</v>
      </c>
      <c r="I64" s="708">
        <v>0.40699999999999997</v>
      </c>
      <c r="J64" s="570">
        <v>3.2309999999999999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Inactive</v>
      </c>
      <c r="L64" s="1314">
        <f t="shared" si="465"/>
        <v>20</v>
      </c>
      <c r="M64" s="168">
        <f t="shared" si="241"/>
        <v>3.2309999999999999</v>
      </c>
      <c r="N64" s="632">
        <f t="shared" si="242"/>
        <v>3.1713480027983505</v>
      </c>
      <c r="O64" s="629">
        <f t="shared" si="243"/>
        <v>-4.2177540015245247</v>
      </c>
      <c r="P64" s="633">
        <f t="shared" si="244"/>
        <v>-0.42320127637505056</v>
      </c>
      <c r="Q64" s="585">
        <f t="shared" si="113"/>
        <v>306.93966867778721</v>
      </c>
      <c r="R64" s="629">
        <f t="shared" si="79"/>
        <v>5.2770159154799998</v>
      </c>
      <c r="S64" s="634">
        <f t="shared" si="80"/>
        <v>-0.42320127637505056</v>
      </c>
      <c r="T64" s="635">
        <f t="shared" si="81"/>
        <v>-4.2177540015245238</v>
      </c>
      <c r="U64" s="629">
        <f t="shared" si="82"/>
        <v>-3.1713480027983509</v>
      </c>
      <c r="V64" s="636">
        <f t="shared" si="114"/>
        <v>-0.42320127637505056</v>
      </c>
      <c r="W64" s="585">
        <f t="shared" si="224"/>
        <v>216.93966867778721</v>
      </c>
      <c r="X64" s="629">
        <f t="shared" si="83"/>
        <v>5.2770159154799998</v>
      </c>
      <c r="Y64" s="630">
        <f t="shared" si="223"/>
        <v>-0.42320127637505056</v>
      </c>
      <c r="Z64" s="632">
        <f t="shared" si="245"/>
        <v>-0.21341011193131049</v>
      </c>
      <c r="AA64" s="629">
        <f t="shared" si="246"/>
        <v>0.2838257283557522</v>
      </c>
      <c r="AB64" s="629">
        <f t="shared" si="247"/>
        <v>-0.93482569500885693</v>
      </c>
      <c r="AC64" s="636">
        <f t="shared" si="84"/>
        <v>1</v>
      </c>
      <c r="AD64" s="637">
        <f t="shared" si="115"/>
        <v>-0.21341011193131049</v>
      </c>
      <c r="AE64" s="629">
        <f t="shared" si="85"/>
        <v>0.2838257283557522</v>
      </c>
      <c r="AF64" s="633">
        <f t="shared" si="86"/>
        <v>-0.93482569500885693</v>
      </c>
      <c r="AG64" s="602">
        <f t="shared" si="87"/>
        <v>16.888999741830581</v>
      </c>
      <c r="AH64" s="603">
        <f t="shared" si="88"/>
        <v>102.32226876667005</v>
      </c>
      <c r="AI64" s="585">
        <f t="shared" si="89"/>
        <v>-20.79999699685586</v>
      </c>
      <c r="AJ64" s="586">
        <f t="shared" si="90"/>
        <v>-143.06029472931667</v>
      </c>
      <c r="AK64" s="635">
        <f t="shared" si="211"/>
        <v>2.2679489669608088E-7</v>
      </c>
      <c r="AL64" s="629">
        <f t="shared" si="91"/>
        <v>-0.35510691340940725</v>
      </c>
      <c r="AM64" s="634">
        <f t="shared" si="92"/>
        <v>-0.93482569500885693</v>
      </c>
      <c r="AN64" s="581">
        <f t="shared" si="93"/>
        <v>-20.799996996851991</v>
      </c>
      <c r="AO64" s="582">
        <f t="shared" si="463"/>
        <v>0</v>
      </c>
      <c r="AP64" s="585">
        <f t="shared" si="95"/>
        <v>-89.999963407103877</v>
      </c>
      <c r="AQ64" s="586">
        <f t="shared" si="248"/>
        <v>0.43200237934200725</v>
      </c>
      <c r="AS64" s="52">
        <f t="shared" si="408"/>
        <v>-143.06033132221279</v>
      </c>
      <c r="AT64" s="72">
        <f t="shared" si="249"/>
        <v>-0.32385382406795837</v>
      </c>
      <c r="AU64" s="469"/>
      <c r="AV64" s="168" t="str">
        <f t="shared" si="250"/>
        <v/>
      </c>
      <c r="AW64" s="418"/>
      <c r="AX64" s="419"/>
      <c r="AY64" s="420"/>
      <c r="AZ64" s="308" t="str">
        <f t="shared" si="117"/>
        <v/>
      </c>
      <c r="BA64" s="307" t="str">
        <f t="shared" si="252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0"/>
        <v/>
      </c>
      <c r="BJ64" s="5" t="str">
        <f t="shared" si="259"/>
        <v/>
      </c>
      <c r="BK64" s="8" t="str">
        <f t="shared" si="260"/>
        <v/>
      </c>
      <c r="BL64" s="177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31"/>
        <v/>
      </c>
      <c r="BT64" s="5" t="str">
        <f t="shared" si="431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80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2"/>
        <v/>
      </c>
      <c r="DC64" s="5" t="str">
        <f t="shared" si="432"/>
        <v/>
      </c>
      <c r="DD64" s="10" t="str">
        <f t="shared" si="142"/>
        <v/>
      </c>
      <c r="DE64" s="9" t="str">
        <f t="shared" si="433"/>
        <v/>
      </c>
      <c r="DF64" s="5" t="str">
        <f t="shared" si="433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78" t="str">
        <f t="shared" si="434"/>
        <v/>
      </c>
      <c r="EW64" s="9" t="str">
        <f t="shared" si="435"/>
        <v/>
      </c>
      <c r="EX64" s="5" t="str">
        <f t="shared" si="436"/>
        <v/>
      </c>
      <c r="EY64" s="6" t="str">
        <f t="shared" si="182"/>
        <v/>
      </c>
      <c r="EZ64" s="52" t="str">
        <f t="shared" si="183"/>
        <v/>
      </c>
      <c r="FA64" s="177" t="str">
        <f t="shared" si="437"/>
        <v/>
      </c>
      <c r="FB64" s="5" t="str">
        <f t="shared" si="438"/>
        <v/>
      </c>
      <c r="FC64" s="6" t="str">
        <f t="shared" si="439"/>
        <v/>
      </c>
      <c r="FD64" s="4" t="str">
        <f t="shared" si="440"/>
        <v/>
      </c>
      <c r="FE64" s="5" t="str">
        <f t="shared" si="441"/>
        <v/>
      </c>
      <c r="FF64" s="7" t="str">
        <f t="shared" si="184"/>
        <v/>
      </c>
      <c r="FG64" s="177" t="str">
        <f t="shared" si="442"/>
        <v/>
      </c>
      <c r="FH64" s="5" t="str">
        <f t="shared" si="443"/>
        <v/>
      </c>
      <c r="FI64" s="10" t="str">
        <f t="shared" si="444"/>
        <v/>
      </c>
      <c r="FJ64" s="290" t="str">
        <f t="shared" si="185"/>
        <v/>
      </c>
      <c r="FK64" s="4" t="str">
        <f t="shared" si="445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6"/>
        <v/>
      </c>
      <c r="FP64" s="288" t="str">
        <f t="shared" si="447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8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9"/>
        <v/>
      </c>
      <c r="GH64" s="297" t="str">
        <f t="shared" si="450"/>
        <v/>
      </c>
      <c r="GI64" s="292" t="str">
        <f t="shared" si="451"/>
        <v/>
      </c>
      <c r="GJ64" s="171" t="str">
        <f t="shared" si="199"/>
        <v/>
      </c>
      <c r="GK64" s="178" t="str">
        <f t="shared" si="452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3"/>
        <v/>
      </c>
      <c r="GT64" s="364" t="str">
        <f t="shared" si="454"/>
        <v/>
      </c>
      <c r="GU64" s="365" t="str">
        <f t="shared" si="455"/>
        <v/>
      </c>
      <c r="GV64" s="364" t="str">
        <f t="shared" si="204"/>
        <v/>
      </c>
      <c r="GW64" s="366" t="str">
        <f t="shared" si="456"/>
        <v/>
      </c>
      <c r="GX64" s="367" t="str">
        <f t="shared" si="457"/>
        <v/>
      </c>
      <c r="GY64" s="365" t="str">
        <f t="shared" si="458"/>
        <v/>
      </c>
      <c r="GZ64" s="366" t="str">
        <f t="shared" si="459"/>
        <v/>
      </c>
      <c r="HA64" s="363" t="str">
        <f t="shared" si="460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61"/>
        <v/>
      </c>
      <c r="HF64" s="5" t="str">
        <f t="shared" si="462"/>
        <v/>
      </c>
      <c r="HG64" s="364" t="str">
        <f t="shared" si="208"/>
        <v/>
      </c>
      <c r="HH64" s="370" t="str">
        <f t="shared" si="209"/>
        <v/>
      </c>
      <c r="HI64" s="335" t="str">
        <f t="shared" si="383"/>
        <v/>
      </c>
      <c r="HK64" s="323" t="str">
        <f t="shared" si="238"/>
        <v/>
      </c>
      <c r="HL64" s="322" t="str">
        <f t="shared" si="407"/>
        <v/>
      </c>
      <c r="HM64" s="369" t="str">
        <f t="shared" si="464"/>
        <v/>
      </c>
      <c r="HN64" s="384" t="str">
        <f t="shared" si="464"/>
        <v/>
      </c>
      <c r="HO64" s="385" t="str">
        <f t="shared" si="464"/>
        <v/>
      </c>
      <c r="HP64" s="380" t="str">
        <f t="shared" si="464"/>
        <v/>
      </c>
      <c r="HQ64" s="384" t="str">
        <f t="shared" si="464"/>
        <v/>
      </c>
      <c r="HR64" s="395" t="str">
        <f t="shared" si="464"/>
        <v/>
      </c>
      <c r="HS64" s="379" t="str">
        <f t="shared" si="464"/>
        <v/>
      </c>
      <c r="HT64" s="374" t="str">
        <f t="shared" si="464"/>
        <v/>
      </c>
      <c r="HU64" s="375" t="str">
        <f t="shared" si="464"/>
        <v/>
      </c>
      <c r="HV64" s="376" t="str">
        <f t="shared" si="464"/>
        <v/>
      </c>
      <c r="HW64" s="374" t="str">
        <f t="shared" si="464"/>
        <v/>
      </c>
      <c r="HX64" s="375" t="str">
        <f t="shared" si="464"/>
        <v/>
      </c>
      <c r="HY64" s="376" t="str">
        <f t="shared" si="464"/>
        <v/>
      </c>
      <c r="HZ64" s="374" t="str">
        <f t="shared" si="464"/>
        <v/>
      </c>
      <c r="IA64" s="375" t="str">
        <f t="shared" si="464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3.2309999999999999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3.1309999999999998</v>
      </c>
      <c r="II64" s="734" cm="1">
        <f t="array" ref="II64">IFERROR(ROUND(VALUE(IF($IH64&lt;1,$IH64+LARGE((IF($M$9:$M$150="",0,$M$9:$M$150)-MOD(IF($M$9:$M$150="",0,$M$9:$M$150),1)),1),$IH64)),4),"")</f>
        <v>3.1309999999999998</v>
      </c>
      <c r="IJ64" s="533">
        <f t="shared" si="112"/>
        <v>1613</v>
      </c>
      <c r="IK64" s="533" t="str">
        <f t="shared" si="384"/>
        <v>Inactive</v>
      </c>
      <c r="IL64" s="727">
        <f t="shared" si="225"/>
        <v>17.207497515544731</v>
      </c>
      <c r="IM64" s="759">
        <v>2.8627182560864999E-3</v>
      </c>
      <c r="IN64" s="5">
        <f t="shared" si="226"/>
        <v>0.04</v>
      </c>
      <c r="IO64" s="771">
        <v>20</v>
      </c>
      <c r="IP64" s="9">
        <f t="shared" si="227"/>
        <v>-5.2633158741606758</v>
      </c>
      <c r="IQ64" s="5">
        <f t="shared" si="228"/>
        <v>-0.44810135147367608</v>
      </c>
      <c r="IR64" s="5">
        <f t="shared" si="385"/>
        <v>0.314</v>
      </c>
      <c r="IS64" s="5">
        <f t="shared" si="229"/>
        <v>0.2936073797703283</v>
      </c>
      <c r="IT64" s="727">
        <f t="shared" si="230"/>
        <v>37.054094718363395</v>
      </c>
      <c r="IU64" s="9">
        <f t="shared" si="231"/>
        <v>-5.2770159154799998</v>
      </c>
      <c r="IV64" s="5">
        <f t="shared" si="232"/>
        <v>-0.42320127637505056</v>
      </c>
      <c r="IW64" s="5">
        <f t="shared" si="386"/>
        <v>0.26250000000000001</v>
      </c>
      <c r="IX64" s="5">
        <f t="shared" si="233"/>
        <v>0.26250000000000001</v>
      </c>
      <c r="IY64" s="762">
        <f t="shared" si="234"/>
        <v>20.799996996851991</v>
      </c>
    </row>
    <row r="65" spans="1:259" ht="15" customHeight="1" x14ac:dyDescent="0.25">
      <c r="A65" s="79"/>
      <c r="B65" s="707">
        <v>3.5254243034785979</v>
      </c>
      <c r="C65" s="708">
        <v>-4.7312930121338166</v>
      </c>
      <c r="D65" s="709">
        <v>-0.86770261699109352</v>
      </c>
      <c r="E65" s="710">
        <v>0.30325297405246515</v>
      </c>
      <c r="F65" s="708">
        <v>-0.40698004420788186</v>
      </c>
      <c r="G65" s="711">
        <v>0.86162919945002181</v>
      </c>
      <c r="H65" s="710">
        <v>0.26250000000000001</v>
      </c>
      <c r="I65" s="708">
        <v>0.40699999999999997</v>
      </c>
      <c r="J65" s="570">
        <v>3.2370000000000001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Inactive</v>
      </c>
      <c r="L65" s="1314">
        <f t="shared" si="465"/>
        <v>0</v>
      </c>
      <c r="M65" s="168">
        <f t="shared" si="241"/>
        <v>3.2370000000000001</v>
      </c>
      <c r="N65" s="632">
        <f t="shared" si="242"/>
        <v>3.5254243034785979</v>
      </c>
      <c r="O65" s="629">
        <f t="shared" si="243"/>
        <v>-4.7312930121338166</v>
      </c>
      <c r="P65" s="633">
        <f t="shared" si="244"/>
        <v>-0.86770261699109352</v>
      </c>
      <c r="Q65" s="585">
        <f t="shared" si="113"/>
        <v>306.69086871370945</v>
      </c>
      <c r="R65" s="629">
        <f t="shared" si="79"/>
        <v>5.90031779535847</v>
      </c>
      <c r="S65" s="634">
        <f t="shared" si="80"/>
        <v>-0.86770261699109352</v>
      </c>
      <c r="T65" s="635">
        <f t="shared" si="81"/>
        <v>-4.7312930121338175</v>
      </c>
      <c r="U65" s="629">
        <f t="shared" si="82"/>
        <v>-3.5254243034785961</v>
      </c>
      <c r="V65" s="636">
        <f t="shared" si="114"/>
        <v>-0.86770261699109352</v>
      </c>
      <c r="W65" s="585">
        <f t="shared" si="224"/>
        <v>216.69086871370945</v>
      </c>
      <c r="X65" s="629">
        <f t="shared" si="83"/>
        <v>5.90031779535847</v>
      </c>
      <c r="Y65" s="630">
        <f t="shared" si="223"/>
        <v>-0.86770261699109352</v>
      </c>
      <c r="Z65" s="632">
        <f t="shared" si="245"/>
        <v>-0.30325297405246515</v>
      </c>
      <c r="AA65" s="629">
        <f t="shared" si="246"/>
        <v>0.40698004420788186</v>
      </c>
      <c r="AB65" s="629">
        <f t="shared" si="247"/>
        <v>-0.86162919945002181</v>
      </c>
      <c r="AC65" s="636">
        <f t="shared" si="84"/>
        <v>1</v>
      </c>
      <c r="AD65" s="637">
        <f t="shared" si="115"/>
        <v>-0.30325297405246515</v>
      </c>
      <c r="AE65" s="629">
        <f t="shared" si="85"/>
        <v>0.40698004420788186</v>
      </c>
      <c r="AF65" s="633">
        <f t="shared" si="86"/>
        <v>-0.86162919945002181</v>
      </c>
      <c r="AG65" s="602">
        <f t="shared" si="87"/>
        <v>25.283136875267473</v>
      </c>
      <c r="AH65" s="603">
        <f t="shared" si="88"/>
        <v>107.65308947328147</v>
      </c>
      <c r="AI65" s="585">
        <f t="shared" si="89"/>
        <v>-30.499995596347976</v>
      </c>
      <c r="AJ65" s="586">
        <f t="shared" si="90"/>
        <v>-143.3091056835124</v>
      </c>
      <c r="AK65" s="635">
        <f t="shared" si="211"/>
        <v>2.2679489691812549E-7</v>
      </c>
      <c r="AL65" s="629">
        <f t="shared" si="91"/>
        <v>-0.50753829673736262</v>
      </c>
      <c r="AM65" s="634">
        <f t="shared" si="92"/>
        <v>-0.86162919945002181</v>
      </c>
      <c r="AN65" s="581">
        <f t="shared" si="93"/>
        <v>-30.499995596345482</v>
      </c>
      <c r="AO65" s="582">
        <f t="shared" si="463"/>
        <v>0</v>
      </c>
      <c r="AP65" s="585">
        <f t="shared" si="95"/>
        <v>-89.999974397221862</v>
      </c>
      <c r="AQ65" s="586">
        <f t="shared" si="248"/>
        <v>0.38636767634617025</v>
      </c>
      <c r="AS65" s="52">
        <f t="shared" si="408"/>
        <v>-143.30913128629055</v>
      </c>
      <c r="AT65" s="72">
        <f t="shared" si="249"/>
        <v>-0.76818238693116947</v>
      </c>
      <c r="AU65" s="469"/>
      <c r="AV65" s="168" t="str">
        <f t="shared" si="250"/>
        <v/>
      </c>
      <c r="AW65" s="418"/>
      <c r="AX65" s="419"/>
      <c r="AY65" s="420"/>
      <c r="AZ65" s="308" t="str">
        <f t="shared" si="117"/>
        <v/>
      </c>
      <c r="BA65" s="307" t="str">
        <f t="shared" si="252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0"/>
        <v/>
      </c>
      <c r="BJ65" s="5" t="str">
        <f t="shared" si="259"/>
        <v/>
      </c>
      <c r="BK65" s="8" t="str">
        <f t="shared" si="260"/>
        <v/>
      </c>
      <c r="BL65" s="177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31"/>
        <v/>
      </c>
      <c r="BT65" s="5" t="str">
        <f t="shared" si="431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80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2"/>
        <v/>
      </c>
      <c r="DC65" s="5" t="str">
        <f t="shared" si="432"/>
        <v/>
      </c>
      <c r="DD65" s="10" t="str">
        <f t="shared" si="142"/>
        <v/>
      </c>
      <c r="DE65" s="9" t="str">
        <f t="shared" si="433"/>
        <v/>
      </c>
      <c r="DF65" s="5" t="str">
        <f t="shared" si="433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78" t="str">
        <f t="shared" si="434"/>
        <v/>
      </c>
      <c r="EW65" s="9" t="str">
        <f t="shared" si="435"/>
        <v/>
      </c>
      <c r="EX65" s="5" t="str">
        <f t="shared" si="436"/>
        <v/>
      </c>
      <c r="EY65" s="6" t="str">
        <f t="shared" si="182"/>
        <v/>
      </c>
      <c r="EZ65" s="52" t="str">
        <f t="shared" si="183"/>
        <v/>
      </c>
      <c r="FA65" s="177" t="str">
        <f t="shared" si="437"/>
        <v/>
      </c>
      <c r="FB65" s="5" t="str">
        <f t="shared" si="438"/>
        <v/>
      </c>
      <c r="FC65" s="6" t="str">
        <f t="shared" si="439"/>
        <v/>
      </c>
      <c r="FD65" s="4" t="str">
        <f t="shared" si="440"/>
        <v/>
      </c>
      <c r="FE65" s="5" t="str">
        <f t="shared" si="441"/>
        <v/>
      </c>
      <c r="FF65" s="7" t="str">
        <f t="shared" si="184"/>
        <v/>
      </c>
      <c r="FG65" s="177" t="str">
        <f t="shared" si="442"/>
        <v/>
      </c>
      <c r="FH65" s="5" t="str">
        <f t="shared" si="443"/>
        <v/>
      </c>
      <c r="FI65" s="10" t="str">
        <f t="shared" si="444"/>
        <v/>
      </c>
      <c r="FJ65" s="290" t="str">
        <f t="shared" si="185"/>
        <v/>
      </c>
      <c r="FK65" s="4" t="str">
        <f t="shared" si="445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6"/>
        <v/>
      </c>
      <c r="FP65" s="288" t="str">
        <f t="shared" si="447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8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9"/>
        <v/>
      </c>
      <c r="GH65" s="297" t="str">
        <f t="shared" si="450"/>
        <v/>
      </c>
      <c r="GI65" s="292" t="str">
        <f t="shared" si="451"/>
        <v/>
      </c>
      <c r="GJ65" s="171" t="str">
        <f t="shared" si="199"/>
        <v/>
      </c>
      <c r="GK65" s="178" t="str">
        <f t="shared" si="452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3"/>
        <v/>
      </c>
      <c r="GT65" s="364" t="str">
        <f t="shared" si="454"/>
        <v/>
      </c>
      <c r="GU65" s="365" t="str">
        <f t="shared" si="455"/>
        <v/>
      </c>
      <c r="GV65" s="364" t="str">
        <f t="shared" si="204"/>
        <v/>
      </c>
      <c r="GW65" s="366" t="str">
        <f t="shared" si="456"/>
        <v/>
      </c>
      <c r="GX65" s="367" t="str">
        <f t="shared" si="457"/>
        <v/>
      </c>
      <c r="GY65" s="365" t="str">
        <f t="shared" si="458"/>
        <v/>
      </c>
      <c r="GZ65" s="366" t="str">
        <f t="shared" si="459"/>
        <v/>
      </c>
      <c r="HA65" s="363" t="str">
        <f t="shared" si="460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61"/>
        <v/>
      </c>
      <c r="HF65" s="5" t="str">
        <f t="shared" si="462"/>
        <v/>
      </c>
      <c r="HG65" s="364" t="str">
        <f t="shared" si="208"/>
        <v/>
      </c>
      <c r="HH65" s="370" t="str">
        <f t="shared" si="209"/>
        <v/>
      </c>
      <c r="HI65" s="335" t="str">
        <f t="shared" si="383"/>
        <v/>
      </c>
      <c r="HK65" s="323" t="str">
        <f t="shared" si="238"/>
        <v/>
      </c>
      <c r="HL65" s="322" t="str">
        <f t="shared" si="407"/>
        <v/>
      </c>
      <c r="HM65" s="369" t="str">
        <f t="shared" si="464"/>
        <v/>
      </c>
      <c r="HN65" s="384" t="str">
        <f t="shared" si="464"/>
        <v/>
      </c>
      <c r="HO65" s="385" t="str">
        <f t="shared" si="464"/>
        <v/>
      </c>
      <c r="HP65" s="380" t="str">
        <f t="shared" si="464"/>
        <v/>
      </c>
      <c r="HQ65" s="384" t="str">
        <f t="shared" si="464"/>
        <v/>
      </c>
      <c r="HR65" s="395" t="str">
        <f t="shared" si="464"/>
        <v/>
      </c>
      <c r="HS65" s="379" t="str">
        <f t="shared" si="464"/>
        <v/>
      </c>
      <c r="HT65" s="374" t="str">
        <f t="shared" si="464"/>
        <v/>
      </c>
      <c r="HU65" s="375" t="str">
        <f t="shared" si="464"/>
        <v/>
      </c>
      <c r="HV65" s="376" t="str">
        <f t="shared" si="464"/>
        <v/>
      </c>
      <c r="HW65" s="374" t="str">
        <f t="shared" si="464"/>
        <v/>
      </c>
      <c r="HX65" s="375" t="str">
        <f t="shared" si="464"/>
        <v/>
      </c>
      <c r="HY65" s="376" t="str">
        <f t="shared" si="464"/>
        <v/>
      </c>
      <c r="HZ65" s="374" t="str">
        <f t="shared" si="464"/>
        <v/>
      </c>
      <c r="IA65" s="375" t="str">
        <f t="shared" si="464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3.2370000000000001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3.137</v>
      </c>
      <c r="II65" s="734" cm="1">
        <f t="array" ref="II65">IFERROR(ROUND(VALUE(IF($IH65&lt;1,$IH65+LARGE((IF($M$9:$M$150="",0,$M$9:$M$150)-MOD(IF($M$9:$M$150="",0,$M$9:$M$150),1)),1),$IH65)),4),"")</f>
        <v>3.137</v>
      </c>
      <c r="IJ65" s="533">
        <f t="shared" si="112"/>
        <v>1613</v>
      </c>
      <c r="IK65" s="533" t="str">
        <f t="shared" si="384"/>
        <v>Inactive</v>
      </c>
      <c r="IL65" s="727">
        <f t="shared" si="225"/>
        <v>16.825097570756498</v>
      </c>
      <c r="IM65" s="759">
        <v>8.7574896865021498E-5</v>
      </c>
      <c r="IN65" s="5">
        <f t="shared" si="226"/>
        <v>0</v>
      </c>
      <c r="IO65" s="771">
        <v>0</v>
      </c>
      <c r="IP65" s="9">
        <f t="shared" si="227"/>
        <v>-5.8837177452927225</v>
      </c>
      <c r="IQ65" s="5">
        <f t="shared" si="228"/>
        <v>-0.88490266886644986</v>
      </c>
      <c r="IR65" s="5">
        <f t="shared" si="385"/>
        <v>0.314</v>
      </c>
      <c r="IS65" s="5">
        <f t="shared" si="229"/>
        <v>0.28626480870391174</v>
      </c>
      <c r="IT65" s="727">
        <f t="shared" si="230"/>
        <v>50.153487885453238</v>
      </c>
      <c r="IU65" s="9">
        <f t="shared" si="231"/>
        <v>-5.90031779535847</v>
      </c>
      <c r="IV65" s="5">
        <f t="shared" si="232"/>
        <v>-0.86770261699109352</v>
      </c>
      <c r="IW65" s="5">
        <f t="shared" si="386"/>
        <v>0.26250000000000001</v>
      </c>
      <c r="IX65" s="5">
        <f t="shared" si="233"/>
        <v>0.26250000000000001</v>
      </c>
      <c r="IY65" s="762">
        <f t="shared" si="234"/>
        <v>30.499995596345482</v>
      </c>
    </row>
    <row r="66" spans="1:259" ht="15" customHeight="1" x14ac:dyDescent="0.25">
      <c r="A66" s="79"/>
      <c r="B66" s="707">
        <v>3.7970454959789182</v>
      </c>
      <c r="C66" s="708">
        <v>-5.1540717490716315</v>
      </c>
      <c r="D66" s="709">
        <v>-1.4475043656731659</v>
      </c>
      <c r="E66" s="710">
        <v>0.38441885804118803</v>
      </c>
      <c r="F66" s="708">
        <v>-0.52180594787748025</v>
      </c>
      <c r="G66" s="711">
        <v>0.76153837351901943</v>
      </c>
      <c r="H66" s="710">
        <v>0.26250000000000001</v>
      </c>
      <c r="I66" s="708">
        <v>0.40699999999999997</v>
      </c>
      <c r="J66" s="570">
        <v>3.2429999999999999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1314">
        <f t="shared" si="465"/>
        <v>0</v>
      </c>
      <c r="M66" s="168">
        <f t="shared" si="241"/>
        <v>3.2429999999999999</v>
      </c>
      <c r="N66" s="632">
        <f t="shared" si="242"/>
        <v>3.7970454959789182</v>
      </c>
      <c r="O66" s="629">
        <f t="shared" si="243"/>
        <v>-5.1540717490716315</v>
      </c>
      <c r="P66" s="633">
        <f t="shared" si="244"/>
        <v>-1.4475043656731659</v>
      </c>
      <c r="Q66" s="585">
        <f t="shared" si="113"/>
        <v>306.37936875868451</v>
      </c>
      <c r="R66" s="629">
        <f t="shared" si="79"/>
        <v>6.4017193075854317</v>
      </c>
      <c r="S66" s="634">
        <f t="shared" si="80"/>
        <v>-1.4475043656731659</v>
      </c>
      <c r="T66" s="635">
        <f t="shared" si="81"/>
        <v>-5.1540717490716315</v>
      </c>
      <c r="U66" s="629">
        <f t="shared" si="82"/>
        <v>-3.7970454959789186</v>
      </c>
      <c r="V66" s="636">
        <f t="shared" si="114"/>
        <v>-1.4475043656731659</v>
      </c>
      <c r="W66" s="585">
        <f t="shared" si="224"/>
        <v>216.37936875868451</v>
      </c>
      <c r="X66" s="629">
        <f t="shared" si="83"/>
        <v>6.4017193075854317</v>
      </c>
      <c r="Y66" s="630">
        <f t="shared" si="223"/>
        <v>-1.4475043656731659</v>
      </c>
      <c r="Z66" s="632">
        <f t="shared" si="245"/>
        <v>-0.38441885804118803</v>
      </c>
      <c r="AA66" s="629">
        <f t="shared" si="246"/>
        <v>0.52180594787748025</v>
      </c>
      <c r="AB66" s="629">
        <f t="shared" si="247"/>
        <v>-0.76153837351901943</v>
      </c>
      <c r="AC66" s="636">
        <f t="shared" si="84"/>
        <v>1</v>
      </c>
      <c r="AD66" s="637">
        <f t="shared" si="115"/>
        <v>-0.38441885804118803</v>
      </c>
      <c r="AE66" s="629">
        <f t="shared" si="85"/>
        <v>0.52180594787748025</v>
      </c>
      <c r="AF66" s="633">
        <f t="shared" si="86"/>
        <v>-0.76153837351901943</v>
      </c>
      <c r="AG66" s="602">
        <f t="shared" si="87"/>
        <v>34.418934655263598</v>
      </c>
      <c r="AH66" s="603">
        <f t="shared" si="88"/>
        <v>112.60766700042812</v>
      </c>
      <c r="AI66" s="585">
        <f t="shared" si="89"/>
        <v>-40.399994166964262</v>
      </c>
      <c r="AJ66" s="586">
        <f t="shared" si="90"/>
        <v>-143.62061119195127</v>
      </c>
      <c r="AK66" s="635">
        <f t="shared" si="211"/>
        <v>2.2679489664056973E-7</v>
      </c>
      <c r="AL66" s="629">
        <f t="shared" si="91"/>
        <v>-0.64811982353416353</v>
      </c>
      <c r="AM66" s="634">
        <f t="shared" si="92"/>
        <v>-0.76153837351901943</v>
      </c>
      <c r="AN66" s="581">
        <f t="shared" si="93"/>
        <v>-40.399994166962536</v>
      </c>
      <c r="AO66" s="582">
        <f t="shared" si="463"/>
        <v>0</v>
      </c>
      <c r="AP66" s="585">
        <f t="shared" si="95"/>
        <v>-89.99997995063579</v>
      </c>
      <c r="AQ66" s="586">
        <f t="shared" si="248"/>
        <v>0.35610703432361462</v>
      </c>
      <c r="AS66" s="52">
        <f t="shared" si="408"/>
        <v>-143.62063124131549</v>
      </c>
      <c r="AT66" s="72">
        <f t="shared" si="249"/>
        <v>-1.3477678162000302</v>
      </c>
      <c r="AU66" s="469"/>
      <c r="AV66" s="168" t="str">
        <f t="shared" si="250"/>
        <v/>
      </c>
      <c r="AW66" s="418"/>
      <c r="AX66" s="419"/>
      <c r="AY66" s="420"/>
      <c r="AZ66" s="308" t="str">
        <f t="shared" si="117"/>
        <v/>
      </c>
      <c r="BA66" s="307" t="str">
        <f t="shared" si="252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0"/>
        <v/>
      </c>
      <c r="BJ66" s="5" t="str">
        <f t="shared" si="259"/>
        <v/>
      </c>
      <c r="BK66" s="8" t="str">
        <f t="shared" si="260"/>
        <v/>
      </c>
      <c r="BL66" s="177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31"/>
        <v/>
      </c>
      <c r="BT66" s="5" t="str">
        <f t="shared" si="431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80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2"/>
        <v/>
      </c>
      <c r="DC66" s="5" t="str">
        <f t="shared" si="432"/>
        <v/>
      </c>
      <c r="DD66" s="10" t="str">
        <f t="shared" si="142"/>
        <v/>
      </c>
      <c r="DE66" s="9" t="str">
        <f t="shared" si="433"/>
        <v/>
      </c>
      <c r="DF66" s="5" t="str">
        <f t="shared" si="433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78" t="str">
        <f t="shared" si="434"/>
        <v/>
      </c>
      <c r="EW66" s="9" t="str">
        <f t="shared" si="435"/>
        <v/>
      </c>
      <c r="EX66" s="5" t="str">
        <f t="shared" si="436"/>
        <v/>
      </c>
      <c r="EY66" s="6" t="str">
        <f t="shared" si="182"/>
        <v/>
      </c>
      <c r="EZ66" s="52" t="str">
        <f t="shared" si="183"/>
        <v/>
      </c>
      <c r="FA66" s="177" t="str">
        <f t="shared" si="437"/>
        <v/>
      </c>
      <c r="FB66" s="5" t="str">
        <f t="shared" si="438"/>
        <v/>
      </c>
      <c r="FC66" s="6" t="str">
        <f t="shared" si="439"/>
        <v/>
      </c>
      <c r="FD66" s="4" t="str">
        <f t="shared" si="440"/>
        <v/>
      </c>
      <c r="FE66" s="5" t="str">
        <f t="shared" si="441"/>
        <v/>
      </c>
      <c r="FF66" s="7" t="str">
        <f t="shared" si="184"/>
        <v/>
      </c>
      <c r="FG66" s="177" t="str">
        <f t="shared" si="442"/>
        <v/>
      </c>
      <c r="FH66" s="5" t="str">
        <f t="shared" si="443"/>
        <v/>
      </c>
      <c r="FI66" s="10" t="str">
        <f t="shared" si="444"/>
        <v/>
      </c>
      <c r="FJ66" s="290" t="str">
        <f t="shared" si="185"/>
        <v/>
      </c>
      <c r="FK66" s="4" t="str">
        <f t="shared" si="445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6"/>
        <v/>
      </c>
      <c r="FP66" s="288" t="str">
        <f t="shared" si="447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8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9"/>
        <v/>
      </c>
      <c r="GH66" s="297" t="str">
        <f t="shared" si="450"/>
        <v/>
      </c>
      <c r="GI66" s="292" t="str">
        <f t="shared" si="451"/>
        <v/>
      </c>
      <c r="GJ66" s="171" t="str">
        <f t="shared" si="199"/>
        <v/>
      </c>
      <c r="GK66" s="178" t="str">
        <f t="shared" si="452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3"/>
        <v/>
      </c>
      <c r="GT66" s="364" t="str">
        <f t="shared" si="454"/>
        <v/>
      </c>
      <c r="GU66" s="365" t="str">
        <f t="shared" si="455"/>
        <v/>
      </c>
      <c r="GV66" s="364" t="str">
        <f t="shared" si="204"/>
        <v/>
      </c>
      <c r="GW66" s="366" t="str">
        <f t="shared" si="456"/>
        <v/>
      </c>
      <c r="GX66" s="367" t="str">
        <f t="shared" si="457"/>
        <v/>
      </c>
      <c r="GY66" s="365" t="str">
        <f t="shared" si="458"/>
        <v/>
      </c>
      <c r="GZ66" s="366" t="str">
        <f t="shared" si="459"/>
        <v/>
      </c>
      <c r="HA66" s="363" t="str">
        <f t="shared" si="460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61"/>
        <v/>
      </c>
      <c r="HF66" s="5" t="str">
        <f t="shared" si="462"/>
        <v/>
      </c>
      <c r="HG66" s="364" t="str">
        <f t="shared" si="208"/>
        <v/>
      </c>
      <c r="HH66" s="370" t="str">
        <f t="shared" si="209"/>
        <v/>
      </c>
      <c r="HI66" s="335" t="str">
        <f t="shared" si="383"/>
        <v/>
      </c>
      <c r="HK66" s="323" t="str">
        <f t="shared" si="238"/>
        <v/>
      </c>
      <c r="HL66" s="322" t="str">
        <f t="shared" si="407"/>
        <v/>
      </c>
      <c r="HM66" s="369" t="str">
        <f t="shared" si="464"/>
        <v/>
      </c>
      <c r="HN66" s="384" t="str">
        <f t="shared" si="464"/>
        <v/>
      </c>
      <c r="HO66" s="385" t="str">
        <f t="shared" si="464"/>
        <v/>
      </c>
      <c r="HP66" s="380" t="str">
        <f t="shared" si="464"/>
        <v/>
      </c>
      <c r="HQ66" s="384" t="str">
        <f t="shared" si="464"/>
        <v/>
      </c>
      <c r="HR66" s="395" t="str">
        <f t="shared" si="464"/>
        <v/>
      </c>
      <c r="HS66" s="379" t="str">
        <f t="shared" si="464"/>
        <v/>
      </c>
      <c r="HT66" s="374" t="str">
        <f t="shared" si="464"/>
        <v/>
      </c>
      <c r="HU66" s="375" t="str">
        <f t="shared" si="464"/>
        <v/>
      </c>
      <c r="HV66" s="376" t="str">
        <f t="shared" si="464"/>
        <v/>
      </c>
      <c r="HW66" s="374" t="str">
        <f t="shared" si="464"/>
        <v/>
      </c>
      <c r="HX66" s="375" t="str">
        <f t="shared" si="464"/>
        <v/>
      </c>
      <c r="HY66" s="376" t="str">
        <f t="shared" si="464"/>
        <v/>
      </c>
      <c r="HZ66" s="374" t="str">
        <f t="shared" si="464"/>
        <v/>
      </c>
      <c r="IA66" s="375" t="str">
        <f t="shared" si="464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3.2429999999999999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3.1429999999999998</v>
      </c>
      <c r="II66" s="734" cm="1">
        <f t="array" ref="II66">IFERROR(ROUND(VALUE(IF($IH66&lt;1,$IH66+LARGE((IF($M$9:$M$150="",0,$M$9:$M$150)-MOD(IF($M$9:$M$150="",0,$M$9:$M$150),1)),1),$IH66)),4),"")</f>
        <v>3.1429999999999998</v>
      </c>
      <c r="IJ66" s="533">
        <f t="shared" si="112"/>
        <v>1613</v>
      </c>
      <c r="IK66" s="533" t="str">
        <f t="shared" si="384"/>
        <v>Inactive</v>
      </c>
      <c r="IL66" s="727">
        <f t="shared" si="225"/>
        <v>16.554997609754082</v>
      </c>
      <c r="IM66" s="759">
        <v>1.75666956381237E-4</v>
      </c>
      <c r="IN66" s="5">
        <f t="shared" si="226"/>
        <v>0</v>
      </c>
      <c r="IO66" s="771">
        <v>0</v>
      </c>
      <c r="IP66" s="9">
        <f t="shared" si="227"/>
        <v>-6.3849192569164801</v>
      </c>
      <c r="IQ66" s="5">
        <f t="shared" si="228"/>
        <v>-1.4564043925156478</v>
      </c>
      <c r="IR66" s="5">
        <f t="shared" si="385"/>
        <v>0.314</v>
      </c>
      <c r="IS66" s="5">
        <f t="shared" si="229"/>
        <v>0.27813009084255597</v>
      </c>
      <c r="IT66" s="727">
        <f t="shared" si="230"/>
        <v>61.840262469426335</v>
      </c>
      <c r="IU66" s="9">
        <f t="shared" si="231"/>
        <v>-6.4017193075854317</v>
      </c>
      <c r="IV66" s="5">
        <f t="shared" si="232"/>
        <v>-1.4475043656731659</v>
      </c>
      <c r="IW66" s="5">
        <f t="shared" si="386"/>
        <v>0.26250000000000001</v>
      </c>
      <c r="IX66" s="5">
        <f t="shared" si="233"/>
        <v>0.26250000000000001</v>
      </c>
      <c r="IY66" s="762">
        <f t="shared" si="234"/>
        <v>40.399994166962536</v>
      </c>
    </row>
    <row r="67" spans="1:259" ht="15" customHeight="1" x14ac:dyDescent="0.25">
      <c r="A67" s="79"/>
      <c r="B67" s="707">
        <v>3.9978493949656158</v>
      </c>
      <c r="C67" s="708">
        <v>-5.4389957809969971</v>
      </c>
      <c r="D67" s="709">
        <v>-2.1244064072097251</v>
      </c>
      <c r="E67" s="710">
        <v>0.45501962403789092</v>
      </c>
      <c r="F67" s="708">
        <v>-0.61904490139471224</v>
      </c>
      <c r="G67" s="711">
        <v>0.64010979667368595</v>
      </c>
      <c r="H67" s="710">
        <v>0.26250000000000001</v>
      </c>
      <c r="I67" s="708">
        <v>0.40699999999999997</v>
      </c>
      <c r="J67" s="570">
        <v>3.2490000000000001</v>
      </c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Inactive</v>
      </c>
      <c r="L67" s="1314">
        <f t="shared" si="465"/>
        <v>0</v>
      </c>
      <c r="M67" s="168">
        <f t="shared" si="241"/>
        <v>3.2490000000000001</v>
      </c>
      <c r="N67" s="632">
        <f t="shared" si="242"/>
        <v>3.9978493949656158</v>
      </c>
      <c r="O67" s="629">
        <f t="shared" si="243"/>
        <v>-5.4389957809969971</v>
      </c>
      <c r="P67" s="633">
        <f t="shared" si="244"/>
        <v>-2.1244064072097251</v>
      </c>
      <c r="Q67" s="585">
        <f t="shared" si="113"/>
        <v>306.31716876766507</v>
      </c>
      <c r="R67" s="629">
        <f>IF(M67="","",SQRT(N67^2+O67^2))</f>
        <v>6.7502203586646026</v>
      </c>
      <c r="S67" s="634">
        <f>IF(M67="","",P67)</f>
        <v>-2.1244064072097251</v>
      </c>
      <c r="T67" s="635">
        <f>IF(M67="","",X67*COS(RADIANS(W67)))</f>
        <v>-5.438995780996998</v>
      </c>
      <c r="U67" s="629">
        <f>IF(M67="","",X67*SIN(RADIANS(W67)))</f>
        <v>-3.9978493949656149</v>
      </c>
      <c r="V67" s="636">
        <f>IF(M67="","",Y67)</f>
        <v>-2.1244064072097251</v>
      </c>
      <c r="W67" s="585">
        <f t="shared" si="224"/>
        <v>216.31716876766507</v>
      </c>
      <c r="X67" s="629">
        <f>IF(M67="","",R67)</f>
        <v>6.7502203586646026</v>
      </c>
      <c r="Y67" s="630">
        <f t="shared" si="223"/>
        <v>-2.1244064072097251</v>
      </c>
      <c r="Z67" s="632">
        <f t="shared" si="245"/>
        <v>-0.45501962403789092</v>
      </c>
      <c r="AA67" s="629">
        <f t="shared" si="246"/>
        <v>0.61904490139471224</v>
      </c>
      <c r="AB67" s="629">
        <f t="shared" si="247"/>
        <v>-0.64010979667368595</v>
      </c>
      <c r="AC67" s="636">
        <f>IF(M67="","",SQRT(Z67^2+AA67^2+AB67^2))</f>
        <v>1</v>
      </c>
      <c r="AD67" s="637">
        <f>IF(M67="","",Z67*(1/SQRT(Z67^2+AA67^2+AB67^2)))</f>
        <v>-0.45501962403789092</v>
      </c>
      <c r="AE67" s="629">
        <f>IF(M67="","",AA67*(1/SQRT(Z67^2+AA67^2+AB67^2)))</f>
        <v>0.61904490139471224</v>
      </c>
      <c r="AF67" s="633">
        <f>IF(M67="","",AB67*(1/SQRT(Z67^2+AA67^2+AB67^2)))</f>
        <v>-0.64010979667368595</v>
      </c>
      <c r="AG67" s="602">
        <f>IF(M67="","",DEGREES(ATAN2(-AF67,AE67)))</f>
        <v>44.041565726113454</v>
      </c>
      <c r="AH67" s="603">
        <f>IF(M67="","",DEGREES(ACOS(AD67)))</f>
        <v>117.06619688092796</v>
      </c>
      <c r="AI67" s="585">
        <f>IF(M67="","",DEGREES(-ACOS(-AF67)))</f>
        <v>-50.199992752019014</v>
      </c>
      <c r="AJ67" s="586">
        <f>IF(M67="","",DEGREES(ATAN2(-AE67,AD67)))</f>
        <v>-143.68281431879799</v>
      </c>
      <c r="AK67" s="635">
        <f>IF(M67="","",(COS(RADIANS((90-$Q$8)-W67))*AD67)+(-SIN(RADIANS((90-$Q$8)-W67))*AE67))</f>
        <v>2.2679489686261434E-7</v>
      </c>
      <c r="AL67" s="629">
        <f>IF(M67="","",(SIN(RADIANS((90-$Q$8)-W67))*AD67)+(COS(RADIANS((90-$Q$8)-W67))*AE67))</f>
        <v>-0.76828344261888215</v>
      </c>
      <c r="AM67" s="634">
        <f>IF(M67="","",AF67)</f>
        <v>-0.64010979667368595</v>
      </c>
      <c r="AN67" s="581">
        <f>IF(M67="","",DEGREES(ATAN2(-AM67,AL67)))</f>
        <v>-50.199992752017799</v>
      </c>
      <c r="AO67" s="582">
        <f t="shared" si="463"/>
        <v>0</v>
      </c>
      <c r="AP67" s="585">
        <f>IF(M67="","",DEGREES(ATAN2(AK67,AL67)))</f>
        <v>-89.999983086463047</v>
      </c>
      <c r="AQ67" s="586">
        <f t="shared" si="248"/>
        <v>0.33772234220847369</v>
      </c>
      <c r="AS67" s="52">
        <f t="shared" si="408"/>
        <v>-143.68283123233493</v>
      </c>
      <c r="AT67" s="72">
        <f t="shared" si="249"/>
        <v>-2.0246266632983811</v>
      </c>
      <c r="AU67" s="469"/>
      <c r="AV67" s="168" t="str">
        <f t="shared" si="250"/>
        <v/>
      </c>
      <c r="AW67" s="418"/>
      <c r="AX67" s="419"/>
      <c r="AY67" s="420"/>
      <c r="AZ67" s="308" t="str">
        <f t="shared" si="117"/>
        <v/>
      </c>
      <c r="BA67" s="307" t="str">
        <f t="shared" si="252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0"/>
        <v/>
      </c>
      <c r="BJ67" s="5" t="str">
        <f t="shared" si="259"/>
        <v/>
      </c>
      <c r="BK67" s="8" t="str">
        <f t="shared" si="260"/>
        <v/>
      </c>
      <c r="BL67" s="177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31"/>
        <v/>
      </c>
      <c r="BT67" s="5" t="str">
        <f t="shared" si="431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80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2"/>
        <v/>
      </c>
      <c r="DC67" s="5" t="str">
        <f t="shared" si="432"/>
        <v/>
      </c>
      <c r="DD67" s="10" t="str">
        <f t="shared" si="142"/>
        <v/>
      </c>
      <c r="DE67" s="9" t="str">
        <f t="shared" si="433"/>
        <v/>
      </c>
      <c r="DF67" s="5" t="str">
        <f t="shared" si="433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78" t="str">
        <f t="shared" si="434"/>
        <v/>
      </c>
      <c r="EW67" s="9" t="str">
        <f t="shared" si="435"/>
        <v/>
      </c>
      <c r="EX67" s="5" t="str">
        <f t="shared" si="436"/>
        <v/>
      </c>
      <c r="EY67" s="6" t="str">
        <f t="shared" si="182"/>
        <v/>
      </c>
      <c r="EZ67" s="52" t="str">
        <f t="shared" si="183"/>
        <v/>
      </c>
      <c r="FA67" s="177" t="str">
        <f t="shared" si="437"/>
        <v/>
      </c>
      <c r="FB67" s="5" t="str">
        <f t="shared" si="438"/>
        <v/>
      </c>
      <c r="FC67" s="6" t="str">
        <f t="shared" si="439"/>
        <v/>
      </c>
      <c r="FD67" s="4" t="str">
        <f t="shared" si="440"/>
        <v/>
      </c>
      <c r="FE67" s="5" t="str">
        <f t="shared" si="441"/>
        <v/>
      </c>
      <c r="FF67" s="7" t="str">
        <f t="shared" si="184"/>
        <v/>
      </c>
      <c r="FG67" s="177" t="str">
        <f t="shared" si="442"/>
        <v/>
      </c>
      <c r="FH67" s="5" t="str">
        <f t="shared" si="443"/>
        <v/>
      </c>
      <c r="FI67" s="10" t="str">
        <f t="shared" si="444"/>
        <v/>
      </c>
      <c r="FJ67" s="290" t="str">
        <f t="shared" si="185"/>
        <v/>
      </c>
      <c r="FK67" s="4" t="str">
        <f t="shared" si="445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6"/>
        <v/>
      </c>
      <c r="FP67" s="288" t="str">
        <f t="shared" si="447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8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9"/>
        <v/>
      </c>
      <c r="GH67" s="297" t="str">
        <f t="shared" si="450"/>
        <v/>
      </c>
      <c r="GI67" s="292" t="str">
        <f t="shared" si="451"/>
        <v/>
      </c>
      <c r="GJ67" s="171" t="str">
        <f t="shared" si="199"/>
        <v/>
      </c>
      <c r="GK67" s="178" t="str">
        <f t="shared" si="452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3"/>
        <v/>
      </c>
      <c r="GT67" s="364" t="str">
        <f t="shared" si="454"/>
        <v/>
      </c>
      <c r="GU67" s="365" t="str">
        <f t="shared" si="455"/>
        <v/>
      </c>
      <c r="GV67" s="364" t="str">
        <f t="shared" si="204"/>
        <v/>
      </c>
      <c r="GW67" s="366" t="str">
        <f t="shared" si="456"/>
        <v/>
      </c>
      <c r="GX67" s="367" t="str">
        <f t="shared" si="457"/>
        <v/>
      </c>
      <c r="GY67" s="365" t="str">
        <f t="shared" si="458"/>
        <v/>
      </c>
      <c r="GZ67" s="366" t="str">
        <f t="shared" si="459"/>
        <v/>
      </c>
      <c r="HA67" s="363" t="str">
        <f t="shared" si="460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61"/>
        <v/>
      </c>
      <c r="HF67" s="5" t="str">
        <f t="shared" si="462"/>
        <v/>
      </c>
      <c r="HG67" s="364" t="str">
        <f t="shared" si="208"/>
        <v/>
      </c>
      <c r="HH67" s="370" t="str">
        <f t="shared" si="209"/>
        <v/>
      </c>
      <c r="HI67" s="335" t="str">
        <f t="shared" si="383"/>
        <v/>
      </c>
      <c r="HK67" s="323" t="str">
        <f t="shared" si="238"/>
        <v/>
      </c>
      <c r="HL67" s="322" t="str">
        <f t="shared" si="407"/>
        <v/>
      </c>
      <c r="HM67" s="369" t="str">
        <f t="shared" si="464"/>
        <v/>
      </c>
      <c r="HN67" s="384" t="str">
        <f t="shared" si="464"/>
        <v/>
      </c>
      <c r="HO67" s="385" t="str">
        <f t="shared" si="464"/>
        <v/>
      </c>
      <c r="HP67" s="380" t="str">
        <f t="shared" si="464"/>
        <v/>
      </c>
      <c r="HQ67" s="384" t="str">
        <f t="shared" si="464"/>
        <v/>
      </c>
      <c r="HR67" s="395" t="str">
        <f t="shared" si="464"/>
        <v/>
      </c>
      <c r="HS67" s="379" t="str">
        <f t="shared" si="464"/>
        <v/>
      </c>
      <c r="HT67" s="374" t="str">
        <f t="shared" si="464"/>
        <v/>
      </c>
      <c r="HU67" s="375" t="str">
        <f t="shared" si="464"/>
        <v/>
      </c>
      <c r="HV67" s="376" t="str">
        <f t="shared" si="464"/>
        <v/>
      </c>
      <c r="HW67" s="374" t="str">
        <f t="shared" si="464"/>
        <v/>
      </c>
      <c r="HX67" s="375" t="str">
        <f t="shared" si="464"/>
        <v/>
      </c>
      <c r="HY67" s="376" t="str">
        <f t="shared" si="464"/>
        <v/>
      </c>
      <c r="HZ67" s="374" t="str">
        <f t="shared" si="464"/>
        <v/>
      </c>
      <c r="IA67" s="375" t="str">
        <f t="shared" si="464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3.2490000000000001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3.149</v>
      </c>
      <c r="II67" s="734" cm="1">
        <f t="array" ref="II67">IFERROR(ROUND(VALUE(IF($IH67&lt;1,$IH67+LARGE((IF($M$9:$M$150="",0,$M$9:$M$150)-MOD(IF($M$9:$M$150="",0,$M$9:$M$150),1)),1),$IH67)),4),"")</f>
        <v>3.149</v>
      </c>
      <c r="IJ67" s="533">
        <f t="shared" si="112"/>
        <v>1613</v>
      </c>
      <c r="IK67" s="533" t="str">
        <f t="shared" si="384"/>
        <v>Inactive</v>
      </c>
      <c r="IL67" s="727">
        <f t="shared" si="225"/>
        <v>16.176797664359412</v>
      </c>
      <c r="IM67" s="759">
        <v>2.5759340210551699E-4</v>
      </c>
      <c r="IN67" s="5">
        <f t="shared" si="226"/>
        <v>0</v>
      </c>
      <c r="IO67" s="771">
        <v>0</v>
      </c>
      <c r="IP67" s="9">
        <f t="shared" si="227"/>
        <v>-6.7382203224724933</v>
      </c>
      <c r="IQ67" s="5">
        <f t="shared" si="228"/>
        <v>-2.123806405400118</v>
      </c>
      <c r="IR67" s="5">
        <f t="shared" si="385"/>
        <v>0.314</v>
      </c>
      <c r="IS67" s="5">
        <f t="shared" si="229"/>
        <v>0.26688517449423349</v>
      </c>
      <c r="IT67" s="727">
        <f t="shared" si="230"/>
        <v>71.544674925902541</v>
      </c>
      <c r="IU67" s="9">
        <f t="shared" si="231"/>
        <v>-6.7502203586646026</v>
      </c>
      <c r="IV67" s="5">
        <f t="shared" si="232"/>
        <v>-2.1244064072097251</v>
      </c>
      <c r="IW67" s="5">
        <f t="shared" si="386"/>
        <v>0.26250000000000001</v>
      </c>
      <c r="IX67" s="5">
        <f t="shared" si="233"/>
        <v>0.26250000000000001</v>
      </c>
      <c r="IY67" s="762">
        <f t="shared" si="234"/>
        <v>50.199992752017799</v>
      </c>
    </row>
    <row r="68" spans="1:259" ht="15" customHeight="1" x14ac:dyDescent="0.25">
      <c r="A68" s="79"/>
      <c r="B68" s="707">
        <v>4.1061737600645722</v>
      </c>
      <c r="C68" s="708">
        <v>-5.6096828950915691</v>
      </c>
      <c r="D68" s="709">
        <v>-2.843208575117063</v>
      </c>
      <c r="E68" s="710">
        <v>0.50996740783921379</v>
      </c>
      <c r="F68" s="708">
        <v>-0.69669576479506767</v>
      </c>
      <c r="G68" s="711">
        <v>0.504527753704758</v>
      </c>
      <c r="H68" s="710">
        <v>0.26250000000000001</v>
      </c>
      <c r="I68" s="708">
        <v>0.40699999999999997</v>
      </c>
      <c r="J68" s="570">
        <v>3.2549999999999999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1314">
        <f t="shared" si="465"/>
        <v>0</v>
      </c>
      <c r="M68" s="168">
        <f t="shared" si="241"/>
        <v>3.2549999999999999</v>
      </c>
      <c r="N68" s="632">
        <f t="shared" si="242"/>
        <v>4.1061737600645722</v>
      </c>
      <c r="O68" s="629">
        <f t="shared" si="243"/>
        <v>-5.6096828950915691</v>
      </c>
      <c r="P68" s="633">
        <f t="shared" si="244"/>
        <v>-2.843208575117063</v>
      </c>
      <c r="Q68" s="585">
        <f t="shared" si="113"/>
        <v>306.20336878409574</v>
      </c>
      <c r="R68" s="629">
        <f>IF(M68="","",SQRT(N68^2+O68^2))</f>
        <v>6.9519209669936375</v>
      </c>
      <c r="S68" s="634">
        <f>IF(M68="","",P68)</f>
        <v>-2.843208575117063</v>
      </c>
      <c r="T68" s="635">
        <f>IF(M68="","",X68*COS(RADIANS(W68)))</f>
        <v>-5.60968289509157</v>
      </c>
      <c r="U68" s="629">
        <f>IF(M68="","",X68*SIN(RADIANS(W68)))</f>
        <v>-4.1061737600645714</v>
      </c>
      <c r="V68" s="636">
        <f>IF(M68="","",Y68)</f>
        <v>-2.843208575117063</v>
      </c>
      <c r="W68" s="585">
        <f t="shared" si="224"/>
        <v>216.20336878409574</v>
      </c>
      <c r="X68" s="629">
        <f>IF(M68="","",R68)</f>
        <v>6.9519209669936375</v>
      </c>
      <c r="Y68" s="630">
        <f t="shared" si="223"/>
        <v>-2.843208575117063</v>
      </c>
      <c r="Z68" s="632">
        <f t="shared" si="245"/>
        <v>-0.50996740783921379</v>
      </c>
      <c r="AA68" s="629">
        <f t="shared" si="246"/>
        <v>0.69669576479506767</v>
      </c>
      <c r="AB68" s="629">
        <f t="shared" si="247"/>
        <v>-0.504527753704758</v>
      </c>
      <c r="AC68" s="636">
        <f>IF(M68="","",SQRT(Z68^2+AA68^2+AB68^2))</f>
        <v>1</v>
      </c>
      <c r="AD68" s="637">
        <f>IF(M68="","",Z68*(1/SQRT(Z68^2+AA68^2+AB68^2)))</f>
        <v>-0.50996740783921379</v>
      </c>
      <c r="AE68" s="629">
        <f>IF(M68="","",AA68*(1/SQRT(Z68^2+AA68^2+AB68^2)))</f>
        <v>0.69669576479506767</v>
      </c>
      <c r="AF68" s="633">
        <f>IF(M68="","",AB68*(1/SQRT(Z68^2+AA68^2+AB68^2)))</f>
        <v>-0.504527753704758</v>
      </c>
      <c r="AG68" s="602">
        <f>IF(M68="","",DEGREES(ATAN2(-AF68,AE68)))</f>
        <v>54.088986252633681</v>
      </c>
      <c r="AH68" s="603">
        <f>IF(M68="","",DEGREES(ACOS(AD68)))</f>
        <v>120.66165881951092</v>
      </c>
      <c r="AI68" s="585">
        <f>IF(M68="","",DEGREES(-ACOS(-AF68)))</f>
        <v>-59.699991380388568</v>
      </c>
      <c r="AJ68" s="586">
        <f>IF(M68="","",DEGREES(ATAN2(-AE68,AD68)))</f>
        <v>-143.7966161655701</v>
      </c>
      <c r="AK68" s="635">
        <f>IF(M68="","",(COS(RADIANS((90-$Q$8)-W68))*AD68)+(-SIN(RADIANS((90-$Q$8)-W68))*AE68))</f>
        <v>2.2679489686261434E-7</v>
      </c>
      <c r="AL68" s="629">
        <f>IF(M68="","",(SIN(RADIANS((90-$Q$8)-W68))*AD68)+(COS(RADIANS((90-$Q$8)-W68))*AE68))</f>
        <v>-0.86339547470529399</v>
      </c>
      <c r="AM68" s="634">
        <f>IF(M68="","",AF68)</f>
        <v>-0.504527753704758</v>
      </c>
      <c r="AN68" s="581">
        <f>IF(M68="","",DEGREES(ATAN2(-AM68,AL68)))</f>
        <v>-59.699991380387715</v>
      </c>
      <c r="AO68" s="582">
        <f t="shared" si="463"/>
        <v>0</v>
      </c>
      <c r="AP68" s="585">
        <f>IF(M68="","",DEGREES(ATAN2(AK68,AL68)))</f>
        <v>-89.999984949665844</v>
      </c>
      <c r="AQ68" s="586">
        <f t="shared" si="248"/>
        <v>0.32792400123035526</v>
      </c>
      <c r="AS68" s="52">
        <f t="shared" si="408"/>
        <v>-143.79663121590426</v>
      </c>
      <c r="AT68" s="72">
        <f t="shared" si="249"/>
        <v>-2.7433498034393518</v>
      </c>
      <c r="AU68" s="469"/>
      <c r="AV68" s="168" t="str">
        <f t="shared" si="250"/>
        <v/>
      </c>
      <c r="AW68" s="418"/>
      <c r="AX68" s="419"/>
      <c r="AY68" s="420"/>
      <c r="AZ68" s="308" t="str">
        <f t="shared" si="117"/>
        <v/>
      </c>
      <c r="BA68" s="307" t="str">
        <f t="shared" si="252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0"/>
        <v/>
      </c>
      <c r="BJ68" s="5" t="str">
        <f t="shared" si="259"/>
        <v/>
      </c>
      <c r="BK68" s="8" t="str">
        <f t="shared" si="260"/>
        <v/>
      </c>
      <c r="BL68" s="177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31"/>
        <v/>
      </c>
      <c r="BT68" s="5" t="str">
        <f t="shared" si="431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80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2"/>
        <v/>
      </c>
      <c r="DC68" s="5" t="str">
        <f t="shared" si="432"/>
        <v/>
      </c>
      <c r="DD68" s="10" t="str">
        <f t="shared" si="142"/>
        <v/>
      </c>
      <c r="DE68" s="9" t="str">
        <f t="shared" si="433"/>
        <v/>
      </c>
      <c r="DF68" s="5" t="str">
        <f t="shared" si="433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78" t="str">
        <f t="shared" si="434"/>
        <v/>
      </c>
      <c r="EW68" s="9" t="str">
        <f t="shared" si="435"/>
        <v/>
      </c>
      <c r="EX68" s="5" t="str">
        <f t="shared" si="436"/>
        <v/>
      </c>
      <c r="EY68" s="6" t="str">
        <f t="shared" si="182"/>
        <v/>
      </c>
      <c r="EZ68" s="52" t="str">
        <f t="shared" si="183"/>
        <v/>
      </c>
      <c r="FA68" s="177" t="str">
        <f t="shared" si="437"/>
        <v/>
      </c>
      <c r="FB68" s="5" t="str">
        <f t="shared" si="438"/>
        <v/>
      </c>
      <c r="FC68" s="6" t="str">
        <f t="shared" si="439"/>
        <v/>
      </c>
      <c r="FD68" s="4" t="str">
        <f t="shared" si="440"/>
        <v/>
      </c>
      <c r="FE68" s="5" t="str">
        <f t="shared" si="441"/>
        <v/>
      </c>
      <c r="FF68" s="7" t="str">
        <f t="shared" si="184"/>
        <v/>
      </c>
      <c r="FG68" s="177" t="str">
        <f t="shared" si="442"/>
        <v/>
      </c>
      <c r="FH68" s="5" t="str">
        <f t="shared" si="443"/>
        <v/>
      </c>
      <c r="FI68" s="10" t="str">
        <f t="shared" si="444"/>
        <v/>
      </c>
      <c r="FJ68" s="290" t="str">
        <f t="shared" si="185"/>
        <v/>
      </c>
      <c r="FK68" s="4" t="str">
        <f t="shared" si="445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6"/>
        <v/>
      </c>
      <c r="FP68" s="288" t="str">
        <f t="shared" si="447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8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9"/>
        <v/>
      </c>
      <c r="GH68" s="297" t="str">
        <f t="shared" si="450"/>
        <v/>
      </c>
      <c r="GI68" s="292" t="str">
        <f t="shared" si="451"/>
        <v/>
      </c>
      <c r="GJ68" s="171" t="str">
        <f t="shared" si="199"/>
        <v/>
      </c>
      <c r="GK68" s="178" t="str">
        <f t="shared" si="452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3"/>
        <v/>
      </c>
      <c r="GT68" s="364" t="str">
        <f t="shared" si="454"/>
        <v/>
      </c>
      <c r="GU68" s="365" t="str">
        <f t="shared" si="455"/>
        <v/>
      </c>
      <c r="GV68" s="364" t="str">
        <f t="shared" si="204"/>
        <v/>
      </c>
      <c r="GW68" s="366" t="str">
        <f t="shared" si="456"/>
        <v/>
      </c>
      <c r="GX68" s="367" t="str">
        <f t="shared" si="457"/>
        <v/>
      </c>
      <c r="GY68" s="365" t="str">
        <f t="shared" si="458"/>
        <v/>
      </c>
      <c r="GZ68" s="366" t="str">
        <f t="shared" si="459"/>
        <v/>
      </c>
      <c r="HA68" s="363" t="str">
        <f t="shared" si="460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61"/>
        <v/>
      </c>
      <c r="HF68" s="5" t="str">
        <f t="shared" si="462"/>
        <v/>
      </c>
      <c r="HG68" s="364" t="str">
        <f t="shared" si="208"/>
        <v/>
      </c>
      <c r="HH68" s="370" t="str">
        <f t="shared" si="209"/>
        <v/>
      </c>
      <c r="HI68" s="335" t="str">
        <f t="shared" si="383"/>
        <v/>
      </c>
      <c r="HK68" s="323" t="str">
        <f t="shared" si="238"/>
        <v/>
      </c>
      <c r="HL68" s="322" t="str">
        <f t="shared" si="407"/>
        <v/>
      </c>
      <c r="HM68" s="369" t="str">
        <f t="shared" si="464"/>
        <v/>
      </c>
      <c r="HN68" s="384" t="str">
        <f t="shared" si="464"/>
        <v/>
      </c>
      <c r="HO68" s="385" t="str">
        <f t="shared" si="464"/>
        <v/>
      </c>
      <c r="HP68" s="380" t="str">
        <f t="shared" si="464"/>
        <v/>
      </c>
      <c r="HQ68" s="384" t="str">
        <f t="shared" si="464"/>
        <v/>
      </c>
      <c r="HR68" s="395" t="str">
        <f t="shared" si="464"/>
        <v/>
      </c>
      <c r="HS68" s="379" t="str">
        <f t="shared" si="464"/>
        <v/>
      </c>
      <c r="HT68" s="374" t="str">
        <f t="shared" si="464"/>
        <v/>
      </c>
      <c r="HU68" s="375" t="str">
        <f t="shared" si="464"/>
        <v/>
      </c>
      <c r="HV68" s="376" t="str">
        <f t="shared" si="464"/>
        <v/>
      </c>
      <c r="HW68" s="374" t="str">
        <f t="shared" si="464"/>
        <v/>
      </c>
      <c r="HX68" s="375" t="str">
        <f t="shared" si="464"/>
        <v/>
      </c>
      <c r="HY68" s="376" t="str">
        <f t="shared" si="464"/>
        <v/>
      </c>
      <c r="HZ68" s="374" t="str">
        <f t="shared" si="464"/>
        <v/>
      </c>
      <c r="IA68" s="375" t="str">
        <f t="shared" si="464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3.2549999999999999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3.1549999999999998</v>
      </c>
      <c r="II68" s="734" cm="1">
        <f t="array" ref="II68">IFERROR(ROUND(VALUE(IF($IH68&lt;1,$IH68+LARGE((IF($M$9:$M$150="",0,$M$9:$M$150)-MOD(IF($M$9:$M$150="",0,$M$9:$M$150),1)),1),$IH68)),4),"")</f>
        <v>3.1549999999999998</v>
      </c>
      <c r="IJ68" s="533">
        <f t="shared" si="112"/>
        <v>1613</v>
      </c>
      <c r="IK68" s="533" t="str">
        <f t="shared" si="384"/>
        <v>Inactive</v>
      </c>
      <c r="IL68" s="727">
        <f t="shared" si="225"/>
        <v>16.021597686767507</v>
      </c>
      <c r="IM68" s="759">
        <v>1.2932360099114499E-4</v>
      </c>
      <c r="IN68" s="5">
        <f t="shared" si="226"/>
        <v>0</v>
      </c>
      <c r="IO68" s="771">
        <v>0</v>
      </c>
      <c r="IP68" s="9">
        <f t="shared" si="227"/>
        <v>-6.9458209485959799</v>
      </c>
      <c r="IQ68" s="5">
        <f t="shared" si="228"/>
        <v>-2.8363085543066004</v>
      </c>
      <c r="IR68" s="5">
        <f t="shared" si="385"/>
        <v>0.314</v>
      </c>
      <c r="IS68" s="5">
        <f t="shared" si="229"/>
        <v>0.25776429160578673</v>
      </c>
      <c r="IT68" s="727">
        <f t="shared" si="230"/>
        <v>80.709028229209878</v>
      </c>
      <c r="IU68" s="9">
        <f t="shared" si="231"/>
        <v>-6.9519209669936375</v>
      </c>
      <c r="IV68" s="5">
        <f t="shared" si="232"/>
        <v>-2.843208575117063</v>
      </c>
      <c r="IW68" s="5">
        <f t="shared" si="386"/>
        <v>0.26250000000000001</v>
      </c>
      <c r="IX68" s="5">
        <f t="shared" si="233"/>
        <v>0.26250000000000001</v>
      </c>
      <c r="IY68" s="762">
        <f t="shared" si="234"/>
        <v>59.699991380387715</v>
      </c>
    </row>
    <row r="69" spans="1:259" ht="15" customHeight="1" x14ac:dyDescent="0.25">
      <c r="A69" s="79"/>
      <c r="B69" s="707">
        <v>4.221152370613928</v>
      </c>
      <c r="C69" s="708">
        <v>-5.6835650039133592</v>
      </c>
      <c r="D69" s="709">
        <v>-3.5878108208374342</v>
      </c>
      <c r="E69" s="710">
        <v>0.54037695948266029</v>
      </c>
      <c r="F69" s="708">
        <v>-0.7275894591239489</v>
      </c>
      <c r="G69" s="711">
        <v>0.42261841019055807</v>
      </c>
      <c r="H69" s="710">
        <v>0.26250000000000001</v>
      </c>
      <c r="I69" s="708">
        <v>0.40699999999999997</v>
      </c>
      <c r="J69" s="570">
        <v>3.2610000000000001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1314">
        <f t="shared" si="465"/>
        <v>0</v>
      </c>
      <c r="M69" s="168">
        <f t="shared" si="241"/>
        <v>3.2610000000000001</v>
      </c>
      <c r="N69" s="632">
        <f t="shared" si="242"/>
        <v>4.221152370613928</v>
      </c>
      <c r="O69" s="629">
        <f t="shared" si="243"/>
        <v>-5.6835650039133592</v>
      </c>
      <c r="P69" s="633">
        <f t="shared" si="244"/>
        <v>-3.5878108208374342</v>
      </c>
      <c r="Q69" s="585">
        <f t="shared" si="113"/>
        <v>306.60106872667495</v>
      </c>
      <c r="R69" s="629">
        <f t="shared" si="79"/>
        <v>7.0796213521379974</v>
      </c>
      <c r="S69" s="634">
        <f t="shared" si="80"/>
        <v>-3.5878108208374342</v>
      </c>
      <c r="T69" s="635">
        <f t="shared" si="81"/>
        <v>-5.6835650039133627</v>
      </c>
      <c r="U69" s="629">
        <f t="shared" si="82"/>
        <v>-4.2211523706139236</v>
      </c>
      <c r="V69" s="636">
        <f t="shared" si="114"/>
        <v>-3.5878108208374342</v>
      </c>
      <c r="W69" s="585">
        <f t="shared" si="224"/>
        <v>216.60106872667495</v>
      </c>
      <c r="X69" s="629">
        <f t="shared" si="83"/>
        <v>7.0796213521379974</v>
      </c>
      <c r="Y69" s="630">
        <f t="shared" si="223"/>
        <v>-3.5878108208374342</v>
      </c>
      <c r="Z69" s="632">
        <f t="shared" si="245"/>
        <v>-0.54037695948266029</v>
      </c>
      <c r="AA69" s="629">
        <f t="shared" si="246"/>
        <v>0.7275894591239489</v>
      </c>
      <c r="AB69" s="629">
        <f t="shared" si="247"/>
        <v>-0.42261841019055807</v>
      </c>
      <c r="AC69" s="636">
        <f t="shared" si="84"/>
        <v>1</v>
      </c>
      <c r="AD69" s="637">
        <f t="shared" si="115"/>
        <v>-0.54037695948266029</v>
      </c>
      <c r="AE69" s="629">
        <f t="shared" si="85"/>
        <v>0.7275894591239489</v>
      </c>
      <c r="AF69" s="633">
        <f t="shared" si="86"/>
        <v>-0.42261841019055807</v>
      </c>
      <c r="AG69" s="602">
        <f t="shared" si="87"/>
        <v>59.849951523497587</v>
      </c>
      <c r="AH69" s="603">
        <f t="shared" si="88"/>
        <v>122.70930379811533</v>
      </c>
      <c r="AI69" s="585">
        <f t="shared" si="89"/>
        <v>-64.999990615163185</v>
      </c>
      <c r="AJ69" s="586">
        <f t="shared" si="90"/>
        <v>-143.39891693560048</v>
      </c>
      <c r="AK69" s="635">
        <f t="shared" si="211"/>
        <v>2.2679489730670355E-7</v>
      </c>
      <c r="AL69" s="629">
        <f t="shared" si="91"/>
        <v>-0.90630771781330077</v>
      </c>
      <c r="AM69" s="634">
        <f t="shared" si="92"/>
        <v>-0.42261841019055807</v>
      </c>
      <c r="AN69" s="581">
        <f t="shared" si="93"/>
        <v>-64.999990615162488</v>
      </c>
      <c r="AO69" s="582">
        <f t="shared" si="463"/>
        <v>0</v>
      </c>
      <c r="AP69" s="585">
        <f t="shared" si="95"/>
        <v>-89.999985662275449</v>
      </c>
      <c r="AQ69" s="586">
        <f t="shared" si="248"/>
        <v>0.32200911831652607</v>
      </c>
      <c r="AS69" s="52">
        <f t="shared" si="408"/>
        <v>-143.39893127332505</v>
      </c>
      <c r="AT69" s="72">
        <f t="shared" si="249"/>
        <v>-3.488228229675403</v>
      </c>
      <c r="AU69" s="469"/>
      <c r="AV69" s="168" t="str">
        <f t="shared" si="250"/>
        <v/>
      </c>
      <c r="AW69" s="418"/>
      <c r="AX69" s="419"/>
      <c r="AY69" s="420"/>
      <c r="AZ69" s="308" t="str">
        <f t="shared" si="117"/>
        <v/>
      </c>
      <c r="BA69" s="307" t="str">
        <f t="shared" si="252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0"/>
        <v/>
      </c>
      <c r="BJ69" s="5" t="str">
        <f t="shared" si="259"/>
        <v/>
      </c>
      <c r="BK69" s="8" t="str">
        <f t="shared" si="260"/>
        <v/>
      </c>
      <c r="BL69" s="177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31"/>
        <v/>
      </c>
      <c r="BT69" s="5" t="str">
        <f t="shared" si="431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80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2"/>
        <v/>
      </c>
      <c r="DC69" s="5" t="str">
        <f t="shared" si="432"/>
        <v/>
      </c>
      <c r="DD69" s="10" t="str">
        <f t="shared" si="142"/>
        <v/>
      </c>
      <c r="DE69" s="9" t="str">
        <f t="shared" si="433"/>
        <v/>
      </c>
      <c r="DF69" s="5" t="str">
        <f t="shared" si="433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78" t="str">
        <f t="shared" si="434"/>
        <v/>
      </c>
      <c r="EW69" s="9" t="str">
        <f t="shared" si="435"/>
        <v/>
      </c>
      <c r="EX69" s="5" t="str">
        <f t="shared" si="436"/>
        <v/>
      </c>
      <c r="EY69" s="6" t="str">
        <f t="shared" si="182"/>
        <v/>
      </c>
      <c r="EZ69" s="52" t="str">
        <f t="shared" si="183"/>
        <v/>
      </c>
      <c r="FA69" s="177" t="str">
        <f t="shared" si="437"/>
        <v/>
      </c>
      <c r="FB69" s="5" t="str">
        <f t="shared" si="438"/>
        <v/>
      </c>
      <c r="FC69" s="6" t="str">
        <f t="shared" si="439"/>
        <v/>
      </c>
      <c r="FD69" s="4" t="str">
        <f t="shared" si="440"/>
        <v/>
      </c>
      <c r="FE69" s="5" t="str">
        <f t="shared" si="441"/>
        <v/>
      </c>
      <c r="FF69" s="7" t="str">
        <f t="shared" si="184"/>
        <v/>
      </c>
      <c r="FG69" s="177" t="str">
        <f t="shared" si="442"/>
        <v/>
      </c>
      <c r="FH69" s="5" t="str">
        <f t="shared" si="443"/>
        <v/>
      </c>
      <c r="FI69" s="10" t="str">
        <f t="shared" si="444"/>
        <v/>
      </c>
      <c r="FJ69" s="290" t="str">
        <f t="shared" si="185"/>
        <v/>
      </c>
      <c r="FK69" s="4" t="str">
        <f t="shared" si="445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6"/>
        <v/>
      </c>
      <c r="FP69" s="288" t="str">
        <f t="shared" si="447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8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9"/>
        <v/>
      </c>
      <c r="GH69" s="297" t="str">
        <f t="shared" si="450"/>
        <v/>
      </c>
      <c r="GI69" s="292" t="str">
        <f t="shared" si="451"/>
        <v/>
      </c>
      <c r="GJ69" s="171" t="str">
        <f t="shared" si="199"/>
        <v/>
      </c>
      <c r="GK69" s="178" t="str">
        <f t="shared" si="452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3"/>
        <v/>
      </c>
      <c r="GT69" s="364" t="str">
        <f t="shared" si="454"/>
        <v/>
      </c>
      <c r="GU69" s="365" t="str">
        <f t="shared" si="455"/>
        <v/>
      </c>
      <c r="GV69" s="364" t="str">
        <f t="shared" si="204"/>
        <v/>
      </c>
      <c r="GW69" s="366" t="str">
        <f t="shared" si="456"/>
        <v/>
      </c>
      <c r="GX69" s="367" t="str">
        <f t="shared" si="457"/>
        <v/>
      </c>
      <c r="GY69" s="365" t="str">
        <f t="shared" si="458"/>
        <v/>
      </c>
      <c r="GZ69" s="366" t="str">
        <f t="shared" si="459"/>
        <v/>
      </c>
      <c r="HA69" s="363" t="str">
        <f t="shared" si="460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61"/>
        <v/>
      </c>
      <c r="HF69" s="5" t="str">
        <f t="shared" si="462"/>
        <v/>
      </c>
      <c r="HG69" s="364" t="str">
        <f t="shared" si="208"/>
        <v/>
      </c>
      <c r="HH69" s="370" t="str">
        <f t="shared" si="209"/>
        <v/>
      </c>
      <c r="HI69" s="335" t="str">
        <f t="shared" si="383"/>
        <v/>
      </c>
      <c r="HK69" s="323" t="str">
        <f t="shared" si="238"/>
        <v/>
      </c>
      <c r="HL69" s="322" t="str">
        <f t="shared" si="407"/>
        <v/>
      </c>
      <c r="HM69" s="369" t="str">
        <f t="shared" ref="HM69:IA78" si="466">IF(ISNUMBER($HL69),VLOOKUP($HL69,$GJ$9:$HI$150,HM$1,FALSE),"")</f>
        <v/>
      </c>
      <c r="HN69" s="384" t="str">
        <f t="shared" si="466"/>
        <v/>
      </c>
      <c r="HO69" s="385" t="str">
        <f t="shared" si="466"/>
        <v/>
      </c>
      <c r="HP69" s="380" t="str">
        <f t="shared" si="466"/>
        <v/>
      </c>
      <c r="HQ69" s="384" t="str">
        <f t="shared" si="466"/>
        <v/>
      </c>
      <c r="HR69" s="395" t="str">
        <f t="shared" si="466"/>
        <v/>
      </c>
      <c r="HS69" s="379" t="str">
        <f t="shared" si="466"/>
        <v/>
      </c>
      <c r="HT69" s="374" t="str">
        <f t="shared" si="466"/>
        <v/>
      </c>
      <c r="HU69" s="375" t="str">
        <f t="shared" si="466"/>
        <v/>
      </c>
      <c r="HV69" s="376" t="str">
        <f t="shared" si="466"/>
        <v/>
      </c>
      <c r="HW69" s="374" t="str">
        <f t="shared" si="466"/>
        <v/>
      </c>
      <c r="HX69" s="375" t="str">
        <f t="shared" si="466"/>
        <v/>
      </c>
      <c r="HY69" s="376" t="str">
        <f t="shared" si="466"/>
        <v/>
      </c>
      <c r="HZ69" s="374" t="str">
        <f t="shared" si="466"/>
        <v/>
      </c>
      <c r="IA69" s="375" t="str">
        <f t="shared" si="466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3.2610000000000001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3.161</v>
      </c>
      <c r="II69" s="734" cm="1">
        <f t="array" ref="II69">IFERROR(ROUND(VALUE(IF($IH69&lt;1,$IH69+LARGE((IF($M$9:$M$150="",0,$M$9:$M$150)-MOD(IF($M$9:$M$150="",0,$M$9:$M$150),1)),1),$IH69)),4),"")</f>
        <v>3.161</v>
      </c>
      <c r="IJ69" s="533">
        <f t="shared" si="112"/>
        <v>1613</v>
      </c>
      <c r="IK69" s="533" t="str">
        <f t="shared" si="384"/>
        <v>Inactive</v>
      </c>
      <c r="IL69" s="727">
        <f t="shared" si="225"/>
        <v>15.148897343527949</v>
      </c>
      <c r="IM69" s="759">
        <v>9.7642242114184005E-5</v>
      </c>
      <c r="IN69" s="5">
        <f t="shared" si="226"/>
        <v>0</v>
      </c>
      <c r="IO69" s="771">
        <v>0</v>
      </c>
      <c r="IP69" s="9">
        <f t="shared" si="227"/>
        <v>-7.0816213581700165</v>
      </c>
      <c r="IQ69" s="5">
        <f t="shared" si="228"/>
        <v>-3.5768107876613349</v>
      </c>
      <c r="IR69" s="5">
        <f t="shared" si="385"/>
        <v>0.314</v>
      </c>
      <c r="IS69" s="5">
        <f t="shared" si="229"/>
        <v>0.24819019482806212</v>
      </c>
      <c r="IT69" s="727">
        <f t="shared" si="230"/>
        <v>85.368615513501197</v>
      </c>
      <c r="IU69" s="9">
        <f t="shared" si="231"/>
        <v>-7.0796213521379974</v>
      </c>
      <c r="IV69" s="5">
        <f t="shared" si="232"/>
        <v>-3.5878108208374342</v>
      </c>
      <c r="IW69" s="5">
        <f t="shared" si="386"/>
        <v>0.26250000000000001</v>
      </c>
      <c r="IX69" s="5">
        <f t="shared" si="233"/>
        <v>0.26250000000000001</v>
      </c>
      <c r="IY69" s="762">
        <f t="shared" si="234"/>
        <v>64.999990615162488</v>
      </c>
    </row>
    <row r="70" spans="1:259" ht="15" customHeight="1" x14ac:dyDescent="0.25">
      <c r="A70" s="79"/>
      <c r="B70" s="707">
        <v>-0.50995538032116006</v>
      </c>
      <c r="C70" s="708">
        <v>-2.8920934323656984</v>
      </c>
      <c r="D70" s="709">
        <v>-0.15350046295739656</v>
      </c>
      <c r="E70" s="710">
        <v>0.94078812562050074</v>
      </c>
      <c r="F70" s="708">
        <v>-7.5999852514097563E-2</v>
      </c>
      <c r="G70" s="711">
        <v>0.33036604714967349</v>
      </c>
      <c r="H70" s="710">
        <v>0.314</v>
      </c>
      <c r="I70" s="708">
        <v>0.52</v>
      </c>
      <c r="J70" s="570">
        <v>4.1120000000000001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41"/>
        <v>4.1120000000000001</v>
      </c>
      <c r="N70" s="632">
        <f t="shared" si="242"/>
        <v>-0.50995538032116006</v>
      </c>
      <c r="O70" s="629">
        <f t="shared" si="243"/>
        <v>-2.8920934323656984</v>
      </c>
      <c r="P70" s="633">
        <f t="shared" si="244"/>
        <v>-0.15350046295739656</v>
      </c>
      <c r="Q70" s="585">
        <f t="shared" si="113"/>
        <v>259.99997545504038</v>
      </c>
      <c r="R70" s="629">
        <f t="shared" si="79"/>
        <v>2.9367088571139131</v>
      </c>
      <c r="S70" s="634">
        <f t="shared" si="80"/>
        <v>-0.15350046295739656</v>
      </c>
      <c r="T70" s="635">
        <f t="shared" si="81"/>
        <v>-2.8920934323656984</v>
      </c>
      <c r="U70" s="629">
        <f t="shared" si="82"/>
        <v>0.50995538032115817</v>
      </c>
      <c r="V70" s="636">
        <f t="shared" si="114"/>
        <v>-0.15350046295739656</v>
      </c>
      <c r="W70" s="585">
        <f t="shared" si="224"/>
        <v>169.99997545504038</v>
      </c>
      <c r="X70" s="629">
        <f t="shared" si="83"/>
        <v>2.9367088571139131</v>
      </c>
      <c r="Y70" s="630">
        <f t="shared" si="223"/>
        <v>-0.15350046295739656</v>
      </c>
      <c r="Z70" s="632">
        <f t="shared" si="245"/>
        <v>-0.94078812562050074</v>
      </c>
      <c r="AA70" s="629">
        <f t="shared" si="246"/>
        <v>7.5999852514097563E-2</v>
      </c>
      <c r="AB70" s="629">
        <f t="shared" si="247"/>
        <v>-0.33036604714967349</v>
      </c>
      <c r="AC70" s="636">
        <f t="shared" si="84"/>
        <v>1</v>
      </c>
      <c r="AD70" s="637">
        <f t="shared" si="115"/>
        <v>-0.94078812562050074</v>
      </c>
      <c r="AE70" s="629">
        <f t="shared" si="85"/>
        <v>7.5999852514097563E-2</v>
      </c>
      <c r="AF70" s="633">
        <f t="shared" si="86"/>
        <v>-0.33036604714967349</v>
      </c>
      <c r="AG70" s="602">
        <f t="shared" si="87"/>
        <v>12.955344239856897</v>
      </c>
      <c r="AH70" s="603">
        <f t="shared" si="88"/>
        <v>160.18433580320402</v>
      </c>
      <c r="AI70" s="585">
        <f t="shared" si="89"/>
        <v>-70.709005437865216</v>
      </c>
      <c r="AJ70" s="586">
        <f t="shared" si="90"/>
        <v>-94.618505782720149</v>
      </c>
      <c r="AK70" s="635">
        <f t="shared" si="211"/>
        <v>0.93969263802333447</v>
      </c>
      <c r="AL70" s="629">
        <f t="shared" si="91"/>
        <v>8.8521302156295084E-2</v>
      </c>
      <c r="AM70" s="634">
        <f t="shared" si="92"/>
        <v>-0.33036604714967349</v>
      </c>
      <c r="AN70" s="581">
        <f t="shared" si="93"/>
        <v>14.999997834268182</v>
      </c>
      <c r="AO70" s="582">
        <f t="shared" si="463"/>
        <v>19.999997112357704</v>
      </c>
      <c r="AP70" s="585">
        <f t="shared" si="95"/>
        <v>5.38151876223945</v>
      </c>
      <c r="AQ70" s="586">
        <f t="shared" si="248"/>
        <v>0.77623872940357264</v>
      </c>
      <c r="AS70" s="52">
        <f t="shared" si="408"/>
        <v>-190.00002454495962</v>
      </c>
      <c r="AT70" s="72">
        <f t="shared" si="249"/>
        <v>-2.1556001467841257E-2</v>
      </c>
      <c r="AU70" s="469"/>
      <c r="AV70" s="168" t="str">
        <f t="shared" si="250"/>
        <v/>
      </c>
      <c r="AW70" s="418"/>
      <c r="AX70" s="419"/>
      <c r="AY70" s="420"/>
      <c r="AZ70" s="308" t="str">
        <f t="shared" si="117"/>
        <v/>
      </c>
      <c r="BA70" s="307" t="str">
        <f t="shared" si="252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0"/>
        <v/>
      </c>
      <c r="BJ70" s="5" t="str">
        <f t="shared" si="259"/>
        <v/>
      </c>
      <c r="BK70" s="8" t="str">
        <f t="shared" si="260"/>
        <v/>
      </c>
      <c r="BL70" s="177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31"/>
        <v/>
      </c>
      <c r="BT70" s="5" t="str">
        <f t="shared" si="431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80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2"/>
        <v/>
      </c>
      <c r="DC70" s="5" t="str">
        <f t="shared" si="432"/>
        <v/>
      </c>
      <c r="DD70" s="10" t="str">
        <f t="shared" si="142"/>
        <v/>
      </c>
      <c r="DE70" s="9" t="str">
        <f t="shared" si="433"/>
        <v/>
      </c>
      <c r="DF70" s="5" t="str">
        <f t="shared" si="433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78" t="str">
        <f t="shared" si="434"/>
        <v/>
      </c>
      <c r="EW70" s="9" t="str">
        <f t="shared" si="435"/>
        <v/>
      </c>
      <c r="EX70" s="5" t="str">
        <f t="shared" si="436"/>
        <v/>
      </c>
      <c r="EY70" s="6" t="str">
        <f t="shared" si="182"/>
        <v/>
      </c>
      <c r="EZ70" s="52" t="str">
        <f t="shared" si="183"/>
        <v/>
      </c>
      <c r="FA70" s="177" t="str">
        <f t="shared" si="437"/>
        <v/>
      </c>
      <c r="FB70" s="5" t="str">
        <f t="shared" si="438"/>
        <v/>
      </c>
      <c r="FC70" s="6" t="str">
        <f t="shared" si="439"/>
        <v/>
      </c>
      <c r="FD70" s="4" t="str">
        <f t="shared" si="440"/>
        <v/>
      </c>
      <c r="FE70" s="5" t="str">
        <f t="shared" si="441"/>
        <v/>
      </c>
      <c r="FF70" s="7" t="str">
        <f t="shared" si="184"/>
        <v/>
      </c>
      <c r="FG70" s="177" t="str">
        <f t="shared" si="442"/>
        <v/>
      </c>
      <c r="FH70" s="5" t="str">
        <f t="shared" si="443"/>
        <v/>
      </c>
      <c r="FI70" s="10" t="str">
        <f t="shared" si="444"/>
        <v/>
      </c>
      <c r="FJ70" s="290" t="str">
        <f t="shared" si="185"/>
        <v/>
      </c>
      <c r="FK70" s="4" t="str">
        <f t="shared" si="445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6"/>
        <v/>
      </c>
      <c r="FP70" s="288" t="str">
        <f t="shared" si="447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8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9"/>
        <v/>
      </c>
      <c r="GH70" s="297" t="str">
        <f t="shared" si="450"/>
        <v/>
      </c>
      <c r="GI70" s="292" t="str">
        <f t="shared" si="451"/>
        <v/>
      </c>
      <c r="GJ70" s="171" t="str">
        <f t="shared" si="199"/>
        <v/>
      </c>
      <c r="GK70" s="178" t="str">
        <f t="shared" si="452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3"/>
        <v/>
      </c>
      <c r="GT70" s="364" t="str">
        <f t="shared" si="454"/>
        <v/>
      </c>
      <c r="GU70" s="365" t="str">
        <f t="shared" si="455"/>
        <v/>
      </c>
      <c r="GV70" s="364" t="str">
        <f t="shared" si="204"/>
        <v/>
      </c>
      <c r="GW70" s="366" t="str">
        <f t="shared" si="456"/>
        <v/>
      </c>
      <c r="GX70" s="367" t="str">
        <f t="shared" si="457"/>
        <v/>
      </c>
      <c r="GY70" s="365" t="str">
        <f t="shared" si="458"/>
        <v/>
      </c>
      <c r="GZ70" s="366" t="str">
        <f t="shared" si="459"/>
        <v/>
      </c>
      <c r="HA70" s="363" t="str">
        <f t="shared" si="460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61"/>
        <v/>
      </c>
      <c r="HF70" s="5" t="str">
        <f t="shared" si="462"/>
        <v/>
      </c>
      <c r="HG70" s="364" t="str">
        <f t="shared" si="208"/>
        <v/>
      </c>
      <c r="HH70" s="370" t="str">
        <f t="shared" si="209"/>
        <v/>
      </c>
      <c r="HI70" s="335" t="str">
        <f t="shared" si="383"/>
        <v/>
      </c>
      <c r="HK70" s="323" t="str">
        <f t="shared" si="238"/>
        <v/>
      </c>
      <c r="HL70" s="322" t="str">
        <f t="shared" si="407"/>
        <v/>
      </c>
      <c r="HM70" s="369" t="str">
        <f t="shared" si="466"/>
        <v/>
      </c>
      <c r="HN70" s="384" t="str">
        <f t="shared" si="466"/>
        <v/>
      </c>
      <c r="HO70" s="385" t="str">
        <f t="shared" si="466"/>
        <v/>
      </c>
      <c r="HP70" s="380" t="str">
        <f t="shared" si="466"/>
        <v/>
      </c>
      <c r="HQ70" s="384" t="str">
        <f t="shared" si="466"/>
        <v/>
      </c>
      <c r="HR70" s="395" t="str">
        <f t="shared" si="466"/>
        <v/>
      </c>
      <c r="HS70" s="379" t="str">
        <f t="shared" si="466"/>
        <v/>
      </c>
      <c r="HT70" s="374" t="str">
        <f t="shared" si="466"/>
        <v/>
      </c>
      <c r="HU70" s="375" t="str">
        <f t="shared" si="466"/>
        <v/>
      </c>
      <c r="HV70" s="376" t="str">
        <f t="shared" si="466"/>
        <v/>
      </c>
      <c r="HW70" s="374" t="str">
        <f t="shared" si="466"/>
        <v/>
      </c>
      <c r="HX70" s="375" t="str">
        <f t="shared" si="466"/>
        <v/>
      </c>
      <c r="HY70" s="376" t="str">
        <f t="shared" si="466"/>
        <v/>
      </c>
      <c r="HZ70" s="374" t="str">
        <f t="shared" si="466"/>
        <v/>
      </c>
      <c r="IA70" s="375" t="str">
        <f t="shared" si="466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4.1120000000000001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4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5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6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-0.63935870698555408</v>
      </c>
      <c r="C71" s="708">
        <v>-3.6259743278602743</v>
      </c>
      <c r="D71" s="709">
        <v>-5.4600164674096618E-2</v>
      </c>
      <c r="E71" s="710">
        <v>0.92541652547080078</v>
      </c>
      <c r="F71" s="708">
        <v>-0.16317631059931642</v>
      </c>
      <c r="G71" s="711">
        <v>0.34202009596622596</v>
      </c>
      <c r="H71" s="710">
        <v>0.314</v>
      </c>
      <c r="I71" s="708">
        <v>0.52</v>
      </c>
      <c r="J71" s="570">
        <v>4.1180000000000003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41"/>
        <v>4.1180000000000003</v>
      </c>
      <c r="N71" s="632">
        <f t="shared" si="242"/>
        <v>-0.63935870698555408</v>
      </c>
      <c r="O71" s="629">
        <f t="shared" si="243"/>
        <v>-3.6259743278602743</v>
      </c>
      <c r="P71" s="633">
        <f t="shared" si="244"/>
        <v>-5.4600164674096618E-2</v>
      </c>
      <c r="Q71" s="585">
        <f t="shared" si="113"/>
        <v>259.99997545504038</v>
      </c>
      <c r="R71" s="629">
        <f t="shared" si="79"/>
        <v>3.6819111046438926</v>
      </c>
      <c r="S71" s="634">
        <f t="shared" si="80"/>
        <v>-5.4600164674096618E-2</v>
      </c>
      <c r="T71" s="635">
        <f t="shared" si="81"/>
        <v>-3.6259743278602747</v>
      </c>
      <c r="U71" s="629">
        <f t="shared" si="82"/>
        <v>0.63935870698555275</v>
      </c>
      <c r="V71" s="636">
        <f t="shared" si="114"/>
        <v>-5.4600164674096618E-2</v>
      </c>
      <c r="W71" s="585">
        <f t="shared" si="224"/>
        <v>169.99997545504038</v>
      </c>
      <c r="X71" s="629">
        <f t="shared" si="83"/>
        <v>3.6819111046438926</v>
      </c>
      <c r="Y71" s="630">
        <f t="shared" si="223"/>
        <v>-5.4600164674096618E-2</v>
      </c>
      <c r="Z71" s="632">
        <f t="shared" si="245"/>
        <v>-0.92541652547080078</v>
      </c>
      <c r="AA71" s="629">
        <f t="shared" si="246"/>
        <v>0.16317631059931642</v>
      </c>
      <c r="AB71" s="629">
        <f t="shared" si="247"/>
        <v>-0.34202009596622596</v>
      </c>
      <c r="AC71" s="636">
        <f t="shared" si="84"/>
        <v>1</v>
      </c>
      <c r="AD71" s="637">
        <f t="shared" si="115"/>
        <v>-0.92541652547080078</v>
      </c>
      <c r="AE71" s="629">
        <f t="shared" si="85"/>
        <v>0.16317631059931642</v>
      </c>
      <c r="AF71" s="633">
        <f t="shared" si="86"/>
        <v>-0.34202009596622596</v>
      </c>
      <c r="AG71" s="602">
        <f t="shared" si="87"/>
        <v>25.505607851121312</v>
      </c>
      <c r="AH71" s="603">
        <f t="shared" si="88"/>
        <v>157.73124750229644</v>
      </c>
      <c r="AI71" s="585">
        <f t="shared" si="89"/>
        <v>-70.00000288764231</v>
      </c>
      <c r="AJ71" s="586">
        <f t="shared" si="90"/>
        <v>-100.00002454495964</v>
      </c>
      <c r="AK71" s="635">
        <f t="shared" si="211"/>
        <v>0.93969263802333458</v>
      </c>
      <c r="AL71" s="629">
        <f t="shared" si="91"/>
        <v>-4.4408920985006262E-16</v>
      </c>
      <c r="AM71" s="634">
        <f t="shared" si="92"/>
        <v>-0.34202009596622596</v>
      </c>
      <c r="AN71" s="581">
        <f t="shared" si="93"/>
        <v>-7.4394568482375781E-14</v>
      </c>
      <c r="AO71" s="582">
        <f t="shared" si="463"/>
        <v>19.999997112357679</v>
      </c>
      <c r="AP71" s="585">
        <f t="shared" si="95"/>
        <v>-2.7077404272562042E-14</v>
      </c>
      <c r="AQ71" s="586">
        <f t="shared" si="248"/>
        <v>0.61914528356516729</v>
      </c>
      <c r="AS71" s="52">
        <f t="shared" si="408"/>
        <v>-190.00002454495962</v>
      </c>
      <c r="AT71" s="72">
        <f t="shared" si="249"/>
        <v>7.734429681545868E-2</v>
      </c>
      <c r="AU71" s="469"/>
      <c r="AV71" s="168" t="str">
        <f t="shared" si="250"/>
        <v/>
      </c>
      <c r="AW71" s="418"/>
      <c r="AX71" s="419"/>
      <c r="AY71" s="420"/>
      <c r="AZ71" s="308" t="str">
        <f t="shared" si="117"/>
        <v/>
      </c>
      <c r="BA71" s="307" t="str">
        <f t="shared" si="252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0"/>
        <v/>
      </c>
      <c r="BJ71" s="5" t="str">
        <f t="shared" si="259"/>
        <v/>
      </c>
      <c r="BK71" s="8" t="str">
        <f t="shared" si="260"/>
        <v/>
      </c>
      <c r="BL71" s="177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31"/>
        <v/>
      </c>
      <c r="BT71" s="5" t="str">
        <f t="shared" si="431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80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2"/>
        <v/>
      </c>
      <c r="DC71" s="5" t="str">
        <f t="shared" si="432"/>
        <v/>
      </c>
      <c r="DD71" s="10" t="str">
        <f t="shared" si="142"/>
        <v/>
      </c>
      <c r="DE71" s="9" t="str">
        <f t="shared" si="433"/>
        <v/>
      </c>
      <c r="DF71" s="5" t="str">
        <f t="shared" si="433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78" t="str">
        <f t="shared" si="434"/>
        <v/>
      </c>
      <c r="EW71" s="9" t="str">
        <f t="shared" si="435"/>
        <v/>
      </c>
      <c r="EX71" s="5" t="str">
        <f t="shared" si="436"/>
        <v/>
      </c>
      <c r="EY71" s="6" t="str">
        <f t="shared" si="182"/>
        <v/>
      </c>
      <c r="EZ71" s="52" t="str">
        <f t="shared" si="183"/>
        <v/>
      </c>
      <c r="FA71" s="177" t="str">
        <f t="shared" si="437"/>
        <v/>
      </c>
      <c r="FB71" s="5" t="str">
        <f t="shared" si="438"/>
        <v/>
      </c>
      <c r="FC71" s="6" t="str">
        <f t="shared" si="439"/>
        <v/>
      </c>
      <c r="FD71" s="4" t="str">
        <f t="shared" si="440"/>
        <v/>
      </c>
      <c r="FE71" s="5" t="str">
        <f t="shared" si="441"/>
        <v/>
      </c>
      <c r="FF71" s="7" t="str">
        <f t="shared" si="184"/>
        <v/>
      </c>
      <c r="FG71" s="177" t="str">
        <f t="shared" si="442"/>
        <v/>
      </c>
      <c r="FH71" s="5" t="str">
        <f t="shared" si="443"/>
        <v/>
      </c>
      <c r="FI71" s="10" t="str">
        <f t="shared" si="444"/>
        <v/>
      </c>
      <c r="FJ71" s="290" t="str">
        <f t="shared" si="185"/>
        <v/>
      </c>
      <c r="FK71" s="4" t="str">
        <f t="shared" si="445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6"/>
        <v/>
      </c>
      <c r="FP71" s="288" t="str">
        <f t="shared" si="447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8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9"/>
        <v/>
      </c>
      <c r="GH71" s="297" t="str">
        <f t="shared" si="450"/>
        <v/>
      </c>
      <c r="GI71" s="292" t="str">
        <f t="shared" si="451"/>
        <v/>
      </c>
      <c r="GJ71" s="171" t="str">
        <f t="shared" si="199"/>
        <v/>
      </c>
      <c r="GK71" s="178" t="str">
        <f t="shared" si="452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3"/>
        <v/>
      </c>
      <c r="GT71" s="364" t="str">
        <f t="shared" si="454"/>
        <v/>
      </c>
      <c r="GU71" s="365" t="str">
        <f t="shared" si="455"/>
        <v/>
      </c>
      <c r="GV71" s="364" t="str">
        <f t="shared" si="204"/>
        <v/>
      </c>
      <c r="GW71" s="366" t="str">
        <f t="shared" si="456"/>
        <v/>
      </c>
      <c r="GX71" s="367" t="str">
        <f t="shared" si="457"/>
        <v/>
      </c>
      <c r="GY71" s="365" t="str">
        <f t="shared" si="458"/>
        <v/>
      </c>
      <c r="GZ71" s="366" t="str">
        <f t="shared" si="459"/>
        <v/>
      </c>
      <c r="HA71" s="363" t="str">
        <f t="shared" si="460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61"/>
        <v/>
      </c>
      <c r="HF71" s="5" t="str">
        <f t="shared" si="462"/>
        <v/>
      </c>
      <c r="HG71" s="364" t="str">
        <f t="shared" si="208"/>
        <v/>
      </c>
      <c r="HH71" s="370" t="str">
        <f t="shared" si="209"/>
        <v/>
      </c>
      <c r="HI71" s="335" t="str">
        <f t="shared" si="383"/>
        <v/>
      </c>
      <c r="HK71" s="323" t="str">
        <f t="shared" si="238"/>
        <v/>
      </c>
      <c r="HL71" s="322" t="str">
        <f t="shared" si="407"/>
        <v/>
      </c>
      <c r="HM71" s="369" t="str">
        <f t="shared" si="466"/>
        <v/>
      </c>
      <c r="HN71" s="384" t="str">
        <f t="shared" si="466"/>
        <v/>
      </c>
      <c r="HO71" s="385" t="str">
        <f t="shared" si="466"/>
        <v/>
      </c>
      <c r="HP71" s="380" t="str">
        <f t="shared" si="466"/>
        <v/>
      </c>
      <c r="HQ71" s="384" t="str">
        <f t="shared" si="466"/>
        <v/>
      </c>
      <c r="HR71" s="395" t="str">
        <f t="shared" si="466"/>
        <v/>
      </c>
      <c r="HS71" s="379" t="str">
        <f t="shared" si="466"/>
        <v/>
      </c>
      <c r="HT71" s="374" t="str">
        <f t="shared" si="466"/>
        <v/>
      </c>
      <c r="HU71" s="375" t="str">
        <f t="shared" si="466"/>
        <v/>
      </c>
      <c r="HV71" s="376" t="str">
        <f t="shared" si="466"/>
        <v/>
      </c>
      <c r="HW71" s="374" t="str">
        <f t="shared" si="466"/>
        <v/>
      </c>
      <c r="HX71" s="375" t="str">
        <f t="shared" si="466"/>
        <v/>
      </c>
      <c r="HY71" s="376" t="str">
        <f t="shared" si="466"/>
        <v/>
      </c>
      <c r="HZ71" s="374" t="str">
        <f t="shared" si="466"/>
        <v/>
      </c>
      <c r="IA71" s="375" t="str">
        <f t="shared" si="466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4.1180000000000003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4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5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6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-0.78623980766617207</v>
      </c>
      <c r="C72" s="708">
        <v>-4.359074405273363</v>
      </c>
      <c r="D72" s="709">
        <v>-0.13290040082760923</v>
      </c>
      <c r="E72" s="710">
        <v>0.90587511641395202</v>
      </c>
      <c r="F72" s="708">
        <v>-0.26577391916451532</v>
      </c>
      <c r="G72" s="711">
        <v>0.32977946775677602</v>
      </c>
      <c r="H72" s="710">
        <v>0.314</v>
      </c>
      <c r="I72" s="708">
        <v>0.52</v>
      </c>
      <c r="J72" s="570">
        <v>4.1239999999999997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41"/>
        <v>4.1239999999999997</v>
      </c>
      <c r="N72" s="632">
        <f t="shared" si="242"/>
        <v>-0.78623980766617207</v>
      </c>
      <c r="O72" s="629">
        <f t="shared" si="243"/>
        <v>-4.359074405273363</v>
      </c>
      <c r="P72" s="633">
        <f t="shared" si="244"/>
        <v>-0.13290040082760923</v>
      </c>
      <c r="Q72" s="585">
        <f t="shared" si="113"/>
        <v>259.77557548743971</v>
      </c>
      <c r="R72" s="629">
        <f t="shared" si="79"/>
        <v>4.4294133591106917</v>
      </c>
      <c r="S72" s="634">
        <f t="shared" si="80"/>
        <v>-0.13290040082760923</v>
      </c>
      <c r="T72" s="635">
        <f t="shared" si="81"/>
        <v>-4.359074405273363</v>
      </c>
      <c r="U72" s="629">
        <f t="shared" si="82"/>
        <v>0.78623980766617252</v>
      </c>
      <c r="V72" s="636">
        <f t="shared" si="114"/>
        <v>-0.13290040082760923</v>
      </c>
      <c r="W72" s="585">
        <f t="shared" si="224"/>
        <v>169.77557548743971</v>
      </c>
      <c r="X72" s="629">
        <f t="shared" si="83"/>
        <v>4.4294133591106917</v>
      </c>
      <c r="Y72" s="630">
        <f t="shared" si="223"/>
        <v>-0.13290040082760923</v>
      </c>
      <c r="Z72" s="632">
        <f t="shared" si="245"/>
        <v>-0.90587511641395202</v>
      </c>
      <c r="AA72" s="629">
        <f t="shared" si="246"/>
        <v>0.26577391916451532</v>
      </c>
      <c r="AB72" s="629">
        <f t="shared" si="247"/>
        <v>-0.32977946775677602</v>
      </c>
      <c r="AC72" s="636">
        <f t="shared" si="84"/>
        <v>1</v>
      </c>
      <c r="AD72" s="637">
        <f t="shared" si="115"/>
        <v>-0.90587511641395202</v>
      </c>
      <c r="AE72" s="629">
        <f t="shared" si="85"/>
        <v>0.26577391916451532</v>
      </c>
      <c r="AF72" s="633">
        <f t="shared" si="86"/>
        <v>-0.32977946775677602</v>
      </c>
      <c r="AG72" s="602">
        <f t="shared" si="87"/>
        <v>38.8658302690894</v>
      </c>
      <c r="AH72" s="603">
        <f t="shared" si="88"/>
        <v>154.94140562986797</v>
      </c>
      <c r="AI72" s="585">
        <f t="shared" si="89"/>
        <v>-70.744609366771343</v>
      </c>
      <c r="AJ72" s="586">
        <f t="shared" si="90"/>
        <v>-106.35111553360275</v>
      </c>
      <c r="AK72" s="635">
        <f t="shared" si="211"/>
        <v>0.938665853090632</v>
      </c>
      <c r="AL72" s="629">
        <f t="shared" si="91"/>
        <v>-0.10075673122771206</v>
      </c>
      <c r="AM72" s="634">
        <f t="shared" si="92"/>
        <v>-0.32977946775677602</v>
      </c>
      <c r="AN72" s="581">
        <f t="shared" si="93"/>
        <v>-16.989358624313187</v>
      </c>
      <c r="AO72" s="582">
        <f t="shared" si="463"/>
        <v>20.171302503910137</v>
      </c>
      <c r="AP72" s="585">
        <f t="shared" si="95"/>
        <v>-6.1266910210424586</v>
      </c>
      <c r="AQ72" s="586">
        <f t="shared" si="248"/>
        <v>0.51466529129307692</v>
      </c>
      <c r="AS72" s="52">
        <f t="shared" si="408"/>
        <v>-190.22442451256029</v>
      </c>
      <c r="AT72" s="72">
        <f t="shared" si="249"/>
        <v>-8.0010602722013768E-4</v>
      </c>
      <c r="AU72" s="469"/>
      <c r="AV72" s="168" t="str">
        <f t="shared" si="250"/>
        <v/>
      </c>
      <c r="AW72" s="418"/>
      <c r="AX72" s="419"/>
      <c r="AY72" s="420"/>
      <c r="AZ72" s="308" t="str">
        <f t="shared" si="117"/>
        <v/>
      </c>
      <c r="BA72" s="307" t="str">
        <f t="shared" si="252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0"/>
        <v/>
      </c>
      <c r="BJ72" s="5" t="str">
        <f t="shared" si="259"/>
        <v/>
      </c>
      <c r="BK72" s="8" t="str">
        <f t="shared" si="260"/>
        <v/>
      </c>
      <c r="BL72" s="177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31"/>
        <v/>
      </c>
      <c r="BT72" s="5" t="str">
        <f t="shared" si="431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80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2"/>
        <v/>
      </c>
      <c r="DC72" s="5" t="str">
        <f t="shared" si="432"/>
        <v/>
      </c>
      <c r="DD72" s="10" t="str">
        <f t="shared" si="142"/>
        <v/>
      </c>
      <c r="DE72" s="9" t="str">
        <f t="shared" si="433"/>
        <v/>
      </c>
      <c r="DF72" s="5" t="str">
        <f t="shared" si="433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78" t="str">
        <f t="shared" si="434"/>
        <v/>
      </c>
      <c r="EW72" s="9" t="str">
        <f t="shared" si="435"/>
        <v/>
      </c>
      <c r="EX72" s="5" t="str">
        <f t="shared" si="436"/>
        <v/>
      </c>
      <c r="EY72" s="6" t="str">
        <f t="shared" si="182"/>
        <v/>
      </c>
      <c r="EZ72" s="52" t="str">
        <f t="shared" si="183"/>
        <v/>
      </c>
      <c r="FA72" s="177" t="str">
        <f t="shared" si="437"/>
        <v/>
      </c>
      <c r="FB72" s="5" t="str">
        <f t="shared" si="438"/>
        <v/>
      </c>
      <c r="FC72" s="6" t="str">
        <f t="shared" si="439"/>
        <v/>
      </c>
      <c r="FD72" s="4" t="str">
        <f t="shared" si="440"/>
        <v/>
      </c>
      <c r="FE72" s="5" t="str">
        <f t="shared" si="441"/>
        <v/>
      </c>
      <c r="FF72" s="7" t="str">
        <f t="shared" si="184"/>
        <v/>
      </c>
      <c r="FG72" s="177" t="str">
        <f t="shared" si="442"/>
        <v/>
      </c>
      <c r="FH72" s="5" t="str">
        <f t="shared" si="443"/>
        <v/>
      </c>
      <c r="FI72" s="10" t="str">
        <f t="shared" si="444"/>
        <v/>
      </c>
      <c r="FJ72" s="290" t="str">
        <f t="shared" si="185"/>
        <v/>
      </c>
      <c r="FK72" s="4" t="str">
        <f t="shared" si="445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6"/>
        <v/>
      </c>
      <c r="FP72" s="288" t="str">
        <f t="shared" si="447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8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9"/>
        <v/>
      </c>
      <c r="GH72" s="297" t="str">
        <f t="shared" si="450"/>
        <v/>
      </c>
      <c r="GI72" s="292" t="str">
        <f t="shared" si="451"/>
        <v/>
      </c>
      <c r="GJ72" s="171" t="str">
        <f t="shared" si="199"/>
        <v/>
      </c>
      <c r="GK72" s="178" t="str">
        <f t="shared" si="452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3"/>
        <v/>
      </c>
      <c r="GT72" s="364" t="str">
        <f t="shared" si="454"/>
        <v/>
      </c>
      <c r="GU72" s="365" t="str">
        <f t="shared" si="455"/>
        <v/>
      </c>
      <c r="GV72" s="364" t="str">
        <f t="shared" si="204"/>
        <v/>
      </c>
      <c r="GW72" s="366" t="str">
        <f t="shared" si="456"/>
        <v/>
      </c>
      <c r="GX72" s="367" t="str">
        <f t="shared" si="457"/>
        <v/>
      </c>
      <c r="GY72" s="365" t="str">
        <f t="shared" si="458"/>
        <v/>
      </c>
      <c r="GZ72" s="366" t="str">
        <f t="shared" si="459"/>
        <v/>
      </c>
      <c r="HA72" s="363" t="str">
        <f t="shared" si="460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61"/>
        <v/>
      </c>
      <c r="HF72" s="5" t="str">
        <f t="shared" si="462"/>
        <v/>
      </c>
      <c r="HG72" s="364" t="str">
        <f t="shared" si="208"/>
        <v/>
      </c>
      <c r="HH72" s="370" t="str">
        <f t="shared" si="209"/>
        <v/>
      </c>
      <c r="HI72" s="335" t="str">
        <f t="shared" si="383"/>
        <v/>
      </c>
      <c r="HK72" s="323" t="str">
        <f t="shared" si="238"/>
        <v/>
      </c>
      <c r="HL72" s="322" t="str">
        <f t="shared" si="407"/>
        <v/>
      </c>
      <c r="HM72" s="369" t="str">
        <f t="shared" si="466"/>
        <v/>
      </c>
      <c r="HN72" s="384" t="str">
        <f t="shared" si="466"/>
        <v/>
      </c>
      <c r="HO72" s="385" t="str">
        <f t="shared" si="466"/>
        <v/>
      </c>
      <c r="HP72" s="380" t="str">
        <f t="shared" si="466"/>
        <v/>
      </c>
      <c r="HQ72" s="384" t="str">
        <f t="shared" si="466"/>
        <v/>
      </c>
      <c r="HR72" s="395" t="str">
        <f t="shared" si="466"/>
        <v/>
      </c>
      <c r="HS72" s="379" t="str">
        <f t="shared" si="466"/>
        <v/>
      </c>
      <c r="HT72" s="374" t="str">
        <f t="shared" si="466"/>
        <v/>
      </c>
      <c r="HU72" s="375" t="str">
        <f t="shared" si="466"/>
        <v/>
      </c>
      <c r="HV72" s="376" t="str">
        <f t="shared" si="466"/>
        <v/>
      </c>
      <c r="HW72" s="374" t="str">
        <f t="shared" si="466"/>
        <v/>
      </c>
      <c r="HX72" s="375" t="str">
        <f t="shared" si="466"/>
        <v/>
      </c>
      <c r="HY72" s="376" t="str">
        <f t="shared" si="466"/>
        <v/>
      </c>
      <c r="HZ72" s="374" t="str">
        <f t="shared" si="466"/>
        <v/>
      </c>
      <c r="IA72" s="375" t="str">
        <f t="shared" si="466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4.1239999999999997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4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5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6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-0.96093168426038567</v>
      </c>
      <c r="C73" s="708">
        <v>-5.0605900194309541</v>
      </c>
      <c r="D73" s="709">
        <v>-0.38940117443394173</v>
      </c>
      <c r="E73" s="710">
        <v>0.88223126121456341</v>
      </c>
      <c r="F73" s="708">
        <v>-0.3695989867727858</v>
      </c>
      <c r="G73" s="711">
        <v>0.29165834586428518</v>
      </c>
      <c r="H73" s="710">
        <v>0.314</v>
      </c>
      <c r="I73" s="708">
        <v>0.52</v>
      </c>
      <c r="J73" s="570">
        <v>4.13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7">IF(J73="","",VALUE(J73))</f>
        <v>4.13</v>
      </c>
      <c r="N73" s="632">
        <f t="shared" ref="N73:N104" si="468">IF(M73="","",B73)</f>
        <v>-0.96093168426038567</v>
      </c>
      <c r="O73" s="629">
        <f t="shared" ref="O73:O104" si="469">IF(M73="","",C73)</f>
        <v>-5.0605900194309541</v>
      </c>
      <c r="P73" s="633">
        <f t="shared" ref="P73:P104" si="470">IF(M73="","",D73)</f>
        <v>-0.38940117443394173</v>
      </c>
      <c r="Q73" s="585">
        <f t="shared" si="113"/>
        <v>259.24837556355794</v>
      </c>
      <c r="R73" s="629">
        <f>IF(M73="","",SQRT(N73^2+O73^2))</f>
        <v>5.1510155354628555</v>
      </c>
      <c r="S73" s="634">
        <f>IF(M73="","",P73)</f>
        <v>-0.38940117443394173</v>
      </c>
      <c r="T73" s="635">
        <f>IF(M73="","",X73*COS(RADIANS(W73)))</f>
        <v>-5.0605900194309541</v>
      </c>
      <c r="U73" s="629">
        <f>IF(M73="","",X73*SIN(RADIANS(W73)))</f>
        <v>0.96093168426038778</v>
      </c>
      <c r="V73" s="636">
        <f>IF(M73="","",Y73)</f>
        <v>-0.38940117443394173</v>
      </c>
      <c r="W73" s="585">
        <f t="shared" si="224"/>
        <v>169.24837556355794</v>
      </c>
      <c r="X73" s="629">
        <f>IF(M73="","",R73)</f>
        <v>5.1510155354628555</v>
      </c>
      <c r="Y73" s="630">
        <f t="shared" si="223"/>
        <v>-0.38940117443394173</v>
      </c>
      <c r="Z73" s="632">
        <f t="shared" ref="Z73:Z104" si="471">IF(M73="","",-E73)</f>
        <v>-0.88223126121456341</v>
      </c>
      <c r="AA73" s="629">
        <f t="shared" ref="AA73:AA104" si="472">IF(M73="","",-F73)</f>
        <v>0.3695989867727858</v>
      </c>
      <c r="AB73" s="629">
        <f t="shared" ref="AB73:AB104" si="473">IF(M73="","",-G73)</f>
        <v>-0.29165834586428518</v>
      </c>
      <c r="AC73" s="636">
        <f>IF(M73="","",SQRT(Z73^2+AA73^2+AB73^2))</f>
        <v>1</v>
      </c>
      <c r="AD73" s="637">
        <f>IF(M73="","",Z73*(1/SQRT(Z73^2+AA73^2+AB73^2)))</f>
        <v>-0.88223126121456341</v>
      </c>
      <c r="AE73" s="629">
        <f>IF(M73="","",AA73*(1/SQRT(Z73^2+AA73^2+AB73^2)))</f>
        <v>0.3695989867727858</v>
      </c>
      <c r="AF73" s="633">
        <f>IF(M73="","",AB73*(1/SQRT(Z73^2+AA73^2+AB73^2)))</f>
        <v>-0.29165834586428518</v>
      </c>
      <c r="AG73" s="602">
        <f>IF(M73="","",DEGREES(ATAN2(-AF73,AE73)))</f>
        <v>51.722285202038968</v>
      </c>
      <c r="AH73" s="603">
        <f>IF(M73="","",DEGREES(ACOS(AD73)))</f>
        <v>151.91270168845659</v>
      </c>
      <c r="AI73" s="585">
        <f>IF(M73="","",DEGREES(-ACOS(-AF73)))</f>
        <v>-73.042735117399118</v>
      </c>
      <c r="AJ73" s="586">
        <f>IF(M73="","",DEGREES(ATAN2(-AE73,AD73)))</f>
        <v>-112.73059508783437</v>
      </c>
      <c r="AK73" s="635">
        <f>IF(M73="","",(COS(RADIANS((90-$Q$8)-W73))*AD73)+(-SIN(RADIANS((90-$Q$8)-W73))*AE73))</f>
        <v>0.93569317720176848</v>
      </c>
      <c r="AL73" s="629">
        <f>IF(M73="","",(SIN(RADIANS((90-$Q$8)-W73))*AD73)+(COS(RADIANS((90-$Q$8)-W73))*AE73))</f>
        <v>-0.19852880754633292</v>
      </c>
      <c r="AM73" s="634">
        <f>IF(M73="","",AF73)</f>
        <v>-0.29165834586428518</v>
      </c>
      <c r="AN73" s="581">
        <f>IF(M73="","",DEGREES(ATAN2(-AM73,AL73)))</f>
        <v>-34.242712140862139</v>
      </c>
      <c r="AO73" s="582">
        <f t="shared" si="463"/>
        <v>20.659577390758439</v>
      </c>
      <c r="AP73" s="585">
        <f>IF(M73="","",DEGREES(ATAN2(AK73,AL73)))</f>
        <v>-11.978970651392316</v>
      </c>
      <c r="AQ73" s="586">
        <f t="shared" ref="AQ73:AQ104" si="474">IF(M73="","",DEGREES(ATAN(($AS$5*SIN(RADIANS(90)))/(($X73*2*PI())-($AS$5*COS(RADIANS(90)))))))</f>
        <v>0.44256929072734552</v>
      </c>
      <c r="AS73" s="52">
        <f t="shared" si="408"/>
        <v>-190.75162443644206</v>
      </c>
      <c r="AT73" s="72">
        <f t="shared" ref="AT73:AT104" si="475">IF(M73="","",Y73+(((AS73-$AS$9)*$AS$6)*-1))</f>
        <v>-0.2569347685753014</v>
      </c>
      <c r="AU73" s="469"/>
      <c r="AV73" s="168" t="str">
        <f t="shared" ref="AV73:AV104" si="476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7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8">IF(ISNUMBER(AV73),Y73+BB73,"")</f>
        <v/>
      </c>
      <c r="BF73" s="4" t="str">
        <f t="shared" ref="BF73:BF104" si="479">IF(ISNUMBER($AV73),N73,"")</f>
        <v/>
      </c>
      <c r="BG73" s="5" t="str">
        <f t="shared" ref="BG73:BG104" si="480">IF(ISNUMBER($AV73),O73,"")</f>
        <v/>
      </c>
      <c r="BH73" s="10" t="str">
        <f t="shared" ref="BH73:BH104" si="481">IF(ISNUMBER($AV73),P73,"")</f>
        <v/>
      </c>
      <c r="BI73" s="9" t="str">
        <f t="shared" si="120"/>
        <v/>
      </c>
      <c r="BJ73" s="5" t="str">
        <f t="shared" ref="BJ73:BJ104" si="482">IF(ISNUMBER($AV73),BG73+COS(RADIANS($AG73)),"")</f>
        <v/>
      </c>
      <c r="BK73" s="8" t="str">
        <f t="shared" ref="BK73:BK104" si="483">IF(ISNUMBER($AV73),BH73+SIN(RADIANS($AG73)),"")</f>
        <v/>
      </c>
      <c r="BL73" s="177" t="str">
        <f t="shared" ref="BL73:BL104" si="484">IF(ISNUMBER($AV73),BF73+SIN(RADIANS($AH73)),"")</f>
        <v/>
      </c>
      <c r="BM73" s="5" t="str">
        <f t="shared" ref="BM73:BM104" si="485">IF(ISNUMBER($AV73),BG73-SIN(RADIANS($AG73))*COS(RADIANS($AH73)),"")</f>
        <v/>
      </c>
      <c r="BN73" s="6" t="str">
        <f t="shared" ref="BN73:BN104" si="486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31"/>
        <v/>
      </c>
      <c r="BT73" s="5" t="str">
        <f t="shared" si="431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7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2"/>
        <v/>
      </c>
      <c r="DC73" s="5" t="str">
        <f t="shared" si="432"/>
        <v/>
      </c>
      <c r="DD73" s="10" t="str">
        <f t="shared" si="142"/>
        <v/>
      </c>
      <c r="DE73" s="9" t="str">
        <f t="shared" si="433"/>
        <v/>
      </c>
      <c r="DF73" s="5" t="str">
        <f t="shared" si="433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8">IF(ISNUMBER($AV73),AD73,"")</f>
        <v/>
      </c>
      <c r="ET73" s="5" t="str">
        <f t="shared" ref="ET73:ET104" si="489">IF(ISNUMBER($AV73),AE73,"")</f>
        <v/>
      </c>
      <c r="EU73" s="10" t="str">
        <f t="shared" ref="EU73:EU104" si="490">IF(ISNUMBER($AV73),AF73,"")</f>
        <v/>
      </c>
      <c r="EV73" s="178" t="str">
        <f t="shared" ref="EV73:EV104" si="491">IF(ISNUMBER($AV73),IF(($EV$1-EP73)&lt;0,(360+($EV$1-EP73)),($EV$1-EP73)),"")</f>
        <v/>
      </c>
      <c r="EW73" s="9" t="str">
        <f t="shared" ref="EW73:EW104" si="492">IF(ISNUMBER($AV73),(COS(RADIANS($EV73))*ES73)+(-SIN(RADIANS($EV73))*ET73),"")</f>
        <v/>
      </c>
      <c r="EX73" s="5" t="str">
        <f t="shared" ref="EX73:EX104" si="493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4">IF(ISNUMBER($AV73),SIN(RADIANS($EP73))*COS(RADIANS($EZ73)),"")</f>
        <v/>
      </c>
      <c r="FB73" s="5" t="str">
        <f t="shared" ref="FB73:FB104" si="495">IF(ISNUMBER($AV73),-1*COS(RADIANS($EP73))*COS(RADIANS($EZ73)),"")</f>
        <v/>
      </c>
      <c r="FC73" s="6" t="str">
        <f t="shared" ref="FC73:FC104" si="496">IF(ISNUMBER($AV73),-1*SIN(RADIANS($EZ73)),"")</f>
        <v/>
      </c>
      <c r="FD73" s="4" t="str">
        <f t="shared" ref="FD73:FD104" si="497">IF(ISNUMBER($AV73),(COS(RADIANS($EV73))*FA73)+(-SIN(RADIANS($EV73))*FB73),"")</f>
        <v/>
      </c>
      <c r="FE73" s="5" t="str">
        <f t="shared" ref="FE73:FE104" si="498">IF(ISNUMBER($AV73),(SIN(RADIANS($EV73))*FA73)+(COS(RADIANS($EV73))*FB73),"")</f>
        <v/>
      </c>
      <c r="FF73" s="7" t="str">
        <f t="shared" si="184"/>
        <v/>
      </c>
      <c r="FG73" s="177" t="str">
        <f t="shared" ref="FG73:FG104" si="499">IF(ISNUMBER($AV73),EW73-FD73,"")</f>
        <v/>
      </c>
      <c r="FH73" s="5" t="str">
        <f t="shared" ref="FH73:FH104" si="500">IF(ISNUMBER($AV73),EX73-FE73,"")</f>
        <v/>
      </c>
      <c r="FI73" s="10" t="str">
        <f t="shared" ref="FI73:FI104" si="501">IF(ISNUMBER($AV73),EY73-FF73,"")</f>
        <v/>
      </c>
      <c r="FJ73" s="290" t="str">
        <f t="shared" si="185"/>
        <v/>
      </c>
      <c r="FK73" s="4" t="str">
        <f t="shared" ref="FK73:FK104" si="502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3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4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5">IF(ISNUMBER($AV73),ABS(GB73)/(ABS($GB73)+ABS($GC73)+ABS($GD73)),"")</f>
        <v/>
      </c>
      <c r="GH73" s="297" t="str">
        <f t="shared" ref="GH73:GH104" si="506">IF(ISNUMBER($AV73),ABS(GC73)/(ABS($GB73)+ABS($GC73)+ABS($GD73)),"")</f>
        <v/>
      </c>
      <c r="GI73" s="292" t="str">
        <f t="shared" ref="GI73:GI104" si="507">IF(ISNUMBER($AV73),ABS(GD73)/(ABS($GB73)+ABS($GC73)+ABS($GD73)),"")</f>
        <v/>
      </c>
      <c r="GJ73" s="171" t="str">
        <f t="shared" si="199"/>
        <v/>
      </c>
      <c r="GK73" s="178" t="str">
        <f t="shared" ref="GK73:GK104" si="508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9">IF(ISNUMBER($AV73),GU73/GH73*GG73,"")</f>
        <v/>
      </c>
      <c r="GT73" s="364" t="str">
        <f t="shared" ref="GT73:GT104" si="510">IF(ISNUMBER($AV73),GS73/$GK73,"")</f>
        <v/>
      </c>
      <c r="GU73" s="365" t="str">
        <f t="shared" ref="GU73:GU104" si="511">IF(ISNUMBER($AV73),$GV73*$GK73,"")</f>
        <v/>
      </c>
      <c r="GV73" s="364" t="str">
        <f t="shared" si="204"/>
        <v/>
      </c>
      <c r="GW73" s="366" t="str">
        <f t="shared" ref="GW73:GW104" si="512">IF(ISNUMBER($AV73),$GW$2,"")</f>
        <v/>
      </c>
      <c r="GX73" s="367" t="str">
        <f t="shared" ref="GX73:GX104" si="513">IF(ISNUMBER($AV73),($GJ73/12)*$GV73,"")</f>
        <v/>
      </c>
      <c r="GY73" s="365" t="str">
        <f t="shared" ref="GY73:GY104" si="514">IF(ISNUMBER($AV73),GU73/GH73*GI73,"")</f>
        <v/>
      </c>
      <c r="GZ73" s="366" t="str">
        <f t="shared" ref="GZ73:GZ104" si="515">IF(ISNUMBER($AV73),GY73/$GK73,"")</f>
        <v/>
      </c>
      <c r="HA73" s="363" t="str">
        <f t="shared" ref="HA73:HA104" si="516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7">IF(ISNUMBER($AV73),$FY73*$GV73,"")</f>
        <v/>
      </c>
      <c r="HF73" s="5" t="str">
        <f t="shared" ref="HF73:HF104" si="518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9">IF(ISNUMBER($AV73),$M73,"")</f>
        <v/>
      </c>
      <c r="HK73" s="323" t="str">
        <f t="shared" si="238"/>
        <v/>
      </c>
      <c r="HL73" s="322" t="str">
        <f t="shared" si="407"/>
        <v/>
      </c>
      <c r="HM73" s="369" t="str">
        <f t="shared" si="466"/>
        <v/>
      </c>
      <c r="HN73" s="384" t="str">
        <f t="shared" si="466"/>
        <v/>
      </c>
      <c r="HO73" s="385" t="str">
        <f t="shared" si="466"/>
        <v/>
      </c>
      <c r="HP73" s="380" t="str">
        <f t="shared" si="466"/>
        <v/>
      </c>
      <c r="HQ73" s="384" t="str">
        <f t="shared" si="466"/>
        <v/>
      </c>
      <c r="HR73" s="395" t="str">
        <f t="shared" si="466"/>
        <v/>
      </c>
      <c r="HS73" s="379" t="str">
        <f t="shared" si="466"/>
        <v/>
      </c>
      <c r="HT73" s="374" t="str">
        <f t="shared" si="466"/>
        <v/>
      </c>
      <c r="HU73" s="375" t="str">
        <f t="shared" si="466"/>
        <v/>
      </c>
      <c r="HV73" s="376" t="str">
        <f t="shared" si="466"/>
        <v/>
      </c>
      <c r="HW73" s="374" t="str">
        <f t="shared" si="466"/>
        <v/>
      </c>
      <c r="HX73" s="375" t="str">
        <f t="shared" si="466"/>
        <v/>
      </c>
      <c r="HY73" s="376" t="str">
        <f t="shared" si="466"/>
        <v/>
      </c>
      <c r="HZ73" s="374" t="str">
        <f t="shared" si="466"/>
        <v/>
      </c>
      <c r="IA73" s="375" t="str">
        <f t="shared" si="466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4.13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20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21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22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-1.1417497280283482</v>
      </c>
      <c r="C74" s="708">
        <v>-5.6733707779693381</v>
      </c>
      <c r="D74" s="709">
        <v>-0.80280242125210266</v>
      </c>
      <c r="E74" s="710">
        <v>0.8426682629528367</v>
      </c>
      <c r="F74" s="708">
        <v>-0.47111292769344976</v>
      </c>
      <c r="G74" s="711">
        <v>0.26069677399644858</v>
      </c>
      <c r="H74" s="710">
        <v>0.314</v>
      </c>
      <c r="I74" s="708">
        <v>0.52</v>
      </c>
      <c r="J74" s="570">
        <v>4.1360000000000001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7"/>
        <v>4.1360000000000001</v>
      </c>
      <c r="N74" s="632">
        <f t="shared" si="468"/>
        <v>-1.1417497280283482</v>
      </c>
      <c r="O74" s="629">
        <f t="shared" si="469"/>
        <v>-5.6733707779693381</v>
      </c>
      <c r="P74" s="633">
        <f t="shared" si="470"/>
        <v>-0.80280242125210266</v>
      </c>
      <c r="Q74" s="585">
        <f t="shared" ref="Q74:Q129" si="523">IF(M74="","",IF(DEGREES(ATAN2(N74,O74))&lt;0,DEGREES(ATAN2(N74,O74))+360,IF(DEGREES(ATAN2(N74,O74))&gt;360,DEGREES(ATAN2(N74,O74))-360,DEGREES(ATAN2(N74,O74)))))</f>
        <v>258.62137565408557</v>
      </c>
      <c r="R74" s="629">
        <f>IF(M74="","",SQRT(N74^2+O74^2))</f>
        <v>5.7871174539462409</v>
      </c>
      <c r="S74" s="634">
        <f>IF(M74="","",P74)</f>
        <v>-0.80280242125210266</v>
      </c>
      <c r="T74" s="635">
        <f>IF(M74="","",X74*COS(RADIANS(W74)))</f>
        <v>-5.6733707779693381</v>
      </c>
      <c r="U74" s="629">
        <f>IF(M74="","",X74*SIN(RADIANS(W74)))</f>
        <v>1.1417497280283473</v>
      </c>
      <c r="V74" s="636">
        <f>IF(M74="","",Y74)</f>
        <v>-0.80280242125210266</v>
      </c>
      <c r="W74" s="585">
        <f t="shared" si="224"/>
        <v>168.62137565408557</v>
      </c>
      <c r="X74" s="629">
        <f>IF(M74="","",R74)</f>
        <v>5.7871174539462409</v>
      </c>
      <c r="Y74" s="630">
        <f t="shared" si="223"/>
        <v>-0.80280242125210266</v>
      </c>
      <c r="Z74" s="632">
        <f t="shared" si="471"/>
        <v>-0.8426682629528367</v>
      </c>
      <c r="AA74" s="629">
        <f t="shared" si="472"/>
        <v>0.47111292769344976</v>
      </c>
      <c r="AB74" s="629">
        <f t="shared" si="473"/>
        <v>-0.26069677399644858</v>
      </c>
      <c r="AC74" s="636">
        <f>IF(M74="","",SQRT(Z74^2+AA74^2+AB74^2))</f>
        <v>1</v>
      </c>
      <c r="AD74" s="637">
        <f>IF(M74="","",Z74*(1/SQRT(Z74^2+AA74^2+AB74^2)))</f>
        <v>-0.8426682629528367</v>
      </c>
      <c r="AE74" s="629">
        <f>IF(M74="","",AA74*(1/SQRT(Z74^2+AA74^2+AB74^2)))</f>
        <v>0.47111292769344976</v>
      </c>
      <c r="AF74" s="633">
        <f>IF(M74="","",AB74*(1/SQRT(Z74^2+AA74^2+AB74^2)))</f>
        <v>-0.26069677399644858</v>
      </c>
      <c r="AG74" s="602">
        <f>IF(M74="","",DEGREES(ATAN2(-AF74,AE74)))</f>
        <v>61.041452127214107</v>
      </c>
      <c r="AH74" s="603">
        <f>IF(M74="","",DEGREES(ACOS(AD74)))</f>
        <v>147.42296354048446</v>
      </c>
      <c r="AI74" s="585">
        <f>IF(M74="","",DEGREES(-ACOS(-AF74)))</f>
        <v>-74.888589744531657</v>
      </c>
      <c r="AJ74" s="586">
        <f>IF(M74="","",DEGREES(ATAN2(-AE74,AD74)))</f>
        <v>-119.2083694873149</v>
      </c>
      <c r="AK74" s="635">
        <f>IF(M74="","",(COS(RADIANS((90-$Q$8)-W74))*AD74)+(-SIN(RADIANS((90-$Q$8)-W74))*AE74))</f>
        <v>0.91905211842497503</v>
      </c>
      <c r="AL74" s="629">
        <f>IF(M74="","",(SIN(RADIANS((90-$Q$8)-W74))*AD74)+(COS(RADIANS((90-$Q$8)-W74))*AE74))</f>
        <v>-0.29560175176478626</v>
      </c>
      <c r="AM74" s="634">
        <f>IF(M74="","",AF74)</f>
        <v>-0.26069677399644858</v>
      </c>
      <c r="AN74" s="581">
        <f>IF(M74="","",DEGREES(ATAN2(-AM74,AL74)))</f>
        <v>-48.590319753232713</v>
      </c>
      <c r="AO74" s="582">
        <f t="shared" si="463"/>
        <v>23.212100839610549</v>
      </c>
      <c r="AP74" s="585">
        <f>IF(M74="","",DEGREES(ATAN2(AK74,AL74)))</f>
        <v>-17.829745141400458</v>
      </c>
      <c r="AQ74" s="586">
        <f t="shared" si="474"/>
        <v>0.39392508090364037</v>
      </c>
      <c r="AS74" s="52">
        <f t="shared" si="408"/>
        <v>-191.37862434591443</v>
      </c>
      <c r="AT74" s="72">
        <f t="shared" si="475"/>
        <v>-0.66990059878966202</v>
      </c>
      <c r="AU74" s="469"/>
      <c r="AV74" s="168" t="str">
        <f t="shared" si="476"/>
        <v/>
      </c>
      <c r="AW74" s="418"/>
      <c r="AX74" s="419"/>
      <c r="AY74" s="420"/>
      <c r="AZ74" s="308" t="str">
        <f t="shared" si="117"/>
        <v/>
      </c>
      <c r="BA74" s="307" t="str">
        <f t="shared" si="477"/>
        <v/>
      </c>
      <c r="BB74" s="181" t="str">
        <f t="shared" ref="BB74:BB150" si="524">IF(ISNUMBER($AV74),$AX74-($AT74+$AS$5),"")</f>
        <v/>
      </c>
      <c r="BC74" s="9"/>
      <c r="BD74" s="5" t="str">
        <f t="shared" ref="BD74:BD129" si="525">IF(ISNUMBER(AV74),AW74,"")</f>
        <v/>
      </c>
      <c r="BE74" s="6" t="str">
        <f t="shared" si="478"/>
        <v/>
      </c>
      <c r="BF74" s="4" t="str">
        <f t="shared" si="479"/>
        <v/>
      </c>
      <c r="BG74" s="5" t="str">
        <f t="shared" si="480"/>
        <v/>
      </c>
      <c r="BH74" s="10" t="str">
        <f t="shared" si="481"/>
        <v/>
      </c>
      <c r="BI74" s="9" t="str">
        <f t="shared" si="120"/>
        <v/>
      </c>
      <c r="BJ74" s="5" t="str">
        <f t="shared" si="482"/>
        <v/>
      </c>
      <c r="BK74" s="8" t="str">
        <f t="shared" si="483"/>
        <v/>
      </c>
      <c r="BL74" s="177" t="str">
        <f t="shared" si="484"/>
        <v/>
      </c>
      <c r="BM74" s="5" t="str">
        <f t="shared" si="485"/>
        <v/>
      </c>
      <c r="BN74" s="6" t="str">
        <f t="shared" si="486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6">IF(ISNUMBER($AV74),0,"")</f>
        <v/>
      </c>
      <c r="BT74" s="5" t="str">
        <f t="shared" si="526"/>
        <v/>
      </c>
      <c r="BU74" s="10" t="str">
        <f t="shared" ref="BU74:BU150" si="527">IF(ISNUMBER($AV74),$BE74,"")</f>
        <v/>
      </c>
      <c r="BV74" s="9" t="str">
        <f t="shared" ref="BV74:BV150" si="528">IF(ISNUMBER($AV74),0,"")</f>
        <v/>
      </c>
      <c r="BW74" s="5" t="str">
        <f t="shared" ref="BW74:BW150" si="529">IF(ISNUMBER($AV74),1,"")</f>
        <v/>
      </c>
      <c r="BX74" s="8" t="str">
        <f t="shared" ref="BX74:BX150" si="530">IF(ISNUMBER($AV74),$BE74,"")</f>
        <v/>
      </c>
      <c r="BY74" s="177" t="str">
        <f t="shared" ref="BY74:BY150" si="531">IF(ISNUMBER($AV74),1,"")</f>
        <v/>
      </c>
      <c r="BZ74" s="5" t="str">
        <f t="shared" ref="BZ74:BZ150" si="532">IF(ISNUMBER($AV74),0,"")</f>
        <v/>
      </c>
      <c r="CA74" s="6" t="str">
        <f t="shared" ref="CA74:CA150" si="533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4">IF(ISNUMBER($AV74),0,"")</f>
        <v/>
      </c>
      <c r="CJ74" s="5" t="str">
        <f t="shared" ref="CJ74:CJ129" si="535">IF(ISNUMBER($AV74),(CD74*BR74-BQ74*CE74)/(BQ74*CC74-CD74*BP74),"")</f>
        <v/>
      </c>
      <c r="CK74" s="8" t="str">
        <f t="shared" ref="CK74:CK129" si="536">IF(ISNUMBER($AV74),(CC74*BR74-BP74*CE74)/(-CC74*BQ74+BP74*CD74),"")</f>
        <v/>
      </c>
      <c r="CL74" s="177" t="str">
        <f t="shared" ref="CL74:CL129" si="537">IF(ISNUMBER($AV74),CI74+CF74,"")</f>
        <v/>
      </c>
      <c r="CM74" s="5" t="str">
        <f t="shared" ref="CM74:CM129" si="538">IF(ISNUMBER($AV74),CJ74+CG74,"")</f>
        <v/>
      </c>
      <c r="CN74" s="6" t="str">
        <f t="shared" ref="CN74:CN129" si="539">IF(ISNUMBER($AV74),CK74+CH74,"")</f>
        <v/>
      </c>
      <c r="CO74" s="171" t="str">
        <f t="shared" si="487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2"/>
        <v/>
      </c>
      <c r="DC74" s="5" t="str">
        <f t="shared" si="432"/>
        <v/>
      </c>
      <c r="DD74" s="10" t="str">
        <f t="shared" si="142"/>
        <v/>
      </c>
      <c r="DE74" s="9" t="str">
        <f t="shared" si="433"/>
        <v/>
      </c>
      <c r="DF74" s="5" t="str">
        <f t="shared" si="433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8"/>
        <v/>
      </c>
      <c r="ET74" s="5" t="str">
        <f t="shared" si="489"/>
        <v/>
      </c>
      <c r="EU74" s="10" t="str">
        <f t="shared" si="490"/>
        <v/>
      </c>
      <c r="EV74" s="178" t="str">
        <f t="shared" si="491"/>
        <v/>
      </c>
      <c r="EW74" s="9" t="str">
        <f t="shared" si="492"/>
        <v/>
      </c>
      <c r="EX74" s="5" t="str">
        <f t="shared" si="493"/>
        <v/>
      </c>
      <c r="EY74" s="6" t="str">
        <f t="shared" si="182"/>
        <v/>
      </c>
      <c r="EZ74" s="52" t="str">
        <f t="shared" si="183"/>
        <v/>
      </c>
      <c r="FA74" s="177" t="str">
        <f t="shared" si="494"/>
        <v/>
      </c>
      <c r="FB74" s="5" t="str">
        <f t="shared" si="495"/>
        <v/>
      </c>
      <c r="FC74" s="6" t="str">
        <f t="shared" si="496"/>
        <v/>
      </c>
      <c r="FD74" s="4" t="str">
        <f t="shared" si="497"/>
        <v/>
      </c>
      <c r="FE74" s="5" t="str">
        <f t="shared" si="498"/>
        <v/>
      </c>
      <c r="FF74" s="7" t="str">
        <f t="shared" si="184"/>
        <v/>
      </c>
      <c r="FG74" s="177" t="str">
        <f t="shared" si="499"/>
        <v/>
      </c>
      <c r="FH74" s="5" t="str">
        <f t="shared" si="500"/>
        <v/>
      </c>
      <c r="FI74" s="10" t="str">
        <f t="shared" si="501"/>
        <v/>
      </c>
      <c r="FJ74" s="290" t="str">
        <f t="shared" si="185"/>
        <v/>
      </c>
      <c r="FK74" s="4" t="str">
        <f t="shared" si="502"/>
        <v/>
      </c>
      <c r="FL74" s="5" t="str">
        <f t="shared" ref="FL74:FL129" si="540">IF(ISNUMBER($AV74),SQRT(FA74^2+FB74^2),"")</f>
        <v/>
      </c>
      <c r="FM74" s="8" t="str">
        <f t="shared" ref="FM74:FM129" si="541">IF(ISNUMBER($AV74),SQRT(FG74^2+FH74^2),"")</f>
        <v/>
      </c>
      <c r="FN74" s="9" t="str">
        <f t="shared" ref="FN74:FN129" si="542">IF(ISNUMBER($AV74),DEGREES(ACOS((FK74^2+FL74^2-FM74^2)/(2*FK74*FL74))),"")</f>
        <v/>
      </c>
      <c r="FO74" s="10" t="str">
        <f t="shared" si="503"/>
        <v/>
      </c>
      <c r="FP74" s="288" t="str">
        <f t="shared" ref="FP74:FP129" si="543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4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5"/>
        <v/>
      </c>
      <c r="GH74" s="297" t="str">
        <f t="shared" si="506"/>
        <v/>
      </c>
      <c r="GI74" s="292" t="str">
        <f t="shared" si="507"/>
        <v/>
      </c>
      <c r="GJ74" s="171" t="str">
        <f t="shared" si="199"/>
        <v/>
      </c>
      <c r="GK74" s="178" t="str">
        <f t="shared" si="508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9"/>
        <v/>
      </c>
      <c r="GT74" s="364" t="str">
        <f t="shared" si="510"/>
        <v/>
      </c>
      <c r="GU74" s="365" t="str">
        <f t="shared" si="511"/>
        <v/>
      </c>
      <c r="GV74" s="364" t="str">
        <f t="shared" si="204"/>
        <v/>
      </c>
      <c r="GW74" s="366" t="str">
        <f t="shared" si="512"/>
        <v/>
      </c>
      <c r="GX74" s="367" t="str">
        <f t="shared" si="513"/>
        <v/>
      </c>
      <c r="GY74" s="365" t="str">
        <f t="shared" si="514"/>
        <v/>
      </c>
      <c r="GZ74" s="366" t="str">
        <f t="shared" si="515"/>
        <v/>
      </c>
      <c r="HA74" s="363" t="str">
        <f t="shared" si="516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7"/>
        <v/>
      </c>
      <c r="HF74" s="5" t="str">
        <f t="shared" si="518"/>
        <v/>
      </c>
      <c r="HG74" s="364" t="str">
        <f t="shared" si="208"/>
        <v/>
      </c>
      <c r="HH74" s="370" t="str">
        <f t="shared" si="209"/>
        <v/>
      </c>
      <c r="HI74" s="335" t="str">
        <f t="shared" si="519"/>
        <v/>
      </c>
      <c r="HK74" s="323" t="str">
        <f t="shared" si="238"/>
        <v/>
      </c>
      <c r="HL74" s="322" t="str">
        <f t="shared" ref="HL74:HL105" si="544">IFERROR(SMALL($GJ$9:$GJ$150,($HK73+1)),"")</f>
        <v/>
      </c>
      <c r="HM74" s="369" t="str">
        <f t="shared" si="466"/>
        <v/>
      </c>
      <c r="HN74" s="384" t="str">
        <f t="shared" si="466"/>
        <v/>
      </c>
      <c r="HO74" s="385" t="str">
        <f t="shared" si="466"/>
        <v/>
      </c>
      <c r="HP74" s="380" t="str">
        <f t="shared" si="466"/>
        <v/>
      </c>
      <c r="HQ74" s="384" t="str">
        <f t="shared" si="466"/>
        <v/>
      </c>
      <c r="HR74" s="395" t="str">
        <f t="shared" si="466"/>
        <v/>
      </c>
      <c r="HS74" s="379" t="str">
        <f t="shared" si="466"/>
        <v/>
      </c>
      <c r="HT74" s="374" t="str">
        <f t="shared" si="466"/>
        <v/>
      </c>
      <c r="HU74" s="375" t="str">
        <f t="shared" si="466"/>
        <v/>
      </c>
      <c r="HV74" s="376" t="str">
        <f t="shared" si="466"/>
        <v/>
      </c>
      <c r="HW74" s="374" t="str">
        <f t="shared" si="466"/>
        <v/>
      </c>
      <c r="HX74" s="375" t="str">
        <f t="shared" si="466"/>
        <v/>
      </c>
      <c r="HY74" s="376" t="str">
        <f t="shared" si="466"/>
        <v/>
      </c>
      <c r="HZ74" s="374" t="str">
        <f t="shared" si="466"/>
        <v/>
      </c>
      <c r="IA74" s="375" t="str">
        <f t="shared" si="466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4.1360000000000001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5">IF(ISNUMBER($II74),INDEX($K$9:$K$150,MATCH($II74,$M$9:$M$150,0)),$K74)</f>
        <v>1613</v>
      </c>
      <c r="IK74" s="533" t="str">
        <f t="shared" si="520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21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22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-1.3098997528386092</v>
      </c>
      <c r="C75" s="708">
        <v>-6.1745027786837055</v>
      </c>
      <c r="D75" s="709">
        <v>-1.3524040788507015</v>
      </c>
      <c r="E75" s="710">
        <v>0.78424175090354764</v>
      </c>
      <c r="F75" s="708">
        <v>-0.57483648215269434</v>
      </c>
      <c r="G75" s="711">
        <v>0.23351208732323289</v>
      </c>
      <c r="H75" s="710">
        <v>0.314</v>
      </c>
      <c r="I75" s="708">
        <v>0.52</v>
      </c>
      <c r="J75" s="570">
        <v>4.1420000000000003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7"/>
        <v>4.1420000000000003</v>
      </c>
      <c r="N75" s="632">
        <f t="shared" si="468"/>
        <v>-1.3098997528386092</v>
      </c>
      <c r="O75" s="629">
        <f t="shared" si="469"/>
        <v>-6.1745027786837055</v>
      </c>
      <c r="P75" s="633">
        <f t="shared" si="470"/>
        <v>-1.3524040788507015</v>
      </c>
      <c r="Q75" s="585">
        <f t="shared" si="523"/>
        <v>258.02247574055599</v>
      </c>
      <c r="R75" s="629">
        <f>IF(M75="","",SQRT(N75^2+O75^2))</f>
        <v>6.3119190367478142</v>
      </c>
      <c r="S75" s="634">
        <f>IF(M75="","",P75)</f>
        <v>-1.3524040788507015</v>
      </c>
      <c r="T75" s="635">
        <f>IF(M75="","",X75*COS(RADIANS(W75)))</f>
        <v>-6.1745027786837063</v>
      </c>
      <c r="U75" s="629">
        <f>IF(M75="","",X75*SIN(RADIANS(W75)))</f>
        <v>1.3098997528386085</v>
      </c>
      <c r="V75" s="636">
        <f>IF(M75="","",Y75)</f>
        <v>-1.3524040788507015</v>
      </c>
      <c r="W75" s="585">
        <f t="shared" si="224"/>
        <v>168.02247574055599</v>
      </c>
      <c r="X75" s="629">
        <f>IF(M75="","",R75)</f>
        <v>6.3119190367478142</v>
      </c>
      <c r="Y75" s="630">
        <f t="shared" si="223"/>
        <v>-1.3524040788507015</v>
      </c>
      <c r="Z75" s="632">
        <f t="shared" si="471"/>
        <v>-0.78424175090354764</v>
      </c>
      <c r="AA75" s="629">
        <f t="shared" si="472"/>
        <v>0.57483648215269434</v>
      </c>
      <c r="AB75" s="629">
        <f t="shared" si="473"/>
        <v>-0.23351208732323289</v>
      </c>
      <c r="AC75" s="636">
        <f>IF(M75="","",SQRT(Z75^2+AA75^2+AB75^2))</f>
        <v>1</v>
      </c>
      <c r="AD75" s="637">
        <f>IF(M75="","",Z75*(1/SQRT(Z75^2+AA75^2+AB75^2)))</f>
        <v>-0.78424175090354764</v>
      </c>
      <c r="AE75" s="629">
        <f>IF(M75="","",AA75*(1/SQRT(Z75^2+AA75^2+AB75^2)))</f>
        <v>0.57483648215269434</v>
      </c>
      <c r="AF75" s="633">
        <f>IF(M75="","",AB75*(1/SQRT(Z75^2+AA75^2+AB75^2)))</f>
        <v>-0.23351208732323289</v>
      </c>
      <c r="AG75" s="602">
        <f>IF(M75="","",DEGREES(ATAN2(-AF75,AE75)))</f>
        <v>67.891854952046216</v>
      </c>
      <c r="AH75" s="603">
        <f>IF(M75="","",DEGREES(ACOS(AD75)))</f>
        <v>141.65060377896788</v>
      </c>
      <c r="AI75" s="585">
        <f>IF(M75="","",DEGREES(-ACOS(-AF75)))</f>
        <v>-76.496068364019067</v>
      </c>
      <c r="AJ75" s="586">
        <f>IF(M75="","",DEGREES(ATAN2(-AE75,AD75)))</f>
        <v>-126.24081158210763</v>
      </c>
      <c r="AK75" s="635">
        <f>IF(M75="","",(COS(RADIANS((90-$Q$8)-W75))*AD75)+(-SIN(RADIANS((90-$Q$8)-W75))*AE75))</f>
        <v>0.8864627387380275</v>
      </c>
      <c r="AL75" s="629">
        <f>IF(M75="","",(SIN(RADIANS((90-$Q$8)-W75))*AD75)+(COS(RADIANS((90-$Q$8)-W75))*AE75))</f>
        <v>-0.3995696658944754</v>
      </c>
      <c r="AM75" s="634">
        <f>IF(M75="","",AF75)</f>
        <v>-0.23351208732323289</v>
      </c>
      <c r="AN75" s="581">
        <f>IF(M75="","",DEGREES(ATAN2(-AM75,AL75)))</f>
        <v>-59.697602797236854</v>
      </c>
      <c r="AO75" s="582">
        <f t="shared" si="463"/>
        <v>27.567932599901027</v>
      </c>
      <c r="AP75" s="585">
        <f>IF(M75="","",DEGREES(ATAN2(AK75,AL75)))</f>
        <v>-24.263287322663626</v>
      </c>
      <c r="AQ75" s="586">
        <f t="shared" si="474"/>
        <v>0.36117326960892504</v>
      </c>
      <c r="AS75" s="52">
        <f t="shared" ref="AS75:AS106" si="546">IF(G75="","",IF(AND(W75&lt;(AS74+180),W75&gt;(AS74-180)),W75,IF(W75&gt;(AS74+180),W75-360,IF(W75&lt;(AS74-180),W75+360,"Error"))))</f>
        <v>-191.97752425944401</v>
      </c>
      <c r="AT75" s="72">
        <f t="shared" si="475"/>
        <v>-1.2190863536705321</v>
      </c>
      <c r="AU75" s="469"/>
      <c r="AV75" s="168" t="str">
        <f t="shared" si="476"/>
        <v/>
      </c>
      <c r="AW75" s="418"/>
      <c r="AX75" s="419"/>
      <c r="AY75" s="420"/>
      <c r="AZ75" s="308" t="str">
        <f t="shared" ref="AZ75:AZ129" si="547">IF(ISNUMBER(AV75),$AY75*SQRT((2*PI()*$AW75)^2+$AS$5^2),"")</f>
        <v/>
      </c>
      <c r="BA75" s="307" t="str">
        <f t="shared" si="477"/>
        <v/>
      </c>
      <c r="BB75" s="181" t="str">
        <f t="shared" si="524"/>
        <v/>
      </c>
      <c r="BC75" s="9"/>
      <c r="BD75" s="5" t="str">
        <f t="shared" si="525"/>
        <v/>
      </c>
      <c r="BE75" s="6" t="str">
        <f t="shared" si="478"/>
        <v/>
      </c>
      <c r="BF75" s="4" t="str">
        <f t="shared" si="479"/>
        <v/>
      </c>
      <c r="BG75" s="5" t="str">
        <f t="shared" si="480"/>
        <v/>
      </c>
      <c r="BH75" s="10" t="str">
        <f t="shared" si="481"/>
        <v/>
      </c>
      <c r="BI75" s="9" t="str">
        <f t="shared" ref="BI75:BI129" si="548">IF(ISNUMBER($AV75),BF75+0,"")</f>
        <v/>
      </c>
      <c r="BJ75" s="5" t="str">
        <f t="shared" si="482"/>
        <v/>
      </c>
      <c r="BK75" s="8" t="str">
        <f t="shared" si="483"/>
        <v/>
      </c>
      <c r="BL75" s="177" t="str">
        <f t="shared" si="484"/>
        <v/>
      </c>
      <c r="BM75" s="5" t="str">
        <f t="shared" si="485"/>
        <v/>
      </c>
      <c r="BN75" s="6" t="str">
        <f t="shared" si="486"/>
        <v/>
      </c>
      <c r="BO75" s="4" t="str">
        <f t="shared" ref="BO75:BO129" si="549">IF(ISNUMBER($AV75),BJ75*BN75-BM75*BK75-BG75*(BN75-BK75)+BH75*(BM75-BJ75),"")</f>
        <v/>
      </c>
      <c r="BP75" s="5" t="str">
        <f t="shared" ref="BP75:BP129" si="550">IF(ISNUMBER($AV75),BF75*(BN75-BK75)-(BI75*BN75-BL75*BK75)+BH75*(BI75-BL75),"")</f>
        <v/>
      </c>
      <c r="BQ75" s="5" t="str">
        <f t="shared" ref="BQ75:BQ129" si="551">IF(ISNUMBER($AV75),BF75*(BJ75-BM75)-BG75*(BI75-BL75)+(BI75*BM75-BL75*BJ75),"")</f>
        <v/>
      </c>
      <c r="BR75" s="6" t="str">
        <f t="shared" ref="BR75:BR129" si="552">IF(ISNUMBER($AV75),-(BF75*(BJ75*BN75-BM75*BK75)-BG75*(BI75*BN75-BL75*BK75)+BH75*(BI75*BM75-BL75*BJ75)),"")</f>
        <v/>
      </c>
      <c r="BS75" s="4" t="str">
        <f t="shared" si="526"/>
        <v/>
      </c>
      <c r="BT75" s="5" t="str">
        <f t="shared" si="526"/>
        <v/>
      </c>
      <c r="BU75" s="10" t="str">
        <f t="shared" si="527"/>
        <v/>
      </c>
      <c r="BV75" s="9" t="str">
        <f t="shared" si="528"/>
        <v/>
      </c>
      <c r="BW75" s="5" t="str">
        <f t="shared" si="529"/>
        <v/>
      </c>
      <c r="BX75" s="8" t="str">
        <f t="shared" si="530"/>
        <v/>
      </c>
      <c r="BY75" s="177" t="str">
        <f t="shared" si="531"/>
        <v/>
      </c>
      <c r="BZ75" s="5" t="str">
        <f t="shared" si="532"/>
        <v/>
      </c>
      <c r="CA75" s="6" t="str">
        <f t="shared" si="533"/>
        <v/>
      </c>
      <c r="CB75" s="4" t="str">
        <f t="shared" ref="CB75:CB129" si="553">IF(ISNUMBER($AV75),BW75*CA75-BZ75*BX75-BT75*(CA75-BX75)+BU75*(BZ75-BW75),"")</f>
        <v/>
      </c>
      <c r="CC75" s="5" t="str">
        <f t="shared" ref="CC75:CC129" si="554">IF(ISNUMBER($AV75),BS75*(CA75-BX75)-(BV75*CA75-BY75*BX75)+BU75*(BV75-BY75),"")</f>
        <v/>
      </c>
      <c r="CD75" s="5" t="str">
        <f t="shared" ref="CD75:CD129" si="555">IF(ISNUMBER($AV75),BS75*(BW75-BZ75)-BT75*(BV75-BY75)+(BV75*BZ75-BY75*BW75),"")</f>
        <v/>
      </c>
      <c r="CE75" s="6" t="str">
        <f t="shared" ref="CE75:CE129" si="556">IF(ISNUMBER($AV75),-(BS75*(BW75*CA75-BZ75*BX75)-BT75*(BV75*CA75-BY75*BX75)+BU75*(BV75*BZ75-BY75*BW75)),"")</f>
        <v/>
      </c>
      <c r="CF75" s="4" t="str">
        <f t="shared" ref="CF75:CF129" si="557">IF(ISNUMBER($AV75),(BP75*CD75)-(BQ75*CC75),"")</f>
        <v/>
      </c>
      <c r="CG75" s="5" t="str">
        <f t="shared" ref="CG75:CG129" si="558">IF(ISNUMBER($AV75),(BQ75*CB75)-(BO75*CD75),"")</f>
        <v/>
      </c>
      <c r="CH75" s="5" t="str">
        <f t="shared" ref="CH75:CH129" si="559">IF(ISNUMBER($AV75),(BO75*CC75)-(BP75*CB75),"")</f>
        <v/>
      </c>
      <c r="CI75" s="4" t="str">
        <f t="shared" si="534"/>
        <v/>
      </c>
      <c r="CJ75" s="5" t="str">
        <f t="shared" si="535"/>
        <v/>
      </c>
      <c r="CK75" s="8" t="str">
        <f t="shared" si="536"/>
        <v/>
      </c>
      <c r="CL75" s="177" t="str">
        <f t="shared" si="537"/>
        <v/>
      </c>
      <c r="CM75" s="5" t="str">
        <f t="shared" si="538"/>
        <v/>
      </c>
      <c r="CN75" s="6" t="str">
        <f t="shared" si="539"/>
        <v/>
      </c>
      <c r="CO75" s="171" t="str">
        <f t="shared" si="487"/>
        <v/>
      </c>
      <c r="CP75" s="4" t="str">
        <f t="shared" ref="CP75:CP129" si="560">IF(ISNUMBER($AV75),(CL75-CI75)^2+(CM75-CJ75)^2+(CN75-CK75)^2,"")</f>
        <v/>
      </c>
      <c r="CQ75" s="5" t="str">
        <f t="shared" ref="CQ75:CQ129" si="561">IF(ISNUMBER($AV75),2*((CL75-CI75)*(CI75-BF75)+(CM75-CJ75)*(CJ75-BG75)+(CN75-CK75)*(CK75-BH75)),"")</f>
        <v/>
      </c>
      <c r="CR75" s="5" t="str">
        <f t="shared" ref="CR75:CR129" si="562">IF(ISNUMBER($AV75),BF75^2+BG75^2+BH75^2+CI75^2+CJ75^2+CK75^2-2*(BF75*CI75+BG75*CJ75+BH75*CK75)-CO75^2,"")</f>
        <v/>
      </c>
      <c r="CS75" s="8" t="str">
        <f t="shared" ref="CS75:CS129" si="563">IF(ISNUMBER($AV75),CQ75^2-(4*CP75*CR75),"")</f>
        <v/>
      </c>
      <c r="CT75" s="9" t="str">
        <f t="shared" ref="CT75:CT129" si="564">IF(ISNUMBER($AV75),(-CQ75+SQRT(CS75))/(CP75*2),"")</f>
        <v/>
      </c>
      <c r="CU75" s="6" t="str">
        <f t="shared" ref="CU75:CU129" si="565">IF(ISNUMBER($AV75),(-CQ75-SQRT(CS75))/(CP75*2),"")</f>
        <v/>
      </c>
      <c r="CV75" s="4" t="str">
        <f t="shared" ref="CV75:CV129" si="566">IF(ISNUMBER($AV75),CI75+($CT75*(CL75-CI75)),"")</f>
        <v/>
      </c>
      <c r="CW75" s="5" t="str">
        <f t="shared" ref="CW75:CW129" si="567">IF(ISNUMBER($AV75),CJ75+($CT75*(CM75-CJ75)),"")</f>
        <v/>
      </c>
      <c r="CX75" s="8" t="str">
        <f t="shared" ref="CX75:CX129" si="568">IF(ISNUMBER($AV75),CK75+($CT75*(CN75-CK75)),"")</f>
        <v/>
      </c>
      <c r="CY75" s="9" t="str">
        <f t="shared" ref="CY75:CY129" si="569">IF(ISNUMBER($AV75),CI75+($CU75*(CL75-CI75)),"")</f>
        <v/>
      </c>
      <c r="CZ75" s="5" t="str">
        <f t="shared" ref="CZ75:CZ129" si="570">IF(ISNUMBER($AV75),CJ75+($CU75*(CM75-CJ75)),"")</f>
        <v/>
      </c>
      <c r="DA75" s="6" t="str">
        <f t="shared" ref="DA75:DA129" si="571">IF(ISNUMBER($AV75),CK75+($CU75*(CN75-CK75)),"")</f>
        <v/>
      </c>
      <c r="DB75" s="4" t="str">
        <f t="shared" ref="DB75:DC106" si="572">IF(ISNUMBER($AV75),0,"")</f>
        <v/>
      </c>
      <c r="DC75" s="5" t="str">
        <f t="shared" si="572"/>
        <v/>
      </c>
      <c r="DD75" s="10" t="str">
        <f t="shared" ref="DD75:DD150" si="573">IF(ISNUMBER($AV75),-10,"")</f>
        <v/>
      </c>
      <c r="DE75" s="9" t="str">
        <f t="shared" ref="DE75:DF106" si="574">IF(ISNUMBER($AV75),0,"")</f>
        <v/>
      </c>
      <c r="DF75" s="5" t="str">
        <f t="shared" si="574"/>
        <v/>
      </c>
      <c r="DG75" s="10" t="str">
        <f t="shared" ref="DG75:DG150" si="575">IF(ISNUMBER($AV75),10,"")</f>
        <v/>
      </c>
      <c r="DH75" s="72" t="str">
        <f t="shared" ref="DH75:DH129" si="576">IF(ISNUMBER($AV75),BD75,"")</f>
        <v/>
      </c>
      <c r="DI75" s="4" t="str">
        <f t="shared" ref="DI75:DI129" si="577">IF(ISNUMBER($AV75),DE75-DB75,"")</f>
        <v/>
      </c>
      <c r="DJ75" s="5" t="str">
        <f t="shared" ref="DJ75:DJ129" si="578">IF(ISNUMBER($AV75),DF75-DC75,"")</f>
        <v/>
      </c>
      <c r="DK75" s="10" t="str">
        <f t="shared" ref="DK75:DK129" si="579">IF(ISNUMBER($AV75),DG75-DD75,"")</f>
        <v/>
      </c>
      <c r="DL75" s="9" t="str">
        <f t="shared" ref="DL75:DL129" si="580">IF(ISNUMBER($AV75),CV75-DB75,"")</f>
        <v/>
      </c>
      <c r="DM75" s="177" t="str">
        <f t="shared" ref="DM75:DM129" si="581">IF(ISNUMBER($AV75),CW75-DC75,"")</f>
        <v/>
      </c>
      <c r="DN75" s="182" t="str">
        <f t="shared" ref="DN75:DN129" si="582">IF(ISNUMBER($AV75),CX75-DD75,"")</f>
        <v/>
      </c>
      <c r="DO75" s="9" t="str">
        <f t="shared" ref="DO75:DO129" si="583">IF(ISNUMBER($AV75),CY75-CV75,"")</f>
        <v/>
      </c>
      <c r="DP75" s="177" t="str">
        <f t="shared" ref="DP75:DP129" si="584">IF(ISNUMBER($AV75),CZ75-CW75,"")</f>
        <v/>
      </c>
      <c r="DQ75" s="11" t="str">
        <f t="shared" ref="DQ75:DQ129" si="585">IF(ISNUMBER($AV75),DA75-CX75,"")</f>
        <v/>
      </c>
      <c r="DR75" s="177" t="str">
        <f t="shared" ref="DR75:DR129" si="586">IF(ISNUMBER($AV75),SUMPRODUCT(DI75:DK75,DL75:DN75),"")</f>
        <v/>
      </c>
      <c r="DS75" s="5" t="str">
        <f t="shared" ref="DS75:DS129" si="587">IF(ISNUMBER($AV75),SUMPRODUCT(DO75:DQ75,DI75:DK75),"")</f>
        <v/>
      </c>
      <c r="DT75" s="5" t="str">
        <f t="shared" ref="DT75:DT129" si="588">IF(ISNUMBER($AV75),SUMPRODUCT(DI75:DK75,DI75:DK75),"")</f>
        <v/>
      </c>
      <c r="DU75" s="5" t="str">
        <f t="shared" ref="DU75:DU129" si="589">IF(ISNUMBER($AV75),SUMPRODUCT(DO75:DQ75,DO75:DQ75),"")</f>
        <v/>
      </c>
      <c r="DV75" s="5" t="str">
        <f t="shared" ref="DV75:DV129" si="590">IF(ISNUMBER($AV75),SUMPRODUCT(DL75:DN75,DO75:DQ75),"")</f>
        <v/>
      </c>
      <c r="DW75" s="5" t="str">
        <f t="shared" ref="DW75:DW129" si="591">IF(ISNUMBER($AV75),SUMPRODUCT(DL75:DN75,DL75:DN75),"")</f>
        <v/>
      </c>
      <c r="DX75" s="171" t="str">
        <f t="shared" ref="DX75:DX129" si="592">IF(ISNUMBER($AV75),DW75-DH75*DH75,"")</f>
        <v/>
      </c>
      <c r="DY75" s="9" t="str">
        <f t="shared" ref="DY75:DY129" si="593">IF(ISNUMBER($AV75),DT75*DU75-DS75*DS75,"")</f>
        <v/>
      </c>
      <c r="DZ75" s="5" t="str">
        <f t="shared" ref="DZ75:DZ129" si="594">IF(ISNUMBER($AV75),DT75*DV75-DS75*DR75,"")</f>
        <v/>
      </c>
      <c r="EA75" s="10" t="str">
        <f t="shared" ref="EA75:EA129" si="595">IF(ISNUMBER($AV75),DT75*DX75-DR75*DR75,"")</f>
        <v/>
      </c>
      <c r="EB75" s="6" t="str">
        <f t="shared" ref="EB75:EB129" si="596">IF(ISNUMBER($AV75),DZ75*DZ75-DY75*EA75,"")</f>
        <v/>
      </c>
      <c r="EC75" s="177" t="str">
        <f t="shared" ref="EC75:EC129" si="597">IF(ISNUMBER($AV75),(-DZ75+SQRT(DZ75^2-DY75*EA75))/DY75,"")</f>
        <v/>
      </c>
      <c r="ED75" s="5" t="str">
        <f t="shared" ref="ED75:ED129" si="598">IF(ISNUMBER($AV75),(-DZ75-SQRT(DZ75^2-DY75*EA75))/DY75,"")</f>
        <v/>
      </c>
      <c r="EE75" s="4" t="str">
        <f t="shared" ref="EE75:EE129" si="599">IF(ISNUMBER($AV75),CV75+DO75*$EC75,"")</f>
        <v/>
      </c>
      <c r="EF75" s="5" t="str">
        <f t="shared" ref="EF75:EF129" si="600">IF(ISNUMBER($AV75),CW75+DP75*$EC75,"")</f>
        <v/>
      </c>
      <c r="EG75" s="10" t="str">
        <f t="shared" ref="EG75:EG129" si="601">IF(ISNUMBER($AV75),CX75+DQ75*$EC75,"")</f>
        <v/>
      </c>
      <c r="EH75" s="9" t="str">
        <f t="shared" ref="EH75:EH129" si="602">IF(ISNUMBER($AV75),CV75+DO75*$ED75,"")</f>
        <v/>
      </c>
      <c r="EI75" s="5" t="str">
        <f t="shared" ref="EI75:EI129" si="603">IF(ISNUMBER($AV75),CW75+DP75*$ED75,"")</f>
        <v/>
      </c>
      <c r="EJ75" s="6" t="str">
        <f t="shared" ref="EJ75:EJ129" si="604">IF(ISNUMBER($AV75),CX75+DQ75*$ED75,"")</f>
        <v/>
      </c>
      <c r="EK75" s="247" t="str">
        <f t="shared" ref="EK75:EK150" si="605">IF(ISNUMBER($AV75),IF(OR($EC75&lt;0,$EC75&gt;1),FALSE,TRUE),"")</f>
        <v/>
      </c>
      <c r="EL75" s="249" t="str">
        <f t="shared" ref="EL75:EL150" si="606">IF(ISNUMBER($AV75),IF(OR($ED75&lt;0,$ED75&gt;1),FALSE,TRUE),"")</f>
        <v/>
      </c>
      <c r="EM75" s="4" t="str">
        <f t="shared" ref="EM75:EM129" si="607">IF(ISNUMBER($AV75),IF($EK75=TRUE,EE75,IF($EL75=TRUE,EH75,"")),"")</f>
        <v/>
      </c>
      <c r="EN75" s="5" t="str">
        <f t="shared" ref="EN75:EN129" si="608">IF(ISNUMBER($AV75),IF($EK75=TRUE,EF75,IF($EL75=TRUE,EI75,"")),"")</f>
        <v/>
      </c>
      <c r="EO75" s="10" t="str">
        <f t="shared" ref="EO75:EO129" si="609">IF(ISNUMBER($AV75),IF($EK75=TRUE,EG75,IF($EL75=TRUE,EJ75,"")),"")</f>
        <v/>
      </c>
      <c r="EP75" s="9" t="str">
        <f t="shared" ref="EP75:EP129" si="610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1">IF(ISNUMBER($AV75),SQRT(EM75^2+EN75^2),"")</f>
        <v/>
      </c>
      <c r="ER75" s="7" t="str">
        <f t="shared" ref="ER75:ER129" si="612">IF(ISNUMBER($AV75),EO75,"")</f>
        <v/>
      </c>
      <c r="ES75" s="21" t="str">
        <f t="shared" si="488"/>
        <v/>
      </c>
      <c r="ET75" s="5" t="str">
        <f t="shared" si="489"/>
        <v/>
      </c>
      <c r="EU75" s="10" t="str">
        <f t="shared" si="490"/>
        <v/>
      </c>
      <c r="EV75" s="178" t="str">
        <f t="shared" si="491"/>
        <v/>
      </c>
      <c r="EW75" s="9" t="str">
        <f t="shared" si="492"/>
        <v/>
      </c>
      <c r="EX75" s="5" t="str">
        <f t="shared" si="493"/>
        <v/>
      </c>
      <c r="EY75" s="6" t="str">
        <f t="shared" ref="EY75:EY129" si="613">IF(ISNUMBER($AV75),EU75,"")</f>
        <v/>
      </c>
      <c r="EZ75" s="52" t="str">
        <f t="shared" ref="EZ75:EZ150" si="614">IF(ISNUMBER($AV75),DEGREES(ATAN($AS$5/($EQ75*2*PI()))),"")</f>
        <v/>
      </c>
      <c r="FA75" s="177" t="str">
        <f t="shared" si="494"/>
        <v/>
      </c>
      <c r="FB75" s="5" t="str">
        <f t="shared" si="495"/>
        <v/>
      </c>
      <c r="FC75" s="6" t="str">
        <f t="shared" si="496"/>
        <v/>
      </c>
      <c r="FD75" s="4" t="str">
        <f t="shared" si="497"/>
        <v/>
      </c>
      <c r="FE75" s="5" t="str">
        <f t="shared" si="498"/>
        <v/>
      </c>
      <c r="FF75" s="7" t="str">
        <f t="shared" ref="FF75:FF129" si="615">IF(ISNUMBER($AV75),FC75,"")</f>
        <v/>
      </c>
      <c r="FG75" s="177" t="str">
        <f t="shared" si="499"/>
        <v/>
      </c>
      <c r="FH75" s="5" t="str">
        <f t="shared" si="500"/>
        <v/>
      </c>
      <c r="FI75" s="10" t="str">
        <f t="shared" si="501"/>
        <v/>
      </c>
      <c r="FJ75" s="290" t="str">
        <f t="shared" ref="FJ75:FJ129" si="616">IF(ISNUMBER($AV75),DEGREES(ACOS((2-SQRT((FG75)^2+(FH75)^2+(FI75)^2)^2)/2)),"")</f>
        <v/>
      </c>
      <c r="FK75" s="4" t="str">
        <f t="shared" si="502"/>
        <v/>
      </c>
      <c r="FL75" s="5" t="str">
        <f t="shared" si="540"/>
        <v/>
      </c>
      <c r="FM75" s="8" t="str">
        <f t="shared" si="541"/>
        <v/>
      </c>
      <c r="FN75" s="9" t="str">
        <f t="shared" si="542"/>
        <v/>
      </c>
      <c r="FO75" s="10" t="str">
        <f t="shared" si="503"/>
        <v/>
      </c>
      <c r="FP75" s="288" t="str">
        <f t="shared" si="543"/>
        <v/>
      </c>
      <c r="FQ75" s="177" t="str">
        <f t="shared" ref="FQ75:FQ129" si="617">IF(ISNUMBER($AV75),SIN(RADIANS(FN75)),"")</f>
        <v/>
      </c>
      <c r="FR75" s="10" t="str">
        <f t="shared" ref="FR75:FR129" si="618">IF(ISNUMBER($AV75),COS(RADIANS(FN75)),"")</f>
        <v/>
      </c>
      <c r="FS75" s="9" t="str">
        <f t="shared" ref="FS75:FS129" si="619">IF(ISNUMBER($AV75),FQ75/(FQ75+FR75),"")</f>
        <v/>
      </c>
      <c r="FT75" s="6" t="str">
        <f t="shared" ref="FT75:FT129" si="620">IF(ISNUMBER($AV75),FR75/(FQ75+FR75),"")</f>
        <v/>
      </c>
      <c r="FU75" s="4" t="str">
        <f t="shared" ref="FU75:FU129" si="621">IF(ISNUMBER($AV75),SQRT(EW75^2+EY75^2),"")</f>
        <v/>
      </c>
      <c r="FV75" s="5" t="str">
        <f t="shared" ref="FV75:FV129" si="622">IF(ISNUMBER($AV75),SQRT(FD75^2+FF75^2),"")</f>
        <v/>
      </c>
      <c r="FW75" s="8" t="str">
        <f t="shared" ref="FW75:FW129" si="623">IF(ISNUMBER($AV75),SQRT(FG75^2+FI75^2),"")</f>
        <v/>
      </c>
      <c r="FX75" s="9" t="str">
        <f t="shared" ref="FX75:FX129" si="624">IF(ISNUMBER($AV75),DEGREES(ACOS((FU75^2+FV75^2-FW75^2)/(2*FU75*FV75))),"")</f>
        <v/>
      </c>
      <c r="FY75" s="10" t="str">
        <f t="shared" si="504"/>
        <v/>
      </c>
      <c r="FZ75" s="288" t="str">
        <f t="shared" ref="FZ75:FZ129" si="625">IF(ISNUMBER($AV75),FX75*FY75,"")</f>
        <v/>
      </c>
      <c r="GA75" s="181" t="str">
        <f t="shared" ref="GA75:GA129" si="626">IF(ISNUMBER($AV75),DEGREES(FZ75*SIN(RADIANS(FU75))),"")</f>
        <v/>
      </c>
      <c r="GB75" s="4" t="str">
        <f t="shared" ref="GB75:GB129" si="627">IF(ISNUMBER($AV75),COS(RADIANS(FP75+90))*COS(RADIANS(FZ75)),"")</f>
        <v/>
      </c>
      <c r="GC75" s="5" t="str">
        <f t="shared" ref="GC75:GC129" si="628">IF(ISNUMBER($AV75),SIN(RADIANS(FP75+90))*COS(RADIANS(FZ75)),"")</f>
        <v/>
      </c>
      <c r="GD75" s="10" t="str">
        <f t="shared" ref="GD75:GD129" si="629">IF(ISNUMBER($AV75),-SIN(RADIANS(FZ75)),"")</f>
        <v/>
      </c>
      <c r="GE75" s="324" t="str">
        <f t="shared" ref="GE75:GE129" si="630">IF(ISNUMBER($AV75),SUM(ABS(GB75),ABS(GC75),ABS(GD75)),"")</f>
        <v/>
      </c>
      <c r="GF75" s="362" t="str">
        <f t="shared" ref="GF75:GF129" si="631">IF(ISNUMBER($AV75),1/GE75,"")</f>
        <v/>
      </c>
      <c r="GG75" s="296" t="str">
        <f t="shared" si="505"/>
        <v/>
      </c>
      <c r="GH75" s="297" t="str">
        <f t="shared" si="506"/>
        <v/>
      </c>
      <c r="GI75" s="292" t="str">
        <f t="shared" si="507"/>
        <v/>
      </c>
      <c r="GJ75" s="171" t="str">
        <f t="shared" ref="GJ75:GJ129" si="632">IF(ISNUMBER($AV75),AW75,"")</f>
        <v/>
      </c>
      <c r="GK75" s="178" t="str">
        <f t="shared" si="508"/>
        <v/>
      </c>
      <c r="GL75" s="178" t="str">
        <f t="shared" ref="GL75:GL129" si="633">IF(ISNUMBER($AV75),AY75,"")</f>
        <v/>
      </c>
      <c r="GM75" s="181" t="str">
        <f t="shared" ref="GM75:GM129" si="634">IF(ISNUMBER($AV75),AZ75,"")</f>
        <v/>
      </c>
      <c r="GN75" s="291" t="str">
        <f t="shared" ref="GN75:GN129" si="635">IF(ISNUMBER($AV75),BA75,"")</f>
        <v/>
      </c>
      <c r="GO75" s="4" t="str">
        <f t="shared" ref="GO75:GO129" si="636">IF(ISNUMBER($AV75),FP75,"")</f>
        <v/>
      </c>
      <c r="GP75" s="8" t="str">
        <f t="shared" ref="GP75:GP129" si="637">IF(ISNUMBER($AV75),FZ75,"")</f>
        <v/>
      </c>
      <c r="GQ75" s="181" t="str">
        <f t="shared" ref="GQ75:GQ129" si="638">IF(ISNUMBER($AV75),FJ75,"")</f>
        <v/>
      </c>
      <c r="GR75" s="417" t="str">
        <f t="shared" ref="GR75:GR129" si="639">IF(ISNUMBER($AV75),GS75+GU75+GY75,"")</f>
        <v/>
      </c>
      <c r="GS75" s="363" t="str">
        <f t="shared" si="509"/>
        <v/>
      </c>
      <c r="GT75" s="364" t="str">
        <f t="shared" si="510"/>
        <v/>
      </c>
      <c r="GU75" s="365" t="str">
        <f t="shared" si="511"/>
        <v/>
      </c>
      <c r="GV75" s="364" t="str">
        <f t="shared" ref="GV75:GV129" si="640">IF(ISNUMBER($AV75),GW75*$GL75,"")</f>
        <v/>
      </c>
      <c r="GW75" s="366" t="str">
        <f t="shared" si="512"/>
        <v/>
      </c>
      <c r="GX75" s="367" t="str">
        <f t="shared" si="513"/>
        <v/>
      </c>
      <c r="GY75" s="365" t="str">
        <f t="shared" si="514"/>
        <v/>
      </c>
      <c r="GZ75" s="366" t="str">
        <f t="shared" si="515"/>
        <v/>
      </c>
      <c r="HA75" s="363" t="str">
        <f t="shared" si="516"/>
        <v/>
      </c>
      <c r="HB75" s="5" t="str">
        <f t="shared" ref="HB75:HB150" si="641">IF(ISNUMBER($AV75),$EV75,"")</f>
        <v/>
      </c>
      <c r="HC75" s="364" t="str">
        <f t="shared" ref="HC75:HC129" si="642">IF(ISNUMBER($AV75),HA75*COS(RADIANS(HB75)),"")</f>
        <v/>
      </c>
      <c r="HD75" s="405" t="str">
        <f t="shared" ref="HD75:HD129" si="643">IF(ISNUMBER($AV75),HA75*SIN(RADIANS(HB75)),"")</f>
        <v/>
      </c>
      <c r="HE75" s="365" t="str">
        <f t="shared" si="517"/>
        <v/>
      </c>
      <c r="HF75" s="5" t="str">
        <f t="shared" si="518"/>
        <v/>
      </c>
      <c r="HG75" s="364" t="str">
        <f t="shared" ref="HG75:HG129" si="644">IF(ISNUMBER($AV75),HE75*COS(RADIANS(HF75)),"")</f>
        <v/>
      </c>
      <c r="HH75" s="370" t="str">
        <f t="shared" ref="HH75:HH129" si="645">IF(ISNUMBER($AV75),HE75*SIN(RADIANS(HF75)),"")</f>
        <v/>
      </c>
      <c r="HI75" s="335" t="str">
        <f t="shared" si="519"/>
        <v/>
      </c>
      <c r="HK75" s="323" t="str">
        <f t="shared" si="238"/>
        <v/>
      </c>
      <c r="HL75" s="322" t="str">
        <f t="shared" si="544"/>
        <v/>
      </c>
      <c r="HM75" s="369" t="str">
        <f t="shared" si="466"/>
        <v/>
      </c>
      <c r="HN75" s="384" t="str">
        <f t="shared" si="466"/>
        <v/>
      </c>
      <c r="HO75" s="385" t="str">
        <f t="shared" si="466"/>
        <v/>
      </c>
      <c r="HP75" s="380" t="str">
        <f t="shared" si="466"/>
        <v/>
      </c>
      <c r="HQ75" s="384" t="str">
        <f t="shared" si="466"/>
        <v/>
      </c>
      <c r="HR75" s="395" t="str">
        <f t="shared" si="466"/>
        <v/>
      </c>
      <c r="HS75" s="379" t="str">
        <f t="shared" si="466"/>
        <v/>
      </c>
      <c r="HT75" s="374" t="str">
        <f t="shared" si="466"/>
        <v/>
      </c>
      <c r="HU75" s="375" t="str">
        <f t="shared" si="466"/>
        <v/>
      </c>
      <c r="HV75" s="376" t="str">
        <f t="shared" si="466"/>
        <v/>
      </c>
      <c r="HW75" s="374" t="str">
        <f t="shared" si="466"/>
        <v/>
      </c>
      <c r="HX75" s="375" t="str">
        <f t="shared" si="466"/>
        <v/>
      </c>
      <c r="HY75" s="376" t="str">
        <f t="shared" si="466"/>
        <v/>
      </c>
      <c r="HZ75" s="374" t="str">
        <f t="shared" si="466"/>
        <v/>
      </c>
      <c r="IA75" s="375" t="str">
        <f t="shared" si="466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6">$M75</f>
        <v>4.1420000000000003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5"/>
        <v>1613</v>
      </c>
      <c r="IK75" s="533" t="str">
        <f t="shared" si="520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21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22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-1.4415948323298373</v>
      </c>
      <c r="C76" s="708">
        <v>-6.5326486460910314</v>
      </c>
      <c r="D76" s="709">
        <v>-2.0078060555430639</v>
      </c>
      <c r="E76" s="710">
        <v>0.73486812866054607</v>
      </c>
      <c r="F76" s="708">
        <v>-0.65570178069974872</v>
      </c>
      <c r="G76" s="711">
        <v>0.17327437279103258</v>
      </c>
      <c r="H76" s="710">
        <v>0.314</v>
      </c>
      <c r="I76" s="708">
        <v>0.52</v>
      </c>
      <c r="J76" s="570">
        <v>4.1479999999999997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7"/>
        <v>4.1479999999999997</v>
      </c>
      <c r="N76" s="632">
        <f t="shared" si="468"/>
        <v>-1.4415948323298373</v>
      </c>
      <c r="O76" s="629">
        <f t="shared" si="469"/>
        <v>-6.5326486460910314</v>
      </c>
      <c r="P76" s="633">
        <f t="shared" si="470"/>
        <v>-2.0078060555430639</v>
      </c>
      <c r="Q76" s="585">
        <f t="shared" si="523"/>
        <v>257.55567580795355</v>
      </c>
      <c r="R76" s="629">
        <f t="shared" si="79"/>
        <v>6.6898201764976521</v>
      </c>
      <c r="S76" s="634">
        <f t="shared" si="80"/>
        <v>-2.0078060555430639</v>
      </c>
      <c r="T76" s="635">
        <f t="shared" si="81"/>
        <v>-6.5326486460910305</v>
      </c>
      <c r="U76" s="629">
        <f t="shared" si="82"/>
        <v>1.4415948323298413</v>
      </c>
      <c r="V76" s="636">
        <f t="shared" si="114"/>
        <v>-2.0078060555430639</v>
      </c>
      <c r="W76" s="585">
        <f t="shared" si="224"/>
        <v>167.55567580795355</v>
      </c>
      <c r="X76" s="629">
        <f t="shared" si="83"/>
        <v>6.6898201764976521</v>
      </c>
      <c r="Y76" s="630">
        <f t="shared" ref="Y76:Y129" si="647">IF(M76="","",S76)</f>
        <v>-2.0078060555430639</v>
      </c>
      <c r="Z76" s="632">
        <f t="shared" si="471"/>
        <v>-0.73486812866054607</v>
      </c>
      <c r="AA76" s="629">
        <f t="shared" si="472"/>
        <v>0.65570178069974872</v>
      </c>
      <c r="AB76" s="629">
        <f t="shared" si="473"/>
        <v>-0.17327437279103258</v>
      </c>
      <c r="AC76" s="636">
        <f t="shared" si="84"/>
        <v>1</v>
      </c>
      <c r="AD76" s="637">
        <f t="shared" si="115"/>
        <v>-0.73486812866054607</v>
      </c>
      <c r="AE76" s="629">
        <f t="shared" si="85"/>
        <v>0.65570178069974872</v>
      </c>
      <c r="AF76" s="633">
        <f t="shared" si="86"/>
        <v>-0.17327437279103258</v>
      </c>
      <c r="AG76" s="602">
        <f t="shared" si="87"/>
        <v>75.197509680266322</v>
      </c>
      <c r="AH76" s="603">
        <f t="shared" si="88"/>
        <v>137.29607432435597</v>
      </c>
      <c r="AI76" s="585">
        <f t="shared" si="89"/>
        <v>-80.021747113105519</v>
      </c>
      <c r="AJ76" s="586">
        <f t="shared" si="90"/>
        <v>-131.74161893843055</v>
      </c>
      <c r="AK76" s="635">
        <f t="shared" si="211"/>
        <v>0.85890075260052323</v>
      </c>
      <c r="AL76" s="629">
        <f t="shared" si="91"/>
        <v>-0.48193930003282481</v>
      </c>
      <c r="AM76" s="634">
        <f t="shared" si="92"/>
        <v>-0.17327437279103258</v>
      </c>
      <c r="AN76" s="581">
        <f t="shared" si="93"/>
        <v>-70.224678577040009</v>
      </c>
      <c r="AO76" s="582">
        <f t="shared" si="463"/>
        <v>30.806617399629175</v>
      </c>
      <c r="AP76" s="585">
        <f t="shared" si="95"/>
        <v>-29.297294746384097</v>
      </c>
      <c r="AQ76" s="586">
        <f t="shared" si="474"/>
        <v>0.34077145437608025</v>
      </c>
      <c r="AS76" s="52">
        <f t="shared" si="546"/>
        <v>-192.44432419204645</v>
      </c>
      <c r="AT76" s="72">
        <f t="shared" si="475"/>
        <v>-1.8741641637430315</v>
      </c>
      <c r="AU76" s="469"/>
      <c r="AV76" s="168" t="str">
        <f t="shared" si="476"/>
        <v/>
      </c>
      <c r="AW76" s="418"/>
      <c r="AX76" s="419"/>
      <c r="AY76" s="420"/>
      <c r="AZ76" s="308" t="str">
        <f t="shared" si="547"/>
        <v/>
      </c>
      <c r="BA76" s="307" t="str">
        <f t="shared" si="477"/>
        <v/>
      </c>
      <c r="BB76" s="181" t="str">
        <f t="shared" si="524"/>
        <v/>
      </c>
      <c r="BC76" s="9"/>
      <c r="BD76" s="5" t="str">
        <f t="shared" si="525"/>
        <v/>
      </c>
      <c r="BE76" s="6" t="str">
        <f t="shared" si="478"/>
        <v/>
      </c>
      <c r="BF76" s="4" t="str">
        <f t="shared" si="479"/>
        <v/>
      </c>
      <c r="BG76" s="5" t="str">
        <f t="shared" si="480"/>
        <v/>
      </c>
      <c r="BH76" s="10" t="str">
        <f t="shared" si="481"/>
        <v/>
      </c>
      <c r="BI76" s="9" t="str">
        <f t="shared" si="548"/>
        <v/>
      </c>
      <c r="BJ76" s="5" t="str">
        <f t="shared" si="482"/>
        <v/>
      </c>
      <c r="BK76" s="8" t="str">
        <f t="shared" si="483"/>
        <v/>
      </c>
      <c r="BL76" s="177" t="str">
        <f t="shared" si="484"/>
        <v/>
      </c>
      <c r="BM76" s="5" t="str">
        <f t="shared" si="485"/>
        <v/>
      </c>
      <c r="BN76" s="6" t="str">
        <f t="shared" si="486"/>
        <v/>
      </c>
      <c r="BO76" s="4" t="str">
        <f t="shared" si="549"/>
        <v/>
      </c>
      <c r="BP76" s="5" t="str">
        <f t="shared" si="550"/>
        <v/>
      </c>
      <c r="BQ76" s="5" t="str">
        <f t="shared" si="551"/>
        <v/>
      </c>
      <c r="BR76" s="6" t="str">
        <f t="shared" si="552"/>
        <v/>
      </c>
      <c r="BS76" s="4" t="str">
        <f t="shared" si="526"/>
        <v/>
      </c>
      <c r="BT76" s="5" t="str">
        <f t="shared" si="526"/>
        <v/>
      </c>
      <c r="BU76" s="10" t="str">
        <f t="shared" si="527"/>
        <v/>
      </c>
      <c r="BV76" s="9" t="str">
        <f t="shared" si="528"/>
        <v/>
      </c>
      <c r="BW76" s="5" t="str">
        <f t="shared" si="529"/>
        <v/>
      </c>
      <c r="BX76" s="8" t="str">
        <f t="shared" si="530"/>
        <v/>
      </c>
      <c r="BY76" s="177" t="str">
        <f t="shared" si="531"/>
        <v/>
      </c>
      <c r="BZ76" s="5" t="str">
        <f t="shared" si="532"/>
        <v/>
      </c>
      <c r="CA76" s="6" t="str">
        <f t="shared" si="533"/>
        <v/>
      </c>
      <c r="CB76" s="4" t="str">
        <f t="shared" si="553"/>
        <v/>
      </c>
      <c r="CC76" s="5" t="str">
        <f t="shared" si="554"/>
        <v/>
      </c>
      <c r="CD76" s="5" t="str">
        <f t="shared" si="555"/>
        <v/>
      </c>
      <c r="CE76" s="6" t="str">
        <f t="shared" si="556"/>
        <v/>
      </c>
      <c r="CF76" s="4" t="str">
        <f t="shared" si="557"/>
        <v/>
      </c>
      <c r="CG76" s="5" t="str">
        <f t="shared" si="558"/>
        <v/>
      </c>
      <c r="CH76" s="5" t="str">
        <f t="shared" si="559"/>
        <v/>
      </c>
      <c r="CI76" s="4" t="str">
        <f t="shared" si="534"/>
        <v/>
      </c>
      <c r="CJ76" s="5" t="str">
        <f t="shared" si="535"/>
        <v/>
      </c>
      <c r="CK76" s="8" t="str">
        <f t="shared" si="536"/>
        <v/>
      </c>
      <c r="CL76" s="177" t="str">
        <f t="shared" si="537"/>
        <v/>
      </c>
      <c r="CM76" s="5" t="str">
        <f t="shared" si="538"/>
        <v/>
      </c>
      <c r="CN76" s="6" t="str">
        <f t="shared" si="539"/>
        <v/>
      </c>
      <c r="CO76" s="171" t="str">
        <f t="shared" si="487"/>
        <v/>
      </c>
      <c r="CP76" s="4" t="str">
        <f t="shared" si="560"/>
        <v/>
      </c>
      <c r="CQ76" s="5" t="str">
        <f t="shared" si="561"/>
        <v/>
      </c>
      <c r="CR76" s="5" t="str">
        <f t="shared" si="562"/>
        <v/>
      </c>
      <c r="CS76" s="8" t="str">
        <f t="shared" si="563"/>
        <v/>
      </c>
      <c r="CT76" s="9" t="str">
        <f t="shared" si="564"/>
        <v/>
      </c>
      <c r="CU76" s="6" t="str">
        <f t="shared" si="565"/>
        <v/>
      </c>
      <c r="CV76" s="4" t="str">
        <f t="shared" si="566"/>
        <v/>
      </c>
      <c r="CW76" s="5" t="str">
        <f t="shared" si="567"/>
        <v/>
      </c>
      <c r="CX76" s="8" t="str">
        <f t="shared" si="568"/>
        <v/>
      </c>
      <c r="CY76" s="9" t="str">
        <f t="shared" si="569"/>
        <v/>
      </c>
      <c r="CZ76" s="5" t="str">
        <f t="shared" si="570"/>
        <v/>
      </c>
      <c r="DA76" s="6" t="str">
        <f t="shared" si="571"/>
        <v/>
      </c>
      <c r="DB76" s="4" t="str">
        <f t="shared" si="572"/>
        <v/>
      </c>
      <c r="DC76" s="5" t="str">
        <f t="shared" si="572"/>
        <v/>
      </c>
      <c r="DD76" s="10" t="str">
        <f t="shared" si="573"/>
        <v/>
      </c>
      <c r="DE76" s="9" t="str">
        <f t="shared" si="574"/>
        <v/>
      </c>
      <c r="DF76" s="5" t="str">
        <f t="shared" si="574"/>
        <v/>
      </c>
      <c r="DG76" s="10" t="str">
        <f t="shared" si="575"/>
        <v/>
      </c>
      <c r="DH76" s="72" t="str">
        <f t="shared" si="576"/>
        <v/>
      </c>
      <c r="DI76" s="4" t="str">
        <f t="shared" si="577"/>
        <v/>
      </c>
      <c r="DJ76" s="5" t="str">
        <f t="shared" si="578"/>
        <v/>
      </c>
      <c r="DK76" s="10" t="str">
        <f t="shared" si="579"/>
        <v/>
      </c>
      <c r="DL76" s="9" t="str">
        <f t="shared" si="580"/>
        <v/>
      </c>
      <c r="DM76" s="177" t="str">
        <f t="shared" si="581"/>
        <v/>
      </c>
      <c r="DN76" s="182" t="str">
        <f t="shared" si="582"/>
        <v/>
      </c>
      <c r="DO76" s="9" t="str">
        <f t="shared" si="583"/>
        <v/>
      </c>
      <c r="DP76" s="177" t="str">
        <f t="shared" si="584"/>
        <v/>
      </c>
      <c r="DQ76" s="11" t="str">
        <f t="shared" si="585"/>
        <v/>
      </c>
      <c r="DR76" s="177" t="str">
        <f t="shared" si="586"/>
        <v/>
      </c>
      <c r="DS76" s="5" t="str">
        <f t="shared" si="587"/>
        <v/>
      </c>
      <c r="DT76" s="5" t="str">
        <f t="shared" si="588"/>
        <v/>
      </c>
      <c r="DU76" s="5" t="str">
        <f t="shared" si="589"/>
        <v/>
      </c>
      <c r="DV76" s="5" t="str">
        <f t="shared" si="590"/>
        <v/>
      </c>
      <c r="DW76" s="5" t="str">
        <f t="shared" si="591"/>
        <v/>
      </c>
      <c r="DX76" s="171" t="str">
        <f t="shared" si="592"/>
        <v/>
      </c>
      <c r="DY76" s="9" t="str">
        <f t="shared" si="593"/>
        <v/>
      </c>
      <c r="DZ76" s="5" t="str">
        <f t="shared" si="594"/>
        <v/>
      </c>
      <c r="EA76" s="10" t="str">
        <f t="shared" si="595"/>
        <v/>
      </c>
      <c r="EB76" s="6" t="str">
        <f t="shared" si="596"/>
        <v/>
      </c>
      <c r="EC76" s="177" t="str">
        <f t="shared" si="597"/>
        <v/>
      </c>
      <c r="ED76" s="5" t="str">
        <f t="shared" si="598"/>
        <v/>
      </c>
      <c r="EE76" s="4" t="str">
        <f t="shared" si="599"/>
        <v/>
      </c>
      <c r="EF76" s="5" t="str">
        <f t="shared" si="600"/>
        <v/>
      </c>
      <c r="EG76" s="10" t="str">
        <f t="shared" si="601"/>
        <v/>
      </c>
      <c r="EH76" s="9" t="str">
        <f t="shared" si="602"/>
        <v/>
      </c>
      <c r="EI76" s="5" t="str">
        <f t="shared" si="603"/>
        <v/>
      </c>
      <c r="EJ76" s="6" t="str">
        <f t="shared" si="604"/>
        <v/>
      </c>
      <c r="EK76" s="247" t="str">
        <f t="shared" si="605"/>
        <v/>
      </c>
      <c r="EL76" s="249" t="str">
        <f t="shared" si="606"/>
        <v/>
      </c>
      <c r="EM76" s="4" t="str">
        <f t="shared" si="607"/>
        <v/>
      </c>
      <c r="EN76" s="5" t="str">
        <f t="shared" si="608"/>
        <v/>
      </c>
      <c r="EO76" s="10" t="str">
        <f t="shared" si="609"/>
        <v/>
      </c>
      <c r="EP76" s="9" t="str">
        <f t="shared" si="610"/>
        <v/>
      </c>
      <c r="EQ76" s="5" t="str">
        <f t="shared" si="611"/>
        <v/>
      </c>
      <c r="ER76" s="7" t="str">
        <f t="shared" si="612"/>
        <v/>
      </c>
      <c r="ES76" s="21" t="str">
        <f t="shared" si="488"/>
        <v/>
      </c>
      <c r="ET76" s="5" t="str">
        <f t="shared" si="489"/>
        <v/>
      </c>
      <c r="EU76" s="10" t="str">
        <f t="shared" si="490"/>
        <v/>
      </c>
      <c r="EV76" s="178" t="str">
        <f t="shared" si="491"/>
        <v/>
      </c>
      <c r="EW76" s="9" t="str">
        <f t="shared" si="492"/>
        <v/>
      </c>
      <c r="EX76" s="5" t="str">
        <f t="shared" si="493"/>
        <v/>
      </c>
      <c r="EY76" s="6" t="str">
        <f t="shared" si="613"/>
        <v/>
      </c>
      <c r="EZ76" s="52" t="str">
        <f t="shared" si="614"/>
        <v/>
      </c>
      <c r="FA76" s="177" t="str">
        <f t="shared" si="494"/>
        <v/>
      </c>
      <c r="FB76" s="5" t="str">
        <f t="shared" si="495"/>
        <v/>
      </c>
      <c r="FC76" s="6" t="str">
        <f t="shared" si="496"/>
        <v/>
      </c>
      <c r="FD76" s="4" t="str">
        <f t="shared" si="497"/>
        <v/>
      </c>
      <c r="FE76" s="5" t="str">
        <f t="shared" si="498"/>
        <v/>
      </c>
      <c r="FF76" s="7" t="str">
        <f t="shared" si="615"/>
        <v/>
      </c>
      <c r="FG76" s="177" t="str">
        <f t="shared" si="499"/>
        <v/>
      </c>
      <c r="FH76" s="5" t="str">
        <f t="shared" si="500"/>
        <v/>
      </c>
      <c r="FI76" s="10" t="str">
        <f t="shared" si="501"/>
        <v/>
      </c>
      <c r="FJ76" s="290" t="str">
        <f t="shared" si="616"/>
        <v/>
      </c>
      <c r="FK76" s="4" t="str">
        <f t="shared" si="502"/>
        <v/>
      </c>
      <c r="FL76" s="5" t="str">
        <f t="shared" si="540"/>
        <v/>
      </c>
      <c r="FM76" s="8" t="str">
        <f t="shared" si="541"/>
        <v/>
      </c>
      <c r="FN76" s="9" t="str">
        <f t="shared" si="542"/>
        <v/>
      </c>
      <c r="FO76" s="10" t="str">
        <f t="shared" si="503"/>
        <v/>
      </c>
      <c r="FP76" s="288" t="str">
        <f t="shared" si="543"/>
        <v/>
      </c>
      <c r="FQ76" s="177" t="str">
        <f t="shared" si="617"/>
        <v/>
      </c>
      <c r="FR76" s="10" t="str">
        <f t="shared" si="618"/>
        <v/>
      </c>
      <c r="FS76" s="9" t="str">
        <f t="shared" si="619"/>
        <v/>
      </c>
      <c r="FT76" s="6" t="str">
        <f t="shared" si="620"/>
        <v/>
      </c>
      <c r="FU76" s="4" t="str">
        <f t="shared" si="621"/>
        <v/>
      </c>
      <c r="FV76" s="5" t="str">
        <f t="shared" si="622"/>
        <v/>
      </c>
      <c r="FW76" s="8" t="str">
        <f t="shared" si="623"/>
        <v/>
      </c>
      <c r="FX76" s="9" t="str">
        <f t="shared" si="624"/>
        <v/>
      </c>
      <c r="FY76" s="10" t="str">
        <f t="shared" si="504"/>
        <v/>
      </c>
      <c r="FZ76" s="288" t="str">
        <f t="shared" si="625"/>
        <v/>
      </c>
      <c r="GA76" s="181" t="str">
        <f t="shared" si="626"/>
        <v/>
      </c>
      <c r="GB76" s="4" t="str">
        <f t="shared" si="627"/>
        <v/>
      </c>
      <c r="GC76" s="5" t="str">
        <f t="shared" si="628"/>
        <v/>
      </c>
      <c r="GD76" s="10" t="str">
        <f t="shared" si="629"/>
        <v/>
      </c>
      <c r="GE76" s="324" t="str">
        <f t="shared" si="630"/>
        <v/>
      </c>
      <c r="GF76" s="362" t="str">
        <f t="shared" si="631"/>
        <v/>
      </c>
      <c r="GG76" s="296" t="str">
        <f t="shared" si="505"/>
        <v/>
      </c>
      <c r="GH76" s="297" t="str">
        <f t="shared" si="506"/>
        <v/>
      </c>
      <c r="GI76" s="292" t="str">
        <f t="shared" si="507"/>
        <v/>
      </c>
      <c r="GJ76" s="171" t="str">
        <f t="shared" si="632"/>
        <v/>
      </c>
      <c r="GK76" s="178" t="str">
        <f t="shared" si="508"/>
        <v/>
      </c>
      <c r="GL76" s="178" t="str">
        <f t="shared" si="633"/>
        <v/>
      </c>
      <c r="GM76" s="181" t="str">
        <f t="shared" si="634"/>
        <v/>
      </c>
      <c r="GN76" s="291" t="str">
        <f t="shared" si="635"/>
        <v/>
      </c>
      <c r="GO76" s="4" t="str">
        <f t="shared" si="636"/>
        <v/>
      </c>
      <c r="GP76" s="8" t="str">
        <f t="shared" si="637"/>
        <v/>
      </c>
      <c r="GQ76" s="181" t="str">
        <f t="shared" si="638"/>
        <v/>
      </c>
      <c r="GR76" s="417" t="str">
        <f t="shared" si="639"/>
        <v/>
      </c>
      <c r="GS76" s="363" t="str">
        <f t="shared" si="509"/>
        <v/>
      </c>
      <c r="GT76" s="364" t="str">
        <f t="shared" si="510"/>
        <v/>
      </c>
      <c r="GU76" s="365" t="str">
        <f t="shared" si="511"/>
        <v/>
      </c>
      <c r="GV76" s="364" t="str">
        <f t="shared" si="640"/>
        <v/>
      </c>
      <c r="GW76" s="366" t="str">
        <f t="shared" si="512"/>
        <v/>
      </c>
      <c r="GX76" s="367" t="str">
        <f t="shared" si="513"/>
        <v/>
      </c>
      <c r="GY76" s="365" t="str">
        <f t="shared" si="514"/>
        <v/>
      </c>
      <c r="GZ76" s="366" t="str">
        <f t="shared" si="515"/>
        <v/>
      </c>
      <c r="HA76" s="363" t="str">
        <f t="shared" si="516"/>
        <v/>
      </c>
      <c r="HB76" s="5" t="str">
        <f t="shared" si="641"/>
        <v/>
      </c>
      <c r="HC76" s="364" t="str">
        <f t="shared" si="642"/>
        <v/>
      </c>
      <c r="HD76" s="405" t="str">
        <f t="shared" si="643"/>
        <v/>
      </c>
      <c r="HE76" s="365" t="str">
        <f t="shared" si="517"/>
        <v/>
      </c>
      <c r="HF76" s="5" t="str">
        <f t="shared" si="518"/>
        <v/>
      </c>
      <c r="HG76" s="364" t="str">
        <f t="shared" si="644"/>
        <v/>
      </c>
      <c r="HH76" s="370" t="str">
        <f t="shared" si="645"/>
        <v/>
      </c>
      <c r="HI76" s="335" t="str">
        <f t="shared" si="519"/>
        <v/>
      </c>
      <c r="HK76" s="323" t="str">
        <f t="shared" si="238"/>
        <v/>
      </c>
      <c r="HL76" s="322" t="str">
        <f t="shared" si="544"/>
        <v/>
      </c>
      <c r="HM76" s="369" t="str">
        <f t="shared" si="466"/>
        <v/>
      </c>
      <c r="HN76" s="384" t="str">
        <f t="shared" si="466"/>
        <v/>
      </c>
      <c r="HO76" s="385" t="str">
        <f t="shared" si="466"/>
        <v/>
      </c>
      <c r="HP76" s="380" t="str">
        <f t="shared" si="466"/>
        <v/>
      </c>
      <c r="HQ76" s="384" t="str">
        <f t="shared" si="466"/>
        <v/>
      </c>
      <c r="HR76" s="395" t="str">
        <f t="shared" si="466"/>
        <v/>
      </c>
      <c r="HS76" s="379" t="str">
        <f t="shared" si="466"/>
        <v/>
      </c>
      <c r="HT76" s="374" t="str">
        <f t="shared" si="466"/>
        <v/>
      </c>
      <c r="HU76" s="375" t="str">
        <f t="shared" si="466"/>
        <v/>
      </c>
      <c r="HV76" s="376" t="str">
        <f t="shared" si="466"/>
        <v/>
      </c>
      <c r="HW76" s="374" t="str">
        <f t="shared" si="466"/>
        <v/>
      </c>
      <c r="HX76" s="375" t="str">
        <f t="shared" si="466"/>
        <v/>
      </c>
      <c r="HY76" s="376" t="str">
        <f t="shared" si="466"/>
        <v/>
      </c>
      <c r="HZ76" s="374" t="str">
        <f t="shared" si="466"/>
        <v/>
      </c>
      <c r="IA76" s="375" t="str">
        <f t="shared" si="466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6"/>
        <v>4.1479999999999997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5"/>
        <v>1613</v>
      </c>
      <c r="IK76" s="533" t="str">
        <f t="shared" si="520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21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22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-1.525302669378793</v>
      </c>
      <c r="C77" s="708">
        <v>-6.7473646839734709</v>
      </c>
      <c r="D77" s="709">
        <v>-2.7159081911791039</v>
      </c>
      <c r="E77" s="710">
        <v>0.67751932618280164</v>
      </c>
      <c r="F77" s="708">
        <v>-0.72730896740900364</v>
      </c>
      <c r="G77" s="711">
        <v>0.10949533586071755</v>
      </c>
      <c r="H77" s="710">
        <v>0.314</v>
      </c>
      <c r="I77" s="708">
        <v>0.52</v>
      </c>
      <c r="J77" s="570">
        <v>4.1539999999999999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7"/>
        <v>4.1539999999999999</v>
      </c>
      <c r="N77" s="632">
        <f t="shared" si="468"/>
        <v>-1.525302669378793</v>
      </c>
      <c r="O77" s="629">
        <f t="shared" si="469"/>
        <v>-6.7473646839734709</v>
      </c>
      <c r="P77" s="633">
        <f t="shared" si="470"/>
        <v>-2.7159081911791039</v>
      </c>
      <c r="Q77" s="585">
        <f t="shared" si="523"/>
        <v>257.26187585037303</v>
      </c>
      <c r="R77" s="629">
        <f t="shared" si="79"/>
        <v>6.9176208635445242</v>
      </c>
      <c r="S77" s="634">
        <f t="shared" si="80"/>
        <v>-2.7159081911791039</v>
      </c>
      <c r="T77" s="635">
        <f t="shared" si="81"/>
        <v>-6.7473646839734709</v>
      </c>
      <c r="U77" s="629">
        <f t="shared" si="82"/>
        <v>1.5253026693787934</v>
      </c>
      <c r="V77" s="636">
        <f t="shared" si="114"/>
        <v>-2.7159081911791039</v>
      </c>
      <c r="W77" s="585">
        <f t="shared" si="224"/>
        <v>167.26187585037303</v>
      </c>
      <c r="X77" s="629">
        <f t="shared" si="83"/>
        <v>6.9176208635445242</v>
      </c>
      <c r="Y77" s="630">
        <f t="shared" si="647"/>
        <v>-2.7159081911791039</v>
      </c>
      <c r="Z77" s="632">
        <f t="shared" si="471"/>
        <v>-0.67751932618280164</v>
      </c>
      <c r="AA77" s="629">
        <f t="shared" si="472"/>
        <v>0.72730896740900364</v>
      </c>
      <c r="AB77" s="629">
        <f t="shared" si="473"/>
        <v>-0.10949533586071755</v>
      </c>
      <c r="AC77" s="636">
        <f t="shared" si="84"/>
        <v>1</v>
      </c>
      <c r="AD77" s="637">
        <f t="shared" si="115"/>
        <v>-0.67751932618280164</v>
      </c>
      <c r="AE77" s="629">
        <f t="shared" si="85"/>
        <v>0.72730896740900364</v>
      </c>
      <c r="AF77" s="633">
        <f t="shared" si="86"/>
        <v>-0.10949533586071755</v>
      </c>
      <c r="AG77" s="602">
        <f t="shared" si="87"/>
        <v>81.438496913592871</v>
      </c>
      <c r="AH77" s="603">
        <f t="shared" si="88"/>
        <v>132.65009725234313</v>
      </c>
      <c r="AI77" s="585">
        <f t="shared" si="89"/>
        <v>-83.713775280052744</v>
      </c>
      <c r="AJ77" s="586">
        <f t="shared" si="90"/>
        <v>-137.02981585538356</v>
      </c>
      <c r="AK77" s="635">
        <f t="shared" si="211"/>
        <v>0.82121243642957009</v>
      </c>
      <c r="AL77" s="629">
        <f t="shared" si="91"/>
        <v>-0.56001866547299839</v>
      </c>
      <c r="AM77" s="634">
        <f t="shared" si="92"/>
        <v>-0.10949533586071755</v>
      </c>
      <c r="AN77" s="581">
        <f t="shared" si="93"/>
        <v>-78.937043475728387</v>
      </c>
      <c r="AO77" s="582">
        <f t="shared" si="463"/>
        <v>34.793651901428611</v>
      </c>
      <c r="AP77" s="585">
        <f t="shared" si="95"/>
        <v>-34.29169170575657</v>
      </c>
      <c r="AQ77" s="586">
        <f t="shared" si="474"/>
        <v>0.32954993302553831</v>
      </c>
      <c r="AS77" s="52">
        <f t="shared" si="546"/>
        <v>-192.73812414962697</v>
      </c>
      <c r="AT77" s="72">
        <f t="shared" si="475"/>
        <v>-2.5820622716307517</v>
      </c>
      <c r="AU77" s="469"/>
      <c r="AV77" s="168" t="str">
        <f t="shared" si="476"/>
        <v/>
      </c>
      <c r="AW77" s="418"/>
      <c r="AX77" s="419"/>
      <c r="AY77" s="420"/>
      <c r="AZ77" s="308" t="str">
        <f t="shared" si="547"/>
        <v/>
      </c>
      <c r="BA77" s="307" t="str">
        <f t="shared" si="477"/>
        <v/>
      </c>
      <c r="BB77" s="181" t="str">
        <f t="shared" si="524"/>
        <v/>
      </c>
      <c r="BC77" s="9"/>
      <c r="BD77" s="5" t="str">
        <f t="shared" si="525"/>
        <v/>
      </c>
      <c r="BE77" s="6" t="str">
        <f t="shared" si="478"/>
        <v/>
      </c>
      <c r="BF77" s="4" t="str">
        <f t="shared" si="479"/>
        <v/>
      </c>
      <c r="BG77" s="5" t="str">
        <f t="shared" si="480"/>
        <v/>
      </c>
      <c r="BH77" s="10" t="str">
        <f t="shared" si="481"/>
        <v/>
      </c>
      <c r="BI77" s="9" t="str">
        <f t="shared" si="548"/>
        <v/>
      </c>
      <c r="BJ77" s="5" t="str">
        <f t="shared" si="482"/>
        <v/>
      </c>
      <c r="BK77" s="8" t="str">
        <f t="shared" si="483"/>
        <v/>
      </c>
      <c r="BL77" s="177" t="str">
        <f t="shared" si="484"/>
        <v/>
      </c>
      <c r="BM77" s="5" t="str">
        <f t="shared" si="485"/>
        <v/>
      </c>
      <c r="BN77" s="6" t="str">
        <f t="shared" si="486"/>
        <v/>
      </c>
      <c r="BO77" s="4" t="str">
        <f t="shared" si="549"/>
        <v/>
      </c>
      <c r="BP77" s="5" t="str">
        <f t="shared" si="550"/>
        <v/>
      </c>
      <c r="BQ77" s="5" t="str">
        <f t="shared" si="551"/>
        <v/>
      </c>
      <c r="BR77" s="6" t="str">
        <f t="shared" si="552"/>
        <v/>
      </c>
      <c r="BS77" s="4" t="str">
        <f t="shared" si="526"/>
        <v/>
      </c>
      <c r="BT77" s="5" t="str">
        <f t="shared" si="526"/>
        <v/>
      </c>
      <c r="BU77" s="10" t="str">
        <f t="shared" si="527"/>
        <v/>
      </c>
      <c r="BV77" s="9" t="str">
        <f t="shared" si="528"/>
        <v/>
      </c>
      <c r="BW77" s="5" t="str">
        <f t="shared" si="529"/>
        <v/>
      </c>
      <c r="BX77" s="8" t="str">
        <f t="shared" si="530"/>
        <v/>
      </c>
      <c r="BY77" s="177" t="str">
        <f t="shared" si="531"/>
        <v/>
      </c>
      <c r="BZ77" s="5" t="str">
        <f t="shared" si="532"/>
        <v/>
      </c>
      <c r="CA77" s="6" t="str">
        <f t="shared" si="533"/>
        <v/>
      </c>
      <c r="CB77" s="4" t="str">
        <f t="shared" si="553"/>
        <v/>
      </c>
      <c r="CC77" s="5" t="str">
        <f t="shared" si="554"/>
        <v/>
      </c>
      <c r="CD77" s="5" t="str">
        <f t="shared" si="555"/>
        <v/>
      </c>
      <c r="CE77" s="6" t="str">
        <f t="shared" si="556"/>
        <v/>
      </c>
      <c r="CF77" s="4" t="str">
        <f t="shared" si="557"/>
        <v/>
      </c>
      <c r="CG77" s="5" t="str">
        <f t="shared" si="558"/>
        <v/>
      </c>
      <c r="CH77" s="5" t="str">
        <f t="shared" si="559"/>
        <v/>
      </c>
      <c r="CI77" s="4" t="str">
        <f t="shared" si="534"/>
        <v/>
      </c>
      <c r="CJ77" s="5" t="str">
        <f t="shared" si="535"/>
        <v/>
      </c>
      <c r="CK77" s="8" t="str">
        <f t="shared" si="536"/>
        <v/>
      </c>
      <c r="CL77" s="177" t="str">
        <f t="shared" si="537"/>
        <v/>
      </c>
      <c r="CM77" s="5" t="str">
        <f t="shared" si="538"/>
        <v/>
      </c>
      <c r="CN77" s="6" t="str">
        <f t="shared" si="539"/>
        <v/>
      </c>
      <c r="CO77" s="171" t="str">
        <f t="shared" si="487"/>
        <v/>
      </c>
      <c r="CP77" s="4" t="str">
        <f t="shared" si="560"/>
        <v/>
      </c>
      <c r="CQ77" s="5" t="str">
        <f t="shared" si="561"/>
        <v/>
      </c>
      <c r="CR77" s="5" t="str">
        <f t="shared" si="562"/>
        <v/>
      </c>
      <c r="CS77" s="8" t="str">
        <f t="shared" si="563"/>
        <v/>
      </c>
      <c r="CT77" s="9" t="str">
        <f t="shared" si="564"/>
        <v/>
      </c>
      <c r="CU77" s="6" t="str">
        <f t="shared" si="565"/>
        <v/>
      </c>
      <c r="CV77" s="4" t="str">
        <f t="shared" si="566"/>
        <v/>
      </c>
      <c r="CW77" s="5" t="str">
        <f t="shared" si="567"/>
        <v/>
      </c>
      <c r="CX77" s="8" t="str">
        <f t="shared" si="568"/>
        <v/>
      </c>
      <c r="CY77" s="9" t="str">
        <f t="shared" si="569"/>
        <v/>
      </c>
      <c r="CZ77" s="5" t="str">
        <f t="shared" si="570"/>
        <v/>
      </c>
      <c r="DA77" s="6" t="str">
        <f t="shared" si="571"/>
        <v/>
      </c>
      <c r="DB77" s="4" t="str">
        <f t="shared" si="572"/>
        <v/>
      </c>
      <c r="DC77" s="5" t="str">
        <f t="shared" si="572"/>
        <v/>
      </c>
      <c r="DD77" s="10" t="str">
        <f t="shared" si="573"/>
        <v/>
      </c>
      <c r="DE77" s="9" t="str">
        <f t="shared" si="574"/>
        <v/>
      </c>
      <c r="DF77" s="5" t="str">
        <f t="shared" si="574"/>
        <v/>
      </c>
      <c r="DG77" s="10" t="str">
        <f t="shared" si="575"/>
        <v/>
      </c>
      <c r="DH77" s="72" t="str">
        <f t="shared" si="576"/>
        <v/>
      </c>
      <c r="DI77" s="4" t="str">
        <f t="shared" si="577"/>
        <v/>
      </c>
      <c r="DJ77" s="5" t="str">
        <f t="shared" si="578"/>
        <v/>
      </c>
      <c r="DK77" s="10" t="str">
        <f t="shared" si="579"/>
        <v/>
      </c>
      <c r="DL77" s="9" t="str">
        <f t="shared" si="580"/>
        <v/>
      </c>
      <c r="DM77" s="177" t="str">
        <f t="shared" si="581"/>
        <v/>
      </c>
      <c r="DN77" s="182" t="str">
        <f t="shared" si="582"/>
        <v/>
      </c>
      <c r="DO77" s="9" t="str">
        <f t="shared" si="583"/>
        <v/>
      </c>
      <c r="DP77" s="177" t="str">
        <f t="shared" si="584"/>
        <v/>
      </c>
      <c r="DQ77" s="11" t="str">
        <f t="shared" si="585"/>
        <v/>
      </c>
      <c r="DR77" s="177" t="str">
        <f t="shared" si="586"/>
        <v/>
      </c>
      <c r="DS77" s="5" t="str">
        <f t="shared" si="587"/>
        <v/>
      </c>
      <c r="DT77" s="5" t="str">
        <f t="shared" si="588"/>
        <v/>
      </c>
      <c r="DU77" s="5" t="str">
        <f t="shared" si="589"/>
        <v/>
      </c>
      <c r="DV77" s="5" t="str">
        <f t="shared" si="590"/>
        <v/>
      </c>
      <c r="DW77" s="5" t="str">
        <f t="shared" si="591"/>
        <v/>
      </c>
      <c r="DX77" s="171" t="str">
        <f t="shared" si="592"/>
        <v/>
      </c>
      <c r="DY77" s="9" t="str">
        <f t="shared" si="593"/>
        <v/>
      </c>
      <c r="DZ77" s="5" t="str">
        <f t="shared" si="594"/>
        <v/>
      </c>
      <c r="EA77" s="10" t="str">
        <f t="shared" si="595"/>
        <v/>
      </c>
      <c r="EB77" s="6" t="str">
        <f t="shared" si="596"/>
        <v/>
      </c>
      <c r="EC77" s="177" t="str">
        <f t="shared" si="597"/>
        <v/>
      </c>
      <c r="ED77" s="5" t="str">
        <f t="shared" si="598"/>
        <v/>
      </c>
      <c r="EE77" s="4" t="str">
        <f t="shared" si="599"/>
        <v/>
      </c>
      <c r="EF77" s="5" t="str">
        <f t="shared" si="600"/>
        <v/>
      </c>
      <c r="EG77" s="10" t="str">
        <f t="shared" si="601"/>
        <v/>
      </c>
      <c r="EH77" s="9" t="str">
        <f t="shared" si="602"/>
        <v/>
      </c>
      <c r="EI77" s="5" t="str">
        <f t="shared" si="603"/>
        <v/>
      </c>
      <c r="EJ77" s="6" t="str">
        <f t="shared" si="604"/>
        <v/>
      </c>
      <c r="EK77" s="247" t="str">
        <f t="shared" si="605"/>
        <v/>
      </c>
      <c r="EL77" s="249" t="str">
        <f t="shared" si="606"/>
        <v/>
      </c>
      <c r="EM77" s="4" t="str">
        <f t="shared" si="607"/>
        <v/>
      </c>
      <c r="EN77" s="5" t="str">
        <f t="shared" si="608"/>
        <v/>
      </c>
      <c r="EO77" s="10" t="str">
        <f t="shared" si="609"/>
        <v/>
      </c>
      <c r="EP77" s="9" t="str">
        <f t="shared" si="610"/>
        <v/>
      </c>
      <c r="EQ77" s="5" t="str">
        <f t="shared" si="611"/>
        <v/>
      </c>
      <c r="ER77" s="7" t="str">
        <f t="shared" si="612"/>
        <v/>
      </c>
      <c r="ES77" s="21" t="str">
        <f t="shared" si="488"/>
        <v/>
      </c>
      <c r="ET77" s="5" t="str">
        <f t="shared" si="489"/>
        <v/>
      </c>
      <c r="EU77" s="10" t="str">
        <f t="shared" si="490"/>
        <v/>
      </c>
      <c r="EV77" s="178" t="str">
        <f t="shared" si="491"/>
        <v/>
      </c>
      <c r="EW77" s="9" t="str">
        <f t="shared" si="492"/>
        <v/>
      </c>
      <c r="EX77" s="5" t="str">
        <f t="shared" si="493"/>
        <v/>
      </c>
      <c r="EY77" s="6" t="str">
        <f t="shared" si="613"/>
        <v/>
      </c>
      <c r="EZ77" s="52" t="str">
        <f t="shared" si="614"/>
        <v/>
      </c>
      <c r="FA77" s="177" t="str">
        <f t="shared" si="494"/>
        <v/>
      </c>
      <c r="FB77" s="5" t="str">
        <f t="shared" si="495"/>
        <v/>
      </c>
      <c r="FC77" s="6" t="str">
        <f t="shared" si="496"/>
        <v/>
      </c>
      <c r="FD77" s="4" t="str">
        <f t="shared" si="497"/>
        <v/>
      </c>
      <c r="FE77" s="5" t="str">
        <f t="shared" si="498"/>
        <v/>
      </c>
      <c r="FF77" s="7" t="str">
        <f t="shared" si="615"/>
        <v/>
      </c>
      <c r="FG77" s="177" t="str">
        <f t="shared" si="499"/>
        <v/>
      </c>
      <c r="FH77" s="5" t="str">
        <f t="shared" si="500"/>
        <v/>
      </c>
      <c r="FI77" s="10" t="str">
        <f t="shared" si="501"/>
        <v/>
      </c>
      <c r="FJ77" s="290" t="str">
        <f t="shared" si="616"/>
        <v/>
      </c>
      <c r="FK77" s="4" t="str">
        <f t="shared" si="502"/>
        <v/>
      </c>
      <c r="FL77" s="5" t="str">
        <f t="shared" si="540"/>
        <v/>
      </c>
      <c r="FM77" s="8" t="str">
        <f t="shared" si="541"/>
        <v/>
      </c>
      <c r="FN77" s="9" t="str">
        <f t="shared" si="542"/>
        <v/>
      </c>
      <c r="FO77" s="10" t="str">
        <f t="shared" si="503"/>
        <v/>
      </c>
      <c r="FP77" s="288" t="str">
        <f t="shared" si="543"/>
        <v/>
      </c>
      <c r="FQ77" s="177" t="str">
        <f t="shared" si="617"/>
        <v/>
      </c>
      <c r="FR77" s="10" t="str">
        <f t="shared" si="618"/>
        <v/>
      </c>
      <c r="FS77" s="9" t="str">
        <f t="shared" si="619"/>
        <v/>
      </c>
      <c r="FT77" s="6" t="str">
        <f t="shared" si="620"/>
        <v/>
      </c>
      <c r="FU77" s="4" t="str">
        <f t="shared" si="621"/>
        <v/>
      </c>
      <c r="FV77" s="5" t="str">
        <f t="shared" si="622"/>
        <v/>
      </c>
      <c r="FW77" s="8" t="str">
        <f t="shared" si="623"/>
        <v/>
      </c>
      <c r="FX77" s="9" t="str">
        <f t="shared" si="624"/>
        <v/>
      </c>
      <c r="FY77" s="10" t="str">
        <f t="shared" si="504"/>
        <v/>
      </c>
      <c r="FZ77" s="288" t="str">
        <f t="shared" si="625"/>
        <v/>
      </c>
      <c r="GA77" s="181" t="str">
        <f t="shared" si="626"/>
        <v/>
      </c>
      <c r="GB77" s="4" t="str">
        <f t="shared" si="627"/>
        <v/>
      </c>
      <c r="GC77" s="5" t="str">
        <f t="shared" si="628"/>
        <v/>
      </c>
      <c r="GD77" s="10" t="str">
        <f t="shared" si="629"/>
        <v/>
      </c>
      <c r="GE77" s="324" t="str">
        <f t="shared" si="630"/>
        <v/>
      </c>
      <c r="GF77" s="362" t="str">
        <f t="shared" si="631"/>
        <v/>
      </c>
      <c r="GG77" s="296" t="str">
        <f t="shared" si="505"/>
        <v/>
      </c>
      <c r="GH77" s="297" t="str">
        <f t="shared" si="506"/>
        <v/>
      </c>
      <c r="GI77" s="292" t="str">
        <f t="shared" si="507"/>
        <v/>
      </c>
      <c r="GJ77" s="171" t="str">
        <f t="shared" si="632"/>
        <v/>
      </c>
      <c r="GK77" s="178" t="str">
        <f t="shared" si="508"/>
        <v/>
      </c>
      <c r="GL77" s="178" t="str">
        <f t="shared" si="633"/>
        <v/>
      </c>
      <c r="GM77" s="181" t="str">
        <f t="shared" si="634"/>
        <v/>
      </c>
      <c r="GN77" s="291" t="str">
        <f t="shared" si="635"/>
        <v/>
      </c>
      <c r="GO77" s="4" t="str">
        <f t="shared" si="636"/>
        <v/>
      </c>
      <c r="GP77" s="8" t="str">
        <f t="shared" si="637"/>
        <v/>
      </c>
      <c r="GQ77" s="181" t="str">
        <f t="shared" si="638"/>
        <v/>
      </c>
      <c r="GR77" s="417" t="str">
        <f t="shared" si="639"/>
        <v/>
      </c>
      <c r="GS77" s="363" t="str">
        <f t="shared" si="509"/>
        <v/>
      </c>
      <c r="GT77" s="364" t="str">
        <f t="shared" si="510"/>
        <v/>
      </c>
      <c r="GU77" s="365" t="str">
        <f t="shared" si="511"/>
        <v/>
      </c>
      <c r="GV77" s="364" t="str">
        <f t="shared" si="640"/>
        <v/>
      </c>
      <c r="GW77" s="366" t="str">
        <f t="shared" si="512"/>
        <v/>
      </c>
      <c r="GX77" s="367" t="str">
        <f t="shared" si="513"/>
        <v/>
      </c>
      <c r="GY77" s="365" t="str">
        <f t="shared" si="514"/>
        <v/>
      </c>
      <c r="GZ77" s="366" t="str">
        <f t="shared" si="515"/>
        <v/>
      </c>
      <c r="HA77" s="363" t="str">
        <f t="shared" si="516"/>
        <v/>
      </c>
      <c r="HB77" s="5" t="str">
        <f t="shared" si="641"/>
        <v/>
      </c>
      <c r="HC77" s="364" t="str">
        <f t="shared" si="642"/>
        <v/>
      </c>
      <c r="HD77" s="405" t="str">
        <f t="shared" si="643"/>
        <v/>
      </c>
      <c r="HE77" s="365" t="str">
        <f t="shared" si="517"/>
        <v/>
      </c>
      <c r="HF77" s="5" t="str">
        <f t="shared" si="518"/>
        <v/>
      </c>
      <c r="HG77" s="364" t="str">
        <f t="shared" si="644"/>
        <v/>
      </c>
      <c r="HH77" s="370" t="str">
        <f t="shared" si="645"/>
        <v/>
      </c>
      <c r="HI77" s="335" t="str">
        <f t="shared" si="519"/>
        <v/>
      </c>
      <c r="HK77" s="323" t="str">
        <f t="shared" si="238"/>
        <v/>
      </c>
      <c r="HL77" s="322" t="str">
        <f t="shared" si="544"/>
        <v/>
      </c>
      <c r="HM77" s="369" t="str">
        <f t="shared" si="466"/>
        <v/>
      </c>
      <c r="HN77" s="384" t="str">
        <f t="shared" si="466"/>
        <v/>
      </c>
      <c r="HO77" s="385" t="str">
        <f t="shared" si="466"/>
        <v/>
      </c>
      <c r="HP77" s="380" t="str">
        <f t="shared" si="466"/>
        <v/>
      </c>
      <c r="HQ77" s="384" t="str">
        <f t="shared" si="466"/>
        <v/>
      </c>
      <c r="HR77" s="395" t="str">
        <f t="shared" si="466"/>
        <v/>
      </c>
      <c r="HS77" s="379" t="str">
        <f t="shared" si="466"/>
        <v/>
      </c>
      <c r="HT77" s="374" t="str">
        <f t="shared" si="466"/>
        <v/>
      </c>
      <c r="HU77" s="375" t="str">
        <f t="shared" si="466"/>
        <v/>
      </c>
      <c r="HV77" s="376" t="str">
        <f t="shared" si="466"/>
        <v/>
      </c>
      <c r="HW77" s="374" t="str">
        <f t="shared" si="466"/>
        <v/>
      </c>
      <c r="HX77" s="375" t="str">
        <f t="shared" si="466"/>
        <v/>
      </c>
      <c r="HY77" s="376" t="str">
        <f t="shared" si="466"/>
        <v/>
      </c>
      <c r="HZ77" s="374" t="str">
        <f t="shared" si="466"/>
        <v/>
      </c>
      <c r="IA77" s="375" t="str">
        <f t="shared" si="466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6"/>
        <v>4.1539999999999999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5"/>
        <v>1613</v>
      </c>
      <c r="IK77" s="533" t="str">
        <f t="shared" si="520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21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22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-1.6195836335085851</v>
      </c>
      <c r="C78" s="708">
        <v>-6.8781125667094294</v>
      </c>
      <c r="D78" s="709">
        <v>-3.451610410056996</v>
      </c>
      <c r="E78" s="710">
        <v>0.62966244140417893</v>
      </c>
      <c r="F78" s="708">
        <v>-0.77523307050774803</v>
      </c>
      <c r="G78" s="711">
        <v>5.0387461496469083E-2</v>
      </c>
      <c r="H78" s="710">
        <v>0.314</v>
      </c>
      <c r="I78" s="708">
        <v>0.52</v>
      </c>
      <c r="J78" s="570">
        <v>4.16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7"/>
        <v>4.16</v>
      </c>
      <c r="N78" s="632">
        <f t="shared" si="468"/>
        <v>-1.6195836335085851</v>
      </c>
      <c r="O78" s="629">
        <f t="shared" si="469"/>
        <v>-6.8781125667094294</v>
      </c>
      <c r="P78" s="633">
        <f t="shared" si="470"/>
        <v>-3.451610410056996</v>
      </c>
      <c r="Q78" s="585">
        <f t="shared" si="523"/>
        <v>256.74997545504038</v>
      </c>
      <c r="R78" s="629">
        <f>IF(M78="","",SQRT(N78^2+O78^2))</f>
        <v>7.066221311723476</v>
      </c>
      <c r="S78" s="634">
        <f>IF(M78="","",P78)</f>
        <v>-3.451610410056996</v>
      </c>
      <c r="T78" s="635">
        <f>IF(M78="","",X78*COS(RADIANS(W78)))</f>
        <v>-6.8781125667094303</v>
      </c>
      <c r="U78" s="629">
        <f>IF(M78="","",X78*SIN(RADIANS(W78)))</f>
        <v>1.6195836335085823</v>
      </c>
      <c r="V78" s="636">
        <f>IF(M78="","",Y78)</f>
        <v>-3.451610410056996</v>
      </c>
      <c r="W78" s="585">
        <f t="shared" si="224"/>
        <v>166.74997545504038</v>
      </c>
      <c r="X78" s="629">
        <f>IF(M78="","",R78)</f>
        <v>7.066221311723476</v>
      </c>
      <c r="Y78" s="630">
        <f t="shared" si="647"/>
        <v>-3.451610410056996</v>
      </c>
      <c r="Z78" s="632">
        <f t="shared" si="471"/>
        <v>-0.62966244140417893</v>
      </c>
      <c r="AA78" s="629">
        <f t="shared" si="472"/>
        <v>0.77523307050774803</v>
      </c>
      <c r="AB78" s="629">
        <f t="shared" si="473"/>
        <v>-5.0387461496469083E-2</v>
      </c>
      <c r="AC78" s="636">
        <f>IF(M78="","",SQRT(Z78^2+AA78^2+AB78^2))</f>
        <v>1</v>
      </c>
      <c r="AD78" s="637">
        <f>IF(M78="","",Z78*(1/SQRT(Z78^2+AA78^2+AB78^2)))</f>
        <v>-0.62966244140417893</v>
      </c>
      <c r="AE78" s="629">
        <f>IF(M78="","",AA78*(1/SQRT(Z78^2+AA78^2+AB78^2)))</f>
        <v>0.77523307050774803</v>
      </c>
      <c r="AF78" s="633">
        <f>IF(M78="","",AB78*(1/SQRT(Z78^2+AA78^2+AB78^2)))</f>
        <v>-5.0387461496469083E-2</v>
      </c>
      <c r="AG78" s="602">
        <f>IF(M78="","",DEGREES(ATAN2(-AF78,AE78)))</f>
        <v>86.28120386162702</v>
      </c>
      <c r="AH78" s="603">
        <f>IF(M78="","",DEGREES(ACOS(AD78)))</f>
        <v>129.02522246406599</v>
      </c>
      <c r="AI78" s="585">
        <f>IF(M78="","",DEGREES(-ACOS(-AF78)))</f>
        <v>-87.111788090493434</v>
      </c>
      <c r="AJ78" s="586">
        <f>IF(M78="","",DEGREES(ATAN2(-AE78,AD78)))</f>
        <v>-140.91568845486566</v>
      </c>
      <c r="AK78" s="635">
        <f>IF(M78="","",(COS(RADIANS((90-$Q$8)-W78))*AD78)+(-SIN(RADIANS((90-$Q$8)-W78))*AE78))</f>
        <v>0.79058434454742876</v>
      </c>
      <c r="AL78" s="629">
        <f>IF(M78="","",(SIN(RADIANS((90-$Q$8)-W78))*AD78)+(COS(RADIANS((90-$Q$8)-W78))*AE78))</f>
        <v>-0.61027657490719289</v>
      </c>
      <c r="AM78" s="634">
        <f>IF(M78="","",AF78)</f>
        <v>-5.0387461496469083E-2</v>
      </c>
      <c r="AN78" s="581">
        <f>IF(M78="","",DEGREES(ATAN2(-AM78,AL78)))</f>
        <v>-85.280081966011991</v>
      </c>
      <c r="AO78" s="582">
        <f t="shared" si="463"/>
        <v>37.759847026545387</v>
      </c>
      <c r="AP78" s="585">
        <f>IF(M78="","",DEGREES(ATAN2(AK78,AL78)))</f>
        <v>-37.665663909906051</v>
      </c>
      <c r="AQ78" s="586">
        <f t="shared" si="474"/>
        <v>0.32261974794311393</v>
      </c>
      <c r="AS78" s="52">
        <f t="shared" si="546"/>
        <v>-193.25002454495962</v>
      </c>
      <c r="AT78" s="72">
        <f t="shared" si="475"/>
        <v>-3.3174090041229962</v>
      </c>
      <c r="AU78" s="469"/>
      <c r="AV78" s="168" t="str">
        <f t="shared" si="476"/>
        <v/>
      </c>
      <c r="AW78" s="418"/>
      <c r="AX78" s="419"/>
      <c r="AY78" s="420"/>
      <c r="AZ78" s="308" t="str">
        <f t="shared" si="547"/>
        <v/>
      </c>
      <c r="BA78" s="307" t="str">
        <f t="shared" si="477"/>
        <v/>
      </c>
      <c r="BB78" s="181" t="str">
        <f t="shared" si="524"/>
        <v/>
      </c>
      <c r="BC78" s="9"/>
      <c r="BD78" s="5" t="str">
        <f t="shared" si="525"/>
        <v/>
      </c>
      <c r="BE78" s="6" t="str">
        <f t="shared" si="478"/>
        <v/>
      </c>
      <c r="BF78" s="4" t="str">
        <f t="shared" si="479"/>
        <v/>
      </c>
      <c r="BG78" s="5" t="str">
        <f t="shared" si="480"/>
        <v/>
      </c>
      <c r="BH78" s="10" t="str">
        <f t="shared" si="481"/>
        <v/>
      </c>
      <c r="BI78" s="9" t="str">
        <f t="shared" si="548"/>
        <v/>
      </c>
      <c r="BJ78" s="5" t="str">
        <f t="shared" si="482"/>
        <v/>
      </c>
      <c r="BK78" s="8" t="str">
        <f t="shared" si="483"/>
        <v/>
      </c>
      <c r="BL78" s="177" t="str">
        <f t="shared" si="484"/>
        <v/>
      </c>
      <c r="BM78" s="5" t="str">
        <f t="shared" si="485"/>
        <v/>
      </c>
      <c r="BN78" s="6" t="str">
        <f t="shared" si="486"/>
        <v/>
      </c>
      <c r="BO78" s="4" t="str">
        <f t="shared" si="549"/>
        <v/>
      </c>
      <c r="BP78" s="5" t="str">
        <f t="shared" si="550"/>
        <v/>
      </c>
      <c r="BQ78" s="5" t="str">
        <f t="shared" si="551"/>
        <v/>
      </c>
      <c r="BR78" s="6" t="str">
        <f t="shared" si="552"/>
        <v/>
      </c>
      <c r="BS78" s="4" t="str">
        <f t="shared" si="526"/>
        <v/>
      </c>
      <c r="BT78" s="5" t="str">
        <f t="shared" si="526"/>
        <v/>
      </c>
      <c r="BU78" s="10" t="str">
        <f t="shared" si="527"/>
        <v/>
      </c>
      <c r="BV78" s="9" t="str">
        <f t="shared" si="528"/>
        <v/>
      </c>
      <c r="BW78" s="5" t="str">
        <f t="shared" si="529"/>
        <v/>
      </c>
      <c r="BX78" s="8" t="str">
        <f t="shared" si="530"/>
        <v/>
      </c>
      <c r="BY78" s="177" t="str">
        <f t="shared" si="531"/>
        <v/>
      </c>
      <c r="BZ78" s="5" t="str">
        <f t="shared" si="532"/>
        <v/>
      </c>
      <c r="CA78" s="6" t="str">
        <f t="shared" si="533"/>
        <v/>
      </c>
      <c r="CB78" s="4" t="str">
        <f t="shared" si="553"/>
        <v/>
      </c>
      <c r="CC78" s="5" t="str">
        <f t="shared" si="554"/>
        <v/>
      </c>
      <c r="CD78" s="5" t="str">
        <f t="shared" si="555"/>
        <v/>
      </c>
      <c r="CE78" s="6" t="str">
        <f t="shared" si="556"/>
        <v/>
      </c>
      <c r="CF78" s="4" t="str">
        <f t="shared" si="557"/>
        <v/>
      </c>
      <c r="CG78" s="5" t="str">
        <f t="shared" si="558"/>
        <v/>
      </c>
      <c r="CH78" s="5" t="str">
        <f t="shared" si="559"/>
        <v/>
      </c>
      <c r="CI78" s="4" t="str">
        <f t="shared" si="534"/>
        <v/>
      </c>
      <c r="CJ78" s="5" t="str">
        <f t="shared" si="535"/>
        <v/>
      </c>
      <c r="CK78" s="8" t="str">
        <f t="shared" si="536"/>
        <v/>
      </c>
      <c r="CL78" s="177" t="str">
        <f t="shared" si="537"/>
        <v/>
      </c>
      <c r="CM78" s="5" t="str">
        <f t="shared" si="538"/>
        <v/>
      </c>
      <c r="CN78" s="6" t="str">
        <f t="shared" si="539"/>
        <v/>
      </c>
      <c r="CO78" s="171" t="str">
        <f t="shared" si="487"/>
        <v/>
      </c>
      <c r="CP78" s="4" t="str">
        <f t="shared" si="560"/>
        <v/>
      </c>
      <c r="CQ78" s="5" t="str">
        <f t="shared" si="561"/>
        <v/>
      </c>
      <c r="CR78" s="5" t="str">
        <f t="shared" si="562"/>
        <v/>
      </c>
      <c r="CS78" s="8" t="str">
        <f t="shared" si="563"/>
        <v/>
      </c>
      <c r="CT78" s="9" t="str">
        <f t="shared" si="564"/>
        <v/>
      </c>
      <c r="CU78" s="6" t="str">
        <f t="shared" si="565"/>
        <v/>
      </c>
      <c r="CV78" s="4" t="str">
        <f t="shared" si="566"/>
        <v/>
      </c>
      <c r="CW78" s="5" t="str">
        <f t="shared" si="567"/>
        <v/>
      </c>
      <c r="CX78" s="8" t="str">
        <f t="shared" si="568"/>
        <v/>
      </c>
      <c r="CY78" s="9" t="str">
        <f t="shared" si="569"/>
        <v/>
      </c>
      <c r="CZ78" s="5" t="str">
        <f t="shared" si="570"/>
        <v/>
      </c>
      <c r="DA78" s="6" t="str">
        <f t="shared" si="571"/>
        <v/>
      </c>
      <c r="DB78" s="4" t="str">
        <f t="shared" si="572"/>
        <v/>
      </c>
      <c r="DC78" s="5" t="str">
        <f t="shared" si="572"/>
        <v/>
      </c>
      <c r="DD78" s="10" t="str">
        <f t="shared" si="573"/>
        <v/>
      </c>
      <c r="DE78" s="9" t="str">
        <f t="shared" si="574"/>
        <v/>
      </c>
      <c r="DF78" s="5" t="str">
        <f t="shared" si="574"/>
        <v/>
      </c>
      <c r="DG78" s="10" t="str">
        <f t="shared" si="575"/>
        <v/>
      </c>
      <c r="DH78" s="72" t="str">
        <f t="shared" si="576"/>
        <v/>
      </c>
      <c r="DI78" s="4" t="str">
        <f t="shared" si="577"/>
        <v/>
      </c>
      <c r="DJ78" s="5" t="str">
        <f t="shared" si="578"/>
        <v/>
      </c>
      <c r="DK78" s="10" t="str">
        <f t="shared" si="579"/>
        <v/>
      </c>
      <c r="DL78" s="9" t="str">
        <f t="shared" si="580"/>
        <v/>
      </c>
      <c r="DM78" s="177" t="str">
        <f t="shared" si="581"/>
        <v/>
      </c>
      <c r="DN78" s="182" t="str">
        <f t="shared" si="582"/>
        <v/>
      </c>
      <c r="DO78" s="9" t="str">
        <f t="shared" si="583"/>
        <v/>
      </c>
      <c r="DP78" s="177" t="str">
        <f t="shared" si="584"/>
        <v/>
      </c>
      <c r="DQ78" s="11" t="str">
        <f t="shared" si="585"/>
        <v/>
      </c>
      <c r="DR78" s="177" t="str">
        <f t="shared" si="586"/>
        <v/>
      </c>
      <c r="DS78" s="5" t="str">
        <f t="shared" si="587"/>
        <v/>
      </c>
      <c r="DT78" s="5" t="str">
        <f t="shared" si="588"/>
        <v/>
      </c>
      <c r="DU78" s="5" t="str">
        <f t="shared" si="589"/>
        <v/>
      </c>
      <c r="DV78" s="5" t="str">
        <f t="shared" si="590"/>
        <v/>
      </c>
      <c r="DW78" s="5" t="str">
        <f t="shared" si="591"/>
        <v/>
      </c>
      <c r="DX78" s="171" t="str">
        <f t="shared" si="592"/>
        <v/>
      </c>
      <c r="DY78" s="9" t="str">
        <f t="shared" si="593"/>
        <v/>
      </c>
      <c r="DZ78" s="5" t="str">
        <f t="shared" si="594"/>
        <v/>
      </c>
      <c r="EA78" s="10" t="str">
        <f t="shared" si="595"/>
        <v/>
      </c>
      <c r="EB78" s="6" t="str">
        <f t="shared" si="596"/>
        <v/>
      </c>
      <c r="EC78" s="177" t="str">
        <f t="shared" si="597"/>
        <v/>
      </c>
      <c r="ED78" s="5" t="str">
        <f t="shared" si="598"/>
        <v/>
      </c>
      <c r="EE78" s="4" t="str">
        <f t="shared" si="599"/>
        <v/>
      </c>
      <c r="EF78" s="5" t="str">
        <f t="shared" si="600"/>
        <v/>
      </c>
      <c r="EG78" s="10" t="str">
        <f t="shared" si="601"/>
        <v/>
      </c>
      <c r="EH78" s="9" t="str">
        <f t="shared" si="602"/>
        <v/>
      </c>
      <c r="EI78" s="5" t="str">
        <f t="shared" si="603"/>
        <v/>
      </c>
      <c r="EJ78" s="6" t="str">
        <f t="shared" si="604"/>
        <v/>
      </c>
      <c r="EK78" s="247" t="str">
        <f t="shared" si="605"/>
        <v/>
      </c>
      <c r="EL78" s="249" t="str">
        <f t="shared" si="606"/>
        <v/>
      </c>
      <c r="EM78" s="4" t="str">
        <f t="shared" si="607"/>
        <v/>
      </c>
      <c r="EN78" s="5" t="str">
        <f t="shared" si="608"/>
        <v/>
      </c>
      <c r="EO78" s="10" t="str">
        <f t="shared" si="609"/>
        <v/>
      </c>
      <c r="EP78" s="9" t="str">
        <f t="shared" si="610"/>
        <v/>
      </c>
      <c r="EQ78" s="5" t="str">
        <f t="shared" si="611"/>
        <v/>
      </c>
      <c r="ER78" s="7" t="str">
        <f t="shared" si="612"/>
        <v/>
      </c>
      <c r="ES78" s="21" t="str">
        <f t="shared" si="488"/>
        <v/>
      </c>
      <c r="ET78" s="5" t="str">
        <f t="shared" si="489"/>
        <v/>
      </c>
      <c r="EU78" s="10" t="str">
        <f t="shared" si="490"/>
        <v/>
      </c>
      <c r="EV78" s="178" t="str">
        <f t="shared" si="491"/>
        <v/>
      </c>
      <c r="EW78" s="9" t="str">
        <f t="shared" si="492"/>
        <v/>
      </c>
      <c r="EX78" s="5" t="str">
        <f t="shared" si="493"/>
        <v/>
      </c>
      <c r="EY78" s="6" t="str">
        <f t="shared" si="613"/>
        <v/>
      </c>
      <c r="EZ78" s="52" t="str">
        <f t="shared" si="614"/>
        <v/>
      </c>
      <c r="FA78" s="177" t="str">
        <f t="shared" si="494"/>
        <v/>
      </c>
      <c r="FB78" s="5" t="str">
        <f t="shared" si="495"/>
        <v/>
      </c>
      <c r="FC78" s="6" t="str">
        <f t="shared" si="496"/>
        <v/>
      </c>
      <c r="FD78" s="4" t="str">
        <f t="shared" si="497"/>
        <v/>
      </c>
      <c r="FE78" s="5" t="str">
        <f t="shared" si="498"/>
        <v/>
      </c>
      <c r="FF78" s="7" t="str">
        <f t="shared" si="615"/>
        <v/>
      </c>
      <c r="FG78" s="177" t="str">
        <f t="shared" si="499"/>
        <v/>
      </c>
      <c r="FH78" s="5" t="str">
        <f t="shared" si="500"/>
        <v/>
      </c>
      <c r="FI78" s="10" t="str">
        <f t="shared" si="501"/>
        <v/>
      </c>
      <c r="FJ78" s="290" t="str">
        <f t="shared" si="616"/>
        <v/>
      </c>
      <c r="FK78" s="4" t="str">
        <f t="shared" si="502"/>
        <v/>
      </c>
      <c r="FL78" s="5" t="str">
        <f t="shared" si="540"/>
        <v/>
      </c>
      <c r="FM78" s="8" t="str">
        <f t="shared" si="541"/>
        <v/>
      </c>
      <c r="FN78" s="9" t="str">
        <f t="shared" si="542"/>
        <v/>
      </c>
      <c r="FO78" s="10" t="str">
        <f t="shared" si="503"/>
        <v/>
      </c>
      <c r="FP78" s="288" t="str">
        <f t="shared" si="543"/>
        <v/>
      </c>
      <c r="FQ78" s="177" t="str">
        <f t="shared" si="617"/>
        <v/>
      </c>
      <c r="FR78" s="10" t="str">
        <f t="shared" si="618"/>
        <v/>
      </c>
      <c r="FS78" s="9" t="str">
        <f t="shared" si="619"/>
        <v/>
      </c>
      <c r="FT78" s="6" t="str">
        <f t="shared" si="620"/>
        <v/>
      </c>
      <c r="FU78" s="4" t="str">
        <f t="shared" si="621"/>
        <v/>
      </c>
      <c r="FV78" s="5" t="str">
        <f t="shared" si="622"/>
        <v/>
      </c>
      <c r="FW78" s="8" t="str">
        <f t="shared" si="623"/>
        <v/>
      </c>
      <c r="FX78" s="9" t="str">
        <f t="shared" si="624"/>
        <v/>
      </c>
      <c r="FY78" s="10" t="str">
        <f t="shared" si="504"/>
        <v/>
      </c>
      <c r="FZ78" s="288" t="str">
        <f t="shared" si="625"/>
        <v/>
      </c>
      <c r="GA78" s="181" t="str">
        <f t="shared" si="626"/>
        <v/>
      </c>
      <c r="GB78" s="4" t="str">
        <f t="shared" si="627"/>
        <v/>
      </c>
      <c r="GC78" s="5" t="str">
        <f t="shared" si="628"/>
        <v/>
      </c>
      <c r="GD78" s="10" t="str">
        <f t="shared" si="629"/>
        <v/>
      </c>
      <c r="GE78" s="324" t="str">
        <f t="shared" si="630"/>
        <v/>
      </c>
      <c r="GF78" s="362" t="str">
        <f t="shared" si="631"/>
        <v/>
      </c>
      <c r="GG78" s="296" t="str">
        <f t="shared" si="505"/>
        <v/>
      </c>
      <c r="GH78" s="297" t="str">
        <f t="shared" si="506"/>
        <v/>
      </c>
      <c r="GI78" s="292" t="str">
        <f t="shared" si="507"/>
        <v/>
      </c>
      <c r="GJ78" s="171" t="str">
        <f t="shared" si="632"/>
        <v/>
      </c>
      <c r="GK78" s="178" t="str">
        <f t="shared" si="508"/>
        <v/>
      </c>
      <c r="GL78" s="178" t="str">
        <f t="shared" si="633"/>
        <v/>
      </c>
      <c r="GM78" s="181" t="str">
        <f t="shared" si="634"/>
        <v/>
      </c>
      <c r="GN78" s="291" t="str">
        <f t="shared" si="635"/>
        <v/>
      </c>
      <c r="GO78" s="4" t="str">
        <f t="shared" si="636"/>
        <v/>
      </c>
      <c r="GP78" s="8" t="str">
        <f t="shared" si="637"/>
        <v/>
      </c>
      <c r="GQ78" s="181" t="str">
        <f t="shared" si="638"/>
        <v/>
      </c>
      <c r="GR78" s="417" t="str">
        <f t="shared" si="639"/>
        <v/>
      </c>
      <c r="GS78" s="363" t="str">
        <f t="shared" si="509"/>
        <v/>
      </c>
      <c r="GT78" s="364" t="str">
        <f t="shared" si="510"/>
        <v/>
      </c>
      <c r="GU78" s="365" t="str">
        <f t="shared" si="511"/>
        <v/>
      </c>
      <c r="GV78" s="364" t="str">
        <f t="shared" si="640"/>
        <v/>
      </c>
      <c r="GW78" s="366" t="str">
        <f t="shared" si="512"/>
        <v/>
      </c>
      <c r="GX78" s="367" t="str">
        <f t="shared" si="513"/>
        <v/>
      </c>
      <c r="GY78" s="365" t="str">
        <f t="shared" si="514"/>
        <v/>
      </c>
      <c r="GZ78" s="366" t="str">
        <f t="shared" si="515"/>
        <v/>
      </c>
      <c r="HA78" s="363" t="str">
        <f t="shared" si="516"/>
        <v/>
      </c>
      <c r="HB78" s="5" t="str">
        <f t="shared" si="641"/>
        <v/>
      </c>
      <c r="HC78" s="364" t="str">
        <f t="shared" si="642"/>
        <v/>
      </c>
      <c r="HD78" s="405" t="str">
        <f t="shared" si="643"/>
        <v/>
      </c>
      <c r="HE78" s="365" t="str">
        <f t="shared" si="517"/>
        <v/>
      </c>
      <c r="HF78" s="5" t="str">
        <f t="shared" si="518"/>
        <v/>
      </c>
      <c r="HG78" s="364" t="str">
        <f t="shared" si="644"/>
        <v/>
      </c>
      <c r="HH78" s="370" t="str">
        <f t="shared" si="645"/>
        <v/>
      </c>
      <c r="HI78" s="335" t="str">
        <f t="shared" si="519"/>
        <v/>
      </c>
      <c r="HK78" s="323" t="str">
        <f t="shared" si="238"/>
        <v/>
      </c>
      <c r="HL78" s="322" t="str">
        <f t="shared" si="544"/>
        <v/>
      </c>
      <c r="HM78" s="369" t="str">
        <f t="shared" si="466"/>
        <v/>
      </c>
      <c r="HN78" s="384" t="str">
        <f t="shared" si="466"/>
        <v/>
      </c>
      <c r="HO78" s="385" t="str">
        <f t="shared" si="466"/>
        <v/>
      </c>
      <c r="HP78" s="380" t="str">
        <f t="shared" si="466"/>
        <v/>
      </c>
      <c r="HQ78" s="384" t="str">
        <f t="shared" si="466"/>
        <v/>
      </c>
      <c r="HR78" s="395" t="str">
        <f t="shared" si="466"/>
        <v/>
      </c>
      <c r="HS78" s="379" t="str">
        <f t="shared" si="466"/>
        <v/>
      </c>
      <c r="HT78" s="374" t="str">
        <f t="shared" si="466"/>
        <v/>
      </c>
      <c r="HU78" s="375" t="str">
        <f t="shared" si="466"/>
        <v/>
      </c>
      <c r="HV78" s="376" t="str">
        <f t="shared" si="466"/>
        <v/>
      </c>
      <c r="HW78" s="374" t="str">
        <f t="shared" si="466"/>
        <v/>
      </c>
      <c r="HX78" s="375" t="str">
        <f t="shared" si="466"/>
        <v/>
      </c>
      <c r="HY78" s="376" t="str">
        <f t="shared" si="466"/>
        <v/>
      </c>
      <c r="HZ78" s="374" t="str">
        <f t="shared" si="466"/>
        <v/>
      </c>
      <c r="IA78" s="375" t="str">
        <f t="shared" si="466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6"/>
        <v>4.16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5"/>
        <v>1613</v>
      </c>
      <c r="IK78" s="533" t="str">
        <f t="shared" si="520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21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22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-1.6729424961506394</v>
      </c>
      <c r="C79" s="708">
        <v>-6.9682938438740694</v>
      </c>
      <c r="D79" s="709">
        <v>-4.2067126874454663</v>
      </c>
      <c r="E79" s="710">
        <v>0.59482252341373143</v>
      </c>
      <c r="F79" s="708">
        <v>-0.80385705547671837</v>
      </c>
      <c r="G79" s="711">
        <v>1.4578093192829312E-7</v>
      </c>
      <c r="H79" s="710">
        <v>0.314</v>
      </c>
      <c r="I79" s="708">
        <v>0.52</v>
      </c>
      <c r="J79" s="570">
        <v>4.1660000000000004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4.1660000000000004</v>
      </c>
      <c r="N79" s="632">
        <f t="shared" si="468"/>
        <v>-1.6729424961506394</v>
      </c>
      <c r="O79" s="629">
        <f t="shared" si="469"/>
        <v>-6.9682938438740694</v>
      </c>
      <c r="P79" s="633">
        <f t="shared" si="470"/>
        <v>-4.2067126874454663</v>
      </c>
      <c r="Q79" s="585">
        <f t="shared" si="523"/>
        <v>256.49997545504038</v>
      </c>
      <c r="R79" s="629">
        <f>IF(M79="","",SQRT(N79^2+O79^2))</f>
        <v>7.1662999999999988</v>
      </c>
      <c r="S79" s="634">
        <f>IF(M79="","",P79)</f>
        <v>-4.2067126874454663</v>
      </c>
      <c r="T79" s="635">
        <f>IF(M79="","",X79*COS(RADIANS(W79)))</f>
        <v>-6.9682938438740694</v>
      </c>
      <c r="U79" s="629">
        <f>IF(M79="","",X79*SIN(RADIANS(W79)))</f>
        <v>1.6729424961506378</v>
      </c>
      <c r="V79" s="636">
        <f>IF(M79="","",Y79)</f>
        <v>-4.2067126874454663</v>
      </c>
      <c r="W79" s="585">
        <f t="shared" ref="W79:W129" si="648">IF(M79="","",IF(Q79-$Q$8&lt;0,360+Q79-$Q$8,Q79-$Q$8))</f>
        <v>166.49997545504038</v>
      </c>
      <c r="X79" s="629">
        <f>IF(M79="","",R79)</f>
        <v>7.1662999999999988</v>
      </c>
      <c r="Y79" s="630">
        <f t="shared" si="647"/>
        <v>-4.2067126874454663</v>
      </c>
      <c r="Z79" s="632">
        <f t="shared" si="471"/>
        <v>-0.59482252341373143</v>
      </c>
      <c r="AA79" s="629">
        <f t="shared" si="472"/>
        <v>0.80385705547671837</v>
      </c>
      <c r="AB79" s="629">
        <f t="shared" si="473"/>
        <v>-1.4578093192829312E-7</v>
      </c>
      <c r="AC79" s="636">
        <f>IF(M79="","",SQRT(Z79^2+AA79^2+AB79^2))</f>
        <v>1</v>
      </c>
      <c r="AD79" s="637">
        <f>IF(M79="","",Z79*(1/SQRT(Z79^2+AA79^2+AB79^2)))</f>
        <v>-0.59482252341373143</v>
      </c>
      <c r="AE79" s="629">
        <f>IF(M79="","",AA79*(1/SQRT(Z79^2+AA79^2+AB79^2)))</f>
        <v>0.80385705547671837</v>
      </c>
      <c r="AF79" s="633">
        <f>IF(M79="","",AB79*(1/SQRT(Z79^2+AA79^2+AB79^2)))</f>
        <v>-1.4578093192829312E-7</v>
      </c>
      <c r="AG79" s="602">
        <f>IF(M79="","",DEGREES(ATAN2(-AF79,AE79)))</f>
        <v>89.999989609306695</v>
      </c>
      <c r="AH79" s="603">
        <f>IF(M79="","",DEGREES(ACOS(AD79)))</f>
        <v>126.49998123032526</v>
      </c>
      <c r="AI79" s="585">
        <f>IF(M79="","",DEGREES(-ACOS(-AF79)))</f>
        <v>-89.999991647367864</v>
      </c>
      <c r="AJ79" s="586">
        <f>IF(M79="","",DEGREES(ATAN2(-AE79,AD79)))</f>
        <v>-143.50001876967428</v>
      </c>
      <c r="AK79" s="635">
        <f>IF(M79="","",(COS(RADIANS((90-$Q$8)-W79))*AD79)+(-SIN(RADIANS((90-$Q$8)-W79))*AE79))</f>
        <v>0.76604450791050727</v>
      </c>
      <c r="AL79" s="629">
        <f>IF(M79="","",(SIN(RADIANS((90-$Q$8)-W79))*AD79)+(COS(RADIANS((90-$Q$8)-W79))*AE79))</f>
        <v>-0.64278753247097731</v>
      </c>
      <c r="AM79" s="634">
        <f>IF(M79="","",AF79)</f>
        <v>-1.4578093192829312E-7</v>
      </c>
      <c r="AN79" s="581">
        <f>IF(M79="","",DEGREES(ATAN2(-AM79,AL79)))</f>
        <v>-89.999987005609626</v>
      </c>
      <c r="AO79" s="582">
        <f t="shared" si="463"/>
        <v>39.99999422471538</v>
      </c>
      <c r="AP79" s="585">
        <f>IF(M79="","",DEGREES(ATAN2(AK79,AL79)))</f>
        <v>-39.999994224714662</v>
      </c>
      <c r="AQ79" s="586">
        <f t="shared" si="474"/>
        <v>0.31811439748911496</v>
      </c>
      <c r="AS79" s="52">
        <f t="shared" si="546"/>
        <v>-193.50002454495962</v>
      </c>
      <c r="AT79" s="72">
        <f t="shared" si="475"/>
        <v>-4.0723376704003558</v>
      </c>
      <c r="AU79" s="469"/>
      <c r="AV79" s="168" t="str">
        <f t="shared" si="476"/>
        <v/>
      </c>
      <c r="AW79" s="418"/>
      <c r="AX79" s="419"/>
      <c r="AY79" s="420"/>
      <c r="AZ79" s="308" t="str">
        <f t="shared" si="547"/>
        <v/>
      </c>
      <c r="BA79" s="307" t="str">
        <f t="shared" si="477"/>
        <v/>
      </c>
      <c r="BB79" s="181" t="str">
        <f t="shared" si="524"/>
        <v/>
      </c>
      <c r="BC79" s="9"/>
      <c r="BD79" s="5" t="str">
        <f t="shared" si="525"/>
        <v/>
      </c>
      <c r="BE79" s="6" t="str">
        <f t="shared" si="478"/>
        <v/>
      </c>
      <c r="BF79" s="4" t="str">
        <f t="shared" si="479"/>
        <v/>
      </c>
      <c r="BG79" s="5" t="str">
        <f t="shared" si="480"/>
        <v/>
      </c>
      <c r="BH79" s="10" t="str">
        <f t="shared" si="481"/>
        <v/>
      </c>
      <c r="BI79" s="9" t="str">
        <f t="shared" si="548"/>
        <v/>
      </c>
      <c r="BJ79" s="5" t="str">
        <f t="shared" si="482"/>
        <v/>
      </c>
      <c r="BK79" s="8" t="str">
        <f t="shared" si="483"/>
        <v/>
      </c>
      <c r="BL79" s="177" t="str">
        <f t="shared" si="484"/>
        <v/>
      </c>
      <c r="BM79" s="5" t="str">
        <f t="shared" si="485"/>
        <v/>
      </c>
      <c r="BN79" s="6" t="str">
        <f t="shared" si="486"/>
        <v/>
      </c>
      <c r="BO79" s="4" t="str">
        <f t="shared" si="549"/>
        <v/>
      </c>
      <c r="BP79" s="5" t="str">
        <f t="shared" si="550"/>
        <v/>
      </c>
      <c r="BQ79" s="5" t="str">
        <f t="shared" si="551"/>
        <v/>
      </c>
      <c r="BR79" s="6" t="str">
        <f t="shared" si="552"/>
        <v/>
      </c>
      <c r="BS79" s="4" t="str">
        <f t="shared" si="526"/>
        <v/>
      </c>
      <c r="BT79" s="5" t="str">
        <f t="shared" si="526"/>
        <v/>
      </c>
      <c r="BU79" s="10" t="str">
        <f t="shared" si="527"/>
        <v/>
      </c>
      <c r="BV79" s="9" t="str">
        <f t="shared" si="528"/>
        <v/>
      </c>
      <c r="BW79" s="5" t="str">
        <f t="shared" si="529"/>
        <v/>
      </c>
      <c r="BX79" s="8" t="str">
        <f t="shared" si="530"/>
        <v/>
      </c>
      <c r="BY79" s="177" t="str">
        <f t="shared" si="531"/>
        <v/>
      </c>
      <c r="BZ79" s="5" t="str">
        <f t="shared" si="532"/>
        <v/>
      </c>
      <c r="CA79" s="6" t="str">
        <f t="shared" si="533"/>
        <v/>
      </c>
      <c r="CB79" s="4" t="str">
        <f t="shared" si="553"/>
        <v/>
      </c>
      <c r="CC79" s="5" t="str">
        <f t="shared" si="554"/>
        <v/>
      </c>
      <c r="CD79" s="5" t="str">
        <f t="shared" si="555"/>
        <v/>
      </c>
      <c r="CE79" s="6" t="str">
        <f t="shared" si="556"/>
        <v/>
      </c>
      <c r="CF79" s="4" t="str">
        <f t="shared" si="557"/>
        <v/>
      </c>
      <c r="CG79" s="5" t="str">
        <f t="shared" si="558"/>
        <v/>
      </c>
      <c r="CH79" s="5" t="str">
        <f t="shared" si="559"/>
        <v/>
      </c>
      <c r="CI79" s="4" t="str">
        <f t="shared" si="534"/>
        <v/>
      </c>
      <c r="CJ79" s="5" t="str">
        <f t="shared" si="535"/>
        <v/>
      </c>
      <c r="CK79" s="8" t="str">
        <f t="shared" si="536"/>
        <v/>
      </c>
      <c r="CL79" s="177" t="str">
        <f t="shared" si="537"/>
        <v/>
      </c>
      <c r="CM79" s="5" t="str">
        <f t="shared" si="538"/>
        <v/>
      </c>
      <c r="CN79" s="6" t="str">
        <f t="shared" si="539"/>
        <v/>
      </c>
      <c r="CO79" s="171" t="str">
        <f t="shared" si="487"/>
        <v/>
      </c>
      <c r="CP79" s="4" t="str">
        <f t="shared" si="560"/>
        <v/>
      </c>
      <c r="CQ79" s="5" t="str">
        <f t="shared" si="561"/>
        <v/>
      </c>
      <c r="CR79" s="5" t="str">
        <f t="shared" si="562"/>
        <v/>
      </c>
      <c r="CS79" s="8" t="str">
        <f t="shared" si="563"/>
        <v/>
      </c>
      <c r="CT79" s="9" t="str">
        <f t="shared" si="564"/>
        <v/>
      </c>
      <c r="CU79" s="6" t="str">
        <f t="shared" si="565"/>
        <v/>
      </c>
      <c r="CV79" s="4" t="str">
        <f t="shared" si="566"/>
        <v/>
      </c>
      <c r="CW79" s="5" t="str">
        <f t="shared" si="567"/>
        <v/>
      </c>
      <c r="CX79" s="8" t="str">
        <f t="shared" si="568"/>
        <v/>
      </c>
      <c r="CY79" s="9" t="str">
        <f t="shared" si="569"/>
        <v/>
      </c>
      <c r="CZ79" s="5" t="str">
        <f t="shared" si="570"/>
        <v/>
      </c>
      <c r="DA79" s="6" t="str">
        <f t="shared" si="571"/>
        <v/>
      </c>
      <c r="DB79" s="4" t="str">
        <f t="shared" si="572"/>
        <v/>
      </c>
      <c r="DC79" s="5" t="str">
        <f t="shared" si="572"/>
        <v/>
      </c>
      <c r="DD79" s="10" t="str">
        <f t="shared" si="573"/>
        <v/>
      </c>
      <c r="DE79" s="9" t="str">
        <f t="shared" si="574"/>
        <v/>
      </c>
      <c r="DF79" s="5" t="str">
        <f t="shared" si="574"/>
        <v/>
      </c>
      <c r="DG79" s="10" t="str">
        <f t="shared" si="575"/>
        <v/>
      </c>
      <c r="DH79" s="72" t="str">
        <f t="shared" si="576"/>
        <v/>
      </c>
      <c r="DI79" s="4" t="str">
        <f t="shared" si="577"/>
        <v/>
      </c>
      <c r="DJ79" s="5" t="str">
        <f t="shared" si="578"/>
        <v/>
      </c>
      <c r="DK79" s="10" t="str">
        <f t="shared" si="579"/>
        <v/>
      </c>
      <c r="DL79" s="9" t="str">
        <f t="shared" si="580"/>
        <v/>
      </c>
      <c r="DM79" s="177" t="str">
        <f t="shared" si="581"/>
        <v/>
      </c>
      <c r="DN79" s="182" t="str">
        <f t="shared" si="582"/>
        <v/>
      </c>
      <c r="DO79" s="9" t="str">
        <f t="shared" si="583"/>
        <v/>
      </c>
      <c r="DP79" s="177" t="str">
        <f t="shared" si="584"/>
        <v/>
      </c>
      <c r="DQ79" s="11" t="str">
        <f t="shared" si="585"/>
        <v/>
      </c>
      <c r="DR79" s="177" t="str">
        <f t="shared" si="586"/>
        <v/>
      </c>
      <c r="DS79" s="5" t="str">
        <f t="shared" si="587"/>
        <v/>
      </c>
      <c r="DT79" s="5" t="str">
        <f t="shared" si="588"/>
        <v/>
      </c>
      <c r="DU79" s="5" t="str">
        <f t="shared" si="589"/>
        <v/>
      </c>
      <c r="DV79" s="5" t="str">
        <f t="shared" si="590"/>
        <v/>
      </c>
      <c r="DW79" s="5" t="str">
        <f t="shared" si="591"/>
        <v/>
      </c>
      <c r="DX79" s="171" t="str">
        <f t="shared" si="592"/>
        <v/>
      </c>
      <c r="DY79" s="9" t="str">
        <f t="shared" si="593"/>
        <v/>
      </c>
      <c r="DZ79" s="5" t="str">
        <f t="shared" si="594"/>
        <v/>
      </c>
      <c r="EA79" s="10" t="str">
        <f t="shared" si="595"/>
        <v/>
      </c>
      <c r="EB79" s="6" t="str">
        <f t="shared" si="596"/>
        <v/>
      </c>
      <c r="EC79" s="177" t="str">
        <f t="shared" si="597"/>
        <v/>
      </c>
      <c r="ED79" s="5" t="str">
        <f t="shared" si="598"/>
        <v/>
      </c>
      <c r="EE79" s="4" t="str">
        <f t="shared" si="599"/>
        <v/>
      </c>
      <c r="EF79" s="5" t="str">
        <f t="shared" si="600"/>
        <v/>
      </c>
      <c r="EG79" s="10" t="str">
        <f t="shared" si="601"/>
        <v/>
      </c>
      <c r="EH79" s="9" t="str">
        <f t="shared" si="602"/>
        <v/>
      </c>
      <c r="EI79" s="5" t="str">
        <f t="shared" si="603"/>
        <v/>
      </c>
      <c r="EJ79" s="6" t="str">
        <f t="shared" si="604"/>
        <v/>
      </c>
      <c r="EK79" s="247" t="str">
        <f t="shared" si="605"/>
        <v/>
      </c>
      <c r="EL79" s="249" t="str">
        <f t="shared" si="606"/>
        <v/>
      </c>
      <c r="EM79" s="4" t="str">
        <f t="shared" si="607"/>
        <v/>
      </c>
      <c r="EN79" s="5" t="str">
        <f t="shared" si="608"/>
        <v/>
      </c>
      <c r="EO79" s="10" t="str">
        <f t="shared" si="609"/>
        <v/>
      </c>
      <c r="EP79" s="9" t="str">
        <f t="shared" si="610"/>
        <v/>
      </c>
      <c r="EQ79" s="5" t="str">
        <f t="shared" si="611"/>
        <v/>
      </c>
      <c r="ER79" s="7" t="str">
        <f t="shared" si="612"/>
        <v/>
      </c>
      <c r="ES79" s="21" t="str">
        <f t="shared" si="488"/>
        <v/>
      </c>
      <c r="ET79" s="5" t="str">
        <f t="shared" si="489"/>
        <v/>
      </c>
      <c r="EU79" s="10" t="str">
        <f t="shared" si="490"/>
        <v/>
      </c>
      <c r="EV79" s="178" t="str">
        <f t="shared" si="491"/>
        <v/>
      </c>
      <c r="EW79" s="9" t="str">
        <f t="shared" si="492"/>
        <v/>
      </c>
      <c r="EX79" s="5" t="str">
        <f t="shared" si="493"/>
        <v/>
      </c>
      <c r="EY79" s="6" t="str">
        <f t="shared" si="613"/>
        <v/>
      </c>
      <c r="EZ79" s="52" t="str">
        <f t="shared" si="614"/>
        <v/>
      </c>
      <c r="FA79" s="177" t="str">
        <f t="shared" si="494"/>
        <v/>
      </c>
      <c r="FB79" s="5" t="str">
        <f t="shared" si="495"/>
        <v/>
      </c>
      <c r="FC79" s="6" t="str">
        <f t="shared" si="496"/>
        <v/>
      </c>
      <c r="FD79" s="4" t="str">
        <f t="shared" si="497"/>
        <v/>
      </c>
      <c r="FE79" s="5" t="str">
        <f t="shared" si="498"/>
        <v/>
      </c>
      <c r="FF79" s="7" t="str">
        <f t="shared" si="615"/>
        <v/>
      </c>
      <c r="FG79" s="177" t="str">
        <f t="shared" si="499"/>
        <v/>
      </c>
      <c r="FH79" s="5" t="str">
        <f t="shared" si="500"/>
        <v/>
      </c>
      <c r="FI79" s="10" t="str">
        <f t="shared" si="501"/>
        <v/>
      </c>
      <c r="FJ79" s="290" t="str">
        <f t="shared" si="616"/>
        <v/>
      </c>
      <c r="FK79" s="4" t="str">
        <f t="shared" si="502"/>
        <v/>
      </c>
      <c r="FL79" s="5" t="str">
        <f t="shared" si="540"/>
        <v/>
      </c>
      <c r="FM79" s="8" t="str">
        <f t="shared" si="541"/>
        <v/>
      </c>
      <c r="FN79" s="9" t="str">
        <f t="shared" si="542"/>
        <v/>
      </c>
      <c r="FO79" s="10" t="str">
        <f t="shared" si="503"/>
        <v/>
      </c>
      <c r="FP79" s="288" t="str">
        <f t="shared" si="543"/>
        <v/>
      </c>
      <c r="FQ79" s="177" t="str">
        <f t="shared" si="617"/>
        <v/>
      </c>
      <c r="FR79" s="10" t="str">
        <f t="shared" si="618"/>
        <v/>
      </c>
      <c r="FS79" s="9" t="str">
        <f t="shared" si="619"/>
        <v/>
      </c>
      <c r="FT79" s="6" t="str">
        <f t="shared" si="620"/>
        <v/>
      </c>
      <c r="FU79" s="4" t="str">
        <f t="shared" si="621"/>
        <v/>
      </c>
      <c r="FV79" s="5" t="str">
        <f t="shared" si="622"/>
        <v/>
      </c>
      <c r="FW79" s="8" t="str">
        <f t="shared" si="623"/>
        <v/>
      </c>
      <c r="FX79" s="9" t="str">
        <f t="shared" si="624"/>
        <v/>
      </c>
      <c r="FY79" s="10" t="str">
        <f t="shared" si="504"/>
        <v/>
      </c>
      <c r="FZ79" s="288" t="str">
        <f t="shared" si="625"/>
        <v/>
      </c>
      <c r="GA79" s="181" t="str">
        <f t="shared" si="626"/>
        <v/>
      </c>
      <c r="GB79" s="4" t="str">
        <f t="shared" si="627"/>
        <v/>
      </c>
      <c r="GC79" s="5" t="str">
        <f t="shared" si="628"/>
        <v/>
      </c>
      <c r="GD79" s="10" t="str">
        <f t="shared" si="629"/>
        <v/>
      </c>
      <c r="GE79" s="324" t="str">
        <f t="shared" si="630"/>
        <v/>
      </c>
      <c r="GF79" s="362" t="str">
        <f t="shared" si="631"/>
        <v/>
      </c>
      <c r="GG79" s="296" t="str">
        <f t="shared" si="505"/>
        <v/>
      </c>
      <c r="GH79" s="297" t="str">
        <f t="shared" si="506"/>
        <v/>
      </c>
      <c r="GI79" s="292" t="str">
        <f t="shared" si="507"/>
        <v/>
      </c>
      <c r="GJ79" s="171" t="str">
        <f t="shared" si="632"/>
        <v/>
      </c>
      <c r="GK79" s="178" t="str">
        <f t="shared" si="508"/>
        <v/>
      </c>
      <c r="GL79" s="178" t="str">
        <f t="shared" si="633"/>
        <v/>
      </c>
      <c r="GM79" s="181" t="str">
        <f t="shared" si="634"/>
        <v/>
      </c>
      <c r="GN79" s="291" t="str">
        <f t="shared" si="635"/>
        <v/>
      </c>
      <c r="GO79" s="4" t="str">
        <f t="shared" si="636"/>
        <v/>
      </c>
      <c r="GP79" s="8" t="str">
        <f t="shared" si="637"/>
        <v/>
      </c>
      <c r="GQ79" s="181" t="str">
        <f t="shared" si="638"/>
        <v/>
      </c>
      <c r="GR79" s="417" t="str">
        <f t="shared" si="639"/>
        <v/>
      </c>
      <c r="GS79" s="363" t="str">
        <f t="shared" si="509"/>
        <v/>
      </c>
      <c r="GT79" s="364" t="str">
        <f t="shared" si="510"/>
        <v/>
      </c>
      <c r="GU79" s="365" t="str">
        <f t="shared" si="511"/>
        <v/>
      </c>
      <c r="GV79" s="364" t="str">
        <f t="shared" si="640"/>
        <v/>
      </c>
      <c r="GW79" s="366" t="str">
        <f t="shared" si="512"/>
        <v/>
      </c>
      <c r="GX79" s="367" t="str">
        <f t="shared" si="513"/>
        <v/>
      </c>
      <c r="GY79" s="365" t="str">
        <f t="shared" si="514"/>
        <v/>
      </c>
      <c r="GZ79" s="366" t="str">
        <f t="shared" si="515"/>
        <v/>
      </c>
      <c r="HA79" s="363" t="str">
        <f t="shared" si="516"/>
        <v/>
      </c>
      <c r="HB79" s="5" t="str">
        <f t="shared" si="641"/>
        <v/>
      </c>
      <c r="HC79" s="364" t="str">
        <f t="shared" si="642"/>
        <v/>
      </c>
      <c r="HD79" s="405" t="str">
        <f t="shared" si="643"/>
        <v/>
      </c>
      <c r="HE79" s="365" t="str">
        <f t="shared" si="517"/>
        <v/>
      </c>
      <c r="HF79" s="5" t="str">
        <f t="shared" si="518"/>
        <v/>
      </c>
      <c r="HG79" s="364" t="str">
        <f t="shared" si="644"/>
        <v/>
      </c>
      <c r="HH79" s="370" t="str">
        <f t="shared" si="645"/>
        <v/>
      </c>
      <c r="HI79" s="335" t="str">
        <f t="shared" si="519"/>
        <v/>
      </c>
      <c r="HK79" s="323" t="str">
        <f t="shared" si="238"/>
        <v/>
      </c>
      <c r="HL79" s="322" t="str">
        <f t="shared" si="544"/>
        <v/>
      </c>
      <c r="HM79" s="369" t="str">
        <f t="shared" ref="HM79:IA88" si="649">IF(ISNUMBER($HL79),VLOOKUP($HL79,$GJ$9:$HI$150,HM$1,FALSE),"")</f>
        <v/>
      </c>
      <c r="HN79" s="384" t="str">
        <f t="shared" si="649"/>
        <v/>
      </c>
      <c r="HO79" s="385" t="str">
        <f t="shared" si="649"/>
        <v/>
      </c>
      <c r="HP79" s="380" t="str">
        <f t="shared" si="649"/>
        <v/>
      </c>
      <c r="HQ79" s="384" t="str">
        <f t="shared" si="649"/>
        <v/>
      </c>
      <c r="HR79" s="395" t="str">
        <f t="shared" si="649"/>
        <v/>
      </c>
      <c r="HS79" s="379" t="str">
        <f t="shared" si="649"/>
        <v/>
      </c>
      <c r="HT79" s="374" t="str">
        <f t="shared" si="649"/>
        <v/>
      </c>
      <c r="HU79" s="375" t="str">
        <f t="shared" si="649"/>
        <v/>
      </c>
      <c r="HV79" s="376" t="str">
        <f t="shared" si="649"/>
        <v/>
      </c>
      <c r="HW79" s="374" t="str">
        <f t="shared" si="649"/>
        <v/>
      </c>
      <c r="HX79" s="375" t="str">
        <f t="shared" si="649"/>
        <v/>
      </c>
      <c r="HY79" s="376" t="str">
        <f t="shared" si="649"/>
        <v/>
      </c>
      <c r="HZ79" s="374" t="str">
        <f t="shared" si="649"/>
        <v/>
      </c>
      <c r="IA79" s="375" t="str">
        <f t="shared" si="649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6"/>
        <v>4.1660000000000004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5"/>
        <v>1613</v>
      </c>
      <c r="IK79" s="533" t="str">
        <f t="shared" si="520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21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22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-1.9212781530025977</v>
      </c>
      <c r="C80" s="708">
        <v>-3.9979189957028245</v>
      </c>
      <c r="D80" s="709">
        <v>-0.10480031607775249</v>
      </c>
      <c r="E80" s="710">
        <v>-6.9252041633873676E-2</v>
      </c>
      <c r="F80" s="708">
        <v>-0.14410462029199472</v>
      </c>
      <c r="G80" s="711">
        <v>0.9871362687795644</v>
      </c>
      <c r="H80" s="710">
        <v>0.26250000000000001</v>
      </c>
      <c r="I80" s="708">
        <v>0.40699999999999997</v>
      </c>
      <c r="J80" s="570">
        <v>4.2240000000000002</v>
      </c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Inactive</v>
      </c>
      <c r="L80" s="1314">
        <f t="shared" ref="L80:L86" si="650">IO80</f>
        <v>30</v>
      </c>
      <c r="M80" s="168">
        <f t="shared" si="467"/>
        <v>4.2240000000000002</v>
      </c>
      <c r="N80" s="632">
        <f t="shared" si="468"/>
        <v>-1.9212781530025977</v>
      </c>
      <c r="O80" s="629">
        <f t="shared" si="469"/>
        <v>-3.9979189957028245</v>
      </c>
      <c r="P80" s="633">
        <f t="shared" si="470"/>
        <v>-0.10480031607775249</v>
      </c>
      <c r="Q80" s="585">
        <f t="shared" si="523"/>
        <v>244.33247771714716</v>
      </c>
      <c r="R80" s="629">
        <f t="shared" si="79"/>
        <v>4.435613377809946</v>
      </c>
      <c r="S80" s="634">
        <f t="shared" si="80"/>
        <v>-0.10480031607775249</v>
      </c>
      <c r="T80" s="635">
        <f t="shared" si="81"/>
        <v>-3.9979189957028249</v>
      </c>
      <c r="U80" s="629">
        <f t="shared" si="82"/>
        <v>1.921278153002598</v>
      </c>
      <c r="V80" s="636">
        <f t="shared" si="114"/>
        <v>-0.10480031607775249</v>
      </c>
      <c r="W80" s="585">
        <f t="shared" si="648"/>
        <v>154.33247771714716</v>
      </c>
      <c r="X80" s="629">
        <f t="shared" si="83"/>
        <v>4.435613377809946</v>
      </c>
      <c r="Y80" s="630">
        <f t="shared" si="647"/>
        <v>-0.10480031607775249</v>
      </c>
      <c r="Z80" s="632">
        <f t="shared" si="471"/>
        <v>6.9252041633873676E-2</v>
      </c>
      <c r="AA80" s="629">
        <f t="shared" si="472"/>
        <v>0.14410462029199472</v>
      </c>
      <c r="AB80" s="629">
        <f t="shared" si="473"/>
        <v>-0.9871362687795644</v>
      </c>
      <c r="AC80" s="636">
        <f t="shared" si="84"/>
        <v>1</v>
      </c>
      <c r="AD80" s="637">
        <f t="shared" si="115"/>
        <v>6.9252041633873676E-2</v>
      </c>
      <c r="AE80" s="629">
        <f t="shared" si="85"/>
        <v>0.14410462029199472</v>
      </c>
      <c r="AF80" s="633">
        <f t="shared" si="86"/>
        <v>-0.9871362687795644</v>
      </c>
      <c r="AG80" s="602">
        <f t="shared" si="87"/>
        <v>8.3055134293472044</v>
      </c>
      <c r="AH80" s="603">
        <f t="shared" si="88"/>
        <v>86.028971895322215</v>
      </c>
      <c r="AI80" s="585">
        <f t="shared" si="89"/>
        <v>-9.1999986716936011</v>
      </c>
      <c r="AJ80" s="586">
        <f t="shared" si="90"/>
        <v>154.33255899245191</v>
      </c>
      <c r="AK80" s="635">
        <f t="shared" si="211"/>
        <v>2.2679489670995867E-7</v>
      </c>
      <c r="AL80" s="629">
        <f t="shared" si="91"/>
        <v>-0.15988116480657849</v>
      </c>
      <c r="AM80" s="634">
        <f t="shared" si="92"/>
        <v>-0.9871362687795644</v>
      </c>
      <c r="AN80" s="581">
        <f t="shared" si="93"/>
        <v>-9.1999986716845363</v>
      </c>
      <c r="AO80" s="582">
        <f t="shared" si="463"/>
        <v>0</v>
      </c>
      <c r="AP80" s="585">
        <f t="shared" si="95"/>
        <v>-89.999918724695235</v>
      </c>
      <c r="AQ80" s="586">
        <f t="shared" si="474"/>
        <v>0.51394594024158335</v>
      </c>
      <c r="AS80" s="52">
        <f t="shared" si="546"/>
        <v>-205.66752228285284</v>
      </c>
      <c r="AT80" s="72">
        <f t="shared" si="475"/>
        <v>3.8024352174228657E-2</v>
      </c>
      <c r="AU80" s="469"/>
      <c r="AV80" s="168" t="str">
        <f t="shared" si="476"/>
        <v/>
      </c>
      <c r="AW80" s="418"/>
      <c r="AX80" s="419"/>
      <c r="AY80" s="420"/>
      <c r="AZ80" s="308" t="str">
        <f t="shared" si="547"/>
        <v/>
      </c>
      <c r="BA80" s="307" t="str">
        <f t="shared" si="477"/>
        <v/>
      </c>
      <c r="BB80" s="181" t="str">
        <f t="shared" si="524"/>
        <v/>
      </c>
      <c r="BC80" s="9"/>
      <c r="BD80" s="5" t="str">
        <f t="shared" si="525"/>
        <v/>
      </c>
      <c r="BE80" s="6" t="str">
        <f t="shared" si="478"/>
        <v/>
      </c>
      <c r="BF80" s="4" t="str">
        <f t="shared" si="479"/>
        <v/>
      </c>
      <c r="BG80" s="5" t="str">
        <f t="shared" si="480"/>
        <v/>
      </c>
      <c r="BH80" s="10" t="str">
        <f t="shared" si="481"/>
        <v/>
      </c>
      <c r="BI80" s="9" t="str">
        <f t="shared" si="548"/>
        <v/>
      </c>
      <c r="BJ80" s="5" t="str">
        <f t="shared" si="482"/>
        <v/>
      </c>
      <c r="BK80" s="8" t="str">
        <f t="shared" si="483"/>
        <v/>
      </c>
      <c r="BL80" s="177" t="str">
        <f t="shared" si="484"/>
        <v/>
      </c>
      <c r="BM80" s="5" t="str">
        <f t="shared" si="485"/>
        <v/>
      </c>
      <c r="BN80" s="6" t="str">
        <f t="shared" si="486"/>
        <v/>
      </c>
      <c r="BO80" s="4" t="str">
        <f t="shared" si="549"/>
        <v/>
      </c>
      <c r="BP80" s="5" t="str">
        <f t="shared" si="550"/>
        <v/>
      </c>
      <c r="BQ80" s="5" t="str">
        <f t="shared" si="551"/>
        <v/>
      </c>
      <c r="BR80" s="6" t="str">
        <f t="shared" si="552"/>
        <v/>
      </c>
      <c r="BS80" s="4" t="str">
        <f t="shared" si="526"/>
        <v/>
      </c>
      <c r="BT80" s="5" t="str">
        <f t="shared" si="526"/>
        <v/>
      </c>
      <c r="BU80" s="10" t="str">
        <f t="shared" si="527"/>
        <v/>
      </c>
      <c r="BV80" s="9" t="str">
        <f t="shared" si="528"/>
        <v/>
      </c>
      <c r="BW80" s="5" t="str">
        <f t="shared" si="529"/>
        <v/>
      </c>
      <c r="BX80" s="8" t="str">
        <f t="shared" si="530"/>
        <v/>
      </c>
      <c r="BY80" s="177" t="str">
        <f t="shared" si="531"/>
        <v/>
      </c>
      <c r="BZ80" s="5" t="str">
        <f t="shared" si="532"/>
        <v/>
      </c>
      <c r="CA80" s="6" t="str">
        <f t="shared" si="533"/>
        <v/>
      </c>
      <c r="CB80" s="4" t="str">
        <f t="shared" si="553"/>
        <v/>
      </c>
      <c r="CC80" s="5" t="str">
        <f t="shared" si="554"/>
        <v/>
      </c>
      <c r="CD80" s="5" t="str">
        <f t="shared" si="555"/>
        <v/>
      </c>
      <c r="CE80" s="6" t="str">
        <f t="shared" si="556"/>
        <v/>
      </c>
      <c r="CF80" s="4" t="str">
        <f t="shared" si="557"/>
        <v/>
      </c>
      <c r="CG80" s="5" t="str">
        <f t="shared" si="558"/>
        <v/>
      </c>
      <c r="CH80" s="5" t="str">
        <f t="shared" si="559"/>
        <v/>
      </c>
      <c r="CI80" s="4" t="str">
        <f t="shared" si="534"/>
        <v/>
      </c>
      <c r="CJ80" s="5" t="str">
        <f t="shared" si="535"/>
        <v/>
      </c>
      <c r="CK80" s="8" t="str">
        <f t="shared" si="536"/>
        <v/>
      </c>
      <c r="CL80" s="177" t="str">
        <f t="shared" si="537"/>
        <v/>
      </c>
      <c r="CM80" s="5" t="str">
        <f t="shared" si="538"/>
        <v/>
      </c>
      <c r="CN80" s="6" t="str">
        <f t="shared" si="539"/>
        <v/>
      </c>
      <c r="CO80" s="171" t="str">
        <f t="shared" si="487"/>
        <v/>
      </c>
      <c r="CP80" s="4" t="str">
        <f t="shared" si="560"/>
        <v/>
      </c>
      <c r="CQ80" s="5" t="str">
        <f t="shared" si="561"/>
        <v/>
      </c>
      <c r="CR80" s="5" t="str">
        <f t="shared" si="562"/>
        <v/>
      </c>
      <c r="CS80" s="8" t="str">
        <f t="shared" si="563"/>
        <v/>
      </c>
      <c r="CT80" s="9" t="str">
        <f t="shared" si="564"/>
        <v/>
      </c>
      <c r="CU80" s="6" t="str">
        <f t="shared" si="565"/>
        <v/>
      </c>
      <c r="CV80" s="4" t="str">
        <f t="shared" si="566"/>
        <v/>
      </c>
      <c r="CW80" s="5" t="str">
        <f t="shared" si="567"/>
        <v/>
      </c>
      <c r="CX80" s="8" t="str">
        <f t="shared" si="568"/>
        <v/>
      </c>
      <c r="CY80" s="9" t="str">
        <f t="shared" si="569"/>
        <v/>
      </c>
      <c r="CZ80" s="5" t="str">
        <f t="shared" si="570"/>
        <v/>
      </c>
      <c r="DA80" s="6" t="str">
        <f t="shared" si="571"/>
        <v/>
      </c>
      <c r="DB80" s="4" t="str">
        <f t="shared" si="572"/>
        <v/>
      </c>
      <c r="DC80" s="5" t="str">
        <f t="shared" si="572"/>
        <v/>
      </c>
      <c r="DD80" s="10" t="str">
        <f t="shared" si="573"/>
        <v/>
      </c>
      <c r="DE80" s="9" t="str">
        <f t="shared" si="574"/>
        <v/>
      </c>
      <c r="DF80" s="5" t="str">
        <f t="shared" si="574"/>
        <v/>
      </c>
      <c r="DG80" s="10" t="str">
        <f t="shared" si="575"/>
        <v/>
      </c>
      <c r="DH80" s="72" t="str">
        <f t="shared" si="576"/>
        <v/>
      </c>
      <c r="DI80" s="4" t="str">
        <f t="shared" si="577"/>
        <v/>
      </c>
      <c r="DJ80" s="5" t="str">
        <f t="shared" si="578"/>
        <v/>
      </c>
      <c r="DK80" s="10" t="str">
        <f t="shared" si="579"/>
        <v/>
      </c>
      <c r="DL80" s="9" t="str">
        <f t="shared" si="580"/>
        <v/>
      </c>
      <c r="DM80" s="177" t="str">
        <f t="shared" si="581"/>
        <v/>
      </c>
      <c r="DN80" s="182" t="str">
        <f t="shared" si="582"/>
        <v/>
      </c>
      <c r="DO80" s="9" t="str">
        <f t="shared" si="583"/>
        <v/>
      </c>
      <c r="DP80" s="177" t="str">
        <f t="shared" si="584"/>
        <v/>
      </c>
      <c r="DQ80" s="11" t="str">
        <f t="shared" si="585"/>
        <v/>
      </c>
      <c r="DR80" s="177" t="str">
        <f t="shared" si="586"/>
        <v/>
      </c>
      <c r="DS80" s="5" t="str">
        <f t="shared" si="587"/>
        <v/>
      </c>
      <c r="DT80" s="5" t="str">
        <f t="shared" si="588"/>
        <v/>
      </c>
      <c r="DU80" s="5" t="str">
        <f t="shared" si="589"/>
        <v/>
      </c>
      <c r="DV80" s="5" t="str">
        <f t="shared" si="590"/>
        <v/>
      </c>
      <c r="DW80" s="5" t="str">
        <f t="shared" si="591"/>
        <v/>
      </c>
      <c r="DX80" s="171" t="str">
        <f t="shared" si="592"/>
        <v/>
      </c>
      <c r="DY80" s="9" t="str">
        <f t="shared" si="593"/>
        <v/>
      </c>
      <c r="DZ80" s="5" t="str">
        <f t="shared" si="594"/>
        <v/>
      </c>
      <c r="EA80" s="10" t="str">
        <f t="shared" si="595"/>
        <v/>
      </c>
      <c r="EB80" s="6" t="str">
        <f t="shared" si="596"/>
        <v/>
      </c>
      <c r="EC80" s="177" t="str">
        <f t="shared" si="597"/>
        <v/>
      </c>
      <c r="ED80" s="5" t="str">
        <f t="shared" si="598"/>
        <v/>
      </c>
      <c r="EE80" s="4" t="str">
        <f t="shared" si="599"/>
        <v/>
      </c>
      <c r="EF80" s="5" t="str">
        <f t="shared" si="600"/>
        <v/>
      </c>
      <c r="EG80" s="10" t="str">
        <f t="shared" si="601"/>
        <v/>
      </c>
      <c r="EH80" s="9" t="str">
        <f t="shared" si="602"/>
        <v/>
      </c>
      <c r="EI80" s="5" t="str">
        <f t="shared" si="603"/>
        <v/>
      </c>
      <c r="EJ80" s="6" t="str">
        <f t="shared" si="604"/>
        <v/>
      </c>
      <c r="EK80" s="247" t="str">
        <f t="shared" si="605"/>
        <v/>
      </c>
      <c r="EL80" s="249" t="str">
        <f t="shared" si="606"/>
        <v/>
      </c>
      <c r="EM80" s="4" t="str">
        <f t="shared" si="607"/>
        <v/>
      </c>
      <c r="EN80" s="5" t="str">
        <f t="shared" si="608"/>
        <v/>
      </c>
      <c r="EO80" s="10" t="str">
        <f t="shared" si="609"/>
        <v/>
      </c>
      <c r="EP80" s="9" t="str">
        <f t="shared" si="610"/>
        <v/>
      </c>
      <c r="EQ80" s="5" t="str">
        <f t="shared" si="611"/>
        <v/>
      </c>
      <c r="ER80" s="7" t="str">
        <f t="shared" si="612"/>
        <v/>
      </c>
      <c r="ES80" s="21" t="str">
        <f t="shared" si="488"/>
        <v/>
      </c>
      <c r="ET80" s="5" t="str">
        <f t="shared" si="489"/>
        <v/>
      </c>
      <c r="EU80" s="10" t="str">
        <f t="shared" si="490"/>
        <v/>
      </c>
      <c r="EV80" s="178" t="str">
        <f t="shared" si="491"/>
        <v/>
      </c>
      <c r="EW80" s="9" t="str">
        <f t="shared" si="492"/>
        <v/>
      </c>
      <c r="EX80" s="5" t="str">
        <f t="shared" si="493"/>
        <v/>
      </c>
      <c r="EY80" s="6" t="str">
        <f t="shared" si="613"/>
        <v/>
      </c>
      <c r="EZ80" s="52" t="str">
        <f t="shared" si="614"/>
        <v/>
      </c>
      <c r="FA80" s="177" t="str">
        <f t="shared" si="494"/>
        <v/>
      </c>
      <c r="FB80" s="5" t="str">
        <f t="shared" si="495"/>
        <v/>
      </c>
      <c r="FC80" s="6" t="str">
        <f t="shared" si="496"/>
        <v/>
      </c>
      <c r="FD80" s="4" t="str">
        <f t="shared" si="497"/>
        <v/>
      </c>
      <c r="FE80" s="5" t="str">
        <f t="shared" si="498"/>
        <v/>
      </c>
      <c r="FF80" s="7" t="str">
        <f t="shared" si="615"/>
        <v/>
      </c>
      <c r="FG80" s="177" t="str">
        <f t="shared" si="499"/>
        <v/>
      </c>
      <c r="FH80" s="5" t="str">
        <f t="shared" si="500"/>
        <v/>
      </c>
      <c r="FI80" s="10" t="str">
        <f t="shared" si="501"/>
        <v/>
      </c>
      <c r="FJ80" s="290" t="str">
        <f t="shared" si="616"/>
        <v/>
      </c>
      <c r="FK80" s="4" t="str">
        <f t="shared" si="502"/>
        <v/>
      </c>
      <c r="FL80" s="5" t="str">
        <f t="shared" si="540"/>
        <v/>
      </c>
      <c r="FM80" s="8" t="str">
        <f t="shared" si="541"/>
        <v/>
      </c>
      <c r="FN80" s="9" t="str">
        <f t="shared" si="542"/>
        <v/>
      </c>
      <c r="FO80" s="10" t="str">
        <f t="shared" si="503"/>
        <v/>
      </c>
      <c r="FP80" s="288" t="str">
        <f t="shared" si="543"/>
        <v/>
      </c>
      <c r="FQ80" s="177" t="str">
        <f t="shared" si="617"/>
        <v/>
      </c>
      <c r="FR80" s="10" t="str">
        <f t="shared" si="618"/>
        <v/>
      </c>
      <c r="FS80" s="9" t="str">
        <f t="shared" si="619"/>
        <v/>
      </c>
      <c r="FT80" s="6" t="str">
        <f t="shared" si="620"/>
        <v/>
      </c>
      <c r="FU80" s="4" t="str">
        <f t="shared" si="621"/>
        <v/>
      </c>
      <c r="FV80" s="5" t="str">
        <f t="shared" si="622"/>
        <v/>
      </c>
      <c r="FW80" s="8" t="str">
        <f t="shared" si="623"/>
        <v/>
      </c>
      <c r="FX80" s="9" t="str">
        <f t="shared" si="624"/>
        <v/>
      </c>
      <c r="FY80" s="10" t="str">
        <f t="shared" si="504"/>
        <v/>
      </c>
      <c r="FZ80" s="288" t="str">
        <f t="shared" si="625"/>
        <v/>
      </c>
      <c r="GA80" s="181" t="str">
        <f t="shared" si="626"/>
        <v/>
      </c>
      <c r="GB80" s="4" t="str">
        <f t="shared" si="627"/>
        <v/>
      </c>
      <c r="GC80" s="5" t="str">
        <f t="shared" si="628"/>
        <v/>
      </c>
      <c r="GD80" s="10" t="str">
        <f t="shared" si="629"/>
        <v/>
      </c>
      <c r="GE80" s="324" t="str">
        <f t="shared" si="630"/>
        <v/>
      </c>
      <c r="GF80" s="362" t="str">
        <f t="shared" si="631"/>
        <v/>
      </c>
      <c r="GG80" s="296" t="str">
        <f t="shared" si="505"/>
        <v/>
      </c>
      <c r="GH80" s="297" t="str">
        <f t="shared" si="506"/>
        <v/>
      </c>
      <c r="GI80" s="292" t="str">
        <f t="shared" si="507"/>
        <v/>
      </c>
      <c r="GJ80" s="171" t="str">
        <f t="shared" si="632"/>
        <v/>
      </c>
      <c r="GK80" s="178" t="str">
        <f t="shared" si="508"/>
        <v/>
      </c>
      <c r="GL80" s="178" t="str">
        <f t="shared" si="633"/>
        <v/>
      </c>
      <c r="GM80" s="181" t="str">
        <f t="shared" si="634"/>
        <v/>
      </c>
      <c r="GN80" s="291" t="str">
        <f t="shared" si="635"/>
        <v/>
      </c>
      <c r="GO80" s="4" t="str">
        <f t="shared" si="636"/>
        <v/>
      </c>
      <c r="GP80" s="8" t="str">
        <f t="shared" si="637"/>
        <v/>
      </c>
      <c r="GQ80" s="181" t="str">
        <f t="shared" si="638"/>
        <v/>
      </c>
      <c r="GR80" s="417" t="str">
        <f t="shared" si="639"/>
        <v/>
      </c>
      <c r="GS80" s="363" t="str">
        <f t="shared" si="509"/>
        <v/>
      </c>
      <c r="GT80" s="364" t="str">
        <f t="shared" si="510"/>
        <v/>
      </c>
      <c r="GU80" s="365" t="str">
        <f t="shared" si="511"/>
        <v/>
      </c>
      <c r="GV80" s="364" t="str">
        <f t="shared" si="640"/>
        <v/>
      </c>
      <c r="GW80" s="366" t="str">
        <f t="shared" si="512"/>
        <v/>
      </c>
      <c r="GX80" s="367" t="str">
        <f t="shared" si="513"/>
        <v/>
      </c>
      <c r="GY80" s="365" t="str">
        <f t="shared" si="514"/>
        <v/>
      </c>
      <c r="GZ80" s="366" t="str">
        <f t="shared" si="515"/>
        <v/>
      </c>
      <c r="HA80" s="363" t="str">
        <f t="shared" si="516"/>
        <v/>
      </c>
      <c r="HB80" s="5" t="str">
        <f t="shared" si="641"/>
        <v/>
      </c>
      <c r="HC80" s="364" t="str">
        <f t="shared" si="642"/>
        <v/>
      </c>
      <c r="HD80" s="405" t="str">
        <f t="shared" si="643"/>
        <v/>
      </c>
      <c r="HE80" s="365" t="str">
        <f t="shared" si="517"/>
        <v/>
      </c>
      <c r="HF80" s="5" t="str">
        <f t="shared" si="518"/>
        <v/>
      </c>
      <c r="HG80" s="364" t="str">
        <f t="shared" si="644"/>
        <v/>
      </c>
      <c r="HH80" s="370" t="str">
        <f t="shared" si="645"/>
        <v/>
      </c>
      <c r="HI80" s="335" t="str">
        <f t="shared" si="519"/>
        <v/>
      </c>
      <c r="HK80" s="323" t="str">
        <f t="shared" si="238"/>
        <v/>
      </c>
      <c r="HL80" s="322" t="str">
        <f t="shared" si="544"/>
        <v/>
      </c>
      <c r="HM80" s="369" t="str">
        <f t="shared" si="649"/>
        <v/>
      </c>
      <c r="HN80" s="384" t="str">
        <f t="shared" si="649"/>
        <v/>
      </c>
      <c r="HO80" s="385" t="str">
        <f t="shared" si="649"/>
        <v/>
      </c>
      <c r="HP80" s="380" t="str">
        <f t="shared" si="649"/>
        <v/>
      </c>
      <c r="HQ80" s="384" t="str">
        <f t="shared" si="649"/>
        <v/>
      </c>
      <c r="HR80" s="395" t="str">
        <f t="shared" si="649"/>
        <v/>
      </c>
      <c r="HS80" s="379" t="str">
        <f t="shared" si="649"/>
        <v/>
      </c>
      <c r="HT80" s="374" t="str">
        <f t="shared" si="649"/>
        <v/>
      </c>
      <c r="HU80" s="375" t="str">
        <f t="shared" si="649"/>
        <v/>
      </c>
      <c r="HV80" s="376" t="str">
        <f t="shared" si="649"/>
        <v/>
      </c>
      <c r="HW80" s="374" t="str">
        <f t="shared" si="649"/>
        <v/>
      </c>
      <c r="HX80" s="375" t="str">
        <f t="shared" si="649"/>
        <v/>
      </c>
      <c r="HY80" s="376" t="str">
        <f t="shared" si="649"/>
        <v/>
      </c>
      <c r="HZ80" s="374" t="str">
        <f t="shared" si="649"/>
        <v/>
      </c>
      <c r="IA80" s="375" t="str">
        <f t="shared" si="649"/>
        <v/>
      </c>
      <c r="IE80" s="849" t="str">
        <f>IFERROR(IF($IU80="","",IF($IU80&lt;(((Settings!$C$19/2)*-1)*$IE$8),"Taper","Nose")),"")</f>
        <v>Nose</v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6"/>
        <v>4.2240000000000002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4.1239999999999997</v>
      </c>
      <c r="II80" s="734" cm="1">
        <f t="array" ref="II80">IFERROR(ROUND(VALUE(IF($IH80&lt;1,$IH80+LARGE((IF($M$9:$M$150="",0,$M$9:$M$150)-MOD(IF($M$9:$M$150="",0,$M$9:$M$150),1)),1),$IH80)),4),"")</f>
        <v>4.1239999999999997</v>
      </c>
      <c r="IJ80" s="533">
        <f t="shared" si="545"/>
        <v>1613</v>
      </c>
      <c r="IK80" s="533" t="str">
        <f t="shared" si="520"/>
        <v>Inactive</v>
      </c>
      <c r="IL80" s="727">
        <f t="shared" si="225"/>
        <v>15.443097770292553</v>
      </c>
      <c r="IM80" s="759">
        <v>3.5213043113850001E-3</v>
      </c>
      <c r="IN80" s="5">
        <f t="shared" si="226"/>
        <v>0.06</v>
      </c>
      <c r="IO80" s="771">
        <v>30</v>
      </c>
      <c r="IP80" s="9">
        <f t="shared" si="227"/>
        <v>-4.4294133591106917</v>
      </c>
      <c r="IQ80" s="5">
        <f t="shared" si="228"/>
        <v>-0.13290040082760923</v>
      </c>
      <c r="IR80" s="5">
        <f t="shared" si="521"/>
        <v>0.314</v>
      </c>
      <c r="IS80" s="5">
        <f t="shared" si="229"/>
        <v>0.29474107787045845</v>
      </c>
      <c r="IT80" s="727">
        <f t="shared" si="230"/>
        <v>16.989358624313187</v>
      </c>
      <c r="IU80" s="9">
        <f t="shared" si="231"/>
        <v>-4.435613377809946</v>
      </c>
      <c r="IV80" s="5">
        <f t="shared" si="232"/>
        <v>-0.10480031607775249</v>
      </c>
      <c r="IW80" s="5">
        <f t="shared" si="522"/>
        <v>0.26250000000000001</v>
      </c>
      <c r="IX80" s="5">
        <f t="shared" si="233"/>
        <v>0.26250000000000001</v>
      </c>
      <c r="IY80" s="762">
        <f t="shared" si="234"/>
        <v>9.1999986716845363</v>
      </c>
    </row>
    <row r="81" spans="1:259" ht="15" customHeight="1" x14ac:dyDescent="0.25">
      <c r="A81" s="79"/>
      <c r="B81" s="707">
        <v>-2.296387037929176</v>
      </c>
      <c r="C81" s="708">
        <v>-4.6248818755246806</v>
      </c>
      <c r="D81" s="709">
        <v>-0.36310109511290395</v>
      </c>
      <c r="E81" s="710">
        <v>-0.14552163648922953</v>
      </c>
      <c r="F81" s="708">
        <v>-0.29307844847630865</v>
      </c>
      <c r="G81" s="711">
        <v>0.94494892790680307</v>
      </c>
      <c r="H81" s="710">
        <v>0.26250000000000001</v>
      </c>
      <c r="I81" s="708">
        <v>0.40699999999999997</v>
      </c>
      <c r="J81" s="570">
        <v>4.2300000000000004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1314">
        <f t="shared" si="650"/>
        <v>10</v>
      </c>
      <c r="M81" s="168">
        <f t="shared" si="467"/>
        <v>4.2300000000000004</v>
      </c>
      <c r="N81" s="632">
        <f t="shared" si="468"/>
        <v>-2.296387037929176</v>
      </c>
      <c r="O81" s="629">
        <f t="shared" si="469"/>
        <v>-4.6248818755246806</v>
      </c>
      <c r="P81" s="633">
        <f t="shared" si="470"/>
        <v>-0.36310109511290395</v>
      </c>
      <c r="Q81" s="585">
        <f t="shared" si="523"/>
        <v>243.59427782373001</v>
      </c>
      <c r="R81" s="629">
        <f t="shared" si="79"/>
        <v>5.1636155734645683</v>
      </c>
      <c r="S81" s="634">
        <f t="shared" si="80"/>
        <v>-0.36310109511290395</v>
      </c>
      <c r="T81" s="635">
        <f t="shared" si="81"/>
        <v>-4.6248818755246788</v>
      </c>
      <c r="U81" s="629">
        <f t="shared" si="82"/>
        <v>2.2963870379291795</v>
      </c>
      <c r="V81" s="636">
        <f t="shared" si="114"/>
        <v>-0.36310109511290395</v>
      </c>
      <c r="W81" s="585">
        <f t="shared" si="648"/>
        <v>153.59427782373001</v>
      </c>
      <c r="X81" s="629">
        <f t="shared" si="83"/>
        <v>5.1636155734645683</v>
      </c>
      <c r="Y81" s="630">
        <f t="shared" si="647"/>
        <v>-0.36310109511290395</v>
      </c>
      <c r="Z81" s="632">
        <f t="shared" si="471"/>
        <v>0.14552163648922953</v>
      </c>
      <c r="AA81" s="629">
        <f t="shared" si="472"/>
        <v>0.29307844847630865</v>
      </c>
      <c r="AB81" s="629">
        <f t="shared" si="473"/>
        <v>-0.94494892790680307</v>
      </c>
      <c r="AC81" s="636">
        <f t="shared" si="84"/>
        <v>1</v>
      </c>
      <c r="AD81" s="637">
        <f t="shared" si="115"/>
        <v>0.14552163648922953</v>
      </c>
      <c r="AE81" s="629">
        <f t="shared" si="85"/>
        <v>0.29307844847630865</v>
      </c>
      <c r="AF81" s="633">
        <f t="shared" si="86"/>
        <v>-0.94494892790680307</v>
      </c>
      <c r="AG81" s="602">
        <f t="shared" si="87"/>
        <v>17.23141712990493</v>
      </c>
      <c r="AH81" s="603">
        <f t="shared" si="88"/>
        <v>81.632512837479325</v>
      </c>
      <c r="AI81" s="585">
        <f t="shared" si="89"/>
        <v>-19.099997242305836</v>
      </c>
      <c r="AJ81" s="586">
        <f t="shared" si="90"/>
        <v>153.59431753547025</v>
      </c>
      <c r="AK81" s="635">
        <f t="shared" si="211"/>
        <v>2.2679489691812549E-7</v>
      </c>
      <c r="AL81" s="629">
        <f t="shared" si="91"/>
        <v>-0.32721785349783761</v>
      </c>
      <c r="AM81" s="634">
        <f t="shared" si="92"/>
        <v>-0.94494892790680307</v>
      </c>
      <c r="AN81" s="581">
        <f t="shared" si="93"/>
        <v>-19.099997242301598</v>
      </c>
      <c r="AO81" s="582">
        <f t="shared" si="463"/>
        <v>0</v>
      </c>
      <c r="AP81" s="585">
        <f t="shared" si="95"/>
        <v>-89.999960288259729</v>
      </c>
      <c r="AQ81" s="586">
        <f t="shared" si="474"/>
        <v>0.44148939451759933</v>
      </c>
      <c r="AS81" s="52">
        <f t="shared" si="546"/>
        <v>-206.40572217626999</v>
      </c>
      <c r="AT81" s="72">
        <f t="shared" si="475"/>
        <v>-0.21976378804604979</v>
      </c>
      <c r="AU81" s="469"/>
      <c r="AV81" s="168" t="str">
        <f t="shared" si="476"/>
        <v/>
      </c>
      <c r="AW81" s="418"/>
      <c r="AX81" s="419"/>
      <c r="AY81" s="420"/>
      <c r="AZ81" s="308" t="str">
        <f t="shared" si="547"/>
        <v/>
      </c>
      <c r="BA81" s="307" t="str">
        <f t="shared" si="477"/>
        <v/>
      </c>
      <c r="BB81" s="181" t="str">
        <f t="shared" si="524"/>
        <v/>
      </c>
      <c r="BC81" s="9"/>
      <c r="BD81" s="5" t="str">
        <f t="shared" si="525"/>
        <v/>
      </c>
      <c r="BE81" s="6" t="str">
        <f t="shared" si="478"/>
        <v/>
      </c>
      <c r="BF81" s="4" t="str">
        <f t="shared" si="479"/>
        <v/>
      </c>
      <c r="BG81" s="5" t="str">
        <f t="shared" si="480"/>
        <v/>
      </c>
      <c r="BH81" s="10" t="str">
        <f t="shared" si="481"/>
        <v/>
      </c>
      <c r="BI81" s="9" t="str">
        <f t="shared" si="548"/>
        <v/>
      </c>
      <c r="BJ81" s="5" t="str">
        <f t="shared" si="482"/>
        <v/>
      </c>
      <c r="BK81" s="8" t="str">
        <f t="shared" si="483"/>
        <v/>
      </c>
      <c r="BL81" s="177" t="str">
        <f t="shared" si="484"/>
        <v/>
      </c>
      <c r="BM81" s="5" t="str">
        <f t="shared" si="485"/>
        <v/>
      </c>
      <c r="BN81" s="6" t="str">
        <f t="shared" si="486"/>
        <v/>
      </c>
      <c r="BO81" s="4" t="str">
        <f t="shared" si="549"/>
        <v/>
      </c>
      <c r="BP81" s="5" t="str">
        <f t="shared" si="550"/>
        <v/>
      </c>
      <c r="BQ81" s="5" t="str">
        <f t="shared" si="551"/>
        <v/>
      </c>
      <c r="BR81" s="6" t="str">
        <f t="shared" si="552"/>
        <v/>
      </c>
      <c r="BS81" s="4" t="str">
        <f t="shared" si="526"/>
        <v/>
      </c>
      <c r="BT81" s="5" t="str">
        <f t="shared" si="526"/>
        <v/>
      </c>
      <c r="BU81" s="10" t="str">
        <f t="shared" si="527"/>
        <v/>
      </c>
      <c r="BV81" s="9" t="str">
        <f t="shared" si="528"/>
        <v/>
      </c>
      <c r="BW81" s="5" t="str">
        <f t="shared" si="529"/>
        <v/>
      </c>
      <c r="BX81" s="8" t="str">
        <f t="shared" si="530"/>
        <v/>
      </c>
      <c r="BY81" s="177" t="str">
        <f t="shared" si="531"/>
        <v/>
      </c>
      <c r="BZ81" s="5" t="str">
        <f t="shared" si="532"/>
        <v/>
      </c>
      <c r="CA81" s="6" t="str">
        <f t="shared" si="533"/>
        <v/>
      </c>
      <c r="CB81" s="4" t="str">
        <f t="shared" si="553"/>
        <v/>
      </c>
      <c r="CC81" s="5" t="str">
        <f t="shared" si="554"/>
        <v/>
      </c>
      <c r="CD81" s="5" t="str">
        <f t="shared" si="555"/>
        <v/>
      </c>
      <c r="CE81" s="6" t="str">
        <f t="shared" si="556"/>
        <v/>
      </c>
      <c r="CF81" s="4" t="str">
        <f t="shared" si="557"/>
        <v/>
      </c>
      <c r="CG81" s="5" t="str">
        <f t="shared" si="558"/>
        <v/>
      </c>
      <c r="CH81" s="5" t="str">
        <f t="shared" si="559"/>
        <v/>
      </c>
      <c r="CI81" s="4" t="str">
        <f t="shared" si="534"/>
        <v/>
      </c>
      <c r="CJ81" s="5" t="str">
        <f t="shared" si="535"/>
        <v/>
      </c>
      <c r="CK81" s="8" t="str">
        <f t="shared" si="536"/>
        <v/>
      </c>
      <c r="CL81" s="177" t="str">
        <f t="shared" si="537"/>
        <v/>
      </c>
      <c r="CM81" s="5" t="str">
        <f t="shared" si="538"/>
        <v/>
      </c>
      <c r="CN81" s="6" t="str">
        <f t="shared" si="539"/>
        <v/>
      </c>
      <c r="CO81" s="171" t="str">
        <f t="shared" si="487"/>
        <v/>
      </c>
      <c r="CP81" s="4" t="str">
        <f t="shared" si="560"/>
        <v/>
      </c>
      <c r="CQ81" s="5" t="str">
        <f t="shared" si="561"/>
        <v/>
      </c>
      <c r="CR81" s="5" t="str">
        <f t="shared" si="562"/>
        <v/>
      </c>
      <c r="CS81" s="8" t="str">
        <f t="shared" si="563"/>
        <v/>
      </c>
      <c r="CT81" s="9" t="str">
        <f t="shared" si="564"/>
        <v/>
      </c>
      <c r="CU81" s="6" t="str">
        <f t="shared" si="565"/>
        <v/>
      </c>
      <c r="CV81" s="4" t="str">
        <f t="shared" si="566"/>
        <v/>
      </c>
      <c r="CW81" s="5" t="str">
        <f t="shared" si="567"/>
        <v/>
      </c>
      <c r="CX81" s="8" t="str">
        <f t="shared" si="568"/>
        <v/>
      </c>
      <c r="CY81" s="9" t="str">
        <f t="shared" si="569"/>
        <v/>
      </c>
      <c r="CZ81" s="5" t="str">
        <f t="shared" si="570"/>
        <v/>
      </c>
      <c r="DA81" s="6" t="str">
        <f t="shared" si="571"/>
        <v/>
      </c>
      <c r="DB81" s="4" t="str">
        <f t="shared" si="572"/>
        <v/>
      </c>
      <c r="DC81" s="5" t="str">
        <f t="shared" si="572"/>
        <v/>
      </c>
      <c r="DD81" s="10" t="str">
        <f t="shared" si="573"/>
        <v/>
      </c>
      <c r="DE81" s="9" t="str">
        <f t="shared" si="574"/>
        <v/>
      </c>
      <c r="DF81" s="5" t="str">
        <f t="shared" si="574"/>
        <v/>
      </c>
      <c r="DG81" s="10" t="str">
        <f t="shared" si="575"/>
        <v/>
      </c>
      <c r="DH81" s="72" t="str">
        <f t="shared" si="576"/>
        <v/>
      </c>
      <c r="DI81" s="4" t="str">
        <f t="shared" si="577"/>
        <v/>
      </c>
      <c r="DJ81" s="5" t="str">
        <f t="shared" si="578"/>
        <v/>
      </c>
      <c r="DK81" s="10" t="str">
        <f t="shared" si="579"/>
        <v/>
      </c>
      <c r="DL81" s="9" t="str">
        <f t="shared" si="580"/>
        <v/>
      </c>
      <c r="DM81" s="177" t="str">
        <f t="shared" si="581"/>
        <v/>
      </c>
      <c r="DN81" s="182" t="str">
        <f t="shared" si="582"/>
        <v/>
      </c>
      <c r="DO81" s="9" t="str">
        <f t="shared" si="583"/>
        <v/>
      </c>
      <c r="DP81" s="177" t="str">
        <f t="shared" si="584"/>
        <v/>
      </c>
      <c r="DQ81" s="11" t="str">
        <f t="shared" si="585"/>
        <v/>
      </c>
      <c r="DR81" s="177" t="str">
        <f t="shared" si="586"/>
        <v/>
      </c>
      <c r="DS81" s="5" t="str">
        <f t="shared" si="587"/>
        <v/>
      </c>
      <c r="DT81" s="5" t="str">
        <f t="shared" si="588"/>
        <v/>
      </c>
      <c r="DU81" s="5" t="str">
        <f t="shared" si="589"/>
        <v/>
      </c>
      <c r="DV81" s="5" t="str">
        <f t="shared" si="590"/>
        <v/>
      </c>
      <c r="DW81" s="5" t="str">
        <f t="shared" si="591"/>
        <v/>
      </c>
      <c r="DX81" s="171" t="str">
        <f t="shared" si="592"/>
        <v/>
      </c>
      <c r="DY81" s="9" t="str">
        <f t="shared" si="593"/>
        <v/>
      </c>
      <c r="DZ81" s="5" t="str">
        <f t="shared" si="594"/>
        <v/>
      </c>
      <c r="EA81" s="10" t="str">
        <f t="shared" si="595"/>
        <v/>
      </c>
      <c r="EB81" s="6" t="str">
        <f t="shared" si="596"/>
        <v/>
      </c>
      <c r="EC81" s="177" t="str">
        <f t="shared" si="597"/>
        <v/>
      </c>
      <c r="ED81" s="5" t="str">
        <f t="shared" si="598"/>
        <v/>
      </c>
      <c r="EE81" s="4" t="str">
        <f t="shared" si="599"/>
        <v/>
      </c>
      <c r="EF81" s="5" t="str">
        <f t="shared" si="600"/>
        <v/>
      </c>
      <c r="EG81" s="10" t="str">
        <f t="shared" si="601"/>
        <v/>
      </c>
      <c r="EH81" s="9" t="str">
        <f t="shared" si="602"/>
        <v/>
      </c>
      <c r="EI81" s="5" t="str">
        <f t="shared" si="603"/>
        <v/>
      </c>
      <c r="EJ81" s="6" t="str">
        <f t="shared" si="604"/>
        <v/>
      </c>
      <c r="EK81" s="247" t="str">
        <f t="shared" si="605"/>
        <v/>
      </c>
      <c r="EL81" s="249" t="str">
        <f t="shared" si="606"/>
        <v/>
      </c>
      <c r="EM81" s="4" t="str">
        <f t="shared" si="607"/>
        <v/>
      </c>
      <c r="EN81" s="5" t="str">
        <f t="shared" si="608"/>
        <v/>
      </c>
      <c r="EO81" s="10" t="str">
        <f t="shared" si="609"/>
        <v/>
      </c>
      <c r="EP81" s="9" t="str">
        <f t="shared" si="610"/>
        <v/>
      </c>
      <c r="EQ81" s="5" t="str">
        <f t="shared" si="611"/>
        <v/>
      </c>
      <c r="ER81" s="7" t="str">
        <f t="shared" si="612"/>
        <v/>
      </c>
      <c r="ES81" s="21" t="str">
        <f t="shared" si="488"/>
        <v/>
      </c>
      <c r="ET81" s="5" t="str">
        <f t="shared" si="489"/>
        <v/>
      </c>
      <c r="EU81" s="10" t="str">
        <f t="shared" si="490"/>
        <v/>
      </c>
      <c r="EV81" s="178" t="str">
        <f t="shared" si="491"/>
        <v/>
      </c>
      <c r="EW81" s="9" t="str">
        <f t="shared" si="492"/>
        <v/>
      </c>
      <c r="EX81" s="5" t="str">
        <f t="shared" si="493"/>
        <v/>
      </c>
      <c r="EY81" s="6" t="str">
        <f t="shared" si="613"/>
        <v/>
      </c>
      <c r="EZ81" s="52" t="str">
        <f t="shared" si="614"/>
        <v/>
      </c>
      <c r="FA81" s="177" t="str">
        <f t="shared" si="494"/>
        <v/>
      </c>
      <c r="FB81" s="5" t="str">
        <f t="shared" si="495"/>
        <v/>
      </c>
      <c r="FC81" s="6" t="str">
        <f t="shared" si="496"/>
        <v/>
      </c>
      <c r="FD81" s="4" t="str">
        <f t="shared" si="497"/>
        <v/>
      </c>
      <c r="FE81" s="5" t="str">
        <f t="shared" si="498"/>
        <v/>
      </c>
      <c r="FF81" s="7" t="str">
        <f t="shared" si="615"/>
        <v/>
      </c>
      <c r="FG81" s="177" t="str">
        <f t="shared" si="499"/>
        <v/>
      </c>
      <c r="FH81" s="5" t="str">
        <f t="shared" si="500"/>
        <v/>
      </c>
      <c r="FI81" s="10" t="str">
        <f t="shared" si="501"/>
        <v/>
      </c>
      <c r="FJ81" s="290" t="str">
        <f t="shared" si="616"/>
        <v/>
      </c>
      <c r="FK81" s="4" t="str">
        <f t="shared" si="502"/>
        <v/>
      </c>
      <c r="FL81" s="5" t="str">
        <f t="shared" si="540"/>
        <v/>
      </c>
      <c r="FM81" s="8" t="str">
        <f t="shared" si="541"/>
        <v/>
      </c>
      <c r="FN81" s="9" t="str">
        <f t="shared" si="542"/>
        <v/>
      </c>
      <c r="FO81" s="10" t="str">
        <f t="shared" si="503"/>
        <v/>
      </c>
      <c r="FP81" s="288" t="str">
        <f t="shared" si="543"/>
        <v/>
      </c>
      <c r="FQ81" s="177" t="str">
        <f t="shared" si="617"/>
        <v/>
      </c>
      <c r="FR81" s="10" t="str">
        <f t="shared" si="618"/>
        <v/>
      </c>
      <c r="FS81" s="9" t="str">
        <f t="shared" si="619"/>
        <v/>
      </c>
      <c r="FT81" s="6" t="str">
        <f t="shared" si="620"/>
        <v/>
      </c>
      <c r="FU81" s="4" t="str">
        <f t="shared" si="621"/>
        <v/>
      </c>
      <c r="FV81" s="5" t="str">
        <f t="shared" si="622"/>
        <v/>
      </c>
      <c r="FW81" s="8" t="str">
        <f t="shared" si="623"/>
        <v/>
      </c>
      <c r="FX81" s="9" t="str">
        <f t="shared" si="624"/>
        <v/>
      </c>
      <c r="FY81" s="10" t="str">
        <f t="shared" si="504"/>
        <v/>
      </c>
      <c r="FZ81" s="288" t="str">
        <f t="shared" si="625"/>
        <v/>
      </c>
      <c r="GA81" s="181" t="str">
        <f t="shared" si="626"/>
        <v/>
      </c>
      <c r="GB81" s="4" t="str">
        <f t="shared" si="627"/>
        <v/>
      </c>
      <c r="GC81" s="5" t="str">
        <f t="shared" si="628"/>
        <v/>
      </c>
      <c r="GD81" s="10" t="str">
        <f t="shared" si="629"/>
        <v/>
      </c>
      <c r="GE81" s="324" t="str">
        <f t="shared" si="630"/>
        <v/>
      </c>
      <c r="GF81" s="362" t="str">
        <f t="shared" si="631"/>
        <v/>
      </c>
      <c r="GG81" s="296" t="str">
        <f t="shared" si="505"/>
        <v/>
      </c>
      <c r="GH81" s="297" t="str">
        <f t="shared" si="506"/>
        <v/>
      </c>
      <c r="GI81" s="292" t="str">
        <f t="shared" si="507"/>
        <v/>
      </c>
      <c r="GJ81" s="171" t="str">
        <f t="shared" si="632"/>
        <v/>
      </c>
      <c r="GK81" s="178" t="str">
        <f t="shared" si="508"/>
        <v/>
      </c>
      <c r="GL81" s="178" t="str">
        <f t="shared" si="633"/>
        <v/>
      </c>
      <c r="GM81" s="181" t="str">
        <f t="shared" si="634"/>
        <v/>
      </c>
      <c r="GN81" s="291" t="str">
        <f t="shared" si="635"/>
        <v/>
      </c>
      <c r="GO81" s="4" t="str">
        <f t="shared" si="636"/>
        <v/>
      </c>
      <c r="GP81" s="8" t="str">
        <f t="shared" si="637"/>
        <v/>
      </c>
      <c r="GQ81" s="181" t="str">
        <f t="shared" si="638"/>
        <v/>
      </c>
      <c r="GR81" s="417" t="str">
        <f t="shared" si="639"/>
        <v/>
      </c>
      <c r="GS81" s="363" t="str">
        <f t="shared" si="509"/>
        <v/>
      </c>
      <c r="GT81" s="364" t="str">
        <f t="shared" si="510"/>
        <v/>
      </c>
      <c r="GU81" s="365" t="str">
        <f t="shared" si="511"/>
        <v/>
      </c>
      <c r="GV81" s="364" t="str">
        <f t="shared" si="640"/>
        <v/>
      </c>
      <c r="GW81" s="366" t="str">
        <f t="shared" si="512"/>
        <v/>
      </c>
      <c r="GX81" s="367" t="str">
        <f t="shared" si="513"/>
        <v/>
      </c>
      <c r="GY81" s="365" t="str">
        <f t="shared" si="514"/>
        <v/>
      </c>
      <c r="GZ81" s="366" t="str">
        <f t="shared" si="515"/>
        <v/>
      </c>
      <c r="HA81" s="363" t="str">
        <f t="shared" si="516"/>
        <v/>
      </c>
      <c r="HB81" s="5" t="str">
        <f t="shared" si="641"/>
        <v/>
      </c>
      <c r="HC81" s="364" t="str">
        <f t="shared" si="642"/>
        <v/>
      </c>
      <c r="HD81" s="405" t="str">
        <f t="shared" si="643"/>
        <v/>
      </c>
      <c r="HE81" s="365" t="str">
        <f t="shared" si="517"/>
        <v/>
      </c>
      <c r="HF81" s="5" t="str">
        <f t="shared" si="518"/>
        <v/>
      </c>
      <c r="HG81" s="364" t="str">
        <f t="shared" si="644"/>
        <v/>
      </c>
      <c r="HH81" s="370" t="str">
        <f t="shared" si="645"/>
        <v/>
      </c>
      <c r="HI81" s="335" t="str">
        <f t="shared" si="519"/>
        <v/>
      </c>
      <c r="HK81" s="323" t="str">
        <f t="shared" si="238"/>
        <v/>
      </c>
      <c r="HL81" s="322" t="str">
        <f t="shared" si="544"/>
        <v/>
      </c>
      <c r="HM81" s="369" t="str">
        <f t="shared" si="649"/>
        <v/>
      </c>
      <c r="HN81" s="384" t="str">
        <f t="shared" si="649"/>
        <v/>
      </c>
      <c r="HO81" s="385" t="str">
        <f t="shared" si="649"/>
        <v/>
      </c>
      <c r="HP81" s="380" t="str">
        <f t="shared" si="649"/>
        <v/>
      </c>
      <c r="HQ81" s="384" t="str">
        <f t="shared" si="649"/>
        <v/>
      </c>
      <c r="HR81" s="395" t="str">
        <f t="shared" si="649"/>
        <v/>
      </c>
      <c r="HS81" s="379" t="str">
        <f t="shared" si="649"/>
        <v/>
      </c>
      <c r="HT81" s="374" t="str">
        <f t="shared" si="649"/>
        <v/>
      </c>
      <c r="HU81" s="375" t="str">
        <f t="shared" si="649"/>
        <v/>
      </c>
      <c r="HV81" s="376" t="str">
        <f t="shared" si="649"/>
        <v/>
      </c>
      <c r="HW81" s="374" t="str">
        <f t="shared" si="649"/>
        <v/>
      </c>
      <c r="HX81" s="375" t="str">
        <f t="shared" si="649"/>
        <v/>
      </c>
      <c r="HY81" s="376" t="str">
        <f t="shared" si="649"/>
        <v/>
      </c>
      <c r="HZ81" s="374" t="str">
        <f t="shared" si="649"/>
        <v/>
      </c>
      <c r="IA81" s="375" t="str">
        <f t="shared" si="649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6"/>
        <v>4.2300000000000004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4.13</v>
      </c>
      <c r="II81" s="734" cm="1">
        <f t="array" ref="II81">IFERROR(ROUND(VALUE(IF($IH81&lt;1,$IH81+LARGE((IF($M$9:$M$150="",0,$M$9:$M$150)-MOD(IF($M$9:$M$150="",0,$M$9:$M$150),1)),1),$IH81)),4),"")</f>
        <v>4.13</v>
      </c>
      <c r="IJ81" s="533">
        <f t="shared" si="545"/>
        <v>1613</v>
      </c>
      <c r="IK81" s="533" t="str">
        <f t="shared" si="520"/>
        <v>Inactive</v>
      </c>
      <c r="IL81" s="727">
        <f t="shared" ref="IL81:IL144" si="651">IF(ISNUMBER($II81),IFERROR(IF(INDEX($W$9:$W$150,MATCH($II81,$M$9:$M$150,0))&lt;$W81,((INDEX($W$9:$W$150,MATCH($II81,$M$9:$M$150,0))+360)-$W81),INDEX($W$9:$W$150,MATCH($II81,$M$9:$M$150,0))-$W81),""),"")</f>
        <v>15.654097739827932</v>
      </c>
      <c r="IM81" s="759">
        <v>2.3534769768216398E-3</v>
      </c>
      <c r="IN81" s="5">
        <f t="shared" ref="IN81:IN144" si="652">IF(ISNUMBER($II81),(($IO81*12)/60)/$AS$3,"")</f>
        <v>0.02</v>
      </c>
      <c r="IO81" s="771">
        <v>10</v>
      </c>
      <c r="IP81" s="9">
        <f t="shared" ref="IP81:IP144" si="653">IF(ISNUMBER($II81),(INDEX($X$9:$X$150,MATCH($II81,$M$9:$M$150,0))*-1),"")</f>
        <v>-5.1510155354628555</v>
      </c>
      <c r="IQ81" s="5">
        <f t="shared" ref="IQ81:IQ144" si="654">IF(ISNUMBER($II81),INDEX($Y$9:$Y$150,MATCH($II81,$M$9:$M$150,0)),"")</f>
        <v>-0.38940117443394173</v>
      </c>
      <c r="IR81" s="5">
        <f t="shared" si="521"/>
        <v>0.314</v>
      </c>
      <c r="IS81" s="5">
        <f t="shared" ref="IS81:IS144" si="655">IF(ISNUMBER($II81),$IR81*COS(RADIANS(INDEX($AO$9:$AO$150,MATCH($II81,$M$9:$M$150,0)))),"")</f>
        <v>0.2938076576413553</v>
      </c>
      <c r="IT81" s="727">
        <f t="shared" ref="IT81:IT144" si="656">IF(ISNUMBER($II81),(-1*INDEX($AN$9:$AN$150,MATCH($II81,$M$9:$M$150,0))),"")</f>
        <v>34.242712140862139</v>
      </c>
      <c r="IU81" s="9">
        <f t="shared" ref="IU81:IU144" si="657">IF(ISNUMBER($II81),-$X81,"")</f>
        <v>-5.1636155734645683</v>
      </c>
      <c r="IV81" s="5">
        <f t="shared" ref="IV81:IV144" si="658">IF(ISNUMBER($II81),$Y81,"")</f>
        <v>-0.36310109511290395</v>
      </c>
      <c r="IW81" s="5">
        <f t="shared" si="522"/>
        <v>0.26250000000000001</v>
      </c>
      <c r="IX81" s="5">
        <f t="shared" ref="IX81:IX144" si="659">IF(ISNUMBER($II81),$IW81*COS(RADIANS($AO81)),"")</f>
        <v>0.26250000000000001</v>
      </c>
      <c r="IY81" s="762">
        <f t="shared" ref="IY81:IY144" si="660">IF(ISNUMBER($II81),(-1*$AN81),"")</f>
        <v>19.099997242301598</v>
      </c>
    </row>
    <row r="82" spans="1:259" ht="15" customHeight="1" x14ac:dyDescent="0.25">
      <c r="A82" s="79"/>
      <c r="B82" s="707">
        <v>-2.6403393569827851</v>
      </c>
      <c r="C82" s="708">
        <v>-5.1685652245421467</v>
      </c>
      <c r="D82" s="709">
        <v>-0.78260236032871899</v>
      </c>
      <c r="E82" s="710">
        <v>-0.22055113274763466</v>
      </c>
      <c r="F82" s="708">
        <v>-0.43173777197879576</v>
      </c>
      <c r="G82" s="711">
        <v>0.87461974256846087</v>
      </c>
      <c r="H82" s="710">
        <v>0.26250000000000001</v>
      </c>
      <c r="I82" s="708">
        <v>0.40699999999999997</v>
      </c>
      <c r="J82" s="570">
        <v>4.2359999999999998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Inactive</v>
      </c>
      <c r="L82" s="1314">
        <f t="shared" si="650"/>
        <v>0</v>
      </c>
      <c r="M82" s="168">
        <f t="shared" si="467"/>
        <v>4.2359999999999998</v>
      </c>
      <c r="N82" s="632">
        <f t="shared" si="468"/>
        <v>-2.6403393569827851</v>
      </c>
      <c r="O82" s="629">
        <f t="shared" si="469"/>
        <v>-5.1685652245421467</v>
      </c>
      <c r="P82" s="633">
        <f t="shared" si="470"/>
        <v>-0.78260236032871899</v>
      </c>
      <c r="Q82" s="585">
        <f t="shared" si="523"/>
        <v>242.93997791819925</v>
      </c>
      <c r="R82" s="629">
        <f t="shared" si="79"/>
        <v>5.8039175046151952</v>
      </c>
      <c r="S82" s="634">
        <f t="shared" si="80"/>
        <v>-0.78260236032871899</v>
      </c>
      <c r="T82" s="635">
        <f t="shared" si="81"/>
        <v>-5.1685652245421458</v>
      </c>
      <c r="U82" s="629">
        <f t="shared" si="82"/>
        <v>2.6403393569827855</v>
      </c>
      <c r="V82" s="636">
        <f t="shared" si="114"/>
        <v>-0.78260236032871899</v>
      </c>
      <c r="W82" s="585">
        <f t="shared" si="648"/>
        <v>152.93997791819925</v>
      </c>
      <c r="X82" s="629">
        <f t="shared" si="83"/>
        <v>5.8039175046151952</v>
      </c>
      <c r="Y82" s="630">
        <f t="shared" si="647"/>
        <v>-0.78260236032871899</v>
      </c>
      <c r="Z82" s="632">
        <f t="shared" si="471"/>
        <v>0.22055113274763466</v>
      </c>
      <c r="AA82" s="629">
        <f t="shared" si="472"/>
        <v>0.43173777197879576</v>
      </c>
      <c r="AB82" s="629">
        <f t="shared" si="473"/>
        <v>-0.87461974256846087</v>
      </c>
      <c r="AC82" s="636">
        <f t="shared" si="84"/>
        <v>1</v>
      </c>
      <c r="AD82" s="637">
        <f t="shared" si="115"/>
        <v>0.22055113274763466</v>
      </c>
      <c r="AE82" s="629">
        <f t="shared" si="85"/>
        <v>0.43173777197879576</v>
      </c>
      <c r="AF82" s="633">
        <f t="shared" si="86"/>
        <v>-0.87461974256846087</v>
      </c>
      <c r="AG82" s="602">
        <f t="shared" si="87"/>
        <v>26.272287927303061</v>
      </c>
      <c r="AH82" s="603">
        <f t="shared" si="88"/>
        <v>77.258594275494161</v>
      </c>
      <c r="AI82" s="585">
        <f t="shared" si="89"/>
        <v>-28.999995812921298</v>
      </c>
      <c r="AJ82" s="586">
        <f t="shared" si="90"/>
        <v>152.94000472128147</v>
      </c>
      <c r="AK82" s="635">
        <f t="shared" si="211"/>
        <v>2.2679489675159203E-7</v>
      </c>
      <c r="AL82" s="629">
        <f t="shared" si="91"/>
        <v>-0.48480955633055328</v>
      </c>
      <c r="AM82" s="634">
        <f t="shared" si="92"/>
        <v>-0.87461974256846087</v>
      </c>
      <c r="AN82" s="581">
        <f t="shared" si="93"/>
        <v>-28.999995812918648</v>
      </c>
      <c r="AO82" s="582">
        <f t="shared" si="463"/>
        <v>0</v>
      </c>
      <c r="AP82" s="585">
        <f t="shared" si="95"/>
        <v>-89.999973196917779</v>
      </c>
      <c r="AQ82" s="586">
        <f t="shared" si="474"/>
        <v>0.39278485903315902</v>
      </c>
      <c r="AS82" s="52">
        <f t="shared" si="546"/>
        <v>-207.06002208180075</v>
      </c>
      <c r="AT82" s="72">
        <f t="shared" si="475"/>
        <v>-0.63881067832746852</v>
      </c>
      <c r="AU82" s="469"/>
      <c r="AV82" s="168" t="str">
        <f t="shared" si="476"/>
        <v/>
      </c>
      <c r="AW82" s="418"/>
      <c r="AX82" s="419"/>
      <c r="AY82" s="420"/>
      <c r="AZ82" s="308" t="str">
        <f t="shared" si="547"/>
        <v/>
      </c>
      <c r="BA82" s="307" t="str">
        <f t="shared" si="477"/>
        <v/>
      </c>
      <c r="BB82" s="181" t="str">
        <f t="shared" si="524"/>
        <v/>
      </c>
      <c r="BC82" s="9"/>
      <c r="BD82" s="5" t="str">
        <f t="shared" si="525"/>
        <v/>
      </c>
      <c r="BE82" s="6" t="str">
        <f t="shared" si="478"/>
        <v/>
      </c>
      <c r="BF82" s="4" t="str">
        <f t="shared" si="479"/>
        <v/>
      </c>
      <c r="BG82" s="5" t="str">
        <f t="shared" si="480"/>
        <v/>
      </c>
      <c r="BH82" s="10" t="str">
        <f t="shared" si="481"/>
        <v/>
      </c>
      <c r="BI82" s="9" t="str">
        <f t="shared" si="548"/>
        <v/>
      </c>
      <c r="BJ82" s="5" t="str">
        <f t="shared" si="482"/>
        <v/>
      </c>
      <c r="BK82" s="8" t="str">
        <f t="shared" si="483"/>
        <v/>
      </c>
      <c r="BL82" s="177" t="str">
        <f t="shared" si="484"/>
        <v/>
      </c>
      <c r="BM82" s="5" t="str">
        <f t="shared" si="485"/>
        <v/>
      </c>
      <c r="BN82" s="6" t="str">
        <f t="shared" si="486"/>
        <v/>
      </c>
      <c r="BO82" s="4" t="str">
        <f t="shared" si="549"/>
        <v/>
      </c>
      <c r="BP82" s="5" t="str">
        <f t="shared" si="550"/>
        <v/>
      </c>
      <c r="BQ82" s="5" t="str">
        <f t="shared" si="551"/>
        <v/>
      </c>
      <c r="BR82" s="6" t="str">
        <f t="shared" si="552"/>
        <v/>
      </c>
      <c r="BS82" s="4" t="str">
        <f t="shared" si="526"/>
        <v/>
      </c>
      <c r="BT82" s="5" t="str">
        <f t="shared" si="526"/>
        <v/>
      </c>
      <c r="BU82" s="10" t="str">
        <f t="shared" si="527"/>
        <v/>
      </c>
      <c r="BV82" s="9" t="str">
        <f t="shared" si="528"/>
        <v/>
      </c>
      <c r="BW82" s="5" t="str">
        <f t="shared" si="529"/>
        <v/>
      </c>
      <c r="BX82" s="8" t="str">
        <f t="shared" si="530"/>
        <v/>
      </c>
      <c r="BY82" s="177" t="str">
        <f t="shared" si="531"/>
        <v/>
      </c>
      <c r="BZ82" s="5" t="str">
        <f t="shared" si="532"/>
        <v/>
      </c>
      <c r="CA82" s="6" t="str">
        <f t="shared" si="533"/>
        <v/>
      </c>
      <c r="CB82" s="4" t="str">
        <f t="shared" si="553"/>
        <v/>
      </c>
      <c r="CC82" s="5" t="str">
        <f t="shared" si="554"/>
        <v/>
      </c>
      <c r="CD82" s="5" t="str">
        <f t="shared" si="555"/>
        <v/>
      </c>
      <c r="CE82" s="6" t="str">
        <f t="shared" si="556"/>
        <v/>
      </c>
      <c r="CF82" s="4" t="str">
        <f t="shared" si="557"/>
        <v/>
      </c>
      <c r="CG82" s="5" t="str">
        <f t="shared" si="558"/>
        <v/>
      </c>
      <c r="CH82" s="5" t="str">
        <f t="shared" si="559"/>
        <v/>
      </c>
      <c r="CI82" s="4" t="str">
        <f t="shared" si="534"/>
        <v/>
      </c>
      <c r="CJ82" s="5" t="str">
        <f t="shared" si="535"/>
        <v/>
      </c>
      <c r="CK82" s="8" t="str">
        <f t="shared" si="536"/>
        <v/>
      </c>
      <c r="CL82" s="177" t="str">
        <f t="shared" si="537"/>
        <v/>
      </c>
      <c r="CM82" s="5" t="str">
        <f t="shared" si="538"/>
        <v/>
      </c>
      <c r="CN82" s="6" t="str">
        <f t="shared" si="539"/>
        <v/>
      </c>
      <c r="CO82" s="171" t="str">
        <f t="shared" si="487"/>
        <v/>
      </c>
      <c r="CP82" s="4" t="str">
        <f t="shared" si="560"/>
        <v/>
      </c>
      <c r="CQ82" s="5" t="str">
        <f t="shared" si="561"/>
        <v/>
      </c>
      <c r="CR82" s="5" t="str">
        <f t="shared" si="562"/>
        <v/>
      </c>
      <c r="CS82" s="8" t="str">
        <f t="shared" si="563"/>
        <v/>
      </c>
      <c r="CT82" s="9" t="str">
        <f t="shared" si="564"/>
        <v/>
      </c>
      <c r="CU82" s="6" t="str">
        <f t="shared" si="565"/>
        <v/>
      </c>
      <c r="CV82" s="4" t="str">
        <f t="shared" si="566"/>
        <v/>
      </c>
      <c r="CW82" s="5" t="str">
        <f t="shared" si="567"/>
        <v/>
      </c>
      <c r="CX82" s="8" t="str">
        <f t="shared" si="568"/>
        <v/>
      </c>
      <c r="CY82" s="9" t="str">
        <f t="shared" si="569"/>
        <v/>
      </c>
      <c r="CZ82" s="5" t="str">
        <f t="shared" si="570"/>
        <v/>
      </c>
      <c r="DA82" s="6" t="str">
        <f t="shared" si="571"/>
        <v/>
      </c>
      <c r="DB82" s="4" t="str">
        <f t="shared" si="572"/>
        <v/>
      </c>
      <c r="DC82" s="5" t="str">
        <f t="shared" si="572"/>
        <v/>
      </c>
      <c r="DD82" s="10" t="str">
        <f t="shared" si="573"/>
        <v/>
      </c>
      <c r="DE82" s="9" t="str">
        <f t="shared" si="574"/>
        <v/>
      </c>
      <c r="DF82" s="5" t="str">
        <f t="shared" si="574"/>
        <v/>
      </c>
      <c r="DG82" s="10" t="str">
        <f t="shared" si="575"/>
        <v/>
      </c>
      <c r="DH82" s="72" t="str">
        <f t="shared" si="576"/>
        <v/>
      </c>
      <c r="DI82" s="4" t="str">
        <f t="shared" si="577"/>
        <v/>
      </c>
      <c r="DJ82" s="5" t="str">
        <f t="shared" si="578"/>
        <v/>
      </c>
      <c r="DK82" s="10" t="str">
        <f t="shared" si="579"/>
        <v/>
      </c>
      <c r="DL82" s="9" t="str">
        <f t="shared" si="580"/>
        <v/>
      </c>
      <c r="DM82" s="177" t="str">
        <f t="shared" si="581"/>
        <v/>
      </c>
      <c r="DN82" s="182" t="str">
        <f t="shared" si="582"/>
        <v/>
      </c>
      <c r="DO82" s="9" t="str">
        <f t="shared" si="583"/>
        <v/>
      </c>
      <c r="DP82" s="177" t="str">
        <f t="shared" si="584"/>
        <v/>
      </c>
      <c r="DQ82" s="11" t="str">
        <f t="shared" si="585"/>
        <v/>
      </c>
      <c r="DR82" s="177" t="str">
        <f t="shared" si="586"/>
        <v/>
      </c>
      <c r="DS82" s="5" t="str">
        <f t="shared" si="587"/>
        <v/>
      </c>
      <c r="DT82" s="5" t="str">
        <f t="shared" si="588"/>
        <v/>
      </c>
      <c r="DU82" s="5" t="str">
        <f t="shared" si="589"/>
        <v/>
      </c>
      <c r="DV82" s="5" t="str">
        <f t="shared" si="590"/>
        <v/>
      </c>
      <c r="DW82" s="5" t="str">
        <f t="shared" si="591"/>
        <v/>
      </c>
      <c r="DX82" s="171" t="str">
        <f t="shared" si="592"/>
        <v/>
      </c>
      <c r="DY82" s="9" t="str">
        <f t="shared" si="593"/>
        <v/>
      </c>
      <c r="DZ82" s="5" t="str">
        <f t="shared" si="594"/>
        <v/>
      </c>
      <c r="EA82" s="10" t="str">
        <f t="shared" si="595"/>
        <v/>
      </c>
      <c r="EB82" s="6" t="str">
        <f t="shared" si="596"/>
        <v/>
      </c>
      <c r="EC82" s="177" t="str">
        <f t="shared" si="597"/>
        <v/>
      </c>
      <c r="ED82" s="5" t="str">
        <f t="shared" si="598"/>
        <v/>
      </c>
      <c r="EE82" s="4" t="str">
        <f t="shared" si="599"/>
        <v/>
      </c>
      <c r="EF82" s="5" t="str">
        <f t="shared" si="600"/>
        <v/>
      </c>
      <c r="EG82" s="10" t="str">
        <f t="shared" si="601"/>
        <v/>
      </c>
      <c r="EH82" s="9" t="str">
        <f t="shared" si="602"/>
        <v/>
      </c>
      <c r="EI82" s="5" t="str">
        <f t="shared" si="603"/>
        <v/>
      </c>
      <c r="EJ82" s="6" t="str">
        <f t="shared" si="604"/>
        <v/>
      </c>
      <c r="EK82" s="247" t="str">
        <f t="shared" si="605"/>
        <v/>
      </c>
      <c r="EL82" s="249" t="str">
        <f t="shared" si="606"/>
        <v/>
      </c>
      <c r="EM82" s="4" t="str">
        <f t="shared" si="607"/>
        <v/>
      </c>
      <c r="EN82" s="5" t="str">
        <f t="shared" si="608"/>
        <v/>
      </c>
      <c r="EO82" s="10" t="str">
        <f t="shared" si="609"/>
        <v/>
      </c>
      <c r="EP82" s="9" t="str">
        <f t="shared" si="610"/>
        <v/>
      </c>
      <c r="EQ82" s="5" t="str">
        <f t="shared" si="611"/>
        <v/>
      </c>
      <c r="ER82" s="7" t="str">
        <f t="shared" si="612"/>
        <v/>
      </c>
      <c r="ES82" s="21" t="str">
        <f t="shared" si="488"/>
        <v/>
      </c>
      <c r="ET82" s="5" t="str">
        <f t="shared" si="489"/>
        <v/>
      </c>
      <c r="EU82" s="10" t="str">
        <f t="shared" si="490"/>
        <v/>
      </c>
      <c r="EV82" s="178" t="str">
        <f t="shared" si="491"/>
        <v/>
      </c>
      <c r="EW82" s="9" t="str">
        <f t="shared" si="492"/>
        <v/>
      </c>
      <c r="EX82" s="5" t="str">
        <f t="shared" si="493"/>
        <v/>
      </c>
      <c r="EY82" s="6" t="str">
        <f t="shared" si="613"/>
        <v/>
      </c>
      <c r="EZ82" s="52" t="str">
        <f t="shared" si="614"/>
        <v/>
      </c>
      <c r="FA82" s="177" t="str">
        <f t="shared" si="494"/>
        <v/>
      </c>
      <c r="FB82" s="5" t="str">
        <f t="shared" si="495"/>
        <v/>
      </c>
      <c r="FC82" s="6" t="str">
        <f t="shared" si="496"/>
        <v/>
      </c>
      <c r="FD82" s="4" t="str">
        <f t="shared" si="497"/>
        <v/>
      </c>
      <c r="FE82" s="5" t="str">
        <f t="shared" si="498"/>
        <v/>
      </c>
      <c r="FF82" s="7" t="str">
        <f t="shared" si="615"/>
        <v/>
      </c>
      <c r="FG82" s="177" t="str">
        <f t="shared" si="499"/>
        <v/>
      </c>
      <c r="FH82" s="5" t="str">
        <f t="shared" si="500"/>
        <v/>
      </c>
      <c r="FI82" s="10" t="str">
        <f t="shared" si="501"/>
        <v/>
      </c>
      <c r="FJ82" s="290" t="str">
        <f t="shared" si="616"/>
        <v/>
      </c>
      <c r="FK82" s="4" t="str">
        <f t="shared" si="502"/>
        <v/>
      </c>
      <c r="FL82" s="5" t="str">
        <f t="shared" si="540"/>
        <v/>
      </c>
      <c r="FM82" s="8" t="str">
        <f t="shared" si="541"/>
        <v/>
      </c>
      <c r="FN82" s="9" t="str">
        <f t="shared" si="542"/>
        <v/>
      </c>
      <c r="FO82" s="10" t="str">
        <f t="shared" si="503"/>
        <v/>
      </c>
      <c r="FP82" s="288" t="str">
        <f t="shared" si="543"/>
        <v/>
      </c>
      <c r="FQ82" s="177" t="str">
        <f t="shared" si="617"/>
        <v/>
      </c>
      <c r="FR82" s="10" t="str">
        <f t="shared" si="618"/>
        <v/>
      </c>
      <c r="FS82" s="9" t="str">
        <f t="shared" si="619"/>
        <v/>
      </c>
      <c r="FT82" s="6" t="str">
        <f t="shared" si="620"/>
        <v/>
      </c>
      <c r="FU82" s="4" t="str">
        <f t="shared" si="621"/>
        <v/>
      </c>
      <c r="FV82" s="5" t="str">
        <f t="shared" si="622"/>
        <v/>
      </c>
      <c r="FW82" s="8" t="str">
        <f t="shared" si="623"/>
        <v/>
      </c>
      <c r="FX82" s="9" t="str">
        <f t="shared" si="624"/>
        <v/>
      </c>
      <c r="FY82" s="10" t="str">
        <f t="shared" si="504"/>
        <v/>
      </c>
      <c r="FZ82" s="288" t="str">
        <f t="shared" si="625"/>
        <v/>
      </c>
      <c r="GA82" s="181" t="str">
        <f t="shared" si="626"/>
        <v/>
      </c>
      <c r="GB82" s="4" t="str">
        <f t="shared" si="627"/>
        <v/>
      </c>
      <c r="GC82" s="5" t="str">
        <f t="shared" si="628"/>
        <v/>
      </c>
      <c r="GD82" s="10" t="str">
        <f t="shared" si="629"/>
        <v/>
      </c>
      <c r="GE82" s="324" t="str">
        <f t="shared" si="630"/>
        <v/>
      </c>
      <c r="GF82" s="362" t="str">
        <f t="shared" si="631"/>
        <v/>
      </c>
      <c r="GG82" s="296" t="str">
        <f t="shared" si="505"/>
        <v/>
      </c>
      <c r="GH82" s="297" t="str">
        <f t="shared" si="506"/>
        <v/>
      </c>
      <c r="GI82" s="292" t="str">
        <f t="shared" si="507"/>
        <v/>
      </c>
      <c r="GJ82" s="171" t="str">
        <f t="shared" si="632"/>
        <v/>
      </c>
      <c r="GK82" s="178" t="str">
        <f t="shared" si="508"/>
        <v/>
      </c>
      <c r="GL82" s="178" t="str">
        <f t="shared" si="633"/>
        <v/>
      </c>
      <c r="GM82" s="181" t="str">
        <f t="shared" si="634"/>
        <v/>
      </c>
      <c r="GN82" s="291" t="str">
        <f t="shared" si="635"/>
        <v/>
      </c>
      <c r="GO82" s="4" t="str">
        <f t="shared" si="636"/>
        <v/>
      </c>
      <c r="GP82" s="8" t="str">
        <f t="shared" si="637"/>
        <v/>
      </c>
      <c r="GQ82" s="181" t="str">
        <f t="shared" si="638"/>
        <v/>
      </c>
      <c r="GR82" s="417" t="str">
        <f t="shared" si="639"/>
        <v/>
      </c>
      <c r="GS82" s="363" t="str">
        <f t="shared" si="509"/>
        <v/>
      </c>
      <c r="GT82" s="364" t="str">
        <f t="shared" si="510"/>
        <v/>
      </c>
      <c r="GU82" s="365" t="str">
        <f t="shared" si="511"/>
        <v/>
      </c>
      <c r="GV82" s="364" t="str">
        <f t="shared" si="640"/>
        <v/>
      </c>
      <c r="GW82" s="366" t="str">
        <f t="shared" si="512"/>
        <v/>
      </c>
      <c r="GX82" s="367" t="str">
        <f t="shared" si="513"/>
        <v/>
      </c>
      <c r="GY82" s="365" t="str">
        <f t="shared" si="514"/>
        <v/>
      </c>
      <c r="GZ82" s="366" t="str">
        <f t="shared" si="515"/>
        <v/>
      </c>
      <c r="HA82" s="363" t="str">
        <f t="shared" si="516"/>
        <v/>
      </c>
      <c r="HB82" s="5" t="str">
        <f t="shared" si="641"/>
        <v/>
      </c>
      <c r="HC82" s="364" t="str">
        <f t="shared" si="642"/>
        <v/>
      </c>
      <c r="HD82" s="405" t="str">
        <f t="shared" si="643"/>
        <v/>
      </c>
      <c r="HE82" s="365" t="str">
        <f t="shared" si="517"/>
        <v/>
      </c>
      <c r="HF82" s="5" t="str">
        <f t="shared" si="518"/>
        <v/>
      </c>
      <c r="HG82" s="364" t="str">
        <f t="shared" si="644"/>
        <v/>
      </c>
      <c r="HH82" s="370" t="str">
        <f t="shared" si="645"/>
        <v/>
      </c>
      <c r="HI82" s="335" t="str">
        <f t="shared" si="519"/>
        <v/>
      </c>
      <c r="HK82" s="323" t="str">
        <f t="shared" si="238"/>
        <v/>
      </c>
      <c r="HL82" s="322" t="str">
        <f t="shared" si="544"/>
        <v/>
      </c>
      <c r="HM82" s="369" t="str">
        <f t="shared" si="649"/>
        <v/>
      </c>
      <c r="HN82" s="384" t="str">
        <f t="shared" si="649"/>
        <v/>
      </c>
      <c r="HO82" s="385" t="str">
        <f t="shared" si="649"/>
        <v/>
      </c>
      <c r="HP82" s="380" t="str">
        <f t="shared" si="649"/>
        <v/>
      </c>
      <c r="HQ82" s="384" t="str">
        <f t="shared" si="649"/>
        <v/>
      </c>
      <c r="HR82" s="395" t="str">
        <f t="shared" si="649"/>
        <v/>
      </c>
      <c r="HS82" s="379" t="str">
        <f t="shared" si="649"/>
        <v/>
      </c>
      <c r="HT82" s="374" t="str">
        <f t="shared" si="649"/>
        <v/>
      </c>
      <c r="HU82" s="375" t="str">
        <f t="shared" si="649"/>
        <v/>
      </c>
      <c r="HV82" s="376" t="str">
        <f t="shared" si="649"/>
        <v/>
      </c>
      <c r="HW82" s="374" t="str">
        <f t="shared" si="649"/>
        <v/>
      </c>
      <c r="HX82" s="375" t="str">
        <f t="shared" si="649"/>
        <v/>
      </c>
      <c r="HY82" s="376" t="str">
        <f t="shared" si="649"/>
        <v/>
      </c>
      <c r="HZ82" s="374" t="str">
        <f t="shared" si="649"/>
        <v/>
      </c>
      <c r="IA82" s="375" t="str">
        <f t="shared" si="649"/>
        <v/>
      </c>
      <c r="IE82" s="849" t="str">
        <f>IFERROR(IF($IU82="","",IF($IU82&lt;(((Settings!$C$19/2)*-1)*$IE$8),"Taper","Nose")),"")</f>
        <v>Taper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6"/>
        <v>4.2359999999999998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4.1360000000000001</v>
      </c>
      <c r="II82" s="734" cm="1">
        <f t="array" ref="II82">IFERROR(ROUND(VALUE(IF($IH82&lt;1,$IH82+LARGE((IF($M$9:$M$150="",0,$M$9:$M$150)-MOD(IF($M$9:$M$150="",0,$M$9:$M$150),1)),1),$IH82)),4),"")</f>
        <v>4.1360000000000001</v>
      </c>
      <c r="IJ82" s="533">
        <f t="shared" si="545"/>
        <v>1613</v>
      </c>
      <c r="IK82" s="533" t="str">
        <f t="shared" si="520"/>
        <v>Inactive</v>
      </c>
      <c r="IL82" s="727">
        <f t="shared" si="651"/>
        <v>15.681397735886321</v>
      </c>
      <c r="IM82" s="759">
        <v>6.9917597829013495E-5</v>
      </c>
      <c r="IN82" s="5">
        <f t="shared" si="652"/>
        <v>0</v>
      </c>
      <c r="IO82" s="771">
        <v>0</v>
      </c>
      <c r="IP82" s="9">
        <f t="shared" si="653"/>
        <v>-5.7871174539462409</v>
      </c>
      <c r="IQ82" s="5">
        <f t="shared" si="654"/>
        <v>-0.80280242125210266</v>
      </c>
      <c r="IR82" s="5">
        <f t="shared" si="521"/>
        <v>0.314</v>
      </c>
      <c r="IS82" s="5">
        <f t="shared" si="655"/>
        <v>0.28858236518544217</v>
      </c>
      <c r="IT82" s="727">
        <f t="shared" si="656"/>
        <v>48.590319753232713</v>
      </c>
      <c r="IU82" s="9">
        <f t="shared" si="657"/>
        <v>-5.8039175046151952</v>
      </c>
      <c r="IV82" s="5">
        <f t="shared" si="658"/>
        <v>-0.78260236032871899</v>
      </c>
      <c r="IW82" s="5">
        <f t="shared" si="522"/>
        <v>0.26250000000000001</v>
      </c>
      <c r="IX82" s="5">
        <f t="shared" si="659"/>
        <v>0.26250000000000001</v>
      </c>
      <c r="IY82" s="762">
        <f t="shared" si="660"/>
        <v>28.999995812918648</v>
      </c>
    </row>
    <row r="83" spans="1:259" ht="15" customHeight="1" x14ac:dyDescent="0.25">
      <c r="A83" s="79"/>
      <c r="B83" s="707">
        <v>-2.9438659796319562</v>
      </c>
      <c r="C83" s="708">
        <v>-5.6016733442419886</v>
      </c>
      <c r="D83" s="709">
        <v>-1.3425040489922111</v>
      </c>
      <c r="E83" s="710">
        <v>-0.29149833043264067</v>
      </c>
      <c r="F83" s="708">
        <v>-0.55467194293431221</v>
      </c>
      <c r="G83" s="711">
        <v>0.77933802619688597</v>
      </c>
      <c r="H83" s="710">
        <v>0.26250000000000001</v>
      </c>
      <c r="I83" s="708">
        <v>0.40699999999999997</v>
      </c>
      <c r="J83" s="570">
        <v>4.242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Inactive</v>
      </c>
      <c r="L83" s="1314">
        <f t="shared" si="650"/>
        <v>0</v>
      </c>
      <c r="M83" s="168">
        <f t="shared" si="467"/>
        <v>4.242</v>
      </c>
      <c r="N83" s="632">
        <f t="shared" si="468"/>
        <v>-2.9438659796319562</v>
      </c>
      <c r="O83" s="629">
        <f t="shared" si="469"/>
        <v>-5.6016733442419886</v>
      </c>
      <c r="P83" s="633">
        <f t="shared" si="470"/>
        <v>-1.3425040489922111</v>
      </c>
      <c r="Q83" s="585">
        <f t="shared" si="523"/>
        <v>242.27657801398237</v>
      </c>
      <c r="R83" s="629">
        <f t="shared" si="79"/>
        <v>6.3281190856071632</v>
      </c>
      <c r="S83" s="634">
        <f t="shared" si="80"/>
        <v>-1.3425040489922111</v>
      </c>
      <c r="T83" s="635">
        <f t="shared" si="81"/>
        <v>-5.6016733442419895</v>
      </c>
      <c r="U83" s="629">
        <f t="shared" si="82"/>
        <v>2.9438659796319544</v>
      </c>
      <c r="V83" s="636">
        <f t="shared" si="114"/>
        <v>-1.3425040489922111</v>
      </c>
      <c r="W83" s="585">
        <f t="shared" si="648"/>
        <v>152.27657801398237</v>
      </c>
      <c r="X83" s="629">
        <f t="shared" si="83"/>
        <v>6.3281190856071632</v>
      </c>
      <c r="Y83" s="630">
        <f t="shared" si="647"/>
        <v>-1.3425040489922111</v>
      </c>
      <c r="Z83" s="632">
        <f t="shared" si="471"/>
        <v>0.29149833043264067</v>
      </c>
      <c r="AA83" s="629">
        <f t="shared" si="472"/>
        <v>0.55467194293431221</v>
      </c>
      <c r="AB83" s="629">
        <f t="shared" si="473"/>
        <v>-0.77933802619688597</v>
      </c>
      <c r="AC83" s="636">
        <f t="shared" si="84"/>
        <v>1</v>
      </c>
      <c r="AD83" s="637">
        <f t="shared" si="115"/>
        <v>0.29149833043264067</v>
      </c>
      <c r="AE83" s="629">
        <f t="shared" si="85"/>
        <v>0.55467194293431221</v>
      </c>
      <c r="AF83" s="633">
        <f t="shared" si="86"/>
        <v>-0.77933802619688597</v>
      </c>
      <c r="AG83" s="602">
        <f t="shared" si="87"/>
        <v>35.440291100196703</v>
      </c>
      <c r="AH83" s="603">
        <f t="shared" si="88"/>
        <v>73.052319810422247</v>
      </c>
      <c r="AI83" s="585">
        <f t="shared" si="89"/>
        <v>-38.799994397975759</v>
      </c>
      <c r="AJ83" s="586">
        <f t="shared" si="90"/>
        <v>152.27659875179424</v>
      </c>
      <c r="AK83" s="635">
        <f t="shared" si="211"/>
        <v>2.2679489630750282E-7</v>
      </c>
      <c r="AL83" s="629">
        <f t="shared" si="91"/>
        <v>-0.62660373516560719</v>
      </c>
      <c r="AM83" s="634">
        <f t="shared" si="92"/>
        <v>-0.77933802619688597</v>
      </c>
      <c r="AN83" s="581">
        <f t="shared" si="93"/>
        <v>-38.799994397973926</v>
      </c>
      <c r="AO83" s="582">
        <f t="shared" si="463"/>
        <v>0</v>
      </c>
      <c r="AP83" s="585">
        <f t="shared" si="95"/>
        <v>-89.999979262188134</v>
      </c>
      <c r="AQ83" s="586">
        <f t="shared" si="474"/>
        <v>0.36024868678535321</v>
      </c>
      <c r="AS83" s="52">
        <f t="shared" si="546"/>
        <v>-207.72342198601763</v>
      </c>
      <c r="AT83" s="72">
        <f t="shared" si="475"/>
        <v>-1.1982516726130321</v>
      </c>
      <c r="AU83" s="469"/>
      <c r="AV83" s="168" t="str">
        <f t="shared" si="476"/>
        <v/>
      </c>
      <c r="AW83" s="418"/>
      <c r="AX83" s="419"/>
      <c r="AY83" s="420"/>
      <c r="AZ83" s="308" t="str">
        <f t="shared" si="547"/>
        <v/>
      </c>
      <c r="BA83" s="307" t="str">
        <f t="shared" si="477"/>
        <v/>
      </c>
      <c r="BB83" s="181" t="str">
        <f t="shared" si="524"/>
        <v/>
      </c>
      <c r="BC83" s="9"/>
      <c r="BD83" s="5" t="str">
        <f t="shared" si="525"/>
        <v/>
      </c>
      <c r="BE83" s="6" t="str">
        <f t="shared" si="478"/>
        <v/>
      </c>
      <c r="BF83" s="4" t="str">
        <f t="shared" si="479"/>
        <v/>
      </c>
      <c r="BG83" s="5" t="str">
        <f t="shared" si="480"/>
        <v/>
      </c>
      <c r="BH83" s="10" t="str">
        <f t="shared" si="481"/>
        <v/>
      </c>
      <c r="BI83" s="9" t="str">
        <f t="shared" si="548"/>
        <v/>
      </c>
      <c r="BJ83" s="5" t="str">
        <f t="shared" si="482"/>
        <v/>
      </c>
      <c r="BK83" s="8" t="str">
        <f t="shared" si="483"/>
        <v/>
      </c>
      <c r="BL83" s="177" t="str">
        <f t="shared" si="484"/>
        <v/>
      </c>
      <c r="BM83" s="5" t="str">
        <f t="shared" si="485"/>
        <v/>
      </c>
      <c r="BN83" s="6" t="str">
        <f t="shared" si="486"/>
        <v/>
      </c>
      <c r="BO83" s="4" t="str">
        <f t="shared" si="549"/>
        <v/>
      </c>
      <c r="BP83" s="5" t="str">
        <f t="shared" si="550"/>
        <v/>
      </c>
      <c r="BQ83" s="5" t="str">
        <f t="shared" si="551"/>
        <v/>
      </c>
      <c r="BR83" s="6" t="str">
        <f t="shared" si="552"/>
        <v/>
      </c>
      <c r="BS83" s="4" t="str">
        <f t="shared" si="526"/>
        <v/>
      </c>
      <c r="BT83" s="5" t="str">
        <f t="shared" si="526"/>
        <v/>
      </c>
      <c r="BU83" s="10" t="str">
        <f t="shared" si="527"/>
        <v/>
      </c>
      <c r="BV83" s="9" t="str">
        <f t="shared" si="528"/>
        <v/>
      </c>
      <c r="BW83" s="5" t="str">
        <f t="shared" si="529"/>
        <v/>
      </c>
      <c r="BX83" s="8" t="str">
        <f t="shared" si="530"/>
        <v/>
      </c>
      <c r="BY83" s="177" t="str">
        <f t="shared" si="531"/>
        <v/>
      </c>
      <c r="BZ83" s="5" t="str">
        <f t="shared" si="532"/>
        <v/>
      </c>
      <c r="CA83" s="6" t="str">
        <f t="shared" si="533"/>
        <v/>
      </c>
      <c r="CB83" s="4" t="str">
        <f t="shared" si="553"/>
        <v/>
      </c>
      <c r="CC83" s="5" t="str">
        <f t="shared" si="554"/>
        <v/>
      </c>
      <c r="CD83" s="5" t="str">
        <f t="shared" si="555"/>
        <v/>
      </c>
      <c r="CE83" s="6" t="str">
        <f t="shared" si="556"/>
        <v/>
      </c>
      <c r="CF83" s="4" t="str">
        <f t="shared" si="557"/>
        <v/>
      </c>
      <c r="CG83" s="5" t="str">
        <f t="shared" si="558"/>
        <v/>
      </c>
      <c r="CH83" s="5" t="str">
        <f t="shared" si="559"/>
        <v/>
      </c>
      <c r="CI83" s="4" t="str">
        <f t="shared" si="534"/>
        <v/>
      </c>
      <c r="CJ83" s="5" t="str">
        <f t="shared" si="535"/>
        <v/>
      </c>
      <c r="CK83" s="8" t="str">
        <f t="shared" si="536"/>
        <v/>
      </c>
      <c r="CL83" s="177" t="str">
        <f t="shared" si="537"/>
        <v/>
      </c>
      <c r="CM83" s="5" t="str">
        <f t="shared" si="538"/>
        <v/>
      </c>
      <c r="CN83" s="6" t="str">
        <f t="shared" si="539"/>
        <v/>
      </c>
      <c r="CO83" s="171" t="str">
        <f t="shared" si="487"/>
        <v/>
      </c>
      <c r="CP83" s="4" t="str">
        <f t="shared" si="560"/>
        <v/>
      </c>
      <c r="CQ83" s="5" t="str">
        <f t="shared" si="561"/>
        <v/>
      </c>
      <c r="CR83" s="5" t="str">
        <f t="shared" si="562"/>
        <v/>
      </c>
      <c r="CS83" s="8" t="str">
        <f t="shared" si="563"/>
        <v/>
      </c>
      <c r="CT83" s="9" t="str">
        <f t="shared" si="564"/>
        <v/>
      </c>
      <c r="CU83" s="6" t="str">
        <f t="shared" si="565"/>
        <v/>
      </c>
      <c r="CV83" s="4" t="str">
        <f t="shared" si="566"/>
        <v/>
      </c>
      <c r="CW83" s="5" t="str">
        <f t="shared" si="567"/>
        <v/>
      </c>
      <c r="CX83" s="8" t="str">
        <f t="shared" si="568"/>
        <v/>
      </c>
      <c r="CY83" s="9" t="str">
        <f t="shared" si="569"/>
        <v/>
      </c>
      <c r="CZ83" s="5" t="str">
        <f t="shared" si="570"/>
        <v/>
      </c>
      <c r="DA83" s="6" t="str">
        <f t="shared" si="571"/>
        <v/>
      </c>
      <c r="DB83" s="4" t="str">
        <f t="shared" si="572"/>
        <v/>
      </c>
      <c r="DC83" s="5" t="str">
        <f t="shared" si="572"/>
        <v/>
      </c>
      <c r="DD83" s="10" t="str">
        <f t="shared" si="573"/>
        <v/>
      </c>
      <c r="DE83" s="9" t="str">
        <f t="shared" si="574"/>
        <v/>
      </c>
      <c r="DF83" s="5" t="str">
        <f t="shared" si="574"/>
        <v/>
      </c>
      <c r="DG83" s="10" t="str">
        <f t="shared" si="575"/>
        <v/>
      </c>
      <c r="DH83" s="72" t="str">
        <f t="shared" si="576"/>
        <v/>
      </c>
      <c r="DI83" s="4" t="str">
        <f t="shared" si="577"/>
        <v/>
      </c>
      <c r="DJ83" s="5" t="str">
        <f t="shared" si="578"/>
        <v/>
      </c>
      <c r="DK83" s="10" t="str">
        <f t="shared" si="579"/>
        <v/>
      </c>
      <c r="DL83" s="9" t="str">
        <f t="shared" si="580"/>
        <v/>
      </c>
      <c r="DM83" s="177" t="str">
        <f t="shared" si="581"/>
        <v/>
      </c>
      <c r="DN83" s="182" t="str">
        <f t="shared" si="582"/>
        <v/>
      </c>
      <c r="DO83" s="9" t="str">
        <f t="shared" si="583"/>
        <v/>
      </c>
      <c r="DP83" s="177" t="str">
        <f t="shared" si="584"/>
        <v/>
      </c>
      <c r="DQ83" s="11" t="str">
        <f t="shared" si="585"/>
        <v/>
      </c>
      <c r="DR83" s="177" t="str">
        <f t="shared" si="586"/>
        <v/>
      </c>
      <c r="DS83" s="5" t="str">
        <f t="shared" si="587"/>
        <v/>
      </c>
      <c r="DT83" s="5" t="str">
        <f t="shared" si="588"/>
        <v/>
      </c>
      <c r="DU83" s="5" t="str">
        <f t="shared" si="589"/>
        <v/>
      </c>
      <c r="DV83" s="5" t="str">
        <f t="shared" si="590"/>
        <v/>
      </c>
      <c r="DW83" s="5" t="str">
        <f t="shared" si="591"/>
        <v/>
      </c>
      <c r="DX83" s="171" t="str">
        <f t="shared" si="592"/>
        <v/>
      </c>
      <c r="DY83" s="9" t="str">
        <f t="shared" si="593"/>
        <v/>
      </c>
      <c r="DZ83" s="5" t="str">
        <f t="shared" si="594"/>
        <v/>
      </c>
      <c r="EA83" s="10" t="str">
        <f t="shared" si="595"/>
        <v/>
      </c>
      <c r="EB83" s="6" t="str">
        <f t="shared" si="596"/>
        <v/>
      </c>
      <c r="EC83" s="177" t="str">
        <f t="shared" si="597"/>
        <v/>
      </c>
      <c r="ED83" s="5" t="str">
        <f t="shared" si="598"/>
        <v/>
      </c>
      <c r="EE83" s="4" t="str">
        <f t="shared" si="599"/>
        <v/>
      </c>
      <c r="EF83" s="5" t="str">
        <f t="shared" si="600"/>
        <v/>
      </c>
      <c r="EG83" s="10" t="str">
        <f t="shared" si="601"/>
        <v/>
      </c>
      <c r="EH83" s="9" t="str">
        <f t="shared" si="602"/>
        <v/>
      </c>
      <c r="EI83" s="5" t="str">
        <f t="shared" si="603"/>
        <v/>
      </c>
      <c r="EJ83" s="6" t="str">
        <f t="shared" si="604"/>
        <v/>
      </c>
      <c r="EK83" s="247" t="str">
        <f t="shared" si="605"/>
        <v/>
      </c>
      <c r="EL83" s="249" t="str">
        <f t="shared" si="606"/>
        <v/>
      </c>
      <c r="EM83" s="4" t="str">
        <f t="shared" si="607"/>
        <v/>
      </c>
      <c r="EN83" s="5" t="str">
        <f t="shared" si="608"/>
        <v/>
      </c>
      <c r="EO83" s="10" t="str">
        <f t="shared" si="609"/>
        <v/>
      </c>
      <c r="EP83" s="9" t="str">
        <f t="shared" si="610"/>
        <v/>
      </c>
      <c r="EQ83" s="5" t="str">
        <f t="shared" si="611"/>
        <v/>
      </c>
      <c r="ER83" s="7" t="str">
        <f t="shared" si="612"/>
        <v/>
      </c>
      <c r="ES83" s="21" t="str">
        <f t="shared" si="488"/>
        <v/>
      </c>
      <c r="ET83" s="5" t="str">
        <f t="shared" si="489"/>
        <v/>
      </c>
      <c r="EU83" s="10" t="str">
        <f t="shared" si="490"/>
        <v/>
      </c>
      <c r="EV83" s="178" t="str">
        <f t="shared" si="491"/>
        <v/>
      </c>
      <c r="EW83" s="9" t="str">
        <f t="shared" si="492"/>
        <v/>
      </c>
      <c r="EX83" s="5" t="str">
        <f t="shared" si="493"/>
        <v/>
      </c>
      <c r="EY83" s="6" t="str">
        <f t="shared" si="613"/>
        <v/>
      </c>
      <c r="EZ83" s="52" t="str">
        <f t="shared" si="614"/>
        <v/>
      </c>
      <c r="FA83" s="177" t="str">
        <f t="shared" si="494"/>
        <v/>
      </c>
      <c r="FB83" s="5" t="str">
        <f t="shared" si="495"/>
        <v/>
      </c>
      <c r="FC83" s="6" t="str">
        <f t="shared" si="496"/>
        <v/>
      </c>
      <c r="FD83" s="4" t="str">
        <f t="shared" si="497"/>
        <v/>
      </c>
      <c r="FE83" s="5" t="str">
        <f t="shared" si="498"/>
        <v/>
      </c>
      <c r="FF83" s="7" t="str">
        <f t="shared" si="615"/>
        <v/>
      </c>
      <c r="FG83" s="177" t="str">
        <f t="shared" si="499"/>
        <v/>
      </c>
      <c r="FH83" s="5" t="str">
        <f t="shared" si="500"/>
        <v/>
      </c>
      <c r="FI83" s="10" t="str">
        <f t="shared" si="501"/>
        <v/>
      </c>
      <c r="FJ83" s="290" t="str">
        <f t="shared" si="616"/>
        <v/>
      </c>
      <c r="FK83" s="4" t="str">
        <f t="shared" si="502"/>
        <v/>
      </c>
      <c r="FL83" s="5" t="str">
        <f t="shared" si="540"/>
        <v/>
      </c>
      <c r="FM83" s="8" t="str">
        <f t="shared" si="541"/>
        <v/>
      </c>
      <c r="FN83" s="9" t="str">
        <f t="shared" si="542"/>
        <v/>
      </c>
      <c r="FO83" s="10" t="str">
        <f t="shared" si="503"/>
        <v/>
      </c>
      <c r="FP83" s="288" t="str">
        <f t="shared" si="543"/>
        <v/>
      </c>
      <c r="FQ83" s="177" t="str">
        <f t="shared" si="617"/>
        <v/>
      </c>
      <c r="FR83" s="10" t="str">
        <f t="shared" si="618"/>
        <v/>
      </c>
      <c r="FS83" s="9" t="str">
        <f t="shared" si="619"/>
        <v/>
      </c>
      <c r="FT83" s="6" t="str">
        <f t="shared" si="620"/>
        <v/>
      </c>
      <c r="FU83" s="4" t="str">
        <f t="shared" si="621"/>
        <v/>
      </c>
      <c r="FV83" s="5" t="str">
        <f t="shared" si="622"/>
        <v/>
      </c>
      <c r="FW83" s="8" t="str">
        <f t="shared" si="623"/>
        <v/>
      </c>
      <c r="FX83" s="9" t="str">
        <f t="shared" si="624"/>
        <v/>
      </c>
      <c r="FY83" s="10" t="str">
        <f t="shared" si="504"/>
        <v/>
      </c>
      <c r="FZ83" s="288" t="str">
        <f t="shared" si="625"/>
        <v/>
      </c>
      <c r="GA83" s="181" t="str">
        <f t="shared" si="626"/>
        <v/>
      </c>
      <c r="GB83" s="4" t="str">
        <f t="shared" si="627"/>
        <v/>
      </c>
      <c r="GC83" s="5" t="str">
        <f t="shared" si="628"/>
        <v/>
      </c>
      <c r="GD83" s="10" t="str">
        <f t="shared" si="629"/>
        <v/>
      </c>
      <c r="GE83" s="324" t="str">
        <f t="shared" si="630"/>
        <v/>
      </c>
      <c r="GF83" s="362" t="str">
        <f t="shared" si="631"/>
        <v/>
      </c>
      <c r="GG83" s="296" t="str">
        <f t="shared" si="505"/>
        <v/>
      </c>
      <c r="GH83" s="297" t="str">
        <f t="shared" si="506"/>
        <v/>
      </c>
      <c r="GI83" s="292" t="str">
        <f t="shared" si="507"/>
        <v/>
      </c>
      <c r="GJ83" s="171" t="str">
        <f t="shared" si="632"/>
        <v/>
      </c>
      <c r="GK83" s="178" t="str">
        <f t="shared" si="508"/>
        <v/>
      </c>
      <c r="GL83" s="178" t="str">
        <f t="shared" si="633"/>
        <v/>
      </c>
      <c r="GM83" s="181" t="str">
        <f t="shared" si="634"/>
        <v/>
      </c>
      <c r="GN83" s="291" t="str">
        <f t="shared" si="635"/>
        <v/>
      </c>
      <c r="GO83" s="4" t="str">
        <f t="shared" si="636"/>
        <v/>
      </c>
      <c r="GP83" s="8" t="str">
        <f t="shared" si="637"/>
        <v/>
      </c>
      <c r="GQ83" s="181" t="str">
        <f t="shared" si="638"/>
        <v/>
      </c>
      <c r="GR83" s="417" t="str">
        <f t="shared" si="639"/>
        <v/>
      </c>
      <c r="GS83" s="363" t="str">
        <f t="shared" si="509"/>
        <v/>
      </c>
      <c r="GT83" s="364" t="str">
        <f t="shared" si="510"/>
        <v/>
      </c>
      <c r="GU83" s="365" t="str">
        <f t="shared" si="511"/>
        <v/>
      </c>
      <c r="GV83" s="364" t="str">
        <f t="shared" si="640"/>
        <v/>
      </c>
      <c r="GW83" s="366" t="str">
        <f t="shared" si="512"/>
        <v/>
      </c>
      <c r="GX83" s="367" t="str">
        <f t="shared" si="513"/>
        <v/>
      </c>
      <c r="GY83" s="365" t="str">
        <f t="shared" si="514"/>
        <v/>
      </c>
      <c r="GZ83" s="366" t="str">
        <f t="shared" si="515"/>
        <v/>
      </c>
      <c r="HA83" s="363" t="str">
        <f t="shared" si="516"/>
        <v/>
      </c>
      <c r="HB83" s="5" t="str">
        <f t="shared" si="641"/>
        <v/>
      </c>
      <c r="HC83" s="364" t="str">
        <f t="shared" si="642"/>
        <v/>
      </c>
      <c r="HD83" s="405" t="str">
        <f t="shared" si="643"/>
        <v/>
      </c>
      <c r="HE83" s="365" t="str">
        <f t="shared" si="517"/>
        <v/>
      </c>
      <c r="HF83" s="5" t="str">
        <f t="shared" si="518"/>
        <v/>
      </c>
      <c r="HG83" s="364" t="str">
        <f t="shared" si="644"/>
        <v/>
      </c>
      <c r="HH83" s="370" t="str">
        <f t="shared" si="645"/>
        <v/>
      </c>
      <c r="HI83" s="335" t="str">
        <f t="shared" si="519"/>
        <v/>
      </c>
      <c r="HK83" s="323" t="str">
        <f t="shared" si="238"/>
        <v/>
      </c>
      <c r="HL83" s="322" t="str">
        <f t="shared" si="544"/>
        <v/>
      </c>
      <c r="HM83" s="369" t="str">
        <f t="shared" si="649"/>
        <v/>
      </c>
      <c r="HN83" s="384" t="str">
        <f t="shared" si="649"/>
        <v/>
      </c>
      <c r="HO83" s="385" t="str">
        <f t="shared" si="649"/>
        <v/>
      </c>
      <c r="HP83" s="380" t="str">
        <f t="shared" si="649"/>
        <v/>
      </c>
      <c r="HQ83" s="384" t="str">
        <f t="shared" si="649"/>
        <v/>
      </c>
      <c r="HR83" s="395" t="str">
        <f t="shared" si="649"/>
        <v/>
      </c>
      <c r="HS83" s="379" t="str">
        <f t="shared" si="649"/>
        <v/>
      </c>
      <c r="HT83" s="374" t="str">
        <f t="shared" si="649"/>
        <v/>
      </c>
      <c r="HU83" s="375" t="str">
        <f t="shared" si="649"/>
        <v/>
      </c>
      <c r="HV83" s="376" t="str">
        <f t="shared" si="649"/>
        <v/>
      </c>
      <c r="HW83" s="374" t="str">
        <f t="shared" si="649"/>
        <v/>
      </c>
      <c r="HX83" s="375" t="str">
        <f t="shared" si="649"/>
        <v/>
      </c>
      <c r="HY83" s="376" t="str">
        <f t="shared" si="649"/>
        <v/>
      </c>
      <c r="HZ83" s="374" t="str">
        <f t="shared" si="649"/>
        <v/>
      </c>
      <c r="IA83" s="375" t="str">
        <f t="shared" si="649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6"/>
        <v>4.242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4.1420000000000003</v>
      </c>
      <c r="II83" s="734" cm="1">
        <f t="array" ref="II83">IFERROR(ROUND(VALUE(IF($IH83&lt;1,$IH83+LARGE((IF($M$9:$M$150="",0,$M$9:$M$150)-MOD(IF($M$9:$M$150="",0,$M$9:$M$150),1)),1),$IH83)),4),"")</f>
        <v>4.1420000000000003</v>
      </c>
      <c r="IJ83" s="533">
        <f t="shared" si="545"/>
        <v>1613</v>
      </c>
      <c r="IK83" s="533" t="str">
        <f>IF(ISNUMBER($II83),INDEX($K$9:$K$150,MATCH($IG83,$M$9:$M$150,0)),"")</f>
        <v>Inactive</v>
      </c>
      <c r="IL83" s="727">
        <f>IF(ISNUMBER($II83),IFERROR(IF(INDEX($W$9:$W$150,MATCH($II83,$M$9:$M$150,0))&lt;$W83,((INDEX($W$9:$W$150,MATCH($II83,$M$9:$M$150,0))+360)-$W83),INDEX($W$9:$W$150,MATCH($II83,$M$9:$M$150,0))-$W83),""),"")</f>
        <v>15.745897726573617</v>
      </c>
      <c r="IM83" s="759">
        <v>2.4088457265203901E-4</v>
      </c>
      <c r="IN83" s="5">
        <f t="shared" si="652"/>
        <v>0</v>
      </c>
      <c r="IO83" s="771">
        <v>0</v>
      </c>
      <c r="IP83" s="9">
        <f t="shared" si="653"/>
        <v>-6.3119190367478142</v>
      </c>
      <c r="IQ83" s="5">
        <f t="shared" si="654"/>
        <v>-1.3524040788507015</v>
      </c>
      <c r="IR83" s="5">
        <f t="shared" si="521"/>
        <v>0.314</v>
      </c>
      <c r="IS83" s="5">
        <f t="shared" si="655"/>
        <v>0.27834929996374069</v>
      </c>
      <c r="IT83" s="727">
        <f t="shared" si="656"/>
        <v>59.697602797236854</v>
      </c>
      <c r="IU83" s="9">
        <f t="shared" si="657"/>
        <v>-6.3281190856071632</v>
      </c>
      <c r="IV83" s="5">
        <f t="shared" si="658"/>
        <v>-1.3425040489922111</v>
      </c>
      <c r="IW83" s="5">
        <f t="shared" si="522"/>
        <v>0.26250000000000001</v>
      </c>
      <c r="IX83" s="5">
        <f t="shared" si="659"/>
        <v>0.26250000000000001</v>
      </c>
      <c r="IY83" s="762">
        <f t="shared" si="660"/>
        <v>38.799994397973926</v>
      </c>
    </row>
    <row r="84" spans="1:259" ht="15" customHeight="1" x14ac:dyDescent="0.25">
      <c r="A84" s="79"/>
      <c r="B84" s="707">
        <v>-3.1789686407286277</v>
      </c>
      <c r="C84" s="708">
        <v>-5.9018083408346094</v>
      </c>
      <c r="D84" s="709">
        <v>-2.0060060501142472</v>
      </c>
      <c r="E84" s="710">
        <v>-0.35572026248460603</v>
      </c>
      <c r="F84" s="708">
        <v>-0.66040108277963794</v>
      </c>
      <c r="G84" s="711">
        <v>0.6613119571891658</v>
      </c>
      <c r="H84" s="710">
        <v>0.26250000000000001</v>
      </c>
      <c r="I84" s="708">
        <v>0.40699999999999997</v>
      </c>
      <c r="J84" s="570">
        <v>4.2480000000000002</v>
      </c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Inactive</v>
      </c>
      <c r="L84" s="1314">
        <f t="shared" si="650"/>
        <v>0</v>
      </c>
      <c r="M84" s="168">
        <f t="shared" si="467"/>
        <v>4.2480000000000002</v>
      </c>
      <c r="N84" s="632">
        <f t="shared" si="468"/>
        <v>-3.1789686407286277</v>
      </c>
      <c r="O84" s="629">
        <f t="shared" si="469"/>
        <v>-5.9018083408346094</v>
      </c>
      <c r="P84" s="633">
        <f t="shared" si="470"/>
        <v>-2.0060060501142472</v>
      </c>
      <c r="Q84" s="585">
        <f t="shared" si="523"/>
        <v>241.69117809850366</v>
      </c>
      <c r="R84" s="629">
        <f t="shared" si="79"/>
        <v>6.7035202178169779</v>
      </c>
      <c r="S84" s="634">
        <f t="shared" si="80"/>
        <v>-2.0060060501142472</v>
      </c>
      <c r="T84" s="635">
        <f t="shared" si="81"/>
        <v>-5.9018083408346111</v>
      </c>
      <c r="U84" s="629">
        <f t="shared" si="82"/>
        <v>3.1789686407286251</v>
      </c>
      <c r="V84" s="636">
        <f t="shared" si="114"/>
        <v>-2.0060060501142472</v>
      </c>
      <c r="W84" s="585">
        <f t="shared" si="648"/>
        <v>151.69117809850366</v>
      </c>
      <c r="X84" s="629">
        <f t="shared" si="83"/>
        <v>6.7035202178169779</v>
      </c>
      <c r="Y84" s="630">
        <f t="shared" si="647"/>
        <v>-2.0060060501142472</v>
      </c>
      <c r="Z84" s="632">
        <f t="shared" si="471"/>
        <v>0.35572026248460603</v>
      </c>
      <c r="AA84" s="629">
        <f t="shared" si="472"/>
        <v>0.66040108277963794</v>
      </c>
      <c r="AB84" s="629">
        <f t="shared" si="473"/>
        <v>-0.6613119571891658</v>
      </c>
      <c r="AC84" s="636">
        <f t="shared" si="84"/>
        <v>1</v>
      </c>
      <c r="AD84" s="637">
        <f t="shared" si="115"/>
        <v>0.35572026248460603</v>
      </c>
      <c r="AE84" s="629">
        <f t="shared" si="85"/>
        <v>0.66040108277963794</v>
      </c>
      <c r="AF84" s="633">
        <f t="shared" si="86"/>
        <v>-0.6613119571891658</v>
      </c>
      <c r="AG84" s="602">
        <f t="shared" si="87"/>
        <v>44.960513931926315</v>
      </c>
      <c r="AH84" s="603">
        <f t="shared" si="88"/>
        <v>69.162405944689837</v>
      </c>
      <c r="AI84" s="585">
        <f t="shared" si="89"/>
        <v>-48.599992983030468</v>
      </c>
      <c r="AJ84" s="586">
        <f t="shared" si="90"/>
        <v>151.69119542179391</v>
      </c>
      <c r="AK84" s="635">
        <f t="shared" si="211"/>
        <v>2.2679489636301398E-7</v>
      </c>
      <c r="AL84" s="629">
        <f t="shared" si="91"/>
        <v>-0.75011098864007031</v>
      </c>
      <c r="AM84" s="634">
        <f t="shared" si="92"/>
        <v>-0.6613119571891658</v>
      </c>
      <c r="AN84" s="581">
        <f t="shared" si="93"/>
        <v>-48.599992983029189</v>
      </c>
      <c r="AO84" s="582">
        <f t="shared" si="463"/>
        <v>0</v>
      </c>
      <c r="AP84" s="585">
        <f t="shared" si="95"/>
        <v>-89.999982676709749</v>
      </c>
      <c r="AQ84" s="586">
        <f t="shared" si="474"/>
        <v>0.3400750332279549</v>
      </c>
      <c r="AS84" s="52">
        <f t="shared" si="546"/>
        <v>-208.30882190149634</v>
      </c>
      <c r="AT84" s="72">
        <f t="shared" si="475"/>
        <v>-1.8613471460159858</v>
      </c>
      <c r="AU84" s="469"/>
      <c r="AV84" s="168" t="str">
        <f t="shared" si="476"/>
        <v/>
      </c>
      <c r="AW84" s="418"/>
      <c r="AX84" s="419"/>
      <c r="AY84" s="420"/>
      <c r="AZ84" s="308" t="str">
        <f t="shared" si="547"/>
        <v/>
      </c>
      <c r="BA84" s="307" t="str">
        <f t="shared" si="477"/>
        <v/>
      </c>
      <c r="BB84" s="181" t="str">
        <f t="shared" si="524"/>
        <v/>
      </c>
      <c r="BC84" s="9"/>
      <c r="BD84" s="5" t="str">
        <f t="shared" si="525"/>
        <v/>
      </c>
      <c r="BE84" s="6" t="str">
        <f t="shared" si="478"/>
        <v/>
      </c>
      <c r="BF84" s="4" t="str">
        <f t="shared" si="479"/>
        <v/>
      </c>
      <c r="BG84" s="5" t="str">
        <f t="shared" si="480"/>
        <v/>
      </c>
      <c r="BH84" s="10" t="str">
        <f t="shared" si="481"/>
        <v/>
      </c>
      <c r="BI84" s="9" t="str">
        <f t="shared" si="548"/>
        <v/>
      </c>
      <c r="BJ84" s="5" t="str">
        <f t="shared" si="482"/>
        <v/>
      </c>
      <c r="BK84" s="8" t="str">
        <f t="shared" si="483"/>
        <v/>
      </c>
      <c r="BL84" s="177" t="str">
        <f t="shared" si="484"/>
        <v/>
      </c>
      <c r="BM84" s="5" t="str">
        <f t="shared" si="485"/>
        <v/>
      </c>
      <c r="BN84" s="6" t="str">
        <f t="shared" si="486"/>
        <v/>
      </c>
      <c r="BO84" s="4" t="str">
        <f t="shared" si="549"/>
        <v/>
      </c>
      <c r="BP84" s="5" t="str">
        <f t="shared" si="550"/>
        <v/>
      </c>
      <c r="BQ84" s="5" t="str">
        <f t="shared" si="551"/>
        <v/>
      </c>
      <c r="BR84" s="6" t="str">
        <f t="shared" si="552"/>
        <v/>
      </c>
      <c r="BS84" s="4" t="str">
        <f t="shared" si="526"/>
        <v/>
      </c>
      <c r="BT84" s="5" t="str">
        <f t="shared" si="526"/>
        <v/>
      </c>
      <c r="BU84" s="10" t="str">
        <f t="shared" si="527"/>
        <v/>
      </c>
      <c r="BV84" s="9" t="str">
        <f t="shared" si="528"/>
        <v/>
      </c>
      <c r="BW84" s="5" t="str">
        <f t="shared" si="529"/>
        <v/>
      </c>
      <c r="BX84" s="8" t="str">
        <f t="shared" si="530"/>
        <v/>
      </c>
      <c r="BY84" s="177" t="str">
        <f t="shared" si="531"/>
        <v/>
      </c>
      <c r="BZ84" s="5" t="str">
        <f t="shared" si="532"/>
        <v/>
      </c>
      <c r="CA84" s="6" t="str">
        <f t="shared" si="533"/>
        <v/>
      </c>
      <c r="CB84" s="4" t="str">
        <f t="shared" si="553"/>
        <v/>
      </c>
      <c r="CC84" s="5" t="str">
        <f t="shared" si="554"/>
        <v/>
      </c>
      <c r="CD84" s="5" t="str">
        <f t="shared" si="555"/>
        <v/>
      </c>
      <c r="CE84" s="6" t="str">
        <f t="shared" si="556"/>
        <v/>
      </c>
      <c r="CF84" s="4" t="str">
        <f t="shared" si="557"/>
        <v/>
      </c>
      <c r="CG84" s="5" t="str">
        <f t="shared" si="558"/>
        <v/>
      </c>
      <c r="CH84" s="5" t="str">
        <f t="shared" si="559"/>
        <v/>
      </c>
      <c r="CI84" s="4" t="str">
        <f t="shared" si="534"/>
        <v/>
      </c>
      <c r="CJ84" s="5" t="str">
        <f t="shared" si="535"/>
        <v/>
      </c>
      <c r="CK84" s="8" t="str">
        <f t="shared" si="536"/>
        <v/>
      </c>
      <c r="CL84" s="177" t="str">
        <f t="shared" si="537"/>
        <v/>
      </c>
      <c r="CM84" s="5" t="str">
        <f t="shared" si="538"/>
        <v/>
      </c>
      <c r="CN84" s="6" t="str">
        <f t="shared" si="539"/>
        <v/>
      </c>
      <c r="CO84" s="171" t="str">
        <f t="shared" si="487"/>
        <v/>
      </c>
      <c r="CP84" s="4" t="str">
        <f t="shared" si="560"/>
        <v/>
      </c>
      <c r="CQ84" s="5" t="str">
        <f t="shared" si="561"/>
        <v/>
      </c>
      <c r="CR84" s="5" t="str">
        <f t="shared" si="562"/>
        <v/>
      </c>
      <c r="CS84" s="8" t="str">
        <f t="shared" si="563"/>
        <v/>
      </c>
      <c r="CT84" s="9" t="str">
        <f t="shared" si="564"/>
        <v/>
      </c>
      <c r="CU84" s="6" t="str">
        <f t="shared" si="565"/>
        <v/>
      </c>
      <c r="CV84" s="4" t="str">
        <f t="shared" si="566"/>
        <v/>
      </c>
      <c r="CW84" s="5" t="str">
        <f t="shared" si="567"/>
        <v/>
      </c>
      <c r="CX84" s="8" t="str">
        <f t="shared" si="568"/>
        <v/>
      </c>
      <c r="CY84" s="9" t="str">
        <f t="shared" si="569"/>
        <v/>
      </c>
      <c r="CZ84" s="5" t="str">
        <f t="shared" si="570"/>
        <v/>
      </c>
      <c r="DA84" s="6" t="str">
        <f t="shared" si="571"/>
        <v/>
      </c>
      <c r="DB84" s="4" t="str">
        <f t="shared" si="572"/>
        <v/>
      </c>
      <c r="DC84" s="5" t="str">
        <f t="shared" si="572"/>
        <v/>
      </c>
      <c r="DD84" s="10" t="str">
        <f t="shared" si="573"/>
        <v/>
      </c>
      <c r="DE84" s="9" t="str">
        <f t="shared" si="574"/>
        <v/>
      </c>
      <c r="DF84" s="5" t="str">
        <f t="shared" si="574"/>
        <v/>
      </c>
      <c r="DG84" s="10" t="str">
        <f t="shared" si="575"/>
        <v/>
      </c>
      <c r="DH84" s="72" t="str">
        <f t="shared" si="576"/>
        <v/>
      </c>
      <c r="DI84" s="4" t="str">
        <f t="shared" si="577"/>
        <v/>
      </c>
      <c r="DJ84" s="5" t="str">
        <f t="shared" si="578"/>
        <v/>
      </c>
      <c r="DK84" s="10" t="str">
        <f t="shared" si="579"/>
        <v/>
      </c>
      <c r="DL84" s="9" t="str">
        <f t="shared" si="580"/>
        <v/>
      </c>
      <c r="DM84" s="177" t="str">
        <f t="shared" si="581"/>
        <v/>
      </c>
      <c r="DN84" s="182" t="str">
        <f t="shared" si="582"/>
        <v/>
      </c>
      <c r="DO84" s="9" t="str">
        <f t="shared" si="583"/>
        <v/>
      </c>
      <c r="DP84" s="177" t="str">
        <f t="shared" si="584"/>
        <v/>
      </c>
      <c r="DQ84" s="11" t="str">
        <f t="shared" si="585"/>
        <v/>
      </c>
      <c r="DR84" s="177" t="str">
        <f t="shared" si="586"/>
        <v/>
      </c>
      <c r="DS84" s="5" t="str">
        <f t="shared" si="587"/>
        <v/>
      </c>
      <c r="DT84" s="5" t="str">
        <f t="shared" si="588"/>
        <v/>
      </c>
      <c r="DU84" s="5" t="str">
        <f t="shared" si="589"/>
        <v/>
      </c>
      <c r="DV84" s="5" t="str">
        <f t="shared" si="590"/>
        <v/>
      </c>
      <c r="DW84" s="5" t="str">
        <f t="shared" si="591"/>
        <v/>
      </c>
      <c r="DX84" s="171" t="str">
        <f t="shared" si="592"/>
        <v/>
      </c>
      <c r="DY84" s="9" t="str">
        <f t="shared" si="593"/>
        <v/>
      </c>
      <c r="DZ84" s="5" t="str">
        <f t="shared" si="594"/>
        <v/>
      </c>
      <c r="EA84" s="10" t="str">
        <f t="shared" si="595"/>
        <v/>
      </c>
      <c r="EB84" s="6" t="str">
        <f t="shared" si="596"/>
        <v/>
      </c>
      <c r="EC84" s="177" t="str">
        <f t="shared" si="597"/>
        <v/>
      </c>
      <c r="ED84" s="5" t="str">
        <f t="shared" si="598"/>
        <v/>
      </c>
      <c r="EE84" s="4" t="str">
        <f t="shared" si="599"/>
        <v/>
      </c>
      <c r="EF84" s="5" t="str">
        <f t="shared" si="600"/>
        <v/>
      </c>
      <c r="EG84" s="10" t="str">
        <f t="shared" si="601"/>
        <v/>
      </c>
      <c r="EH84" s="9" t="str">
        <f t="shared" si="602"/>
        <v/>
      </c>
      <c r="EI84" s="5" t="str">
        <f t="shared" si="603"/>
        <v/>
      </c>
      <c r="EJ84" s="6" t="str">
        <f t="shared" si="604"/>
        <v/>
      </c>
      <c r="EK84" s="247" t="str">
        <f t="shared" si="605"/>
        <v/>
      </c>
      <c r="EL84" s="249" t="str">
        <f t="shared" si="606"/>
        <v/>
      </c>
      <c r="EM84" s="4" t="str">
        <f t="shared" si="607"/>
        <v/>
      </c>
      <c r="EN84" s="5" t="str">
        <f t="shared" si="608"/>
        <v/>
      </c>
      <c r="EO84" s="10" t="str">
        <f t="shared" si="609"/>
        <v/>
      </c>
      <c r="EP84" s="9" t="str">
        <f t="shared" si="610"/>
        <v/>
      </c>
      <c r="EQ84" s="5" t="str">
        <f t="shared" si="611"/>
        <v/>
      </c>
      <c r="ER84" s="7" t="str">
        <f t="shared" si="612"/>
        <v/>
      </c>
      <c r="ES84" s="21" t="str">
        <f t="shared" si="488"/>
        <v/>
      </c>
      <c r="ET84" s="5" t="str">
        <f t="shared" si="489"/>
        <v/>
      </c>
      <c r="EU84" s="10" t="str">
        <f t="shared" si="490"/>
        <v/>
      </c>
      <c r="EV84" s="178" t="str">
        <f t="shared" si="491"/>
        <v/>
      </c>
      <c r="EW84" s="9" t="str">
        <f t="shared" si="492"/>
        <v/>
      </c>
      <c r="EX84" s="5" t="str">
        <f t="shared" si="493"/>
        <v/>
      </c>
      <c r="EY84" s="6" t="str">
        <f t="shared" si="613"/>
        <v/>
      </c>
      <c r="EZ84" s="52" t="str">
        <f t="shared" si="614"/>
        <v/>
      </c>
      <c r="FA84" s="177" t="str">
        <f t="shared" si="494"/>
        <v/>
      </c>
      <c r="FB84" s="5" t="str">
        <f t="shared" si="495"/>
        <v/>
      </c>
      <c r="FC84" s="6" t="str">
        <f t="shared" si="496"/>
        <v/>
      </c>
      <c r="FD84" s="4" t="str">
        <f t="shared" si="497"/>
        <v/>
      </c>
      <c r="FE84" s="5" t="str">
        <f t="shared" si="498"/>
        <v/>
      </c>
      <c r="FF84" s="7" t="str">
        <f t="shared" si="615"/>
        <v/>
      </c>
      <c r="FG84" s="177" t="str">
        <f t="shared" si="499"/>
        <v/>
      </c>
      <c r="FH84" s="5" t="str">
        <f t="shared" si="500"/>
        <v/>
      </c>
      <c r="FI84" s="10" t="str">
        <f t="shared" si="501"/>
        <v/>
      </c>
      <c r="FJ84" s="290" t="str">
        <f t="shared" si="616"/>
        <v/>
      </c>
      <c r="FK84" s="4" t="str">
        <f t="shared" si="502"/>
        <v/>
      </c>
      <c r="FL84" s="5" t="str">
        <f t="shared" si="540"/>
        <v/>
      </c>
      <c r="FM84" s="8" t="str">
        <f t="shared" si="541"/>
        <v/>
      </c>
      <c r="FN84" s="9" t="str">
        <f t="shared" si="542"/>
        <v/>
      </c>
      <c r="FO84" s="10" t="str">
        <f t="shared" si="503"/>
        <v/>
      </c>
      <c r="FP84" s="288" t="str">
        <f t="shared" si="543"/>
        <v/>
      </c>
      <c r="FQ84" s="177" t="str">
        <f t="shared" si="617"/>
        <v/>
      </c>
      <c r="FR84" s="10" t="str">
        <f t="shared" si="618"/>
        <v/>
      </c>
      <c r="FS84" s="9" t="str">
        <f t="shared" si="619"/>
        <v/>
      </c>
      <c r="FT84" s="6" t="str">
        <f t="shared" si="620"/>
        <v/>
      </c>
      <c r="FU84" s="4" t="str">
        <f t="shared" si="621"/>
        <v/>
      </c>
      <c r="FV84" s="5" t="str">
        <f t="shared" si="622"/>
        <v/>
      </c>
      <c r="FW84" s="8" t="str">
        <f t="shared" si="623"/>
        <v/>
      </c>
      <c r="FX84" s="9" t="str">
        <f t="shared" si="624"/>
        <v/>
      </c>
      <c r="FY84" s="10" t="str">
        <f t="shared" si="504"/>
        <v/>
      </c>
      <c r="FZ84" s="288" t="str">
        <f t="shared" si="625"/>
        <v/>
      </c>
      <c r="GA84" s="181" t="str">
        <f t="shared" si="626"/>
        <v/>
      </c>
      <c r="GB84" s="4" t="str">
        <f t="shared" si="627"/>
        <v/>
      </c>
      <c r="GC84" s="5" t="str">
        <f t="shared" si="628"/>
        <v/>
      </c>
      <c r="GD84" s="10" t="str">
        <f t="shared" si="629"/>
        <v/>
      </c>
      <c r="GE84" s="324" t="str">
        <f t="shared" si="630"/>
        <v/>
      </c>
      <c r="GF84" s="362" t="str">
        <f t="shared" si="631"/>
        <v/>
      </c>
      <c r="GG84" s="296" t="str">
        <f t="shared" si="505"/>
        <v/>
      </c>
      <c r="GH84" s="297" t="str">
        <f t="shared" si="506"/>
        <v/>
      </c>
      <c r="GI84" s="292" t="str">
        <f t="shared" si="507"/>
        <v/>
      </c>
      <c r="GJ84" s="171" t="str">
        <f t="shared" si="632"/>
        <v/>
      </c>
      <c r="GK84" s="178" t="str">
        <f t="shared" si="508"/>
        <v/>
      </c>
      <c r="GL84" s="178" t="str">
        <f t="shared" si="633"/>
        <v/>
      </c>
      <c r="GM84" s="181" t="str">
        <f t="shared" si="634"/>
        <v/>
      </c>
      <c r="GN84" s="291" t="str">
        <f t="shared" si="635"/>
        <v/>
      </c>
      <c r="GO84" s="4" t="str">
        <f t="shared" si="636"/>
        <v/>
      </c>
      <c r="GP84" s="8" t="str">
        <f t="shared" si="637"/>
        <v/>
      </c>
      <c r="GQ84" s="181" t="str">
        <f t="shared" si="638"/>
        <v/>
      </c>
      <c r="GR84" s="417" t="str">
        <f t="shared" si="639"/>
        <v/>
      </c>
      <c r="GS84" s="363" t="str">
        <f t="shared" si="509"/>
        <v/>
      </c>
      <c r="GT84" s="364" t="str">
        <f t="shared" si="510"/>
        <v/>
      </c>
      <c r="GU84" s="365" t="str">
        <f t="shared" si="511"/>
        <v/>
      </c>
      <c r="GV84" s="364" t="str">
        <f t="shared" si="640"/>
        <v/>
      </c>
      <c r="GW84" s="366" t="str">
        <f t="shared" si="512"/>
        <v/>
      </c>
      <c r="GX84" s="367" t="str">
        <f t="shared" si="513"/>
        <v/>
      </c>
      <c r="GY84" s="365" t="str">
        <f t="shared" si="514"/>
        <v/>
      </c>
      <c r="GZ84" s="366" t="str">
        <f t="shared" si="515"/>
        <v/>
      </c>
      <c r="HA84" s="363" t="str">
        <f t="shared" si="516"/>
        <v/>
      </c>
      <c r="HB84" s="5" t="str">
        <f t="shared" si="641"/>
        <v/>
      </c>
      <c r="HC84" s="364" t="str">
        <f t="shared" si="642"/>
        <v/>
      </c>
      <c r="HD84" s="405" t="str">
        <f t="shared" si="643"/>
        <v/>
      </c>
      <c r="HE84" s="365" t="str">
        <f t="shared" si="517"/>
        <v/>
      </c>
      <c r="HF84" s="5" t="str">
        <f t="shared" si="518"/>
        <v/>
      </c>
      <c r="HG84" s="364" t="str">
        <f t="shared" si="644"/>
        <v/>
      </c>
      <c r="HH84" s="370" t="str">
        <f t="shared" si="645"/>
        <v/>
      </c>
      <c r="HI84" s="335" t="str">
        <f t="shared" si="519"/>
        <v/>
      </c>
      <c r="HK84" s="323" t="str">
        <f t="shared" si="238"/>
        <v/>
      </c>
      <c r="HL84" s="322" t="str">
        <f t="shared" si="544"/>
        <v/>
      </c>
      <c r="HM84" s="369" t="str">
        <f t="shared" si="649"/>
        <v/>
      </c>
      <c r="HN84" s="384" t="str">
        <f t="shared" si="649"/>
        <v/>
      </c>
      <c r="HO84" s="385" t="str">
        <f t="shared" si="649"/>
        <v/>
      </c>
      <c r="HP84" s="380" t="str">
        <f t="shared" si="649"/>
        <v/>
      </c>
      <c r="HQ84" s="384" t="str">
        <f t="shared" si="649"/>
        <v/>
      </c>
      <c r="HR84" s="395" t="str">
        <f t="shared" si="649"/>
        <v/>
      </c>
      <c r="HS84" s="379" t="str">
        <f t="shared" si="649"/>
        <v/>
      </c>
      <c r="HT84" s="374" t="str">
        <f t="shared" si="649"/>
        <v/>
      </c>
      <c r="HU84" s="375" t="str">
        <f t="shared" si="649"/>
        <v/>
      </c>
      <c r="HV84" s="376" t="str">
        <f t="shared" si="649"/>
        <v/>
      </c>
      <c r="HW84" s="374" t="str">
        <f t="shared" si="649"/>
        <v/>
      </c>
      <c r="HX84" s="375" t="str">
        <f t="shared" si="649"/>
        <v/>
      </c>
      <c r="HY84" s="376" t="str">
        <f t="shared" si="649"/>
        <v/>
      </c>
      <c r="HZ84" s="374" t="str">
        <f t="shared" si="649"/>
        <v/>
      </c>
      <c r="IA84" s="375" t="str">
        <f t="shared" si="649"/>
        <v/>
      </c>
      <c r="IB84" s="872"/>
      <c r="IE84" s="849" t="str">
        <f>IFERROR(IF($IU84="","",IF($IU84&lt;(((Settings!$C$19/2)*-1)*$IE$8),"Taper","Nose")),"")</f>
        <v>Taper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6"/>
        <v>4.2480000000000002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4.1479999999999997</v>
      </c>
      <c r="II84" s="734" cm="1">
        <f t="array" ref="II84">IFERROR(ROUND(VALUE(IF($IH84&lt;1,$IH84+LARGE((IF($M$9:$M$150="",0,$M$9:$M$150)-MOD(IF($M$9:$M$150="",0,$M$9:$M$150),1)),1),$IH84)),4),"")</f>
        <v>4.1479999999999997</v>
      </c>
      <c r="IJ84" s="533">
        <f t="shared" si="545"/>
        <v>1613</v>
      </c>
      <c r="IK84" s="533" t="str">
        <f t="shared" si="520"/>
        <v>Inactive</v>
      </c>
      <c r="IL84" s="727">
        <f t="shared" si="651"/>
        <v>15.864497709449893</v>
      </c>
      <c r="IM84" s="759">
        <v>3.9318025864091898E-4</v>
      </c>
      <c r="IN84" s="5">
        <f t="shared" si="652"/>
        <v>0</v>
      </c>
      <c r="IO84" s="771">
        <v>0</v>
      </c>
      <c r="IP84" s="9">
        <f t="shared" si="653"/>
        <v>-6.6898201764976521</v>
      </c>
      <c r="IQ84" s="5">
        <f t="shared" si="654"/>
        <v>-2.0078060555430639</v>
      </c>
      <c r="IR84" s="5">
        <f t="shared" si="521"/>
        <v>0.314</v>
      </c>
      <c r="IS84" s="5">
        <f t="shared" si="655"/>
        <v>0.26969483631656432</v>
      </c>
      <c r="IT84" s="727">
        <f t="shared" si="656"/>
        <v>70.224678577040009</v>
      </c>
      <c r="IU84" s="9">
        <f t="shared" si="657"/>
        <v>-6.7035202178169779</v>
      </c>
      <c r="IV84" s="5">
        <f t="shared" si="658"/>
        <v>-2.0060060501142472</v>
      </c>
      <c r="IW84" s="5">
        <f t="shared" si="522"/>
        <v>0.26250000000000001</v>
      </c>
      <c r="IX84" s="5">
        <f t="shared" si="659"/>
        <v>0.26250000000000001</v>
      </c>
      <c r="IY84" s="762">
        <f t="shared" si="660"/>
        <v>48.599992983029189</v>
      </c>
    </row>
    <row r="85" spans="1:259" ht="15" customHeight="1" x14ac:dyDescent="0.25">
      <c r="A85" s="79"/>
      <c r="B85" s="707">
        <v>-3.3093381210256156</v>
      </c>
      <c r="C85" s="708">
        <v>-6.0815135709308503</v>
      </c>
      <c r="D85" s="709">
        <v>-2.7225082110847643</v>
      </c>
      <c r="E85" s="710">
        <v>-0.40578951133784696</v>
      </c>
      <c r="F85" s="708">
        <v>-0.74571285862430503</v>
      </c>
      <c r="G85" s="711">
        <v>0.52843845901917352</v>
      </c>
      <c r="H85" s="710">
        <v>0.26250000000000001</v>
      </c>
      <c r="I85" s="708">
        <v>0.40699999999999997</v>
      </c>
      <c r="J85" s="570">
        <v>4.2539999999999996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Inactive</v>
      </c>
      <c r="L85" s="1314">
        <f t="shared" si="650"/>
        <v>0</v>
      </c>
      <c r="M85" s="168">
        <f t="shared" si="467"/>
        <v>4.2539999999999996</v>
      </c>
      <c r="N85" s="632">
        <f t="shared" si="468"/>
        <v>-3.3093381210256156</v>
      </c>
      <c r="O85" s="629">
        <f t="shared" si="469"/>
        <v>-6.0815135709308503</v>
      </c>
      <c r="P85" s="633">
        <f t="shared" si="470"/>
        <v>-2.7225082110847643</v>
      </c>
      <c r="Q85" s="585">
        <f t="shared" si="523"/>
        <v>241.44657813381951</v>
      </c>
      <c r="R85" s="629">
        <f t="shared" si="79"/>
        <v>6.923620881640578</v>
      </c>
      <c r="S85" s="634">
        <f t="shared" si="80"/>
        <v>-2.7225082110847643</v>
      </c>
      <c r="T85" s="635">
        <f t="shared" si="81"/>
        <v>-6.0815135709308512</v>
      </c>
      <c r="U85" s="629">
        <f t="shared" si="82"/>
        <v>3.3093381210256139</v>
      </c>
      <c r="V85" s="636">
        <f t="shared" si="114"/>
        <v>-2.7225082110847643</v>
      </c>
      <c r="W85" s="585">
        <f t="shared" si="648"/>
        <v>151.44657813381951</v>
      </c>
      <c r="X85" s="629">
        <f t="shared" si="83"/>
        <v>6.923620881640578</v>
      </c>
      <c r="Y85" s="630">
        <f t="shared" si="647"/>
        <v>-2.7225082110847643</v>
      </c>
      <c r="Z85" s="632">
        <f t="shared" si="471"/>
        <v>0.40578951133784696</v>
      </c>
      <c r="AA85" s="629">
        <f t="shared" si="472"/>
        <v>0.74571285862430503</v>
      </c>
      <c r="AB85" s="629">
        <f t="shared" si="473"/>
        <v>-0.52843845901917352</v>
      </c>
      <c r="AC85" s="636">
        <f t="shared" si="84"/>
        <v>1</v>
      </c>
      <c r="AD85" s="637">
        <f t="shared" si="115"/>
        <v>0.40578951133784696</v>
      </c>
      <c r="AE85" s="629">
        <f t="shared" si="85"/>
        <v>0.74571285862430503</v>
      </c>
      <c r="AF85" s="633">
        <f t="shared" si="86"/>
        <v>-0.52843845901917352</v>
      </c>
      <c r="AG85" s="602">
        <f t="shared" si="87"/>
        <v>54.677267067617734</v>
      </c>
      <c r="AH85" s="603">
        <f t="shared" si="88"/>
        <v>66.059388552141002</v>
      </c>
      <c r="AI85" s="585">
        <f t="shared" si="89"/>
        <v>-58.099991611400014</v>
      </c>
      <c r="AJ85" s="586">
        <f t="shared" si="90"/>
        <v>151.44659343985595</v>
      </c>
      <c r="AK85" s="635">
        <f t="shared" si="211"/>
        <v>2.2679489664056973E-7</v>
      </c>
      <c r="AL85" s="629">
        <f t="shared" si="91"/>
        <v>-0.84897161026113821</v>
      </c>
      <c r="AM85" s="634">
        <f t="shared" si="92"/>
        <v>-0.52843845901917352</v>
      </c>
      <c r="AN85" s="581">
        <f t="shared" si="93"/>
        <v>-58.099991611399112</v>
      </c>
      <c r="AO85" s="582">
        <f t="shared" si="463"/>
        <v>0</v>
      </c>
      <c r="AP85" s="585">
        <f t="shared" si="95"/>
        <v>-89.999984693963569</v>
      </c>
      <c r="AQ85" s="586">
        <f t="shared" si="474"/>
        <v>0.32926435095177875</v>
      </c>
      <c r="AS85" s="52">
        <f t="shared" si="546"/>
        <v>-208.55342186618049</v>
      </c>
      <c r="AT85" s="72">
        <f t="shared" si="475"/>
        <v>-2.5776794458999168</v>
      </c>
      <c r="AU85" s="469"/>
      <c r="AV85" s="168" t="str">
        <f t="shared" si="476"/>
        <v/>
      </c>
      <c r="AW85" s="418"/>
      <c r="AX85" s="419"/>
      <c r="AY85" s="420"/>
      <c r="AZ85" s="308" t="str">
        <f t="shared" si="547"/>
        <v/>
      </c>
      <c r="BA85" s="307" t="str">
        <f t="shared" si="477"/>
        <v/>
      </c>
      <c r="BB85" s="181" t="str">
        <f t="shared" si="524"/>
        <v/>
      </c>
      <c r="BC85" s="9"/>
      <c r="BD85" s="5" t="str">
        <f t="shared" si="525"/>
        <v/>
      </c>
      <c r="BE85" s="6" t="str">
        <f t="shared" si="478"/>
        <v/>
      </c>
      <c r="BF85" s="4" t="str">
        <f t="shared" si="479"/>
        <v/>
      </c>
      <c r="BG85" s="5" t="str">
        <f t="shared" si="480"/>
        <v/>
      </c>
      <c r="BH85" s="10" t="str">
        <f t="shared" si="481"/>
        <v/>
      </c>
      <c r="BI85" s="9" t="str">
        <f t="shared" si="548"/>
        <v/>
      </c>
      <c r="BJ85" s="5" t="str">
        <f t="shared" si="482"/>
        <v/>
      </c>
      <c r="BK85" s="8" t="str">
        <f t="shared" si="483"/>
        <v/>
      </c>
      <c r="BL85" s="177" t="str">
        <f t="shared" si="484"/>
        <v/>
      </c>
      <c r="BM85" s="5" t="str">
        <f t="shared" si="485"/>
        <v/>
      </c>
      <c r="BN85" s="6" t="str">
        <f t="shared" si="486"/>
        <v/>
      </c>
      <c r="BO85" s="4" t="str">
        <f t="shared" si="549"/>
        <v/>
      </c>
      <c r="BP85" s="5" t="str">
        <f t="shared" si="550"/>
        <v/>
      </c>
      <c r="BQ85" s="5" t="str">
        <f t="shared" si="551"/>
        <v/>
      </c>
      <c r="BR85" s="6" t="str">
        <f t="shared" si="552"/>
        <v/>
      </c>
      <c r="BS85" s="4" t="str">
        <f t="shared" si="526"/>
        <v/>
      </c>
      <c r="BT85" s="5" t="str">
        <f t="shared" si="526"/>
        <v/>
      </c>
      <c r="BU85" s="10" t="str">
        <f t="shared" si="527"/>
        <v/>
      </c>
      <c r="BV85" s="9" t="str">
        <f t="shared" si="528"/>
        <v/>
      </c>
      <c r="BW85" s="5" t="str">
        <f t="shared" si="529"/>
        <v/>
      </c>
      <c r="BX85" s="8" t="str">
        <f t="shared" si="530"/>
        <v/>
      </c>
      <c r="BY85" s="177" t="str">
        <f t="shared" si="531"/>
        <v/>
      </c>
      <c r="BZ85" s="5" t="str">
        <f t="shared" si="532"/>
        <v/>
      </c>
      <c r="CA85" s="6" t="str">
        <f t="shared" si="533"/>
        <v/>
      </c>
      <c r="CB85" s="4" t="str">
        <f t="shared" si="553"/>
        <v/>
      </c>
      <c r="CC85" s="5" t="str">
        <f t="shared" si="554"/>
        <v/>
      </c>
      <c r="CD85" s="5" t="str">
        <f t="shared" si="555"/>
        <v/>
      </c>
      <c r="CE85" s="6" t="str">
        <f t="shared" si="556"/>
        <v/>
      </c>
      <c r="CF85" s="4" t="str">
        <f t="shared" si="557"/>
        <v/>
      </c>
      <c r="CG85" s="5" t="str">
        <f t="shared" si="558"/>
        <v/>
      </c>
      <c r="CH85" s="5" t="str">
        <f t="shared" si="559"/>
        <v/>
      </c>
      <c r="CI85" s="4" t="str">
        <f t="shared" si="534"/>
        <v/>
      </c>
      <c r="CJ85" s="5" t="str">
        <f t="shared" si="535"/>
        <v/>
      </c>
      <c r="CK85" s="8" t="str">
        <f t="shared" si="536"/>
        <v/>
      </c>
      <c r="CL85" s="177" t="str">
        <f t="shared" si="537"/>
        <v/>
      </c>
      <c r="CM85" s="5" t="str">
        <f t="shared" si="538"/>
        <v/>
      </c>
      <c r="CN85" s="6" t="str">
        <f t="shared" si="539"/>
        <v/>
      </c>
      <c r="CO85" s="171" t="str">
        <f t="shared" si="487"/>
        <v/>
      </c>
      <c r="CP85" s="4" t="str">
        <f t="shared" si="560"/>
        <v/>
      </c>
      <c r="CQ85" s="5" t="str">
        <f t="shared" si="561"/>
        <v/>
      </c>
      <c r="CR85" s="5" t="str">
        <f t="shared" si="562"/>
        <v/>
      </c>
      <c r="CS85" s="8" t="str">
        <f t="shared" si="563"/>
        <v/>
      </c>
      <c r="CT85" s="9" t="str">
        <f t="shared" si="564"/>
        <v/>
      </c>
      <c r="CU85" s="6" t="str">
        <f t="shared" si="565"/>
        <v/>
      </c>
      <c r="CV85" s="4" t="str">
        <f t="shared" si="566"/>
        <v/>
      </c>
      <c r="CW85" s="5" t="str">
        <f t="shared" si="567"/>
        <v/>
      </c>
      <c r="CX85" s="8" t="str">
        <f t="shared" si="568"/>
        <v/>
      </c>
      <c r="CY85" s="9" t="str">
        <f t="shared" si="569"/>
        <v/>
      </c>
      <c r="CZ85" s="5" t="str">
        <f t="shared" si="570"/>
        <v/>
      </c>
      <c r="DA85" s="6" t="str">
        <f t="shared" si="571"/>
        <v/>
      </c>
      <c r="DB85" s="4" t="str">
        <f t="shared" si="572"/>
        <v/>
      </c>
      <c r="DC85" s="5" t="str">
        <f t="shared" si="572"/>
        <v/>
      </c>
      <c r="DD85" s="10" t="str">
        <f t="shared" si="573"/>
        <v/>
      </c>
      <c r="DE85" s="9" t="str">
        <f t="shared" si="574"/>
        <v/>
      </c>
      <c r="DF85" s="5" t="str">
        <f t="shared" si="574"/>
        <v/>
      </c>
      <c r="DG85" s="10" t="str">
        <f t="shared" si="575"/>
        <v/>
      </c>
      <c r="DH85" s="72" t="str">
        <f t="shared" si="576"/>
        <v/>
      </c>
      <c r="DI85" s="4" t="str">
        <f t="shared" si="577"/>
        <v/>
      </c>
      <c r="DJ85" s="5" t="str">
        <f t="shared" si="578"/>
        <v/>
      </c>
      <c r="DK85" s="10" t="str">
        <f t="shared" si="579"/>
        <v/>
      </c>
      <c r="DL85" s="9" t="str">
        <f t="shared" si="580"/>
        <v/>
      </c>
      <c r="DM85" s="177" t="str">
        <f t="shared" si="581"/>
        <v/>
      </c>
      <c r="DN85" s="182" t="str">
        <f t="shared" si="582"/>
        <v/>
      </c>
      <c r="DO85" s="9" t="str">
        <f t="shared" si="583"/>
        <v/>
      </c>
      <c r="DP85" s="177" t="str">
        <f t="shared" si="584"/>
        <v/>
      </c>
      <c r="DQ85" s="11" t="str">
        <f t="shared" si="585"/>
        <v/>
      </c>
      <c r="DR85" s="177" t="str">
        <f t="shared" si="586"/>
        <v/>
      </c>
      <c r="DS85" s="5" t="str">
        <f t="shared" si="587"/>
        <v/>
      </c>
      <c r="DT85" s="5" t="str">
        <f t="shared" si="588"/>
        <v/>
      </c>
      <c r="DU85" s="5" t="str">
        <f t="shared" si="589"/>
        <v/>
      </c>
      <c r="DV85" s="5" t="str">
        <f t="shared" si="590"/>
        <v/>
      </c>
      <c r="DW85" s="5" t="str">
        <f t="shared" si="591"/>
        <v/>
      </c>
      <c r="DX85" s="171" t="str">
        <f t="shared" si="592"/>
        <v/>
      </c>
      <c r="DY85" s="9" t="str">
        <f t="shared" si="593"/>
        <v/>
      </c>
      <c r="DZ85" s="5" t="str">
        <f t="shared" si="594"/>
        <v/>
      </c>
      <c r="EA85" s="10" t="str">
        <f t="shared" si="595"/>
        <v/>
      </c>
      <c r="EB85" s="6" t="str">
        <f t="shared" si="596"/>
        <v/>
      </c>
      <c r="EC85" s="177" t="str">
        <f t="shared" si="597"/>
        <v/>
      </c>
      <c r="ED85" s="5" t="str">
        <f t="shared" si="598"/>
        <v/>
      </c>
      <c r="EE85" s="4" t="str">
        <f t="shared" si="599"/>
        <v/>
      </c>
      <c r="EF85" s="5" t="str">
        <f t="shared" si="600"/>
        <v/>
      </c>
      <c r="EG85" s="10" t="str">
        <f t="shared" si="601"/>
        <v/>
      </c>
      <c r="EH85" s="9" t="str">
        <f t="shared" si="602"/>
        <v/>
      </c>
      <c r="EI85" s="5" t="str">
        <f t="shared" si="603"/>
        <v/>
      </c>
      <c r="EJ85" s="6" t="str">
        <f t="shared" si="604"/>
        <v/>
      </c>
      <c r="EK85" s="247" t="str">
        <f t="shared" si="605"/>
        <v/>
      </c>
      <c r="EL85" s="249" t="str">
        <f t="shared" si="606"/>
        <v/>
      </c>
      <c r="EM85" s="4" t="str">
        <f t="shared" si="607"/>
        <v/>
      </c>
      <c r="EN85" s="5" t="str">
        <f t="shared" si="608"/>
        <v/>
      </c>
      <c r="EO85" s="10" t="str">
        <f t="shared" si="609"/>
        <v/>
      </c>
      <c r="EP85" s="9" t="str">
        <f t="shared" si="610"/>
        <v/>
      </c>
      <c r="EQ85" s="5" t="str">
        <f t="shared" si="611"/>
        <v/>
      </c>
      <c r="ER85" s="7" t="str">
        <f t="shared" si="612"/>
        <v/>
      </c>
      <c r="ES85" s="21" t="str">
        <f t="shared" si="488"/>
        <v/>
      </c>
      <c r="ET85" s="5" t="str">
        <f t="shared" si="489"/>
        <v/>
      </c>
      <c r="EU85" s="10" t="str">
        <f t="shared" si="490"/>
        <v/>
      </c>
      <c r="EV85" s="178" t="str">
        <f t="shared" si="491"/>
        <v/>
      </c>
      <c r="EW85" s="9" t="str">
        <f t="shared" si="492"/>
        <v/>
      </c>
      <c r="EX85" s="5" t="str">
        <f t="shared" si="493"/>
        <v/>
      </c>
      <c r="EY85" s="6" t="str">
        <f t="shared" si="613"/>
        <v/>
      </c>
      <c r="EZ85" s="52" t="str">
        <f t="shared" si="614"/>
        <v/>
      </c>
      <c r="FA85" s="177" t="str">
        <f t="shared" si="494"/>
        <v/>
      </c>
      <c r="FB85" s="5" t="str">
        <f t="shared" si="495"/>
        <v/>
      </c>
      <c r="FC85" s="6" t="str">
        <f t="shared" si="496"/>
        <v/>
      </c>
      <c r="FD85" s="4" t="str">
        <f t="shared" si="497"/>
        <v/>
      </c>
      <c r="FE85" s="5" t="str">
        <f t="shared" si="498"/>
        <v/>
      </c>
      <c r="FF85" s="7" t="str">
        <f t="shared" si="615"/>
        <v/>
      </c>
      <c r="FG85" s="177" t="str">
        <f t="shared" si="499"/>
        <v/>
      </c>
      <c r="FH85" s="5" t="str">
        <f t="shared" si="500"/>
        <v/>
      </c>
      <c r="FI85" s="10" t="str">
        <f t="shared" si="501"/>
        <v/>
      </c>
      <c r="FJ85" s="290" t="str">
        <f t="shared" si="616"/>
        <v/>
      </c>
      <c r="FK85" s="4" t="str">
        <f t="shared" si="502"/>
        <v/>
      </c>
      <c r="FL85" s="5" t="str">
        <f t="shared" si="540"/>
        <v/>
      </c>
      <c r="FM85" s="8" t="str">
        <f t="shared" si="541"/>
        <v/>
      </c>
      <c r="FN85" s="9" t="str">
        <f t="shared" si="542"/>
        <v/>
      </c>
      <c r="FO85" s="10" t="str">
        <f t="shared" si="503"/>
        <v/>
      </c>
      <c r="FP85" s="288" t="str">
        <f t="shared" si="543"/>
        <v/>
      </c>
      <c r="FQ85" s="177" t="str">
        <f t="shared" si="617"/>
        <v/>
      </c>
      <c r="FR85" s="10" t="str">
        <f t="shared" si="618"/>
        <v/>
      </c>
      <c r="FS85" s="9" t="str">
        <f t="shared" si="619"/>
        <v/>
      </c>
      <c r="FT85" s="6" t="str">
        <f t="shared" si="620"/>
        <v/>
      </c>
      <c r="FU85" s="4" t="str">
        <f t="shared" si="621"/>
        <v/>
      </c>
      <c r="FV85" s="5" t="str">
        <f t="shared" si="622"/>
        <v/>
      </c>
      <c r="FW85" s="8" t="str">
        <f t="shared" si="623"/>
        <v/>
      </c>
      <c r="FX85" s="9" t="str">
        <f t="shared" si="624"/>
        <v/>
      </c>
      <c r="FY85" s="10" t="str">
        <f t="shared" si="504"/>
        <v/>
      </c>
      <c r="FZ85" s="288" t="str">
        <f t="shared" si="625"/>
        <v/>
      </c>
      <c r="GA85" s="181" t="str">
        <f t="shared" si="626"/>
        <v/>
      </c>
      <c r="GB85" s="4" t="str">
        <f t="shared" si="627"/>
        <v/>
      </c>
      <c r="GC85" s="5" t="str">
        <f t="shared" si="628"/>
        <v/>
      </c>
      <c r="GD85" s="10" t="str">
        <f t="shared" si="629"/>
        <v/>
      </c>
      <c r="GE85" s="324" t="str">
        <f t="shared" si="630"/>
        <v/>
      </c>
      <c r="GF85" s="362" t="str">
        <f t="shared" si="631"/>
        <v/>
      </c>
      <c r="GG85" s="296" t="str">
        <f t="shared" si="505"/>
        <v/>
      </c>
      <c r="GH85" s="297" t="str">
        <f t="shared" si="506"/>
        <v/>
      </c>
      <c r="GI85" s="292" t="str">
        <f t="shared" si="507"/>
        <v/>
      </c>
      <c r="GJ85" s="171" t="str">
        <f t="shared" si="632"/>
        <v/>
      </c>
      <c r="GK85" s="178" t="str">
        <f t="shared" si="508"/>
        <v/>
      </c>
      <c r="GL85" s="178" t="str">
        <f t="shared" si="633"/>
        <v/>
      </c>
      <c r="GM85" s="181" t="str">
        <f t="shared" si="634"/>
        <v/>
      </c>
      <c r="GN85" s="291" t="str">
        <f t="shared" si="635"/>
        <v/>
      </c>
      <c r="GO85" s="4" t="str">
        <f t="shared" si="636"/>
        <v/>
      </c>
      <c r="GP85" s="8" t="str">
        <f t="shared" si="637"/>
        <v/>
      </c>
      <c r="GQ85" s="181" t="str">
        <f t="shared" si="638"/>
        <v/>
      </c>
      <c r="GR85" s="417" t="str">
        <f t="shared" si="639"/>
        <v/>
      </c>
      <c r="GS85" s="363" t="str">
        <f t="shared" si="509"/>
        <v/>
      </c>
      <c r="GT85" s="364" t="str">
        <f t="shared" si="510"/>
        <v/>
      </c>
      <c r="GU85" s="365" t="str">
        <f t="shared" si="511"/>
        <v/>
      </c>
      <c r="GV85" s="364" t="str">
        <f t="shared" si="640"/>
        <v/>
      </c>
      <c r="GW85" s="366" t="str">
        <f t="shared" si="512"/>
        <v/>
      </c>
      <c r="GX85" s="367" t="str">
        <f t="shared" si="513"/>
        <v/>
      </c>
      <c r="GY85" s="365" t="str">
        <f t="shared" si="514"/>
        <v/>
      </c>
      <c r="GZ85" s="366" t="str">
        <f t="shared" si="515"/>
        <v/>
      </c>
      <c r="HA85" s="363" t="str">
        <f t="shared" si="516"/>
        <v/>
      </c>
      <c r="HB85" s="5" t="str">
        <f t="shared" si="641"/>
        <v/>
      </c>
      <c r="HC85" s="364" t="str">
        <f t="shared" si="642"/>
        <v/>
      </c>
      <c r="HD85" s="405" t="str">
        <f t="shared" si="643"/>
        <v/>
      </c>
      <c r="HE85" s="365" t="str">
        <f t="shared" si="517"/>
        <v/>
      </c>
      <c r="HF85" s="5" t="str">
        <f t="shared" si="518"/>
        <v/>
      </c>
      <c r="HG85" s="364" t="str">
        <f t="shared" si="644"/>
        <v/>
      </c>
      <c r="HH85" s="370" t="str">
        <f t="shared" si="645"/>
        <v/>
      </c>
      <c r="HI85" s="335" t="str">
        <f t="shared" si="519"/>
        <v/>
      </c>
      <c r="HK85" s="323" t="str">
        <f t="shared" si="238"/>
        <v/>
      </c>
      <c r="HL85" s="322" t="str">
        <f t="shared" si="544"/>
        <v/>
      </c>
      <c r="HM85" s="369" t="str">
        <f t="shared" si="649"/>
        <v/>
      </c>
      <c r="HN85" s="384" t="str">
        <f t="shared" si="649"/>
        <v/>
      </c>
      <c r="HO85" s="385" t="str">
        <f t="shared" si="649"/>
        <v/>
      </c>
      <c r="HP85" s="380" t="str">
        <f t="shared" si="649"/>
        <v/>
      </c>
      <c r="HQ85" s="384" t="str">
        <f t="shared" si="649"/>
        <v/>
      </c>
      <c r="HR85" s="395" t="str">
        <f t="shared" si="649"/>
        <v/>
      </c>
      <c r="HS85" s="379" t="str">
        <f t="shared" si="649"/>
        <v/>
      </c>
      <c r="HT85" s="374" t="str">
        <f t="shared" si="649"/>
        <v/>
      </c>
      <c r="HU85" s="375" t="str">
        <f t="shared" si="649"/>
        <v/>
      </c>
      <c r="HV85" s="376" t="str">
        <f t="shared" si="649"/>
        <v/>
      </c>
      <c r="HW85" s="374" t="str">
        <f t="shared" si="649"/>
        <v/>
      </c>
      <c r="HX85" s="375" t="str">
        <f t="shared" si="649"/>
        <v/>
      </c>
      <c r="HY85" s="376" t="str">
        <f t="shared" si="649"/>
        <v/>
      </c>
      <c r="HZ85" s="374" t="str">
        <f t="shared" si="649"/>
        <v/>
      </c>
      <c r="IA85" s="375" t="str">
        <f t="shared" si="649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6"/>
        <v>4.2539999999999996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4.1539999999999999</v>
      </c>
      <c r="II85" s="734" cm="1">
        <f t="array" ref="II85">IFERROR(ROUND(VALUE(IF($IH85&lt;1,$IH85+LARGE((IF($M$9:$M$150="",0,$M$9:$M$150)-MOD(IF($M$9:$M$150="",0,$M$9:$M$150),1)),1),$IH85)),4),"")</f>
        <v>4.1539999999999999</v>
      </c>
      <c r="IJ85" s="533">
        <f t="shared" si="545"/>
        <v>1613</v>
      </c>
      <c r="IK85" s="533" t="str">
        <f t="shared" si="520"/>
        <v>Inactive</v>
      </c>
      <c r="IL85" s="727">
        <f t="shared" si="651"/>
        <v>15.815297716553516</v>
      </c>
      <c r="IM85" s="759">
        <v>6.4235968967537205E-4</v>
      </c>
      <c r="IN85" s="5">
        <f t="shared" si="652"/>
        <v>0</v>
      </c>
      <c r="IO85" s="771">
        <v>0</v>
      </c>
      <c r="IP85" s="9">
        <f t="shared" si="653"/>
        <v>-6.9176208635445242</v>
      </c>
      <c r="IQ85" s="5">
        <f t="shared" si="654"/>
        <v>-2.7159081911791039</v>
      </c>
      <c r="IR85" s="5">
        <f t="shared" si="521"/>
        <v>0.314</v>
      </c>
      <c r="IS85" s="5">
        <f t="shared" si="655"/>
        <v>0.25786070503888503</v>
      </c>
      <c r="IT85" s="727">
        <f t="shared" si="656"/>
        <v>78.937043475728387</v>
      </c>
      <c r="IU85" s="9">
        <f t="shared" si="657"/>
        <v>-6.923620881640578</v>
      </c>
      <c r="IV85" s="5">
        <f t="shared" si="658"/>
        <v>-2.7225082110847643</v>
      </c>
      <c r="IW85" s="5">
        <f t="shared" si="522"/>
        <v>0.26250000000000001</v>
      </c>
      <c r="IX85" s="5">
        <f t="shared" si="659"/>
        <v>0.26250000000000001</v>
      </c>
      <c r="IY85" s="762">
        <f t="shared" si="660"/>
        <v>58.099991611399112</v>
      </c>
    </row>
    <row r="86" spans="1:259" ht="15" customHeight="1" x14ac:dyDescent="0.25">
      <c r="A86" s="79"/>
      <c r="B86" s="707">
        <v>-3.3956729850995129</v>
      </c>
      <c r="C86" s="708">
        <v>-6.1945643619265507</v>
      </c>
      <c r="D86" s="709">
        <v>-3.4628104438362977</v>
      </c>
      <c r="E86" s="710">
        <v>-0.43564932290424635</v>
      </c>
      <c r="F86" s="708">
        <v>-0.79473476507642316</v>
      </c>
      <c r="G86" s="711">
        <v>0.42261841019055724</v>
      </c>
      <c r="H86" s="710">
        <v>0.26250000000000001</v>
      </c>
      <c r="I86" s="708">
        <v>0.40699999999999997</v>
      </c>
      <c r="J86" s="570">
        <v>4.26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Inactive</v>
      </c>
      <c r="L86" s="1314">
        <f t="shared" si="650"/>
        <v>0</v>
      </c>
      <c r="M86" s="168">
        <f t="shared" si="467"/>
        <v>4.26</v>
      </c>
      <c r="N86" s="632">
        <f t="shared" si="468"/>
        <v>-3.3956729850995129</v>
      </c>
      <c r="O86" s="629">
        <f t="shared" si="469"/>
        <v>-6.1945643619265507</v>
      </c>
      <c r="P86" s="633">
        <f t="shared" si="470"/>
        <v>-3.4628104438362977</v>
      </c>
      <c r="Q86" s="585">
        <f t="shared" si="523"/>
        <v>241.26977815934629</v>
      </c>
      <c r="R86" s="629">
        <f t="shared" si="79"/>
        <v>7.0642213056914578</v>
      </c>
      <c r="S86" s="634">
        <f t="shared" si="80"/>
        <v>-3.4628104438362977</v>
      </c>
      <c r="T86" s="635">
        <f t="shared" si="81"/>
        <v>-6.1945643619265516</v>
      </c>
      <c r="U86" s="629">
        <f t="shared" si="82"/>
        <v>3.3956729850995102</v>
      </c>
      <c r="V86" s="636">
        <f t="shared" si="114"/>
        <v>-3.4628104438362977</v>
      </c>
      <c r="W86" s="585">
        <f t="shared" si="648"/>
        <v>151.26977815934629</v>
      </c>
      <c r="X86" s="629">
        <f t="shared" si="83"/>
        <v>7.0642213056914578</v>
      </c>
      <c r="Y86" s="630">
        <f t="shared" si="647"/>
        <v>-3.4628104438362977</v>
      </c>
      <c r="Z86" s="632">
        <f t="shared" si="471"/>
        <v>0.43564932290424635</v>
      </c>
      <c r="AA86" s="629">
        <f t="shared" si="472"/>
        <v>0.79473476507642316</v>
      </c>
      <c r="AB86" s="629">
        <f t="shared" si="473"/>
        <v>-0.42261841019055724</v>
      </c>
      <c r="AC86" s="636">
        <f t="shared" si="84"/>
        <v>1</v>
      </c>
      <c r="AD86" s="637">
        <f t="shared" si="115"/>
        <v>0.43564932290424635</v>
      </c>
      <c r="AE86" s="629">
        <f t="shared" si="85"/>
        <v>0.79473476507642316</v>
      </c>
      <c r="AF86" s="633">
        <f t="shared" si="86"/>
        <v>-0.42261841019055724</v>
      </c>
      <c r="AG86" s="602">
        <f t="shared" si="87"/>
        <v>61.997165128841267</v>
      </c>
      <c r="AH86" s="603">
        <f t="shared" si="88"/>
        <v>64.173381499948832</v>
      </c>
      <c r="AI86" s="585">
        <f t="shared" si="89"/>
        <v>-64.999990615163227</v>
      </c>
      <c r="AJ86" s="586">
        <f t="shared" si="90"/>
        <v>151.2697924970708</v>
      </c>
      <c r="AK86" s="635">
        <f t="shared" si="211"/>
        <v>2.2679489630750282E-7</v>
      </c>
      <c r="AL86" s="629">
        <f t="shared" si="91"/>
        <v>-0.90630771781330111</v>
      </c>
      <c r="AM86" s="634">
        <f t="shared" si="92"/>
        <v>-0.42261841019055724</v>
      </c>
      <c r="AN86" s="581">
        <f t="shared" si="93"/>
        <v>-64.999990615162545</v>
      </c>
      <c r="AO86" s="582">
        <f t="shared" si="463"/>
        <v>0</v>
      </c>
      <c r="AP86" s="585">
        <f t="shared" si="95"/>
        <v>-89.999985662275492</v>
      </c>
      <c r="AQ86" s="586">
        <f t="shared" si="474"/>
        <v>0.32271108537009635</v>
      </c>
      <c r="AS86" s="52">
        <f t="shared" si="546"/>
        <v>-208.73022184065371</v>
      </c>
      <c r="AT86" s="72">
        <f t="shared" si="475"/>
        <v>-3.317858900891399</v>
      </c>
      <c r="AU86" s="469"/>
      <c r="AV86" s="168" t="str">
        <f t="shared" si="476"/>
        <v/>
      </c>
      <c r="AW86" s="418"/>
      <c r="AX86" s="419"/>
      <c r="AY86" s="420"/>
      <c r="AZ86" s="308" t="str">
        <f t="shared" si="547"/>
        <v/>
      </c>
      <c r="BA86" s="307" t="str">
        <f t="shared" si="477"/>
        <v/>
      </c>
      <c r="BB86" s="181" t="str">
        <f t="shared" si="524"/>
        <v/>
      </c>
      <c r="BC86" s="9"/>
      <c r="BD86" s="5" t="str">
        <f t="shared" si="525"/>
        <v/>
      </c>
      <c r="BE86" s="6" t="str">
        <f t="shared" si="478"/>
        <v/>
      </c>
      <c r="BF86" s="4" t="str">
        <f t="shared" si="479"/>
        <v/>
      </c>
      <c r="BG86" s="5" t="str">
        <f t="shared" si="480"/>
        <v/>
      </c>
      <c r="BH86" s="10" t="str">
        <f t="shared" si="481"/>
        <v/>
      </c>
      <c r="BI86" s="9" t="str">
        <f t="shared" si="548"/>
        <v/>
      </c>
      <c r="BJ86" s="5" t="str">
        <f t="shared" si="482"/>
        <v/>
      </c>
      <c r="BK86" s="8" t="str">
        <f t="shared" si="483"/>
        <v/>
      </c>
      <c r="BL86" s="177" t="str">
        <f t="shared" si="484"/>
        <v/>
      </c>
      <c r="BM86" s="5" t="str">
        <f t="shared" si="485"/>
        <v/>
      </c>
      <c r="BN86" s="6" t="str">
        <f t="shared" si="486"/>
        <v/>
      </c>
      <c r="BO86" s="4" t="str">
        <f t="shared" si="549"/>
        <v/>
      </c>
      <c r="BP86" s="5" t="str">
        <f t="shared" si="550"/>
        <v/>
      </c>
      <c r="BQ86" s="5" t="str">
        <f t="shared" si="551"/>
        <v/>
      </c>
      <c r="BR86" s="6" t="str">
        <f t="shared" si="552"/>
        <v/>
      </c>
      <c r="BS86" s="4" t="str">
        <f t="shared" si="526"/>
        <v/>
      </c>
      <c r="BT86" s="5" t="str">
        <f t="shared" si="526"/>
        <v/>
      </c>
      <c r="BU86" s="10" t="str">
        <f t="shared" si="527"/>
        <v/>
      </c>
      <c r="BV86" s="9" t="str">
        <f t="shared" si="528"/>
        <v/>
      </c>
      <c r="BW86" s="5" t="str">
        <f t="shared" si="529"/>
        <v/>
      </c>
      <c r="BX86" s="8" t="str">
        <f t="shared" si="530"/>
        <v/>
      </c>
      <c r="BY86" s="177" t="str">
        <f t="shared" si="531"/>
        <v/>
      </c>
      <c r="BZ86" s="5" t="str">
        <f t="shared" si="532"/>
        <v/>
      </c>
      <c r="CA86" s="6" t="str">
        <f t="shared" si="533"/>
        <v/>
      </c>
      <c r="CB86" s="4" t="str">
        <f t="shared" si="553"/>
        <v/>
      </c>
      <c r="CC86" s="5" t="str">
        <f t="shared" si="554"/>
        <v/>
      </c>
      <c r="CD86" s="5" t="str">
        <f t="shared" si="555"/>
        <v/>
      </c>
      <c r="CE86" s="6" t="str">
        <f t="shared" si="556"/>
        <v/>
      </c>
      <c r="CF86" s="4" t="str">
        <f t="shared" si="557"/>
        <v/>
      </c>
      <c r="CG86" s="5" t="str">
        <f t="shared" si="558"/>
        <v/>
      </c>
      <c r="CH86" s="5" t="str">
        <f t="shared" si="559"/>
        <v/>
      </c>
      <c r="CI86" s="4" t="str">
        <f t="shared" si="534"/>
        <v/>
      </c>
      <c r="CJ86" s="5" t="str">
        <f t="shared" si="535"/>
        <v/>
      </c>
      <c r="CK86" s="8" t="str">
        <f t="shared" si="536"/>
        <v/>
      </c>
      <c r="CL86" s="177" t="str">
        <f t="shared" si="537"/>
        <v/>
      </c>
      <c r="CM86" s="5" t="str">
        <f t="shared" si="538"/>
        <v/>
      </c>
      <c r="CN86" s="6" t="str">
        <f t="shared" si="539"/>
        <v/>
      </c>
      <c r="CO86" s="171" t="str">
        <f t="shared" si="487"/>
        <v/>
      </c>
      <c r="CP86" s="4" t="str">
        <f t="shared" si="560"/>
        <v/>
      </c>
      <c r="CQ86" s="5" t="str">
        <f t="shared" si="561"/>
        <v/>
      </c>
      <c r="CR86" s="5" t="str">
        <f t="shared" si="562"/>
        <v/>
      </c>
      <c r="CS86" s="8" t="str">
        <f t="shared" si="563"/>
        <v/>
      </c>
      <c r="CT86" s="9" t="str">
        <f t="shared" si="564"/>
        <v/>
      </c>
      <c r="CU86" s="6" t="str">
        <f t="shared" si="565"/>
        <v/>
      </c>
      <c r="CV86" s="4" t="str">
        <f t="shared" si="566"/>
        <v/>
      </c>
      <c r="CW86" s="5" t="str">
        <f t="shared" si="567"/>
        <v/>
      </c>
      <c r="CX86" s="8" t="str">
        <f t="shared" si="568"/>
        <v/>
      </c>
      <c r="CY86" s="9" t="str">
        <f t="shared" si="569"/>
        <v/>
      </c>
      <c r="CZ86" s="5" t="str">
        <f t="shared" si="570"/>
        <v/>
      </c>
      <c r="DA86" s="6" t="str">
        <f t="shared" si="571"/>
        <v/>
      </c>
      <c r="DB86" s="4" t="str">
        <f t="shared" si="572"/>
        <v/>
      </c>
      <c r="DC86" s="5" t="str">
        <f t="shared" si="572"/>
        <v/>
      </c>
      <c r="DD86" s="10" t="str">
        <f t="shared" si="573"/>
        <v/>
      </c>
      <c r="DE86" s="9" t="str">
        <f t="shared" si="574"/>
        <v/>
      </c>
      <c r="DF86" s="5" t="str">
        <f t="shared" si="574"/>
        <v/>
      </c>
      <c r="DG86" s="10" t="str">
        <f t="shared" si="575"/>
        <v/>
      </c>
      <c r="DH86" s="72" t="str">
        <f t="shared" si="576"/>
        <v/>
      </c>
      <c r="DI86" s="4" t="str">
        <f t="shared" si="577"/>
        <v/>
      </c>
      <c r="DJ86" s="5" t="str">
        <f t="shared" si="578"/>
        <v/>
      </c>
      <c r="DK86" s="10" t="str">
        <f t="shared" si="579"/>
        <v/>
      </c>
      <c r="DL86" s="9" t="str">
        <f t="shared" si="580"/>
        <v/>
      </c>
      <c r="DM86" s="177" t="str">
        <f t="shared" si="581"/>
        <v/>
      </c>
      <c r="DN86" s="182" t="str">
        <f t="shared" si="582"/>
        <v/>
      </c>
      <c r="DO86" s="9" t="str">
        <f t="shared" si="583"/>
        <v/>
      </c>
      <c r="DP86" s="177" t="str">
        <f t="shared" si="584"/>
        <v/>
      </c>
      <c r="DQ86" s="11" t="str">
        <f t="shared" si="585"/>
        <v/>
      </c>
      <c r="DR86" s="177" t="str">
        <f t="shared" si="586"/>
        <v/>
      </c>
      <c r="DS86" s="5" t="str">
        <f t="shared" si="587"/>
        <v/>
      </c>
      <c r="DT86" s="5" t="str">
        <f t="shared" si="588"/>
        <v/>
      </c>
      <c r="DU86" s="5" t="str">
        <f t="shared" si="589"/>
        <v/>
      </c>
      <c r="DV86" s="5" t="str">
        <f t="shared" si="590"/>
        <v/>
      </c>
      <c r="DW86" s="5" t="str">
        <f t="shared" si="591"/>
        <v/>
      </c>
      <c r="DX86" s="171" t="str">
        <f t="shared" si="592"/>
        <v/>
      </c>
      <c r="DY86" s="9" t="str">
        <f t="shared" si="593"/>
        <v/>
      </c>
      <c r="DZ86" s="5" t="str">
        <f t="shared" si="594"/>
        <v/>
      </c>
      <c r="EA86" s="10" t="str">
        <f t="shared" si="595"/>
        <v/>
      </c>
      <c r="EB86" s="6" t="str">
        <f t="shared" si="596"/>
        <v/>
      </c>
      <c r="EC86" s="177" t="str">
        <f t="shared" si="597"/>
        <v/>
      </c>
      <c r="ED86" s="5" t="str">
        <f t="shared" si="598"/>
        <v/>
      </c>
      <c r="EE86" s="4" t="str">
        <f t="shared" si="599"/>
        <v/>
      </c>
      <c r="EF86" s="5" t="str">
        <f t="shared" si="600"/>
        <v/>
      </c>
      <c r="EG86" s="10" t="str">
        <f t="shared" si="601"/>
        <v/>
      </c>
      <c r="EH86" s="9" t="str">
        <f t="shared" si="602"/>
        <v/>
      </c>
      <c r="EI86" s="5" t="str">
        <f t="shared" si="603"/>
        <v/>
      </c>
      <c r="EJ86" s="6" t="str">
        <f t="shared" si="604"/>
        <v/>
      </c>
      <c r="EK86" s="247" t="str">
        <f t="shared" si="605"/>
        <v/>
      </c>
      <c r="EL86" s="249" t="str">
        <f t="shared" si="606"/>
        <v/>
      </c>
      <c r="EM86" s="4" t="str">
        <f t="shared" si="607"/>
        <v/>
      </c>
      <c r="EN86" s="5" t="str">
        <f t="shared" si="608"/>
        <v/>
      </c>
      <c r="EO86" s="10" t="str">
        <f t="shared" si="609"/>
        <v/>
      </c>
      <c r="EP86" s="9" t="str">
        <f t="shared" si="610"/>
        <v/>
      </c>
      <c r="EQ86" s="5" t="str">
        <f t="shared" si="611"/>
        <v/>
      </c>
      <c r="ER86" s="7" t="str">
        <f t="shared" si="612"/>
        <v/>
      </c>
      <c r="ES86" s="21" t="str">
        <f t="shared" si="488"/>
        <v/>
      </c>
      <c r="ET86" s="5" t="str">
        <f t="shared" si="489"/>
        <v/>
      </c>
      <c r="EU86" s="10" t="str">
        <f t="shared" si="490"/>
        <v/>
      </c>
      <c r="EV86" s="178" t="str">
        <f t="shared" si="491"/>
        <v/>
      </c>
      <c r="EW86" s="9" t="str">
        <f t="shared" si="492"/>
        <v/>
      </c>
      <c r="EX86" s="5" t="str">
        <f t="shared" si="493"/>
        <v/>
      </c>
      <c r="EY86" s="6" t="str">
        <f t="shared" si="613"/>
        <v/>
      </c>
      <c r="EZ86" s="52" t="str">
        <f t="shared" si="614"/>
        <v/>
      </c>
      <c r="FA86" s="177" t="str">
        <f t="shared" si="494"/>
        <v/>
      </c>
      <c r="FB86" s="5" t="str">
        <f t="shared" si="495"/>
        <v/>
      </c>
      <c r="FC86" s="6" t="str">
        <f t="shared" si="496"/>
        <v/>
      </c>
      <c r="FD86" s="4" t="str">
        <f t="shared" si="497"/>
        <v/>
      </c>
      <c r="FE86" s="5" t="str">
        <f t="shared" si="498"/>
        <v/>
      </c>
      <c r="FF86" s="7" t="str">
        <f t="shared" si="615"/>
        <v/>
      </c>
      <c r="FG86" s="177" t="str">
        <f t="shared" si="499"/>
        <v/>
      </c>
      <c r="FH86" s="5" t="str">
        <f t="shared" si="500"/>
        <v/>
      </c>
      <c r="FI86" s="10" t="str">
        <f t="shared" si="501"/>
        <v/>
      </c>
      <c r="FJ86" s="290" t="str">
        <f t="shared" si="616"/>
        <v/>
      </c>
      <c r="FK86" s="4" t="str">
        <f t="shared" si="502"/>
        <v/>
      </c>
      <c r="FL86" s="5" t="str">
        <f t="shared" si="540"/>
        <v/>
      </c>
      <c r="FM86" s="8" t="str">
        <f t="shared" si="541"/>
        <v/>
      </c>
      <c r="FN86" s="9" t="str">
        <f t="shared" si="542"/>
        <v/>
      </c>
      <c r="FO86" s="10" t="str">
        <f t="shared" si="503"/>
        <v/>
      </c>
      <c r="FP86" s="288" t="str">
        <f t="shared" si="543"/>
        <v/>
      </c>
      <c r="FQ86" s="177" t="str">
        <f t="shared" si="617"/>
        <v/>
      </c>
      <c r="FR86" s="10" t="str">
        <f t="shared" si="618"/>
        <v/>
      </c>
      <c r="FS86" s="9" t="str">
        <f t="shared" si="619"/>
        <v/>
      </c>
      <c r="FT86" s="6" t="str">
        <f t="shared" si="620"/>
        <v/>
      </c>
      <c r="FU86" s="4" t="str">
        <f t="shared" si="621"/>
        <v/>
      </c>
      <c r="FV86" s="5" t="str">
        <f t="shared" si="622"/>
        <v/>
      </c>
      <c r="FW86" s="8" t="str">
        <f t="shared" si="623"/>
        <v/>
      </c>
      <c r="FX86" s="9" t="str">
        <f t="shared" si="624"/>
        <v/>
      </c>
      <c r="FY86" s="10" t="str">
        <f t="shared" si="504"/>
        <v/>
      </c>
      <c r="FZ86" s="288" t="str">
        <f t="shared" si="625"/>
        <v/>
      </c>
      <c r="GA86" s="181" t="str">
        <f t="shared" si="626"/>
        <v/>
      </c>
      <c r="GB86" s="4" t="str">
        <f t="shared" si="627"/>
        <v/>
      </c>
      <c r="GC86" s="5" t="str">
        <f t="shared" si="628"/>
        <v/>
      </c>
      <c r="GD86" s="10" t="str">
        <f t="shared" si="629"/>
        <v/>
      </c>
      <c r="GE86" s="324" t="str">
        <f t="shared" si="630"/>
        <v/>
      </c>
      <c r="GF86" s="362" t="str">
        <f t="shared" si="631"/>
        <v/>
      </c>
      <c r="GG86" s="296" t="str">
        <f t="shared" si="505"/>
        <v/>
      </c>
      <c r="GH86" s="297" t="str">
        <f t="shared" si="506"/>
        <v/>
      </c>
      <c r="GI86" s="292" t="str">
        <f t="shared" si="507"/>
        <v/>
      </c>
      <c r="GJ86" s="171" t="str">
        <f t="shared" si="632"/>
        <v/>
      </c>
      <c r="GK86" s="178" t="str">
        <f t="shared" si="508"/>
        <v/>
      </c>
      <c r="GL86" s="178" t="str">
        <f t="shared" si="633"/>
        <v/>
      </c>
      <c r="GM86" s="181" t="str">
        <f t="shared" si="634"/>
        <v/>
      </c>
      <c r="GN86" s="291" t="str">
        <f t="shared" si="635"/>
        <v/>
      </c>
      <c r="GO86" s="4" t="str">
        <f t="shared" si="636"/>
        <v/>
      </c>
      <c r="GP86" s="8" t="str">
        <f t="shared" si="637"/>
        <v/>
      </c>
      <c r="GQ86" s="181" t="str">
        <f t="shared" si="638"/>
        <v/>
      </c>
      <c r="GR86" s="417" t="str">
        <f t="shared" si="639"/>
        <v/>
      </c>
      <c r="GS86" s="363" t="str">
        <f t="shared" si="509"/>
        <v/>
      </c>
      <c r="GT86" s="364" t="str">
        <f t="shared" si="510"/>
        <v/>
      </c>
      <c r="GU86" s="365" t="str">
        <f t="shared" si="511"/>
        <v/>
      </c>
      <c r="GV86" s="364" t="str">
        <f t="shared" si="640"/>
        <v/>
      </c>
      <c r="GW86" s="366" t="str">
        <f t="shared" si="512"/>
        <v/>
      </c>
      <c r="GX86" s="367" t="str">
        <f t="shared" si="513"/>
        <v/>
      </c>
      <c r="GY86" s="365" t="str">
        <f t="shared" si="514"/>
        <v/>
      </c>
      <c r="GZ86" s="366" t="str">
        <f t="shared" si="515"/>
        <v/>
      </c>
      <c r="HA86" s="363" t="str">
        <f t="shared" si="516"/>
        <v/>
      </c>
      <c r="HB86" s="5" t="str">
        <f t="shared" si="641"/>
        <v/>
      </c>
      <c r="HC86" s="364" t="str">
        <f t="shared" si="642"/>
        <v/>
      </c>
      <c r="HD86" s="405" t="str">
        <f t="shared" si="643"/>
        <v/>
      </c>
      <c r="HE86" s="365" t="str">
        <f t="shared" si="517"/>
        <v/>
      </c>
      <c r="HF86" s="5" t="str">
        <f t="shared" si="518"/>
        <v/>
      </c>
      <c r="HG86" s="364" t="str">
        <f t="shared" si="644"/>
        <v/>
      </c>
      <c r="HH86" s="370" t="str">
        <f t="shared" si="645"/>
        <v/>
      </c>
      <c r="HI86" s="335" t="str">
        <f t="shared" si="519"/>
        <v/>
      </c>
      <c r="HK86" s="323" t="str">
        <f t="shared" si="238"/>
        <v/>
      </c>
      <c r="HL86" s="322" t="str">
        <f t="shared" si="544"/>
        <v/>
      </c>
      <c r="HM86" s="369" t="str">
        <f t="shared" si="649"/>
        <v/>
      </c>
      <c r="HN86" s="384" t="str">
        <f t="shared" si="649"/>
        <v/>
      </c>
      <c r="HO86" s="385" t="str">
        <f t="shared" si="649"/>
        <v/>
      </c>
      <c r="HP86" s="380" t="str">
        <f t="shared" si="649"/>
        <v/>
      </c>
      <c r="HQ86" s="384" t="str">
        <f t="shared" si="649"/>
        <v/>
      </c>
      <c r="HR86" s="395" t="str">
        <f t="shared" si="649"/>
        <v/>
      </c>
      <c r="HS86" s="379" t="str">
        <f t="shared" si="649"/>
        <v/>
      </c>
      <c r="HT86" s="374" t="str">
        <f t="shared" si="649"/>
        <v/>
      </c>
      <c r="HU86" s="375" t="str">
        <f t="shared" si="649"/>
        <v/>
      </c>
      <c r="HV86" s="376" t="str">
        <f t="shared" si="649"/>
        <v/>
      </c>
      <c r="HW86" s="374" t="str">
        <f t="shared" si="649"/>
        <v/>
      </c>
      <c r="HX86" s="375" t="str">
        <f t="shared" si="649"/>
        <v/>
      </c>
      <c r="HY86" s="376" t="str">
        <f t="shared" si="649"/>
        <v/>
      </c>
      <c r="HZ86" s="374" t="str">
        <f t="shared" si="649"/>
        <v/>
      </c>
      <c r="IA86" s="375" t="str">
        <f t="shared" si="649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6"/>
        <v>4.26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4.16</v>
      </c>
      <c r="II86" s="734" cm="1">
        <f t="array" ref="II86">IFERROR(ROUND(VALUE(IF($IH86&lt;1,$IH86+LARGE((IF($M$9:$M$150="",0,$M$9:$M$150)-MOD(IF($M$9:$M$150="",0,$M$9:$M$150),1)),1),$IH86)),4),"")</f>
        <v>4.16</v>
      </c>
      <c r="IJ86" s="533">
        <f t="shared" si="545"/>
        <v>1613</v>
      </c>
      <c r="IK86" s="533" t="str">
        <f t="shared" si="520"/>
        <v>Inactive</v>
      </c>
      <c r="IL86" s="727">
        <f t="shared" si="651"/>
        <v>15.480197295694097</v>
      </c>
      <c r="IM86" s="759">
        <v>2.8678150725243001E-4</v>
      </c>
      <c r="IN86" s="5">
        <f t="shared" si="652"/>
        <v>0</v>
      </c>
      <c r="IO86" s="771">
        <v>0</v>
      </c>
      <c r="IP86" s="9">
        <f t="shared" si="653"/>
        <v>-7.066221311723476</v>
      </c>
      <c r="IQ86" s="5">
        <f t="shared" si="654"/>
        <v>-3.451610410056996</v>
      </c>
      <c r="IR86" s="5">
        <f t="shared" si="521"/>
        <v>0.314</v>
      </c>
      <c r="IS86" s="5">
        <f t="shared" si="655"/>
        <v>0.24824348418789263</v>
      </c>
      <c r="IT86" s="727">
        <f t="shared" si="656"/>
        <v>85.280081966011991</v>
      </c>
      <c r="IU86" s="9">
        <f t="shared" si="657"/>
        <v>-7.0642213056914578</v>
      </c>
      <c r="IV86" s="5">
        <f t="shared" si="658"/>
        <v>-3.4628104438362977</v>
      </c>
      <c r="IW86" s="5">
        <f t="shared" si="522"/>
        <v>0.26250000000000001</v>
      </c>
      <c r="IX86" s="5">
        <f t="shared" si="659"/>
        <v>0.26250000000000001</v>
      </c>
      <c r="IY86" s="762">
        <f t="shared" si="660"/>
        <v>64.999990615162545</v>
      </c>
    </row>
    <row r="87" spans="1:259" ht="15" customHeight="1" x14ac:dyDescent="0.25">
      <c r="A87" s="79"/>
      <c r="B87" s="707">
        <v>-0.53236687166385332</v>
      </c>
      <c r="C87" s="708">
        <v>-0.24824656138214379</v>
      </c>
      <c r="D87" s="709">
        <v>-0.78280236093192068</v>
      </c>
      <c r="E87" s="710">
        <v>0.47735857875335574</v>
      </c>
      <c r="F87" s="708">
        <v>-0.81424017475268085</v>
      </c>
      <c r="G87" s="711">
        <v>0.33036604714967344</v>
      </c>
      <c r="H87" s="710">
        <v>0.314</v>
      </c>
      <c r="I87" s="708">
        <v>0.52</v>
      </c>
      <c r="J87" s="570">
        <v>5.1020000000000003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7"/>
        <v>5.1020000000000003</v>
      </c>
      <c r="N87" s="632">
        <f t="shared" si="468"/>
        <v>-0.53236687166385332</v>
      </c>
      <c r="O87" s="629">
        <f t="shared" si="469"/>
        <v>-0.24824656138214379</v>
      </c>
      <c r="P87" s="633">
        <f t="shared" si="470"/>
        <v>-0.78280236093192068</v>
      </c>
      <c r="Q87" s="585">
        <f t="shared" si="523"/>
        <v>204.99998339605673</v>
      </c>
      <c r="R87" s="629">
        <f t="shared" si="79"/>
        <v>0.58740177160374329</v>
      </c>
      <c r="S87" s="634">
        <f t="shared" si="80"/>
        <v>-0.78280236093192068</v>
      </c>
      <c r="T87" s="635">
        <f t="shared" si="81"/>
        <v>-0.24824656138214407</v>
      </c>
      <c r="U87" s="629">
        <f t="shared" si="82"/>
        <v>0.53236687166385321</v>
      </c>
      <c r="V87" s="636">
        <f t="shared" si="114"/>
        <v>-0.78280236093192068</v>
      </c>
      <c r="W87" s="585">
        <f t="shared" si="648"/>
        <v>114.99998339605673</v>
      </c>
      <c r="X87" s="629">
        <f t="shared" si="83"/>
        <v>0.58740177160374329</v>
      </c>
      <c r="Y87" s="630">
        <f t="shared" si="647"/>
        <v>-0.78280236093192068</v>
      </c>
      <c r="Z87" s="632">
        <f t="shared" si="471"/>
        <v>-0.47735857875335574</v>
      </c>
      <c r="AA87" s="629">
        <f t="shared" si="472"/>
        <v>0.81424017475268085</v>
      </c>
      <c r="AB87" s="629">
        <f t="shared" si="473"/>
        <v>-0.33036604714967344</v>
      </c>
      <c r="AC87" s="636">
        <f t="shared" si="84"/>
        <v>1</v>
      </c>
      <c r="AD87" s="637">
        <f t="shared" si="115"/>
        <v>-0.47735857875335574</v>
      </c>
      <c r="AE87" s="629">
        <f t="shared" si="85"/>
        <v>0.81424017475268085</v>
      </c>
      <c r="AF87" s="633">
        <f t="shared" si="86"/>
        <v>-0.33036604714967344</v>
      </c>
      <c r="AG87" s="602">
        <f t="shared" si="87"/>
        <v>67.915864810578043</v>
      </c>
      <c r="AH87" s="603">
        <f t="shared" si="88"/>
        <v>118.51302826614649</v>
      </c>
      <c r="AI87" s="585">
        <f t="shared" si="89"/>
        <v>-70.709005437865216</v>
      </c>
      <c r="AJ87" s="586">
        <f t="shared" si="90"/>
        <v>-149.61849784170383</v>
      </c>
      <c r="AK87" s="635">
        <f t="shared" si="211"/>
        <v>0.93969263802333469</v>
      </c>
      <c r="AL87" s="629">
        <f t="shared" si="91"/>
        <v>8.8521302156295112E-2</v>
      </c>
      <c r="AM87" s="634">
        <f t="shared" si="92"/>
        <v>-0.33036604714967344</v>
      </c>
      <c r="AN87" s="581">
        <f t="shared" si="93"/>
        <v>14.999997834268187</v>
      </c>
      <c r="AO87" s="582">
        <f t="shared" si="463"/>
        <v>19.999997112357665</v>
      </c>
      <c r="AP87" s="585">
        <f t="shared" si="95"/>
        <v>5.3815187622394509</v>
      </c>
      <c r="AQ87" s="586">
        <f t="shared" si="474"/>
        <v>3.8751151864591602</v>
      </c>
      <c r="AS87" s="52">
        <f t="shared" si="546"/>
        <v>-245.00001660394327</v>
      </c>
      <c r="AT87" s="72">
        <f t="shared" si="475"/>
        <v>-0.61266346051251563</v>
      </c>
      <c r="AU87" s="469"/>
      <c r="AV87" s="168" t="str">
        <f t="shared" si="476"/>
        <v/>
      </c>
      <c r="AW87" s="418"/>
      <c r="AX87" s="419"/>
      <c r="AY87" s="420"/>
      <c r="AZ87" s="308" t="str">
        <f t="shared" si="547"/>
        <v/>
      </c>
      <c r="BA87" s="307" t="str">
        <f t="shared" si="477"/>
        <v/>
      </c>
      <c r="BB87" s="181" t="str">
        <f t="shared" si="524"/>
        <v/>
      </c>
      <c r="BC87" s="9"/>
      <c r="BD87" s="5" t="str">
        <f t="shared" si="525"/>
        <v/>
      </c>
      <c r="BE87" s="6" t="str">
        <f t="shared" si="478"/>
        <v/>
      </c>
      <c r="BF87" s="4" t="str">
        <f t="shared" si="479"/>
        <v/>
      </c>
      <c r="BG87" s="5" t="str">
        <f t="shared" si="480"/>
        <v/>
      </c>
      <c r="BH87" s="10" t="str">
        <f t="shared" si="481"/>
        <v/>
      </c>
      <c r="BI87" s="9" t="str">
        <f t="shared" si="548"/>
        <v/>
      </c>
      <c r="BJ87" s="5" t="str">
        <f t="shared" si="482"/>
        <v/>
      </c>
      <c r="BK87" s="8" t="str">
        <f t="shared" si="483"/>
        <v/>
      </c>
      <c r="BL87" s="177" t="str">
        <f t="shared" si="484"/>
        <v/>
      </c>
      <c r="BM87" s="5" t="str">
        <f t="shared" si="485"/>
        <v/>
      </c>
      <c r="BN87" s="6" t="str">
        <f t="shared" si="486"/>
        <v/>
      </c>
      <c r="BO87" s="4" t="str">
        <f t="shared" si="549"/>
        <v/>
      </c>
      <c r="BP87" s="5" t="str">
        <f t="shared" si="550"/>
        <v/>
      </c>
      <c r="BQ87" s="5" t="str">
        <f t="shared" si="551"/>
        <v/>
      </c>
      <c r="BR87" s="6" t="str">
        <f t="shared" si="552"/>
        <v/>
      </c>
      <c r="BS87" s="4" t="str">
        <f t="shared" si="526"/>
        <v/>
      </c>
      <c r="BT87" s="5" t="str">
        <f t="shared" si="526"/>
        <v/>
      </c>
      <c r="BU87" s="10" t="str">
        <f t="shared" si="527"/>
        <v/>
      </c>
      <c r="BV87" s="9" t="str">
        <f t="shared" si="528"/>
        <v/>
      </c>
      <c r="BW87" s="5" t="str">
        <f t="shared" si="529"/>
        <v/>
      </c>
      <c r="BX87" s="8" t="str">
        <f t="shared" si="530"/>
        <v/>
      </c>
      <c r="BY87" s="177" t="str">
        <f t="shared" si="531"/>
        <v/>
      </c>
      <c r="BZ87" s="5" t="str">
        <f t="shared" si="532"/>
        <v/>
      </c>
      <c r="CA87" s="6" t="str">
        <f t="shared" si="533"/>
        <v/>
      </c>
      <c r="CB87" s="4" t="str">
        <f t="shared" si="553"/>
        <v/>
      </c>
      <c r="CC87" s="5" t="str">
        <f t="shared" si="554"/>
        <v/>
      </c>
      <c r="CD87" s="5" t="str">
        <f t="shared" si="555"/>
        <v/>
      </c>
      <c r="CE87" s="6" t="str">
        <f t="shared" si="556"/>
        <v/>
      </c>
      <c r="CF87" s="4" t="str">
        <f t="shared" si="557"/>
        <v/>
      </c>
      <c r="CG87" s="5" t="str">
        <f t="shared" si="558"/>
        <v/>
      </c>
      <c r="CH87" s="5" t="str">
        <f t="shared" si="559"/>
        <v/>
      </c>
      <c r="CI87" s="4" t="str">
        <f t="shared" si="534"/>
        <v/>
      </c>
      <c r="CJ87" s="5" t="str">
        <f t="shared" si="535"/>
        <v/>
      </c>
      <c r="CK87" s="8" t="str">
        <f t="shared" si="536"/>
        <v/>
      </c>
      <c r="CL87" s="177" t="str">
        <f t="shared" si="537"/>
        <v/>
      </c>
      <c r="CM87" s="5" t="str">
        <f t="shared" si="538"/>
        <v/>
      </c>
      <c r="CN87" s="6" t="str">
        <f t="shared" si="539"/>
        <v/>
      </c>
      <c r="CO87" s="171" t="str">
        <f t="shared" si="487"/>
        <v/>
      </c>
      <c r="CP87" s="4" t="str">
        <f t="shared" si="560"/>
        <v/>
      </c>
      <c r="CQ87" s="5" t="str">
        <f t="shared" si="561"/>
        <v/>
      </c>
      <c r="CR87" s="5" t="str">
        <f t="shared" si="562"/>
        <v/>
      </c>
      <c r="CS87" s="8" t="str">
        <f t="shared" si="563"/>
        <v/>
      </c>
      <c r="CT87" s="9" t="str">
        <f t="shared" si="564"/>
        <v/>
      </c>
      <c r="CU87" s="6" t="str">
        <f t="shared" si="565"/>
        <v/>
      </c>
      <c r="CV87" s="4" t="str">
        <f t="shared" si="566"/>
        <v/>
      </c>
      <c r="CW87" s="5" t="str">
        <f t="shared" si="567"/>
        <v/>
      </c>
      <c r="CX87" s="8" t="str">
        <f t="shared" si="568"/>
        <v/>
      </c>
      <c r="CY87" s="9" t="str">
        <f t="shared" si="569"/>
        <v/>
      </c>
      <c r="CZ87" s="5" t="str">
        <f t="shared" si="570"/>
        <v/>
      </c>
      <c r="DA87" s="6" t="str">
        <f t="shared" si="571"/>
        <v/>
      </c>
      <c r="DB87" s="4" t="str">
        <f t="shared" si="572"/>
        <v/>
      </c>
      <c r="DC87" s="5" t="str">
        <f t="shared" si="572"/>
        <v/>
      </c>
      <c r="DD87" s="10" t="str">
        <f t="shared" si="573"/>
        <v/>
      </c>
      <c r="DE87" s="9" t="str">
        <f t="shared" si="574"/>
        <v/>
      </c>
      <c r="DF87" s="5" t="str">
        <f t="shared" si="574"/>
        <v/>
      </c>
      <c r="DG87" s="10" t="str">
        <f t="shared" si="575"/>
        <v/>
      </c>
      <c r="DH87" s="72" t="str">
        <f t="shared" si="576"/>
        <v/>
      </c>
      <c r="DI87" s="4" t="str">
        <f t="shared" si="577"/>
        <v/>
      </c>
      <c r="DJ87" s="5" t="str">
        <f t="shared" si="578"/>
        <v/>
      </c>
      <c r="DK87" s="10" t="str">
        <f t="shared" si="579"/>
        <v/>
      </c>
      <c r="DL87" s="9" t="str">
        <f t="shared" si="580"/>
        <v/>
      </c>
      <c r="DM87" s="177" t="str">
        <f t="shared" si="581"/>
        <v/>
      </c>
      <c r="DN87" s="182" t="str">
        <f t="shared" si="582"/>
        <v/>
      </c>
      <c r="DO87" s="9" t="str">
        <f t="shared" si="583"/>
        <v/>
      </c>
      <c r="DP87" s="177" t="str">
        <f t="shared" si="584"/>
        <v/>
      </c>
      <c r="DQ87" s="11" t="str">
        <f t="shared" si="585"/>
        <v/>
      </c>
      <c r="DR87" s="177" t="str">
        <f t="shared" si="586"/>
        <v/>
      </c>
      <c r="DS87" s="5" t="str">
        <f t="shared" si="587"/>
        <v/>
      </c>
      <c r="DT87" s="5" t="str">
        <f t="shared" si="588"/>
        <v/>
      </c>
      <c r="DU87" s="5" t="str">
        <f t="shared" si="589"/>
        <v/>
      </c>
      <c r="DV87" s="5" t="str">
        <f t="shared" si="590"/>
        <v/>
      </c>
      <c r="DW87" s="5" t="str">
        <f t="shared" si="591"/>
        <v/>
      </c>
      <c r="DX87" s="171" t="str">
        <f t="shared" si="592"/>
        <v/>
      </c>
      <c r="DY87" s="9" t="str">
        <f t="shared" si="593"/>
        <v/>
      </c>
      <c r="DZ87" s="5" t="str">
        <f t="shared" si="594"/>
        <v/>
      </c>
      <c r="EA87" s="10" t="str">
        <f t="shared" si="595"/>
        <v/>
      </c>
      <c r="EB87" s="6" t="str">
        <f t="shared" si="596"/>
        <v/>
      </c>
      <c r="EC87" s="177" t="str">
        <f t="shared" si="597"/>
        <v/>
      </c>
      <c r="ED87" s="5" t="str">
        <f t="shared" si="598"/>
        <v/>
      </c>
      <c r="EE87" s="4" t="str">
        <f t="shared" si="599"/>
        <v/>
      </c>
      <c r="EF87" s="5" t="str">
        <f t="shared" si="600"/>
        <v/>
      </c>
      <c r="EG87" s="10" t="str">
        <f t="shared" si="601"/>
        <v/>
      </c>
      <c r="EH87" s="9" t="str">
        <f t="shared" si="602"/>
        <v/>
      </c>
      <c r="EI87" s="5" t="str">
        <f t="shared" si="603"/>
        <v/>
      </c>
      <c r="EJ87" s="6" t="str">
        <f t="shared" si="604"/>
        <v/>
      </c>
      <c r="EK87" s="247" t="str">
        <f t="shared" si="605"/>
        <v/>
      </c>
      <c r="EL87" s="249" t="str">
        <f t="shared" si="606"/>
        <v/>
      </c>
      <c r="EM87" s="4" t="str">
        <f t="shared" si="607"/>
        <v/>
      </c>
      <c r="EN87" s="5" t="str">
        <f t="shared" si="608"/>
        <v/>
      </c>
      <c r="EO87" s="10" t="str">
        <f t="shared" si="609"/>
        <v/>
      </c>
      <c r="EP87" s="9" t="str">
        <f t="shared" si="610"/>
        <v/>
      </c>
      <c r="EQ87" s="5" t="str">
        <f t="shared" si="611"/>
        <v/>
      </c>
      <c r="ER87" s="7" t="str">
        <f t="shared" si="612"/>
        <v/>
      </c>
      <c r="ES87" s="21" t="str">
        <f t="shared" si="488"/>
        <v/>
      </c>
      <c r="ET87" s="5" t="str">
        <f t="shared" si="489"/>
        <v/>
      </c>
      <c r="EU87" s="10" t="str">
        <f t="shared" si="490"/>
        <v/>
      </c>
      <c r="EV87" s="178" t="str">
        <f t="shared" si="491"/>
        <v/>
      </c>
      <c r="EW87" s="9" t="str">
        <f t="shared" si="492"/>
        <v/>
      </c>
      <c r="EX87" s="5" t="str">
        <f t="shared" si="493"/>
        <v/>
      </c>
      <c r="EY87" s="6" t="str">
        <f t="shared" si="613"/>
        <v/>
      </c>
      <c r="EZ87" s="52" t="str">
        <f t="shared" si="614"/>
        <v/>
      </c>
      <c r="FA87" s="177" t="str">
        <f t="shared" si="494"/>
        <v/>
      </c>
      <c r="FB87" s="5" t="str">
        <f t="shared" si="495"/>
        <v/>
      </c>
      <c r="FC87" s="6" t="str">
        <f t="shared" si="496"/>
        <v/>
      </c>
      <c r="FD87" s="4" t="str">
        <f t="shared" si="497"/>
        <v/>
      </c>
      <c r="FE87" s="5" t="str">
        <f t="shared" si="498"/>
        <v/>
      </c>
      <c r="FF87" s="7" t="str">
        <f t="shared" si="615"/>
        <v/>
      </c>
      <c r="FG87" s="177" t="str">
        <f t="shared" si="499"/>
        <v/>
      </c>
      <c r="FH87" s="5" t="str">
        <f t="shared" si="500"/>
        <v/>
      </c>
      <c r="FI87" s="10" t="str">
        <f t="shared" si="501"/>
        <v/>
      </c>
      <c r="FJ87" s="290" t="str">
        <f t="shared" si="616"/>
        <v/>
      </c>
      <c r="FK87" s="4" t="str">
        <f t="shared" si="502"/>
        <v/>
      </c>
      <c r="FL87" s="5" t="str">
        <f t="shared" si="540"/>
        <v/>
      </c>
      <c r="FM87" s="8" t="str">
        <f t="shared" si="541"/>
        <v/>
      </c>
      <c r="FN87" s="9" t="str">
        <f t="shared" si="542"/>
        <v/>
      </c>
      <c r="FO87" s="10" t="str">
        <f t="shared" si="503"/>
        <v/>
      </c>
      <c r="FP87" s="288" t="str">
        <f t="shared" si="543"/>
        <v/>
      </c>
      <c r="FQ87" s="177" t="str">
        <f t="shared" si="617"/>
        <v/>
      </c>
      <c r="FR87" s="10" t="str">
        <f t="shared" si="618"/>
        <v/>
      </c>
      <c r="FS87" s="9" t="str">
        <f t="shared" si="619"/>
        <v/>
      </c>
      <c r="FT87" s="6" t="str">
        <f t="shared" si="620"/>
        <v/>
      </c>
      <c r="FU87" s="4" t="str">
        <f t="shared" si="621"/>
        <v/>
      </c>
      <c r="FV87" s="5" t="str">
        <f t="shared" si="622"/>
        <v/>
      </c>
      <c r="FW87" s="8" t="str">
        <f t="shared" si="623"/>
        <v/>
      </c>
      <c r="FX87" s="9" t="str">
        <f t="shared" si="624"/>
        <v/>
      </c>
      <c r="FY87" s="10" t="str">
        <f t="shared" si="504"/>
        <v/>
      </c>
      <c r="FZ87" s="288" t="str">
        <f t="shared" si="625"/>
        <v/>
      </c>
      <c r="GA87" s="181" t="str">
        <f t="shared" si="626"/>
        <v/>
      </c>
      <c r="GB87" s="4" t="str">
        <f t="shared" si="627"/>
        <v/>
      </c>
      <c r="GC87" s="5" t="str">
        <f t="shared" si="628"/>
        <v/>
      </c>
      <c r="GD87" s="10" t="str">
        <f t="shared" si="629"/>
        <v/>
      </c>
      <c r="GE87" s="324" t="str">
        <f t="shared" si="630"/>
        <v/>
      </c>
      <c r="GF87" s="362" t="str">
        <f t="shared" si="631"/>
        <v/>
      </c>
      <c r="GG87" s="296" t="str">
        <f t="shared" si="505"/>
        <v/>
      </c>
      <c r="GH87" s="297" t="str">
        <f t="shared" si="506"/>
        <v/>
      </c>
      <c r="GI87" s="292" t="str">
        <f t="shared" si="507"/>
        <v/>
      </c>
      <c r="GJ87" s="171" t="str">
        <f t="shared" si="632"/>
        <v/>
      </c>
      <c r="GK87" s="178" t="str">
        <f t="shared" si="508"/>
        <v/>
      </c>
      <c r="GL87" s="178" t="str">
        <f t="shared" si="633"/>
        <v/>
      </c>
      <c r="GM87" s="181" t="str">
        <f t="shared" si="634"/>
        <v/>
      </c>
      <c r="GN87" s="291" t="str">
        <f t="shared" si="635"/>
        <v/>
      </c>
      <c r="GO87" s="4" t="str">
        <f t="shared" si="636"/>
        <v/>
      </c>
      <c r="GP87" s="8" t="str">
        <f t="shared" si="637"/>
        <v/>
      </c>
      <c r="GQ87" s="181" t="str">
        <f t="shared" si="638"/>
        <v/>
      </c>
      <c r="GR87" s="417" t="str">
        <f t="shared" si="639"/>
        <v/>
      </c>
      <c r="GS87" s="363" t="str">
        <f t="shared" si="509"/>
        <v/>
      </c>
      <c r="GT87" s="364" t="str">
        <f t="shared" si="510"/>
        <v/>
      </c>
      <c r="GU87" s="365" t="str">
        <f t="shared" si="511"/>
        <v/>
      </c>
      <c r="GV87" s="364" t="str">
        <f t="shared" si="640"/>
        <v/>
      </c>
      <c r="GW87" s="366" t="str">
        <f t="shared" si="512"/>
        <v/>
      </c>
      <c r="GX87" s="367" t="str">
        <f t="shared" si="513"/>
        <v/>
      </c>
      <c r="GY87" s="365" t="str">
        <f t="shared" si="514"/>
        <v/>
      </c>
      <c r="GZ87" s="366" t="str">
        <f t="shared" si="515"/>
        <v/>
      </c>
      <c r="HA87" s="363" t="str">
        <f t="shared" si="516"/>
        <v/>
      </c>
      <c r="HB87" s="5" t="str">
        <f t="shared" si="641"/>
        <v/>
      </c>
      <c r="HC87" s="364" t="str">
        <f t="shared" si="642"/>
        <v/>
      </c>
      <c r="HD87" s="405" t="str">
        <f t="shared" si="643"/>
        <v/>
      </c>
      <c r="HE87" s="365" t="str">
        <f t="shared" si="517"/>
        <v/>
      </c>
      <c r="HF87" s="5" t="str">
        <f t="shared" si="518"/>
        <v/>
      </c>
      <c r="HG87" s="364" t="str">
        <f t="shared" si="644"/>
        <v/>
      </c>
      <c r="HH87" s="370" t="str">
        <f t="shared" si="645"/>
        <v/>
      </c>
      <c r="HI87" s="335" t="str">
        <f t="shared" si="519"/>
        <v/>
      </c>
      <c r="HK87" s="323" t="str">
        <f t="shared" si="238"/>
        <v/>
      </c>
      <c r="HL87" s="322" t="str">
        <f t="shared" si="544"/>
        <v/>
      </c>
      <c r="HM87" s="369" t="str">
        <f t="shared" si="649"/>
        <v/>
      </c>
      <c r="HN87" s="384" t="str">
        <f t="shared" si="649"/>
        <v/>
      </c>
      <c r="HO87" s="385" t="str">
        <f t="shared" si="649"/>
        <v/>
      </c>
      <c r="HP87" s="380" t="str">
        <f t="shared" si="649"/>
        <v/>
      </c>
      <c r="HQ87" s="384" t="str">
        <f t="shared" si="649"/>
        <v/>
      </c>
      <c r="HR87" s="395" t="str">
        <f t="shared" si="649"/>
        <v/>
      </c>
      <c r="HS87" s="379" t="str">
        <f t="shared" si="649"/>
        <v/>
      </c>
      <c r="HT87" s="374" t="str">
        <f t="shared" si="649"/>
        <v/>
      </c>
      <c r="HU87" s="375" t="str">
        <f t="shared" si="649"/>
        <v/>
      </c>
      <c r="HV87" s="376" t="str">
        <f t="shared" si="649"/>
        <v/>
      </c>
      <c r="HW87" s="374" t="str">
        <f t="shared" si="649"/>
        <v/>
      </c>
      <c r="HX87" s="375" t="str">
        <f t="shared" si="649"/>
        <v/>
      </c>
      <c r="HY87" s="376" t="str">
        <f t="shared" si="649"/>
        <v/>
      </c>
      <c r="HZ87" s="374" t="str">
        <f t="shared" si="649"/>
        <v/>
      </c>
      <c r="IA87" s="375" t="str">
        <f t="shared" si="649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6"/>
        <v>5.1020000000000003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5"/>
        <v>1613</v>
      </c>
      <c r="IK87" s="533" t="str">
        <f t="shared" si="520"/>
        <v/>
      </c>
      <c r="IL87" s="727" t="str">
        <f t="shared" si="651"/>
        <v/>
      </c>
      <c r="IM87" s="759"/>
      <c r="IN87" s="5" t="str">
        <f t="shared" si="652"/>
        <v/>
      </c>
      <c r="IO87" s="771"/>
      <c r="IP87" s="9" t="str">
        <f t="shared" si="653"/>
        <v/>
      </c>
      <c r="IQ87" s="5" t="str">
        <f t="shared" si="654"/>
        <v/>
      </c>
      <c r="IR87" s="5" t="str">
        <f t="shared" si="521"/>
        <v/>
      </c>
      <c r="IS87" s="5" t="str">
        <f t="shared" si="655"/>
        <v/>
      </c>
      <c r="IT87" s="727" t="str">
        <f t="shared" si="656"/>
        <v/>
      </c>
      <c r="IU87" s="9" t="str">
        <f t="shared" si="657"/>
        <v/>
      </c>
      <c r="IV87" s="5" t="str">
        <f t="shared" si="658"/>
        <v/>
      </c>
      <c r="IW87" s="5" t="str">
        <f t="shared" si="522"/>
        <v/>
      </c>
      <c r="IX87" s="5" t="str">
        <f t="shared" si="659"/>
        <v/>
      </c>
      <c r="IY87" s="762" t="str">
        <f t="shared" si="660"/>
        <v/>
      </c>
    </row>
    <row r="88" spans="1:259" ht="15" customHeight="1" x14ac:dyDescent="0.25">
      <c r="A88" s="79"/>
      <c r="B88" s="707">
        <v>-1.2047587376621722</v>
      </c>
      <c r="C88" s="708">
        <v>-0.56178780055376865</v>
      </c>
      <c r="D88" s="709">
        <v>-0.58400176134931225</v>
      </c>
      <c r="E88" s="710">
        <v>0.47735857875335586</v>
      </c>
      <c r="F88" s="708">
        <v>-0.81424017475268073</v>
      </c>
      <c r="G88" s="711">
        <v>0.33036604714967338</v>
      </c>
      <c r="H88" s="710">
        <v>0.314</v>
      </c>
      <c r="I88" s="708">
        <v>0.52</v>
      </c>
      <c r="J88" s="570">
        <v>5.1050000000000004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7"/>
        <v>5.1050000000000004</v>
      </c>
      <c r="N88" s="632">
        <f t="shared" si="468"/>
        <v>-1.2047587376621722</v>
      </c>
      <c r="O88" s="629">
        <f t="shared" si="469"/>
        <v>-0.56178780055376865</v>
      </c>
      <c r="P88" s="633">
        <f t="shared" si="470"/>
        <v>-0.58400176134931225</v>
      </c>
      <c r="Q88" s="585">
        <f t="shared" si="523"/>
        <v>204.99998339605673</v>
      </c>
      <c r="R88" s="629">
        <f t="shared" si="79"/>
        <v>1.3293040091808916</v>
      </c>
      <c r="S88" s="634">
        <f t="shared" si="80"/>
        <v>-0.58400176134931225</v>
      </c>
      <c r="T88" s="635">
        <f t="shared" si="81"/>
        <v>-0.5617878005537692</v>
      </c>
      <c r="U88" s="629">
        <f t="shared" si="82"/>
        <v>1.2047587376621722</v>
      </c>
      <c r="V88" s="636">
        <f t="shared" si="114"/>
        <v>-0.58400176134931225</v>
      </c>
      <c r="W88" s="585">
        <f t="shared" si="648"/>
        <v>114.99998339605673</v>
      </c>
      <c r="X88" s="629">
        <f t="shared" si="83"/>
        <v>1.3293040091808916</v>
      </c>
      <c r="Y88" s="630">
        <f t="shared" si="647"/>
        <v>-0.58400176134931225</v>
      </c>
      <c r="Z88" s="632">
        <f t="shared" si="471"/>
        <v>-0.47735857875335586</v>
      </c>
      <c r="AA88" s="629">
        <f t="shared" si="472"/>
        <v>0.81424017475268073</v>
      </c>
      <c r="AB88" s="629">
        <f t="shared" si="473"/>
        <v>-0.33036604714967338</v>
      </c>
      <c r="AC88" s="636">
        <f t="shared" si="84"/>
        <v>1</v>
      </c>
      <c r="AD88" s="637">
        <f t="shared" si="115"/>
        <v>-0.47735857875335586</v>
      </c>
      <c r="AE88" s="629">
        <f t="shared" si="85"/>
        <v>0.81424017475268073</v>
      </c>
      <c r="AF88" s="633">
        <f t="shared" si="86"/>
        <v>-0.33036604714967338</v>
      </c>
      <c r="AG88" s="602">
        <f t="shared" si="87"/>
        <v>67.915864810578043</v>
      </c>
      <c r="AH88" s="603">
        <f t="shared" si="88"/>
        <v>118.51302826614649</v>
      </c>
      <c r="AI88" s="585">
        <f t="shared" si="89"/>
        <v>-70.709005437865216</v>
      </c>
      <c r="AJ88" s="586">
        <f t="shared" si="90"/>
        <v>-149.6184978417038</v>
      </c>
      <c r="AK88" s="635">
        <f t="shared" si="211"/>
        <v>0.93969263802333458</v>
      </c>
      <c r="AL88" s="629">
        <f t="shared" si="91"/>
        <v>8.8521302156295278E-2</v>
      </c>
      <c r="AM88" s="634">
        <f t="shared" si="92"/>
        <v>-0.33036604714967338</v>
      </c>
      <c r="AN88" s="581">
        <f t="shared" si="93"/>
        <v>14.999997834268218</v>
      </c>
      <c r="AO88" s="582">
        <f t="shared" si="463"/>
        <v>19.999997112357679</v>
      </c>
      <c r="AP88" s="585">
        <f t="shared" si="95"/>
        <v>5.3815187622394607</v>
      </c>
      <c r="AQ88" s="586">
        <f t="shared" si="474"/>
        <v>1.7144657359056839</v>
      </c>
      <c r="AS88" s="52">
        <f t="shared" si="546"/>
        <v>-245.00001660394327</v>
      </c>
      <c r="AT88" s="72">
        <f t="shared" si="475"/>
        <v>-0.41386286092990721</v>
      </c>
      <c r="AU88" s="469"/>
      <c r="AV88" s="168" t="str">
        <f t="shared" si="476"/>
        <v/>
      </c>
      <c r="AW88" s="418"/>
      <c r="AX88" s="419"/>
      <c r="AY88" s="420"/>
      <c r="AZ88" s="308" t="str">
        <f t="shared" si="547"/>
        <v/>
      </c>
      <c r="BA88" s="307" t="str">
        <f t="shared" si="477"/>
        <v/>
      </c>
      <c r="BB88" s="181" t="str">
        <f t="shared" si="524"/>
        <v/>
      </c>
      <c r="BC88" s="9"/>
      <c r="BD88" s="5" t="str">
        <f t="shared" si="525"/>
        <v/>
      </c>
      <c r="BE88" s="6" t="str">
        <f t="shared" si="478"/>
        <v/>
      </c>
      <c r="BF88" s="4" t="str">
        <f t="shared" si="479"/>
        <v/>
      </c>
      <c r="BG88" s="5" t="str">
        <f t="shared" si="480"/>
        <v/>
      </c>
      <c r="BH88" s="10" t="str">
        <f t="shared" si="481"/>
        <v/>
      </c>
      <c r="BI88" s="9" t="str">
        <f t="shared" si="548"/>
        <v/>
      </c>
      <c r="BJ88" s="5" t="str">
        <f t="shared" si="482"/>
        <v/>
      </c>
      <c r="BK88" s="8" t="str">
        <f t="shared" si="483"/>
        <v/>
      </c>
      <c r="BL88" s="177" t="str">
        <f t="shared" si="484"/>
        <v/>
      </c>
      <c r="BM88" s="5" t="str">
        <f t="shared" si="485"/>
        <v/>
      </c>
      <c r="BN88" s="6" t="str">
        <f t="shared" si="486"/>
        <v/>
      </c>
      <c r="BO88" s="4" t="str">
        <f t="shared" si="549"/>
        <v/>
      </c>
      <c r="BP88" s="5" t="str">
        <f t="shared" si="550"/>
        <v/>
      </c>
      <c r="BQ88" s="5" t="str">
        <f t="shared" si="551"/>
        <v/>
      </c>
      <c r="BR88" s="6" t="str">
        <f t="shared" si="552"/>
        <v/>
      </c>
      <c r="BS88" s="4" t="str">
        <f t="shared" si="526"/>
        <v/>
      </c>
      <c r="BT88" s="5" t="str">
        <f t="shared" si="526"/>
        <v/>
      </c>
      <c r="BU88" s="10" t="str">
        <f t="shared" si="527"/>
        <v/>
      </c>
      <c r="BV88" s="9" t="str">
        <f t="shared" si="528"/>
        <v/>
      </c>
      <c r="BW88" s="5" t="str">
        <f t="shared" si="529"/>
        <v/>
      </c>
      <c r="BX88" s="8" t="str">
        <f t="shared" si="530"/>
        <v/>
      </c>
      <c r="BY88" s="177" t="str">
        <f t="shared" si="531"/>
        <v/>
      </c>
      <c r="BZ88" s="5" t="str">
        <f t="shared" si="532"/>
        <v/>
      </c>
      <c r="CA88" s="6" t="str">
        <f t="shared" si="533"/>
        <v/>
      </c>
      <c r="CB88" s="4" t="str">
        <f t="shared" si="553"/>
        <v/>
      </c>
      <c r="CC88" s="5" t="str">
        <f t="shared" si="554"/>
        <v/>
      </c>
      <c r="CD88" s="5" t="str">
        <f t="shared" si="555"/>
        <v/>
      </c>
      <c r="CE88" s="6" t="str">
        <f t="shared" si="556"/>
        <v/>
      </c>
      <c r="CF88" s="4" t="str">
        <f t="shared" si="557"/>
        <v/>
      </c>
      <c r="CG88" s="5" t="str">
        <f t="shared" si="558"/>
        <v/>
      </c>
      <c r="CH88" s="5" t="str">
        <f t="shared" si="559"/>
        <v/>
      </c>
      <c r="CI88" s="4" t="str">
        <f t="shared" si="534"/>
        <v/>
      </c>
      <c r="CJ88" s="5" t="str">
        <f t="shared" si="535"/>
        <v/>
      </c>
      <c r="CK88" s="8" t="str">
        <f t="shared" si="536"/>
        <v/>
      </c>
      <c r="CL88" s="177" t="str">
        <f t="shared" si="537"/>
        <v/>
      </c>
      <c r="CM88" s="5" t="str">
        <f t="shared" si="538"/>
        <v/>
      </c>
      <c r="CN88" s="6" t="str">
        <f t="shared" si="539"/>
        <v/>
      </c>
      <c r="CO88" s="171" t="str">
        <f t="shared" si="487"/>
        <v/>
      </c>
      <c r="CP88" s="4" t="str">
        <f t="shared" si="560"/>
        <v/>
      </c>
      <c r="CQ88" s="5" t="str">
        <f t="shared" si="561"/>
        <v/>
      </c>
      <c r="CR88" s="5" t="str">
        <f t="shared" si="562"/>
        <v/>
      </c>
      <c r="CS88" s="8" t="str">
        <f t="shared" si="563"/>
        <v/>
      </c>
      <c r="CT88" s="9" t="str">
        <f t="shared" si="564"/>
        <v/>
      </c>
      <c r="CU88" s="6" t="str">
        <f t="shared" si="565"/>
        <v/>
      </c>
      <c r="CV88" s="4" t="str">
        <f t="shared" si="566"/>
        <v/>
      </c>
      <c r="CW88" s="5" t="str">
        <f t="shared" si="567"/>
        <v/>
      </c>
      <c r="CX88" s="8" t="str">
        <f t="shared" si="568"/>
        <v/>
      </c>
      <c r="CY88" s="9" t="str">
        <f t="shared" si="569"/>
        <v/>
      </c>
      <c r="CZ88" s="5" t="str">
        <f t="shared" si="570"/>
        <v/>
      </c>
      <c r="DA88" s="6" t="str">
        <f t="shared" si="571"/>
        <v/>
      </c>
      <c r="DB88" s="4" t="str">
        <f t="shared" si="572"/>
        <v/>
      </c>
      <c r="DC88" s="5" t="str">
        <f t="shared" si="572"/>
        <v/>
      </c>
      <c r="DD88" s="10" t="str">
        <f t="shared" si="573"/>
        <v/>
      </c>
      <c r="DE88" s="9" t="str">
        <f t="shared" si="574"/>
        <v/>
      </c>
      <c r="DF88" s="5" t="str">
        <f t="shared" si="574"/>
        <v/>
      </c>
      <c r="DG88" s="10" t="str">
        <f t="shared" si="575"/>
        <v/>
      </c>
      <c r="DH88" s="72" t="str">
        <f t="shared" si="576"/>
        <v/>
      </c>
      <c r="DI88" s="4" t="str">
        <f t="shared" si="577"/>
        <v/>
      </c>
      <c r="DJ88" s="5" t="str">
        <f t="shared" si="578"/>
        <v/>
      </c>
      <c r="DK88" s="10" t="str">
        <f t="shared" si="579"/>
        <v/>
      </c>
      <c r="DL88" s="9" t="str">
        <f t="shared" si="580"/>
        <v/>
      </c>
      <c r="DM88" s="177" t="str">
        <f t="shared" si="581"/>
        <v/>
      </c>
      <c r="DN88" s="182" t="str">
        <f t="shared" si="582"/>
        <v/>
      </c>
      <c r="DO88" s="9" t="str">
        <f t="shared" si="583"/>
        <v/>
      </c>
      <c r="DP88" s="177" t="str">
        <f t="shared" si="584"/>
        <v/>
      </c>
      <c r="DQ88" s="11" t="str">
        <f t="shared" si="585"/>
        <v/>
      </c>
      <c r="DR88" s="177" t="str">
        <f t="shared" si="586"/>
        <v/>
      </c>
      <c r="DS88" s="5" t="str">
        <f t="shared" si="587"/>
        <v/>
      </c>
      <c r="DT88" s="5" t="str">
        <f t="shared" si="588"/>
        <v/>
      </c>
      <c r="DU88" s="5" t="str">
        <f t="shared" si="589"/>
        <v/>
      </c>
      <c r="DV88" s="5" t="str">
        <f t="shared" si="590"/>
        <v/>
      </c>
      <c r="DW88" s="5" t="str">
        <f t="shared" si="591"/>
        <v/>
      </c>
      <c r="DX88" s="171" t="str">
        <f t="shared" si="592"/>
        <v/>
      </c>
      <c r="DY88" s="9" t="str">
        <f t="shared" si="593"/>
        <v/>
      </c>
      <c r="DZ88" s="5" t="str">
        <f t="shared" si="594"/>
        <v/>
      </c>
      <c r="EA88" s="10" t="str">
        <f t="shared" si="595"/>
        <v/>
      </c>
      <c r="EB88" s="6" t="str">
        <f t="shared" si="596"/>
        <v/>
      </c>
      <c r="EC88" s="177" t="str">
        <f t="shared" si="597"/>
        <v/>
      </c>
      <c r="ED88" s="5" t="str">
        <f t="shared" si="598"/>
        <v/>
      </c>
      <c r="EE88" s="4" t="str">
        <f t="shared" si="599"/>
        <v/>
      </c>
      <c r="EF88" s="5" t="str">
        <f t="shared" si="600"/>
        <v/>
      </c>
      <c r="EG88" s="10" t="str">
        <f t="shared" si="601"/>
        <v/>
      </c>
      <c r="EH88" s="9" t="str">
        <f t="shared" si="602"/>
        <v/>
      </c>
      <c r="EI88" s="5" t="str">
        <f t="shared" si="603"/>
        <v/>
      </c>
      <c r="EJ88" s="6" t="str">
        <f t="shared" si="604"/>
        <v/>
      </c>
      <c r="EK88" s="247" t="str">
        <f t="shared" si="605"/>
        <v/>
      </c>
      <c r="EL88" s="249" t="str">
        <f t="shared" si="606"/>
        <v/>
      </c>
      <c r="EM88" s="4" t="str">
        <f t="shared" si="607"/>
        <v/>
      </c>
      <c r="EN88" s="5" t="str">
        <f t="shared" si="608"/>
        <v/>
      </c>
      <c r="EO88" s="10" t="str">
        <f t="shared" si="609"/>
        <v/>
      </c>
      <c r="EP88" s="9" t="str">
        <f t="shared" si="610"/>
        <v/>
      </c>
      <c r="EQ88" s="5" t="str">
        <f t="shared" si="611"/>
        <v/>
      </c>
      <c r="ER88" s="7" t="str">
        <f t="shared" si="612"/>
        <v/>
      </c>
      <c r="ES88" s="21" t="str">
        <f t="shared" si="488"/>
        <v/>
      </c>
      <c r="ET88" s="5" t="str">
        <f t="shared" si="489"/>
        <v/>
      </c>
      <c r="EU88" s="10" t="str">
        <f t="shared" si="490"/>
        <v/>
      </c>
      <c r="EV88" s="178" t="str">
        <f t="shared" si="491"/>
        <v/>
      </c>
      <c r="EW88" s="9" t="str">
        <f t="shared" si="492"/>
        <v/>
      </c>
      <c r="EX88" s="5" t="str">
        <f t="shared" si="493"/>
        <v/>
      </c>
      <c r="EY88" s="6" t="str">
        <f t="shared" si="613"/>
        <v/>
      </c>
      <c r="EZ88" s="52" t="str">
        <f t="shared" si="614"/>
        <v/>
      </c>
      <c r="FA88" s="177" t="str">
        <f t="shared" si="494"/>
        <v/>
      </c>
      <c r="FB88" s="5" t="str">
        <f t="shared" si="495"/>
        <v/>
      </c>
      <c r="FC88" s="6" t="str">
        <f t="shared" si="496"/>
        <v/>
      </c>
      <c r="FD88" s="4" t="str">
        <f t="shared" si="497"/>
        <v/>
      </c>
      <c r="FE88" s="5" t="str">
        <f t="shared" si="498"/>
        <v/>
      </c>
      <c r="FF88" s="7" t="str">
        <f t="shared" si="615"/>
        <v/>
      </c>
      <c r="FG88" s="177" t="str">
        <f t="shared" si="499"/>
        <v/>
      </c>
      <c r="FH88" s="5" t="str">
        <f t="shared" si="500"/>
        <v/>
      </c>
      <c r="FI88" s="10" t="str">
        <f t="shared" si="501"/>
        <v/>
      </c>
      <c r="FJ88" s="290" t="str">
        <f t="shared" si="616"/>
        <v/>
      </c>
      <c r="FK88" s="4" t="str">
        <f t="shared" si="502"/>
        <v/>
      </c>
      <c r="FL88" s="5" t="str">
        <f t="shared" si="540"/>
        <v/>
      </c>
      <c r="FM88" s="8" t="str">
        <f t="shared" si="541"/>
        <v/>
      </c>
      <c r="FN88" s="9" t="str">
        <f t="shared" si="542"/>
        <v/>
      </c>
      <c r="FO88" s="10" t="str">
        <f t="shared" si="503"/>
        <v/>
      </c>
      <c r="FP88" s="288" t="str">
        <f t="shared" si="543"/>
        <v/>
      </c>
      <c r="FQ88" s="177" t="str">
        <f t="shared" si="617"/>
        <v/>
      </c>
      <c r="FR88" s="10" t="str">
        <f t="shared" si="618"/>
        <v/>
      </c>
      <c r="FS88" s="9" t="str">
        <f t="shared" si="619"/>
        <v/>
      </c>
      <c r="FT88" s="6" t="str">
        <f t="shared" si="620"/>
        <v/>
      </c>
      <c r="FU88" s="4" t="str">
        <f t="shared" si="621"/>
        <v/>
      </c>
      <c r="FV88" s="5" t="str">
        <f t="shared" si="622"/>
        <v/>
      </c>
      <c r="FW88" s="8" t="str">
        <f t="shared" si="623"/>
        <v/>
      </c>
      <c r="FX88" s="9" t="str">
        <f t="shared" si="624"/>
        <v/>
      </c>
      <c r="FY88" s="10" t="str">
        <f t="shared" si="504"/>
        <v/>
      </c>
      <c r="FZ88" s="288" t="str">
        <f t="shared" si="625"/>
        <v/>
      </c>
      <c r="GA88" s="181" t="str">
        <f t="shared" si="626"/>
        <v/>
      </c>
      <c r="GB88" s="4" t="str">
        <f t="shared" si="627"/>
        <v/>
      </c>
      <c r="GC88" s="5" t="str">
        <f t="shared" si="628"/>
        <v/>
      </c>
      <c r="GD88" s="10" t="str">
        <f t="shared" si="629"/>
        <v/>
      </c>
      <c r="GE88" s="324" t="str">
        <f t="shared" si="630"/>
        <v/>
      </c>
      <c r="GF88" s="362" t="str">
        <f t="shared" si="631"/>
        <v/>
      </c>
      <c r="GG88" s="296" t="str">
        <f t="shared" si="505"/>
        <v/>
      </c>
      <c r="GH88" s="297" t="str">
        <f t="shared" si="506"/>
        <v/>
      </c>
      <c r="GI88" s="292" t="str">
        <f t="shared" si="507"/>
        <v/>
      </c>
      <c r="GJ88" s="171" t="str">
        <f t="shared" si="632"/>
        <v/>
      </c>
      <c r="GK88" s="178" t="str">
        <f t="shared" si="508"/>
        <v/>
      </c>
      <c r="GL88" s="178" t="str">
        <f t="shared" si="633"/>
        <v/>
      </c>
      <c r="GM88" s="181" t="str">
        <f t="shared" si="634"/>
        <v/>
      </c>
      <c r="GN88" s="291" t="str">
        <f t="shared" si="635"/>
        <v/>
      </c>
      <c r="GO88" s="4" t="str">
        <f t="shared" si="636"/>
        <v/>
      </c>
      <c r="GP88" s="8" t="str">
        <f t="shared" si="637"/>
        <v/>
      </c>
      <c r="GQ88" s="181" t="str">
        <f t="shared" si="638"/>
        <v/>
      </c>
      <c r="GR88" s="417" t="str">
        <f t="shared" si="639"/>
        <v/>
      </c>
      <c r="GS88" s="363" t="str">
        <f t="shared" si="509"/>
        <v/>
      </c>
      <c r="GT88" s="364" t="str">
        <f t="shared" si="510"/>
        <v/>
      </c>
      <c r="GU88" s="365" t="str">
        <f t="shared" si="511"/>
        <v/>
      </c>
      <c r="GV88" s="364" t="str">
        <f t="shared" si="640"/>
        <v/>
      </c>
      <c r="GW88" s="366" t="str">
        <f t="shared" si="512"/>
        <v/>
      </c>
      <c r="GX88" s="367" t="str">
        <f t="shared" si="513"/>
        <v/>
      </c>
      <c r="GY88" s="365" t="str">
        <f t="shared" si="514"/>
        <v/>
      </c>
      <c r="GZ88" s="366" t="str">
        <f t="shared" si="515"/>
        <v/>
      </c>
      <c r="HA88" s="363" t="str">
        <f t="shared" si="516"/>
        <v/>
      </c>
      <c r="HB88" s="5" t="str">
        <f t="shared" si="641"/>
        <v/>
      </c>
      <c r="HC88" s="364" t="str">
        <f t="shared" si="642"/>
        <v/>
      </c>
      <c r="HD88" s="405" t="str">
        <f t="shared" si="643"/>
        <v/>
      </c>
      <c r="HE88" s="365" t="str">
        <f t="shared" si="517"/>
        <v/>
      </c>
      <c r="HF88" s="5" t="str">
        <f t="shared" si="518"/>
        <v/>
      </c>
      <c r="HG88" s="364" t="str">
        <f t="shared" si="644"/>
        <v/>
      </c>
      <c r="HH88" s="370" t="str">
        <f t="shared" si="645"/>
        <v/>
      </c>
      <c r="HI88" s="335" t="str">
        <f t="shared" si="519"/>
        <v/>
      </c>
      <c r="HK88" s="323" t="str">
        <f t="shared" si="238"/>
        <v/>
      </c>
      <c r="HL88" s="322" t="str">
        <f t="shared" si="544"/>
        <v/>
      </c>
      <c r="HM88" s="369" t="str">
        <f t="shared" si="649"/>
        <v/>
      </c>
      <c r="HN88" s="384" t="str">
        <f t="shared" si="649"/>
        <v/>
      </c>
      <c r="HO88" s="385" t="str">
        <f t="shared" si="649"/>
        <v/>
      </c>
      <c r="HP88" s="380" t="str">
        <f t="shared" si="649"/>
        <v/>
      </c>
      <c r="HQ88" s="384" t="str">
        <f t="shared" si="649"/>
        <v/>
      </c>
      <c r="HR88" s="395" t="str">
        <f t="shared" si="649"/>
        <v/>
      </c>
      <c r="HS88" s="379" t="str">
        <f t="shared" si="649"/>
        <v/>
      </c>
      <c r="HT88" s="374" t="str">
        <f t="shared" si="649"/>
        <v/>
      </c>
      <c r="HU88" s="375" t="str">
        <f t="shared" si="649"/>
        <v/>
      </c>
      <c r="HV88" s="376" t="str">
        <f t="shared" si="649"/>
        <v/>
      </c>
      <c r="HW88" s="374" t="str">
        <f t="shared" si="649"/>
        <v/>
      </c>
      <c r="HX88" s="375" t="str">
        <f t="shared" si="649"/>
        <v/>
      </c>
      <c r="HY88" s="376" t="str">
        <f t="shared" si="649"/>
        <v/>
      </c>
      <c r="HZ88" s="374" t="str">
        <f t="shared" si="649"/>
        <v/>
      </c>
      <c r="IA88" s="375" t="str">
        <f t="shared" si="649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6"/>
        <v>5.1050000000000004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5"/>
        <v>1613</v>
      </c>
      <c r="IK88" s="533" t="str">
        <f t="shared" si="520"/>
        <v/>
      </c>
      <c r="IL88" s="727" t="str">
        <f t="shared" si="651"/>
        <v/>
      </c>
      <c r="IM88" s="759"/>
      <c r="IN88" s="5" t="str">
        <f t="shared" si="652"/>
        <v/>
      </c>
      <c r="IO88" s="771"/>
      <c r="IP88" s="9" t="str">
        <f t="shared" si="653"/>
        <v/>
      </c>
      <c r="IQ88" s="5" t="str">
        <f t="shared" si="654"/>
        <v/>
      </c>
      <c r="IR88" s="5" t="str">
        <f t="shared" si="521"/>
        <v/>
      </c>
      <c r="IS88" s="5" t="str">
        <f t="shared" si="655"/>
        <v/>
      </c>
      <c r="IT88" s="727" t="str">
        <f t="shared" si="656"/>
        <v/>
      </c>
      <c r="IU88" s="9" t="str">
        <f t="shared" si="657"/>
        <v/>
      </c>
      <c r="IV88" s="5" t="str">
        <f t="shared" si="658"/>
        <v/>
      </c>
      <c r="IW88" s="5" t="str">
        <f t="shared" si="522"/>
        <v/>
      </c>
      <c r="IX88" s="5" t="str">
        <f t="shared" si="659"/>
        <v/>
      </c>
      <c r="IY88" s="762" t="str">
        <f t="shared" si="660"/>
        <v/>
      </c>
    </row>
    <row r="89" spans="1:259" ht="15" customHeight="1" x14ac:dyDescent="0.25">
      <c r="A89" s="79"/>
      <c r="B89" s="707">
        <v>-1.8790538560106689</v>
      </c>
      <c r="C89" s="708">
        <v>-0.87621654020020268</v>
      </c>
      <c r="D89" s="709">
        <v>-0.38520116176670383</v>
      </c>
      <c r="E89" s="710">
        <v>0.4773585787533558</v>
      </c>
      <c r="F89" s="708">
        <v>-0.81424017475268085</v>
      </c>
      <c r="G89" s="711">
        <v>0.33036604714967338</v>
      </c>
      <c r="H89" s="710">
        <v>0.314</v>
      </c>
      <c r="I89" s="708">
        <v>0.52</v>
      </c>
      <c r="J89" s="570">
        <v>5.1079999999999997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7"/>
        <v>5.1079999999999997</v>
      </c>
      <c r="N89" s="632">
        <f t="shared" si="468"/>
        <v>-1.8790538560106689</v>
      </c>
      <c r="O89" s="629">
        <f t="shared" si="469"/>
        <v>-0.87621654020020268</v>
      </c>
      <c r="P89" s="633">
        <f t="shared" si="470"/>
        <v>-0.38520116176670383</v>
      </c>
      <c r="Q89" s="585">
        <f t="shared" si="523"/>
        <v>204.99998339605673</v>
      </c>
      <c r="R89" s="629">
        <f t="shared" si="79"/>
        <v>2.0733062530916597</v>
      </c>
      <c r="S89" s="634">
        <f t="shared" si="80"/>
        <v>-0.38520116176670383</v>
      </c>
      <c r="T89" s="635">
        <f t="shared" si="81"/>
        <v>-0.87621654020020312</v>
      </c>
      <c r="U89" s="629">
        <f t="shared" si="82"/>
        <v>1.8790538560106689</v>
      </c>
      <c r="V89" s="636">
        <f t="shared" si="114"/>
        <v>-0.38520116176670383</v>
      </c>
      <c r="W89" s="585">
        <f t="shared" si="648"/>
        <v>114.99998339605673</v>
      </c>
      <c r="X89" s="629">
        <f t="shared" si="83"/>
        <v>2.0733062530916597</v>
      </c>
      <c r="Y89" s="630">
        <f t="shared" si="647"/>
        <v>-0.38520116176670383</v>
      </c>
      <c r="Z89" s="632">
        <f t="shared" si="471"/>
        <v>-0.4773585787533558</v>
      </c>
      <c r="AA89" s="629">
        <f t="shared" si="472"/>
        <v>0.81424017475268085</v>
      </c>
      <c r="AB89" s="629">
        <f t="shared" si="473"/>
        <v>-0.33036604714967338</v>
      </c>
      <c r="AC89" s="636">
        <f t="shared" si="84"/>
        <v>1</v>
      </c>
      <c r="AD89" s="637">
        <f t="shared" si="115"/>
        <v>-0.4773585787533558</v>
      </c>
      <c r="AE89" s="629">
        <f t="shared" si="85"/>
        <v>0.81424017475268085</v>
      </c>
      <c r="AF89" s="633">
        <f t="shared" si="86"/>
        <v>-0.33036604714967338</v>
      </c>
      <c r="AG89" s="602">
        <f t="shared" si="87"/>
        <v>67.915864810578043</v>
      </c>
      <c r="AH89" s="603">
        <f t="shared" si="88"/>
        <v>118.51302826614649</v>
      </c>
      <c r="AI89" s="585">
        <f t="shared" si="89"/>
        <v>-70.709005437865216</v>
      </c>
      <c r="AJ89" s="586">
        <f t="shared" si="90"/>
        <v>-149.61849784170383</v>
      </c>
      <c r="AK89" s="635">
        <f t="shared" si="211"/>
        <v>0.93969263802333469</v>
      </c>
      <c r="AL89" s="629">
        <f t="shared" si="91"/>
        <v>8.8521302156295167E-2</v>
      </c>
      <c r="AM89" s="634">
        <f t="shared" si="92"/>
        <v>-0.33036604714967338</v>
      </c>
      <c r="AN89" s="581">
        <f t="shared" si="93"/>
        <v>14.999997834268202</v>
      </c>
      <c r="AO89" s="582">
        <f t="shared" si="463"/>
        <v>19.999997112357665</v>
      </c>
      <c r="AP89" s="585">
        <f t="shared" si="95"/>
        <v>5.3815187622394536</v>
      </c>
      <c r="AQ89" s="586">
        <f t="shared" si="474"/>
        <v>1.0994260116300378</v>
      </c>
      <c r="AS89" s="52">
        <f t="shared" si="546"/>
        <v>-245.00001660394327</v>
      </c>
      <c r="AT89" s="72">
        <f t="shared" si="475"/>
        <v>-0.21506226134729878</v>
      </c>
      <c r="AU89" s="469"/>
      <c r="AV89" s="168" t="str">
        <f t="shared" si="476"/>
        <v/>
      </c>
      <c r="AW89" s="418"/>
      <c r="AX89" s="419"/>
      <c r="AY89" s="420"/>
      <c r="AZ89" s="308" t="str">
        <f t="shared" si="547"/>
        <v/>
      </c>
      <c r="BA89" s="307" t="str">
        <f t="shared" si="477"/>
        <v/>
      </c>
      <c r="BB89" s="181" t="str">
        <f t="shared" si="524"/>
        <v/>
      </c>
      <c r="BC89" s="9"/>
      <c r="BD89" s="5" t="str">
        <f t="shared" si="525"/>
        <v/>
      </c>
      <c r="BE89" s="6" t="str">
        <f t="shared" si="478"/>
        <v/>
      </c>
      <c r="BF89" s="4" t="str">
        <f t="shared" si="479"/>
        <v/>
      </c>
      <c r="BG89" s="5" t="str">
        <f t="shared" si="480"/>
        <v/>
      </c>
      <c r="BH89" s="10" t="str">
        <f t="shared" si="481"/>
        <v/>
      </c>
      <c r="BI89" s="9" t="str">
        <f t="shared" si="548"/>
        <v/>
      </c>
      <c r="BJ89" s="5" t="str">
        <f t="shared" si="482"/>
        <v/>
      </c>
      <c r="BK89" s="8" t="str">
        <f t="shared" si="483"/>
        <v/>
      </c>
      <c r="BL89" s="177" t="str">
        <f t="shared" si="484"/>
        <v/>
      </c>
      <c r="BM89" s="5" t="str">
        <f t="shared" si="485"/>
        <v/>
      </c>
      <c r="BN89" s="6" t="str">
        <f t="shared" si="486"/>
        <v/>
      </c>
      <c r="BO89" s="4" t="str">
        <f t="shared" si="549"/>
        <v/>
      </c>
      <c r="BP89" s="5" t="str">
        <f t="shared" si="550"/>
        <v/>
      </c>
      <c r="BQ89" s="5" t="str">
        <f t="shared" si="551"/>
        <v/>
      </c>
      <c r="BR89" s="6" t="str">
        <f t="shared" si="552"/>
        <v/>
      </c>
      <c r="BS89" s="4" t="str">
        <f t="shared" si="526"/>
        <v/>
      </c>
      <c r="BT89" s="5" t="str">
        <f t="shared" si="526"/>
        <v/>
      </c>
      <c r="BU89" s="10" t="str">
        <f t="shared" si="527"/>
        <v/>
      </c>
      <c r="BV89" s="9" t="str">
        <f t="shared" si="528"/>
        <v/>
      </c>
      <c r="BW89" s="5" t="str">
        <f t="shared" si="529"/>
        <v/>
      </c>
      <c r="BX89" s="8" t="str">
        <f t="shared" si="530"/>
        <v/>
      </c>
      <c r="BY89" s="177" t="str">
        <f t="shared" si="531"/>
        <v/>
      </c>
      <c r="BZ89" s="5" t="str">
        <f t="shared" si="532"/>
        <v/>
      </c>
      <c r="CA89" s="6" t="str">
        <f t="shared" si="533"/>
        <v/>
      </c>
      <c r="CB89" s="4" t="str">
        <f t="shared" si="553"/>
        <v/>
      </c>
      <c r="CC89" s="5" t="str">
        <f t="shared" si="554"/>
        <v/>
      </c>
      <c r="CD89" s="5" t="str">
        <f t="shared" si="555"/>
        <v/>
      </c>
      <c r="CE89" s="6" t="str">
        <f t="shared" si="556"/>
        <v/>
      </c>
      <c r="CF89" s="4" t="str">
        <f t="shared" si="557"/>
        <v/>
      </c>
      <c r="CG89" s="5" t="str">
        <f t="shared" si="558"/>
        <v/>
      </c>
      <c r="CH89" s="5" t="str">
        <f t="shared" si="559"/>
        <v/>
      </c>
      <c r="CI89" s="4" t="str">
        <f t="shared" si="534"/>
        <v/>
      </c>
      <c r="CJ89" s="5" t="str">
        <f t="shared" si="535"/>
        <v/>
      </c>
      <c r="CK89" s="8" t="str">
        <f t="shared" si="536"/>
        <v/>
      </c>
      <c r="CL89" s="177" t="str">
        <f t="shared" si="537"/>
        <v/>
      </c>
      <c r="CM89" s="5" t="str">
        <f t="shared" si="538"/>
        <v/>
      </c>
      <c r="CN89" s="6" t="str">
        <f t="shared" si="539"/>
        <v/>
      </c>
      <c r="CO89" s="171" t="str">
        <f t="shared" si="487"/>
        <v/>
      </c>
      <c r="CP89" s="4" t="str">
        <f t="shared" si="560"/>
        <v/>
      </c>
      <c r="CQ89" s="5" t="str">
        <f t="shared" si="561"/>
        <v/>
      </c>
      <c r="CR89" s="5" t="str">
        <f t="shared" si="562"/>
        <v/>
      </c>
      <c r="CS89" s="8" t="str">
        <f t="shared" si="563"/>
        <v/>
      </c>
      <c r="CT89" s="9" t="str">
        <f t="shared" si="564"/>
        <v/>
      </c>
      <c r="CU89" s="6" t="str">
        <f t="shared" si="565"/>
        <v/>
      </c>
      <c r="CV89" s="4" t="str">
        <f t="shared" si="566"/>
        <v/>
      </c>
      <c r="CW89" s="5" t="str">
        <f t="shared" si="567"/>
        <v/>
      </c>
      <c r="CX89" s="8" t="str">
        <f t="shared" si="568"/>
        <v/>
      </c>
      <c r="CY89" s="9" t="str">
        <f t="shared" si="569"/>
        <v/>
      </c>
      <c r="CZ89" s="5" t="str">
        <f t="shared" si="570"/>
        <v/>
      </c>
      <c r="DA89" s="6" t="str">
        <f t="shared" si="571"/>
        <v/>
      </c>
      <c r="DB89" s="4" t="str">
        <f t="shared" si="572"/>
        <v/>
      </c>
      <c r="DC89" s="5" t="str">
        <f t="shared" si="572"/>
        <v/>
      </c>
      <c r="DD89" s="10" t="str">
        <f t="shared" si="573"/>
        <v/>
      </c>
      <c r="DE89" s="9" t="str">
        <f t="shared" si="574"/>
        <v/>
      </c>
      <c r="DF89" s="5" t="str">
        <f t="shared" si="574"/>
        <v/>
      </c>
      <c r="DG89" s="10" t="str">
        <f t="shared" si="575"/>
        <v/>
      </c>
      <c r="DH89" s="72" t="str">
        <f t="shared" si="576"/>
        <v/>
      </c>
      <c r="DI89" s="4" t="str">
        <f t="shared" si="577"/>
        <v/>
      </c>
      <c r="DJ89" s="5" t="str">
        <f t="shared" si="578"/>
        <v/>
      </c>
      <c r="DK89" s="10" t="str">
        <f t="shared" si="579"/>
        <v/>
      </c>
      <c r="DL89" s="9" t="str">
        <f t="shared" si="580"/>
        <v/>
      </c>
      <c r="DM89" s="177" t="str">
        <f t="shared" si="581"/>
        <v/>
      </c>
      <c r="DN89" s="182" t="str">
        <f t="shared" si="582"/>
        <v/>
      </c>
      <c r="DO89" s="9" t="str">
        <f t="shared" si="583"/>
        <v/>
      </c>
      <c r="DP89" s="177" t="str">
        <f t="shared" si="584"/>
        <v/>
      </c>
      <c r="DQ89" s="11" t="str">
        <f t="shared" si="585"/>
        <v/>
      </c>
      <c r="DR89" s="177" t="str">
        <f t="shared" si="586"/>
        <v/>
      </c>
      <c r="DS89" s="5" t="str">
        <f t="shared" si="587"/>
        <v/>
      </c>
      <c r="DT89" s="5" t="str">
        <f t="shared" si="588"/>
        <v/>
      </c>
      <c r="DU89" s="5" t="str">
        <f t="shared" si="589"/>
        <v/>
      </c>
      <c r="DV89" s="5" t="str">
        <f t="shared" si="590"/>
        <v/>
      </c>
      <c r="DW89" s="5" t="str">
        <f t="shared" si="591"/>
        <v/>
      </c>
      <c r="DX89" s="171" t="str">
        <f t="shared" si="592"/>
        <v/>
      </c>
      <c r="DY89" s="9" t="str">
        <f t="shared" si="593"/>
        <v/>
      </c>
      <c r="DZ89" s="5" t="str">
        <f t="shared" si="594"/>
        <v/>
      </c>
      <c r="EA89" s="10" t="str">
        <f t="shared" si="595"/>
        <v/>
      </c>
      <c r="EB89" s="6" t="str">
        <f t="shared" si="596"/>
        <v/>
      </c>
      <c r="EC89" s="177" t="str">
        <f t="shared" si="597"/>
        <v/>
      </c>
      <c r="ED89" s="5" t="str">
        <f t="shared" si="598"/>
        <v/>
      </c>
      <c r="EE89" s="4" t="str">
        <f t="shared" si="599"/>
        <v/>
      </c>
      <c r="EF89" s="5" t="str">
        <f t="shared" si="600"/>
        <v/>
      </c>
      <c r="EG89" s="10" t="str">
        <f t="shared" si="601"/>
        <v/>
      </c>
      <c r="EH89" s="9" t="str">
        <f t="shared" si="602"/>
        <v/>
      </c>
      <c r="EI89" s="5" t="str">
        <f t="shared" si="603"/>
        <v/>
      </c>
      <c r="EJ89" s="6" t="str">
        <f t="shared" si="604"/>
        <v/>
      </c>
      <c r="EK89" s="247" t="str">
        <f t="shared" si="605"/>
        <v/>
      </c>
      <c r="EL89" s="249" t="str">
        <f t="shared" si="606"/>
        <v/>
      </c>
      <c r="EM89" s="4" t="str">
        <f t="shared" si="607"/>
        <v/>
      </c>
      <c r="EN89" s="5" t="str">
        <f t="shared" si="608"/>
        <v/>
      </c>
      <c r="EO89" s="10" t="str">
        <f t="shared" si="609"/>
        <v/>
      </c>
      <c r="EP89" s="9" t="str">
        <f t="shared" si="610"/>
        <v/>
      </c>
      <c r="EQ89" s="5" t="str">
        <f t="shared" si="611"/>
        <v/>
      </c>
      <c r="ER89" s="7" t="str">
        <f t="shared" si="612"/>
        <v/>
      </c>
      <c r="ES89" s="21" t="str">
        <f t="shared" si="488"/>
        <v/>
      </c>
      <c r="ET89" s="5" t="str">
        <f t="shared" si="489"/>
        <v/>
      </c>
      <c r="EU89" s="10" t="str">
        <f t="shared" si="490"/>
        <v/>
      </c>
      <c r="EV89" s="178" t="str">
        <f t="shared" si="491"/>
        <v/>
      </c>
      <c r="EW89" s="9" t="str">
        <f t="shared" si="492"/>
        <v/>
      </c>
      <c r="EX89" s="5" t="str">
        <f t="shared" si="493"/>
        <v/>
      </c>
      <c r="EY89" s="6" t="str">
        <f t="shared" si="613"/>
        <v/>
      </c>
      <c r="EZ89" s="52" t="str">
        <f t="shared" si="614"/>
        <v/>
      </c>
      <c r="FA89" s="177" t="str">
        <f t="shared" si="494"/>
        <v/>
      </c>
      <c r="FB89" s="5" t="str">
        <f t="shared" si="495"/>
        <v/>
      </c>
      <c r="FC89" s="6" t="str">
        <f t="shared" si="496"/>
        <v/>
      </c>
      <c r="FD89" s="4" t="str">
        <f t="shared" si="497"/>
        <v/>
      </c>
      <c r="FE89" s="5" t="str">
        <f t="shared" si="498"/>
        <v/>
      </c>
      <c r="FF89" s="7" t="str">
        <f t="shared" si="615"/>
        <v/>
      </c>
      <c r="FG89" s="177" t="str">
        <f t="shared" si="499"/>
        <v/>
      </c>
      <c r="FH89" s="5" t="str">
        <f t="shared" si="500"/>
        <v/>
      </c>
      <c r="FI89" s="10" t="str">
        <f t="shared" si="501"/>
        <v/>
      </c>
      <c r="FJ89" s="290" t="str">
        <f t="shared" si="616"/>
        <v/>
      </c>
      <c r="FK89" s="4" t="str">
        <f t="shared" si="502"/>
        <v/>
      </c>
      <c r="FL89" s="5" t="str">
        <f t="shared" si="540"/>
        <v/>
      </c>
      <c r="FM89" s="8" t="str">
        <f t="shared" si="541"/>
        <v/>
      </c>
      <c r="FN89" s="9" t="str">
        <f t="shared" si="542"/>
        <v/>
      </c>
      <c r="FO89" s="10" t="str">
        <f t="shared" si="503"/>
        <v/>
      </c>
      <c r="FP89" s="288" t="str">
        <f t="shared" si="543"/>
        <v/>
      </c>
      <c r="FQ89" s="177" t="str">
        <f t="shared" si="617"/>
        <v/>
      </c>
      <c r="FR89" s="10" t="str">
        <f t="shared" si="618"/>
        <v/>
      </c>
      <c r="FS89" s="9" t="str">
        <f t="shared" si="619"/>
        <v/>
      </c>
      <c r="FT89" s="6" t="str">
        <f t="shared" si="620"/>
        <v/>
      </c>
      <c r="FU89" s="4" t="str">
        <f t="shared" si="621"/>
        <v/>
      </c>
      <c r="FV89" s="5" t="str">
        <f t="shared" si="622"/>
        <v/>
      </c>
      <c r="FW89" s="8" t="str">
        <f t="shared" si="623"/>
        <v/>
      </c>
      <c r="FX89" s="9" t="str">
        <f t="shared" si="624"/>
        <v/>
      </c>
      <c r="FY89" s="10" t="str">
        <f t="shared" si="504"/>
        <v/>
      </c>
      <c r="FZ89" s="288" t="str">
        <f t="shared" si="625"/>
        <v/>
      </c>
      <c r="GA89" s="181" t="str">
        <f t="shared" si="626"/>
        <v/>
      </c>
      <c r="GB89" s="4" t="str">
        <f t="shared" si="627"/>
        <v/>
      </c>
      <c r="GC89" s="5" t="str">
        <f t="shared" si="628"/>
        <v/>
      </c>
      <c r="GD89" s="10" t="str">
        <f t="shared" si="629"/>
        <v/>
      </c>
      <c r="GE89" s="324" t="str">
        <f t="shared" si="630"/>
        <v/>
      </c>
      <c r="GF89" s="362" t="str">
        <f t="shared" si="631"/>
        <v/>
      </c>
      <c r="GG89" s="296" t="str">
        <f t="shared" si="505"/>
        <v/>
      </c>
      <c r="GH89" s="297" t="str">
        <f t="shared" si="506"/>
        <v/>
      </c>
      <c r="GI89" s="292" t="str">
        <f t="shared" si="507"/>
        <v/>
      </c>
      <c r="GJ89" s="171" t="str">
        <f t="shared" si="632"/>
        <v/>
      </c>
      <c r="GK89" s="178" t="str">
        <f t="shared" si="508"/>
        <v/>
      </c>
      <c r="GL89" s="178" t="str">
        <f t="shared" si="633"/>
        <v/>
      </c>
      <c r="GM89" s="181" t="str">
        <f t="shared" si="634"/>
        <v/>
      </c>
      <c r="GN89" s="291" t="str">
        <f t="shared" si="635"/>
        <v/>
      </c>
      <c r="GO89" s="4" t="str">
        <f t="shared" si="636"/>
        <v/>
      </c>
      <c r="GP89" s="8" t="str">
        <f t="shared" si="637"/>
        <v/>
      </c>
      <c r="GQ89" s="181" t="str">
        <f t="shared" si="638"/>
        <v/>
      </c>
      <c r="GR89" s="417" t="str">
        <f t="shared" si="639"/>
        <v/>
      </c>
      <c r="GS89" s="363" t="str">
        <f t="shared" si="509"/>
        <v/>
      </c>
      <c r="GT89" s="364" t="str">
        <f t="shared" si="510"/>
        <v/>
      </c>
      <c r="GU89" s="365" t="str">
        <f t="shared" si="511"/>
        <v/>
      </c>
      <c r="GV89" s="364" t="str">
        <f t="shared" si="640"/>
        <v/>
      </c>
      <c r="GW89" s="366" t="str">
        <f t="shared" si="512"/>
        <v/>
      </c>
      <c r="GX89" s="367" t="str">
        <f t="shared" si="513"/>
        <v/>
      </c>
      <c r="GY89" s="365" t="str">
        <f t="shared" si="514"/>
        <v/>
      </c>
      <c r="GZ89" s="366" t="str">
        <f t="shared" si="515"/>
        <v/>
      </c>
      <c r="HA89" s="363" t="str">
        <f t="shared" si="516"/>
        <v/>
      </c>
      <c r="HB89" s="5" t="str">
        <f t="shared" si="641"/>
        <v/>
      </c>
      <c r="HC89" s="364" t="str">
        <f t="shared" si="642"/>
        <v/>
      </c>
      <c r="HD89" s="405" t="str">
        <f t="shared" si="643"/>
        <v/>
      </c>
      <c r="HE89" s="365" t="str">
        <f t="shared" si="517"/>
        <v/>
      </c>
      <c r="HF89" s="5" t="str">
        <f t="shared" si="518"/>
        <v/>
      </c>
      <c r="HG89" s="364" t="str">
        <f t="shared" si="644"/>
        <v/>
      </c>
      <c r="HH89" s="370" t="str">
        <f t="shared" si="645"/>
        <v/>
      </c>
      <c r="HI89" s="335" t="str">
        <f t="shared" si="519"/>
        <v/>
      </c>
      <c r="HK89" s="323" t="str">
        <f t="shared" si="238"/>
        <v/>
      </c>
      <c r="HL89" s="322" t="str">
        <f t="shared" si="544"/>
        <v/>
      </c>
      <c r="HM89" s="369" t="str">
        <f t="shared" ref="HM89:IA98" si="661">IF(ISNUMBER($HL89),VLOOKUP($HL89,$GJ$9:$HI$150,HM$1,FALSE),"")</f>
        <v/>
      </c>
      <c r="HN89" s="384" t="str">
        <f t="shared" si="661"/>
        <v/>
      </c>
      <c r="HO89" s="385" t="str">
        <f t="shared" si="661"/>
        <v/>
      </c>
      <c r="HP89" s="380" t="str">
        <f t="shared" si="661"/>
        <v/>
      </c>
      <c r="HQ89" s="384" t="str">
        <f t="shared" si="661"/>
        <v/>
      </c>
      <c r="HR89" s="395" t="str">
        <f t="shared" si="661"/>
        <v/>
      </c>
      <c r="HS89" s="379" t="str">
        <f t="shared" si="661"/>
        <v/>
      </c>
      <c r="HT89" s="374" t="str">
        <f t="shared" si="661"/>
        <v/>
      </c>
      <c r="HU89" s="375" t="str">
        <f t="shared" si="661"/>
        <v/>
      </c>
      <c r="HV89" s="376" t="str">
        <f t="shared" si="661"/>
        <v/>
      </c>
      <c r="HW89" s="374" t="str">
        <f t="shared" si="661"/>
        <v/>
      </c>
      <c r="HX89" s="375" t="str">
        <f t="shared" si="661"/>
        <v/>
      </c>
      <c r="HY89" s="376" t="str">
        <f t="shared" si="661"/>
        <v/>
      </c>
      <c r="HZ89" s="374" t="str">
        <f t="shared" si="661"/>
        <v/>
      </c>
      <c r="IA89" s="375" t="str">
        <f t="shared" si="661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6"/>
        <v>5.1079999999999997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5"/>
        <v>1613</v>
      </c>
      <c r="IK89" s="533" t="str">
        <f t="shared" si="520"/>
        <v/>
      </c>
      <c r="IL89" s="727" t="str">
        <f t="shared" si="651"/>
        <v/>
      </c>
      <c r="IM89" s="759"/>
      <c r="IN89" s="5" t="str">
        <f t="shared" si="652"/>
        <v/>
      </c>
      <c r="IO89" s="771"/>
      <c r="IP89" s="9" t="str">
        <f t="shared" si="653"/>
        <v/>
      </c>
      <c r="IQ89" s="5" t="str">
        <f t="shared" si="654"/>
        <v/>
      </c>
      <c r="IR89" s="5" t="str">
        <f t="shared" si="521"/>
        <v/>
      </c>
      <c r="IS89" s="5" t="str">
        <f t="shared" si="655"/>
        <v/>
      </c>
      <c r="IT89" s="727" t="str">
        <f t="shared" si="656"/>
        <v/>
      </c>
      <c r="IU89" s="9" t="str">
        <f t="shared" si="657"/>
        <v/>
      </c>
      <c r="IV89" s="5" t="str">
        <f t="shared" si="658"/>
        <v/>
      </c>
      <c r="IW89" s="5" t="str">
        <f t="shared" si="522"/>
        <v/>
      </c>
      <c r="IX89" s="5" t="str">
        <f t="shared" si="659"/>
        <v/>
      </c>
      <c r="IY89" s="762" t="str">
        <f t="shared" si="660"/>
        <v/>
      </c>
    </row>
    <row r="90" spans="1:259" ht="15" customHeight="1" x14ac:dyDescent="0.25">
      <c r="A90" s="79"/>
      <c r="B90" s="707">
        <v>-2.549451838594516</v>
      </c>
      <c r="C90" s="708">
        <v>-1.188828016969647</v>
      </c>
      <c r="D90" s="709">
        <v>-0.18640056218409562</v>
      </c>
      <c r="E90" s="710">
        <v>0.47735857875335602</v>
      </c>
      <c r="F90" s="708">
        <v>-0.81424017475268062</v>
      </c>
      <c r="G90" s="711">
        <v>0.33036604714967327</v>
      </c>
      <c r="H90" s="710">
        <v>0.314</v>
      </c>
      <c r="I90" s="708">
        <v>0.52</v>
      </c>
      <c r="J90" s="570">
        <v>5.1109999999999998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7"/>
        <v>5.1109999999999998</v>
      </c>
      <c r="N90" s="632">
        <f t="shared" si="468"/>
        <v>-2.549451838594516</v>
      </c>
      <c r="O90" s="629">
        <f t="shared" si="469"/>
        <v>-1.188828016969647</v>
      </c>
      <c r="P90" s="633">
        <f t="shared" si="470"/>
        <v>-0.18640056218409562</v>
      </c>
      <c r="Q90" s="585">
        <f t="shared" si="523"/>
        <v>204.99998339605673</v>
      </c>
      <c r="R90" s="629">
        <f t="shared" si="79"/>
        <v>2.8130084840335874</v>
      </c>
      <c r="S90" s="634">
        <f t="shared" si="80"/>
        <v>-0.18640056218409562</v>
      </c>
      <c r="T90" s="635">
        <f t="shared" si="81"/>
        <v>-1.1888280169696477</v>
      </c>
      <c r="U90" s="629">
        <f t="shared" si="82"/>
        <v>2.549451838594516</v>
      </c>
      <c r="V90" s="636">
        <f t="shared" si="114"/>
        <v>-0.18640056218409562</v>
      </c>
      <c r="W90" s="585">
        <f t="shared" si="648"/>
        <v>114.99998339605673</v>
      </c>
      <c r="X90" s="629">
        <f t="shared" si="83"/>
        <v>2.8130084840335874</v>
      </c>
      <c r="Y90" s="630">
        <f t="shared" si="647"/>
        <v>-0.18640056218409562</v>
      </c>
      <c r="Z90" s="632">
        <f t="shared" si="471"/>
        <v>-0.47735857875335602</v>
      </c>
      <c r="AA90" s="629">
        <f t="shared" si="472"/>
        <v>0.81424017475268062</v>
      </c>
      <c r="AB90" s="629">
        <f t="shared" si="473"/>
        <v>-0.33036604714967327</v>
      </c>
      <c r="AC90" s="636">
        <f t="shared" si="84"/>
        <v>1</v>
      </c>
      <c r="AD90" s="637">
        <f t="shared" si="115"/>
        <v>-0.47735857875335602</v>
      </c>
      <c r="AE90" s="629">
        <f t="shared" si="85"/>
        <v>0.81424017475268062</v>
      </c>
      <c r="AF90" s="633">
        <f t="shared" si="86"/>
        <v>-0.33036604714967327</v>
      </c>
      <c r="AG90" s="602">
        <f t="shared" si="87"/>
        <v>67.915864810578043</v>
      </c>
      <c r="AH90" s="603">
        <f t="shared" si="88"/>
        <v>118.51302826614652</v>
      </c>
      <c r="AI90" s="585">
        <f t="shared" si="89"/>
        <v>-70.709005437865216</v>
      </c>
      <c r="AJ90" s="586">
        <f t="shared" si="90"/>
        <v>-149.6184978417038</v>
      </c>
      <c r="AK90" s="635">
        <f t="shared" si="211"/>
        <v>0.93969263802333458</v>
      </c>
      <c r="AL90" s="629">
        <f t="shared" si="91"/>
        <v>8.85213021562955E-2</v>
      </c>
      <c r="AM90" s="634">
        <f t="shared" si="92"/>
        <v>-0.33036604714967327</v>
      </c>
      <c r="AN90" s="581">
        <f t="shared" si="93"/>
        <v>14.999997834268262</v>
      </c>
      <c r="AO90" s="582">
        <f t="shared" si="463"/>
        <v>19.999997112357679</v>
      </c>
      <c r="AP90" s="585">
        <f t="shared" si="95"/>
        <v>5.3815187622394749</v>
      </c>
      <c r="AQ90" s="586">
        <f t="shared" si="474"/>
        <v>0.8103689091204509</v>
      </c>
      <c r="AS90" s="52">
        <f t="shared" si="546"/>
        <v>-245.00001660394327</v>
      </c>
      <c r="AT90" s="72">
        <f t="shared" si="475"/>
        <v>-1.6261661764690571E-2</v>
      </c>
      <c r="AU90" s="469"/>
      <c r="AV90" s="168" t="str">
        <f t="shared" si="476"/>
        <v/>
      </c>
      <c r="AW90" s="418"/>
      <c r="AX90" s="419"/>
      <c r="AY90" s="420"/>
      <c r="AZ90" s="308" t="str">
        <f t="shared" si="547"/>
        <v/>
      </c>
      <c r="BA90" s="307" t="str">
        <f t="shared" si="477"/>
        <v/>
      </c>
      <c r="BB90" s="181" t="str">
        <f t="shared" si="524"/>
        <v/>
      </c>
      <c r="BC90" s="9"/>
      <c r="BD90" s="5" t="str">
        <f t="shared" si="525"/>
        <v/>
      </c>
      <c r="BE90" s="6" t="str">
        <f t="shared" si="478"/>
        <v/>
      </c>
      <c r="BF90" s="4" t="str">
        <f t="shared" si="479"/>
        <v/>
      </c>
      <c r="BG90" s="5" t="str">
        <f t="shared" si="480"/>
        <v/>
      </c>
      <c r="BH90" s="10" t="str">
        <f t="shared" si="481"/>
        <v/>
      </c>
      <c r="BI90" s="9" t="str">
        <f t="shared" si="548"/>
        <v/>
      </c>
      <c r="BJ90" s="5" t="str">
        <f t="shared" si="482"/>
        <v/>
      </c>
      <c r="BK90" s="8" t="str">
        <f t="shared" si="483"/>
        <v/>
      </c>
      <c r="BL90" s="177" t="str">
        <f t="shared" si="484"/>
        <v/>
      </c>
      <c r="BM90" s="5" t="str">
        <f t="shared" si="485"/>
        <v/>
      </c>
      <c r="BN90" s="6" t="str">
        <f t="shared" si="486"/>
        <v/>
      </c>
      <c r="BO90" s="4" t="str">
        <f t="shared" si="549"/>
        <v/>
      </c>
      <c r="BP90" s="5" t="str">
        <f t="shared" si="550"/>
        <v/>
      </c>
      <c r="BQ90" s="5" t="str">
        <f t="shared" si="551"/>
        <v/>
      </c>
      <c r="BR90" s="6" t="str">
        <f t="shared" si="552"/>
        <v/>
      </c>
      <c r="BS90" s="4" t="str">
        <f t="shared" si="526"/>
        <v/>
      </c>
      <c r="BT90" s="5" t="str">
        <f t="shared" si="526"/>
        <v/>
      </c>
      <c r="BU90" s="10" t="str">
        <f t="shared" si="527"/>
        <v/>
      </c>
      <c r="BV90" s="9" t="str">
        <f t="shared" si="528"/>
        <v/>
      </c>
      <c r="BW90" s="5" t="str">
        <f t="shared" si="529"/>
        <v/>
      </c>
      <c r="BX90" s="8" t="str">
        <f t="shared" si="530"/>
        <v/>
      </c>
      <c r="BY90" s="177" t="str">
        <f t="shared" si="531"/>
        <v/>
      </c>
      <c r="BZ90" s="5" t="str">
        <f t="shared" si="532"/>
        <v/>
      </c>
      <c r="CA90" s="6" t="str">
        <f t="shared" si="533"/>
        <v/>
      </c>
      <c r="CB90" s="4" t="str">
        <f t="shared" si="553"/>
        <v/>
      </c>
      <c r="CC90" s="5" t="str">
        <f t="shared" si="554"/>
        <v/>
      </c>
      <c r="CD90" s="5" t="str">
        <f t="shared" si="555"/>
        <v/>
      </c>
      <c r="CE90" s="6" t="str">
        <f t="shared" si="556"/>
        <v/>
      </c>
      <c r="CF90" s="4" t="str">
        <f t="shared" si="557"/>
        <v/>
      </c>
      <c r="CG90" s="5" t="str">
        <f t="shared" si="558"/>
        <v/>
      </c>
      <c r="CH90" s="5" t="str">
        <f t="shared" si="559"/>
        <v/>
      </c>
      <c r="CI90" s="4" t="str">
        <f t="shared" si="534"/>
        <v/>
      </c>
      <c r="CJ90" s="5" t="str">
        <f t="shared" si="535"/>
        <v/>
      </c>
      <c r="CK90" s="8" t="str">
        <f t="shared" si="536"/>
        <v/>
      </c>
      <c r="CL90" s="177" t="str">
        <f t="shared" si="537"/>
        <v/>
      </c>
      <c r="CM90" s="5" t="str">
        <f t="shared" si="538"/>
        <v/>
      </c>
      <c r="CN90" s="6" t="str">
        <f t="shared" si="539"/>
        <v/>
      </c>
      <c r="CO90" s="171" t="str">
        <f t="shared" si="487"/>
        <v/>
      </c>
      <c r="CP90" s="4" t="str">
        <f t="shared" si="560"/>
        <v/>
      </c>
      <c r="CQ90" s="5" t="str">
        <f t="shared" si="561"/>
        <v/>
      </c>
      <c r="CR90" s="5" t="str">
        <f t="shared" si="562"/>
        <v/>
      </c>
      <c r="CS90" s="8" t="str">
        <f t="shared" si="563"/>
        <v/>
      </c>
      <c r="CT90" s="9" t="str">
        <f t="shared" si="564"/>
        <v/>
      </c>
      <c r="CU90" s="6" t="str">
        <f t="shared" si="565"/>
        <v/>
      </c>
      <c r="CV90" s="4" t="str">
        <f t="shared" si="566"/>
        <v/>
      </c>
      <c r="CW90" s="5" t="str">
        <f t="shared" si="567"/>
        <v/>
      </c>
      <c r="CX90" s="8" t="str">
        <f t="shared" si="568"/>
        <v/>
      </c>
      <c r="CY90" s="9" t="str">
        <f t="shared" si="569"/>
        <v/>
      </c>
      <c r="CZ90" s="5" t="str">
        <f t="shared" si="570"/>
        <v/>
      </c>
      <c r="DA90" s="6" t="str">
        <f t="shared" si="571"/>
        <v/>
      </c>
      <c r="DB90" s="4" t="str">
        <f t="shared" si="572"/>
        <v/>
      </c>
      <c r="DC90" s="5" t="str">
        <f t="shared" si="572"/>
        <v/>
      </c>
      <c r="DD90" s="10" t="str">
        <f t="shared" si="573"/>
        <v/>
      </c>
      <c r="DE90" s="9" t="str">
        <f t="shared" si="574"/>
        <v/>
      </c>
      <c r="DF90" s="5" t="str">
        <f t="shared" si="574"/>
        <v/>
      </c>
      <c r="DG90" s="10" t="str">
        <f t="shared" si="575"/>
        <v/>
      </c>
      <c r="DH90" s="72" t="str">
        <f t="shared" si="576"/>
        <v/>
      </c>
      <c r="DI90" s="4" t="str">
        <f t="shared" si="577"/>
        <v/>
      </c>
      <c r="DJ90" s="5" t="str">
        <f t="shared" si="578"/>
        <v/>
      </c>
      <c r="DK90" s="10" t="str">
        <f t="shared" si="579"/>
        <v/>
      </c>
      <c r="DL90" s="9" t="str">
        <f t="shared" si="580"/>
        <v/>
      </c>
      <c r="DM90" s="177" t="str">
        <f t="shared" si="581"/>
        <v/>
      </c>
      <c r="DN90" s="182" t="str">
        <f t="shared" si="582"/>
        <v/>
      </c>
      <c r="DO90" s="9" t="str">
        <f t="shared" si="583"/>
        <v/>
      </c>
      <c r="DP90" s="177" t="str">
        <f t="shared" si="584"/>
        <v/>
      </c>
      <c r="DQ90" s="11" t="str">
        <f t="shared" si="585"/>
        <v/>
      </c>
      <c r="DR90" s="177" t="str">
        <f t="shared" si="586"/>
        <v/>
      </c>
      <c r="DS90" s="5" t="str">
        <f t="shared" si="587"/>
        <v/>
      </c>
      <c r="DT90" s="5" t="str">
        <f t="shared" si="588"/>
        <v/>
      </c>
      <c r="DU90" s="5" t="str">
        <f t="shared" si="589"/>
        <v/>
      </c>
      <c r="DV90" s="5" t="str">
        <f t="shared" si="590"/>
        <v/>
      </c>
      <c r="DW90" s="5" t="str">
        <f t="shared" si="591"/>
        <v/>
      </c>
      <c r="DX90" s="171" t="str">
        <f t="shared" si="592"/>
        <v/>
      </c>
      <c r="DY90" s="9" t="str">
        <f t="shared" si="593"/>
        <v/>
      </c>
      <c r="DZ90" s="5" t="str">
        <f t="shared" si="594"/>
        <v/>
      </c>
      <c r="EA90" s="10" t="str">
        <f t="shared" si="595"/>
        <v/>
      </c>
      <c r="EB90" s="6" t="str">
        <f t="shared" si="596"/>
        <v/>
      </c>
      <c r="EC90" s="177" t="str">
        <f t="shared" si="597"/>
        <v/>
      </c>
      <c r="ED90" s="5" t="str">
        <f t="shared" si="598"/>
        <v/>
      </c>
      <c r="EE90" s="4" t="str">
        <f t="shared" si="599"/>
        <v/>
      </c>
      <c r="EF90" s="5" t="str">
        <f t="shared" si="600"/>
        <v/>
      </c>
      <c r="EG90" s="10" t="str">
        <f t="shared" si="601"/>
        <v/>
      </c>
      <c r="EH90" s="9" t="str">
        <f t="shared" si="602"/>
        <v/>
      </c>
      <c r="EI90" s="5" t="str">
        <f t="shared" si="603"/>
        <v/>
      </c>
      <c r="EJ90" s="6" t="str">
        <f t="shared" si="604"/>
        <v/>
      </c>
      <c r="EK90" s="247" t="str">
        <f t="shared" si="605"/>
        <v/>
      </c>
      <c r="EL90" s="249" t="str">
        <f t="shared" si="606"/>
        <v/>
      </c>
      <c r="EM90" s="4" t="str">
        <f t="shared" si="607"/>
        <v/>
      </c>
      <c r="EN90" s="5" t="str">
        <f t="shared" si="608"/>
        <v/>
      </c>
      <c r="EO90" s="10" t="str">
        <f t="shared" si="609"/>
        <v/>
      </c>
      <c r="EP90" s="9" t="str">
        <f t="shared" si="610"/>
        <v/>
      </c>
      <c r="EQ90" s="5" t="str">
        <f t="shared" si="611"/>
        <v/>
      </c>
      <c r="ER90" s="7" t="str">
        <f t="shared" si="612"/>
        <v/>
      </c>
      <c r="ES90" s="21" t="str">
        <f t="shared" si="488"/>
        <v/>
      </c>
      <c r="ET90" s="5" t="str">
        <f t="shared" si="489"/>
        <v/>
      </c>
      <c r="EU90" s="10" t="str">
        <f t="shared" si="490"/>
        <v/>
      </c>
      <c r="EV90" s="178" t="str">
        <f t="shared" si="491"/>
        <v/>
      </c>
      <c r="EW90" s="9" t="str">
        <f t="shared" si="492"/>
        <v/>
      </c>
      <c r="EX90" s="5" t="str">
        <f t="shared" si="493"/>
        <v/>
      </c>
      <c r="EY90" s="6" t="str">
        <f t="shared" si="613"/>
        <v/>
      </c>
      <c r="EZ90" s="52" t="str">
        <f t="shared" si="614"/>
        <v/>
      </c>
      <c r="FA90" s="177" t="str">
        <f t="shared" si="494"/>
        <v/>
      </c>
      <c r="FB90" s="5" t="str">
        <f t="shared" si="495"/>
        <v/>
      </c>
      <c r="FC90" s="6" t="str">
        <f t="shared" si="496"/>
        <v/>
      </c>
      <c r="FD90" s="4" t="str">
        <f t="shared" si="497"/>
        <v/>
      </c>
      <c r="FE90" s="5" t="str">
        <f t="shared" si="498"/>
        <v/>
      </c>
      <c r="FF90" s="7" t="str">
        <f t="shared" si="615"/>
        <v/>
      </c>
      <c r="FG90" s="177" t="str">
        <f t="shared" si="499"/>
        <v/>
      </c>
      <c r="FH90" s="5" t="str">
        <f t="shared" si="500"/>
        <v/>
      </c>
      <c r="FI90" s="10" t="str">
        <f t="shared" si="501"/>
        <v/>
      </c>
      <c r="FJ90" s="290" t="str">
        <f t="shared" si="616"/>
        <v/>
      </c>
      <c r="FK90" s="4" t="str">
        <f t="shared" si="502"/>
        <v/>
      </c>
      <c r="FL90" s="5" t="str">
        <f t="shared" si="540"/>
        <v/>
      </c>
      <c r="FM90" s="8" t="str">
        <f t="shared" si="541"/>
        <v/>
      </c>
      <c r="FN90" s="9" t="str">
        <f t="shared" si="542"/>
        <v/>
      </c>
      <c r="FO90" s="10" t="str">
        <f t="shared" si="503"/>
        <v/>
      </c>
      <c r="FP90" s="288" t="str">
        <f t="shared" si="543"/>
        <v/>
      </c>
      <c r="FQ90" s="177" t="str">
        <f t="shared" si="617"/>
        <v/>
      </c>
      <c r="FR90" s="10" t="str">
        <f t="shared" si="618"/>
        <v/>
      </c>
      <c r="FS90" s="9" t="str">
        <f t="shared" si="619"/>
        <v/>
      </c>
      <c r="FT90" s="6" t="str">
        <f t="shared" si="620"/>
        <v/>
      </c>
      <c r="FU90" s="4" t="str">
        <f t="shared" si="621"/>
        <v/>
      </c>
      <c r="FV90" s="5" t="str">
        <f t="shared" si="622"/>
        <v/>
      </c>
      <c r="FW90" s="8" t="str">
        <f t="shared" si="623"/>
        <v/>
      </c>
      <c r="FX90" s="9" t="str">
        <f t="shared" si="624"/>
        <v/>
      </c>
      <c r="FY90" s="10" t="str">
        <f t="shared" si="504"/>
        <v/>
      </c>
      <c r="FZ90" s="288" t="str">
        <f t="shared" si="625"/>
        <v/>
      </c>
      <c r="GA90" s="181" t="str">
        <f t="shared" si="626"/>
        <v/>
      </c>
      <c r="GB90" s="4" t="str">
        <f t="shared" si="627"/>
        <v/>
      </c>
      <c r="GC90" s="5" t="str">
        <f t="shared" si="628"/>
        <v/>
      </c>
      <c r="GD90" s="10" t="str">
        <f t="shared" si="629"/>
        <v/>
      </c>
      <c r="GE90" s="324" t="str">
        <f t="shared" si="630"/>
        <v/>
      </c>
      <c r="GF90" s="362" t="str">
        <f t="shared" si="631"/>
        <v/>
      </c>
      <c r="GG90" s="296" t="str">
        <f t="shared" si="505"/>
        <v/>
      </c>
      <c r="GH90" s="297" t="str">
        <f t="shared" si="506"/>
        <v/>
      </c>
      <c r="GI90" s="292" t="str">
        <f t="shared" si="507"/>
        <v/>
      </c>
      <c r="GJ90" s="171" t="str">
        <f t="shared" si="632"/>
        <v/>
      </c>
      <c r="GK90" s="178" t="str">
        <f t="shared" si="508"/>
        <v/>
      </c>
      <c r="GL90" s="178" t="str">
        <f t="shared" si="633"/>
        <v/>
      </c>
      <c r="GM90" s="181" t="str">
        <f t="shared" si="634"/>
        <v/>
      </c>
      <c r="GN90" s="291" t="str">
        <f t="shared" si="635"/>
        <v/>
      </c>
      <c r="GO90" s="4" t="str">
        <f t="shared" si="636"/>
        <v/>
      </c>
      <c r="GP90" s="8" t="str">
        <f t="shared" si="637"/>
        <v/>
      </c>
      <c r="GQ90" s="181" t="str">
        <f t="shared" si="638"/>
        <v/>
      </c>
      <c r="GR90" s="417" t="str">
        <f t="shared" si="639"/>
        <v/>
      </c>
      <c r="GS90" s="363" t="str">
        <f t="shared" si="509"/>
        <v/>
      </c>
      <c r="GT90" s="364" t="str">
        <f t="shared" si="510"/>
        <v/>
      </c>
      <c r="GU90" s="365" t="str">
        <f t="shared" si="511"/>
        <v/>
      </c>
      <c r="GV90" s="364" t="str">
        <f t="shared" si="640"/>
        <v/>
      </c>
      <c r="GW90" s="366" t="str">
        <f t="shared" si="512"/>
        <v/>
      </c>
      <c r="GX90" s="367" t="str">
        <f t="shared" si="513"/>
        <v/>
      </c>
      <c r="GY90" s="365" t="str">
        <f t="shared" si="514"/>
        <v/>
      </c>
      <c r="GZ90" s="366" t="str">
        <f t="shared" si="515"/>
        <v/>
      </c>
      <c r="HA90" s="363" t="str">
        <f t="shared" si="516"/>
        <v/>
      </c>
      <c r="HB90" s="5" t="str">
        <f t="shared" si="641"/>
        <v/>
      </c>
      <c r="HC90" s="364" t="str">
        <f t="shared" si="642"/>
        <v/>
      </c>
      <c r="HD90" s="405" t="str">
        <f t="shared" si="643"/>
        <v/>
      </c>
      <c r="HE90" s="365" t="str">
        <f t="shared" si="517"/>
        <v/>
      </c>
      <c r="HF90" s="5" t="str">
        <f t="shared" si="518"/>
        <v/>
      </c>
      <c r="HG90" s="364" t="str">
        <f t="shared" si="644"/>
        <v/>
      </c>
      <c r="HH90" s="370" t="str">
        <f t="shared" si="645"/>
        <v/>
      </c>
      <c r="HI90" s="335" t="str">
        <f t="shared" si="519"/>
        <v/>
      </c>
      <c r="HK90" s="323" t="str">
        <f t="shared" si="238"/>
        <v/>
      </c>
      <c r="HL90" s="322" t="str">
        <f t="shared" si="544"/>
        <v/>
      </c>
      <c r="HM90" s="369" t="str">
        <f t="shared" si="661"/>
        <v/>
      </c>
      <c r="HN90" s="384" t="str">
        <f t="shared" si="661"/>
        <v/>
      </c>
      <c r="HO90" s="385" t="str">
        <f t="shared" si="661"/>
        <v/>
      </c>
      <c r="HP90" s="380" t="str">
        <f t="shared" si="661"/>
        <v/>
      </c>
      <c r="HQ90" s="384" t="str">
        <f t="shared" si="661"/>
        <v/>
      </c>
      <c r="HR90" s="395" t="str">
        <f t="shared" si="661"/>
        <v/>
      </c>
      <c r="HS90" s="379" t="str">
        <f t="shared" si="661"/>
        <v/>
      </c>
      <c r="HT90" s="374" t="str">
        <f t="shared" si="661"/>
        <v/>
      </c>
      <c r="HU90" s="375" t="str">
        <f t="shared" si="661"/>
        <v/>
      </c>
      <c r="HV90" s="376" t="str">
        <f t="shared" si="661"/>
        <v/>
      </c>
      <c r="HW90" s="374" t="str">
        <f t="shared" si="661"/>
        <v/>
      </c>
      <c r="HX90" s="375" t="str">
        <f t="shared" si="661"/>
        <v/>
      </c>
      <c r="HY90" s="376" t="str">
        <f t="shared" si="661"/>
        <v/>
      </c>
      <c r="HZ90" s="374" t="str">
        <f t="shared" si="661"/>
        <v/>
      </c>
      <c r="IA90" s="375" t="str">
        <f t="shared" si="661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6"/>
        <v>5.1109999999999998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5"/>
        <v>1613</v>
      </c>
      <c r="IK90" s="533" t="str">
        <f t="shared" si="520"/>
        <v/>
      </c>
      <c r="IL90" s="727" t="str">
        <f t="shared" si="651"/>
        <v/>
      </c>
      <c r="IM90" s="759"/>
      <c r="IN90" s="5" t="str">
        <f t="shared" si="652"/>
        <v/>
      </c>
      <c r="IO90" s="771"/>
      <c r="IP90" s="9" t="str">
        <f t="shared" si="653"/>
        <v/>
      </c>
      <c r="IQ90" s="5" t="str">
        <f t="shared" si="654"/>
        <v/>
      </c>
      <c r="IR90" s="5" t="str">
        <f t="shared" si="521"/>
        <v/>
      </c>
      <c r="IS90" s="5" t="str">
        <f t="shared" si="655"/>
        <v/>
      </c>
      <c r="IT90" s="727" t="str">
        <f t="shared" si="656"/>
        <v/>
      </c>
      <c r="IU90" s="9" t="str">
        <f t="shared" si="657"/>
        <v/>
      </c>
      <c r="IV90" s="5" t="str">
        <f t="shared" si="658"/>
        <v/>
      </c>
      <c r="IW90" s="5" t="str">
        <f t="shared" si="522"/>
        <v/>
      </c>
      <c r="IX90" s="5" t="str">
        <f t="shared" si="659"/>
        <v/>
      </c>
      <c r="IY90" s="762" t="str">
        <f t="shared" si="660"/>
        <v/>
      </c>
    </row>
    <row r="91" spans="1:259" ht="15" customHeight="1" x14ac:dyDescent="0.25">
      <c r="A91" s="79"/>
      <c r="B91" s="707">
        <v>-3.2254689471646016</v>
      </c>
      <c r="C91" s="708">
        <v>-1.5040597332361445</v>
      </c>
      <c r="D91" s="709">
        <v>-5.8700177039734229E-2</v>
      </c>
      <c r="E91" s="710">
        <v>0.41335388526507</v>
      </c>
      <c r="F91" s="708">
        <v>-0.8440860309028313</v>
      </c>
      <c r="G91" s="711">
        <v>0.34155136944678738</v>
      </c>
      <c r="H91" s="710">
        <v>0.314</v>
      </c>
      <c r="I91" s="708">
        <v>0.52</v>
      </c>
      <c r="J91" s="570">
        <v>5.117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7"/>
        <v>5.117</v>
      </c>
      <c r="N91" s="632">
        <f t="shared" si="468"/>
        <v>-3.2254689471646016</v>
      </c>
      <c r="O91" s="629">
        <f t="shared" si="469"/>
        <v>-1.5040597332361445</v>
      </c>
      <c r="P91" s="633">
        <f t="shared" si="470"/>
        <v>-5.8700177039734229E-2</v>
      </c>
      <c r="Q91" s="585">
        <f t="shared" si="523"/>
        <v>204.99998339605673</v>
      </c>
      <c r="R91" s="629">
        <f t="shared" si="79"/>
        <v>3.5589107336747721</v>
      </c>
      <c r="S91" s="634">
        <f t="shared" si="80"/>
        <v>-5.8700177039734229E-2</v>
      </c>
      <c r="T91" s="635">
        <f t="shared" si="81"/>
        <v>-1.5040597332361461</v>
      </c>
      <c r="U91" s="629">
        <f t="shared" si="82"/>
        <v>3.2254689471646008</v>
      </c>
      <c r="V91" s="636">
        <f t="shared" si="114"/>
        <v>-5.8700177039734229E-2</v>
      </c>
      <c r="W91" s="585">
        <f t="shared" si="648"/>
        <v>114.99998339605673</v>
      </c>
      <c r="X91" s="629">
        <f t="shared" si="83"/>
        <v>3.5589107336747721</v>
      </c>
      <c r="Y91" s="630">
        <f t="shared" si="647"/>
        <v>-5.8700177039734229E-2</v>
      </c>
      <c r="Z91" s="632">
        <f t="shared" si="471"/>
        <v>-0.41335388526507</v>
      </c>
      <c r="AA91" s="629">
        <f t="shared" si="472"/>
        <v>0.8440860309028313</v>
      </c>
      <c r="AB91" s="629">
        <f t="shared" si="473"/>
        <v>-0.34155136944678738</v>
      </c>
      <c r="AC91" s="636">
        <f t="shared" si="84"/>
        <v>1</v>
      </c>
      <c r="AD91" s="637">
        <f t="shared" si="115"/>
        <v>-0.41335388526507</v>
      </c>
      <c r="AE91" s="629">
        <f t="shared" si="85"/>
        <v>0.8440860309028313</v>
      </c>
      <c r="AF91" s="633">
        <f t="shared" si="86"/>
        <v>-0.34155136944678738</v>
      </c>
      <c r="AG91" s="602">
        <f t="shared" si="87"/>
        <v>67.96975151014108</v>
      </c>
      <c r="AH91" s="603">
        <f t="shared" si="88"/>
        <v>114.41569549647535</v>
      </c>
      <c r="AI91" s="585">
        <f t="shared" si="89"/>
        <v>-70.028579907300141</v>
      </c>
      <c r="AJ91" s="586">
        <f t="shared" si="90"/>
        <v>-153.90873706278569</v>
      </c>
      <c r="AK91" s="635">
        <f t="shared" si="211"/>
        <v>0.93969263802333458</v>
      </c>
      <c r="AL91" s="629">
        <f t="shared" si="91"/>
        <v>1.789994619462526E-2</v>
      </c>
      <c r="AM91" s="634">
        <f t="shared" si="92"/>
        <v>-0.34155136944678738</v>
      </c>
      <c r="AN91" s="581">
        <f t="shared" si="93"/>
        <v>2.9999995668535977</v>
      </c>
      <c r="AO91" s="582">
        <f t="shared" si="463"/>
        <v>19.999997112357679</v>
      </c>
      <c r="AP91" s="585">
        <f t="shared" si="95"/>
        <v>1.0912795411575711</v>
      </c>
      <c r="AQ91" s="586">
        <f t="shared" si="474"/>
        <v>0.64054195968661987</v>
      </c>
      <c r="AS91" s="52">
        <f t="shared" si="546"/>
        <v>-245.00001660394327</v>
      </c>
      <c r="AT91" s="72">
        <f t="shared" si="475"/>
        <v>0.11143872337967081</v>
      </c>
      <c r="AU91" s="469"/>
      <c r="AV91" s="168" t="str">
        <f t="shared" si="476"/>
        <v/>
      </c>
      <c r="AW91" s="418"/>
      <c r="AX91" s="419"/>
      <c r="AY91" s="420"/>
      <c r="AZ91" s="308" t="str">
        <f t="shared" si="547"/>
        <v/>
      </c>
      <c r="BA91" s="307" t="str">
        <f t="shared" si="477"/>
        <v/>
      </c>
      <c r="BB91" s="181" t="str">
        <f t="shared" si="524"/>
        <v/>
      </c>
      <c r="BC91" s="9"/>
      <c r="BD91" s="5" t="str">
        <f t="shared" si="525"/>
        <v/>
      </c>
      <c r="BE91" s="6" t="str">
        <f t="shared" si="478"/>
        <v/>
      </c>
      <c r="BF91" s="4" t="str">
        <f t="shared" si="479"/>
        <v/>
      </c>
      <c r="BG91" s="5" t="str">
        <f t="shared" si="480"/>
        <v/>
      </c>
      <c r="BH91" s="10" t="str">
        <f t="shared" si="481"/>
        <v/>
      </c>
      <c r="BI91" s="9" t="str">
        <f t="shared" si="548"/>
        <v/>
      </c>
      <c r="BJ91" s="5" t="str">
        <f t="shared" si="482"/>
        <v/>
      </c>
      <c r="BK91" s="8" t="str">
        <f t="shared" si="483"/>
        <v/>
      </c>
      <c r="BL91" s="177" t="str">
        <f t="shared" si="484"/>
        <v/>
      </c>
      <c r="BM91" s="5" t="str">
        <f t="shared" si="485"/>
        <v/>
      </c>
      <c r="BN91" s="6" t="str">
        <f t="shared" si="486"/>
        <v/>
      </c>
      <c r="BO91" s="4" t="str">
        <f t="shared" si="549"/>
        <v/>
      </c>
      <c r="BP91" s="5" t="str">
        <f t="shared" si="550"/>
        <v/>
      </c>
      <c r="BQ91" s="5" t="str">
        <f t="shared" si="551"/>
        <v/>
      </c>
      <c r="BR91" s="6" t="str">
        <f t="shared" si="552"/>
        <v/>
      </c>
      <c r="BS91" s="4" t="str">
        <f t="shared" si="526"/>
        <v/>
      </c>
      <c r="BT91" s="5" t="str">
        <f t="shared" si="526"/>
        <v/>
      </c>
      <c r="BU91" s="10" t="str">
        <f t="shared" si="527"/>
        <v/>
      </c>
      <c r="BV91" s="9" t="str">
        <f t="shared" si="528"/>
        <v/>
      </c>
      <c r="BW91" s="5" t="str">
        <f t="shared" si="529"/>
        <v/>
      </c>
      <c r="BX91" s="8" t="str">
        <f t="shared" si="530"/>
        <v/>
      </c>
      <c r="BY91" s="177" t="str">
        <f t="shared" si="531"/>
        <v/>
      </c>
      <c r="BZ91" s="5" t="str">
        <f t="shared" si="532"/>
        <v/>
      </c>
      <c r="CA91" s="6" t="str">
        <f t="shared" si="533"/>
        <v/>
      </c>
      <c r="CB91" s="4" t="str">
        <f t="shared" si="553"/>
        <v/>
      </c>
      <c r="CC91" s="5" t="str">
        <f t="shared" si="554"/>
        <v/>
      </c>
      <c r="CD91" s="5" t="str">
        <f t="shared" si="555"/>
        <v/>
      </c>
      <c r="CE91" s="6" t="str">
        <f t="shared" si="556"/>
        <v/>
      </c>
      <c r="CF91" s="4" t="str">
        <f t="shared" si="557"/>
        <v/>
      </c>
      <c r="CG91" s="5" t="str">
        <f t="shared" si="558"/>
        <v/>
      </c>
      <c r="CH91" s="5" t="str">
        <f t="shared" si="559"/>
        <v/>
      </c>
      <c r="CI91" s="4" t="str">
        <f t="shared" si="534"/>
        <v/>
      </c>
      <c r="CJ91" s="5" t="str">
        <f t="shared" si="535"/>
        <v/>
      </c>
      <c r="CK91" s="8" t="str">
        <f t="shared" si="536"/>
        <v/>
      </c>
      <c r="CL91" s="177" t="str">
        <f t="shared" si="537"/>
        <v/>
      </c>
      <c r="CM91" s="5" t="str">
        <f t="shared" si="538"/>
        <v/>
      </c>
      <c r="CN91" s="6" t="str">
        <f t="shared" si="539"/>
        <v/>
      </c>
      <c r="CO91" s="171" t="str">
        <f t="shared" si="487"/>
        <v/>
      </c>
      <c r="CP91" s="4" t="str">
        <f t="shared" si="560"/>
        <v/>
      </c>
      <c r="CQ91" s="5" t="str">
        <f t="shared" si="561"/>
        <v/>
      </c>
      <c r="CR91" s="5" t="str">
        <f t="shared" si="562"/>
        <v/>
      </c>
      <c r="CS91" s="8" t="str">
        <f t="shared" si="563"/>
        <v/>
      </c>
      <c r="CT91" s="9" t="str">
        <f t="shared" si="564"/>
        <v/>
      </c>
      <c r="CU91" s="6" t="str">
        <f t="shared" si="565"/>
        <v/>
      </c>
      <c r="CV91" s="4" t="str">
        <f t="shared" si="566"/>
        <v/>
      </c>
      <c r="CW91" s="5" t="str">
        <f t="shared" si="567"/>
        <v/>
      </c>
      <c r="CX91" s="8" t="str">
        <f t="shared" si="568"/>
        <v/>
      </c>
      <c r="CY91" s="9" t="str">
        <f t="shared" si="569"/>
        <v/>
      </c>
      <c r="CZ91" s="5" t="str">
        <f t="shared" si="570"/>
        <v/>
      </c>
      <c r="DA91" s="6" t="str">
        <f t="shared" si="571"/>
        <v/>
      </c>
      <c r="DB91" s="4" t="str">
        <f t="shared" si="572"/>
        <v/>
      </c>
      <c r="DC91" s="5" t="str">
        <f t="shared" si="572"/>
        <v/>
      </c>
      <c r="DD91" s="10" t="str">
        <f t="shared" si="573"/>
        <v/>
      </c>
      <c r="DE91" s="9" t="str">
        <f t="shared" si="574"/>
        <v/>
      </c>
      <c r="DF91" s="5" t="str">
        <f t="shared" si="574"/>
        <v/>
      </c>
      <c r="DG91" s="10" t="str">
        <f t="shared" si="575"/>
        <v/>
      </c>
      <c r="DH91" s="72" t="str">
        <f t="shared" si="576"/>
        <v/>
      </c>
      <c r="DI91" s="4" t="str">
        <f t="shared" si="577"/>
        <v/>
      </c>
      <c r="DJ91" s="5" t="str">
        <f t="shared" si="578"/>
        <v/>
      </c>
      <c r="DK91" s="10" t="str">
        <f t="shared" si="579"/>
        <v/>
      </c>
      <c r="DL91" s="9" t="str">
        <f t="shared" si="580"/>
        <v/>
      </c>
      <c r="DM91" s="177" t="str">
        <f t="shared" si="581"/>
        <v/>
      </c>
      <c r="DN91" s="182" t="str">
        <f t="shared" si="582"/>
        <v/>
      </c>
      <c r="DO91" s="9" t="str">
        <f t="shared" si="583"/>
        <v/>
      </c>
      <c r="DP91" s="177" t="str">
        <f t="shared" si="584"/>
        <v/>
      </c>
      <c r="DQ91" s="11" t="str">
        <f t="shared" si="585"/>
        <v/>
      </c>
      <c r="DR91" s="177" t="str">
        <f t="shared" si="586"/>
        <v/>
      </c>
      <c r="DS91" s="5" t="str">
        <f t="shared" si="587"/>
        <v/>
      </c>
      <c r="DT91" s="5" t="str">
        <f t="shared" si="588"/>
        <v/>
      </c>
      <c r="DU91" s="5" t="str">
        <f t="shared" si="589"/>
        <v/>
      </c>
      <c r="DV91" s="5" t="str">
        <f t="shared" si="590"/>
        <v/>
      </c>
      <c r="DW91" s="5" t="str">
        <f t="shared" si="591"/>
        <v/>
      </c>
      <c r="DX91" s="171" t="str">
        <f t="shared" si="592"/>
        <v/>
      </c>
      <c r="DY91" s="9" t="str">
        <f t="shared" si="593"/>
        <v/>
      </c>
      <c r="DZ91" s="5" t="str">
        <f t="shared" si="594"/>
        <v/>
      </c>
      <c r="EA91" s="10" t="str">
        <f t="shared" si="595"/>
        <v/>
      </c>
      <c r="EB91" s="6" t="str">
        <f t="shared" si="596"/>
        <v/>
      </c>
      <c r="EC91" s="177" t="str">
        <f t="shared" si="597"/>
        <v/>
      </c>
      <c r="ED91" s="5" t="str">
        <f t="shared" si="598"/>
        <v/>
      </c>
      <c r="EE91" s="4" t="str">
        <f t="shared" si="599"/>
        <v/>
      </c>
      <c r="EF91" s="5" t="str">
        <f t="shared" si="600"/>
        <v/>
      </c>
      <c r="EG91" s="10" t="str">
        <f t="shared" si="601"/>
        <v/>
      </c>
      <c r="EH91" s="9" t="str">
        <f t="shared" si="602"/>
        <v/>
      </c>
      <c r="EI91" s="5" t="str">
        <f t="shared" si="603"/>
        <v/>
      </c>
      <c r="EJ91" s="6" t="str">
        <f t="shared" si="604"/>
        <v/>
      </c>
      <c r="EK91" s="247" t="str">
        <f t="shared" si="605"/>
        <v/>
      </c>
      <c r="EL91" s="249" t="str">
        <f t="shared" si="606"/>
        <v/>
      </c>
      <c r="EM91" s="4" t="str">
        <f t="shared" si="607"/>
        <v/>
      </c>
      <c r="EN91" s="5" t="str">
        <f t="shared" si="608"/>
        <v/>
      </c>
      <c r="EO91" s="10" t="str">
        <f t="shared" si="609"/>
        <v/>
      </c>
      <c r="EP91" s="9" t="str">
        <f t="shared" si="610"/>
        <v/>
      </c>
      <c r="EQ91" s="5" t="str">
        <f t="shared" si="611"/>
        <v/>
      </c>
      <c r="ER91" s="7" t="str">
        <f t="shared" si="612"/>
        <v/>
      </c>
      <c r="ES91" s="21" t="str">
        <f t="shared" si="488"/>
        <v/>
      </c>
      <c r="ET91" s="5" t="str">
        <f t="shared" si="489"/>
        <v/>
      </c>
      <c r="EU91" s="10" t="str">
        <f t="shared" si="490"/>
        <v/>
      </c>
      <c r="EV91" s="178" t="str">
        <f t="shared" si="491"/>
        <v/>
      </c>
      <c r="EW91" s="9" t="str">
        <f t="shared" si="492"/>
        <v/>
      </c>
      <c r="EX91" s="5" t="str">
        <f t="shared" si="493"/>
        <v/>
      </c>
      <c r="EY91" s="6" t="str">
        <f t="shared" si="613"/>
        <v/>
      </c>
      <c r="EZ91" s="52" t="str">
        <f t="shared" si="614"/>
        <v/>
      </c>
      <c r="FA91" s="177" t="str">
        <f t="shared" si="494"/>
        <v/>
      </c>
      <c r="FB91" s="5" t="str">
        <f t="shared" si="495"/>
        <v/>
      </c>
      <c r="FC91" s="6" t="str">
        <f t="shared" si="496"/>
        <v/>
      </c>
      <c r="FD91" s="4" t="str">
        <f t="shared" si="497"/>
        <v/>
      </c>
      <c r="FE91" s="5" t="str">
        <f t="shared" si="498"/>
        <v/>
      </c>
      <c r="FF91" s="7" t="str">
        <f t="shared" si="615"/>
        <v/>
      </c>
      <c r="FG91" s="177" t="str">
        <f t="shared" si="499"/>
        <v/>
      </c>
      <c r="FH91" s="5" t="str">
        <f t="shared" si="500"/>
        <v/>
      </c>
      <c r="FI91" s="10" t="str">
        <f t="shared" si="501"/>
        <v/>
      </c>
      <c r="FJ91" s="290" t="str">
        <f t="shared" si="616"/>
        <v/>
      </c>
      <c r="FK91" s="4" t="str">
        <f t="shared" si="502"/>
        <v/>
      </c>
      <c r="FL91" s="5" t="str">
        <f t="shared" si="540"/>
        <v/>
      </c>
      <c r="FM91" s="8" t="str">
        <f t="shared" si="541"/>
        <v/>
      </c>
      <c r="FN91" s="9" t="str">
        <f t="shared" si="542"/>
        <v/>
      </c>
      <c r="FO91" s="10" t="str">
        <f t="shared" si="503"/>
        <v/>
      </c>
      <c r="FP91" s="288" t="str">
        <f t="shared" si="543"/>
        <v/>
      </c>
      <c r="FQ91" s="177" t="str">
        <f t="shared" si="617"/>
        <v/>
      </c>
      <c r="FR91" s="10" t="str">
        <f t="shared" si="618"/>
        <v/>
      </c>
      <c r="FS91" s="9" t="str">
        <f t="shared" si="619"/>
        <v/>
      </c>
      <c r="FT91" s="6" t="str">
        <f t="shared" si="620"/>
        <v/>
      </c>
      <c r="FU91" s="4" t="str">
        <f t="shared" si="621"/>
        <v/>
      </c>
      <c r="FV91" s="5" t="str">
        <f t="shared" si="622"/>
        <v/>
      </c>
      <c r="FW91" s="8" t="str">
        <f t="shared" si="623"/>
        <v/>
      </c>
      <c r="FX91" s="9" t="str">
        <f t="shared" si="624"/>
        <v/>
      </c>
      <c r="FY91" s="10" t="str">
        <f t="shared" si="504"/>
        <v/>
      </c>
      <c r="FZ91" s="288" t="str">
        <f t="shared" si="625"/>
        <v/>
      </c>
      <c r="GA91" s="181" t="str">
        <f t="shared" si="626"/>
        <v/>
      </c>
      <c r="GB91" s="4" t="str">
        <f t="shared" si="627"/>
        <v/>
      </c>
      <c r="GC91" s="5" t="str">
        <f t="shared" si="628"/>
        <v/>
      </c>
      <c r="GD91" s="10" t="str">
        <f t="shared" si="629"/>
        <v/>
      </c>
      <c r="GE91" s="324" t="str">
        <f t="shared" si="630"/>
        <v/>
      </c>
      <c r="GF91" s="362" t="str">
        <f t="shared" si="631"/>
        <v/>
      </c>
      <c r="GG91" s="296" t="str">
        <f t="shared" si="505"/>
        <v/>
      </c>
      <c r="GH91" s="297" t="str">
        <f t="shared" si="506"/>
        <v/>
      </c>
      <c r="GI91" s="292" t="str">
        <f t="shared" si="507"/>
        <v/>
      </c>
      <c r="GJ91" s="171" t="str">
        <f t="shared" si="632"/>
        <v/>
      </c>
      <c r="GK91" s="178" t="str">
        <f t="shared" si="508"/>
        <v/>
      </c>
      <c r="GL91" s="178" t="str">
        <f t="shared" si="633"/>
        <v/>
      </c>
      <c r="GM91" s="181" t="str">
        <f t="shared" si="634"/>
        <v/>
      </c>
      <c r="GN91" s="291" t="str">
        <f t="shared" si="635"/>
        <v/>
      </c>
      <c r="GO91" s="4" t="str">
        <f t="shared" si="636"/>
        <v/>
      </c>
      <c r="GP91" s="8" t="str">
        <f t="shared" si="637"/>
        <v/>
      </c>
      <c r="GQ91" s="181" t="str">
        <f t="shared" si="638"/>
        <v/>
      </c>
      <c r="GR91" s="417" t="str">
        <f t="shared" si="639"/>
        <v/>
      </c>
      <c r="GS91" s="363" t="str">
        <f t="shared" si="509"/>
        <v/>
      </c>
      <c r="GT91" s="364" t="str">
        <f t="shared" si="510"/>
        <v/>
      </c>
      <c r="GU91" s="365" t="str">
        <f t="shared" si="511"/>
        <v/>
      </c>
      <c r="GV91" s="364" t="str">
        <f t="shared" si="640"/>
        <v/>
      </c>
      <c r="GW91" s="366" t="str">
        <f t="shared" si="512"/>
        <v/>
      </c>
      <c r="GX91" s="367" t="str">
        <f t="shared" si="513"/>
        <v/>
      </c>
      <c r="GY91" s="365" t="str">
        <f t="shared" si="514"/>
        <v/>
      </c>
      <c r="GZ91" s="366" t="str">
        <f t="shared" si="515"/>
        <v/>
      </c>
      <c r="HA91" s="363" t="str">
        <f t="shared" si="516"/>
        <v/>
      </c>
      <c r="HB91" s="5" t="str">
        <f t="shared" si="641"/>
        <v/>
      </c>
      <c r="HC91" s="364" t="str">
        <f t="shared" si="642"/>
        <v/>
      </c>
      <c r="HD91" s="405" t="str">
        <f t="shared" si="643"/>
        <v/>
      </c>
      <c r="HE91" s="365" t="str">
        <f t="shared" si="517"/>
        <v/>
      </c>
      <c r="HF91" s="5" t="str">
        <f t="shared" si="518"/>
        <v/>
      </c>
      <c r="HG91" s="364" t="str">
        <f t="shared" si="644"/>
        <v/>
      </c>
      <c r="HH91" s="370" t="str">
        <f t="shared" si="645"/>
        <v/>
      </c>
      <c r="HI91" s="335" t="str">
        <f t="shared" si="519"/>
        <v/>
      </c>
      <c r="HK91" s="323" t="str">
        <f t="shared" si="238"/>
        <v/>
      </c>
      <c r="HL91" s="322" t="str">
        <f t="shared" si="544"/>
        <v/>
      </c>
      <c r="HM91" s="369" t="str">
        <f t="shared" si="661"/>
        <v/>
      </c>
      <c r="HN91" s="384" t="str">
        <f t="shared" si="661"/>
        <v/>
      </c>
      <c r="HO91" s="385" t="str">
        <f t="shared" si="661"/>
        <v/>
      </c>
      <c r="HP91" s="380" t="str">
        <f t="shared" si="661"/>
        <v/>
      </c>
      <c r="HQ91" s="384" t="str">
        <f t="shared" si="661"/>
        <v/>
      </c>
      <c r="HR91" s="395" t="str">
        <f t="shared" si="661"/>
        <v/>
      </c>
      <c r="HS91" s="379" t="str">
        <f t="shared" si="661"/>
        <v/>
      </c>
      <c r="HT91" s="374" t="str">
        <f t="shared" si="661"/>
        <v/>
      </c>
      <c r="HU91" s="375" t="str">
        <f t="shared" si="661"/>
        <v/>
      </c>
      <c r="HV91" s="376" t="str">
        <f t="shared" si="661"/>
        <v/>
      </c>
      <c r="HW91" s="374" t="str">
        <f t="shared" si="661"/>
        <v/>
      </c>
      <c r="HX91" s="375" t="str">
        <f t="shared" si="661"/>
        <v/>
      </c>
      <c r="HY91" s="376" t="str">
        <f t="shared" si="661"/>
        <v/>
      </c>
      <c r="HZ91" s="374" t="str">
        <f t="shared" si="661"/>
        <v/>
      </c>
      <c r="IA91" s="375" t="str">
        <f t="shared" si="661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6"/>
        <v>5.117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5"/>
        <v>1613</v>
      </c>
      <c r="IK91" s="533" t="str">
        <f t="shared" si="520"/>
        <v/>
      </c>
      <c r="IL91" s="727" t="str">
        <f t="shared" si="651"/>
        <v/>
      </c>
      <c r="IM91" s="759"/>
      <c r="IN91" s="5" t="str">
        <f t="shared" si="652"/>
        <v/>
      </c>
      <c r="IO91" s="771"/>
      <c r="IP91" s="9" t="str">
        <f t="shared" si="653"/>
        <v/>
      </c>
      <c r="IQ91" s="5" t="str">
        <f t="shared" si="654"/>
        <v/>
      </c>
      <c r="IR91" s="5" t="str">
        <f t="shared" si="521"/>
        <v/>
      </c>
      <c r="IS91" s="5" t="str">
        <f t="shared" si="655"/>
        <v/>
      </c>
      <c r="IT91" s="727" t="str">
        <f t="shared" si="656"/>
        <v/>
      </c>
      <c r="IU91" s="9" t="str">
        <f t="shared" si="657"/>
        <v/>
      </c>
      <c r="IV91" s="5" t="str">
        <f t="shared" si="658"/>
        <v/>
      </c>
      <c r="IW91" s="5" t="str">
        <f t="shared" si="522"/>
        <v/>
      </c>
      <c r="IX91" s="5" t="str">
        <f t="shared" si="659"/>
        <v/>
      </c>
      <c r="IY91" s="762" t="str">
        <f t="shared" si="660"/>
        <v/>
      </c>
    </row>
    <row r="92" spans="1:259" ht="15" customHeight="1" x14ac:dyDescent="0.25">
      <c r="A92" s="79"/>
      <c r="B92" s="707">
        <v>-3.907458743535186</v>
      </c>
      <c r="C92" s="708">
        <v>-1.8088094539877437</v>
      </c>
      <c r="D92" s="709">
        <v>-0.10720032331617492</v>
      </c>
      <c r="E92" s="710">
        <v>0.31896463782915063</v>
      </c>
      <c r="F92" s="708">
        <v>-0.88705500547873084</v>
      </c>
      <c r="G92" s="711">
        <v>0.3337588606608784</v>
      </c>
      <c r="H92" s="710">
        <v>0.314</v>
      </c>
      <c r="I92" s="708">
        <v>0.52</v>
      </c>
      <c r="J92" s="570">
        <v>5.1230000000000002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7"/>
        <v>5.1230000000000002</v>
      </c>
      <c r="N92" s="632">
        <f t="shared" si="468"/>
        <v>-3.907458743535186</v>
      </c>
      <c r="O92" s="629">
        <f t="shared" si="469"/>
        <v>-1.8088094539877437</v>
      </c>
      <c r="P92" s="633">
        <f t="shared" si="470"/>
        <v>-0.10720032331617492</v>
      </c>
      <c r="Q92" s="585">
        <f t="shared" si="523"/>
        <v>204.83998341915787</v>
      </c>
      <c r="R92" s="629">
        <f t="shared" si="79"/>
        <v>4.3058129863319676</v>
      </c>
      <c r="S92" s="634">
        <f t="shared" si="80"/>
        <v>-0.10720032331617492</v>
      </c>
      <c r="T92" s="635">
        <f t="shared" si="81"/>
        <v>-1.8088094539877453</v>
      </c>
      <c r="U92" s="629">
        <f t="shared" si="82"/>
        <v>3.907458743535186</v>
      </c>
      <c r="V92" s="636">
        <f t="shared" si="114"/>
        <v>-0.10720032331617492</v>
      </c>
      <c r="W92" s="585">
        <f t="shared" si="648"/>
        <v>114.83998341915787</v>
      </c>
      <c r="X92" s="629">
        <f t="shared" si="83"/>
        <v>4.3058129863319676</v>
      </c>
      <c r="Y92" s="630">
        <f t="shared" si="647"/>
        <v>-0.10720032331617492</v>
      </c>
      <c r="Z92" s="632">
        <f t="shared" si="471"/>
        <v>-0.31896463782915063</v>
      </c>
      <c r="AA92" s="629">
        <f t="shared" si="472"/>
        <v>0.88705500547873084</v>
      </c>
      <c r="AB92" s="629">
        <f t="shared" si="473"/>
        <v>-0.3337588606608784</v>
      </c>
      <c r="AC92" s="636">
        <f t="shared" si="84"/>
        <v>1</v>
      </c>
      <c r="AD92" s="637">
        <f t="shared" si="115"/>
        <v>-0.31896463782915063</v>
      </c>
      <c r="AE92" s="629">
        <f t="shared" si="85"/>
        <v>0.88705500547873084</v>
      </c>
      <c r="AF92" s="633">
        <f t="shared" si="86"/>
        <v>-0.3337588606608784</v>
      </c>
      <c r="AG92" s="602">
        <f t="shared" si="87"/>
        <v>69.380940906766043</v>
      </c>
      <c r="AH92" s="603">
        <f t="shared" si="88"/>
        <v>108.60032212788224</v>
      </c>
      <c r="AI92" s="585">
        <f t="shared" si="89"/>
        <v>-70.502917430309125</v>
      </c>
      <c r="AJ92" s="586">
        <f t="shared" si="90"/>
        <v>-160.22257858240644</v>
      </c>
      <c r="AK92" s="635">
        <f t="shared" si="211"/>
        <v>0.93898111747576785</v>
      </c>
      <c r="AL92" s="629">
        <f t="shared" si="91"/>
        <v>-8.3183435576506648E-2</v>
      </c>
      <c r="AM92" s="634">
        <f t="shared" si="92"/>
        <v>-0.3337588606608784</v>
      </c>
      <c r="AN92" s="581">
        <f t="shared" si="93"/>
        <v>-13.994828883825726</v>
      </c>
      <c r="AO92" s="582">
        <f t="shared" si="463"/>
        <v>20.118853602471432</v>
      </c>
      <c r="AP92" s="585">
        <f t="shared" si="95"/>
        <v>-5.0625620015643351</v>
      </c>
      <c r="AQ92" s="586">
        <f t="shared" si="474"/>
        <v>0.52943816962207479</v>
      </c>
      <c r="AS92" s="52">
        <f t="shared" si="546"/>
        <v>-245.16001658084213</v>
      </c>
      <c r="AT92" s="73">
        <f t="shared" si="475"/>
        <v>6.3049688198298773E-2</v>
      </c>
      <c r="AU92" s="469"/>
      <c r="AV92" s="168" t="str">
        <f t="shared" si="476"/>
        <v/>
      </c>
      <c r="AW92" s="418"/>
      <c r="AX92" s="419"/>
      <c r="AY92" s="420"/>
      <c r="AZ92" s="308" t="str">
        <f t="shared" si="547"/>
        <v/>
      </c>
      <c r="BA92" s="307" t="str">
        <f t="shared" si="477"/>
        <v/>
      </c>
      <c r="BB92" s="181" t="str">
        <f t="shared" si="524"/>
        <v/>
      </c>
      <c r="BC92" s="9"/>
      <c r="BD92" s="5" t="str">
        <f t="shared" si="525"/>
        <v/>
      </c>
      <c r="BE92" s="6" t="str">
        <f t="shared" si="478"/>
        <v/>
      </c>
      <c r="BF92" s="4" t="str">
        <f t="shared" si="479"/>
        <v/>
      </c>
      <c r="BG92" s="5" t="str">
        <f t="shared" si="480"/>
        <v/>
      </c>
      <c r="BH92" s="10" t="str">
        <f t="shared" si="481"/>
        <v/>
      </c>
      <c r="BI92" s="9" t="str">
        <f t="shared" si="548"/>
        <v/>
      </c>
      <c r="BJ92" s="5" t="str">
        <f t="shared" si="482"/>
        <v/>
      </c>
      <c r="BK92" s="8" t="str">
        <f t="shared" si="483"/>
        <v/>
      </c>
      <c r="BL92" s="177" t="str">
        <f t="shared" si="484"/>
        <v/>
      </c>
      <c r="BM92" s="5" t="str">
        <f t="shared" si="485"/>
        <v/>
      </c>
      <c r="BN92" s="6" t="str">
        <f t="shared" si="486"/>
        <v/>
      </c>
      <c r="BO92" s="4" t="str">
        <f t="shared" si="549"/>
        <v/>
      </c>
      <c r="BP92" s="5" t="str">
        <f t="shared" si="550"/>
        <v/>
      </c>
      <c r="BQ92" s="5" t="str">
        <f t="shared" si="551"/>
        <v/>
      </c>
      <c r="BR92" s="6" t="str">
        <f t="shared" si="552"/>
        <v/>
      </c>
      <c r="BS92" s="4" t="str">
        <f t="shared" si="526"/>
        <v/>
      </c>
      <c r="BT92" s="5" t="str">
        <f t="shared" si="526"/>
        <v/>
      </c>
      <c r="BU92" s="10" t="str">
        <f t="shared" si="527"/>
        <v/>
      </c>
      <c r="BV92" s="9" t="str">
        <f t="shared" si="528"/>
        <v/>
      </c>
      <c r="BW92" s="5" t="str">
        <f t="shared" si="529"/>
        <v/>
      </c>
      <c r="BX92" s="8" t="str">
        <f t="shared" si="530"/>
        <v/>
      </c>
      <c r="BY92" s="177" t="str">
        <f t="shared" si="531"/>
        <v/>
      </c>
      <c r="BZ92" s="5" t="str">
        <f t="shared" si="532"/>
        <v/>
      </c>
      <c r="CA92" s="6" t="str">
        <f t="shared" si="533"/>
        <v/>
      </c>
      <c r="CB92" s="4" t="str">
        <f t="shared" si="553"/>
        <v/>
      </c>
      <c r="CC92" s="5" t="str">
        <f t="shared" si="554"/>
        <v/>
      </c>
      <c r="CD92" s="5" t="str">
        <f t="shared" si="555"/>
        <v/>
      </c>
      <c r="CE92" s="6" t="str">
        <f t="shared" si="556"/>
        <v/>
      </c>
      <c r="CF92" s="4" t="str">
        <f t="shared" si="557"/>
        <v/>
      </c>
      <c r="CG92" s="5" t="str">
        <f t="shared" si="558"/>
        <v/>
      </c>
      <c r="CH92" s="5" t="str">
        <f t="shared" si="559"/>
        <v/>
      </c>
      <c r="CI92" s="4" t="str">
        <f t="shared" si="534"/>
        <v/>
      </c>
      <c r="CJ92" s="5" t="str">
        <f t="shared" si="535"/>
        <v/>
      </c>
      <c r="CK92" s="8" t="str">
        <f t="shared" si="536"/>
        <v/>
      </c>
      <c r="CL92" s="177" t="str">
        <f t="shared" si="537"/>
        <v/>
      </c>
      <c r="CM92" s="5" t="str">
        <f t="shared" si="538"/>
        <v/>
      </c>
      <c r="CN92" s="6" t="str">
        <f t="shared" si="539"/>
        <v/>
      </c>
      <c r="CO92" s="171" t="str">
        <f t="shared" si="487"/>
        <v/>
      </c>
      <c r="CP92" s="4" t="str">
        <f t="shared" si="560"/>
        <v/>
      </c>
      <c r="CQ92" s="5" t="str">
        <f t="shared" si="561"/>
        <v/>
      </c>
      <c r="CR92" s="5" t="str">
        <f t="shared" si="562"/>
        <v/>
      </c>
      <c r="CS92" s="8" t="str">
        <f t="shared" si="563"/>
        <v/>
      </c>
      <c r="CT92" s="9" t="str">
        <f t="shared" si="564"/>
        <v/>
      </c>
      <c r="CU92" s="6" t="str">
        <f t="shared" si="565"/>
        <v/>
      </c>
      <c r="CV92" s="4" t="str">
        <f t="shared" si="566"/>
        <v/>
      </c>
      <c r="CW92" s="5" t="str">
        <f t="shared" si="567"/>
        <v/>
      </c>
      <c r="CX92" s="8" t="str">
        <f t="shared" si="568"/>
        <v/>
      </c>
      <c r="CY92" s="9" t="str">
        <f t="shared" si="569"/>
        <v/>
      </c>
      <c r="CZ92" s="5" t="str">
        <f t="shared" si="570"/>
        <v/>
      </c>
      <c r="DA92" s="6" t="str">
        <f t="shared" si="571"/>
        <v/>
      </c>
      <c r="DB92" s="4" t="str">
        <f t="shared" si="572"/>
        <v/>
      </c>
      <c r="DC92" s="5" t="str">
        <f t="shared" si="572"/>
        <v/>
      </c>
      <c r="DD92" s="10" t="str">
        <f t="shared" si="573"/>
        <v/>
      </c>
      <c r="DE92" s="9" t="str">
        <f t="shared" si="574"/>
        <v/>
      </c>
      <c r="DF92" s="5" t="str">
        <f t="shared" si="574"/>
        <v/>
      </c>
      <c r="DG92" s="10" t="str">
        <f t="shared" si="575"/>
        <v/>
      </c>
      <c r="DH92" s="72" t="str">
        <f t="shared" si="576"/>
        <v/>
      </c>
      <c r="DI92" s="4" t="str">
        <f t="shared" si="577"/>
        <v/>
      </c>
      <c r="DJ92" s="5" t="str">
        <f t="shared" si="578"/>
        <v/>
      </c>
      <c r="DK92" s="10" t="str">
        <f t="shared" si="579"/>
        <v/>
      </c>
      <c r="DL92" s="9" t="str">
        <f t="shared" si="580"/>
        <v/>
      </c>
      <c r="DM92" s="177" t="str">
        <f t="shared" si="581"/>
        <v/>
      </c>
      <c r="DN92" s="182" t="str">
        <f t="shared" si="582"/>
        <v/>
      </c>
      <c r="DO92" s="9" t="str">
        <f t="shared" si="583"/>
        <v/>
      </c>
      <c r="DP92" s="177" t="str">
        <f t="shared" si="584"/>
        <v/>
      </c>
      <c r="DQ92" s="11" t="str">
        <f t="shared" si="585"/>
        <v/>
      </c>
      <c r="DR92" s="177" t="str">
        <f t="shared" si="586"/>
        <v/>
      </c>
      <c r="DS92" s="5" t="str">
        <f t="shared" si="587"/>
        <v/>
      </c>
      <c r="DT92" s="5" t="str">
        <f t="shared" si="588"/>
        <v/>
      </c>
      <c r="DU92" s="5" t="str">
        <f t="shared" si="589"/>
        <v/>
      </c>
      <c r="DV92" s="5" t="str">
        <f t="shared" si="590"/>
        <v/>
      </c>
      <c r="DW92" s="5" t="str">
        <f t="shared" si="591"/>
        <v/>
      </c>
      <c r="DX92" s="171" t="str">
        <f t="shared" si="592"/>
        <v/>
      </c>
      <c r="DY92" s="9" t="str">
        <f t="shared" si="593"/>
        <v/>
      </c>
      <c r="DZ92" s="5" t="str">
        <f t="shared" si="594"/>
        <v/>
      </c>
      <c r="EA92" s="10" t="str">
        <f t="shared" si="595"/>
        <v/>
      </c>
      <c r="EB92" s="6" t="str">
        <f t="shared" si="596"/>
        <v/>
      </c>
      <c r="EC92" s="177" t="str">
        <f t="shared" si="597"/>
        <v/>
      </c>
      <c r="ED92" s="5" t="str">
        <f t="shared" si="598"/>
        <v/>
      </c>
      <c r="EE92" s="4" t="str">
        <f t="shared" si="599"/>
        <v/>
      </c>
      <c r="EF92" s="5" t="str">
        <f t="shared" si="600"/>
        <v/>
      </c>
      <c r="EG92" s="10" t="str">
        <f t="shared" si="601"/>
        <v/>
      </c>
      <c r="EH92" s="9" t="str">
        <f t="shared" si="602"/>
        <v/>
      </c>
      <c r="EI92" s="5" t="str">
        <f t="shared" si="603"/>
        <v/>
      </c>
      <c r="EJ92" s="6" t="str">
        <f t="shared" si="604"/>
        <v/>
      </c>
      <c r="EK92" s="247" t="str">
        <f t="shared" si="605"/>
        <v/>
      </c>
      <c r="EL92" s="249" t="str">
        <f t="shared" si="606"/>
        <v/>
      </c>
      <c r="EM92" s="4" t="str">
        <f t="shared" si="607"/>
        <v/>
      </c>
      <c r="EN92" s="5" t="str">
        <f t="shared" si="608"/>
        <v/>
      </c>
      <c r="EO92" s="10" t="str">
        <f t="shared" si="609"/>
        <v/>
      </c>
      <c r="EP92" s="9" t="str">
        <f t="shared" si="610"/>
        <v/>
      </c>
      <c r="EQ92" s="5" t="str">
        <f t="shared" si="611"/>
        <v/>
      </c>
      <c r="ER92" s="7" t="str">
        <f t="shared" si="612"/>
        <v/>
      </c>
      <c r="ES92" s="21" t="str">
        <f t="shared" si="488"/>
        <v/>
      </c>
      <c r="ET92" s="5" t="str">
        <f t="shared" si="489"/>
        <v/>
      </c>
      <c r="EU92" s="10" t="str">
        <f t="shared" si="490"/>
        <v/>
      </c>
      <c r="EV92" s="178" t="str">
        <f t="shared" si="491"/>
        <v/>
      </c>
      <c r="EW92" s="9" t="str">
        <f t="shared" si="492"/>
        <v/>
      </c>
      <c r="EX92" s="5" t="str">
        <f t="shared" si="493"/>
        <v/>
      </c>
      <c r="EY92" s="6" t="str">
        <f t="shared" si="613"/>
        <v/>
      </c>
      <c r="EZ92" s="52" t="str">
        <f t="shared" si="614"/>
        <v/>
      </c>
      <c r="FA92" s="177" t="str">
        <f t="shared" si="494"/>
        <v/>
      </c>
      <c r="FB92" s="5" t="str">
        <f t="shared" si="495"/>
        <v/>
      </c>
      <c r="FC92" s="6" t="str">
        <f t="shared" si="496"/>
        <v/>
      </c>
      <c r="FD92" s="4" t="str">
        <f t="shared" si="497"/>
        <v/>
      </c>
      <c r="FE92" s="5" t="str">
        <f t="shared" si="498"/>
        <v/>
      </c>
      <c r="FF92" s="7" t="str">
        <f t="shared" si="615"/>
        <v/>
      </c>
      <c r="FG92" s="177" t="str">
        <f t="shared" si="499"/>
        <v/>
      </c>
      <c r="FH92" s="5" t="str">
        <f t="shared" si="500"/>
        <v/>
      </c>
      <c r="FI92" s="10" t="str">
        <f t="shared" si="501"/>
        <v/>
      </c>
      <c r="FJ92" s="290" t="str">
        <f t="shared" si="616"/>
        <v/>
      </c>
      <c r="FK92" s="4" t="str">
        <f t="shared" si="502"/>
        <v/>
      </c>
      <c r="FL92" s="5" t="str">
        <f t="shared" si="540"/>
        <v/>
      </c>
      <c r="FM92" s="8" t="str">
        <f t="shared" si="541"/>
        <v/>
      </c>
      <c r="FN92" s="9" t="str">
        <f t="shared" si="542"/>
        <v/>
      </c>
      <c r="FO92" s="10" t="str">
        <f t="shared" si="503"/>
        <v/>
      </c>
      <c r="FP92" s="288" t="str">
        <f t="shared" si="543"/>
        <v/>
      </c>
      <c r="FQ92" s="177" t="str">
        <f t="shared" si="617"/>
        <v/>
      </c>
      <c r="FR92" s="10" t="str">
        <f t="shared" si="618"/>
        <v/>
      </c>
      <c r="FS92" s="9" t="str">
        <f t="shared" si="619"/>
        <v/>
      </c>
      <c r="FT92" s="6" t="str">
        <f t="shared" si="620"/>
        <v/>
      </c>
      <c r="FU92" s="4" t="str">
        <f t="shared" si="621"/>
        <v/>
      </c>
      <c r="FV92" s="5" t="str">
        <f t="shared" si="622"/>
        <v/>
      </c>
      <c r="FW92" s="8" t="str">
        <f t="shared" si="623"/>
        <v/>
      </c>
      <c r="FX92" s="9" t="str">
        <f t="shared" si="624"/>
        <v/>
      </c>
      <c r="FY92" s="10" t="str">
        <f t="shared" si="504"/>
        <v/>
      </c>
      <c r="FZ92" s="288" t="str">
        <f t="shared" si="625"/>
        <v/>
      </c>
      <c r="GA92" s="181" t="str">
        <f t="shared" si="626"/>
        <v/>
      </c>
      <c r="GB92" s="4" t="str">
        <f t="shared" si="627"/>
        <v/>
      </c>
      <c r="GC92" s="5" t="str">
        <f t="shared" si="628"/>
        <v/>
      </c>
      <c r="GD92" s="10" t="str">
        <f t="shared" si="629"/>
        <v/>
      </c>
      <c r="GE92" s="324" t="str">
        <f t="shared" si="630"/>
        <v/>
      </c>
      <c r="GF92" s="362" t="str">
        <f t="shared" si="631"/>
        <v/>
      </c>
      <c r="GG92" s="296" t="str">
        <f t="shared" si="505"/>
        <v/>
      </c>
      <c r="GH92" s="297" t="str">
        <f t="shared" si="506"/>
        <v/>
      </c>
      <c r="GI92" s="292" t="str">
        <f t="shared" si="507"/>
        <v/>
      </c>
      <c r="GJ92" s="171" t="str">
        <f t="shared" si="632"/>
        <v/>
      </c>
      <c r="GK92" s="178" t="str">
        <f t="shared" si="508"/>
        <v/>
      </c>
      <c r="GL92" s="178" t="str">
        <f t="shared" si="633"/>
        <v/>
      </c>
      <c r="GM92" s="181" t="str">
        <f t="shared" si="634"/>
        <v/>
      </c>
      <c r="GN92" s="291" t="str">
        <f t="shared" si="635"/>
        <v/>
      </c>
      <c r="GO92" s="4" t="str">
        <f t="shared" si="636"/>
        <v/>
      </c>
      <c r="GP92" s="8" t="str">
        <f t="shared" si="637"/>
        <v/>
      </c>
      <c r="GQ92" s="181" t="str">
        <f t="shared" si="638"/>
        <v/>
      </c>
      <c r="GR92" s="417" t="str">
        <f t="shared" si="639"/>
        <v/>
      </c>
      <c r="GS92" s="363" t="str">
        <f t="shared" si="509"/>
        <v/>
      </c>
      <c r="GT92" s="364" t="str">
        <f t="shared" si="510"/>
        <v/>
      </c>
      <c r="GU92" s="365" t="str">
        <f t="shared" si="511"/>
        <v/>
      </c>
      <c r="GV92" s="364" t="str">
        <f t="shared" si="640"/>
        <v/>
      </c>
      <c r="GW92" s="366" t="str">
        <f t="shared" si="512"/>
        <v/>
      </c>
      <c r="GX92" s="367" t="str">
        <f t="shared" si="513"/>
        <v/>
      </c>
      <c r="GY92" s="365" t="str">
        <f t="shared" si="514"/>
        <v/>
      </c>
      <c r="GZ92" s="366" t="str">
        <f t="shared" si="515"/>
        <v/>
      </c>
      <c r="HA92" s="363" t="str">
        <f t="shared" si="516"/>
        <v/>
      </c>
      <c r="HB92" s="5" t="str">
        <f t="shared" si="641"/>
        <v/>
      </c>
      <c r="HC92" s="364" t="str">
        <f t="shared" si="642"/>
        <v/>
      </c>
      <c r="HD92" s="405" t="str">
        <f t="shared" si="643"/>
        <v/>
      </c>
      <c r="HE92" s="365" t="str">
        <f t="shared" si="517"/>
        <v/>
      </c>
      <c r="HF92" s="5" t="str">
        <f t="shared" si="518"/>
        <v/>
      </c>
      <c r="HG92" s="364" t="str">
        <f t="shared" si="644"/>
        <v/>
      </c>
      <c r="HH92" s="370" t="str">
        <f t="shared" si="645"/>
        <v/>
      </c>
      <c r="HI92" s="335" t="str">
        <f t="shared" si="519"/>
        <v/>
      </c>
      <c r="HK92" s="323" t="str">
        <f t="shared" si="238"/>
        <v/>
      </c>
      <c r="HL92" s="322" t="str">
        <f t="shared" si="544"/>
        <v/>
      </c>
      <c r="HM92" s="369" t="str">
        <f t="shared" si="661"/>
        <v/>
      </c>
      <c r="HN92" s="384" t="str">
        <f t="shared" si="661"/>
        <v/>
      </c>
      <c r="HO92" s="385" t="str">
        <f t="shared" si="661"/>
        <v/>
      </c>
      <c r="HP92" s="380" t="str">
        <f t="shared" si="661"/>
        <v/>
      </c>
      <c r="HQ92" s="384" t="str">
        <f t="shared" si="661"/>
        <v/>
      </c>
      <c r="HR92" s="395" t="str">
        <f t="shared" si="661"/>
        <v/>
      </c>
      <c r="HS92" s="379" t="str">
        <f t="shared" si="661"/>
        <v/>
      </c>
      <c r="HT92" s="374" t="str">
        <f t="shared" si="661"/>
        <v/>
      </c>
      <c r="HU92" s="375" t="str">
        <f t="shared" si="661"/>
        <v/>
      </c>
      <c r="HV92" s="376" t="str">
        <f t="shared" si="661"/>
        <v/>
      </c>
      <c r="HW92" s="374" t="str">
        <f t="shared" si="661"/>
        <v/>
      </c>
      <c r="HX92" s="375" t="str">
        <f t="shared" si="661"/>
        <v/>
      </c>
      <c r="HY92" s="376" t="str">
        <f t="shared" si="661"/>
        <v/>
      </c>
      <c r="HZ92" s="374" t="str">
        <f t="shared" si="661"/>
        <v/>
      </c>
      <c r="IA92" s="375" t="str">
        <f t="shared" si="661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6"/>
        <v>5.1230000000000002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5"/>
        <v>1613</v>
      </c>
      <c r="IK92" s="533" t="str">
        <f t="shared" si="520"/>
        <v/>
      </c>
      <c r="IL92" s="727" t="str">
        <f t="shared" si="651"/>
        <v/>
      </c>
      <c r="IM92" s="759"/>
      <c r="IN92" s="5" t="str">
        <f t="shared" si="652"/>
        <v/>
      </c>
      <c r="IO92" s="771"/>
      <c r="IP92" s="9" t="str">
        <f t="shared" si="653"/>
        <v/>
      </c>
      <c r="IQ92" s="5" t="str">
        <f t="shared" si="654"/>
        <v/>
      </c>
      <c r="IR92" s="5" t="str">
        <f t="shared" si="521"/>
        <v/>
      </c>
      <c r="IS92" s="5" t="str">
        <f t="shared" si="655"/>
        <v/>
      </c>
      <c r="IT92" s="727" t="str">
        <f t="shared" si="656"/>
        <v/>
      </c>
      <c r="IU92" s="9" t="str">
        <f t="shared" si="657"/>
        <v/>
      </c>
      <c r="IV92" s="5" t="str">
        <f t="shared" si="658"/>
        <v/>
      </c>
      <c r="IW92" s="5" t="str">
        <f t="shared" si="522"/>
        <v/>
      </c>
      <c r="IX92" s="5" t="str">
        <f t="shared" si="659"/>
        <v/>
      </c>
      <c r="IY92" s="762" t="str">
        <f t="shared" si="660"/>
        <v/>
      </c>
    </row>
    <row r="93" spans="1:259" ht="15" customHeight="1" x14ac:dyDescent="0.25">
      <c r="A93" s="79"/>
      <c r="B93" s="707">
        <v>-4.5886864457789072</v>
      </c>
      <c r="C93" s="708">
        <v>-2.0764029663842756</v>
      </c>
      <c r="D93" s="709">
        <v>-0.33520101096624899</v>
      </c>
      <c r="E93" s="710">
        <v>0.21881375105612053</v>
      </c>
      <c r="F93" s="708">
        <v>-0.92867792961948392</v>
      </c>
      <c r="G93" s="711">
        <v>0.29946259430255912</v>
      </c>
      <c r="H93" s="710">
        <v>0.314</v>
      </c>
      <c r="I93" s="708">
        <v>0.52</v>
      </c>
      <c r="J93" s="570">
        <v>5.1289999999999996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7"/>
        <v>5.1289999999999996</v>
      </c>
      <c r="N93" s="632">
        <f t="shared" si="468"/>
        <v>-4.5886864457789072</v>
      </c>
      <c r="O93" s="629">
        <f t="shared" si="469"/>
        <v>-2.0764029663842756</v>
      </c>
      <c r="P93" s="633">
        <f t="shared" si="470"/>
        <v>-0.33520101096624899</v>
      </c>
      <c r="Q93" s="585">
        <f t="shared" si="523"/>
        <v>204.34698349033823</v>
      </c>
      <c r="R93" s="629">
        <f t="shared" si="79"/>
        <v>5.0366151904314149</v>
      </c>
      <c r="S93" s="634">
        <f t="shared" si="80"/>
        <v>-0.33520101096624899</v>
      </c>
      <c r="T93" s="635">
        <f t="shared" si="81"/>
        <v>-2.0764029663842742</v>
      </c>
      <c r="U93" s="629">
        <f t="shared" si="82"/>
        <v>4.5886864457789072</v>
      </c>
      <c r="V93" s="636">
        <f t="shared" si="114"/>
        <v>-0.33520101096624899</v>
      </c>
      <c r="W93" s="585">
        <f t="shared" si="648"/>
        <v>114.34698349033823</v>
      </c>
      <c r="X93" s="629">
        <f t="shared" si="83"/>
        <v>5.0366151904314149</v>
      </c>
      <c r="Y93" s="630">
        <f t="shared" si="647"/>
        <v>-0.33520101096624899</v>
      </c>
      <c r="Z93" s="632">
        <f t="shared" si="471"/>
        <v>-0.21881375105612053</v>
      </c>
      <c r="AA93" s="629">
        <f t="shared" si="472"/>
        <v>0.92867792961948392</v>
      </c>
      <c r="AB93" s="629">
        <f t="shared" si="473"/>
        <v>-0.29946259430255912</v>
      </c>
      <c r="AC93" s="636">
        <f t="shared" si="84"/>
        <v>1</v>
      </c>
      <c r="AD93" s="637">
        <f t="shared" si="115"/>
        <v>-0.21881375105612053</v>
      </c>
      <c r="AE93" s="629">
        <f t="shared" si="85"/>
        <v>0.92867792961948392</v>
      </c>
      <c r="AF93" s="633">
        <f t="shared" si="86"/>
        <v>-0.29946259430255912</v>
      </c>
      <c r="AG93" s="602">
        <f t="shared" si="87"/>
        <v>72.12750259616196</v>
      </c>
      <c r="AH93" s="603">
        <f t="shared" si="88"/>
        <v>102.63936844674731</v>
      </c>
      <c r="AI93" s="585">
        <f t="shared" si="89"/>
        <v>-72.574671839753563</v>
      </c>
      <c r="AJ93" s="586">
        <f t="shared" si="90"/>
        <v>-166.74186766890256</v>
      </c>
      <c r="AK93" s="635">
        <f t="shared" si="211"/>
        <v>0.93629494643080147</v>
      </c>
      <c r="AL93" s="629">
        <f t="shared" si="91"/>
        <v>-0.18350457188234695</v>
      </c>
      <c r="AM93" s="634">
        <f t="shared" si="92"/>
        <v>-0.29946259430255912</v>
      </c>
      <c r="AN93" s="581">
        <f t="shared" si="93"/>
        <v>-31.499117861451037</v>
      </c>
      <c r="AO93" s="582">
        <f t="shared" si="463"/>
        <v>20.561630277835572</v>
      </c>
      <c r="AP93" s="585">
        <f t="shared" si="95"/>
        <v>-11.088851159240781</v>
      </c>
      <c r="AQ93" s="586">
        <f t="shared" si="474"/>
        <v>0.452621278948595</v>
      </c>
      <c r="AS93" s="52">
        <f t="shared" si="546"/>
        <v>-245.65301650966177</v>
      </c>
      <c r="AT93" s="73">
        <f t="shared" si="475"/>
        <v>-0.16460863839009499</v>
      </c>
      <c r="AU93" s="469"/>
      <c r="AV93" s="168" t="str">
        <f t="shared" si="476"/>
        <v/>
      </c>
      <c r="AW93" s="418"/>
      <c r="AX93" s="419"/>
      <c r="AY93" s="420"/>
      <c r="AZ93" s="308" t="str">
        <f t="shared" si="547"/>
        <v/>
      </c>
      <c r="BA93" s="307" t="str">
        <f t="shared" si="477"/>
        <v/>
      </c>
      <c r="BB93" s="181" t="str">
        <f t="shared" si="524"/>
        <v/>
      </c>
      <c r="BC93" s="9"/>
      <c r="BD93" s="5" t="str">
        <f t="shared" si="525"/>
        <v/>
      </c>
      <c r="BE93" s="6" t="str">
        <f t="shared" si="478"/>
        <v/>
      </c>
      <c r="BF93" s="4" t="str">
        <f t="shared" si="479"/>
        <v/>
      </c>
      <c r="BG93" s="5" t="str">
        <f t="shared" si="480"/>
        <v/>
      </c>
      <c r="BH93" s="10" t="str">
        <f t="shared" si="481"/>
        <v/>
      </c>
      <c r="BI93" s="9" t="str">
        <f t="shared" si="548"/>
        <v/>
      </c>
      <c r="BJ93" s="5" t="str">
        <f t="shared" si="482"/>
        <v/>
      </c>
      <c r="BK93" s="8" t="str">
        <f t="shared" si="483"/>
        <v/>
      </c>
      <c r="BL93" s="177" t="str">
        <f t="shared" si="484"/>
        <v/>
      </c>
      <c r="BM93" s="5" t="str">
        <f t="shared" si="485"/>
        <v/>
      </c>
      <c r="BN93" s="6" t="str">
        <f t="shared" si="486"/>
        <v/>
      </c>
      <c r="BO93" s="4" t="str">
        <f t="shared" si="549"/>
        <v/>
      </c>
      <c r="BP93" s="5" t="str">
        <f t="shared" si="550"/>
        <v/>
      </c>
      <c r="BQ93" s="5" t="str">
        <f t="shared" si="551"/>
        <v/>
      </c>
      <c r="BR93" s="6" t="str">
        <f t="shared" si="552"/>
        <v/>
      </c>
      <c r="BS93" s="4" t="str">
        <f t="shared" si="526"/>
        <v/>
      </c>
      <c r="BT93" s="5" t="str">
        <f t="shared" si="526"/>
        <v/>
      </c>
      <c r="BU93" s="10" t="str">
        <f t="shared" si="527"/>
        <v/>
      </c>
      <c r="BV93" s="9" t="str">
        <f t="shared" si="528"/>
        <v/>
      </c>
      <c r="BW93" s="5" t="str">
        <f t="shared" si="529"/>
        <v/>
      </c>
      <c r="BX93" s="8" t="str">
        <f t="shared" si="530"/>
        <v/>
      </c>
      <c r="BY93" s="177" t="str">
        <f t="shared" si="531"/>
        <v/>
      </c>
      <c r="BZ93" s="5" t="str">
        <f t="shared" si="532"/>
        <v/>
      </c>
      <c r="CA93" s="6" t="str">
        <f t="shared" si="533"/>
        <v/>
      </c>
      <c r="CB93" s="4" t="str">
        <f t="shared" si="553"/>
        <v/>
      </c>
      <c r="CC93" s="5" t="str">
        <f t="shared" si="554"/>
        <v/>
      </c>
      <c r="CD93" s="5" t="str">
        <f t="shared" si="555"/>
        <v/>
      </c>
      <c r="CE93" s="6" t="str">
        <f t="shared" si="556"/>
        <v/>
      </c>
      <c r="CF93" s="4" t="str">
        <f t="shared" si="557"/>
        <v/>
      </c>
      <c r="CG93" s="5" t="str">
        <f t="shared" si="558"/>
        <v/>
      </c>
      <c r="CH93" s="5" t="str">
        <f t="shared" si="559"/>
        <v/>
      </c>
      <c r="CI93" s="4" t="str">
        <f t="shared" si="534"/>
        <v/>
      </c>
      <c r="CJ93" s="5" t="str">
        <f t="shared" si="535"/>
        <v/>
      </c>
      <c r="CK93" s="8" t="str">
        <f t="shared" si="536"/>
        <v/>
      </c>
      <c r="CL93" s="177" t="str">
        <f t="shared" si="537"/>
        <v/>
      </c>
      <c r="CM93" s="5" t="str">
        <f t="shared" si="538"/>
        <v/>
      </c>
      <c r="CN93" s="6" t="str">
        <f t="shared" si="539"/>
        <v/>
      </c>
      <c r="CO93" s="171" t="str">
        <f t="shared" si="487"/>
        <v/>
      </c>
      <c r="CP93" s="4" t="str">
        <f t="shared" si="560"/>
        <v/>
      </c>
      <c r="CQ93" s="5" t="str">
        <f t="shared" si="561"/>
        <v/>
      </c>
      <c r="CR93" s="5" t="str">
        <f t="shared" si="562"/>
        <v/>
      </c>
      <c r="CS93" s="8" t="str">
        <f t="shared" si="563"/>
        <v/>
      </c>
      <c r="CT93" s="9" t="str">
        <f t="shared" si="564"/>
        <v/>
      </c>
      <c r="CU93" s="6" t="str">
        <f t="shared" si="565"/>
        <v/>
      </c>
      <c r="CV93" s="4" t="str">
        <f t="shared" si="566"/>
        <v/>
      </c>
      <c r="CW93" s="5" t="str">
        <f t="shared" si="567"/>
        <v/>
      </c>
      <c r="CX93" s="8" t="str">
        <f t="shared" si="568"/>
        <v/>
      </c>
      <c r="CY93" s="9" t="str">
        <f t="shared" si="569"/>
        <v/>
      </c>
      <c r="CZ93" s="5" t="str">
        <f t="shared" si="570"/>
        <v/>
      </c>
      <c r="DA93" s="6" t="str">
        <f t="shared" si="571"/>
        <v/>
      </c>
      <c r="DB93" s="4" t="str">
        <f t="shared" si="572"/>
        <v/>
      </c>
      <c r="DC93" s="5" t="str">
        <f t="shared" si="572"/>
        <v/>
      </c>
      <c r="DD93" s="10" t="str">
        <f t="shared" si="573"/>
        <v/>
      </c>
      <c r="DE93" s="9" t="str">
        <f t="shared" si="574"/>
        <v/>
      </c>
      <c r="DF93" s="5" t="str">
        <f t="shared" si="574"/>
        <v/>
      </c>
      <c r="DG93" s="10" t="str">
        <f t="shared" si="575"/>
        <v/>
      </c>
      <c r="DH93" s="72" t="str">
        <f t="shared" si="576"/>
        <v/>
      </c>
      <c r="DI93" s="4" t="str">
        <f t="shared" si="577"/>
        <v/>
      </c>
      <c r="DJ93" s="5" t="str">
        <f t="shared" si="578"/>
        <v/>
      </c>
      <c r="DK93" s="10" t="str">
        <f t="shared" si="579"/>
        <v/>
      </c>
      <c r="DL93" s="9" t="str">
        <f t="shared" si="580"/>
        <v/>
      </c>
      <c r="DM93" s="177" t="str">
        <f t="shared" si="581"/>
        <v/>
      </c>
      <c r="DN93" s="182" t="str">
        <f t="shared" si="582"/>
        <v/>
      </c>
      <c r="DO93" s="9" t="str">
        <f t="shared" si="583"/>
        <v/>
      </c>
      <c r="DP93" s="177" t="str">
        <f t="shared" si="584"/>
        <v/>
      </c>
      <c r="DQ93" s="11" t="str">
        <f t="shared" si="585"/>
        <v/>
      </c>
      <c r="DR93" s="177" t="str">
        <f t="shared" si="586"/>
        <v/>
      </c>
      <c r="DS93" s="5" t="str">
        <f t="shared" si="587"/>
        <v/>
      </c>
      <c r="DT93" s="5" t="str">
        <f t="shared" si="588"/>
        <v/>
      </c>
      <c r="DU93" s="5" t="str">
        <f t="shared" si="589"/>
        <v/>
      </c>
      <c r="DV93" s="5" t="str">
        <f t="shared" si="590"/>
        <v/>
      </c>
      <c r="DW93" s="5" t="str">
        <f t="shared" si="591"/>
        <v/>
      </c>
      <c r="DX93" s="171" t="str">
        <f t="shared" si="592"/>
        <v/>
      </c>
      <c r="DY93" s="9" t="str">
        <f t="shared" si="593"/>
        <v/>
      </c>
      <c r="DZ93" s="5" t="str">
        <f t="shared" si="594"/>
        <v/>
      </c>
      <c r="EA93" s="10" t="str">
        <f t="shared" si="595"/>
        <v/>
      </c>
      <c r="EB93" s="6" t="str">
        <f t="shared" si="596"/>
        <v/>
      </c>
      <c r="EC93" s="177" t="str">
        <f t="shared" si="597"/>
        <v/>
      </c>
      <c r="ED93" s="5" t="str">
        <f t="shared" si="598"/>
        <v/>
      </c>
      <c r="EE93" s="4" t="str">
        <f t="shared" si="599"/>
        <v/>
      </c>
      <c r="EF93" s="5" t="str">
        <f t="shared" si="600"/>
        <v/>
      </c>
      <c r="EG93" s="10" t="str">
        <f t="shared" si="601"/>
        <v/>
      </c>
      <c r="EH93" s="9" t="str">
        <f t="shared" si="602"/>
        <v/>
      </c>
      <c r="EI93" s="5" t="str">
        <f t="shared" si="603"/>
        <v/>
      </c>
      <c r="EJ93" s="6" t="str">
        <f t="shared" si="604"/>
        <v/>
      </c>
      <c r="EK93" s="247" t="str">
        <f t="shared" si="605"/>
        <v/>
      </c>
      <c r="EL93" s="249" t="str">
        <f t="shared" si="606"/>
        <v/>
      </c>
      <c r="EM93" s="4" t="str">
        <f t="shared" si="607"/>
        <v/>
      </c>
      <c r="EN93" s="5" t="str">
        <f t="shared" si="608"/>
        <v/>
      </c>
      <c r="EO93" s="10" t="str">
        <f t="shared" si="609"/>
        <v/>
      </c>
      <c r="EP93" s="9" t="str">
        <f t="shared" si="610"/>
        <v/>
      </c>
      <c r="EQ93" s="5" t="str">
        <f t="shared" si="611"/>
        <v/>
      </c>
      <c r="ER93" s="7" t="str">
        <f t="shared" si="612"/>
        <v/>
      </c>
      <c r="ES93" s="21" t="str">
        <f t="shared" si="488"/>
        <v/>
      </c>
      <c r="ET93" s="5" t="str">
        <f t="shared" si="489"/>
        <v/>
      </c>
      <c r="EU93" s="10" t="str">
        <f t="shared" si="490"/>
        <v/>
      </c>
      <c r="EV93" s="178" t="str">
        <f t="shared" si="491"/>
        <v/>
      </c>
      <c r="EW93" s="9" t="str">
        <f t="shared" si="492"/>
        <v/>
      </c>
      <c r="EX93" s="5" t="str">
        <f t="shared" si="493"/>
        <v/>
      </c>
      <c r="EY93" s="6" t="str">
        <f t="shared" si="613"/>
        <v/>
      </c>
      <c r="EZ93" s="52" t="str">
        <f t="shared" si="614"/>
        <v/>
      </c>
      <c r="FA93" s="177" t="str">
        <f t="shared" si="494"/>
        <v/>
      </c>
      <c r="FB93" s="5" t="str">
        <f t="shared" si="495"/>
        <v/>
      </c>
      <c r="FC93" s="6" t="str">
        <f t="shared" si="496"/>
        <v/>
      </c>
      <c r="FD93" s="4" t="str">
        <f t="shared" si="497"/>
        <v/>
      </c>
      <c r="FE93" s="5" t="str">
        <f t="shared" si="498"/>
        <v/>
      </c>
      <c r="FF93" s="7" t="str">
        <f t="shared" si="615"/>
        <v/>
      </c>
      <c r="FG93" s="177" t="str">
        <f t="shared" si="499"/>
        <v/>
      </c>
      <c r="FH93" s="5" t="str">
        <f t="shared" si="500"/>
        <v/>
      </c>
      <c r="FI93" s="10" t="str">
        <f t="shared" si="501"/>
        <v/>
      </c>
      <c r="FJ93" s="290" t="str">
        <f t="shared" si="616"/>
        <v/>
      </c>
      <c r="FK93" s="4" t="str">
        <f t="shared" si="502"/>
        <v/>
      </c>
      <c r="FL93" s="5" t="str">
        <f t="shared" si="540"/>
        <v/>
      </c>
      <c r="FM93" s="8" t="str">
        <f t="shared" si="541"/>
        <v/>
      </c>
      <c r="FN93" s="9" t="str">
        <f t="shared" si="542"/>
        <v/>
      </c>
      <c r="FO93" s="10" t="str">
        <f t="shared" si="503"/>
        <v/>
      </c>
      <c r="FP93" s="288" t="str">
        <f t="shared" si="543"/>
        <v/>
      </c>
      <c r="FQ93" s="177" t="str">
        <f t="shared" si="617"/>
        <v/>
      </c>
      <c r="FR93" s="10" t="str">
        <f t="shared" si="618"/>
        <v/>
      </c>
      <c r="FS93" s="9" t="str">
        <f t="shared" si="619"/>
        <v/>
      </c>
      <c r="FT93" s="6" t="str">
        <f t="shared" si="620"/>
        <v/>
      </c>
      <c r="FU93" s="4" t="str">
        <f t="shared" si="621"/>
        <v/>
      </c>
      <c r="FV93" s="5" t="str">
        <f t="shared" si="622"/>
        <v/>
      </c>
      <c r="FW93" s="8" t="str">
        <f t="shared" si="623"/>
        <v/>
      </c>
      <c r="FX93" s="9" t="str">
        <f t="shared" si="624"/>
        <v/>
      </c>
      <c r="FY93" s="10" t="str">
        <f t="shared" si="504"/>
        <v/>
      </c>
      <c r="FZ93" s="288" t="str">
        <f t="shared" si="625"/>
        <v/>
      </c>
      <c r="GA93" s="181" t="str">
        <f t="shared" si="626"/>
        <v/>
      </c>
      <c r="GB93" s="4" t="str">
        <f t="shared" si="627"/>
        <v/>
      </c>
      <c r="GC93" s="5" t="str">
        <f t="shared" si="628"/>
        <v/>
      </c>
      <c r="GD93" s="10" t="str">
        <f t="shared" si="629"/>
        <v/>
      </c>
      <c r="GE93" s="324" t="str">
        <f t="shared" si="630"/>
        <v/>
      </c>
      <c r="GF93" s="362" t="str">
        <f t="shared" si="631"/>
        <v/>
      </c>
      <c r="GG93" s="296" t="str">
        <f t="shared" si="505"/>
        <v/>
      </c>
      <c r="GH93" s="297" t="str">
        <f t="shared" si="506"/>
        <v/>
      </c>
      <c r="GI93" s="292" t="str">
        <f t="shared" si="507"/>
        <v/>
      </c>
      <c r="GJ93" s="171" t="str">
        <f t="shared" si="632"/>
        <v/>
      </c>
      <c r="GK93" s="178" t="str">
        <f t="shared" si="508"/>
        <v/>
      </c>
      <c r="GL93" s="178" t="str">
        <f t="shared" si="633"/>
        <v/>
      </c>
      <c r="GM93" s="181" t="str">
        <f t="shared" si="634"/>
        <v/>
      </c>
      <c r="GN93" s="291" t="str">
        <f t="shared" si="635"/>
        <v/>
      </c>
      <c r="GO93" s="4" t="str">
        <f t="shared" si="636"/>
        <v/>
      </c>
      <c r="GP93" s="8" t="str">
        <f t="shared" si="637"/>
        <v/>
      </c>
      <c r="GQ93" s="181" t="str">
        <f t="shared" si="638"/>
        <v/>
      </c>
      <c r="GR93" s="417" t="str">
        <f t="shared" si="639"/>
        <v/>
      </c>
      <c r="GS93" s="363" t="str">
        <f t="shared" si="509"/>
        <v/>
      </c>
      <c r="GT93" s="364" t="str">
        <f t="shared" si="510"/>
        <v/>
      </c>
      <c r="GU93" s="365" t="str">
        <f t="shared" si="511"/>
        <v/>
      </c>
      <c r="GV93" s="364" t="str">
        <f t="shared" si="640"/>
        <v/>
      </c>
      <c r="GW93" s="366" t="str">
        <f t="shared" si="512"/>
        <v/>
      </c>
      <c r="GX93" s="367" t="str">
        <f t="shared" si="513"/>
        <v/>
      </c>
      <c r="GY93" s="365" t="str">
        <f t="shared" si="514"/>
        <v/>
      </c>
      <c r="GZ93" s="366" t="str">
        <f t="shared" si="515"/>
        <v/>
      </c>
      <c r="HA93" s="363" t="str">
        <f t="shared" si="516"/>
        <v/>
      </c>
      <c r="HB93" s="5" t="str">
        <f t="shared" si="641"/>
        <v/>
      </c>
      <c r="HC93" s="364" t="str">
        <f t="shared" si="642"/>
        <v/>
      </c>
      <c r="HD93" s="405" t="str">
        <f t="shared" si="643"/>
        <v/>
      </c>
      <c r="HE93" s="365" t="str">
        <f t="shared" si="517"/>
        <v/>
      </c>
      <c r="HF93" s="5" t="str">
        <f t="shared" si="518"/>
        <v/>
      </c>
      <c r="HG93" s="364" t="str">
        <f t="shared" si="644"/>
        <v/>
      </c>
      <c r="HH93" s="370" t="str">
        <f t="shared" si="645"/>
        <v/>
      </c>
      <c r="HI93" s="335" t="str">
        <f t="shared" si="519"/>
        <v/>
      </c>
      <c r="HK93" s="323" t="str">
        <f t="shared" si="238"/>
        <v/>
      </c>
      <c r="HL93" s="322" t="str">
        <f t="shared" si="544"/>
        <v/>
      </c>
      <c r="HM93" s="369" t="str">
        <f t="shared" si="661"/>
        <v/>
      </c>
      <c r="HN93" s="384" t="str">
        <f t="shared" si="661"/>
        <v/>
      </c>
      <c r="HO93" s="385" t="str">
        <f t="shared" si="661"/>
        <v/>
      </c>
      <c r="HP93" s="380" t="str">
        <f t="shared" si="661"/>
        <v/>
      </c>
      <c r="HQ93" s="384" t="str">
        <f t="shared" si="661"/>
        <v/>
      </c>
      <c r="HR93" s="395" t="str">
        <f t="shared" si="661"/>
        <v/>
      </c>
      <c r="HS93" s="379" t="str">
        <f t="shared" si="661"/>
        <v/>
      </c>
      <c r="HT93" s="374" t="str">
        <f t="shared" si="661"/>
        <v/>
      </c>
      <c r="HU93" s="375" t="str">
        <f t="shared" si="661"/>
        <v/>
      </c>
      <c r="HV93" s="376" t="str">
        <f t="shared" si="661"/>
        <v/>
      </c>
      <c r="HW93" s="374" t="str">
        <f t="shared" si="661"/>
        <v/>
      </c>
      <c r="HX93" s="375" t="str">
        <f t="shared" si="661"/>
        <v/>
      </c>
      <c r="HY93" s="376" t="str">
        <f t="shared" si="661"/>
        <v/>
      </c>
      <c r="HZ93" s="374" t="str">
        <f t="shared" si="661"/>
        <v/>
      </c>
      <c r="IA93" s="375" t="str">
        <f t="shared" si="661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6"/>
        <v>5.1289999999999996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5"/>
        <v>1613</v>
      </c>
      <c r="IK93" s="533" t="str">
        <f t="shared" si="520"/>
        <v/>
      </c>
      <c r="IL93" s="727" t="str">
        <f t="shared" si="651"/>
        <v/>
      </c>
      <c r="IM93" s="759"/>
      <c r="IN93" s="5" t="str">
        <f t="shared" si="652"/>
        <v/>
      </c>
      <c r="IO93" s="771"/>
      <c r="IP93" s="9" t="str">
        <f t="shared" si="653"/>
        <v/>
      </c>
      <c r="IQ93" s="5" t="str">
        <f t="shared" si="654"/>
        <v/>
      </c>
      <c r="IR93" s="5" t="str">
        <f t="shared" si="521"/>
        <v/>
      </c>
      <c r="IS93" s="5" t="str">
        <f t="shared" si="655"/>
        <v/>
      </c>
      <c r="IT93" s="727" t="str">
        <f t="shared" si="656"/>
        <v/>
      </c>
      <c r="IU93" s="9" t="str">
        <f t="shared" si="657"/>
        <v/>
      </c>
      <c r="IV93" s="5" t="str">
        <f t="shared" si="658"/>
        <v/>
      </c>
      <c r="IW93" s="5" t="str">
        <f t="shared" si="522"/>
        <v/>
      </c>
      <c r="IX93" s="5" t="str">
        <f t="shared" si="659"/>
        <v/>
      </c>
      <c r="IY93" s="762" t="str">
        <f t="shared" si="660"/>
        <v/>
      </c>
    </row>
    <row r="94" spans="1:259" ht="15" customHeight="1" x14ac:dyDescent="0.25">
      <c r="A94" s="79"/>
      <c r="B94" s="707">
        <v>-5.207708937411696</v>
      </c>
      <c r="C94" s="708">
        <v>-2.2888851137110224</v>
      </c>
      <c r="D94" s="709">
        <v>-0.72300218057457633</v>
      </c>
      <c r="E94" s="710">
        <v>0.11159116222525779</v>
      </c>
      <c r="F94" s="708">
        <v>-0.95567435957516367</v>
      </c>
      <c r="G94" s="711">
        <v>0.27245904456232906</v>
      </c>
      <c r="H94" s="710">
        <v>0.314</v>
      </c>
      <c r="I94" s="708">
        <v>0.52</v>
      </c>
      <c r="J94" s="570">
        <v>5.1349999999999998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7"/>
        <v>5.1349999999999998</v>
      </c>
      <c r="N94" s="632">
        <f t="shared" si="468"/>
        <v>-5.207708937411696</v>
      </c>
      <c r="O94" s="629">
        <f t="shared" si="469"/>
        <v>-2.2888851137110224</v>
      </c>
      <c r="P94" s="633">
        <f t="shared" si="470"/>
        <v>-0.72300218057457633</v>
      </c>
      <c r="Q94" s="585">
        <f t="shared" si="523"/>
        <v>203.72638357994177</v>
      </c>
      <c r="R94" s="629">
        <f t="shared" si="79"/>
        <v>5.6885171565677446</v>
      </c>
      <c r="S94" s="634">
        <f t="shared" si="80"/>
        <v>-0.72300218057457633</v>
      </c>
      <c r="T94" s="635">
        <f t="shared" si="81"/>
        <v>-2.2888851137110207</v>
      </c>
      <c r="U94" s="629">
        <f t="shared" si="82"/>
        <v>5.2077089374116969</v>
      </c>
      <c r="V94" s="636">
        <f t="shared" si="114"/>
        <v>-0.72300218057457633</v>
      </c>
      <c r="W94" s="585">
        <f t="shared" si="648"/>
        <v>113.72638357994177</v>
      </c>
      <c r="X94" s="629">
        <f t="shared" si="83"/>
        <v>5.6885171565677446</v>
      </c>
      <c r="Y94" s="630">
        <f t="shared" si="647"/>
        <v>-0.72300218057457633</v>
      </c>
      <c r="Z94" s="632">
        <f t="shared" si="471"/>
        <v>-0.11159116222525779</v>
      </c>
      <c r="AA94" s="629">
        <f t="shared" si="472"/>
        <v>0.95567435957516367</v>
      </c>
      <c r="AB94" s="629">
        <f t="shared" si="473"/>
        <v>-0.27245904456232906</v>
      </c>
      <c r="AC94" s="636">
        <f t="shared" si="84"/>
        <v>1</v>
      </c>
      <c r="AD94" s="637">
        <f t="shared" si="115"/>
        <v>-0.11159116222525779</v>
      </c>
      <c r="AE94" s="629">
        <f t="shared" si="85"/>
        <v>0.95567435957516367</v>
      </c>
      <c r="AF94" s="633">
        <f t="shared" si="86"/>
        <v>-0.27245904456232906</v>
      </c>
      <c r="AG94" s="602">
        <f t="shared" si="87"/>
        <v>74.087355058319801</v>
      </c>
      <c r="AH94" s="603">
        <f t="shared" si="88"/>
        <v>96.407047231458563</v>
      </c>
      <c r="AI94" s="585">
        <f t="shared" si="89"/>
        <v>-74.189353126987839</v>
      </c>
      <c r="AJ94" s="586">
        <f t="shared" si="90"/>
        <v>-173.33990742521041</v>
      </c>
      <c r="AK94" s="635">
        <f t="shared" si="211"/>
        <v>0.91979915145599545</v>
      </c>
      <c r="AL94" s="629">
        <f t="shared" si="91"/>
        <v>-0.28237491038867757</v>
      </c>
      <c r="AM94" s="634">
        <f t="shared" si="92"/>
        <v>-0.27245904456232906</v>
      </c>
      <c r="AN94" s="581">
        <f t="shared" si="93"/>
        <v>-46.023868097589066</v>
      </c>
      <c r="AO94" s="582">
        <f t="shared" si="463"/>
        <v>23.103263107855689</v>
      </c>
      <c r="AP94" s="585">
        <f t="shared" si="95"/>
        <v>-17.06629100515217</v>
      </c>
      <c r="AQ94" s="586">
        <f t="shared" si="474"/>
        <v>0.40075284867773453</v>
      </c>
      <c r="AS94" s="52">
        <f t="shared" si="546"/>
        <v>-246.27361642005823</v>
      </c>
      <c r="AT94" s="73">
        <f t="shared" si="475"/>
        <v>-0.55197883583842478</v>
      </c>
      <c r="AU94" s="469"/>
      <c r="AV94" s="168" t="str">
        <f t="shared" si="476"/>
        <v/>
      </c>
      <c r="AW94" s="418"/>
      <c r="AX94" s="419"/>
      <c r="AY94" s="420"/>
      <c r="AZ94" s="308" t="str">
        <f t="shared" si="547"/>
        <v/>
      </c>
      <c r="BA94" s="307" t="str">
        <f t="shared" si="477"/>
        <v/>
      </c>
      <c r="BB94" s="181" t="str">
        <f t="shared" si="524"/>
        <v/>
      </c>
      <c r="BC94" s="9"/>
      <c r="BD94" s="5" t="str">
        <f t="shared" si="525"/>
        <v/>
      </c>
      <c r="BE94" s="6" t="str">
        <f t="shared" si="478"/>
        <v/>
      </c>
      <c r="BF94" s="4" t="str">
        <f t="shared" si="479"/>
        <v/>
      </c>
      <c r="BG94" s="5" t="str">
        <f t="shared" si="480"/>
        <v/>
      </c>
      <c r="BH94" s="10" t="str">
        <f t="shared" si="481"/>
        <v/>
      </c>
      <c r="BI94" s="9" t="str">
        <f t="shared" si="548"/>
        <v/>
      </c>
      <c r="BJ94" s="5" t="str">
        <f t="shared" si="482"/>
        <v/>
      </c>
      <c r="BK94" s="8" t="str">
        <f t="shared" si="483"/>
        <v/>
      </c>
      <c r="BL94" s="177" t="str">
        <f t="shared" si="484"/>
        <v/>
      </c>
      <c r="BM94" s="5" t="str">
        <f t="shared" si="485"/>
        <v/>
      </c>
      <c r="BN94" s="6" t="str">
        <f t="shared" si="486"/>
        <v/>
      </c>
      <c r="BO94" s="4" t="str">
        <f t="shared" si="549"/>
        <v/>
      </c>
      <c r="BP94" s="5" t="str">
        <f t="shared" si="550"/>
        <v/>
      </c>
      <c r="BQ94" s="5" t="str">
        <f t="shared" si="551"/>
        <v/>
      </c>
      <c r="BR94" s="6" t="str">
        <f t="shared" si="552"/>
        <v/>
      </c>
      <c r="BS94" s="4" t="str">
        <f t="shared" si="526"/>
        <v/>
      </c>
      <c r="BT94" s="5" t="str">
        <f t="shared" si="526"/>
        <v/>
      </c>
      <c r="BU94" s="10" t="str">
        <f t="shared" si="527"/>
        <v/>
      </c>
      <c r="BV94" s="9" t="str">
        <f t="shared" si="528"/>
        <v/>
      </c>
      <c r="BW94" s="5" t="str">
        <f t="shared" si="529"/>
        <v/>
      </c>
      <c r="BX94" s="8" t="str">
        <f t="shared" si="530"/>
        <v/>
      </c>
      <c r="BY94" s="177" t="str">
        <f t="shared" si="531"/>
        <v/>
      </c>
      <c r="BZ94" s="5" t="str">
        <f t="shared" si="532"/>
        <v/>
      </c>
      <c r="CA94" s="6" t="str">
        <f t="shared" si="533"/>
        <v/>
      </c>
      <c r="CB94" s="4" t="str">
        <f t="shared" si="553"/>
        <v/>
      </c>
      <c r="CC94" s="5" t="str">
        <f t="shared" si="554"/>
        <v/>
      </c>
      <c r="CD94" s="5" t="str">
        <f t="shared" si="555"/>
        <v/>
      </c>
      <c r="CE94" s="6" t="str">
        <f t="shared" si="556"/>
        <v/>
      </c>
      <c r="CF94" s="4" t="str">
        <f t="shared" si="557"/>
        <v/>
      </c>
      <c r="CG94" s="5" t="str">
        <f t="shared" si="558"/>
        <v/>
      </c>
      <c r="CH94" s="5" t="str">
        <f t="shared" si="559"/>
        <v/>
      </c>
      <c r="CI94" s="4" t="str">
        <f t="shared" si="534"/>
        <v/>
      </c>
      <c r="CJ94" s="5" t="str">
        <f t="shared" si="535"/>
        <v/>
      </c>
      <c r="CK94" s="8" t="str">
        <f t="shared" si="536"/>
        <v/>
      </c>
      <c r="CL94" s="177" t="str">
        <f t="shared" si="537"/>
        <v/>
      </c>
      <c r="CM94" s="5" t="str">
        <f t="shared" si="538"/>
        <v/>
      </c>
      <c r="CN94" s="6" t="str">
        <f t="shared" si="539"/>
        <v/>
      </c>
      <c r="CO94" s="171" t="str">
        <f t="shared" si="487"/>
        <v/>
      </c>
      <c r="CP94" s="4" t="str">
        <f t="shared" si="560"/>
        <v/>
      </c>
      <c r="CQ94" s="5" t="str">
        <f t="shared" si="561"/>
        <v/>
      </c>
      <c r="CR94" s="5" t="str">
        <f t="shared" si="562"/>
        <v/>
      </c>
      <c r="CS94" s="8" t="str">
        <f t="shared" si="563"/>
        <v/>
      </c>
      <c r="CT94" s="9" t="str">
        <f t="shared" si="564"/>
        <v/>
      </c>
      <c r="CU94" s="6" t="str">
        <f t="shared" si="565"/>
        <v/>
      </c>
      <c r="CV94" s="4" t="str">
        <f t="shared" si="566"/>
        <v/>
      </c>
      <c r="CW94" s="5" t="str">
        <f t="shared" si="567"/>
        <v/>
      </c>
      <c r="CX94" s="8" t="str">
        <f t="shared" si="568"/>
        <v/>
      </c>
      <c r="CY94" s="9" t="str">
        <f t="shared" si="569"/>
        <v/>
      </c>
      <c r="CZ94" s="5" t="str">
        <f t="shared" si="570"/>
        <v/>
      </c>
      <c r="DA94" s="6" t="str">
        <f t="shared" si="571"/>
        <v/>
      </c>
      <c r="DB94" s="4" t="str">
        <f t="shared" si="572"/>
        <v/>
      </c>
      <c r="DC94" s="5" t="str">
        <f t="shared" si="572"/>
        <v/>
      </c>
      <c r="DD94" s="10" t="str">
        <f t="shared" si="573"/>
        <v/>
      </c>
      <c r="DE94" s="9" t="str">
        <f t="shared" si="574"/>
        <v/>
      </c>
      <c r="DF94" s="5" t="str">
        <f t="shared" si="574"/>
        <v/>
      </c>
      <c r="DG94" s="10" t="str">
        <f t="shared" si="575"/>
        <v/>
      </c>
      <c r="DH94" s="72" t="str">
        <f t="shared" si="576"/>
        <v/>
      </c>
      <c r="DI94" s="4" t="str">
        <f t="shared" si="577"/>
        <v/>
      </c>
      <c r="DJ94" s="5" t="str">
        <f t="shared" si="578"/>
        <v/>
      </c>
      <c r="DK94" s="10" t="str">
        <f t="shared" si="579"/>
        <v/>
      </c>
      <c r="DL94" s="9" t="str">
        <f t="shared" si="580"/>
        <v/>
      </c>
      <c r="DM94" s="177" t="str">
        <f t="shared" si="581"/>
        <v/>
      </c>
      <c r="DN94" s="182" t="str">
        <f t="shared" si="582"/>
        <v/>
      </c>
      <c r="DO94" s="9" t="str">
        <f t="shared" si="583"/>
        <v/>
      </c>
      <c r="DP94" s="177" t="str">
        <f t="shared" si="584"/>
        <v/>
      </c>
      <c r="DQ94" s="11" t="str">
        <f t="shared" si="585"/>
        <v/>
      </c>
      <c r="DR94" s="177" t="str">
        <f t="shared" si="586"/>
        <v/>
      </c>
      <c r="DS94" s="5" t="str">
        <f t="shared" si="587"/>
        <v/>
      </c>
      <c r="DT94" s="5" t="str">
        <f t="shared" si="588"/>
        <v/>
      </c>
      <c r="DU94" s="5" t="str">
        <f t="shared" si="589"/>
        <v/>
      </c>
      <c r="DV94" s="5" t="str">
        <f t="shared" si="590"/>
        <v/>
      </c>
      <c r="DW94" s="5" t="str">
        <f t="shared" si="591"/>
        <v/>
      </c>
      <c r="DX94" s="171" t="str">
        <f t="shared" si="592"/>
        <v/>
      </c>
      <c r="DY94" s="9" t="str">
        <f t="shared" si="593"/>
        <v/>
      </c>
      <c r="DZ94" s="5" t="str">
        <f t="shared" si="594"/>
        <v/>
      </c>
      <c r="EA94" s="10" t="str">
        <f t="shared" si="595"/>
        <v/>
      </c>
      <c r="EB94" s="6" t="str">
        <f t="shared" si="596"/>
        <v/>
      </c>
      <c r="EC94" s="177" t="str">
        <f t="shared" si="597"/>
        <v/>
      </c>
      <c r="ED94" s="5" t="str">
        <f t="shared" si="598"/>
        <v/>
      </c>
      <c r="EE94" s="4" t="str">
        <f t="shared" si="599"/>
        <v/>
      </c>
      <c r="EF94" s="5" t="str">
        <f t="shared" si="600"/>
        <v/>
      </c>
      <c r="EG94" s="10" t="str">
        <f t="shared" si="601"/>
        <v/>
      </c>
      <c r="EH94" s="9" t="str">
        <f t="shared" si="602"/>
        <v/>
      </c>
      <c r="EI94" s="5" t="str">
        <f t="shared" si="603"/>
        <v/>
      </c>
      <c r="EJ94" s="6" t="str">
        <f t="shared" si="604"/>
        <v/>
      </c>
      <c r="EK94" s="247" t="str">
        <f t="shared" si="605"/>
        <v/>
      </c>
      <c r="EL94" s="249" t="str">
        <f t="shared" si="606"/>
        <v/>
      </c>
      <c r="EM94" s="4" t="str">
        <f t="shared" si="607"/>
        <v/>
      </c>
      <c r="EN94" s="5" t="str">
        <f t="shared" si="608"/>
        <v/>
      </c>
      <c r="EO94" s="10" t="str">
        <f t="shared" si="609"/>
        <v/>
      </c>
      <c r="EP94" s="9" t="str">
        <f t="shared" si="610"/>
        <v/>
      </c>
      <c r="EQ94" s="5" t="str">
        <f t="shared" si="611"/>
        <v/>
      </c>
      <c r="ER94" s="7" t="str">
        <f t="shared" si="612"/>
        <v/>
      </c>
      <c r="ES94" s="21" t="str">
        <f t="shared" si="488"/>
        <v/>
      </c>
      <c r="ET94" s="5" t="str">
        <f t="shared" si="489"/>
        <v/>
      </c>
      <c r="EU94" s="10" t="str">
        <f t="shared" si="490"/>
        <v/>
      </c>
      <c r="EV94" s="178" t="str">
        <f t="shared" si="491"/>
        <v/>
      </c>
      <c r="EW94" s="9" t="str">
        <f t="shared" si="492"/>
        <v/>
      </c>
      <c r="EX94" s="5" t="str">
        <f t="shared" si="493"/>
        <v/>
      </c>
      <c r="EY94" s="6" t="str">
        <f t="shared" si="613"/>
        <v/>
      </c>
      <c r="EZ94" s="52" t="str">
        <f t="shared" si="614"/>
        <v/>
      </c>
      <c r="FA94" s="177" t="str">
        <f t="shared" si="494"/>
        <v/>
      </c>
      <c r="FB94" s="5" t="str">
        <f t="shared" si="495"/>
        <v/>
      </c>
      <c r="FC94" s="6" t="str">
        <f t="shared" si="496"/>
        <v/>
      </c>
      <c r="FD94" s="4" t="str">
        <f t="shared" si="497"/>
        <v/>
      </c>
      <c r="FE94" s="5" t="str">
        <f t="shared" si="498"/>
        <v/>
      </c>
      <c r="FF94" s="7" t="str">
        <f t="shared" si="615"/>
        <v/>
      </c>
      <c r="FG94" s="177" t="str">
        <f t="shared" si="499"/>
        <v/>
      </c>
      <c r="FH94" s="5" t="str">
        <f t="shared" si="500"/>
        <v/>
      </c>
      <c r="FI94" s="10" t="str">
        <f t="shared" si="501"/>
        <v/>
      </c>
      <c r="FJ94" s="290" t="str">
        <f t="shared" si="616"/>
        <v/>
      </c>
      <c r="FK94" s="4" t="str">
        <f t="shared" si="502"/>
        <v/>
      </c>
      <c r="FL94" s="5" t="str">
        <f t="shared" si="540"/>
        <v/>
      </c>
      <c r="FM94" s="8" t="str">
        <f t="shared" si="541"/>
        <v/>
      </c>
      <c r="FN94" s="9" t="str">
        <f t="shared" si="542"/>
        <v/>
      </c>
      <c r="FO94" s="10" t="str">
        <f t="shared" si="503"/>
        <v/>
      </c>
      <c r="FP94" s="288" t="str">
        <f t="shared" si="543"/>
        <v/>
      </c>
      <c r="FQ94" s="177" t="str">
        <f t="shared" si="617"/>
        <v/>
      </c>
      <c r="FR94" s="10" t="str">
        <f t="shared" si="618"/>
        <v/>
      </c>
      <c r="FS94" s="9" t="str">
        <f t="shared" si="619"/>
        <v/>
      </c>
      <c r="FT94" s="6" t="str">
        <f t="shared" si="620"/>
        <v/>
      </c>
      <c r="FU94" s="4" t="str">
        <f t="shared" si="621"/>
        <v/>
      </c>
      <c r="FV94" s="5" t="str">
        <f t="shared" si="622"/>
        <v/>
      </c>
      <c r="FW94" s="8" t="str">
        <f t="shared" si="623"/>
        <v/>
      </c>
      <c r="FX94" s="9" t="str">
        <f t="shared" si="624"/>
        <v/>
      </c>
      <c r="FY94" s="10" t="str">
        <f t="shared" si="504"/>
        <v/>
      </c>
      <c r="FZ94" s="288" t="str">
        <f t="shared" si="625"/>
        <v/>
      </c>
      <c r="GA94" s="181" t="str">
        <f t="shared" si="626"/>
        <v/>
      </c>
      <c r="GB94" s="4" t="str">
        <f t="shared" si="627"/>
        <v/>
      </c>
      <c r="GC94" s="5" t="str">
        <f t="shared" si="628"/>
        <v/>
      </c>
      <c r="GD94" s="10" t="str">
        <f t="shared" si="629"/>
        <v/>
      </c>
      <c r="GE94" s="324" t="str">
        <f t="shared" si="630"/>
        <v/>
      </c>
      <c r="GF94" s="362" t="str">
        <f t="shared" si="631"/>
        <v/>
      </c>
      <c r="GG94" s="296" t="str">
        <f t="shared" si="505"/>
        <v/>
      </c>
      <c r="GH94" s="297" t="str">
        <f t="shared" si="506"/>
        <v/>
      </c>
      <c r="GI94" s="292" t="str">
        <f t="shared" si="507"/>
        <v/>
      </c>
      <c r="GJ94" s="171" t="str">
        <f t="shared" si="632"/>
        <v/>
      </c>
      <c r="GK94" s="178" t="str">
        <f t="shared" si="508"/>
        <v/>
      </c>
      <c r="GL94" s="178" t="str">
        <f t="shared" si="633"/>
        <v/>
      </c>
      <c r="GM94" s="181" t="str">
        <f t="shared" si="634"/>
        <v/>
      </c>
      <c r="GN94" s="291" t="str">
        <f t="shared" si="635"/>
        <v/>
      </c>
      <c r="GO94" s="4" t="str">
        <f t="shared" si="636"/>
        <v/>
      </c>
      <c r="GP94" s="8" t="str">
        <f t="shared" si="637"/>
        <v/>
      </c>
      <c r="GQ94" s="181" t="str">
        <f t="shared" si="638"/>
        <v/>
      </c>
      <c r="GR94" s="417" t="str">
        <f t="shared" si="639"/>
        <v/>
      </c>
      <c r="GS94" s="363" t="str">
        <f t="shared" si="509"/>
        <v/>
      </c>
      <c r="GT94" s="364" t="str">
        <f t="shared" si="510"/>
        <v/>
      </c>
      <c r="GU94" s="365" t="str">
        <f t="shared" si="511"/>
        <v/>
      </c>
      <c r="GV94" s="364" t="str">
        <f t="shared" si="640"/>
        <v/>
      </c>
      <c r="GW94" s="366" t="str">
        <f t="shared" si="512"/>
        <v/>
      </c>
      <c r="GX94" s="367" t="str">
        <f t="shared" si="513"/>
        <v/>
      </c>
      <c r="GY94" s="365" t="str">
        <f t="shared" si="514"/>
        <v/>
      </c>
      <c r="GZ94" s="366" t="str">
        <f t="shared" si="515"/>
        <v/>
      </c>
      <c r="HA94" s="363" t="str">
        <f t="shared" si="516"/>
        <v/>
      </c>
      <c r="HB94" s="5" t="str">
        <f t="shared" si="641"/>
        <v/>
      </c>
      <c r="HC94" s="364" t="str">
        <f t="shared" si="642"/>
        <v/>
      </c>
      <c r="HD94" s="405" t="str">
        <f t="shared" si="643"/>
        <v/>
      </c>
      <c r="HE94" s="365" t="str">
        <f t="shared" si="517"/>
        <v/>
      </c>
      <c r="HF94" s="5" t="str">
        <f t="shared" si="518"/>
        <v/>
      </c>
      <c r="HG94" s="364" t="str">
        <f t="shared" si="644"/>
        <v/>
      </c>
      <c r="HH94" s="370" t="str">
        <f t="shared" si="645"/>
        <v/>
      </c>
      <c r="HI94" s="335" t="str">
        <f t="shared" si="519"/>
        <v/>
      </c>
      <c r="HK94" s="323" t="str">
        <f t="shared" si="238"/>
        <v/>
      </c>
      <c r="HL94" s="322" t="str">
        <f t="shared" si="544"/>
        <v/>
      </c>
      <c r="HM94" s="369" t="str">
        <f t="shared" si="661"/>
        <v/>
      </c>
      <c r="HN94" s="384" t="str">
        <f t="shared" si="661"/>
        <v/>
      </c>
      <c r="HO94" s="385" t="str">
        <f t="shared" si="661"/>
        <v/>
      </c>
      <c r="HP94" s="380" t="str">
        <f t="shared" si="661"/>
        <v/>
      </c>
      <c r="HQ94" s="384" t="str">
        <f t="shared" si="661"/>
        <v/>
      </c>
      <c r="HR94" s="395" t="str">
        <f t="shared" si="661"/>
        <v/>
      </c>
      <c r="HS94" s="379" t="str">
        <f t="shared" si="661"/>
        <v/>
      </c>
      <c r="HT94" s="374" t="str">
        <f t="shared" si="661"/>
        <v/>
      </c>
      <c r="HU94" s="375" t="str">
        <f t="shared" si="661"/>
        <v/>
      </c>
      <c r="HV94" s="376" t="str">
        <f t="shared" si="661"/>
        <v/>
      </c>
      <c r="HW94" s="374" t="str">
        <f t="shared" si="661"/>
        <v/>
      </c>
      <c r="HX94" s="375" t="str">
        <f t="shared" si="661"/>
        <v/>
      </c>
      <c r="HY94" s="376" t="str">
        <f t="shared" si="661"/>
        <v/>
      </c>
      <c r="HZ94" s="374" t="str">
        <f t="shared" si="661"/>
        <v/>
      </c>
      <c r="IA94" s="375" t="str">
        <f t="shared" si="661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6"/>
        <v>5.1349999999999998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5"/>
        <v>1613</v>
      </c>
      <c r="IK94" s="533" t="str">
        <f t="shared" si="520"/>
        <v/>
      </c>
      <c r="IL94" s="727" t="str">
        <f t="shared" si="651"/>
        <v/>
      </c>
      <c r="IM94" s="759"/>
      <c r="IN94" s="5" t="str">
        <f t="shared" si="652"/>
        <v/>
      </c>
      <c r="IO94" s="771"/>
      <c r="IP94" s="9" t="str">
        <f t="shared" si="653"/>
        <v/>
      </c>
      <c r="IQ94" s="5" t="str">
        <f t="shared" si="654"/>
        <v/>
      </c>
      <c r="IR94" s="5" t="str">
        <f t="shared" si="521"/>
        <v/>
      </c>
      <c r="IS94" s="5" t="str">
        <f t="shared" si="655"/>
        <v/>
      </c>
      <c r="IT94" s="727" t="str">
        <f t="shared" si="656"/>
        <v/>
      </c>
      <c r="IU94" s="9" t="str">
        <f t="shared" si="657"/>
        <v/>
      </c>
      <c r="IV94" s="5" t="str">
        <f t="shared" si="658"/>
        <v/>
      </c>
      <c r="IW94" s="5" t="str">
        <f t="shared" si="522"/>
        <v/>
      </c>
      <c r="IX94" s="5" t="str">
        <f t="shared" si="659"/>
        <v/>
      </c>
      <c r="IY94" s="762" t="str">
        <f t="shared" si="660"/>
        <v/>
      </c>
    </row>
    <row r="95" spans="1:259" ht="15" customHeight="1" x14ac:dyDescent="0.25">
      <c r="A95" s="79"/>
      <c r="B95" s="707">
        <v>-5.7328410912370931</v>
      </c>
      <c r="C95" s="708">
        <v>-2.4472017246614661</v>
      </c>
      <c r="D95" s="709">
        <v>-1.2527037781545944</v>
      </c>
      <c r="E95" s="710">
        <v>1.9450982470756162E-3</v>
      </c>
      <c r="F95" s="708">
        <v>-0.9718809879533894</v>
      </c>
      <c r="G95" s="711">
        <v>0.23546456601270863</v>
      </c>
      <c r="H95" s="710">
        <v>0.314</v>
      </c>
      <c r="I95" s="708">
        <v>0.52</v>
      </c>
      <c r="J95" s="570">
        <v>5.141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7"/>
        <v>5.141</v>
      </c>
      <c r="N95" s="632">
        <f t="shared" si="468"/>
        <v>-5.7328410912370931</v>
      </c>
      <c r="O95" s="629">
        <f t="shared" si="469"/>
        <v>-2.4472017246614661</v>
      </c>
      <c r="P95" s="633">
        <f t="shared" si="470"/>
        <v>-1.2527037781545944</v>
      </c>
      <c r="Q95" s="585">
        <f t="shared" si="523"/>
        <v>203.11638366801489</v>
      </c>
      <c r="R95" s="629">
        <f t="shared" si="79"/>
        <v>6.233318799689501</v>
      </c>
      <c r="S95" s="634">
        <f t="shared" si="80"/>
        <v>-1.2527037781545944</v>
      </c>
      <c r="T95" s="635">
        <f t="shared" si="81"/>
        <v>-2.4472017246614666</v>
      </c>
      <c r="U95" s="629">
        <f t="shared" si="82"/>
        <v>5.7328410912370931</v>
      </c>
      <c r="V95" s="636">
        <f t="shared" si="114"/>
        <v>-1.2527037781545944</v>
      </c>
      <c r="W95" s="585">
        <f t="shared" si="648"/>
        <v>113.11638366801489</v>
      </c>
      <c r="X95" s="629">
        <f t="shared" si="83"/>
        <v>6.233318799689501</v>
      </c>
      <c r="Y95" s="630">
        <f t="shared" si="647"/>
        <v>-1.2527037781545944</v>
      </c>
      <c r="Z95" s="632">
        <f t="shared" si="471"/>
        <v>-1.9450982470756162E-3</v>
      </c>
      <c r="AA95" s="629">
        <f t="shared" si="472"/>
        <v>0.9718809879533894</v>
      </c>
      <c r="AB95" s="629">
        <f t="shared" si="473"/>
        <v>-0.23546456601270863</v>
      </c>
      <c r="AC95" s="636">
        <f t="shared" si="84"/>
        <v>1</v>
      </c>
      <c r="AD95" s="637">
        <f t="shared" si="115"/>
        <v>-1.9450982470756162E-3</v>
      </c>
      <c r="AE95" s="629">
        <f t="shared" si="85"/>
        <v>0.9718809879533894</v>
      </c>
      <c r="AF95" s="633">
        <f t="shared" si="86"/>
        <v>-0.23546456601270863</v>
      </c>
      <c r="AG95" s="602">
        <f t="shared" si="87"/>
        <v>76.380964816517036</v>
      </c>
      <c r="AH95" s="603">
        <f t="shared" si="88"/>
        <v>90.111445990570061</v>
      </c>
      <c r="AI95" s="585">
        <f t="shared" si="89"/>
        <v>-76.380991076145861</v>
      </c>
      <c r="AJ95" s="586">
        <f t="shared" si="90"/>
        <v>-179.88532981622387</v>
      </c>
      <c r="AK95" s="635">
        <f t="shared" si="211"/>
        <v>0.89461160106137183</v>
      </c>
      <c r="AL95" s="629">
        <f t="shared" si="91"/>
        <v>-0.37977167008461288</v>
      </c>
      <c r="AM95" s="634">
        <f t="shared" si="92"/>
        <v>-0.23546456601270863</v>
      </c>
      <c r="AN95" s="581">
        <f t="shared" si="93"/>
        <v>-58.200419084888416</v>
      </c>
      <c r="AO95" s="582">
        <f t="shared" si="463"/>
        <v>26.541415314668967</v>
      </c>
      <c r="AP95" s="585">
        <f t="shared" si="95"/>
        <v>-23.001713484238746</v>
      </c>
      <c r="AQ95" s="586">
        <f t="shared" si="474"/>
        <v>0.36572743075757136</v>
      </c>
      <c r="AS95" s="52">
        <f t="shared" si="546"/>
        <v>-246.88361633198511</v>
      </c>
      <c r="AT95" s="73">
        <f t="shared" si="475"/>
        <v>-1.0812568223684937</v>
      </c>
      <c r="AU95" s="469"/>
      <c r="AV95" s="168" t="str">
        <f t="shared" si="476"/>
        <v/>
      </c>
      <c r="AW95" s="418"/>
      <c r="AX95" s="419"/>
      <c r="AY95" s="420"/>
      <c r="AZ95" s="308" t="str">
        <f t="shared" si="547"/>
        <v/>
      </c>
      <c r="BA95" s="307" t="str">
        <f t="shared" si="477"/>
        <v/>
      </c>
      <c r="BB95" s="181" t="str">
        <f t="shared" si="524"/>
        <v/>
      </c>
      <c r="BC95" s="9"/>
      <c r="BD95" s="5" t="str">
        <f t="shared" si="525"/>
        <v/>
      </c>
      <c r="BE95" s="6" t="str">
        <f t="shared" si="478"/>
        <v/>
      </c>
      <c r="BF95" s="4" t="str">
        <f t="shared" si="479"/>
        <v/>
      </c>
      <c r="BG95" s="5" t="str">
        <f t="shared" si="480"/>
        <v/>
      </c>
      <c r="BH95" s="10" t="str">
        <f t="shared" si="481"/>
        <v/>
      </c>
      <c r="BI95" s="9" t="str">
        <f t="shared" si="548"/>
        <v/>
      </c>
      <c r="BJ95" s="5" t="str">
        <f t="shared" si="482"/>
        <v/>
      </c>
      <c r="BK95" s="8" t="str">
        <f t="shared" si="483"/>
        <v/>
      </c>
      <c r="BL95" s="177" t="str">
        <f t="shared" si="484"/>
        <v/>
      </c>
      <c r="BM95" s="5" t="str">
        <f t="shared" si="485"/>
        <v/>
      </c>
      <c r="BN95" s="6" t="str">
        <f t="shared" si="486"/>
        <v/>
      </c>
      <c r="BO95" s="4" t="str">
        <f t="shared" si="549"/>
        <v/>
      </c>
      <c r="BP95" s="5" t="str">
        <f t="shared" si="550"/>
        <v/>
      </c>
      <c r="BQ95" s="5" t="str">
        <f t="shared" si="551"/>
        <v/>
      </c>
      <c r="BR95" s="6" t="str">
        <f t="shared" si="552"/>
        <v/>
      </c>
      <c r="BS95" s="4" t="str">
        <f t="shared" si="526"/>
        <v/>
      </c>
      <c r="BT95" s="5" t="str">
        <f t="shared" si="526"/>
        <v/>
      </c>
      <c r="BU95" s="10" t="str">
        <f t="shared" si="527"/>
        <v/>
      </c>
      <c r="BV95" s="9" t="str">
        <f t="shared" si="528"/>
        <v/>
      </c>
      <c r="BW95" s="5" t="str">
        <f t="shared" si="529"/>
        <v/>
      </c>
      <c r="BX95" s="8" t="str">
        <f t="shared" si="530"/>
        <v/>
      </c>
      <c r="BY95" s="177" t="str">
        <f t="shared" si="531"/>
        <v/>
      </c>
      <c r="BZ95" s="5" t="str">
        <f t="shared" si="532"/>
        <v/>
      </c>
      <c r="CA95" s="6" t="str">
        <f t="shared" si="533"/>
        <v/>
      </c>
      <c r="CB95" s="4" t="str">
        <f t="shared" si="553"/>
        <v/>
      </c>
      <c r="CC95" s="5" t="str">
        <f t="shared" si="554"/>
        <v/>
      </c>
      <c r="CD95" s="5" t="str">
        <f t="shared" si="555"/>
        <v/>
      </c>
      <c r="CE95" s="6" t="str">
        <f t="shared" si="556"/>
        <v/>
      </c>
      <c r="CF95" s="4" t="str">
        <f t="shared" si="557"/>
        <v/>
      </c>
      <c r="CG95" s="5" t="str">
        <f t="shared" si="558"/>
        <v/>
      </c>
      <c r="CH95" s="5" t="str">
        <f t="shared" si="559"/>
        <v/>
      </c>
      <c r="CI95" s="4" t="str">
        <f t="shared" si="534"/>
        <v/>
      </c>
      <c r="CJ95" s="5" t="str">
        <f t="shared" si="535"/>
        <v/>
      </c>
      <c r="CK95" s="8" t="str">
        <f t="shared" si="536"/>
        <v/>
      </c>
      <c r="CL95" s="177" t="str">
        <f t="shared" si="537"/>
        <v/>
      </c>
      <c r="CM95" s="5" t="str">
        <f t="shared" si="538"/>
        <v/>
      </c>
      <c r="CN95" s="6" t="str">
        <f t="shared" si="539"/>
        <v/>
      </c>
      <c r="CO95" s="171" t="str">
        <f t="shared" si="487"/>
        <v/>
      </c>
      <c r="CP95" s="4" t="str">
        <f t="shared" si="560"/>
        <v/>
      </c>
      <c r="CQ95" s="5" t="str">
        <f t="shared" si="561"/>
        <v/>
      </c>
      <c r="CR95" s="5" t="str">
        <f t="shared" si="562"/>
        <v/>
      </c>
      <c r="CS95" s="8" t="str">
        <f t="shared" si="563"/>
        <v/>
      </c>
      <c r="CT95" s="9" t="str">
        <f t="shared" si="564"/>
        <v/>
      </c>
      <c r="CU95" s="6" t="str">
        <f t="shared" si="565"/>
        <v/>
      </c>
      <c r="CV95" s="4" t="str">
        <f t="shared" si="566"/>
        <v/>
      </c>
      <c r="CW95" s="5" t="str">
        <f t="shared" si="567"/>
        <v/>
      </c>
      <c r="CX95" s="8" t="str">
        <f t="shared" si="568"/>
        <v/>
      </c>
      <c r="CY95" s="9" t="str">
        <f t="shared" si="569"/>
        <v/>
      </c>
      <c r="CZ95" s="5" t="str">
        <f t="shared" si="570"/>
        <v/>
      </c>
      <c r="DA95" s="6" t="str">
        <f t="shared" si="571"/>
        <v/>
      </c>
      <c r="DB95" s="4" t="str">
        <f t="shared" si="572"/>
        <v/>
      </c>
      <c r="DC95" s="5" t="str">
        <f t="shared" si="572"/>
        <v/>
      </c>
      <c r="DD95" s="10" t="str">
        <f t="shared" si="573"/>
        <v/>
      </c>
      <c r="DE95" s="9" t="str">
        <f t="shared" si="574"/>
        <v/>
      </c>
      <c r="DF95" s="5" t="str">
        <f t="shared" si="574"/>
        <v/>
      </c>
      <c r="DG95" s="10" t="str">
        <f t="shared" si="575"/>
        <v/>
      </c>
      <c r="DH95" s="72" t="str">
        <f t="shared" si="576"/>
        <v/>
      </c>
      <c r="DI95" s="4" t="str">
        <f t="shared" si="577"/>
        <v/>
      </c>
      <c r="DJ95" s="5" t="str">
        <f t="shared" si="578"/>
        <v/>
      </c>
      <c r="DK95" s="10" t="str">
        <f t="shared" si="579"/>
        <v/>
      </c>
      <c r="DL95" s="9" t="str">
        <f t="shared" si="580"/>
        <v/>
      </c>
      <c r="DM95" s="177" t="str">
        <f t="shared" si="581"/>
        <v/>
      </c>
      <c r="DN95" s="182" t="str">
        <f t="shared" si="582"/>
        <v/>
      </c>
      <c r="DO95" s="9" t="str">
        <f t="shared" si="583"/>
        <v/>
      </c>
      <c r="DP95" s="177" t="str">
        <f t="shared" si="584"/>
        <v/>
      </c>
      <c r="DQ95" s="11" t="str">
        <f t="shared" si="585"/>
        <v/>
      </c>
      <c r="DR95" s="177" t="str">
        <f t="shared" si="586"/>
        <v/>
      </c>
      <c r="DS95" s="5" t="str">
        <f t="shared" si="587"/>
        <v/>
      </c>
      <c r="DT95" s="5" t="str">
        <f t="shared" si="588"/>
        <v/>
      </c>
      <c r="DU95" s="5" t="str">
        <f t="shared" si="589"/>
        <v/>
      </c>
      <c r="DV95" s="5" t="str">
        <f t="shared" si="590"/>
        <v/>
      </c>
      <c r="DW95" s="5" t="str">
        <f t="shared" si="591"/>
        <v/>
      </c>
      <c r="DX95" s="171" t="str">
        <f t="shared" si="592"/>
        <v/>
      </c>
      <c r="DY95" s="9" t="str">
        <f t="shared" si="593"/>
        <v/>
      </c>
      <c r="DZ95" s="5" t="str">
        <f t="shared" si="594"/>
        <v/>
      </c>
      <c r="EA95" s="10" t="str">
        <f t="shared" si="595"/>
        <v/>
      </c>
      <c r="EB95" s="6" t="str">
        <f t="shared" si="596"/>
        <v/>
      </c>
      <c r="EC95" s="177" t="str">
        <f t="shared" si="597"/>
        <v/>
      </c>
      <c r="ED95" s="5" t="str">
        <f t="shared" si="598"/>
        <v/>
      </c>
      <c r="EE95" s="4" t="str">
        <f t="shared" si="599"/>
        <v/>
      </c>
      <c r="EF95" s="5" t="str">
        <f t="shared" si="600"/>
        <v/>
      </c>
      <c r="EG95" s="10" t="str">
        <f t="shared" si="601"/>
        <v/>
      </c>
      <c r="EH95" s="9" t="str">
        <f t="shared" si="602"/>
        <v/>
      </c>
      <c r="EI95" s="5" t="str">
        <f t="shared" si="603"/>
        <v/>
      </c>
      <c r="EJ95" s="6" t="str">
        <f t="shared" si="604"/>
        <v/>
      </c>
      <c r="EK95" s="247" t="str">
        <f t="shared" si="605"/>
        <v/>
      </c>
      <c r="EL95" s="249" t="str">
        <f t="shared" si="606"/>
        <v/>
      </c>
      <c r="EM95" s="4" t="str">
        <f t="shared" si="607"/>
        <v/>
      </c>
      <c r="EN95" s="5" t="str">
        <f t="shared" si="608"/>
        <v/>
      </c>
      <c r="EO95" s="10" t="str">
        <f t="shared" si="609"/>
        <v/>
      </c>
      <c r="EP95" s="9" t="str">
        <f t="shared" si="610"/>
        <v/>
      </c>
      <c r="EQ95" s="5" t="str">
        <f t="shared" si="611"/>
        <v/>
      </c>
      <c r="ER95" s="7" t="str">
        <f t="shared" si="612"/>
        <v/>
      </c>
      <c r="ES95" s="21" t="str">
        <f t="shared" si="488"/>
        <v/>
      </c>
      <c r="ET95" s="5" t="str">
        <f t="shared" si="489"/>
        <v/>
      </c>
      <c r="EU95" s="10" t="str">
        <f t="shared" si="490"/>
        <v/>
      </c>
      <c r="EV95" s="178" t="str">
        <f t="shared" si="491"/>
        <v/>
      </c>
      <c r="EW95" s="9" t="str">
        <f t="shared" si="492"/>
        <v/>
      </c>
      <c r="EX95" s="5" t="str">
        <f t="shared" si="493"/>
        <v/>
      </c>
      <c r="EY95" s="6" t="str">
        <f t="shared" si="613"/>
        <v/>
      </c>
      <c r="EZ95" s="52" t="str">
        <f t="shared" si="614"/>
        <v/>
      </c>
      <c r="FA95" s="177" t="str">
        <f t="shared" si="494"/>
        <v/>
      </c>
      <c r="FB95" s="5" t="str">
        <f t="shared" si="495"/>
        <v/>
      </c>
      <c r="FC95" s="6" t="str">
        <f t="shared" si="496"/>
        <v/>
      </c>
      <c r="FD95" s="4" t="str">
        <f t="shared" si="497"/>
        <v/>
      </c>
      <c r="FE95" s="5" t="str">
        <f t="shared" si="498"/>
        <v/>
      </c>
      <c r="FF95" s="7" t="str">
        <f t="shared" si="615"/>
        <v/>
      </c>
      <c r="FG95" s="177" t="str">
        <f t="shared" si="499"/>
        <v/>
      </c>
      <c r="FH95" s="5" t="str">
        <f t="shared" si="500"/>
        <v/>
      </c>
      <c r="FI95" s="10" t="str">
        <f t="shared" si="501"/>
        <v/>
      </c>
      <c r="FJ95" s="290" t="str">
        <f t="shared" si="616"/>
        <v/>
      </c>
      <c r="FK95" s="4" t="str">
        <f t="shared" si="502"/>
        <v/>
      </c>
      <c r="FL95" s="5" t="str">
        <f t="shared" si="540"/>
        <v/>
      </c>
      <c r="FM95" s="8" t="str">
        <f t="shared" si="541"/>
        <v/>
      </c>
      <c r="FN95" s="9" t="str">
        <f t="shared" si="542"/>
        <v/>
      </c>
      <c r="FO95" s="10" t="str">
        <f t="shared" si="503"/>
        <v/>
      </c>
      <c r="FP95" s="288" t="str">
        <f t="shared" si="543"/>
        <v/>
      </c>
      <c r="FQ95" s="177" t="str">
        <f t="shared" si="617"/>
        <v/>
      </c>
      <c r="FR95" s="10" t="str">
        <f t="shared" si="618"/>
        <v/>
      </c>
      <c r="FS95" s="9" t="str">
        <f t="shared" si="619"/>
        <v/>
      </c>
      <c r="FT95" s="6" t="str">
        <f t="shared" si="620"/>
        <v/>
      </c>
      <c r="FU95" s="4" t="str">
        <f t="shared" si="621"/>
        <v/>
      </c>
      <c r="FV95" s="5" t="str">
        <f t="shared" si="622"/>
        <v/>
      </c>
      <c r="FW95" s="8" t="str">
        <f t="shared" si="623"/>
        <v/>
      </c>
      <c r="FX95" s="9" t="str">
        <f t="shared" si="624"/>
        <v/>
      </c>
      <c r="FY95" s="10" t="str">
        <f t="shared" si="504"/>
        <v/>
      </c>
      <c r="FZ95" s="288" t="str">
        <f t="shared" si="625"/>
        <v/>
      </c>
      <c r="GA95" s="181" t="str">
        <f t="shared" si="626"/>
        <v/>
      </c>
      <c r="GB95" s="4" t="str">
        <f t="shared" si="627"/>
        <v/>
      </c>
      <c r="GC95" s="5" t="str">
        <f t="shared" si="628"/>
        <v/>
      </c>
      <c r="GD95" s="10" t="str">
        <f t="shared" si="629"/>
        <v/>
      </c>
      <c r="GE95" s="324" t="str">
        <f t="shared" si="630"/>
        <v/>
      </c>
      <c r="GF95" s="362" t="str">
        <f t="shared" si="631"/>
        <v/>
      </c>
      <c r="GG95" s="296" t="str">
        <f t="shared" si="505"/>
        <v/>
      </c>
      <c r="GH95" s="297" t="str">
        <f t="shared" si="506"/>
        <v/>
      </c>
      <c r="GI95" s="292" t="str">
        <f t="shared" si="507"/>
        <v/>
      </c>
      <c r="GJ95" s="171" t="str">
        <f t="shared" si="632"/>
        <v/>
      </c>
      <c r="GK95" s="178" t="str">
        <f t="shared" si="508"/>
        <v/>
      </c>
      <c r="GL95" s="178" t="str">
        <f t="shared" si="633"/>
        <v/>
      </c>
      <c r="GM95" s="181" t="str">
        <f t="shared" si="634"/>
        <v/>
      </c>
      <c r="GN95" s="291" t="str">
        <f t="shared" si="635"/>
        <v/>
      </c>
      <c r="GO95" s="4" t="str">
        <f t="shared" si="636"/>
        <v/>
      </c>
      <c r="GP95" s="8" t="str">
        <f t="shared" si="637"/>
        <v/>
      </c>
      <c r="GQ95" s="181" t="str">
        <f t="shared" si="638"/>
        <v/>
      </c>
      <c r="GR95" s="417" t="str">
        <f t="shared" si="639"/>
        <v/>
      </c>
      <c r="GS95" s="363" t="str">
        <f t="shared" si="509"/>
        <v/>
      </c>
      <c r="GT95" s="364" t="str">
        <f t="shared" si="510"/>
        <v/>
      </c>
      <c r="GU95" s="365" t="str">
        <f t="shared" si="511"/>
        <v/>
      </c>
      <c r="GV95" s="364" t="str">
        <f t="shared" si="640"/>
        <v/>
      </c>
      <c r="GW95" s="366" t="str">
        <f t="shared" si="512"/>
        <v/>
      </c>
      <c r="GX95" s="367" t="str">
        <f t="shared" si="513"/>
        <v/>
      </c>
      <c r="GY95" s="365" t="str">
        <f t="shared" si="514"/>
        <v/>
      </c>
      <c r="GZ95" s="366" t="str">
        <f t="shared" si="515"/>
        <v/>
      </c>
      <c r="HA95" s="363" t="str">
        <f t="shared" si="516"/>
        <v/>
      </c>
      <c r="HB95" s="5" t="str">
        <f t="shared" si="641"/>
        <v/>
      </c>
      <c r="HC95" s="364" t="str">
        <f t="shared" si="642"/>
        <v/>
      </c>
      <c r="HD95" s="405" t="str">
        <f t="shared" si="643"/>
        <v/>
      </c>
      <c r="HE95" s="365" t="str">
        <f t="shared" si="517"/>
        <v/>
      </c>
      <c r="HF95" s="5" t="str">
        <f t="shared" si="518"/>
        <v/>
      </c>
      <c r="HG95" s="364" t="str">
        <f t="shared" si="644"/>
        <v/>
      </c>
      <c r="HH95" s="370" t="str">
        <f t="shared" si="645"/>
        <v/>
      </c>
      <c r="HI95" s="335" t="str">
        <f t="shared" si="519"/>
        <v/>
      </c>
      <c r="HK95" s="323" t="str">
        <f t="shared" si="238"/>
        <v/>
      </c>
      <c r="HL95" s="322" t="str">
        <f t="shared" si="544"/>
        <v/>
      </c>
      <c r="HM95" s="369" t="str">
        <f t="shared" si="661"/>
        <v/>
      </c>
      <c r="HN95" s="384" t="str">
        <f t="shared" si="661"/>
        <v/>
      </c>
      <c r="HO95" s="385" t="str">
        <f t="shared" si="661"/>
        <v/>
      </c>
      <c r="HP95" s="380" t="str">
        <f t="shared" si="661"/>
        <v/>
      </c>
      <c r="HQ95" s="384" t="str">
        <f t="shared" si="661"/>
        <v/>
      </c>
      <c r="HR95" s="395" t="str">
        <f t="shared" si="661"/>
        <v/>
      </c>
      <c r="HS95" s="379" t="str">
        <f t="shared" si="661"/>
        <v/>
      </c>
      <c r="HT95" s="374" t="str">
        <f t="shared" si="661"/>
        <v/>
      </c>
      <c r="HU95" s="375" t="str">
        <f t="shared" si="661"/>
        <v/>
      </c>
      <c r="HV95" s="376" t="str">
        <f t="shared" si="661"/>
        <v/>
      </c>
      <c r="HW95" s="374" t="str">
        <f t="shared" si="661"/>
        <v/>
      </c>
      <c r="HX95" s="375" t="str">
        <f t="shared" si="661"/>
        <v/>
      </c>
      <c r="HY95" s="376" t="str">
        <f t="shared" si="661"/>
        <v/>
      </c>
      <c r="HZ95" s="374" t="str">
        <f t="shared" si="661"/>
        <v/>
      </c>
      <c r="IA95" s="375" t="str">
        <f t="shared" si="661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6"/>
        <v>5.141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5"/>
        <v>1613</v>
      </c>
      <c r="IK95" s="533" t="str">
        <f t="shared" si="520"/>
        <v/>
      </c>
      <c r="IL95" s="727" t="str">
        <f t="shared" si="651"/>
        <v/>
      </c>
      <c r="IM95" s="759"/>
      <c r="IN95" s="5" t="str">
        <f t="shared" si="652"/>
        <v/>
      </c>
      <c r="IO95" s="771"/>
      <c r="IP95" s="9" t="str">
        <f t="shared" si="653"/>
        <v/>
      </c>
      <c r="IQ95" s="5" t="str">
        <f t="shared" si="654"/>
        <v/>
      </c>
      <c r="IR95" s="5" t="str">
        <f t="shared" si="521"/>
        <v/>
      </c>
      <c r="IS95" s="5" t="str">
        <f t="shared" si="655"/>
        <v/>
      </c>
      <c r="IT95" s="727" t="str">
        <f t="shared" si="656"/>
        <v/>
      </c>
      <c r="IU95" s="9" t="str">
        <f t="shared" si="657"/>
        <v/>
      </c>
      <c r="IV95" s="5" t="str">
        <f t="shared" si="658"/>
        <v/>
      </c>
      <c r="IW95" s="5" t="str">
        <f t="shared" si="522"/>
        <v/>
      </c>
      <c r="IX95" s="5" t="str">
        <f t="shared" si="659"/>
        <v/>
      </c>
      <c r="IY95" s="762" t="str">
        <f t="shared" si="660"/>
        <v/>
      </c>
    </row>
    <row r="96" spans="1:259" ht="15" customHeight="1" x14ac:dyDescent="0.25">
      <c r="A96" s="79"/>
      <c r="B96" s="707">
        <v>-6.1263633344656263</v>
      </c>
      <c r="C96" s="708">
        <v>-2.5529800241137615</v>
      </c>
      <c r="D96" s="709">
        <v>-1.893805711718026</v>
      </c>
      <c r="E96" s="710">
        <v>-9.4427182075964483E-2</v>
      </c>
      <c r="F96" s="708">
        <v>-0.97930534137028202</v>
      </c>
      <c r="G96" s="711">
        <v>0.17900993170443952</v>
      </c>
      <c r="H96" s="710">
        <v>0.314</v>
      </c>
      <c r="I96" s="708">
        <v>0.52</v>
      </c>
      <c r="J96" s="570">
        <v>5.1470000000000002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7"/>
        <v>5.1470000000000002</v>
      </c>
      <c r="N96" s="632">
        <f t="shared" si="468"/>
        <v>-6.1263633344656263</v>
      </c>
      <c r="O96" s="629">
        <f t="shared" si="469"/>
        <v>-2.5529800241137615</v>
      </c>
      <c r="P96" s="633">
        <f t="shared" si="470"/>
        <v>-1.893805711718026</v>
      </c>
      <c r="Q96" s="585">
        <f t="shared" si="523"/>
        <v>202.62248373932522</v>
      </c>
      <c r="R96" s="629">
        <f t="shared" si="79"/>
        <v>6.6370200172523734</v>
      </c>
      <c r="S96" s="634">
        <f t="shared" si="80"/>
        <v>-1.893805711718026</v>
      </c>
      <c r="T96" s="635">
        <f t="shared" si="81"/>
        <v>-2.5529800241137628</v>
      </c>
      <c r="U96" s="629">
        <f t="shared" si="82"/>
        <v>6.1263633344656263</v>
      </c>
      <c r="V96" s="636">
        <f t="shared" si="114"/>
        <v>-1.893805711718026</v>
      </c>
      <c r="W96" s="585">
        <f t="shared" si="648"/>
        <v>112.62248373932522</v>
      </c>
      <c r="X96" s="629">
        <f t="shared" si="83"/>
        <v>6.6370200172523734</v>
      </c>
      <c r="Y96" s="630">
        <f t="shared" si="647"/>
        <v>-1.893805711718026</v>
      </c>
      <c r="Z96" s="632">
        <f t="shared" si="471"/>
        <v>9.4427182075964483E-2</v>
      </c>
      <c r="AA96" s="629">
        <f t="shared" si="472"/>
        <v>0.97930534137028202</v>
      </c>
      <c r="AB96" s="629">
        <f t="shared" si="473"/>
        <v>-0.17900993170443952</v>
      </c>
      <c r="AC96" s="636">
        <f t="shared" si="84"/>
        <v>1</v>
      </c>
      <c r="AD96" s="637">
        <f t="shared" si="115"/>
        <v>9.4427182075964483E-2</v>
      </c>
      <c r="AE96" s="629">
        <f t="shared" si="85"/>
        <v>0.97930534137028202</v>
      </c>
      <c r="AF96" s="633">
        <f t="shared" si="86"/>
        <v>-0.17900993170443952</v>
      </c>
      <c r="AG96" s="602">
        <f t="shared" si="87"/>
        <v>79.641110145519818</v>
      </c>
      <c r="AH96" s="603">
        <f t="shared" si="88"/>
        <v>84.581648444232826</v>
      </c>
      <c r="AI96" s="585">
        <f t="shared" si="89"/>
        <v>-79.687903553994929</v>
      </c>
      <c r="AJ96" s="586">
        <f t="shared" si="90"/>
        <v>174.49241757418284</v>
      </c>
      <c r="AK96" s="635">
        <f t="shared" si="211"/>
        <v>0.86763481382837304</v>
      </c>
      <c r="AL96" s="629">
        <f t="shared" si="91"/>
        <v>-0.46385911027398852</v>
      </c>
      <c r="AM96" s="634">
        <f t="shared" si="92"/>
        <v>-0.17900993170443952</v>
      </c>
      <c r="AN96" s="581">
        <f t="shared" si="93"/>
        <v>-68.897678051037644</v>
      </c>
      <c r="AO96" s="582">
        <f t="shared" si="463"/>
        <v>29.815057886237248</v>
      </c>
      <c r="AP96" s="585">
        <f t="shared" si="95"/>
        <v>-28.130066165142384</v>
      </c>
      <c r="AQ96" s="586">
        <f t="shared" si="474"/>
        <v>0.34348236343194377</v>
      </c>
      <c r="AS96" s="52">
        <f t="shared" si="546"/>
        <v>-247.37751626067478</v>
      </c>
      <c r="AT96" s="73">
        <f t="shared" si="475"/>
        <v>-1.7220157698703351</v>
      </c>
      <c r="AU96" s="469"/>
      <c r="AV96" s="168" t="str">
        <f t="shared" si="476"/>
        <v/>
      </c>
      <c r="AW96" s="418"/>
      <c r="AX96" s="419"/>
      <c r="AY96" s="420"/>
      <c r="AZ96" s="308" t="str">
        <f t="shared" si="547"/>
        <v/>
      </c>
      <c r="BA96" s="307" t="str">
        <f t="shared" si="477"/>
        <v/>
      </c>
      <c r="BB96" s="181" t="str">
        <f t="shared" si="524"/>
        <v/>
      </c>
      <c r="BC96" s="9"/>
      <c r="BD96" s="5" t="str">
        <f t="shared" si="525"/>
        <v/>
      </c>
      <c r="BE96" s="6" t="str">
        <f t="shared" si="478"/>
        <v/>
      </c>
      <c r="BF96" s="4" t="str">
        <f t="shared" si="479"/>
        <v/>
      </c>
      <c r="BG96" s="5" t="str">
        <f t="shared" si="480"/>
        <v/>
      </c>
      <c r="BH96" s="10" t="str">
        <f t="shared" si="481"/>
        <v/>
      </c>
      <c r="BI96" s="9" t="str">
        <f t="shared" si="548"/>
        <v/>
      </c>
      <c r="BJ96" s="5" t="str">
        <f t="shared" si="482"/>
        <v/>
      </c>
      <c r="BK96" s="8" t="str">
        <f t="shared" si="483"/>
        <v/>
      </c>
      <c r="BL96" s="177" t="str">
        <f t="shared" si="484"/>
        <v/>
      </c>
      <c r="BM96" s="5" t="str">
        <f t="shared" si="485"/>
        <v/>
      </c>
      <c r="BN96" s="6" t="str">
        <f t="shared" si="486"/>
        <v/>
      </c>
      <c r="BO96" s="4" t="str">
        <f t="shared" si="549"/>
        <v/>
      </c>
      <c r="BP96" s="5" t="str">
        <f t="shared" si="550"/>
        <v/>
      </c>
      <c r="BQ96" s="5" t="str">
        <f t="shared" si="551"/>
        <v/>
      </c>
      <c r="BR96" s="6" t="str">
        <f t="shared" si="552"/>
        <v/>
      </c>
      <c r="BS96" s="4" t="str">
        <f t="shared" si="526"/>
        <v/>
      </c>
      <c r="BT96" s="5" t="str">
        <f t="shared" si="526"/>
        <v/>
      </c>
      <c r="BU96" s="10" t="str">
        <f t="shared" si="527"/>
        <v/>
      </c>
      <c r="BV96" s="9" t="str">
        <f t="shared" si="528"/>
        <v/>
      </c>
      <c r="BW96" s="5" t="str">
        <f t="shared" si="529"/>
        <v/>
      </c>
      <c r="BX96" s="8" t="str">
        <f t="shared" si="530"/>
        <v/>
      </c>
      <c r="BY96" s="177" t="str">
        <f t="shared" si="531"/>
        <v/>
      </c>
      <c r="BZ96" s="5" t="str">
        <f t="shared" si="532"/>
        <v/>
      </c>
      <c r="CA96" s="6" t="str">
        <f t="shared" si="533"/>
        <v/>
      </c>
      <c r="CB96" s="4" t="str">
        <f t="shared" si="553"/>
        <v/>
      </c>
      <c r="CC96" s="5" t="str">
        <f t="shared" si="554"/>
        <v/>
      </c>
      <c r="CD96" s="5" t="str">
        <f t="shared" si="555"/>
        <v/>
      </c>
      <c r="CE96" s="6" t="str">
        <f t="shared" si="556"/>
        <v/>
      </c>
      <c r="CF96" s="4" t="str">
        <f t="shared" si="557"/>
        <v/>
      </c>
      <c r="CG96" s="5" t="str">
        <f t="shared" si="558"/>
        <v/>
      </c>
      <c r="CH96" s="5" t="str">
        <f t="shared" si="559"/>
        <v/>
      </c>
      <c r="CI96" s="4" t="str">
        <f t="shared" si="534"/>
        <v/>
      </c>
      <c r="CJ96" s="5" t="str">
        <f t="shared" si="535"/>
        <v/>
      </c>
      <c r="CK96" s="8" t="str">
        <f t="shared" si="536"/>
        <v/>
      </c>
      <c r="CL96" s="177" t="str">
        <f t="shared" si="537"/>
        <v/>
      </c>
      <c r="CM96" s="5" t="str">
        <f t="shared" si="538"/>
        <v/>
      </c>
      <c r="CN96" s="6" t="str">
        <f t="shared" si="539"/>
        <v/>
      </c>
      <c r="CO96" s="171" t="str">
        <f t="shared" si="487"/>
        <v/>
      </c>
      <c r="CP96" s="4" t="str">
        <f t="shared" si="560"/>
        <v/>
      </c>
      <c r="CQ96" s="5" t="str">
        <f t="shared" si="561"/>
        <v/>
      </c>
      <c r="CR96" s="5" t="str">
        <f t="shared" si="562"/>
        <v/>
      </c>
      <c r="CS96" s="8" t="str">
        <f t="shared" si="563"/>
        <v/>
      </c>
      <c r="CT96" s="9" t="str">
        <f t="shared" si="564"/>
        <v/>
      </c>
      <c r="CU96" s="6" t="str">
        <f t="shared" si="565"/>
        <v/>
      </c>
      <c r="CV96" s="4" t="str">
        <f t="shared" si="566"/>
        <v/>
      </c>
      <c r="CW96" s="5" t="str">
        <f t="shared" si="567"/>
        <v/>
      </c>
      <c r="CX96" s="8" t="str">
        <f t="shared" si="568"/>
        <v/>
      </c>
      <c r="CY96" s="9" t="str">
        <f t="shared" si="569"/>
        <v/>
      </c>
      <c r="CZ96" s="5" t="str">
        <f t="shared" si="570"/>
        <v/>
      </c>
      <c r="DA96" s="6" t="str">
        <f t="shared" si="571"/>
        <v/>
      </c>
      <c r="DB96" s="4" t="str">
        <f t="shared" si="572"/>
        <v/>
      </c>
      <c r="DC96" s="5" t="str">
        <f t="shared" si="572"/>
        <v/>
      </c>
      <c r="DD96" s="10" t="str">
        <f t="shared" si="573"/>
        <v/>
      </c>
      <c r="DE96" s="9" t="str">
        <f t="shared" si="574"/>
        <v/>
      </c>
      <c r="DF96" s="5" t="str">
        <f t="shared" si="574"/>
        <v/>
      </c>
      <c r="DG96" s="10" t="str">
        <f t="shared" si="575"/>
        <v/>
      </c>
      <c r="DH96" s="72" t="str">
        <f t="shared" si="576"/>
        <v/>
      </c>
      <c r="DI96" s="4" t="str">
        <f t="shared" si="577"/>
        <v/>
      </c>
      <c r="DJ96" s="5" t="str">
        <f t="shared" si="578"/>
        <v/>
      </c>
      <c r="DK96" s="10" t="str">
        <f t="shared" si="579"/>
        <v/>
      </c>
      <c r="DL96" s="9" t="str">
        <f t="shared" si="580"/>
        <v/>
      </c>
      <c r="DM96" s="177" t="str">
        <f t="shared" si="581"/>
        <v/>
      </c>
      <c r="DN96" s="182" t="str">
        <f t="shared" si="582"/>
        <v/>
      </c>
      <c r="DO96" s="9" t="str">
        <f t="shared" si="583"/>
        <v/>
      </c>
      <c r="DP96" s="177" t="str">
        <f t="shared" si="584"/>
        <v/>
      </c>
      <c r="DQ96" s="11" t="str">
        <f t="shared" si="585"/>
        <v/>
      </c>
      <c r="DR96" s="177" t="str">
        <f t="shared" si="586"/>
        <v/>
      </c>
      <c r="DS96" s="5" t="str">
        <f t="shared" si="587"/>
        <v/>
      </c>
      <c r="DT96" s="5" t="str">
        <f t="shared" si="588"/>
        <v/>
      </c>
      <c r="DU96" s="5" t="str">
        <f t="shared" si="589"/>
        <v/>
      </c>
      <c r="DV96" s="5" t="str">
        <f t="shared" si="590"/>
        <v/>
      </c>
      <c r="DW96" s="5" t="str">
        <f t="shared" si="591"/>
        <v/>
      </c>
      <c r="DX96" s="171" t="str">
        <f t="shared" si="592"/>
        <v/>
      </c>
      <c r="DY96" s="9" t="str">
        <f t="shared" si="593"/>
        <v/>
      </c>
      <c r="DZ96" s="5" t="str">
        <f t="shared" si="594"/>
        <v/>
      </c>
      <c r="EA96" s="10" t="str">
        <f t="shared" si="595"/>
        <v/>
      </c>
      <c r="EB96" s="6" t="str">
        <f t="shared" si="596"/>
        <v/>
      </c>
      <c r="EC96" s="177" t="str">
        <f t="shared" si="597"/>
        <v/>
      </c>
      <c r="ED96" s="5" t="str">
        <f t="shared" si="598"/>
        <v/>
      </c>
      <c r="EE96" s="4" t="str">
        <f t="shared" si="599"/>
        <v/>
      </c>
      <c r="EF96" s="5" t="str">
        <f t="shared" si="600"/>
        <v/>
      </c>
      <c r="EG96" s="10" t="str">
        <f t="shared" si="601"/>
        <v/>
      </c>
      <c r="EH96" s="9" t="str">
        <f t="shared" si="602"/>
        <v/>
      </c>
      <c r="EI96" s="5" t="str">
        <f t="shared" si="603"/>
        <v/>
      </c>
      <c r="EJ96" s="6" t="str">
        <f t="shared" si="604"/>
        <v/>
      </c>
      <c r="EK96" s="247" t="str">
        <f t="shared" si="605"/>
        <v/>
      </c>
      <c r="EL96" s="249" t="str">
        <f t="shared" si="606"/>
        <v/>
      </c>
      <c r="EM96" s="4" t="str">
        <f t="shared" si="607"/>
        <v/>
      </c>
      <c r="EN96" s="5" t="str">
        <f t="shared" si="608"/>
        <v/>
      </c>
      <c r="EO96" s="10" t="str">
        <f t="shared" si="609"/>
        <v/>
      </c>
      <c r="EP96" s="9" t="str">
        <f t="shared" si="610"/>
        <v/>
      </c>
      <c r="EQ96" s="5" t="str">
        <f t="shared" si="611"/>
        <v/>
      </c>
      <c r="ER96" s="7" t="str">
        <f t="shared" si="612"/>
        <v/>
      </c>
      <c r="ES96" s="21" t="str">
        <f t="shared" si="488"/>
        <v/>
      </c>
      <c r="ET96" s="5" t="str">
        <f t="shared" si="489"/>
        <v/>
      </c>
      <c r="EU96" s="10" t="str">
        <f t="shared" si="490"/>
        <v/>
      </c>
      <c r="EV96" s="178" t="str">
        <f t="shared" si="491"/>
        <v/>
      </c>
      <c r="EW96" s="9" t="str">
        <f t="shared" si="492"/>
        <v/>
      </c>
      <c r="EX96" s="5" t="str">
        <f t="shared" si="493"/>
        <v/>
      </c>
      <c r="EY96" s="6" t="str">
        <f t="shared" si="613"/>
        <v/>
      </c>
      <c r="EZ96" s="52" t="str">
        <f t="shared" si="614"/>
        <v/>
      </c>
      <c r="FA96" s="177" t="str">
        <f t="shared" si="494"/>
        <v/>
      </c>
      <c r="FB96" s="5" t="str">
        <f t="shared" si="495"/>
        <v/>
      </c>
      <c r="FC96" s="6" t="str">
        <f t="shared" si="496"/>
        <v/>
      </c>
      <c r="FD96" s="4" t="str">
        <f t="shared" si="497"/>
        <v/>
      </c>
      <c r="FE96" s="5" t="str">
        <f t="shared" si="498"/>
        <v/>
      </c>
      <c r="FF96" s="7" t="str">
        <f t="shared" si="615"/>
        <v/>
      </c>
      <c r="FG96" s="177" t="str">
        <f t="shared" si="499"/>
        <v/>
      </c>
      <c r="FH96" s="5" t="str">
        <f t="shared" si="500"/>
        <v/>
      </c>
      <c r="FI96" s="10" t="str">
        <f t="shared" si="501"/>
        <v/>
      </c>
      <c r="FJ96" s="290" t="str">
        <f t="shared" si="616"/>
        <v/>
      </c>
      <c r="FK96" s="4" t="str">
        <f t="shared" si="502"/>
        <v/>
      </c>
      <c r="FL96" s="5" t="str">
        <f t="shared" si="540"/>
        <v/>
      </c>
      <c r="FM96" s="8" t="str">
        <f t="shared" si="541"/>
        <v/>
      </c>
      <c r="FN96" s="9" t="str">
        <f t="shared" si="542"/>
        <v/>
      </c>
      <c r="FO96" s="10" t="str">
        <f t="shared" si="503"/>
        <v/>
      </c>
      <c r="FP96" s="288" t="str">
        <f t="shared" si="543"/>
        <v/>
      </c>
      <c r="FQ96" s="177" t="str">
        <f t="shared" si="617"/>
        <v/>
      </c>
      <c r="FR96" s="10" t="str">
        <f t="shared" si="618"/>
        <v/>
      </c>
      <c r="FS96" s="9" t="str">
        <f t="shared" si="619"/>
        <v/>
      </c>
      <c r="FT96" s="6" t="str">
        <f t="shared" si="620"/>
        <v/>
      </c>
      <c r="FU96" s="4" t="str">
        <f t="shared" si="621"/>
        <v/>
      </c>
      <c r="FV96" s="5" t="str">
        <f t="shared" si="622"/>
        <v/>
      </c>
      <c r="FW96" s="8" t="str">
        <f t="shared" si="623"/>
        <v/>
      </c>
      <c r="FX96" s="9" t="str">
        <f t="shared" si="624"/>
        <v/>
      </c>
      <c r="FY96" s="10" t="str">
        <f t="shared" si="504"/>
        <v/>
      </c>
      <c r="FZ96" s="288" t="str">
        <f t="shared" si="625"/>
        <v/>
      </c>
      <c r="GA96" s="181" t="str">
        <f t="shared" si="626"/>
        <v/>
      </c>
      <c r="GB96" s="4" t="str">
        <f t="shared" si="627"/>
        <v/>
      </c>
      <c r="GC96" s="5" t="str">
        <f t="shared" si="628"/>
        <v/>
      </c>
      <c r="GD96" s="10" t="str">
        <f t="shared" si="629"/>
        <v/>
      </c>
      <c r="GE96" s="324" t="str">
        <f t="shared" si="630"/>
        <v/>
      </c>
      <c r="GF96" s="362" t="str">
        <f t="shared" si="631"/>
        <v/>
      </c>
      <c r="GG96" s="296" t="str">
        <f t="shared" si="505"/>
        <v/>
      </c>
      <c r="GH96" s="297" t="str">
        <f t="shared" si="506"/>
        <v/>
      </c>
      <c r="GI96" s="292" t="str">
        <f t="shared" si="507"/>
        <v/>
      </c>
      <c r="GJ96" s="171" t="str">
        <f t="shared" si="632"/>
        <v/>
      </c>
      <c r="GK96" s="178" t="str">
        <f t="shared" si="508"/>
        <v/>
      </c>
      <c r="GL96" s="178" t="str">
        <f t="shared" si="633"/>
        <v/>
      </c>
      <c r="GM96" s="181" t="str">
        <f t="shared" si="634"/>
        <v/>
      </c>
      <c r="GN96" s="291" t="str">
        <f t="shared" si="635"/>
        <v/>
      </c>
      <c r="GO96" s="4" t="str">
        <f t="shared" si="636"/>
        <v/>
      </c>
      <c r="GP96" s="8" t="str">
        <f t="shared" si="637"/>
        <v/>
      </c>
      <c r="GQ96" s="181" t="str">
        <f t="shared" si="638"/>
        <v/>
      </c>
      <c r="GR96" s="417" t="str">
        <f t="shared" si="639"/>
        <v/>
      </c>
      <c r="GS96" s="363" t="str">
        <f t="shared" si="509"/>
        <v/>
      </c>
      <c r="GT96" s="364" t="str">
        <f t="shared" si="510"/>
        <v/>
      </c>
      <c r="GU96" s="365" t="str">
        <f t="shared" si="511"/>
        <v/>
      </c>
      <c r="GV96" s="364" t="str">
        <f t="shared" si="640"/>
        <v/>
      </c>
      <c r="GW96" s="366" t="str">
        <f t="shared" si="512"/>
        <v/>
      </c>
      <c r="GX96" s="367" t="str">
        <f t="shared" si="513"/>
        <v/>
      </c>
      <c r="GY96" s="365" t="str">
        <f t="shared" si="514"/>
        <v/>
      </c>
      <c r="GZ96" s="366" t="str">
        <f t="shared" si="515"/>
        <v/>
      </c>
      <c r="HA96" s="363" t="str">
        <f t="shared" si="516"/>
        <v/>
      </c>
      <c r="HB96" s="5" t="str">
        <f t="shared" si="641"/>
        <v/>
      </c>
      <c r="HC96" s="364" t="str">
        <f t="shared" si="642"/>
        <v/>
      </c>
      <c r="HD96" s="405" t="str">
        <f t="shared" si="643"/>
        <v/>
      </c>
      <c r="HE96" s="365" t="str">
        <f t="shared" si="517"/>
        <v/>
      </c>
      <c r="HF96" s="5" t="str">
        <f t="shared" si="518"/>
        <v/>
      </c>
      <c r="HG96" s="364" t="str">
        <f t="shared" si="644"/>
        <v/>
      </c>
      <c r="HH96" s="370" t="str">
        <f t="shared" si="645"/>
        <v/>
      </c>
      <c r="HI96" s="335" t="str">
        <f t="shared" si="519"/>
        <v/>
      </c>
      <c r="HK96" s="323" t="str">
        <f t="shared" si="238"/>
        <v/>
      </c>
      <c r="HL96" s="322" t="str">
        <f t="shared" si="544"/>
        <v/>
      </c>
      <c r="HM96" s="369" t="str">
        <f t="shared" si="661"/>
        <v/>
      </c>
      <c r="HN96" s="384" t="str">
        <f t="shared" si="661"/>
        <v/>
      </c>
      <c r="HO96" s="385" t="str">
        <f t="shared" si="661"/>
        <v/>
      </c>
      <c r="HP96" s="380" t="str">
        <f t="shared" si="661"/>
        <v/>
      </c>
      <c r="HQ96" s="384" t="str">
        <f t="shared" si="661"/>
        <v/>
      </c>
      <c r="HR96" s="395" t="str">
        <f t="shared" si="661"/>
        <v/>
      </c>
      <c r="HS96" s="379" t="str">
        <f t="shared" si="661"/>
        <v/>
      </c>
      <c r="HT96" s="374" t="str">
        <f t="shared" si="661"/>
        <v/>
      </c>
      <c r="HU96" s="375" t="str">
        <f t="shared" si="661"/>
        <v/>
      </c>
      <c r="HV96" s="376" t="str">
        <f t="shared" si="661"/>
        <v/>
      </c>
      <c r="HW96" s="374" t="str">
        <f t="shared" si="661"/>
        <v/>
      </c>
      <c r="HX96" s="375" t="str">
        <f t="shared" si="661"/>
        <v/>
      </c>
      <c r="HY96" s="376" t="str">
        <f t="shared" si="661"/>
        <v/>
      </c>
      <c r="HZ96" s="374" t="str">
        <f t="shared" si="661"/>
        <v/>
      </c>
      <c r="IA96" s="375" t="str">
        <f t="shared" si="661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6"/>
        <v>5.1470000000000002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5"/>
        <v>1613</v>
      </c>
      <c r="IK96" s="533" t="str">
        <f t="shared" si="520"/>
        <v/>
      </c>
      <c r="IL96" s="727" t="str">
        <f t="shared" si="651"/>
        <v/>
      </c>
      <c r="IM96" s="759"/>
      <c r="IN96" s="5" t="str">
        <f t="shared" si="652"/>
        <v/>
      </c>
      <c r="IO96" s="771"/>
      <c r="IP96" s="9" t="str">
        <f t="shared" si="653"/>
        <v/>
      </c>
      <c r="IQ96" s="5" t="str">
        <f t="shared" si="654"/>
        <v/>
      </c>
      <c r="IR96" s="5" t="str">
        <f t="shared" si="521"/>
        <v/>
      </c>
      <c r="IS96" s="5" t="str">
        <f t="shared" si="655"/>
        <v/>
      </c>
      <c r="IT96" s="727" t="str">
        <f t="shared" si="656"/>
        <v/>
      </c>
      <c r="IU96" s="9" t="str">
        <f t="shared" si="657"/>
        <v/>
      </c>
      <c r="IV96" s="5" t="str">
        <f t="shared" si="658"/>
        <v/>
      </c>
      <c r="IW96" s="5" t="str">
        <f t="shared" si="522"/>
        <v/>
      </c>
      <c r="IX96" s="5" t="str">
        <f t="shared" si="659"/>
        <v/>
      </c>
      <c r="IY96" s="762" t="str">
        <f t="shared" si="660"/>
        <v/>
      </c>
    </row>
    <row r="97" spans="1:259" ht="15" customHeight="1" x14ac:dyDescent="0.25">
      <c r="A97" s="79"/>
      <c r="B97" s="707">
        <v>-6.3703736098250809</v>
      </c>
      <c r="C97" s="708">
        <v>-2.6131850872685929</v>
      </c>
      <c r="D97" s="709">
        <v>-2.5979078352900311</v>
      </c>
      <c r="E97" s="710">
        <v>-0.18802106823703568</v>
      </c>
      <c r="F97" s="708">
        <v>-0.9750531395614539</v>
      </c>
      <c r="G97" s="711">
        <v>0.11798073118249434</v>
      </c>
      <c r="H97" s="710">
        <v>0.314</v>
      </c>
      <c r="I97" s="708">
        <v>0.52</v>
      </c>
      <c r="J97" s="570">
        <v>5.1529999999999996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7"/>
        <v>5.1529999999999996</v>
      </c>
      <c r="N97" s="632">
        <f t="shared" si="468"/>
        <v>-6.3703736098250809</v>
      </c>
      <c r="O97" s="629">
        <f t="shared" si="469"/>
        <v>-2.6131850872685929</v>
      </c>
      <c r="P97" s="633">
        <f t="shared" si="470"/>
        <v>-2.5979078352900311</v>
      </c>
      <c r="Q97" s="585">
        <f t="shared" si="523"/>
        <v>202.30388378532533</v>
      </c>
      <c r="R97" s="629">
        <f t="shared" si="79"/>
        <v>6.8855207667306324</v>
      </c>
      <c r="S97" s="634">
        <f t="shared" si="80"/>
        <v>-2.5979078352900311</v>
      </c>
      <c r="T97" s="635">
        <f t="shared" si="81"/>
        <v>-2.6131850872685916</v>
      </c>
      <c r="U97" s="629">
        <f t="shared" si="82"/>
        <v>6.3703736098250818</v>
      </c>
      <c r="V97" s="636">
        <f t="shared" si="114"/>
        <v>-2.5979078352900311</v>
      </c>
      <c r="W97" s="585">
        <f t="shared" si="648"/>
        <v>112.30388378532533</v>
      </c>
      <c r="X97" s="629">
        <f t="shared" si="83"/>
        <v>6.8855207667306324</v>
      </c>
      <c r="Y97" s="630">
        <f t="shared" si="647"/>
        <v>-2.5979078352900311</v>
      </c>
      <c r="Z97" s="632">
        <f t="shared" si="471"/>
        <v>0.18802106823703568</v>
      </c>
      <c r="AA97" s="629">
        <f t="shared" si="472"/>
        <v>0.9750531395614539</v>
      </c>
      <c r="AB97" s="629">
        <f t="shared" si="473"/>
        <v>-0.11798073118249434</v>
      </c>
      <c r="AC97" s="636">
        <f t="shared" si="84"/>
        <v>1</v>
      </c>
      <c r="AD97" s="637">
        <f t="shared" si="115"/>
        <v>0.18802106823703568</v>
      </c>
      <c r="AE97" s="629">
        <f t="shared" si="85"/>
        <v>0.9750531395614539</v>
      </c>
      <c r="AF97" s="633">
        <f t="shared" si="86"/>
        <v>-0.11798073118249434</v>
      </c>
      <c r="AG97" s="602">
        <f t="shared" si="87"/>
        <v>83.10079131868082</v>
      </c>
      <c r="AH97" s="603">
        <f t="shared" si="88"/>
        <v>79.162681523129564</v>
      </c>
      <c r="AI97" s="585">
        <f t="shared" si="89"/>
        <v>-83.224420873892143</v>
      </c>
      <c r="AJ97" s="586">
        <f t="shared" si="90"/>
        <v>169.08552795434531</v>
      </c>
      <c r="AK97" s="635">
        <f t="shared" si="211"/>
        <v>0.83074601480667087</v>
      </c>
      <c r="AL97" s="629">
        <f t="shared" si="91"/>
        <v>-0.54400515250545056</v>
      </c>
      <c r="AM97" s="634">
        <f t="shared" si="92"/>
        <v>-0.11798073118249434</v>
      </c>
      <c r="AN97" s="581">
        <f t="shared" si="93"/>
        <v>-77.763515282045063</v>
      </c>
      <c r="AO97" s="582">
        <f t="shared" si="463"/>
        <v>33.82455180909912</v>
      </c>
      <c r="AP97" s="585">
        <f t="shared" si="95"/>
        <v>-33.218355830980009</v>
      </c>
      <c r="AQ97" s="586">
        <f t="shared" si="474"/>
        <v>0.33108625107190887</v>
      </c>
      <c r="AS97" s="52">
        <f t="shared" si="546"/>
        <v>-247.69611621467467</v>
      </c>
      <c r="AT97" s="73">
        <f t="shared" si="475"/>
        <v>-2.4258966434742848</v>
      </c>
      <c r="AU97" s="469"/>
      <c r="AV97" s="168" t="str">
        <f t="shared" si="476"/>
        <v/>
      </c>
      <c r="AW97" s="418"/>
      <c r="AX97" s="419"/>
      <c r="AY97" s="420"/>
      <c r="AZ97" s="308" t="str">
        <f t="shared" si="547"/>
        <v/>
      </c>
      <c r="BA97" s="307" t="str">
        <f t="shared" si="477"/>
        <v/>
      </c>
      <c r="BB97" s="181" t="str">
        <f t="shared" si="524"/>
        <v/>
      </c>
      <c r="BC97" s="9"/>
      <c r="BD97" s="5" t="str">
        <f t="shared" si="525"/>
        <v/>
      </c>
      <c r="BE97" s="6" t="str">
        <f t="shared" si="478"/>
        <v/>
      </c>
      <c r="BF97" s="4" t="str">
        <f t="shared" si="479"/>
        <v/>
      </c>
      <c r="BG97" s="5" t="str">
        <f t="shared" si="480"/>
        <v/>
      </c>
      <c r="BH97" s="10" t="str">
        <f t="shared" si="481"/>
        <v/>
      </c>
      <c r="BI97" s="9" t="str">
        <f t="shared" si="548"/>
        <v/>
      </c>
      <c r="BJ97" s="5" t="str">
        <f t="shared" si="482"/>
        <v/>
      </c>
      <c r="BK97" s="8" t="str">
        <f t="shared" si="483"/>
        <v/>
      </c>
      <c r="BL97" s="177" t="str">
        <f t="shared" si="484"/>
        <v/>
      </c>
      <c r="BM97" s="5" t="str">
        <f t="shared" si="485"/>
        <v/>
      </c>
      <c r="BN97" s="6" t="str">
        <f t="shared" si="486"/>
        <v/>
      </c>
      <c r="BO97" s="4" t="str">
        <f t="shared" si="549"/>
        <v/>
      </c>
      <c r="BP97" s="5" t="str">
        <f t="shared" si="550"/>
        <v/>
      </c>
      <c r="BQ97" s="5" t="str">
        <f t="shared" si="551"/>
        <v/>
      </c>
      <c r="BR97" s="6" t="str">
        <f t="shared" si="552"/>
        <v/>
      </c>
      <c r="BS97" s="4" t="str">
        <f t="shared" si="526"/>
        <v/>
      </c>
      <c r="BT97" s="5" t="str">
        <f t="shared" si="526"/>
        <v/>
      </c>
      <c r="BU97" s="10" t="str">
        <f t="shared" si="527"/>
        <v/>
      </c>
      <c r="BV97" s="9" t="str">
        <f t="shared" si="528"/>
        <v/>
      </c>
      <c r="BW97" s="5" t="str">
        <f t="shared" si="529"/>
        <v/>
      </c>
      <c r="BX97" s="8" t="str">
        <f t="shared" si="530"/>
        <v/>
      </c>
      <c r="BY97" s="177" t="str">
        <f t="shared" si="531"/>
        <v/>
      </c>
      <c r="BZ97" s="5" t="str">
        <f t="shared" si="532"/>
        <v/>
      </c>
      <c r="CA97" s="6" t="str">
        <f t="shared" si="533"/>
        <v/>
      </c>
      <c r="CB97" s="4" t="str">
        <f t="shared" si="553"/>
        <v/>
      </c>
      <c r="CC97" s="5" t="str">
        <f t="shared" si="554"/>
        <v/>
      </c>
      <c r="CD97" s="5" t="str">
        <f t="shared" si="555"/>
        <v/>
      </c>
      <c r="CE97" s="6" t="str">
        <f t="shared" si="556"/>
        <v/>
      </c>
      <c r="CF97" s="4" t="str">
        <f t="shared" si="557"/>
        <v/>
      </c>
      <c r="CG97" s="5" t="str">
        <f t="shared" si="558"/>
        <v/>
      </c>
      <c r="CH97" s="5" t="str">
        <f t="shared" si="559"/>
        <v/>
      </c>
      <c r="CI97" s="4" t="str">
        <f t="shared" si="534"/>
        <v/>
      </c>
      <c r="CJ97" s="5" t="str">
        <f t="shared" si="535"/>
        <v/>
      </c>
      <c r="CK97" s="8" t="str">
        <f t="shared" si="536"/>
        <v/>
      </c>
      <c r="CL97" s="177" t="str">
        <f t="shared" si="537"/>
        <v/>
      </c>
      <c r="CM97" s="5" t="str">
        <f t="shared" si="538"/>
        <v/>
      </c>
      <c r="CN97" s="6" t="str">
        <f t="shared" si="539"/>
        <v/>
      </c>
      <c r="CO97" s="171" t="str">
        <f t="shared" si="487"/>
        <v/>
      </c>
      <c r="CP97" s="4" t="str">
        <f t="shared" si="560"/>
        <v/>
      </c>
      <c r="CQ97" s="5" t="str">
        <f t="shared" si="561"/>
        <v/>
      </c>
      <c r="CR97" s="5" t="str">
        <f t="shared" si="562"/>
        <v/>
      </c>
      <c r="CS97" s="8" t="str">
        <f t="shared" si="563"/>
        <v/>
      </c>
      <c r="CT97" s="9" t="str">
        <f t="shared" si="564"/>
        <v/>
      </c>
      <c r="CU97" s="6" t="str">
        <f t="shared" si="565"/>
        <v/>
      </c>
      <c r="CV97" s="4" t="str">
        <f t="shared" si="566"/>
        <v/>
      </c>
      <c r="CW97" s="5" t="str">
        <f t="shared" si="567"/>
        <v/>
      </c>
      <c r="CX97" s="8" t="str">
        <f t="shared" si="568"/>
        <v/>
      </c>
      <c r="CY97" s="9" t="str">
        <f t="shared" si="569"/>
        <v/>
      </c>
      <c r="CZ97" s="5" t="str">
        <f t="shared" si="570"/>
        <v/>
      </c>
      <c r="DA97" s="6" t="str">
        <f t="shared" si="571"/>
        <v/>
      </c>
      <c r="DB97" s="4" t="str">
        <f t="shared" si="572"/>
        <v/>
      </c>
      <c r="DC97" s="5" t="str">
        <f t="shared" si="572"/>
        <v/>
      </c>
      <c r="DD97" s="10" t="str">
        <f t="shared" si="573"/>
        <v/>
      </c>
      <c r="DE97" s="9" t="str">
        <f t="shared" si="574"/>
        <v/>
      </c>
      <c r="DF97" s="5" t="str">
        <f t="shared" si="574"/>
        <v/>
      </c>
      <c r="DG97" s="10" t="str">
        <f t="shared" si="575"/>
        <v/>
      </c>
      <c r="DH97" s="72" t="str">
        <f t="shared" si="576"/>
        <v/>
      </c>
      <c r="DI97" s="4" t="str">
        <f t="shared" si="577"/>
        <v/>
      </c>
      <c r="DJ97" s="5" t="str">
        <f t="shared" si="578"/>
        <v/>
      </c>
      <c r="DK97" s="10" t="str">
        <f t="shared" si="579"/>
        <v/>
      </c>
      <c r="DL97" s="9" t="str">
        <f t="shared" si="580"/>
        <v/>
      </c>
      <c r="DM97" s="177" t="str">
        <f t="shared" si="581"/>
        <v/>
      </c>
      <c r="DN97" s="182" t="str">
        <f t="shared" si="582"/>
        <v/>
      </c>
      <c r="DO97" s="9" t="str">
        <f t="shared" si="583"/>
        <v/>
      </c>
      <c r="DP97" s="177" t="str">
        <f t="shared" si="584"/>
        <v/>
      </c>
      <c r="DQ97" s="11" t="str">
        <f t="shared" si="585"/>
        <v/>
      </c>
      <c r="DR97" s="177" t="str">
        <f t="shared" si="586"/>
        <v/>
      </c>
      <c r="DS97" s="5" t="str">
        <f t="shared" si="587"/>
        <v/>
      </c>
      <c r="DT97" s="5" t="str">
        <f t="shared" si="588"/>
        <v/>
      </c>
      <c r="DU97" s="5" t="str">
        <f t="shared" si="589"/>
        <v/>
      </c>
      <c r="DV97" s="5" t="str">
        <f t="shared" si="590"/>
        <v/>
      </c>
      <c r="DW97" s="5" t="str">
        <f t="shared" si="591"/>
        <v/>
      </c>
      <c r="DX97" s="171" t="str">
        <f t="shared" si="592"/>
        <v/>
      </c>
      <c r="DY97" s="9" t="str">
        <f t="shared" si="593"/>
        <v/>
      </c>
      <c r="DZ97" s="5" t="str">
        <f t="shared" si="594"/>
        <v/>
      </c>
      <c r="EA97" s="10" t="str">
        <f t="shared" si="595"/>
        <v/>
      </c>
      <c r="EB97" s="6" t="str">
        <f t="shared" si="596"/>
        <v/>
      </c>
      <c r="EC97" s="177" t="str">
        <f t="shared" si="597"/>
        <v/>
      </c>
      <c r="ED97" s="5" t="str">
        <f t="shared" si="598"/>
        <v/>
      </c>
      <c r="EE97" s="4" t="str">
        <f t="shared" si="599"/>
        <v/>
      </c>
      <c r="EF97" s="5" t="str">
        <f t="shared" si="600"/>
        <v/>
      </c>
      <c r="EG97" s="10" t="str">
        <f t="shared" si="601"/>
        <v/>
      </c>
      <c r="EH97" s="9" t="str">
        <f t="shared" si="602"/>
        <v/>
      </c>
      <c r="EI97" s="5" t="str">
        <f t="shared" si="603"/>
        <v/>
      </c>
      <c r="EJ97" s="6" t="str">
        <f t="shared" si="604"/>
        <v/>
      </c>
      <c r="EK97" s="247" t="str">
        <f t="shared" si="605"/>
        <v/>
      </c>
      <c r="EL97" s="249" t="str">
        <f t="shared" si="606"/>
        <v/>
      </c>
      <c r="EM97" s="4" t="str">
        <f t="shared" si="607"/>
        <v/>
      </c>
      <c r="EN97" s="5" t="str">
        <f t="shared" si="608"/>
        <v/>
      </c>
      <c r="EO97" s="10" t="str">
        <f t="shared" si="609"/>
        <v/>
      </c>
      <c r="EP97" s="9" t="str">
        <f t="shared" si="610"/>
        <v/>
      </c>
      <c r="EQ97" s="5" t="str">
        <f t="shared" si="611"/>
        <v/>
      </c>
      <c r="ER97" s="7" t="str">
        <f t="shared" si="612"/>
        <v/>
      </c>
      <c r="ES97" s="21" t="str">
        <f t="shared" si="488"/>
        <v/>
      </c>
      <c r="ET97" s="5" t="str">
        <f t="shared" si="489"/>
        <v/>
      </c>
      <c r="EU97" s="10" t="str">
        <f t="shared" si="490"/>
        <v/>
      </c>
      <c r="EV97" s="178" t="str">
        <f t="shared" si="491"/>
        <v/>
      </c>
      <c r="EW97" s="9" t="str">
        <f t="shared" si="492"/>
        <v/>
      </c>
      <c r="EX97" s="5" t="str">
        <f t="shared" si="493"/>
        <v/>
      </c>
      <c r="EY97" s="6" t="str">
        <f t="shared" si="613"/>
        <v/>
      </c>
      <c r="EZ97" s="52" t="str">
        <f t="shared" si="614"/>
        <v/>
      </c>
      <c r="FA97" s="177" t="str">
        <f t="shared" si="494"/>
        <v/>
      </c>
      <c r="FB97" s="5" t="str">
        <f t="shared" si="495"/>
        <v/>
      </c>
      <c r="FC97" s="6" t="str">
        <f t="shared" si="496"/>
        <v/>
      </c>
      <c r="FD97" s="4" t="str">
        <f t="shared" si="497"/>
        <v/>
      </c>
      <c r="FE97" s="5" t="str">
        <f t="shared" si="498"/>
        <v/>
      </c>
      <c r="FF97" s="7" t="str">
        <f t="shared" si="615"/>
        <v/>
      </c>
      <c r="FG97" s="177" t="str">
        <f t="shared" si="499"/>
        <v/>
      </c>
      <c r="FH97" s="5" t="str">
        <f t="shared" si="500"/>
        <v/>
      </c>
      <c r="FI97" s="10" t="str">
        <f t="shared" si="501"/>
        <v/>
      </c>
      <c r="FJ97" s="290" t="str">
        <f t="shared" si="616"/>
        <v/>
      </c>
      <c r="FK97" s="4" t="str">
        <f t="shared" si="502"/>
        <v/>
      </c>
      <c r="FL97" s="5" t="str">
        <f t="shared" si="540"/>
        <v/>
      </c>
      <c r="FM97" s="8" t="str">
        <f t="shared" si="541"/>
        <v/>
      </c>
      <c r="FN97" s="9" t="str">
        <f t="shared" si="542"/>
        <v/>
      </c>
      <c r="FO97" s="10" t="str">
        <f t="shared" si="503"/>
        <v/>
      </c>
      <c r="FP97" s="288" t="str">
        <f t="shared" si="543"/>
        <v/>
      </c>
      <c r="FQ97" s="177" t="str">
        <f t="shared" si="617"/>
        <v/>
      </c>
      <c r="FR97" s="10" t="str">
        <f t="shared" si="618"/>
        <v/>
      </c>
      <c r="FS97" s="9" t="str">
        <f t="shared" si="619"/>
        <v/>
      </c>
      <c r="FT97" s="6" t="str">
        <f t="shared" si="620"/>
        <v/>
      </c>
      <c r="FU97" s="4" t="str">
        <f t="shared" si="621"/>
        <v/>
      </c>
      <c r="FV97" s="5" t="str">
        <f t="shared" si="622"/>
        <v/>
      </c>
      <c r="FW97" s="8" t="str">
        <f t="shared" si="623"/>
        <v/>
      </c>
      <c r="FX97" s="9" t="str">
        <f t="shared" si="624"/>
        <v/>
      </c>
      <c r="FY97" s="10" t="str">
        <f t="shared" si="504"/>
        <v/>
      </c>
      <c r="FZ97" s="288" t="str">
        <f t="shared" si="625"/>
        <v/>
      </c>
      <c r="GA97" s="181" t="str">
        <f t="shared" si="626"/>
        <v/>
      </c>
      <c r="GB97" s="4" t="str">
        <f t="shared" si="627"/>
        <v/>
      </c>
      <c r="GC97" s="5" t="str">
        <f t="shared" si="628"/>
        <v/>
      </c>
      <c r="GD97" s="10" t="str">
        <f t="shared" si="629"/>
        <v/>
      </c>
      <c r="GE97" s="324" t="str">
        <f t="shared" si="630"/>
        <v/>
      </c>
      <c r="GF97" s="362" t="str">
        <f t="shared" si="631"/>
        <v/>
      </c>
      <c r="GG97" s="296" t="str">
        <f t="shared" si="505"/>
        <v/>
      </c>
      <c r="GH97" s="297" t="str">
        <f t="shared" si="506"/>
        <v/>
      </c>
      <c r="GI97" s="292" t="str">
        <f t="shared" si="507"/>
        <v/>
      </c>
      <c r="GJ97" s="171" t="str">
        <f t="shared" si="632"/>
        <v/>
      </c>
      <c r="GK97" s="178" t="str">
        <f t="shared" si="508"/>
        <v/>
      </c>
      <c r="GL97" s="178" t="str">
        <f t="shared" si="633"/>
        <v/>
      </c>
      <c r="GM97" s="181" t="str">
        <f t="shared" si="634"/>
        <v/>
      </c>
      <c r="GN97" s="291" t="str">
        <f t="shared" si="635"/>
        <v/>
      </c>
      <c r="GO97" s="4" t="str">
        <f t="shared" si="636"/>
        <v/>
      </c>
      <c r="GP97" s="8" t="str">
        <f t="shared" si="637"/>
        <v/>
      </c>
      <c r="GQ97" s="181" t="str">
        <f t="shared" si="638"/>
        <v/>
      </c>
      <c r="GR97" s="417" t="str">
        <f t="shared" si="639"/>
        <v/>
      </c>
      <c r="GS97" s="363" t="str">
        <f t="shared" si="509"/>
        <v/>
      </c>
      <c r="GT97" s="364" t="str">
        <f t="shared" si="510"/>
        <v/>
      </c>
      <c r="GU97" s="365" t="str">
        <f t="shared" si="511"/>
        <v/>
      </c>
      <c r="GV97" s="364" t="str">
        <f t="shared" si="640"/>
        <v/>
      </c>
      <c r="GW97" s="366" t="str">
        <f t="shared" si="512"/>
        <v/>
      </c>
      <c r="GX97" s="367" t="str">
        <f t="shared" si="513"/>
        <v/>
      </c>
      <c r="GY97" s="365" t="str">
        <f t="shared" si="514"/>
        <v/>
      </c>
      <c r="GZ97" s="366" t="str">
        <f t="shared" si="515"/>
        <v/>
      </c>
      <c r="HA97" s="363" t="str">
        <f t="shared" si="516"/>
        <v/>
      </c>
      <c r="HB97" s="5" t="str">
        <f t="shared" si="641"/>
        <v/>
      </c>
      <c r="HC97" s="364" t="str">
        <f t="shared" si="642"/>
        <v/>
      </c>
      <c r="HD97" s="405" t="str">
        <f t="shared" si="643"/>
        <v/>
      </c>
      <c r="HE97" s="365" t="str">
        <f t="shared" si="517"/>
        <v/>
      </c>
      <c r="HF97" s="5" t="str">
        <f t="shared" si="518"/>
        <v/>
      </c>
      <c r="HG97" s="364" t="str">
        <f t="shared" si="644"/>
        <v/>
      </c>
      <c r="HH97" s="370" t="str">
        <f t="shared" si="645"/>
        <v/>
      </c>
      <c r="HI97" s="335" t="str">
        <f t="shared" si="519"/>
        <v/>
      </c>
      <c r="HK97" s="323" t="str">
        <f t="shared" si="238"/>
        <v/>
      </c>
      <c r="HL97" s="322" t="str">
        <f t="shared" si="544"/>
        <v/>
      </c>
      <c r="HM97" s="369" t="str">
        <f t="shared" si="661"/>
        <v/>
      </c>
      <c r="HN97" s="384" t="str">
        <f t="shared" si="661"/>
        <v/>
      </c>
      <c r="HO97" s="385" t="str">
        <f t="shared" si="661"/>
        <v/>
      </c>
      <c r="HP97" s="380" t="str">
        <f t="shared" si="661"/>
        <v/>
      </c>
      <c r="HQ97" s="384" t="str">
        <f t="shared" si="661"/>
        <v/>
      </c>
      <c r="HR97" s="395" t="str">
        <f t="shared" si="661"/>
        <v/>
      </c>
      <c r="HS97" s="379" t="str">
        <f t="shared" si="661"/>
        <v/>
      </c>
      <c r="HT97" s="374" t="str">
        <f t="shared" si="661"/>
        <v/>
      </c>
      <c r="HU97" s="375" t="str">
        <f t="shared" si="661"/>
        <v/>
      </c>
      <c r="HV97" s="376" t="str">
        <f t="shared" si="661"/>
        <v/>
      </c>
      <c r="HW97" s="374" t="str">
        <f t="shared" si="661"/>
        <v/>
      </c>
      <c r="HX97" s="375" t="str">
        <f t="shared" si="661"/>
        <v/>
      </c>
      <c r="HY97" s="376" t="str">
        <f t="shared" si="661"/>
        <v/>
      </c>
      <c r="HZ97" s="374" t="str">
        <f t="shared" si="661"/>
        <v/>
      </c>
      <c r="IA97" s="375" t="str">
        <f t="shared" si="661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6"/>
        <v>5.1529999999999996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5"/>
        <v>1613</v>
      </c>
      <c r="IK97" s="533" t="str">
        <f t="shared" si="520"/>
        <v/>
      </c>
      <c r="IL97" s="727" t="str">
        <f t="shared" si="651"/>
        <v/>
      </c>
      <c r="IM97" s="759"/>
      <c r="IN97" s="5" t="str">
        <f t="shared" si="652"/>
        <v/>
      </c>
      <c r="IO97" s="771"/>
      <c r="IP97" s="9" t="str">
        <f t="shared" si="653"/>
        <v/>
      </c>
      <c r="IQ97" s="5" t="str">
        <f t="shared" si="654"/>
        <v/>
      </c>
      <c r="IR97" s="5" t="str">
        <f t="shared" si="521"/>
        <v/>
      </c>
      <c r="IS97" s="5" t="str">
        <f t="shared" si="655"/>
        <v/>
      </c>
      <c r="IT97" s="727" t="str">
        <f t="shared" si="656"/>
        <v/>
      </c>
      <c r="IU97" s="9" t="str">
        <f t="shared" si="657"/>
        <v/>
      </c>
      <c r="IV97" s="5" t="str">
        <f t="shared" si="658"/>
        <v/>
      </c>
      <c r="IW97" s="5" t="str">
        <f t="shared" si="522"/>
        <v/>
      </c>
      <c r="IX97" s="5" t="str">
        <f t="shared" si="659"/>
        <v/>
      </c>
      <c r="IY97" s="762" t="str">
        <f t="shared" si="660"/>
        <v/>
      </c>
    </row>
    <row r="98" spans="1:259" ht="15" customHeight="1" x14ac:dyDescent="0.25">
      <c r="A98" s="79"/>
      <c r="B98" s="707">
        <v>-6.5444126041193371</v>
      </c>
      <c r="C98" s="708">
        <v>-2.6109536828083466</v>
      </c>
      <c r="D98" s="709">
        <v>-3.3270100342622628</v>
      </c>
      <c r="E98" s="710">
        <v>-0.25806986510726887</v>
      </c>
      <c r="F98" s="708">
        <v>-0.96504346714568978</v>
      </c>
      <c r="G98" s="711">
        <v>4.5728013765550295E-2</v>
      </c>
      <c r="H98" s="710">
        <v>0.314</v>
      </c>
      <c r="I98" s="708">
        <v>0.52</v>
      </c>
      <c r="J98" s="570">
        <v>5.1589999999999998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7"/>
        <v>5.1589999999999998</v>
      </c>
      <c r="N98" s="632">
        <f t="shared" si="468"/>
        <v>-6.5444126041193371</v>
      </c>
      <c r="O98" s="629">
        <f t="shared" si="469"/>
        <v>-2.6109536828083466</v>
      </c>
      <c r="P98" s="633">
        <f t="shared" si="470"/>
        <v>-3.3270100342622628</v>
      </c>
      <c r="Q98" s="585">
        <f t="shared" si="523"/>
        <v>201.74998339605671</v>
      </c>
      <c r="R98" s="629">
        <f t="shared" si="79"/>
        <v>7.0460212508000932</v>
      </c>
      <c r="S98" s="634">
        <f t="shared" si="80"/>
        <v>-3.3270100342622628</v>
      </c>
      <c r="T98" s="635">
        <f t="shared" si="81"/>
        <v>-2.6109536828083444</v>
      </c>
      <c r="U98" s="629">
        <f t="shared" si="82"/>
        <v>6.544412604119338</v>
      </c>
      <c r="V98" s="636">
        <f t="shared" si="114"/>
        <v>-3.3270100342622628</v>
      </c>
      <c r="W98" s="585">
        <f t="shared" si="648"/>
        <v>111.74998339605671</v>
      </c>
      <c r="X98" s="629">
        <f t="shared" si="83"/>
        <v>7.0460212508000932</v>
      </c>
      <c r="Y98" s="630">
        <f t="shared" si="647"/>
        <v>-3.3270100342622628</v>
      </c>
      <c r="Z98" s="632">
        <f t="shared" si="471"/>
        <v>0.25806986510726887</v>
      </c>
      <c r="AA98" s="629">
        <f t="shared" si="472"/>
        <v>0.96504346714568978</v>
      </c>
      <c r="AB98" s="629">
        <f t="shared" si="473"/>
        <v>-4.5728013765550295E-2</v>
      </c>
      <c r="AC98" s="636">
        <f t="shared" si="84"/>
        <v>1</v>
      </c>
      <c r="AD98" s="637">
        <f t="shared" si="115"/>
        <v>0.25806986510726887</v>
      </c>
      <c r="AE98" s="629">
        <f t="shared" si="85"/>
        <v>0.96504346714568978</v>
      </c>
      <c r="AF98" s="633">
        <f t="shared" si="86"/>
        <v>-4.5728013765550295E-2</v>
      </c>
      <c r="AG98" s="602">
        <f t="shared" si="87"/>
        <v>87.287102576744189</v>
      </c>
      <c r="AH98" s="603">
        <f t="shared" si="88"/>
        <v>75.044434464309163</v>
      </c>
      <c r="AI98" s="585">
        <f t="shared" si="89"/>
        <v>-87.379063845333306</v>
      </c>
      <c r="AJ98" s="586">
        <f t="shared" si="90"/>
        <v>165.02840722558355</v>
      </c>
      <c r="AK98" s="635">
        <f t="shared" si="211"/>
        <v>0.80071205640303145</v>
      </c>
      <c r="AL98" s="629">
        <f t="shared" si="91"/>
        <v>-0.59730155825000719</v>
      </c>
      <c r="AM98" s="634">
        <f t="shared" si="92"/>
        <v>-4.5728013765550295E-2</v>
      </c>
      <c r="AN98" s="581">
        <f t="shared" si="93"/>
        <v>-85.622108519327412</v>
      </c>
      <c r="AO98" s="582">
        <f t="shared" si="463"/>
        <v>36.801847369798828</v>
      </c>
      <c r="AP98" s="585">
        <f t="shared" si="95"/>
        <v>-36.721576170473135</v>
      </c>
      <c r="AQ98" s="586">
        <f t="shared" si="474"/>
        <v>0.32354463874181633</v>
      </c>
      <c r="AS98" s="52">
        <f t="shared" si="546"/>
        <v>-248.25001660394329</v>
      </c>
      <c r="AT98" s="73">
        <f t="shared" si="475"/>
        <v>-3.1546141893984134</v>
      </c>
      <c r="AU98" s="469"/>
      <c r="AV98" s="168" t="str">
        <f t="shared" si="476"/>
        <v/>
      </c>
      <c r="AW98" s="418"/>
      <c r="AX98" s="419"/>
      <c r="AY98" s="420"/>
      <c r="AZ98" s="308" t="str">
        <f t="shared" si="547"/>
        <v/>
      </c>
      <c r="BA98" s="307" t="str">
        <f t="shared" si="477"/>
        <v/>
      </c>
      <c r="BB98" s="181" t="str">
        <f t="shared" si="524"/>
        <v/>
      </c>
      <c r="BC98" s="9"/>
      <c r="BD98" s="5" t="str">
        <f t="shared" si="525"/>
        <v/>
      </c>
      <c r="BE98" s="6" t="str">
        <f t="shared" si="478"/>
        <v/>
      </c>
      <c r="BF98" s="4" t="str">
        <f t="shared" si="479"/>
        <v/>
      </c>
      <c r="BG98" s="5" t="str">
        <f t="shared" si="480"/>
        <v/>
      </c>
      <c r="BH98" s="10" t="str">
        <f t="shared" si="481"/>
        <v/>
      </c>
      <c r="BI98" s="9" t="str">
        <f t="shared" si="548"/>
        <v/>
      </c>
      <c r="BJ98" s="5" t="str">
        <f t="shared" si="482"/>
        <v/>
      </c>
      <c r="BK98" s="8" t="str">
        <f t="shared" si="483"/>
        <v/>
      </c>
      <c r="BL98" s="177" t="str">
        <f t="shared" si="484"/>
        <v/>
      </c>
      <c r="BM98" s="5" t="str">
        <f t="shared" si="485"/>
        <v/>
      </c>
      <c r="BN98" s="6" t="str">
        <f t="shared" si="486"/>
        <v/>
      </c>
      <c r="BO98" s="4" t="str">
        <f t="shared" si="549"/>
        <v/>
      </c>
      <c r="BP98" s="5" t="str">
        <f t="shared" si="550"/>
        <v/>
      </c>
      <c r="BQ98" s="5" t="str">
        <f t="shared" si="551"/>
        <v/>
      </c>
      <c r="BR98" s="6" t="str">
        <f t="shared" si="552"/>
        <v/>
      </c>
      <c r="BS98" s="4" t="str">
        <f t="shared" si="526"/>
        <v/>
      </c>
      <c r="BT98" s="5" t="str">
        <f t="shared" si="526"/>
        <v/>
      </c>
      <c r="BU98" s="10" t="str">
        <f t="shared" si="527"/>
        <v/>
      </c>
      <c r="BV98" s="9" t="str">
        <f t="shared" si="528"/>
        <v/>
      </c>
      <c r="BW98" s="5" t="str">
        <f t="shared" si="529"/>
        <v/>
      </c>
      <c r="BX98" s="8" t="str">
        <f t="shared" si="530"/>
        <v/>
      </c>
      <c r="BY98" s="177" t="str">
        <f t="shared" si="531"/>
        <v/>
      </c>
      <c r="BZ98" s="5" t="str">
        <f t="shared" si="532"/>
        <v/>
      </c>
      <c r="CA98" s="6" t="str">
        <f t="shared" si="533"/>
        <v/>
      </c>
      <c r="CB98" s="4" t="str">
        <f t="shared" si="553"/>
        <v/>
      </c>
      <c r="CC98" s="5" t="str">
        <f t="shared" si="554"/>
        <v/>
      </c>
      <c r="CD98" s="5" t="str">
        <f t="shared" si="555"/>
        <v/>
      </c>
      <c r="CE98" s="6" t="str">
        <f t="shared" si="556"/>
        <v/>
      </c>
      <c r="CF98" s="4" t="str">
        <f t="shared" si="557"/>
        <v/>
      </c>
      <c r="CG98" s="5" t="str">
        <f t="shared" si="558"/>
        <v/>
      </c>
      <c r="CH98" s="5" t="str">
        <f t="shared" si="559"/>
        <v/>
      </c>
      <c r="CI98" s="4" t="str">
        <f t="shared" si="534"/>
        <v/>
      </c>
      <c r="CJ98" s="5" t="str">
        <f t="shared" si="535"/>
        <v/>
      </c>
      <c r="CK98" s="8" t="str">
        <f t="shared" si="536"/>
        <v/>
      </c>
      <c r="CL98" s="177" t="str">
        <f t="shared" si="537"/>
        <v/>
      </c>
      <c r="CM98" s="5" t="str">
        <f t="shared" si="538"/>
        <v/>
      </c>
      <c r="CN98" s="6" t="str">
        <f t="shared" si="539"/>
        <v/>
      </c>
      <c r="CO98" s="171" t="str">
        <f t="shared" si="487"/>
        <v/>
      </c>
      <c r="CP98" s="4" t="str">
        <f t="shared" si="560"/>
        <v/>
      </c>
      <c r="CQ98" s="5" t="str">
        <f t="shared" si="561"/>
        <v/>
      </c>
      <c r="CR98" s="5" t="str">
        <f t="shared" si="562"/>
        <v/>
      </c>
      <c r="CS98" s="8" t="str">
        <f t="shared" si="563"/>
        <v/>
      </c>
      <c r="CT98" s="9" t="str">
        <f t="shared" si="564"/>
        <v/>
      </c>
      <c r="CU98" s="6" t="str">
        <f t="shared" si="565"/>
        <v/>
      </c>
      <c r="CV98" s="4" t="str">
        <f t="shared" si="566"/>
        <v/>
      </c>
      <c r="CW98" s="5" t="str">
        <f t="shared" si="567"/>
        <v/>
      </c>
      <c r="CX98" s="8" t="str">
        <f t="shared" si="568"/>
        <v/>
      </c>
      <c r="CY98" s="9" t="str">
        <f t="shared" si="569"/>
        <v/>
      </c>
      <c r="CZ98" s="5" t="str">
        <f t="shared" si="570"/>
        <v/>
      </c>
      <c r="DA98" s="6" t="str">
        <f t="shared" si="571"/>
        <v/>
      </c>
      <c r="DB98" s="4" t="str">
        <f t="shared" si="572"/>
        <v/>
      </c>
      <c r="DC98" s="5" t="str">
        <f t="shared" si="572"/>
        <v/>
      </c>
      <c r="DD98" s="10" t="str">
        <f t="shared" si="573"/>
        <v/>
      </c>
      <c r="DE98" s="9" t="str">
        <f t="shared" si="574"/>
        <v/>
      </c>
      <c r="DF98" s="5" t="str">
        <f t="shared" si="574"/>
        <v/>
      </c>
      <c r="DG98" s="10" t="str">
        <f t="shared" si="575"/>
        <v/>
      </c>
      <c r="DH98" s="72" t="str">
        <f t="shared" si="576"/>
        <v/>
      </c>
      <c r="DI98" s="4" t="str">
        <f t="shared" si="577"/>
        <v/>
      </c>
      <c r="DJ98" s="5" t="str">
        <f t="shared" si="578"/>
        <v/>
      </c>
      <c r="DK98" s="10" t="str">
        <f t="shared" si="579"/>
        <v/>
      </c>
      <c r="DL98" s="9" t="str">
        <f t="shared" si="580"/>
        <v/>
      </c>
      <c r="DM98" s="177" t="str">
        <f t="shared" si="581"/>
        <v/>
      </c>
      <c r="DN98" s="182" t="str">
        <f t="shared" si="582"/>
        <v/>
      </c>
      <c r="DO98" s="9" t="str">
        <f t="shared" si="583"/>
        <v/>
      </c>
      <c r="DP98" s="177" t="str">
        <f t="shared" si="584"/>
        <v/>
      </c>
      <c r="DQ98" s="11" t="str">
        <f t="shared" si="585"/>
        <v/>
      </c>
      <c r="DR98" s="177" t="str">
        <f t="shared" si="586"/>
        <v/>
      </c>
      <c r="DS98" s="5" t="str">
        <f t="shared" si="587"/>
        <v/>
      </c>
      <c r="DT98" s="5" t="str">
        <f t="shared" si="588"/>
        <v/>
      </c>
      <c r="DU98" s="5" t="str">
        <f t="shared" si="589"/>
        <v/>
      </c>
      <c r="DV98" s="5" t="str">
        <f t="shared" si="590"/>
        <v/>
      </c>
      <c r="DW98" s="5" t="str">
        <f t="shared" si="591"/>
        <v/>
      </c>
      <c r="DX98" s="171" t="str">
        <f t="shared" si="592"/>
        <v/>
      </c>
      <c r="DY98" s="9" t="str">
        <f t="shared" si="593"/>
        <v/>
      </c>
      <c r="DZ98" s="5" t="str">
        <f t="shared" si="594"/>
        <v/>
      </c>
      <c r="EA98" s="10" t="str">
        <f t="shared" si="595"/>
        <v/>
      </c>
      <c r="EB98" s="6" t="str">
        <f t="shared" si="596"/>
        <v/>
      </c>
      <c r="EC98" s="177" t="str">
        <f t="shared" si="597"/>
        <v/>
      </c>
      <c r="ED98" s="5" t="str">
        <f t="shared" si="598"/>
        <v/>
      </c>
      <c r="EE98" s="4" t="str">
        <f t="shared" si="599"/>
        <v/>
      </c>
      <c r="EF98" s="5" t="str">
        <f t="shared" si="600"/>
        <v/>
      </c>
      <c r="EG98" s="10" t="str">
        <f t="shared" si="601"/>
        <v/>
      </c>
      <c r="EH98" s="9" t="str">
        <f t="shared" si="602"/>
        <v/>
      </c>
      <c r="EI98" s="5" t="str">
        <f t="shared" si="603"/>
        <v/>
      </c>
      <c r="EJ98" s="6" t="str">
        <f t="shared" si="604"/>
        <v/>
      </c>
      <c r="EK98" s="247" t="str">
        <f t="shared" si="605"/>
        <v/>
      </c>
      <c r="EL98" s="249" t="str">
        <f t="shared" si="606"/>
        <v/>
      </c>
      <c r="EM98" s="4" t="str">
        <f t="shared" si="607"/>
        <v/>
      </c>
      <c r="EN98" s="5" t="str">
        <f t="shared" si="608"/>
        <v/>
      </c>
      <c r="EO98" s="10" t="str">
        <f t="shared" si="609"/>
        <v/>
      </c>
      <c r="EP98" s="9" t="str">
        <f t="shared" si="610"/>
        <v/>
      </c>
      <c r="EQ98" s="5" t="str">
        <f t="shared" si="611"/>
        <v/>
      </c>
      <c r="ER98" s="7" t="str">
        <f t="shared" si="612"/>
        <v/>
      </c>
      <c r="ES98" s="21" t="str">
        <f t="shared" si="488"/>
        <v/>
      </c>
      <c r="ET98" s="5" t="str">
        <f t="shared" si="489"/>
        <v/>
      </c>
      <c r="EU98" s="10" t="str">
        <f t="shared" si="490"/>
        <v/>
      </c>
      <c r="EV98" s="178" t="str">
        <f t="shared" si="491"/>
        <v/>
      </c>
      <c r="EW98" s="9" t="str">
        <f t="shared" si="492"/>
        <v/>
      </c>
      <c r="EX98" s="5" t="str">
        <f t="shared" si="493"/>
        <v/>
      </c>
      <c r="EY98" s="6" t="str">
        <f t="shared" si="613"/>
        <v/>
      </c>
      <c r="EZ98" s="52" t="str">
        <f t="shared" si="614"/>
        <v/>
      </c>
      <c r="FA98" s="177" t="str">
        <f t="shared" si="494"/>
        <v/>
      </c>
      <c r="FB98" s="5" t="str">
        <f t="shared" si="495"/>
        <v/>
      </c>
      <c r="FC98" s="6" t="str">
        <f t="shared" si="496"/>
        <v/>
      </c>
      <c r="FD98" s="4" t="str">
        <f t="shared" si="497"/>
        <v/>
      </c>
      <c r="FE98" s="5" t="str">
        <f t="shared" si="498"/>
        <v/>
      </c>
      <c r="FF98" s="7" t="str">
        <f t="shared" si="615"/>
        <v/>
      </c>
      <c r="FG98" s="177" t="str">
        <f t="shared" si="499"/>
        <v/>
      </c>
      <c r="FH98" s="5" t="str">
        <f t="shared" si="500"/>
        <v/>
      </c>
      <c r="FI98" s="10" t="str">
        <f t="shared" si="501"/>
        <v/>
      </c>
      <c r="FJ98" s="290" t="str">
        <f t="shared" si="616"/>
        <v/>
      </c>
      <c r="FK98" s="4" t="str">
        <f t="shared" si="502"/>
        <v/>
      </c>
      <c r="FL98" s="5" t="str">
        <f t="shared" si="540"/>
        <v/>
      </c>
      <c r="FM98" s="8" t="str">
        <f t="shared" si="541"/>
        <v/>
      </c>
      <c r="FN98" s="9" t="str">
        <f t="shared" si="542"/>
        <v/>
      </c>
      <c r="FO98" s="10" t="str">
        <f t="shared" si="503"/>
        <v/>
      </c>
      <c r="FP98" s="288" t="str">
        <f t="shared" si="543"/>
        <v/>
      </c>
      <c r="FQ98" s="177" t="str">
        <f t="shared" si="617"/>
        <v/>
      </c>
      <c r="FR98" s="10" t="str">
        <f t="shared" si="618"/>
        <v/>
      </c>
      <c r="FS98" s="9" t="str">
        <f t="shared" si="619"/>
        <v/>
      </c>
      <c r="FT98" s="6" t="str">
        <f t="shared" si="620"/>
        <v/>
      </c>
      <c r="FU98" s="4" t="str">
        <f t="shared" si="621"/>
        <v/>
      </c>
      <c r="FV98" s="5" t="str">
        <f t="shared" si="622"/>
        <v/>
      </c>
      <c r="FW98" s="8" t="str">
        <f t="shared" si="623"/>
        <v/>
      </c>
      <c r="FX98" s="9" t="str">
        <f t="shared" si="624"/>
        <v/>
      </c>
      <c r="FY98" s="10" t="str">
        <f t="shared" si="504"/>
        <v/>
      </c>
      <c r="FZ98" s="288" t="str">
        <f t="shared" si="625"/>
        <v/>
      </c>
      <c r="GA98" s="181" t="str">
        <f t="shared" si="626"/>
        <v/>
      </c>
      <c r="GB98" s="4" t="str">
        <f t="shared" si="627"/>
        <v/>
      </c>
      <c r="GC98" s="5" t="str">
        <f t="shared" si="628"/>
        <v/>
      </c>
      <c r="GD98" s="10" t="str">
        <f t="shared" si="629"/>
        <v/>
      </c>
      <c r="GE98" s="324" t="str">
        <f t="shared" si="630"/>
        <v/>
      </c>
      <c r="GF98" s="362" t="str">
        <f t="shared" si="631"/>
        <v/>
      </c>
      <c r="GG98" s="296" t="str">
        <f t="shared" si="505"/>
        <v/>
      </c>
      <c r="GH98" s="297" t="str">
        <f t="shared" si="506"/>
        <v/>
      </c>
      <c r="GI98" s="292" t="str">
        <f t="shared" si="507"/>
        <v/>
      </c>
      <c r="GJ98" s="171" t="str">
        <f t="shared" si="632"/>
        <v/>
      </c>
      <c r="GK98" s="178" t="str">
        <f t="shared" si="508"/>
        <v/>
      </c>
      <c r="GL98" s="178" t="str">
        <f t="shared" si="633"/>
        <v/>
      </c>
      <c r="GM98" s="181" t="str">
        <f t="shared" si="634"/>
        <v/>
      </c>
      <c r="GN98" s="291" t="str">
        <f t="shared" si="635"/>
        <v/>
      </c>
      <c r="GO98" s="4" t="str">
        <f t="shared" si="636"/>
        <v/>
      </c>
      <c r="GP98" s="8" t="str">
        <f t="shared" si="637"/>
        <v/>
      </c>
      <c r="GQ98" s="181" t="str">
        <f t="shared" si="638"/>
        <v/>
      </c>
      <c r="GR98" s="417" t="str">
        <f t="shared" si="639"/>
        <v/>
      </c>
      <c r="GS98" s="363" t="str">
        <f t="shared" si="509"/>
        <v/>
      </c>
      <c r="GT98" s="364" t="str">
        <f t="shared" si="510"/>
        <v/>
      </c>
      <c r="GU98" s="365" t="str">
        <f t="shared" si="511"/>
        <v/>
      </c>
      <c r="GV98" s="364" t="str">
        <f t="shared" si="640"/>
        <v/>
      </c>
      <c r="GW98" s="366" t="str">
        <f t="shared" si="512"/>
        <v/>
      </c>
      <c r="GX98" s="367" t="str">
        <f t="shared" si="513"/>
        <v/>
      </c>
      <c r="GY98" s="365" t="str">
        <f t="shared" si="514"/>
        <v/>
      </c>
      <c r="GZ98" s="366" t="str">
        <f t="shared" si="515"/>
        <v/>
      </c>
      <c r="HA98" s="363" t="str">
        <f t="shared" si="516"/>
        <v/>
      </c>
      <c r="HB98" s="5" t="str">
        <f t="shared" si="641"/>
        <v/>
      </c>
      <c r="HC98" s="364" t="str">
        <f t="shared" si="642"/>
        <v/>
      </c>
      <c r="HD98" s="405" t="str">
        <f t="shared" si="643"/>
        <v/>
      </c>
      <c r="HE98" s="365" t="str">
        <f t="shared" si="517"/>
        <v/>
      </c>
      <c r="HF98" s="5" t="str">
        <f t="shared" si="518"/>
        <v/>
      </c>
      <c r="HG98" s="364" t="str">
        <f t="shared" si="644"/>
        <v/>
      </c>
      <c r="HH98" s="370" t="str">
        <f t="shared" si="645"/>
        <v/>
      </c>
      <c r="HI98" s="335" t="str">
        <f t="shared" si="519"/>
        <v/>
      </c>
      <c r="HK98" s="323" t="str">
        <f t="shared" si="238"/>
        <v/>
      </c>
      <c r="HL98" s="322" t="str">
        <f t="shared" si="544"/>
        <v/>
      </c>
      <c r="HM98" s="369" t="str">
        <f t="shared" si="661"/>
        <v/>
      </c>
      <c r="HN98" s="384" t="str">
        <f t="shared" si="661"/>
        <v/>
      </c>
      <c r="HO98" s="385" t="str">
        <f t="shared" si="661"/>
        <v/>
      </c>
      <c r="HP98" s="380" t="str">
        <f t="shared" si="661"/>
        <v/>
      </c>
      <c r="HQ98" s="384" t="str">
        <f t="shared" si="661"/>
        <v/>
      </c>
      <c r="HR98" s="395" t="str">
        <f t="shared" si="661"/>
        <v/>
      </c>
      <c r="HS98" s="379" t="str">
        <f t="shared" si="661"/>
        <v/>
      </c>
      <c r="HT98" s="374" t="str">
        <f t="shared" si="661"/>
        <v/>
      </c>
      <c r="HU98" s="375" t="str">
        <f t="shared" si="661"/>
        <v/>
      </c>
      <c r="HV98" s="376" t="str">
        <f t="shared" si="661"/>
        <v/>
      </c>
      <c r="HW98" s="374" t="str">
        <f t="shared" si="661"/>
        <v/>
      </c>
      <c r="HX98" s="375" t="str">
        <f t="shared" si="661"/>
        <v/>
      </c>
      <c r="HY98" s="376" t="str">
        <f t="shared" si="661"/>
        <v/>
      </c>
      <c r="HZ98" s="374" t="str">
        <f t="shared" si="661"/>
        <v/>
      </c>
      <c r="IA98" s="375" t="str">
        <f t="shared" si="661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6"/>
        <v>5.1589999999999998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5"/>
        <v>1613</v>
      </c>
      <c r="IK98" s="533" t="str">
        <f t="shared" si="520"/>
        <v/>
      </c>
      <c r="IL98" s="727" t="str">
        <f t="shared" si="651"/>
        <v/>
      </c>
      <c r="IM98" s="759"/>
      <c r="IN98" s="5" t="str">
        <f t="shared" si="652"/>
        <v/>
      </c>
      <c r="IO98" s="771"/>
      <c r="IP98" s="9" t="str">
        <f t="shared" si="653"/>
        <v/>
      </c>
      <c r="IQ98" s="5" t="str">
        <f t="shared" si="654"/>
        <v/>
      </c>
      <c r="IR98" s="5" t="str">
        <f t="shared" si="521"/>
        <v/>
      </c>
      <c r="IS98" s="5" t="str">
        <f t="shared" si="655"/>
        <v/>
      </c>
      <c r="IT98" s="727" t="str">
        <f t="shared" si="656"/>
        <v/>
      </c>
      <c r="IU98" s="9" t="str">
        <f t="shared" si="657"/>
        <v/>
      </c>
      <c r="IV98" s="5" t="str">
        <f t="shared" si="658"/>
        <v/>
      </c>
      <c r="IW98" s="5" t="str">
        <f t="shared" si="522"/>
        <v/>
      </c>
      <c r="IX98" s="5" t="str">
        <f t="shared" si="659"/>
        <v/>
      </c>
      <c r="IY98" s="762" t="str">
        <f t="shared" si="660"/>
        <v/>
      </c>
    </row>
    <row r="99" spans="1:259" ht="15" customHeight="1" x14ac:dyDescent="0.25">
      <c r="A99" s="79"/>
      <c r="B99" s="707">
        <v>-6.667652178559627</v>
      </c>
      <c r="C99" s="708">
        <v>-2.6264558088323198</v>
      </c>
      <c r="D99" s="709">
        <v>-4.0802123059203144</v>
      </c>
      <c r="E99" s="710">
        <v>-0.31730483563420903</v>
      </c>
      <c r="F99" s="708">
        <v>-0.94832359523694576</v>
      </c>
      <c r="G99" s="711">
        <v>1.4578093221941204E-7</v>
      </c>
      <c r="H99" s="710">
        <v>0.314</v>
      </c>
      <c r="I99" s="708">
        <v>0.52</v>
      </c>
      <c r="J99" s="570">
        <v>5.165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7"/>
        <v>5.165</v>
      </c>
      <c r="N99" s="632">
        <f t="shared" si="468"/>
        <v>-6.667652178559627</v>
      </c>
      <c r="O99" s="629">
        <f t="shared" si="469"/>
        <v>-2.6264558088323198</v>
      </c>
      <c r="P99" s="633">
        <f t="shared" si="470"/>
        <v>-4.0802123059203144</v>
      </c>
      <c r="Q99" s="585">
        <f t="shared" si="523"/>
        <v>201.49998339605673</v>
      </c>
      <c r="R99" s="629">
        <f t="shared" si="79"/>
        <v>7.1662999999999988</v>
      </c>
      <c r="S99" s="634">
        <f t="shared" si="80"/>
        <v>-4.0802123059203144</v>
      </c>
      <c r="T99" s="635">
        <f t="shared" si="81"/>
        <v>-2.6264558088323211</v>
      </c>
      <c r="U99" s="629">
        <f t="shared" si="82"/>
        <v>6.667652178559627</v>
      </c>
      <c r="V99" s="636">
        <f t="shared" si="114"/>
        <v>-4.0802123059203144</v>
      </c>
      <c r="W99" s="585">
        <f t="shared" si="648"/>
        <v>111.49998339605673</v>
      </c>
      <c r="X99" s="629">
        <f t="shared" si="83"/>
        <v>7.1662999999999988</v>
      </c>
      <c r="Y99" s="630">
        <f t="shared" si="647"/>
        <v>-4.0802123059203144</v>
      </c>
      <c r="Z99" s="632">
        <f t="shared" si="471"/>
        <v>0.31730483563420903</v>
      </c>
      <c r="AA99" s="629">
        <f t="shared" si="472"/>
        <v>0.94832359523694576</v>
      </c>
      <c r="AB99" s="629">
        <f t="shared" si="473"/>
        <v>-1.4578093221941204E-7</v>
      </c>
      <c r="AC99" s="636">
        <f t="shared" si="84"/>
        <v>1</v>
      </c>
      <c r="AD99" s="637">
        <f t="shared" si="115"/>
        <v>0.31730483563420903</v>
      </c>
      <c r="AE99" s="629">
        <f t="shared" si="85"/>
        <v>0.94832359523694576</v>
      </c>
      <c r="AF99" s="633">
        <f t="shared" si="86"/>
        <v>-1.4578093221941204E-7</v>
      </c>
      <c r="AG99" s="602">
        <f t="shared" si="87"/>
        <v>89.999991192213102</v>
      </c>
      <c r="AH99" s="603">
        <f t="shared" si="88"/>
        <v>71.49998917134225</v>
      </c>
      <c r="AI99" s="585">
        <f t="shared" si="89"/>
        <v>-89.99999164736785</v>
      </c>
      <c r="AJ99" s="586">
        <f t="shared" si="90"/>
        <v>161.49998917134207</v>
      </c>
      <c r="AK99" s="635">
        <f t="shared" si="211"/>
        <v>0.76604450791050716</v>
      </c>
      <c r="AL99" s="629">
        <f t="shared" si="91"/>
        <v>-0.64278753247097753</v>
      </c>
      <c r="AM99" s="634">
        <f t="shared" si="92"/>
        <v>-1.4578093221941204E-7</v>
      </c>
      <c r="AN99" s="581">
        <f t="shared" si="93"/>
        <v>-89.999987005609597</v>
      </c>
      <c r="AO99" s="582">
        <f t="shared" si="463"/>
        <v>39.999994224715394</v>
      </c>
      <c r="AP99" s="585">
        <f t="shared" si="95"/>
        <v>-39.999994224714676</v>
      </c>
      <c r="AQ99" s="586">
        <f t="shared" si="474"/>
        <v>0.31811439748911496</v>
      </c>
      <c r="AS99" s="52">
        <f t="shared" si="546"/>
        <v>-248.50001660394327</v>
      </c>
      <c r="AT99" s="73">
        <f t="shared" si="475"/>
        <v>-3.9076428499453537</v>
      </c>
      <c r="AU99" s="469"/>
      <c r="AV99" s="168" t="str">
        <f t="shared" si="476"/>
        <v/>
      </c>
      <c r="AW99" s="418"/>
      <c r="AX99" s="419"/>
      <c r="AY99" s="420"/>
      <c r="AZ99" s="308" t="str">
        <f t="shared" si="547"/>
        <v/>
      </c>
      <c r="BA99" s="307" t="str">
        <f t="shared" si="477"/>
        <v/>
      </c>
      <c r="BB99" s="181" t="str">
        <f t="shared" si="524"/>
        <v/>
      </c>
      <c r="BC99" s="9"/>
      <c r="BD99" s="5" t="str">
        <f t="shared" si="525"/>
        <v/>
      </c>
      <c r="BE99" s="6" t="str">
        <f t="shared" si="478"/>
        <v/>
      </c>
      <c r="BF99" s="4" t="str">
        <f t="shared" si="479"/>
        <v/>
      </c>
      <c r="BG99" s="5" t="str">
        <f t="shared" si="480"/>
        <v/>
      </c>
      <c r="BH99" s="10" t="str">
        <f t="shared" si="481"/>
        <v/>
      </c>
      <c r="BI99" s="9" t="str">
        <f t="shared" si="548"/>
        <v/>
      </c>
      <c r="BJ99" s="5" t="str">
        <f t="shared" si="482"/>
        <v/>
      </c>
      <c r="BK99" s="8" t="str">
        <f t="shared" si="483"/>
        <v/>
      </c>
      <c r="BL99" s="177" t="str">
        <f t="shared" si="484"/>
        <v/>
      </c>
      <c r="BM99" s="5" t="str">
        <f t="shared" si="485"/>
        <v/>
      </c>
      <c r="BN99" s="6" t="str">
        <f t="shared" si="486"/>
        <v/>
      </c>
      <c r="BO99" s="4" t="str">
        <f t="shared" si="549"/>
        <v/>
      </c>
      <c r="BP99" s="5" t="str">
        <f t="shared" si="550"/>
        <v/>
      </c>
      <c r="BQ99" s="5" t="str">
        <f t="shared" si="551"/>
        <v/>
      </c>
      <c r="BR99" s="6" t="str">
        <f t="shared" si="552"/>
        <v/>
      </c>
      <c r="BS99" s="4" t="str">
        <f t="shared" si="526"/>
        <v/>
      </c>
      <c r="BT99" s="5" t="str">
        <f t="shared" si="526"/>
        <v/>
      </c>
      <c r="BU99" s="10" t="str">
        <f t="shared" si="527"/>
        <v/>
      </c>
      <c r="BV99" s="9" t="str">
        <f t="shared" si="528"/>
        <v/>
      </c>
      <c r="BW99" s="5" t="str">
        <f t="shared" si="529"/>
        <v/>
      </c>
      <c r="BX99" s="8" t="str">
        <f t="shared" si="530"/>
        <v/>
      </c>
      <c r="BY99" s="177" t="str">
        <f t="shared" si="531"/>
        <v/>
      </c>
      <c r="BZ99" s="5" t="str">
        <f t="shared" si="532"/>
        <v/>
      </c>
      <c r="CA99" s="6" t="str">
        <f t="shared" si="533"/>
        <v/>
      </c>
      <c r="CB99" s="4" t="str">
        <f t="shared" si="553"/>
        <v/>
      </c>
      <c r="CC99" s="5" t="str">
        <f t="shared" si="554"/>
        <v/>
      </c>
      <c r="CD99" s="5" t="str">
        <f t="shared" si="555"/>
        <v/>
      </c>
      <c r="CE99" s="6" t="str">
        <f t="shared" si="556"/>
        <v/>
      </c>
      <c r="CF99" s="4" t="str">
        <f t="shared" si="557"/>
        <v/>
      </c>
      <c r="CG99" s="5" t="str">
        <f t="shared" si="558"/>
        <v/>
      </c>
      <c r="CH99" s="5" t="str">
        <f t="shared" si="559"/>
        <v/>
      </c>
      <c r="CI99" s="4" t="str">
        <f t="shared" si="534"/>
        <v/>
      </c>
      <c r="CJ99" s="5" t="str">
        <f t="shared" si="535"/>
        <v/>
      </c>
      <c r="CK99" s="8" t="str">
        <f t="shared" si="536"/>
        <v/>
      </c>
      <c r="CL99" s="177" t="str">
        <f t="shared" si="537"/>
        <v/>
      </c>
      <c r="CM99" s="5" t="str">
        <f t="shared" si="538"/>
        <v/>
      </c>
      <c r="CN99" s="6" t="str">
        <f t="shared" si="539"/>
        <v/>
      </c>
      <c r="CO99" s="171" t="str">
        <f t="shared" si="487"/>
        <v/>
      </c>
      <c r="CP99" s="4" t="str">
        <f t="shared" si="560"/>
        <v/>
      </c>
      <c r="CQ99" s="5" t="str">
        <f t="shared" si="561"/>
        <v/>
      </c>
      <c r="CR99" s="5" t="str">
        <f t="shared" si="562"/>
        <v/>
      </c>
      <c r="CS99" s="8" t="str">
        <f t="shared" si="563"/>
        <v/>
      </c>
      <c r="CT99" s="9" t="str">
        <f t="shared" si="564"/>
        <v/>
      </c>
      <c r="CU99" s="6" t="str">
        <f t="shared" si="565"/>
        <v/>
      </c>
      <c r="CV99" s="4" t="str">
        <f t="shared" si="566"/>
        <v/>
      </c>
      <c r="CW99" s="5" t="str">
        <f t="shared" si="567"/>
        <v/>
      </c>
      <c r="CX99" s="8" t="str">
        <f t="shared" si="568"/>
        <v/>
      </c>
      <c r="CY99" s="9" t="str">
        <f t="shared" si="569"/>
        <v/>
      </c>
      <c r="CZ99" s="5" t="str">
        <f t="shared" si="570"/>
        <v/>
      </c>
      <c r="DA99" s="6" t="str">
        <f t="shared" si="571"/>
        <v/>
      </c>
      <c r="DB99" s="4" t="str">
        <f t="shared" si="572"/>
        <v/>
      </c>
      <c r="DC99" s="5" t="str">
        <f t="shared" si="572"/>
        <v/>
      </c>
      <c r="DD99" s="10" t="str">
        <f t="shared" si="573"/>
        <v/>
      </c>
      <c r="DE99" s="9" t="str">
        <f t="shared" si="574"/>
        <v/>
      </c>
      <c r="DF99" s="5" t="str">
        <f t="shared" si="574"/>
        <v/>
      </c>
      <c r="DG99" s="10" t="str">
        <f t="shared" si="575"/>
        <v/>
      </c>
      <c r="DH99" s="72" t="str">
        <f t="shared" si="576"/>
        <v/>
      </c>
      <c r="DI99" s="4" t="str">
        <f t="shared" si="577"/>
        <v/>
      </c>
      <c r="DJ99" s="5" t="str">
        <f t="shared" si="578"/>
        <v/>
      </c>
      <c r="DK99" s="10" t="str">
        <f t="shared" si="579"/>
        <v/>
      </c>
      <c r="DL99" s="9" t="str">
        <f t="shared" si="580"/>
        <v/>
      </c>
      <c r="DM99" s="177" t="str">
        <f t="shared" si="581"/>
        <v/>
      </c>
      <c r="DN99" s="182" t="str">
        <f t="shared" si="582"/>
        <v/>
      </c>
      <c r="DO99" s="9" t="str">
        <f t="shared" si="583"/>
        <v/>
      </c>
      <c r="DP99" s="177" t="str">
        <f t="shared" si="584"/>
        <v/>
      </c>
      <c r="DQ99" s="11" t="str">
        <f t="shared" si="585"/>
        <v/>
      </c>
      <c r="DR99" s="177" t="str">
        <f t="shared" si="586"/>
        <v/>
      </c>
      <c r="DS99" s="5" t="str">
        <f t="shared" si="587"/>
        <v/>
      </c>
      <c r="DT99" s="5" t="str">
        <f t="shared" si="588"/>
        <v/>
      </c>
      <c r="DU99" s="5" t="str">
        <f t="shared" si="589"/>
        <v/>
      </c>
      <c r="DV99" s="5" t="str">
        <f t="shared" si="590"/>
        <v/>
      </c>
      <c r="DW99" s="5" t="str">
        <f t="shared" si="591"/>
        <v/>
      </c>
      <c r="DX99" s="171" t="str">
        <f t="shared" si="592"/>
        <v/>
      </c>
      <c r="DY99" s="9" t="str">
        <f t="shared" si="593"/>
        <v/>
      </c>
      <c r="DZ99" s="5" t="str">
        <f t="shared" si="594"/>
        <v/>
      </c>
      <c r="EA99" s="10" t="str">
        <f t="shared" si="595"/>
        <v/>
      </c>
      <c r="EB99" s="6" t="str">
        <f t="shared" si="596"/>
        <v/>
      </c>
      <c r="EC99" s="177" t="str">
        <f t="shared" si="597"/>
        <v/>
      </c>
      <c r="ED99" s="5" t="str">
        <f t="shared" si="598"/>
        <v/>
      </c>
      <c r="EE99" s="4" t="str">
        <f t="shared" si="599"/>
        <v/>
      </c>
      <c r="EF99" s="5" t="str">
        <f t="shared" si="600"/>
        <v/>
      </c>
      <c r="EG99" s="10" t="str">
        <f t="shared" si="601"/>
        <v/>
      </c>
      <c r="EH99" s="9" t="str">
        <f t="shared" si="602"/>
        <v/>
      </c>
      <c r="EI99" s="5" t="str">
        <f t="shared" si="603"/>
        <v/>
      </c>
      <c r="EJ99" s="6" t="str">
        <f t="shared" si="604"/>
        <v/>
      </c>
      <c r="EK99" s="247" t="str">
        <f t="shared" si="605"/>
        <v/>
      </c>
      <c r="EL99" s="249" t="str">
        <f t="shared" si="606"/>
        <v/>
      </c>
      <c r="EM99" s="4" t="str">
        <f t="shared" si="607"/>
        <v/>
      </c>
      <c r="EN99" s="5" t="str">
        <f t="shared" si="608"/>
        <v/>
      </c>
      <c r="EO99" s="10" t="str">
        <f t="shared" si="609"/>
        <v/>
      </c>
      <c r="EP99" s="9" t="str">
        <f t="shared" si="610"/>
        <v/>
      </c>
      <c r="EQ99" s="5" t="str">
        <f t="shared" si="611"/>
        <v/>
      </c>
      <c r="ER99" s="7" t="str">
        <f t="shared" si="612"/>
        <v/>
      </c>
      <c r="ES99" s="21" t="str">
        <f t="shared" si="488"/>
        <v/>
      </c>
      <c r="ET99" s="5" t="str">
        <f t="shared" si="489"/>
        <v/>
      </c>
      <c r="EU99" s="10" t="str">
        <f t="shared" si="490"/>
        <v/>
      </c>
      <c r="EV99" s="178" t="str">
        <f t="shared" si="491"/>
        <v/>
      </c>
      <c r="EW99" s="9" t="str">
        <f t="shared" si="492"/>
        <v/>
      </c>
      <c r="EX99" s="5" t="str">
        <f t="shared" si="493"/>
        <v/>
      </c>
      <c r="EY99" s="6" t="str">
        <f t="shared" si="613"/>
        <v/>
      </c>
      <c r="EZ99" s="52" t="str">
        <f t="shared" si="614"/>
        <v/>
      </c>
      <c r="FA99" s="177" t="str">
        <f t="shared" si="494"/>
        <v/>
      </c>
      <c r="FB99" s="5" t="str">
        <f t="shared" si="495"/>
        <v/>
      </c>
      <c r="FC99" s="6" t="str">
        <f t="shared" si="496"/>
        <v/>
      </c>
      <c r="FD99" s="4" t="str">
        <f t="shared" si="497"/>
        <v/>
      </c>
      <c r="FE99" s="5" t="str">
        <f t="shared" si="498"/>
        <v/>
      </c>
      <c r="FF99" s="7" t="str">
        <f t="shared" si="615"/>
        <v/>
      </c>
      <c r="FG99" s="177" t="str">
        <f t="shared" si="499"/>
        <v/>
      </c>
      <c r="FH99" s="5" t="str">
        <f t="shared" si="500"/>
        <v/>
      </c>
      <c r="FI99" s="10" t="str">
        <f t="shared" si="501"/>
        <v/>
      </c>
      <c r="FJ99" s="290" t="str">
        <f t="shared" si="616"/>
        <v/>
      </c>
      <c r="FK99" s="4" t="str">
        <f t="shared" si="502"/>
        <v/>
      </c>
      <c r="FL99" s="5" t="str">
        <f t="shared" si="540"/>
        <v/>
      </c>
      <c r="FM99" s="8" t="str">
        <f t="shared" si="541"/>
        <v/>
      </c>
      <c r="FN99" s="9" t="str">
        <f t="shared" si="542"/>
        <v/>
      </c>
      <c r="FO99" s="10" t="str">
        <f t="shared" si="503"/>
        <v/>
      </c>
      <c r="FP99" s="288" t="str">
        <f t="shared" si="543"/>
        <v/>
      </c>
      <c r="FQ99" s="177" t="str">
        <f t="shared" si="617"/>
        <v/>
      </c>
      <c r="FR99" s="10" t="str">
        <f t="shared" si="618"/>
        <v/>
      </c>
      <c r="FS99" s="9" t="str">
        <f t="shared" si="619"/>
        <v/>
      </c>
      <c r="FT99" s="6" t="str">
        <f t="shared" si="620"/>
        <v/>
      </c>
      <c r="FU99" s="4" t="str">
        <f t="shared" si="621"/>
        <v/>
      </c>
      <c r="FV99" s="5" t="str">
        <f t="shared" si="622"/>
        <v/>
      </c>
      <c r="FW99" s="8" t="str">
        <f t="shared" si="623"/>
        <v/>
      </c>
      <c r="FX99" s="9" t="str">
        <f t="shared" si="624"/>
        <v/>
      </c>
      <c r="FY99" s="10" t="str">
        <f t="shared" si="504"/>
        <v/>
      </c>
      <c r="FZ99" s="288" t="str">
        <f t="shared" si="625"/>
        <v/>
      </c>
      <c r="GA99" s="181" t="str">
        <f t="shared" si="626"/>
        <v/>
      </c>
      <c r="GB99" s="4" t="str">
        <f t="shared" si="627"/>
        <v/>
      </c>
      <c r="GC99" s="5" t="str">
        <f t="shared" si="628"/>
        <v/>
      </c>
      <c r="GD99" s="10" t="str">
        <f t="shared" si="629"/>
        <v/>
      </c>
      <c r="GE99" s="324" t="str">
        <f t="shared" si="630"/>
        <v/>
      </c>
      <c r="GF99" s="362" t="str">
        <f t="shared" si="631"/>
        <v/>
      </c>
      <c r="GG99" s="296" t="str">
        <f t="shared" si="505"/>
        <v/>
      </c>
      <c r="GH99" s="297" t="str">
        <f t="shared" si="506"/>
        <v/>
      </c>
      <c r="GI99" s="292" t="str">
        <f t="shared" si="507"/>
        <v/>
      </c>
      <c r="GJ99" s="171" t="str">
        <f t="shared" si="632"/>
        <v/>
      </c>
      <c r="GK99" s="178" t="str">
        <f t="shared" si="508"/>
        <v/>
      </c>
      <c r="GL99" s="178" t="str">
        <f t="shared" si="633"/>
        <v/>
      </c>
      <c r="GM99" s="181" t="str">
        <f t="shared" si="634"/>
        <v/>
      </c>
      <c r="GN99" s="291" t="str">
        <f t="shared" si="635"/>
        <v/>
      </c>
      <c r="GO99" s="4" t="str">
        <f t="shared" si="636"/>
        <v/>
      </c>
      <c r="GP99" s="8" t="str">
        <f t="shared" si="637"/>
        <v/>
      </c>
      <c r="GQ99" s="181" t="str">
        <f t="shared" si="638"/>
        <v/>
      </c>
      <c r="GR99" s="417" t="str">
        <f t="shared" si="639"/>
        <v/>
      </c>
      <c r="GS99" s="363" t="str">
        <f t="shared" si="509"/>
        <v/>
      </c>
      <c r="GT99" s="364" t="str">
        <f t="shared" si="510"/>
        <v/>
      </c>
      <c r="GU99" s="365" t="str">
        <f t="shared" si="511"/>
        <v/>
      </c>
      <c r="GV99" s="364" t="str">
        <f t="shared" si="640"/>
        <v/>
      </c>
      <c r="GW99" s="366" t="str">
        <f t="shared" si="512"/>
        <v/>
      </c>
      <c r="GX99" s="367" t="str">
        <f t="shared" si="513"/>
        <v/>
      </c>
      <c r="GY99" s="365" t="str">
        <f t="shared" si="514"/>
        <v/>
      </c>
      <c r="GZ99" s="366" t="str">
        <f t="shared" si="515"/>
        <v/>
      </c>
      <c r="HA99" s="363" t="str">
        <f t="shared" si="516"/>
        <v/>
      </c>
      <c r="HB99" s="5" t="str">
        <f t="shared" si="641"/>
        <v/>
      </c>
      <c r="HC99" s="364" t="str">
        <f t="shared" si="642"/>
        <v/>
      </c>
      <c r="HD99" s="405" t="str">
        <f t="shared" si="643"/>
        <v/>
      </c>
      <c r="HE99" s="365" t="str">
        <f t="shared" si="517"/>
        <v/>
      </c>
      <c r="HF99" s="5" t="str">
        <f t="shared" si="518"/>
        <v/>
      </c>
      <c r="HG99" s="364" t="str">
        <f t="shared" si="644"/>
        <v/>
      </c>
      <c r="HH99" s="370" t="str">
        <f t="shared" si="645"/>
        <v/>
      </c>
      <c r="HI99" s="335" t="str">
        <f t="shared" si="519"/>
        <v/>
      </c>
      <c r="HK99" s="323" t="str">
        <f t="shared" si="238"/>
        <v/>
      </c>
      <c r="HL99" s="322" t="str">
        <f t="shared" si="544"/>
        <v/>
      </c>
      <c r="HM99" s="369" t="str">
        <f t="shared" ref="HM99:IA108" si="662">IF(ISNUMBER($HL99),VLOOKUP($HL99,$GJ$9:$HI$150,HM$1,FALSE),"")</f>
        <v/>
      </c>
      <c r="HN99" s="384" t="str">
        <f t="shared" si="662"/>
        <v/>
      </c>
      <c r="HO99" s="385" t="str">
        <f t="shared" si="662"/>
        <v/>
      </c>
      <c r="HP99" s="380" t="str">
        <f t="shared" si="662"/>
        <v/>
      </c>
      <c r="HQ99" s="384" t="str">
        <f t="shared" si="662"/>
        <v/>
      </c>
      <c r="HR99" s="395" t="str">
        <f t="shared" si="662"/>
        <v/>
      </c>
      <c r="HS99" s="379" t="str">
        <f t="shared" si="662"/>
        <v/>
      </c>
      <c r="HT99" s="374" t="str">
        <f t="shared" si="662"/>
        <v/>
      </c>
      <c r="HU99" s="375" t="str">
        <f t="shared" si="662"/>
        <v/>
      </c>
      <c r="HV99" s="376" t="str">
        <f t="shared" si="662"/>
        <v/>
      </c>
      <c r="HW99" s="374" t="str">
        <f t="shared" si="662"/>
        <v/>
      </c>
      <c r="HX99" s="375" t="str">
        <f t="shared" si="662"/>
        <v/>
      </c>
      <c r="HY99" s="376" t="str">
        <f t="shared" si="662"/>
        <v/>
      </c>
      <c r="HZ99" s="374" t="str">
        <f t="shared" si="662"/>
        <v/>
      </c>
      <c r="IA99" s="375" t="str">
        <f t="shared" si="662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6"/>
        <v>5.165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5"/>
        <v>1613</v>
      </c>
      <c r="IK99" s="533" t="str">
        <f t="shared" si="520"/>
        <v/>
      </c>
      <c r="IL99" s="727" t="str">
        <f t="shared" si="651"/>
        <v/>
      </c>
      <c r="IM99" s="759"/>
      <c r="IN99" s="5" t="str">
        <f t="shared" si="652"/>
        <v/>
      </c>
      <c r="IO99" s="771"/>
      <c r="IP99" s="9" t="str">
        <f t="shared" si="653"/>
        <v/>
      </c>
      <c r="IQ99" s="5" t="str">
        <f t="shared" si="654"/>
        <v/>
      </c>
      <c r="IR99" s="5" t="str">
        <f t="shared" si="521"/>
        <v/>
      </c>
      <c r="IS99" s="5" t="str">
        <f t="shared" si="655"/>
        <v/>
      </c>
      <c r="IT99" s="727" t="str">
        <f t="shared" si="656"/>
        <v/>
      </c>
      <c r="IU99" s="9" t="str">
        <f t="shared" si="657"/>
        <v/>
      </c>
      <c r="IV99" s="5" t="str">
        <f t="shared" si="658"/>
        <v/>
      </c>
      <c r="IW99" s="5" t="str">
        <f t="shared" si="522"/>
        <v/>
      </c>
      <c r="IX99" s="5" t="str">
        <f t="shared" si="659"/>
        <v/>
      </c>
      <c r="IY99" s="762" t="str">
        <f t="shared" si="660"/>
        <v/>
      </c>
    </row>
    <row r="100" spans="1:259" ht="15" customHeight="1" x14ac:dyDescent="0.25">
      <c r="A100" s="79"/>
      <c r="B100" s="707">
        <v>-4.25858630543574</v>
      </c>
      <c r="C100" s="708">
        <v>-0.66899283426508072</v>
      </c>
      <c r="D100" s="709">
        <v>-7.9300239169521114E-2</v>
      </c>
      <c r="E100" s="710">
        <v>-0.12894477746676375</v>
      </c>
      <c r="F100" s="708">
        <v>-2.0256513223989515E-2</v>
      </c>
      <c r="G100" s="711">
        <v>0.99144486384067432</v>
      </c>
      <c r="H100" s="710">
        <v>0.26250000000000001</v>
      </c>
      <c r="I100" s="708">
        <v>0.40699999999999997</v>
      </c>
      <c r="J100" s="570">
        <v>5.2229999999999999</v>
      </c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Inactive</v>
      </c>
      <c r="L100" s="1314">
        <f t="shared" ref="L100:L106" si="663">IO100</f>
        <v>30</v>
      </c>
      <c r="M100" s="168">
        <f t="shared" si="467"/>
        <v>5.2229999999999999</v>
      </c>
      <c r="N100" s="632">
        <f t="shared" si="468"/>
        <v>-4.25858630543574</v>
      </c>
      <c r="O100" s="629">
        <f t="shared" si="469"/>
        <v>-0.66899283426508072</v>
      </c>
      <c r="P100" s="633">
        <f t="shared" si="470"/>
        <v>-7.9300239169521114E-2</v>
      </c>
      <c r="Q100" s="585">
        <f t="shared" si="523"/>
        <v>188.92778571659494</v>
      </c>
      <c r="R100" s="629">
        <f t="shared" si="79"/>
        <v>4.3108130014120132</v>
      </c>
      <c r="S100" s="634">
        <f t="shared" si="80"/>
        <v>-7.9300239169521114E-2</v>
      </c>
      <c r="T100" s="635">
        <f t="shared" si="81"/>
        <v>-0.66899283426507983</v>
      </c>
      <c r="U100" s="629">
        <f t="shared" si="82"/>
        <v>4.25858630543574</v>
      </c>
      <c r="V100" s="636">
        <f t="shared" si="114"/>
        <v>-7.9300239169521114E-2</v>
      </c>
      <c r="W100" s="585">
        <f t="shared" si="648"/>
        <v>98.92778571659494</v>
      </c>
      <c r="X100" s="629">
        <f t="shared" si="83"/>
        <v>4.3108130014120132</v>
      </c>
      <c r="Y100" s="630">
        <f t="shared" si="647"/>
        <v>-7.9300239169521114E-2</v>
      </c>
      <c r="Z100" s="632">
        <f t="shared" si="471"/>
        <v>0.12894477746676375</v>
      </c>
      <c r="AA100" s="629">
        <f t="shared" si="472"/>
        <v>2.0256513223989515E-2</v>
      </c>
      <c r="AB100" s="629">
        <f t="shared" si="473"/>
        <v>-0.99144486384067432</v>
      </c>
      <c r="AC100" s="636">
        <f t="shared" si="84"/>
        <v>1</v>
      </c>
      <c r="AD100" s="637">
        <f t="shared" si="115"/>
        <v>0.12894477746676375</v>
      </c>
      <c r="AE100" s="629">
        <f t="shared" si="85"/>
        <v>2.0256513223989515E-2</v>
      </c>
      <c r="AF100" s="633">
        <f t="shared" si="86"/>
        <v>-0.99144486384067432</v>
      </c>
      <c r="AG100" s="602">
        <f t="shared" si="87"/>
        <v>1.1704647463802675</v>
      </c>
      <c r="AH100" s="603">
        <f t="shared" si="88"/>
        <v>82.591380692317188</v>
      </c>
      <c r="AI100" s="585">
        <f t="shared" si="89"/>
        <v>-7.4999989171453043</v>
      </c>
      <c r="AJ100" s="586">
        <f t="shared" si="90"/>
        <v>98.92788527050088</v>
      </c>
      <c r="AK100" s="635">
        <f t="shared" si="211"/>
        <v>2.2679489672036701E-7</v>
      </c>
      <c r="AL100" s="629">
        <f t="shared" si="91"/>
        <v>-0.130526173482162</v>
      </c>
      <c r="AM100" s="634">
        <f t="shared" si="92"/>
        <v>-0.99144486384067432</v>
      </c>
      <c r="AN100" s="581">
        <f t="shared" si="93"/>
        <v>-7.4999989171341355</v>
      </c>
      <c r="AO100" s="582">
        <f t="shared" si="463"/>
        <v>0</v>
      </c>
      <c r="AP100" s="585">
        <f t="shared" si="95"/>
        <v>-89.99990044609406</v>
      </c>
      <c r="AQ100" s="586">
        <f t="shared" si="474"/>
        <v>0.52882412108710763</v>
      </c>
      <c r="AS100" s="52">
        <f t="shared" si="546"/>
        <v>-261.07221428340506</v>
      </c>
      <c r="AT100" s="73">
        <f t="shared" si="475"/>
        <v>0.10199990963839908</v>
      </c>
      <c r="AU100" s="469"/>
      <c r="AV100" s="168" t="str">
        <f t="shared" si="476"/>
        <v/>
      </c>
      <c r="AW100" s="418"/>
      <c r="AX100" s="419"/>
      <c r="AY100" s="420"/>
      <c r="AZ100" s="308" t="str">
        <f t="shared" si="547"/>
        <v/>
      </c>
      <c r="BA100" s="307" t="str">
        <f t="shared" si="477"/>
        <v/>
      </c>
      <c r="BB100" s="181" t="str">
        <f t="shared" si="524"/>
        <v/>
      </c>
      <c r="BC100" s="9"/>
      <c r="BD100" s="5" t="str">
        <f t="shared" si="525"/>
        <v/>
      </c>
      <c r="BE100" s="6" t="str">
        <f t="shared" si="478"/>
        <v/>
      </c>
      <c r="BF100" s="4" t="str">
        <f t="shared" si="479"/>
        <v/>
      </c>
      <c r="BG100" s="5" t="str">
        <f t="shared" si="480"/>
        <v/>
      </c>
      <c r="BH100" s="10" t="str">
        <f t="shared" si="481"/>
        <v/>
      </c>
      <c r="BI100" s="9" t="str">
        <f t="shared" si="548"/>
        <v/>
      </c>
      <c r="BJ100" s="5" t="str">
        <f t="shared" si="482"/>
        <v/>
      </c>
      <c r="BK100" s="8" t="str">
        <f t="shared" si="483"/>
        <v/>
      </c>
      <c r="BL100" s="177" t="str">
        <f t="shared" si="484"/>
        <v/>
      </c>
      <c r="BM100" s="5" t="str">
        <f t="shared" si="485"/>
        <v/>
      </c>
      <c r="BN100" s="6" t="str">
        <f t="shared" si="486"/>
        <v/>
      </c>
      <c r="BO100" s="4" t="str">
        <f t="shared" si="549"/>
        <v/>
      </c>
      <c r="BP100" s="5" t="str">
        <f t="shared" si="550"/>
        <v/>
      </c>
      <c r="BQ100" s="5" t="str">
        <f t="shared" si="551"/>
        <v/>
      </c>
      <c r="BR100" s="6" t="str">
        <f t="shared" si="552"/>
        <v/>
      </c>
      <c r="BS100" s="4" t="str">
        <f t="shared" si="526"/>
        <v/>
      </c>
      <c r="BT100" s="5" t="str">
        <f t="shared" si="526"/>
        <v/>
      </c>
      <c r="BU100" s="10" t="str">
        <f t="shared" si="527"/>
        <v/>
      </c>
      <c r="BV100" s="9" t="str">
        <f t="shared" si="528"/>
        <v/>
      </c>
      <c r="BW100" s="5" t="str">
        <f t="shared" si="529"/>
        <v/>
      </c>
      <c r="BX100" s="8" t="str">
        <f t="shared" si="530"/>
        <v/>
      </c>
      <c r="BY100" s="177" t="str">
        <f t="shared" si="531"/>
        <v/>
      </c>
      <c r="BZ100" s="5" t="str">
        <f t="shared" si="532"/>
        <v/>
      </c>
      <c r="CA100" s="6" t="str">
        <f t="shared" si="533"/>
        <v/>
      </c>
      <c r="CB100" s="4" t="str">
        <f t="shared" si="553"/>
        <v/>
      </c>
      <c r="CC100" s="5" t="str">
        <f t="shared" si="554"/>
        <v/>
      </c>
      <c r="CD100" s="5" t="str">
        <f t="shared" si="555"/>
        <v/>
      </c>
      <c r="CE100" s="6" t="str">
        <f t="shared" si="556"/>
        <v/>
      </c>
      <c r="CF100" s="4" t="str">
        <f t="shared" si="557"/>
        <v/>
      </c>
      <c r="CG100" s="5" t="str">
        <f t="shared" si="558"/>
        <v/>
      </c>
      <c r="CH100" s="5" t="str">
        <f t="shared" si="559"/>
        <v/>
      </c>
      <c r="CI100" s="4" t="str">
        <f t="shared" si="534"/>
        <v/>
      </c>
      <c r="CJ100" s="5" t="str">
        <f t="shared" si="535"/>
        <v/>
      </c>
      <c r="CK100" s="8" t="str">
        <f t="shared" si="536"/>
        <v/>
      </c>
      <c r="CL100" s="177" t="str">
        <f t="shared" si="537"/>
        <v/>
      </c>
      <c r="CM100" s="5" t="str">
        <f t="shared" si="538"/>
        <v/>
      </c>
      <c r="CN100" s="6" t="str">
        <f t="shared" si="539"/>
        <v/>
      </c>
      <c r="CO100" s="171" t="str">
        <f t="shared" si="487"/>
        <v/>
      </c>
      <c r="CP100" s="4" t="str">
        <f t="shared" si="560"/>
        <v/>
      </c>
      <c r="CQ100" s="5" t="str">
        <f t="shared" si="561"/>
        <v/>
      </c>
      <c r="CR100" s="5" t="str">
        <f t="shared" si="562"/>
        <v/>
      </c>
      <c r="CS100" s="8" t="str">
        <f t="shared" si="563"/>
        <v/>
      </c>
      <c r="CT100" s="9" t="str">
        <f t="shared" si="564"/>
        <v/>
      </c>
      <c r="CU100" s="6" t="str">
        <f t="shared" si="565"/>
        <v/>
      </c>
      <c r="CV100" s="4" t="str">
        <f t="shared" si="566"/>
        <v/>
      </c>
      <c r="CW100" s="5" t="str">
        <f t="shared" si="567"/>
        <v/>
      </c>
      <c r="CX100" s="8" t="str">
        <f t="shared" si="568"/>
        <v/>
      </c>
      <c r="CY100" s="9" t="str">
        <f t="shared" si="569"/>
        <v/>
      </c>
      <c r="CZ100" s="5" t="str">
        <f t="shared" si="570"/>
        <v/>
      </c>
      <c r="DA100" s="6" t="str">
        <f t="shared" si="571"/>
        <v/>
      </c>
      <c r="DB100" s="4" t="str">
        <f t="shared" si="572"/>
        <v/>
      </c>
      <c r="DC100" s="5" t="str">
        <f t="shared" si="572"/>
        <v/>
      </c>
      <c r="DD100" s="10" t="str">
        <f t="shared" si="573"/>
        <v/>
      </c>
      <c r="DE100" s="9" t="str">
        <f t="shared" si="574"/>
        <v/>
      </c>
      <c r="DF100" s="5" t="str">
        <f t="shared" si="574"/>
        <v/>
      </c>
      <c r="DG100" s="10" t="str">
        <f t="shared" si="575"/>
        <v/>
      </c>
      <c r="DH100" s="72" t="str">
        <f t="shared" si="576"/>
        <v/>
      </c>
      <c r="DI100" s="4" t="str">
        <f t="shared" si="577"/>
        <v/>
      </c>
      <c r="DJ100" s="5" t="str">
        <f t="shared" si="578"/>
        <v/>
      </c>
      <c r="DK100" s="10" t="str">
        <f t="shared" si="579"/>
        <v/>
      </c>
      <c r="DL100" s="9" t="str">
        <f t="shared" si="580"/>
        <v/>
      </c>
      <c r="DM100" s="177" t="str">
        <f t="shared" si="581"/>
        <v/>
      </c>
      <c r="DN100" s="182" t="str">
        <f t="shared" si="582"/>
        <v/>
      </c>
      <c r="DO100" s="9" t="str">
        <f t="shared" si="583"/>
        <v/>
      </c>
      <c r="DP100" s="177" t="str">
        <f t="shared" si="584"/>
        <v/>
      </c>
      <c r="DQ100" s="11" t="str">
        <f t="shared" si="585"/>
        <v/>
      </c>
      <c r="DR100" s="177" t="str">
        <f t="shared" si="586"/>
        <v/>
      </c>
      <c r="DS100" s="5" t="str">
        <f t="shared" si="587"/>
        <v/>
      </c>
      <c r="DT100" s="5" t="str">
        <f t="shared" si="588"/>
        <v/>
      </c>
      <c r="DU100" s="5" t="str">
        <f t="shared" si="589"/>
        <v/>
      </c>
      <c r="DV100" s="5" t="str">
        <f t="shared" si="590"/>
        <v/>
      </c>
      <c r="DW100" s="5" t="str">
        <f t="shared" si="591"/>
        <v/>
      </c>
      <c r="DX100" s="171" t="str">
        <f t="shared" si="592"/>
        <v/>
      </c>
      <c r="DY100" s="9" t="str">
        <f t="shared" si="593"/>
        <v/>
      </c>
      <c r="DZ100" s="5" t="str">
        <f t="shared" si="594"/>
        <v/>
      </c>
      <c r="EA100" s="10" t="str">
        <f t="shared" si="595"/>
        <v/>
      </c>
      <c r="EB100" s="6" t="str">
        <f t="shared" si="596"/>
        <v/>
      </c>
      <c r="EC100" s="177" t="str">
        <f t="shared" si="597"/>
        <v/>
      </c>
      <c r="ED100" s="5" t="str">
        <f t="shared" si="598"/>
        <v/>
      </c>
      <c r="EE100" s="4" t="str">
        <f t="shared" si="599"/>
        <v/>
      </c>
      <c r="EF100" s="5" t="str">
        <f t="shared" si="600"/>
        <v/>
      </c>
      <c r="EG100" s="10" t="str">
        <f t="shared" si="601"/>
        <v/>
      </c>
      <c r="EH100" s="9" t="str">
        <f t="shared" si="602"/>
        <v/>
      </c>
      <c r="EI100" s="5" t="str">
        <f t="shared" si="603"/>
        <v/>
      </c>
      <c r="EJ100" s="6" t="str">
        <f t="shared" si="604"/>
        <v/>
      </c>
      <c r="EK100" s="247" t="str">
        <f t="shared" si="605"/>
        <v/>
      </c>
      <c r="EL100" s="249" t="str">
        <f t="shared" si="606"/>
        <v/>
      </c>
      <c r="EM100" s="4" t="str">
        <f t="shared" si="607"/>
        <v/>
      </c>
      <c r="EN100" s="5" t="str">
        <f t="shared" si="608"/>
        <v/>
      </c>
      <c r="EO100" s="10" t="str">
        <f t="shared" si="609"/>
        <v/>
      </c>
      <c r="EP100" s="9" t="str">
        <f t="shared" si="610"/>
        <v/>
      </c>
      <c r="EQ100" s="5" t="str">
        <f t="shared" si="611"/>
        <v/>
      </c>
      <c r="ER100" s="7" t="str">
        <f t="shared" si="612"/>
        <v/>
      </c>
      <c r="ES100" s="21" t="str">
        <f t="shared" si="488"/>
        <v/>
      </c>
      <c r="ET100" s="5" t="str">
        <f t="shared" si="489"/>
        <v/>
      </c>
      <c r="EU100" s="10" t="str">
        <f t="shared" si="490"/>
        <v/>
      </c>
      <c r="EV100" s="178" t="str">
        <f t="shared" si="491"/>
        <v/>
      </c>
      <c r="EW100" s="9" t="str">
        <f t="shared" si="492"/>
        <v/>
      </c>
      <c r="EX100" s="5" t="str">
        <f t="shared" si="493"/>
        <v/>
      </c>
      <c r="EY100" s="6" t="str">
        <f t="shared" si="613"/>
        <v/>
      </c>
      <c r="EZ100" s="52" t="str">
        <f t="shared" si="614"/>
        <v/>
      </c>
      <c r="FA100" s="177" t="str">
        <f t="shared" si="494"/>
        <v/>
      </c>
      <c r="FB100" s="5" t="str">
        <f t="shared" si="495"/>
        <v/>
      </c>
      <c r="FC100" s="6" t="str">
        <f t="shared" si="496"/>
        <v/>
      </c>
      <c r="FD100" s="4" t="str">
        <f t="shared" si="497"/>
        <v/>
      </c>
      <c r="FE100" s="5" t="str">
        <f t="shared" si="498"/>
        <v/>
      </c>
      <c r="FF100" s="7" t="str">
        <f t="shared" si="615"/>
        <v/>
      </c>
      <c r="FG100" s="177" t="str">
        <f t="shared" si="499"/>
        <v/>
      </c>
      <c r="FH100" s="5" t="str">
        <f t="shared" si="500"/>
        <v/>
      </c>
      <c r="FI100" s="10" t="str">
        <f t="shared" si="501"/>
        <v/>
      </c>
      <c r="FJ100" s="290" t="str">
        <f t="shared" si="616"/>
        <v/>
      </c>
      <c r="FK100" s="4" t="str">
        <f t="shared" si="502"/>
        <v/>
      </c>
      <c r="FL100" s="5" t="str">
        <f t="shared" si="540"/>
        <v/>
      </c>
      <c r="FM100" s="8" t="str">
        <f t="shared" si="541"/>
        <v/>
      </c>
      <c r="FN100" s="9" t="str">
        <f t="shared" si="542"/>
        <v/>
      </c>
      <c r="FO100" s="10" t="str">
        <f t="shared" si="503"/>
        <v/>
      </c>
      <c r="FP100" s="288" t="str">
        <f t="shared" si="543"/>
        <v/>
      </c>
      <c r="FQ100" s="177" t="str">
        <f t="shared" si="617"/>
        <v/>
      </c>
      <c r="FR100" s="10" t="str">
        <f t="shared" si="618"/>
        <v/>
      </c>
      <c r="FS100" s="9" t="str">
        <f t="shared" si="619"/>
        <v/>
      </c>
      <c r="FT100" s="6" t="str">
        <f t="shared" si="620"/>
        <v/>
      </c>
      <c r="FU100" s="4" t="str">
        <f t="shared" si="621"/>
        <v/>
      </c>
      <c r="FV100" s="5" t="str">
        <f t="shared" si="622"/>
        <v/>
      </c>
      <c r="FW100" s="8" t="str">
        <f t="shared" si="623"/>
        <v/>
      </c>
      <c r="FX100" s="9" t="str">
        <f t="shared" si="624"/>
        <v/>
      </c>
      <c r="FY100" s="10" t="str">
        <f t="shared" si="504"/>
        <v/>
      </c>
      <c r="FZ100" s="288" t="str">
        <f t="shared" si="625"/>
        <v/>
      </c>
      <c r="GA100" s="181" t="str">
        <f t="shared" si="626"/>
        <v/>
      </c>
      <c r="GB100" s="4" t="str">
        <f t="shared" si="627"/>
        <v/>
      </c>
      <c r="GC100" s="5" t="str">
        <f t="shared" si="628"/>
        <v/>
      </c>
      <c r="GD100" s="10" t="str">
        <f t="shared" si="629"/>
        <v/>
      </c>
      <c r="GE100" s="324" t="str">
        <f t="shared" si="630"/>
        <v/>
      </c>
      <c r="GF100" s="362" t="str">
        <f t="shared" si="631"/>
        <v/>
      </c>
      <c r="GG100" s="296" t="str">
        <f t="shared" si="505"/>
        <v/>
      </c>
      <c r="GH100" s="297" t="str">
        <f t="shared" si="506"/>
        <v/>
      </c>
      <c r="GI100" s="292" t="str">
        <f t="shared" si="507"/>
        <v/>
      </c>
      <c r="GJ100" s="171" t="str">
        <f t="shared" si="632"/>
        <v/>
      </c>
      <c r="GK100" s="178" t="str">
        <f t="shared" si="508"/>
        <v/>
      </c>
      <c r="GL100" s="178" t="str">
        <f t="shared" si="633"/>
        <v/>
      </c>
      <c r="GM100" s="181" t="str">
        <f t="shared" si="634"/>
        <v/>
      </c>
      <c r="GN100" s="291" t="str">
        <f t="shared" si="635"/>
        <v/>
      </c>
      <c r="GO100" s="4" t="str">
        <f t="shared" si="636"/>
        <v/>
      </c>
      <c r="GP100" s="8" t="str">
        <f t="shared" si="637"/>
        <v/>
      </c>
      <c r="GQ100" s="181" t="str">
        <f t="shared" si="638"/>
        <v/>
      </c>
      <c r="GR100" s="417" t="str">
        <f t="shared" si="639"/>
        <v/>
      </c>
      <c r="GS100" s="363" t="str">
        <f t="shared" si="509"/>
        <v/>
      </c>
      <c r="GT100" s="364" t="str">
        <f t="shared" si="510"/>
        <v/>
      </c>
      <c r="GU100" s="365" t="str">
        <f t="shared" si="511"/>
        <v/>
      </c>
      <c r="GV100" s="364" t="str">
        <f t="shared" si="640"/>
        <v/>
      </c>
      <c r="GW100" s="366" t="str">
        <f t="shared" si="512"/>
        <v/>
      </c>
      <c r="GX100" s="367" t="str">
        <f t="shared" si="513"/>
        <v/>
      </c>
      <c r="GY100" s="365" t="str">
        <f t="shared" si="514"/>
        <v/>
      </c>
      <c r="GZ100" s="366" t="str">
        <f t="shared" si="515"/>
        <v/>
      </c>
      <c r="HA100" s="363" t="str">
        <f t="shared" si="516"/>
        <v/>
      </c>
      <c r="HB100" s="5" t="str">
        <f t="shared" si="641"/>
        <v/>
      </c>
      <c r="HC100" s="364" t="str">
        <f t="shared" si="642"/>
        <v/>
      </c>
      <c r="HD100" s="405" t="str">
        <f t="shared" si="643"/>
        <v/>
      </c>
      <c r="HE100" s="365" t="str">
        <f t="shared" si="517"/>
        <v/>
      </c>
      <c r="HF100" s="5" t="str">
        <f t="shared" si="518"/>
        <v/>
      </c>
      <c r="HG100" s="364" t="str">
        <f t="shared" si="644"/>
        <v/>
      </c>
      <c r="HH100" s="370" t="str">
        <f t="shared" si="645"/>
        <v/>
      </c>
      <c r="HI100" s="335" t="str">
        <f t="shared" si="519"/>
        <v/>
      </c>
      <c r="HK100" s="323" t="str">
        <f t="shared" si="238"/>
        <v/>
      </c>
      <c r="HL100" s="322" t="str">
        <f t="shared" si="544"/>
        <v/>
      </c>
      <c r="HM100" s="369" t="str">
        <f t="shared" si="662"/>
        <v/>
      </c>
      <c r="HN100" s="384" t="str">
        <f t="shared" si="662"/>
        <v/>
      </c>
      <c r="HO100" s="385" t="str">
        <f t="shared" si="662"/>
        <v/>
      </c>
      <c r="HP100" s="380" t="str">
        <f t="shared" si="662"/>
        <v/>
      </c>
      <c r="HQ100" s="384" t="str">
        <f t="shared" si="662"/>
        <v/>
      </c>
      <c r="HR100" s="395" t="str">
        <f t="shared" si="662"/>
        <v/>
      </c>
      <c r="HS100" s="379" t="str">
        <f t="shared" si="662"/>
        <v/>
      </c>
      <c r="HT100" s="374" t="str">
        <f t="shared" si="662"/>
        <v/>
      </c>
      <c r="HU100" s="375" t="str">
        <f t="shared" si="662"/>
        <v/>
      </c>
      <c r="HV100" s="376" t="str">
        <f t="shared" si="662"/>
        <v/>
      </c>
      <c r="HW100" s="374" t="str">
        <f t="shared" si="662"/>
        <v/>
      </c>
      <c r="HX100" s="375" t="str">
        <f t="shared" si="662"/>
        <v/>
      </c>
      <c r="HY100" s="376" t="str">
        <f t="shared" si="662"/>
        <v/>
      </c>
      <c r="HZ100" s="374" t="str">
        <f t="shared" si="662"/>
        <v/>
      </c>
      <c r="IA100" s="375" t="str">
        <f t="shared" si="662"/>
        <v/>
      </c>
      <c r="IE100" s="849" t="str">
        <f>IFERROR(IF($IU100="","",IF($IU100&lt;(((Settings!$C$19/2)*-1)*$IE$8),"Taper","Nose")),"")</f>
        <v>Nose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6"/>
        <v>5.2229999999999999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5.1230000000000002</v>
      </c>
      <c r="II100" s="734" cm="1">
        <f t="array" ref="II100">IFERROR(ROUND(VALUE(IF($IH100&lt;1,$IH100+LARGE((IF($M$9:$M$150="",0,$M$9:$M$150)-MOD(IF($M$9:$M$150="",0,$M$9:$M$150),1)),1),$IH100)),4),"")</f>
        <v>5.1230000000000002</v>
      </c>
      <c r="IJ100" s="533">
        <f t="shared" si="545"/>
        <v>1613</v>
      </c>
      <c r="IK100" s="533" t="str">
        <f t="shared" si="520"/>
        <v>Inactive</v>
      </c>
      <c r="IL100" s="727">
        <f t="shared" si="651"/>
        <v>15.912197702562935</v>
      </c>
      <c r="IM100" s="759">
        <v>4.0391168335125001E-3</v>
      </c>
      <c r="IN100" s="5">
        <f t="shared" si="652"/>
        <v>0.06</v>
      </c>
      <c r="IO100" s="771">
        <v>30</v>
      </c>
      <c r="IP100" s="9">
        <f t="shared" si="653"/>
        <v>-4.3058129863319676</v>
      </c>
      <c r="IQ100" s="5">
        <f t="shared" si="654"/>
        <v>-0.10720032331617492</v>
      </c>
      <c r="IR100" s="5">
        <f t="shared" si="521"/>
        <v>0.314</v>
      </c>
      <c r="IS100" s="5">
        <f t="shared" si="655"/>
        <v>0.29484007088739111</v>
      </c>
      <c r="IT100" s="727">
        <f t="shared" si="656"/>
        <v>13.994828883825726</v>
      </c>
      <c r="IU100" s="9">
        <f t="shared" si="657"/>
        <v>-4.3108130014120132</v>
      </c>
      <c r="IV100" s="5">
        <f t="shared" si="658"/>
        <v>-7.9300239169521114E-2</v>
      </c>
      <c r="IW100" s="5">
        <f t="shared" si="522"/>
        <v>0.26250000000000001</v>
      </c>
      <c r="IX100" s="5">
        <f t="shared" si="659"/>
        <v>0.26250000000000001</v>
      </c>
      <c r="IY100" s="762">
        <f t="shared" si="660"/>
        <v>7.4999989171341355</v>
      </c>
    </row>
    <row r="101" spans="1:259" ht="15" customHeight="1" x14ac:dyDescent="0.25">
      <c r="A101" s="79"/>
      <c r="B101" s="707">
        <v>-4.9950336427805251</v>
      </c>
      <c r="C101" s="708">
        <v>-0.73083231293090767</v>
      </c>
      <c r="D101" s="709">
        <v>-0.30880093134360864</v>
      </c>
      <c r="E101" s="710">
        <v>-0.29753787075290378</v>
      </c>
      <c r="F101" s="708">
        <v>-4.3533527645128439E-2</v>
      </c>
      <c r="G101" s="711">
        <v>0.95371696400902883</v>
      </c>
      <c r="H101" s="710">
        <v>0.26250000000000001</v>
      </c>
      <c r="I101" s="708">
        <v>0.40699999999999997</v>
      </c>
      <c r="J101" s="570">
        <v>5.2290000000000001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Inactive</v>
      </c>
      <c r="L101" s="1314">
        <f t="shared" si="663"/>
        <v>20</v>
      </c>
      <c r="M101" s="168">
        <f t="shared" si="467"/>
        <v>5.2290000000000001</v>
      </c>
      <c r="N101" s="632">
        <f t="shared" si="468"/>
        <v>-4.9950336427805251</v>
      </c>
      <c r="O101" s="629">
        <f t="shared" si="469"/>
        <v>-0.73083231293090767</v>
      </c>
      <c r="P101" s="633">
        <f t="shared" si="470"/>
        <v>-0.30880093134360864</v>
      </c>
      <c r="Q101" s="585">
        <f t="shared" si="523"/>
        <v>188.32398580377287</v>
      </c>
      <c r="R101" s="629">
        <f t="shared" si="79"/>
        <v>5.0482152254171195</v>
      </c>
      <c r="S101" s="634">
        <f t="shared" si="80"/>
        <v>-0.30880093134360864</v>
      </c>
      <c r="T101" s="635">
        <f t="shared" si="81"/>
        <v>-0.730832312930906</v>
      </c>
      <c r="U101" s="629">
        <f t="shared" si="82"/>
        <v>4.9950336427805251</v>
      </c>
      <c r="V101" s="636">
        <f t="shared" si="114"/>
        <v>-0.30880093134360864</v>
      </c>
      <c r="W101" s="585">
        <f t="shared" si="648"/>
        <v>98.323985803772871</v>
      </c>
      <c r="X101" s="629">
        <f t="shared" si="83"/>
        <v>5.0482152254171195</v>
      </c>
      <c r="Y101" s="630">
        <f t="shared" si="647"/>
        <v>-0.30880093134360864</v>
      </c>
      <c r="Z101" s="632">
        <f t="shared" si="471"/>
        <v>0.29753787075290378</v>
      </c>
      <c r="AA101" s="629">
        <f t="shared" si="472"/>
        <v>4.3533527645128439E-2</v>
      </c>
      <c r="AB101" s="629">
        <f t="shared" si="473"/>
        <v>-0.95371696400902883</v>
      </c>
      <c r="AC101" s="636">
        <f t="shared" si="84"/>
        <v>1</v>
      </c>
      <c r="AD101" s="637">
        <f t="shared" si="115"/>
        <v>0.29753787075290378</v>
      </c>
      <c r="AE101" s="629">
        <f t="shared" si="85"/>
        <v>4.3533527645128439E-2</v>
      </c>
      <c r="AF101" s="633">
        <f t="shared" si="86"/>
        <v>-0.95371696400902883</v>
      </c>
      <c r="AG101" s="602">
        <f t="shared" si="87"/>
        <v>2.6135188055468674</v>
      </c>
      <c r="AH101" s="603">
        <f t="shared" si="88"/>
        <v>72.690218209717258</v>
      </c>
      <c r="AI101" s="585">
        <f t="shared" si="89"/>
        <v>-17.499997473317649</v>
      </c>
      <c r="AJ101" s="586">
        <f t="shared" si="90"/>
        <v>98.324029016747929</v>
      </c>
      <c r="AK101" s="635">
        <f t="shared" si="211"/>
        <v>2.2679489677934761E-7</v>
      </c>
      <c r="AL101" s="629">
        <f t="shared" si="91"/>
        <v>-0.30070575744629402</v>
      </c>
      <c r="AM101" s="634">
        <f t="shared" si="92"/>
        <v>-0.95371696400902883</v>
      </c>
      <c r="AN101" s="581">
        <f t="shared" si="93"/>
        <v>-17.499997473312984</v>
      </c>
      <c r="AO101" s="582">
        <f t="shared" si="463"/>
        <v>0</v>
      </c>
      <c r="AP101" s="585">
        <f t="shared" si="95"/>
        <v>-89.999956787024928</v>
      </c>
      <c r="AQ101" s="586">
        <f t="shared" si="474"/>
        <v>0.45158126683462835</v>
      </c>
      <c r="AS101" s="52">
        <f t="shared" si="546"/>
        <v>-261.67601419622713</v>
      </c>
      <c r="AT101" s="73">
        <f t="shared" si="475"/>
        <v>-0.12708147704067313</v>
      </c>
      <c r="AU101" s="469"/>
      <c r="AV101" s="168" t="str">
        <f t="shared" si="476"/>
        <v/>
      </c>
      <c r="AW101" s="418"/>
      <c r="AX101" s="419"/>
      <c r="AY101" s="420"/>
      <c r="AZ101" s="308" t="str">
        <f t="shared" si="547"/>
        <v/>
      </c>
      <c r="BA101" s="307" t="str">
        <f t="shared" si="477"/>
        <v/>
      </c>
      <c r="BB101" s="181" t="str">
        <f t="shared" si="524"/>
        <v/>
      </c>
      <c r="BC101" s="9"/>
      <c r="BD101" s="5" t="str">
        <f t="shared" si="525"/>
        <v/>
      </c>
      <c r="BE101" s="6" t="str">
        <f t="shared" si="478"/>
        <v/>
      </c>
      <c r="BF101" s="4" t="str">
        <f t="shared" si="479"/>
        <v/>
      </c>
      <c r="BG101" s="5" t="str">
        <f t="shared" si="480"/>
        <v/>
      </c>
      <c r="BH101" s="10" t="str">
        <f t="shared" si="481"/>
        <v/>
      </c>
      <c r="BI101" s="9" t="str">
        <f t="shared" si="548"/>
        <v/>
      </c>
      <c r="BJ101" s="5" t="str">
        <f t="shared" si="482"/>
        <v/>
      </c>
      <c r="BK101" s="8" t="str">
        <f t="shared" si="483"/>
        <v/>
      </c>
      <c r="BL101" s="177" t="str">
        <f t="shared" si="484"/>
        <v/>
      </c>
      <c r="BM101" s="5" t="str">
        <f t="shared" si="485"/>
        <v/>
      </c>
      <c r="BN101" s="6" t="str">
        <f t="shared" si="486"/>
        <v/>
      </c>
      <c r="BO101" s="4" t="str">
        <f t="shared" si="549"/>
        <v/>
      </c>
      <c r="BP101" s="5" t="str">
        <f t="shared" si="550"/>
        <v/>
      </c>
      <c r="BQ101" s="5" t="str">
        <f t="shared" si="551"/>
        <v/>
      </c>
      <c r="BR101" s="6" t="str">
        <f t="shared" si="552"/>
        <v/>
      </c>
      <c r="BS101" s="4" t="str">
        <f t="shared" si="526"/>
        <v/>
      </c>
      <c r="BT101" s="5" t="str">
        <f t="shared" si="526"/>
        <v/>
      </c>
      <c r="BU101" s="10" t="str">
        <f t="shared" si="527"/>
        <v/>
      </c>
      <c r="BV101" s="9" t="str">
        <f t="shared" si="528"/>
        <v/>
      </c>
      <c r="BW101" s="5" t="str">
        <f t="shared" si="529"/>
        <v/>
      </c>
      <c r="BX101" s="8" t="str">
        <f t="shared" si="530"/>
        <v/>
      </c>
      <c r="BY101" s="177" t="str">
        <f t="shared" si="531"/>
        <v/>
      </c>
      <c r="BZ101" s="5" t="str">
        <f t="shared" si="532"/>
        <v/>
      </c>
      <c r="CA101" s="6" t="str">
        <f t="shared" si="533"/>
        <v/>
      </c>
      <c r="CB101" s="4" t="str">
        <f t="shared" si="553"/>
        <v/>
      </c>
      <c r="CC101" s="5" t="str">
        <f t="shared" si="554"/>
        <v/>
      </c>
      <c r="CD101" s="5" t="str">
        <f t="shared" si="555"/>
        <v/>
      </c>
      <c r="CE101" s="6" t="str">
        <f t="shared" si="556"/>
        <v/>
      </c>
      <c r="CF101" s="4" t="str">
        <f t="shared" si="557"/>
        <v/>
      </c>
      <c r="CG101" s="5" t="str">
        <f t="shared" si="558"/>
        <v/>
      </c>
      <c r="CH101" s="5" t="str">
        <f t="shared" si="559"/>
        <v/>
      </c>
      <c r="CI101" s="4" t="str">
        <f t="shared" si="534"/>
        <v/>
      </c>
      <c r="CJ101" s="5" t="str">
        <f t="shared" si="535"/>
        <v/>
      </c>
      <c r="CK101" s="8" t="str">
        <f t="shared" si="536"/>
        <v/>
      </c>
      <c r="CL101" s="177" t="str">
        <f t="shared" si="537"/>
        <v/>
      </c>
      <c r="CM101" s="5" t="str">
        <f t="shared" si="538"/>
        <v/>
      </c>
      <c r="CN101" s="6" t="str">
        <f t="shared" si="539"/>
        <v/>
      </c>
      <c r="CO101" s="171" t="str">
        <f t="shared" si="487"/>
        <v/>
      </c>
      <c r="CP101" s="4" t="str">
        <f t="shared" si="560"/>
        <v/>
      </c>
      <c r="CQ101" s="5" t="str">
        <f t="shared" si="561"/>
        <v/>
      </c>
      <c r="CR101" s="5" t="str">
        <f t="shared" si="562"/>
        <v/>
      </c>
      <c r="CS101" s="8" t="str">
        <f t="shared" si="563"/>
        <v/>
      </c>
      <c r="CT101" s="9" t="str">
        <f t="shared" si="564"/>
        <v/>
      </c>
      <c r="CU101" s="6" t="str">
        <f t="shared" si="565"/>
        <v/>
      </c>
      <c r="CV101" s="4" t="str">
        <f t="shared" si="566"/>
        <v/>
      </c>
      <c r="CW101" s="5" t="str">
        <f t="shared" si="567"/>
        <v/>
      </c>
      <c r="CX101" s="8" t="str">
        <f t="shared" si="568"/>
        <v/>
      </c>
      <c r="CY101" s="9" t="str">
        <f t="shared" si="569"/>
        <v/>
      </c>
      <c r="CZ101" s="5" t="str">
        <f t="shared" si="570"/>
        <v/>
      </c>
      <c r="DA101" s="6" t="str">
        <f t="shared" si="571"/>
        <v/>
      </c>
      <c r="DB101" s="4" t="str">
        <f t="shared" si="572"/>
        <v/>
      </c>
      <c r="DC101" s="5" t="str">
        <f t="shared" si="572"/>
        <v/>
      </c>
      <c r="DD101" s="10" t="str">
        <f t="shared" si="573"/>
        <v/>
      </c>
      <c r="DE101" s="9" t="str">
        <f t="shared" si="574"/>
        <v/>
      </c>
      <c r="DF101" s="5" t="str">
        <f t="shared" si="574"/>
        <v/>
      </c>
      <c r="DG101" s="10" t="str">
        <f t="shared" si="575"/>
        <v/>
      </c>
      <c r="DH101" s="72" t="str">
        <f t="shared" si="576"/>
        <v/>
      </c>
      <c r="DI101" s="4" t="str">
        <f t="shared" si="577"/>
        <v/>
      </c>
      <c r="DJ101" s="5" t="str">
        <f t="shared" si="578"/>
        <v/>
      </c>
      <c r="DK101" s="10" t="str">
        <f t="shared" si="579"/>
        <v/>
      </c>
      <c r="DL101" s="9" t="str">
        <f t="shared" si="580"/>
        <v/>
      </c>
      <c r="DM101" s="177" t="str">
        <f t="shared" si="581"/>
        <v/>
      </c>
      <c r="DN101" s="182" t="str">
        <f t="shared" si="582"/>
        <v/>
      </c>
      <c r="DO101" s="9" t="str">
        <f t="shared" si="583"/>
        <v/>
      </c>
      <c r="DP101" s="177" t="str">
        <f t="shared" si="584"/>
        <v/>
      </c>
      <c r="DQ101" s="11" t="str">
        <f t="shared" si="585"/>
        <v/>
      </c>
      <c r="DR101" s="177" t="str">
        <f t="shared" si="586"/>
        <v/>
      </c>
      <c r="DS101" s="5" t="str">
        <f t="shared" si="587"/>
        <v/>
      </c>
      <c r="DT101" s="5" t="str">
        <f t="shared" si="588"/>
        <v/>
      </c>
      <c r="DU101" s="5" t="str">
        <f t="shared" si="589"/>
        <v/>
      </c>
      <c r="DV101" s="5" t="str">
        <f t="shared" si="590"/>
        <v/>
      </c>
      <c r="DW101" s="5" t="str">
        <f t="shared" si="591"/>
        <v/>
      </c>
      <c r="DX101" s="171" t="str">
        <f t="shared" si="592"/>
        <v/>
      </c>
      <c r="DY101" s="9" t="str">
        <f t="shared" si="593"/>
        <v/>
      </c>
      <c r="DZ101" s="5" t="str">
        <f t="shared" si="594"/>
        <v/>
      </c>
      <c r="EA101" s="10" t="str">
        <f t="shared" si="595"/>
        <v/>
      </c>
      <c r="EB101" s="6" t="str">
        <f t="shared" si="596"/>
        <v/>
      </c>
      <c r="EC101" s="177" t="str">
        <f t="shared" si="597"/>
        <v/>
      </c>
      <c r="ED101" s="5" t="str">
        <f t="shared" si="598"/>
        <v/>
      </c>
      <c r="EE101" s="4" t="str">
        <f t="shared" si="599"/>
        <v/>
      </c>
      <c r="EF101" s="5" t="str">
        <f t="shared" si="600"/>
        <v/>
      </c>
      <c r="EG101" s="10" t="str">
        <f t="shared" si="601"/>
        <v/>
      </c>
      <c r="EH101" s="9" t="str">
        <f t="shared" si="602"/>
        <v/>
      </c>
      <c r="EI101" s="5" t="str">
        <f t="shared" si="603"/>
        <v/>
      </c>
      <c r="EJ101" s="6" t="str">
        <f t="shared" si="604"/>
        <v/>
      </c>
      <c r="EK101" s="247" t="str">
        <f t="shared" si="605"/>
        <v/>
      </c>
      <c r="EL101" s="249" t="str">
        <f t="shared" si="606"/>
        <v/>
      </c>
      <c r="EM101" s="4" t="str">
        <f t="shared" si="607"/>
        <v/>
      </c>
      <c r="EN101" s="5" t="str">
        <f t="shared" si="608"/>
        <v/>
      </c>
      <c r="EO101" s="10" t="str">
        <f t="shared" si="609"/>
        <v/>
      </c>
      <c r="EP101" s="9" t="str">
        <f t="shared" si="610"/>
        <v/>
      </c>
      <c r="EQ101" s="5" t="str">
        <f t="shared" si="611"/>
        <v/>
      </c>
      <c r="ER101" s="7" t="str">
        <f t="shared" si="612"/>
        <v/>
      </c>
      <c r="ES101" s="21" t="str">
        <f t="shared" si="488"/>
        <v/>
      </c>
      <c r="ET101" s="5" t="str">
        <f t="shared" si="489"/>
        <v/>
      </c>
      <c r="EU101" s="10" t="str">
        <f t="shared" si="490"/>
        <v/>
      </c>
      <c r="EV101" s="178" t="str">
        <f t="shared" si="491"/>
        <v/>
      </c>
      <c r="EW101" s="9" t="str">
        <f t="shared" si="492"/>
        <v/>
      </c>
      <c r="EX101" s="5" t="str">
        <f t="shared" si="493"/>
        <v/>
      </c>
      <c r="EY101" s="6" t="str">
        <f t="shared" si="613"/>
        <v/>
      </c>
      <c r="EZ101" s="52" t="str">
        <f t="shared" si="614"/>
        <v/>
      </c>
      <c r="FA101" s="177" t="str">
        <f t="shared" si="494"/>
        <v/>
      </c>
      <c r="FB101" s="5" t="str">
        <f t="shared" si="495"/>
        <v/>
      </c>
      <c r="FC101" s="6" t="str">
        <f t="shared" si="496"/>
        <v/>
      </c>
      <c r="FD101" s="4" t="str">
        <f t="shared" si="497"/>
        <v/>
      </c>
      <c r="FE101" s="5" t="str">
        <f t="shared" si="498"/>
        <v/>
      </c>
      <c r="FF101" s="7" t="str">
        <f t="shared" si="615"/>
        <v/>
      </c>
      <c r="FG101" s="177" t="str">
        <f t="shared" si="499"/>
        <v/>
      </c>
      <c r="FH101" s="5" t="str">
        <f t="shared" si="500"/>
        <v/>
      </c>
      <c r="FI101" s="10" t="str">
        <f t="shared" si="501"/>
        <v/>
      </c>
      <c r="FJ101" s="290" t="str">
        <f t="shared" si="616"/>
        <v/>
      </c>
      <c r="FK101" s="4" t="str">
        <f t="shared" si="502"/>
        <v/>
      </c>
      <c r="FL101" s="5" t="str">
        <f t="shared" si="540"/>
        <v/>
      </c>
      <c r="FM101" s="8" t="str">
        <f t="shared" si="541"/>
        <v/>
      </c>
      <c r="FN101" s="9" t="str">
        <f t="shared" si="542"/>
        <v/>
      </c>
      <c r="FO101" s="10" t="str">
        <f t="shared" si="503"/>
        <v/>
      </c>
      <c r="FP101" s="288" t="str">
        <f t="shared" si="543"/>
        <v/>
      </c>
      <c r="FQ101" s="177" t="str">
        <f t="shared" si="617"/>
        <v/>
      </c>
      <c r="FR101" s="10" t="str">
        <f t="shared" si="618"/>
        <v/>
      </c>
      <c r="FS101" s="9" t="str">
        <f t="shared" si="619"/>
        <v/>
      </c>
      <c r="FT101" s="6" t="str">
        <f t="shared" si="620"/>
        <v/>
      </c>
      <c r="FU101" s="4" t="str">
        <f t="shared" si="621"/>
        <v/>
      </c>
      <c r="FV101" s="5" t="str">
        <f t="shared" si="622"/>
        <v/>
      </c>
      <c r="FW101" s="8" t="str">
        <f t="shared" si="623"/>
        <v/>
      </c>
      <c r="FX101" s="9" t="str">
        <f t="shared" si="624"/>
        <v/>
      </c>
      <c r="FY101" s="10" t="str">
        <f t="shared" si="504"/>
        <v/>
      </c>
      <c r="FZ101" s="288" t="str">
        <f t="shared" si="625"/>
        <v/>
      </c>
      <c r="GA101" s="181" t="str">
        <f t="shared" si="626"/>
        <v/>
      </c>
      <c r="GB101" s="4" t="str">
        <f t="shared" si="627"/>
        <v/>
      </c>
      <c r="GC101" s="5" t="str">
        <f t="shared" si="628"/>
        <v/>
      </c>
      <c r="GD101" s="10" t="str">
        <f t="shared" si="629"/>
        <v/>
      </c>
      <c r="GE101" s="324" t="str">
        <f t="shared" si="630"/>
        <v/>
      </c>
      <c r="GF101" s="362" t="str">
        <f t="shared" si="631"/>
        <v/>
      </c>
      <c r="GG101" s="296" t="str">
        <f t="shared" si="505"/>
        <v/>
      </c>
      <c r="GH101" s="297" t="str">
        <f t="shared" si="506"/>
        <v/>
      </c>
      <c r="GI101" s="292" t="str">
        <f t="shared" si="507"/>
        <v/>
      </c>
      <c r="GJ101" s="171" t="str">
        <f t="shared" si="632"/>
        <v/>
      </c>
      <c r="GK101" s="178" t="str">
        <f t="shared" si="508"/>
        <v/>
      </c>
      <c r="GL101" s="178" t="str">
        <f t="shared" si="633"/>
        <v/>
      </c>
      <c r="GM101" s="181" t="str">
        <f t="shared" si="634"/>
        <v/>
      </c>
      <c r="GN101" s="291" t="str">
        <f t="shared" si="635"/>
        <v/>
      </c>
      <c r="GO101" s="4" t="str">
        <f t="shared" si="636"/>
        <v/>
      </c>
      <c r="GP101" s="8" t="str">
        <f t="shared" si="637"/>
        <v/>
      </c>
      <c r="GQ101" s="181" t="str">
        <f t="shared" si="638"/>
        <v/>
      </c>
      <c r="GR101" s="417" t="str">
        <f t="shared" si="639"/>
        <v/>
      </c>
      <c r="GS101" s="363" t="str">
        <f t="shared" si="509"/>
        <v/>
      </c>
      <c r="GT101" s="364" t="str">
        <f t="shared" si="510"/>
        <v/>
      </c>
      <c r="GU101" s="365" t="str">
        <f t="shared" si="511"/>
        <v/>
      </c>
      <c r="GV101" s="364" t="str">
        <f t="shared" si="640"/>
        <v/>
      </c>
      <c r="GW101" s="366" t="str">
        <f t="shared" si="512"/>
        <v/>
      </c>
      <c r="GX101" s="367" t="str">
        <f t="shared" si="513"/>
        <v/>
      </c>
      <c r="GY101" s="365" t="str">
        <f t="shared" si="514"/>
        <v/>
      </c>
      <c r="GZ101" s="366" t="str">
        <f t="shared" si="515"/>
        <v/>
      </c>
      <c r="HA101" s="363" t="str">
        <f t="shared" si="516"/>
        <v/>
      </c>
      <c r="HB101" s="5" t="str">
        <f t="shared" si="641"/>
        <v/>
      </c>
      <c r="HC101" s="364" t="str">
        <f t="shared" si="642"/>
        <v/>
      </c>
      <c r="HD101" s="405" t="str">
        <f t="shared" si="643"/>
        <v/>
      </c>
      <c r="HE101" s="365" t="str">
        <f t="shared" si="517"/>
        <v/>
      </c>
      <c r="HF101" s="5" t="str">
        <f t="shared" si="518"/>
        <v/>
      </c>
      <c r="HG101" s="364" t="str">
        <f t="shared" si="644"/>
        <v/>
      </c>
      <c r="HH101" s="370" t="str">
        <f t="shared" si="645"/>
        <v/>
      </c>
      <c r="HI101" s="335" t="str">
        <f t="shared" si="519"/>
        <v/>
      </c>
      <c r="HK101" s="323" t="str">
        <f t="shared" si="238"/>
        <v/>
      </c>
      <c r="HL101" s="322" t="str">
        <f t="shared" si="544"/>
        <v/>
      </c>
      <c r="HM101" s="369" t="str">
        <f t="shared" si="662"/>
        <v/>
      </c>
      <c r="HN101" s="384" t="str">
        <f t="shared" si="662"/>
        <v/>
      </c>
      <c r="HO101" s="385" t="str">
        <f t="shared" si="662"/>
        <v/>
      </c>
      <c r="HP101" s="380" t="str">
        <f t="shared" si="662"/>
        <v/>
      </c>
      <c r="HQ101" s="384" t="str">
        <f t="shared" si="662"/>
        <v/>
      </c>
      <c r="HR101" s="395" t="str">
        <f t="shared" si="662"/>
        <v/>
      </c>
      <c r="HS101" s="379" t="str">
        <f t="shared" si="662"/>
        <v/>
      </c>
      <c r="HT101" s="374" t="str">
        <f t="shared" si="662"/>
        <v/>
      </c>
      <c r="HU101" s="375" t="str">
        <f t="shared" si="662"/>
        <v/>
      </c>
      <c r="HV101" s="376" t="str">
        <f t="shared" si="662"/>
        <v/>
      </c>
      <c r="HW101" s="374" t="str">
        <f t="shared" si="662"/>
        <v/>
      </c>
      <c r="HX101" s="375" t="str">
        <f t="shared" si="662"/>
        <v/>
      </c>
      <c r="HY101" s="376" t="str">
        <f t="shared" si="662"/>
        <v/>
      </c>
      <c r="HZ101" s="374" t="str">
        <f t="shared" si="662"/>
        <v/>
      </c>
      <c r="IA101" s="375" t="str">
        <f t="shared" si="662"/>
        <v/>
      </c>
      <c r="IE101" s="849" t="str">
        <f>IFERROR(IF($IU101="","",IF($IU101&lt;(((Settings!$C$19/2)*-1)*$IE$8),"Taper","Nose")),"")</f>
        <v>Nose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6"/>
        <v>5.2290000000000001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5.1289999999999996</v>
      </c>
      <c r="II101" s="734" cm="1">
        <f t="array" ref="II101">IFERROR(ROUND(VALUE(IF($IH101&lt;1,$IH101+LARGE((IF($M$9:$M$150="",0,$M$9:$M$150)-MOD(IF($M$9:$M$150="",0,$M$9:$M$150),1)),1),$IH101)),4),"")</f>
        <v>5.1289999999999996</v>
      </c>
      <c r="IJ101" s="533">
        <f t="shared" si="545"/>
        <v>1613</v>
      </c>
      <c r="IK101" s="533" t="str">
        <f t="shared" si="520"/>
        <v>Inactive</v>
      </c>
      <c r="IL101" s="727">
        <f t="shared" si="651"/>
        <v>16.022997686565361</v>
      </c>
      <c r="IM101" s="759">
        <v>2.8319234932616998E-3</v>
      </c>
      <c r="IN101" s="5">
        <f t="shared" si="652"/>
        <v>0.04</v>
      </c>
      <c r="IO101" s="771">
        <v>20</v>
      </c>
      <c r="IP101" s="9">
        <f t="shared" si="653"/>
        <v>-5.0366151904314149</v>
      </c>
      <c r="IQ101" s="5">
        <f t="shared" si="654"/>
        <v>-0.33520101096624899</v>
      </c>
      <c r="IR101" s="5">
        <f t="shared" si="521"/>
        <v>0.314</v>
      </c>
      <c r="IS101" s="5">
        <f t="shared" si="655"/>
        <v>0.29399661317927167</v>
      </c>
      <c r="IT101" s="727">
        <f t="shared" si="656"/>
        <v>31.499117861451037</v>
      </c>
      <c r="IU101" s="9">
        <f t="shared" si="657"/>
        <v>-5.0482152254171195</v>
      </c>
      <c r="IV101" s="5">
        <f t="shared" si="658"/>
        <v>-0.30880093134360864</v>
      </c>
      <c r="IW101" s="5">
        <f t="shared" si="522"/>
        <v>0.26250000000000001</v>
      </c>
      <c r="IX101" s="5">
        <f t="shared" si="659"/>
        <v>0.26250000000000001</v>
      </c>
      <c r="IY101" s="762">
        <f t="shared" si="660"/>
        <v>17.499997473312984</v>
      </c>
    </row>
    <row r="102" spans="1:259" ht="15" customHeight="1" x14ac:dyDescent="0.25">
      <c r="A102" s="79"/>
      <c r="B102" s="707">
        <v>-5.6520841736895777</v>
      </c>
      <c r="C102" s="708">
        <v>-0.77092161519683733</v>
      </c>
      <c r="D102" s="709">
        <v>-0.7025021187463889</v>
      </c>
      <c r="E102" s="710">
        <v>-0.4544417553736162</v>
      </c>
      <c r="F102" s="708">
        <v>-6.1984261916879613E-2</v>
      </c>
      <c r="G102" s="711">
        <v>0.88861726420746867</v>
      </c>
      <c r="H102" s="710">
        <v>0.26250000000000001</v>
      </c>
      <c r="I102" s="708">
        <v>0.40699999999999997</v>
      </c>
      <c r="J102" s="570">
        <v>5.2350000000000003</v>
      </c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Inactive</v>
      </c>
      <c r="L102" s="1314">
        <f t="shared" si="663"/>
        <v>0</v>
      </c>
      <c r="M102" s="168">
        <f t="shared" si="467"/>
        <v>5.2350000000000003</v>
      </c>
      <c r="N102" s="632">
        <f t="shared" si="468"/>
        <v>-5.6520841736895777</v>
      </c>
      <c r="O102" s="629">
        <f t="shared" si="469"/>
        <v>-0.77092161519683733</v>
      </c>
      <c r="P102" s="633">
        <f t="shared" si="470"/>
        <v>-0.7025021187463889</v>
      </c>
      <c r="Q102" s="585">
        <f t="shared" si="523"/>
        <v>187.7669858841937</v>
      </c>
      <c r="R102" s="629">
        <f t="shared" si="79"/>
        <v>5.7044172045222901</v>
      </c>
      <c r="S102" s="634">
        <f t="shared" si="80"/>
        <v>-0.7025021187463889</v>
      </c>
      <c r="T102" s="635">
        <f t="shared" si="81"/>
        <v>-0.77092161519683611</v>
      </c>
      <c r="U102" s="629">
        <f t="shared" si="82"/>
        <v>5.6520841736895777</v>
      </c>
      <c r="V102" s="636">
        <f t="shared" si="114"/>
        <v>-0.7025021187463889</v>
      </c>
      <c r="W102" s="585">
        <f t="shared" si="648"/>
        <v>97.766985884193701</v>
      </c>
      <c r="X102" s="629">
        <f t="shared" si="83"/>
        <v>5.7044172045222901</v>
      </c>
      <c r="Y102" s="630">
        <f t="shared" si="647"/>
        <v>-0.7025021187463889</v>
      </c>
      <c r="Z102" s="632">
        <f t="shared" si="471"/>
        <v>0.4544417553736162</v>
      </c>
      <c r="AA102" s="629">
        <f t="shared" si="472"/>
        <v>6.1984261916879613E-2</v>
      </c>
      <c r="AB102" s="629">
        <f t="shared" si="473"/>
        <v>-0.88861726420746867</v>
      </c>
      <c r="AC102" s="636">
        <f t="shared" si="84"/>
        <v>1</v>
      </c>
      <c r="AD102" s="637">
        <f t="shared" si="115"/>
        <v>0.4544417553736162</v>
      </c>
      <c r="AE102" s="629">
        <f t="shared" si="85"/>
        <v>6.1984261916879613E-2</v>
      </c>
      <c r="AF102" s="633">
        <f t="shared" si="86"/>
        <v>-0.88861726420746867</v>
      </c>
      <c r="AG102" s="602">
        <f t="shared" si="87"/>
        <v>3.9901244183825044</v>
      </c>
      <c r="AH102" s="603">
        <f t="shared" si="88"/>
        <v>62.97097846025288</v>
      </c>
      <c r="AI102" s="585">
        <f t="shared" si="89"/>
        <v>-27.299996058371097</v>
      </c>
      <c r="AJ102" s="586">
        <f t="shared" si="90"/>
        <v>97.767014216047528</v>
      </c>
      <c r="AK102" s="635">
        <f t="shared" si="211"/>
        <v>2.2679489680016429E-7</v>
      </c>
      <c r="AL102" s="629">
        <f t="shared" si="91"/>
        <v>-0.45864949335236654</v>
      </c>
      <c r="AM102" s="634">
        <f t="shared" si="92"/>
        <v>-0.88861726420746867</v>
      </c>
      <c r="AN102" s="581">
        <f t="shared" si="93"/>
        <v>-27.299996058368247</v>
      </c>
      <c r="AO102" s="582">
        <f t="shared" si="463"/>
        <v>0</v>
      </c>
      <c r="AP102" s="585">
        <f t="shared" si="95"/>
        <v>-89.999971668146188</v>
      </c>
      <c r="AQ102" s="586">
        <f t="shared" si="474"/>
        <v>0.39963585769839088</v>
      </c>
      <c r="AS102" s="52">
        <f t="shared" si="546"/>
        <v>-262.23301411580633</v>
      </c>
      <c r="AT102" s="73">
        <f t="shared" si="475"/>
        <v>-0.52039585894374563</v>
      </c>
      <c r="AU102" s="469"/>
      <c r="AV102" s="168" t="str">
        <f t="shared" si="476"/>
        <v/>
      </c>
      <c r="AW102" s="418"/>
      <c r="AX102" s="419"/>
      <c r="AY102" s="420"/>
      <c r="AZ102" s="308" t="str">
        <f t="shared" si="547"/>
        <v/>
      </c>
      <c r="BA102" s="307" t="str">
        <f t="shared" si="477"/>
        <v/>
      </c>
      <c r="BB102" s="181" t="str">
        <f t="shared" si="524"/>
        <v/>
      </c>
      <c r="BC102" s="9"/>
      <c r="BD102" s="5" t="str">
        <f t="shared" si="525"/>
        <v/>
      </c>
      <c r="BE102" s="6" t="str">
        <f t="shared" si="478"/>
        <v/>
      </c>
      <c r="BF102" s="4" t="str">
        <f t="shared" si="479"/>
        <v/>
      </c>
      <c r="BG102" s="5" t="str">
        <f t="shared" si="480"/>
        <v/>
      </c>
      <c r="BH102" s="10" t="str">
        <f t="shared" si="481"/>
        <v/>
      </c>
      <c r="BI102" s="9" t="str">
        <f t="shared" si="548"/>
        <v/>
      </c>
      <c r="BJ102" s="5" t="str">
        <f t="shared" si="482"/>
        <v/>
      </c>
      <c r="BK102" s="8" t="str">
        <f t="shared" si="483"/>
        <v/>
      </c>
      <c r="BL102" s="177" t="str">
        <f t="shared" si="484"/>
        <v/>
      </c>
      <c r="BM102" s="5" t="str">
        <f t="shared" si="485"/>
        <v/>
      </c>
      <c r="BN102" s="6" t="str">
        <f t="shared" si="486"/>
        <v/>
      </c>
      <c r="BO102" s="4" t="str">
        <f t="shared" si="549"/>
        <v/>
      </c>
      <c r="BP102" s="5" t="str">
        <f t="shared" si="550"/>
        <v/>
      </c>
      <c r="BQ102" s="5" t="str">
        <f t="shared" si="551"/>
        <v/>
      </c>
      <c r="BR102" s="6" t="str">
        <f t="shared" si="552"/>
        <v/>
      </c>
      <c r="BS102" s="4" t="str">
        <f t="shared" si="526"/>
        <v/>
      </c>
      <c r="BT102" s="5" t="str">
        <f t="shared" si="526"/>
        <v/>
      </c>
      <c r="BU102" s="10" t="str">
        <f t="shared" si="527"/>
        <v/>
      </c>
      <c r="BV102" s="9" t="str">
        <f t="shared" si="528"/>
        <v/>
      </c>
      <c r="BW102" s="5" t="str">
        <f t="shared" si="529"/>
        <v/>
      </c>
      <c r="BX102" s="8" t="str">
        <f t="shared" si="530"/>
        <v/>
      </c>
      <c r="BY102" s="177" t="str">
        <f t="shared" si="531"/>
        <v/>
      </c>
      <c r="BZ102" s="5" t="str">
        <f t="shared" si="532"/>
        <v/>
      </c>
      <c r="CA102" s="6" t="str">
        <f t="shared" si="533"/>
        <v/>
      </c>
      <c r="CB102" s="4" t="str">
        <f t="shared" si="553"/>
        <v/>
      </c>
      <c r="CC102" s="5" t="str">
        <f t="shared" si="554"/>
        <v/>
      </c>
      <c r="CD102" s="5" t="str">
        <f t="shared" si="555"/>
        <v/>
      </c>
      <c r="CE102" s="6" t="str">
        <f t="shared" si="556"/>
        <v/>
      </c>
      <c r="CF102" s="4" t="str">
        <f t="shared" si="557"/>
        <v/>
      </c>
      <c r="CG102" s="5" t="str">
        <f t="shared" si="558"/>
        <v/>
      </c>
      <c r="CH102" s="5" t="str">
        <f t="shared" si="559"/>
        <v/>
      </c>
      <c r="CI102" s="4" t="str">
        <f t="shared" si="534"/>
        <v/>
      </c>
      <c r="CJ102" s="5" t="str">
        <f t="shared" si="535"/>
        <v/>
      </c>
      <c r="CK102" s="8" t="str">
        <f t="shared" si="536"/>
        <v/>
      </c>
      <c r="CL102" s="177" t="str">
        <f t="shared" si="537"/>
        <v/>
      </c>
      <c r="CM102" s="5" t="str">
        <f t="shared" si="538"/>
        <v/>
      </c>
      <c r="CN102" s="6" t="str">
        <f t="shared" si="539"/>
        <v/>
      </c>
      <c r="CO102" s="171" t="str">
        <f t="shared" si="487"/>
        <v/>
      </c>
      <c r="CP102" s="4" t="str">
        <f t="shared" si="560"/>
        <v/>
      </c>
      <c r="CQ102" s="5" t="str">
        <f t="shared" si="561"/>
        <v/>
      </c>
      <c r="CR102" s="5" t="str">
        <f t="shared" si="562"/>
        <v/>
      </c>
      <c r="CS102" s="8" t="str">
        <f t="shared" si="563"/>
        <v/>
      </c>
      <c r="CT102" s="9" t="str">
        <f t="shared" si="564"/>
        <v/>
      </c>
      <c r="CU102" s="6" t="str">
        <f t="shared" si="565"/>
        <v/>
      </c>
      <c r="CV102" s="4" t="str">
        <f t="shared" si="566"/>
        <v/>
      </c>
      <c r="CW102" s="5" t="str">
        <f t="shared" si="567"/>
        <v/>
      </c>
      <c r="CX102" s="8" t="str">
        <f t="shared" si="568"/>
        <v/>
      </c>
      <c r="CY102" s="9" t="str">
        <f t="shared" si="569"/>
        <v/>
      </c>
      <c r="CZ102" s="5" t="str">
        <f t="shared" si="570"/>
        <v/>
      </c>
      <c r="DA102" s="6" t="str">
        <f t="shared" si="571"/>
        <v/>
      </c>
      <c r="DB102" s="4" t="str">
        <f t="shared" si="572"/>
        <v/>
      </c>
      <c r="DC102" s="5" t="str">
        <f t="shared" si="572"/>
        <v/>
      </c>
      <c r="DD102" s="10" t="str">
        <f t="shared" si="573"/>
        <v/>
      </c>
      <c r="DE102" s="9" t="str">
        <f t="shared" si="574"/>
        <v/>
      </c>
      <c r="DF102" s="5" t="str">
        <f t="shared" si="574"/>
        <v/>
      </c>
      <c r="DG102" s="10" t="str">
        <f t="shared" si="575"/>
        <v/>
      </c>
      <c r="DH102" s="72" t="str">
        <f t="shared" si="576"/>
        <v/>
      </c>
      <c r="DI102" s="4" t="str">
        <f t="shared" si="577"/>
        <v/>
      </c>
      <c r="DJ102" s="5" t="str">
        <f t="shared" si="578"/>
        <v/>
      </c>
      <c r="DK102" s="10" t="str">
        <f t="shared" si="579"/>
        <v/>
      </c>
      <c r="DL102" s="9" t="str">
        <f t="shared" si="580"/>
        <v/>
      </c>
      <c r="DM102" s="177" t="str">
        <f t="shared" si="581"/>
        <v/>
      </c>
      <c r="DN102" s="182" t="str">
        <f t="shared" si="582"/>
        <v/>
      </c>
      <c r="DO102" s="9" t="str">
        <f t="shared" si="583"/>
        <v/>
      </c>
      <c r="DP102" s="177" t="str">
        <f t="shared" si="584"/>
        <v/>
      </c>
      <c r="DQ102" s="11" t="str">
        <f t="shared" si="585"/>
        <v/>
      </c>
      <c r="DR102" s="177" t="str">
        <f t="shared" si="586"/>
        <v/>
      </c>
      <c r="DS102" s="5" t="str">
        <f t="shared" si="587"/>
        <v/>
      </c>
      <c r="DT102" s="5" t="str">
        <f t="shared" si="588"/>
        <v/>
      </c>
      <c r="DU102" s="5" t="str">
        <f t="shared" si="589"/>
        <v/>
      </c>
      <c r="DV102" s="5" t="str">
        <f t="shared" si="590"/>
        <v/>
      </c>
      <c r="DW102" s="5" t="str">
        <f t="shared" si="591"/>
        <v/>
      </c>
      <c r="DX102" s="171" t="str">
        <f t="shared" si="592"/>
        <v/>
      </c>
      <c r="DY102" s="9" t="str">
        <f t="shared" si="593"/>
        <v/>
      </c>
      <c r="DZ102" s="5" t="str">
        <f t="shared" si="594"/>
        <v/>
      </c>
      <c r="EA102" s="10" t="str">
        <f t="shared" si="595"/>
        <v/>
      </c>
      <c r="EB102" s="6" t="str">
        <f t="shared" si="596"/>
        <v/>
      </c>
      <c r="EC102" s="177" t="str">
        <f t="shared" si="597"/>
        <v/>
      </c>
      <c r="ED102" s="5" t="str">
        <f t="shared" si="598"/>
        <v/>
      </c>
      <c r="EE102" s="4" t="str">
        <f t="shared" si="599"/>
        <v/>
      </c>
      <c r="EF102" s="5" t="str">
        <f t="shared" si="600"/>
        <v/>
      </c>
      <c r="EG102" s="10" t="str">
        <f t="shared" si="601"/>
        <v/>
      </c>
      <c r="EH102" s="9" t="str">
        <f t="shared" si="602"/>
        <v/>
      </c>
      <c r="EI102" s="5" t="str">
        <f t="shared" si="603"/>
        <v/>
      </c>
      <c r="EJ102" s="6" t="str">
        <f t="shared" si="604"/>
        <v/>
      </c>
      <c r="EK102" s="247" t="str">
        <f t="shared" si="605"/>
        <v/>
      </c>
      <c r="EL102" s="249" t="str">
        <f t="shared" si="606"/>
        <v/>
      </c>
      <c r="EM102" s="4" t="str">
        <f t="shared" si="607"/>
        <v/>
      </c>
      <c r="EN102" s="5" t="str">
        <f t="shared" si="608"/>
        <v/>
      </c>
      <c r="EO102" s="10" t="str">
        <f t="shared" si="609"/>
        <v/>
      </c>
      <c r="EP102" s="9" t="str">
        <f t="shared" si="610"/>
        <v/>
      </c>
      <c r="EQ102" s="5" t="str">
        <f t="shared" si="611"/>
        <v/>
      </c>
      <c r="ER102" s="7" t="str">
        <f t="shared" si="612"/>
        <v/>
      </c>
      <c r="ES102" s="21" t="str">
        <f t="shared" si="488"/>
        <v/>
      </c>
      <c r="ET102" s="5" t="str">
        <f t="shared" si="489"/>
        <v/>
      </c>
      <c r="EU102" s="10" t="str">
        <f t="shared" si="490"/>
        <v/>
      </c>
      <c r="EV102" s="178" t="str">
        <f t="shared" si="491"/>
        <v/>
      </c>
      <c r="EW102" s="9" t="str">
        <f t="shared" si="492"/>
        <v/>
      </c>
      <c r="EX102" s="5" t="str">
        <f t="shared" si="493"/>
        <v/>
      </c>
      <c r="EY102" s="6" t="str">
        <f t="shared" si="613"/>
        <v/>
      </c>
      <c r="EZ102" s="52" t="str">
        <f t="shared" si="614"/>
        <v/>
      </c>
      <c r="FA102" s="177" t="str">
        <f t="shared" si="494"/>
        <v/>
      </c>
      <c r="FB102" s="5" t="str">
        <f t="shared" si="495"/>
        <v/>
      </c>
      <c r="FC102" s="6" t="str">
        <f t="shared" si="496"/>
        <v/>
      </c>
      <c r="FD102" s="4" t="str">
        <f t="shared" si="497"/>
        <v/>
      </c>
      <c r="FE102" s="5" t="str">
        <f t="shared" si="498"/>
        <v/>
      </c>
      <c r="FF102" s="7" t="str">
        <f t="shared" si="615"/>
        <v/>
      </c>
      <c r="FG102" s="177" t="str">
        <f t="shared" si="499"/>
        <v/>
      </c>
      <c r="FH102" s="5" t="str">
        <f t="shared" si="500"/>
        <v/>
      </c>
      <c r="FI102" s="10" t="str">
        <f t="shared" si="501"/>
        <v/>
      </c>
      <c r="FJ102" s="290" t="str">
        <f t="shared" si="616"/>
        <v/>
      </c>
      <c r="FK102" s="4" t="str">
        <f t="shared" si="502"/>
        <v/>
      </c>
      <c r="FL102" s="5" t="str">
        <f t="shared" si="540"/>
        <v/>
      </c>
      <c r="FM102" s="8" t="str">
        <f t="shared" si="541"/>
        <v/>
      </c>
      <c r="FN102" s="9" t="str">
        <f t="shared" si="542"/>
        <v/>
      </c>
      <c r="FO102" s="10" t="str">
        <f t="shared" si="503"/>
        <v/>
      </c>
      <c r="FP102" s="288" t="str">
        <f t="shared" si="543"/>
        <v/>
      </c>
      <c r="FQ102" s="177" t="str">
        <f t="shared" si="617"/>
        <v/>
      </c>
      <c r="FR102" s="10" t="str">
        <f t="shared" si="618"/>
        <v/>
      </c>
      <c r="FS102" s="9" t="str">
        <f t="shared" si="619"/>
        <v/>
      </c>
      <c r="FT102" s="6" t="str">
        <f t="shared" si="620"/>
        <v/>
      </c>
      <c r="FU102" s="4" t="str">
        <f t="shared" si="621"/>
        <v/>
      </c>
      <c r="FV102" s="5" t="str">
        <f t="shared" si="622"/>
        <v/>
      </c>
      <c r="FW102" s="8" t="str">
        <f t="shared" si="623"/>
        <v/>
      </c>
      <c r="FX102" s="9" t="str">
        <f t="shared" si="624"/>
        <v/>
      </c>
      <c r="FY102" s="10" t="str">
        <f t="shared" si="504"/>
        <v/>
      </c>
      <c r="FZ102" s="288" t="str">
        <f t="shared" si="625"/>
        <v/>
      </c>
      <c r="GA102" s="181" t="str">
        <f t="shared" si="626"/>
        <v/>
      </c>
      <c r="GB102" s="4" t="str">
        <f t="shared" si="627"/>
        <v/>
      </c>
      <c r="GC102" s="5" t="str">
        <f t="shared" si="628"/>
        <v/>
      </c>
      <c r="GD102" s="10" t="str">
        <f t="shared" si="629"/>
        <v/>
      </c>
      <c r="GE102" s="324" t="str">
        <f t="shared" si="630"/>
        <v/>
      </c>
      <c r="GF102" s="362" t="str">
        <f t="shared" si="631"/>
        <v/>
      </c>
      <c r="GG102" s="296" t="str">
        <f t="shared" si="505"/>
        <v/>
      </c>
      <c r="GH102" s="297" t="str">
        <f t="shared" si="506"/>
        <v/>
      </c>
      <c r="GI102" s="292" t="str">
        <f t="shared" si="507"/>
        <v/>
      </c>
      <c r="GJ102" s="171" t="str">
        <f t="shared" si="632"/>
        <v/>
      </c>
      <c r="GK102" s="178" t="str">
        <f t="shared" si="508"/>
        <v/>
      </c>
      <c r="GL102" s="178" t="str">
        <f t="shared" si="633"/>
        <v/>
      </c>
      <c r="GM102" s="181" t="str">
        <f t="shared" si="634"/>
        <v/>
      </c>
      <c r="GN102" s="291" t="str">
        <f t="shared" si="635"/>
        <v/>
      </c>
      <c r="GO102" s="4" t="str">
        <f t="shared" si="636"/>
        <v/>
      </c>
      <c r="GP102" s="8" t="str">
        <f t="shared" si="637"/>
        <v/>
      </c>
      <c r="GQ102" s="181" t="str">
        <f t="shared" si="638"/>
        <v/>
      </c>
      <c r="GR102" s="417" t="str">
        <f t="shared" si="639"/>
        <v/>
      </c>
      <c r="GS102" s="363" t="str">
        <f t="shared" si="509"/>
        <v/>
      </c>
      <c r="GT102" s="364" t="str">
        <f t="shared" si="510"/>
        <v/>
      </c>
      <c r="GU102" s="365" t="str">
        <f t="shared" si="511"/>
        <v/>
      </c>
      <c r="GV102" s="364" t="str">
        <f t="shared" si="640"/>
        <v/>
      </c>
      <c r="GW102" s="366" t="str">
        <f t="shared" si="512"/>
        <v/>
      </c>
      <c r="GX102" s="367" t="str">
        <f t="shared" si="513"/>
        <v/>
      </c>
      <c r="GY102" s="365" t="str">
        <f t="shared" si="514"/>
        <v/>
      </c>
      <c r="GZ102" s="366" t="str">
        <f t="shared" si="515"/>
        <v/>
      </c>
      <c r="HA102" s="363" t="str">
        <f t="shared" si="516"/>
        <v/>
      </c>
      <c r="HB102" s="5" t="str">
        <f t="shared" si="641"/>
        <v/>
      </c>
      <c r="HC102" s="364" t="str">
        <f t="shared" si="642"/>
        <v/>
      </c>
      <c r="HD102" s="405" t="str">
        <f t="shared" si="643"/>
        <v/>
      </c>
      <c r="HE102" s="365" t="str">
        <f t="shared" si="517"/>
        <v/>
      </c>
      <c r="HF102" s="5" t="str">
        <f t="shared" si="518"/>
        <v/>
      </c>
      <c r="HG102" s="364" t="str">
        <f t="shared" si="644"/>
        <v/>
      </c>
      <c r="HH102" s="370" t="str">
        <f t="shared" si="645"/>
        <v/>
      </c>
      <c r="HI102" s="335" t="str">
        <f t="shared" si="519"/>
        <v/>
      </c>
      <c r="HK102" s="323" t="str">
        <f t="shared" ref="HK102:HK129" si="664">IF(ISNUMBER(HL102),HK101+1,"")</f>
        <v/>
      </c>
      <c r="HL102" s="322" t="str">
        <f t="shared" si="544"/>
        <v/>
      </c>
      <c r="HM102" s="369" t="str">
        <f t="shared" si="662"/>
        <v/>
      </c>
      <c r="HN102" s="384" t="str">
        <f t="shared" si="662"/>
        <v/>
      </c>
      <c r="HO102" s="385" t="str">
        <f t="shared" si="662"/>
        <v/>
      </c>
      <c r="HP102" s="380" t="str">
        <f t="shared" si="662"/>
        <v/>
      </c>
      <c r="HQ102" s="384" t="str">
        <f t="shared" si="662"/>
        <v/>
      </c>
      <c r="HR102" s="395" t="str">
        <f t="shared" si="662"/>
        <v/>
      </c>
      <c r="HS102" s="379" t="str">
        <f t="shared" si="662"/>
        <v/>
      </c>
      <c r="HT102" s="374" t="str">
        <f t="shared" si="662"/>
        <v/>
      </c>
      <c r="HU102" s="375" t="str">
        <f t="shared" si="662"/>
        <v/>
      </c>
      <c r="HV102" s="376" t="str">
        <f t="shared" si="662"/>
        <v/>
      </c>
      <c r="HW102" s="374" t="str">
        <f t="shared" si="662"/>
        <v/>
      </c>
      <c r="HX102" s="375" t="str">
        <f t="shared" si="662"/>
        <v/>
      </c>
      <c r="HY102" s="376" t="str">
        <f t="shared" si="662"/>
        <v/>
      </c>
      <c r="HZ102" s="374" t="str">
        <f t="shared" si="662"/>
        <v/>
      </c>
      <c r="IA102" s="375" t="str">
        <f t="shared" si="662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6"/>
        <v>5.2350000000000003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5.1349999999999998</v>
      </c>
      <c r="II102" s="734" cm="1">
        <f t="array" ref="II102">IFERROR(ROUND(VALUE(IF($IH102&lt;1,$IH102+LARGE((IF($M$9:$M$150="",0,$M$9:$M$150)-MOD(IF($M$9:$M$150="",0,$M$9:$M$150),1)),1),$IH102)),4),"")</f>
        <v>5.1349999999999998</v>
      </c>
      <c r="IJ102" s="533">
        <f t="shared" si="545"/>
        <v>1613</v>
      </c>
      <c r="IK102" s="533" t="str">
        <f t="shared" si="520"/>
        <v>Inactive</v>
      </c>
      <c r="IL102" s="727">
        <f t="shared" si="651"/>
        <v>15.959397695748066</v>
      </c>
      <c r="IM102" s="759">
        <v>5.9474611726019401E-4</v>
      </c>
      <c r="IN102" s="5">
        <f t="shared" si="652"/>
        <v>0</v>
      </c>
      <c r="IO102" s="771">
        <v>0</v>
      </c>
      <c r="IP102" s="9">
        <f t="shared" si="653"/>
        <v>-5.6885171565677446</v>
      </c>
      <c r="IQ102" s="5">
        <f t="shared" si="654"/>
        <v>-0.72300218057457633</v>
      </c>
      <c r="IR102" s="5">
        <f t="shared" si="521"/>
        <v>0.314</v>
      </c>
      <c r="IS102" s="5">
        <f t="shared" si="655"/>
        <v>0.28881693355718258</v>
      </c>
      <c r="IT102" s="727">
        <f t="shared" si="656"/>
        <v>46.023868097589066</v>
      </c>
      <c r="IU102" s="9">
        <f t="shared" si="657"/>
        <v>-5.7044172045222901</v>
      </c>
      <c r="IV102" s="5">
        <f t="shared" si="658"/>
        <v>-0.7025021187463889</v>
      </c>
      <c r="IW102" s="5">
        <f t="shared" si="522"/>
        <v>0.26250000000000001</v>
      </c>
      <c r="IX102" s="5">
        <f t="shared" si="659"/>
        <v>0.26250000000000001</v>
      </c>
      <c r="IY102" s="762">
        <f t="shared" si="660"/>
        <v>27.299996058368247</v>
      </c>
    </row>
    <row r="103" spans="1:259" ht="15" customHeight="1" x14ac:dyDescent="0.25">
      <c r="A103" s="79"/>
      <c r="B103" s="707">
        <v>-6.2011954976713044</v>
      </c>
      <c r="C103" s="708">
        <v>-0.78288582557624886</v>
      </c>
      <c r="D103" s="709">
        <v>-1.2406037416608835</v>
      </c>
      <c r="E103" s="710">
        <v>-0.5998376681005968</v>
      </c>
      <c r="F103" s="708">
        <v>-7.5728272998668286E-2</v>
      </c>
      <c r="G103" s="711">
        <v>0.79652997470043629</v>
      </c>
      <c r="H103" s="710">
        <v>0.26250000000000001</v>
      </c>
      <c r="I103" s="708">
        <v>0.40699999999999997</v>
      </c>
      <c r="J103" s="570">
        <v>5.2409999999999997</v>
      </c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Inactive</v>
      </c>
      <c r="L103" s="1314">
        <f t="shared" si="663"/>
        <v>0</v>
      </c>
      <c r="M103" s="168">
        <f t="shared" si="467"/>
        <v>5.2409999999999997</v>
      </c>
      <c r="N103" s="632">
        <f t="shared" si="468"/>
        <v>-6.2011954976713044</v>
      </c>
      <c r="O103" s="629">
        <f t="shared" si="469"/>
        <v>-0.78288582557624886</v>
      </c>
      <c r="P103" s="633">
        <f t="shared" si="470"/>
        <v>-1.2406037416608835</v>
      </c>
      <c r="Q103" s="585">
        <f t="shared" si="523"/>
        <v>187.19538596672254</v>
      </c>
      <c r="R103" s="629">
        <f t="shared" si="79"/>
        <v>6.2504188512632544</v>
      </c>
      <c r="S103" s="634">
        <f t="shared" si="80"/>
        <v>-1.2406037416608835</v>
      </c>
      <c r="T103" s="635">
        <f t="shared" si="81"/>
        <v>-0.78288582557624931</v>
      </c>
      <c r="U103" s="629">
        <f t="shared" si="82"/>
        <v>6.2011954976713044</v>
      </c>
      <c r="V103" s="636">
        <f t="shared" si="114"/>
        <v>-1.2406037416608835</v>
      </c>
      <c r="W103" s="585">
        <f t="shared" si="648"/>
        <v>97.19538596672254</v>
      </c>
      <c r="X103" s="629">
        <f t="shared" si="83"/>
        <v>6.2504188512632544</v>
      </c>
      <c r="Y103" s="630">
        <f t="shared" si="647"/>
        <v>-1.2406037416608835</v>
      </c>
      <c r="Z103" s="632">
        <f t="shared" si="471"/>
        <v>0.5998376681005968</v>
      </c>
      <c r="AA103" s="629">
        <f t="shared" si="472"/>
        <v>7.5728272998668286E-2</v>
      </c>
      <c r="AB103" s="629">
        <f t="shared" si="473"/>
        <v>-0.79652997470043629</v>
      </c>
      <c r="AC103" s="636">
        <f t="shared" si="84"/>
        <v>1</v>
      </c>
      <c r="AD103" s="637">
        <f t="shared" si="115"/>
        <v>0.5998376681005968</v>
      </c>
      <c r="AE103" s="629">
        <f t="shared" si="85"/>
        <v>7.5728272998668286E-2</v>
      </c>
      <c r="AF103" s="633">
        <f t="shared" si="86"/>
        <v>-0.79652997470043629</v>
      </c>
      <c r="AG103" s="602">
        <f t="shared" si="87"/>
        <v>5.4309418768163411</v>
      </c>
      <c r="AH103" s="603">
        <f t="shared" si="88"/>
        <v>53.141727635594776</v>
      </c>
      <c r="AI103" s="585">
        <f t="shared" si="89"/>
        <v>-37.199994628987248</v>
      </c>
      <c r="AJ103" s="586">
        <f t="shared" si="90"/>
        <v>97.195407459297826</v>
      </c>
      <c r="AK103" s="635">
        <f t="shared" si="211"/>
        <v>2.2679489661281416E-7</v>
      </c>
      <c r="AL103" s="629">
        <f t="shared" si="91"/>
        <v>-0.60459904019413657</v>
      </c>
      <c r="AM103" s="634">
        <f t="shared" si="92"/>
        <v>-0.79652997470043629</v>
      </c>
      <c r="AN103" s="581">
        <f t="shared" si="93"/>
        <v>-37.19999462898533</v>
      </c>
      <c r="AO103" s="582">
        <f t="shared" si="463"/>
        <v>0</v>
      </c>
      <c r="AP103" s="585">
        <f t="shared" si="95"/>
        <v>-89.999978507424714</v>
      </c>
      <c r="AQ103" s="586">
        <f t="shared" si="474"/>
        <v>0.36472689161003902</v>
      </c>
      <c r="AS103" s="52">
        <f t="shared" si="546"/>
        <v>-262.80461403327746</v>
      </c>
      <c r="AT103" s="73">
        <f t="shared" si="475"/>
        <v>-1.0581005374711074</v>
      </c>
      <c r="AU103" s="469"/>
      <c r="AV103" s="168" t="str">
        <f t="shared" si="476"/>
        <v/>
      </c>
      <c r="AW103" s="418"/>
      <c r="AX103" s="419"/>
      <c r="AY103" s="420"/>
      <c r="AZ103" s="308" t="str">
        <f t="shared" si="547"/>
        <v/>
      </c>
      <c r="BA103" s="307" t="str">
        <f t="shared" si="477"/>
        <v/>
      </c>
      <c r="BB103" s="181" t="str">
        <f t="shared" si="524"/>
        <v/>
      </c>
      <c r="BC103" s="9"/>
      <c r="BD103" s="5" t="str">
        <f t="shared" si="525"/>
        <v/>
      </c>
      <c r="BE103" s="6" t="str">
        <f t="shared" si="478"/>
        <v/>
      </c>
      <c r="BF103" s="4" t="str">
        <f t="shared" si="479"/>
        <v/>
      </c>
      <c r="BG103" s="5" t="str">
        <f t="shared" si="480"/>
        <v/>
      </c>
      <c r="BH103" s="10" t="str">
        <f t="shared" si="481"/>
        <v/>
      </c>
      <c r="BI103" s="9" t="str">
        <f t="shared" si="548"/>
        <v/>
      </c>
      <c r="BJ103" s="5" t="str">
        <f t="shared" si="482"/>
        <v/>
      </c>
      <c r="BK103" s="8" t="str">
        <f t="shared" si="483"/>
        <v/>
      </c>
      <c r="BL103" s="177" t="str">
        <f t="shared" si="484"/>
        <v/>
      </c>
      <c r="BM103" s="5" t="str">
        <f t="shared" si="485"/>
        <v/>
      </c>
      <c r="BN103" s="6" t="str">
        <f t="shared" si="486"/>
        <v/>
      </c>
      <c r="BO103" s="4" t="str">
        <f t="shared" si="549"/>
        <v/>
      </c>
      <c r="BP103" s="5" t="str">
        <f t="shared" si="550"/>
        <v/>
      </c>
      <c r="BQ103" s="5" t="str">
        <f t="shared" si="551"/>
        <v/>
      </c>
      <c r="BR103" s="6" t="str">
        <f t="shared" si="552"/>
        <v/>
      </c>
      <c r="BS103" s="4" t="str">
        <f t="shared" si="526"/>
        <v/>
      </c>
      <c r="BT103" s="5" t="str">
        <f t="shared" si="526"/>
        <v/>
      </c>
      <c r="BU103" s="10" t="str">
        <f t="shared" si="527"/>
        <v/>
      </c>
      <c r="BV103" s="9" t="str">
        <f t="shared" si="528"/>
        <v/>
      </c>
      <c r="BW103" s="5" t="str">
        <f t="shared" si="529"/>
        <v/>
      </c>
      <c r="BX103" s="8" t="str">
        <f t="shared" si="530"/>
        <v/>
      </c>
      <c r="BY103" s="177" t="str">
        <f t="shared" si="531"/>
        <v/>
      </c>
      <c r="BZ103" s="5" t="str">
        <f t="shared" si="532"/>
        <v/>
      </c>
      <c r="CA103" s="6" t="str">
        <f t="shared" si="533"/>
        <v/>
      </c>
      <c r="CB103" s="4" t="str">
        <f t="shared" si="553"/>
        <v/>
      </c>
      <c r="CC103" s="5" t="str">
        <f t="shared" si="554"/>
        <v/>
      </c>
      <c r="CD103" s="5" t="str">
        <f t="shared" si="555"/>
        <v/>
      </c>
      <c r="CE103" s="6" t="str">
        <f t="shared" si="556"/>
        <v/>
      </c>
      <c r="CF103" s="4" t="str">
        <f t="shared" si="557"/>
        <v/>
      </c>
      <c r="CG103" s="5" t="str">
        <f t="shared" si="558"/>
        <v/>
      </c>
      <c r="CH103" s="5" t="str">
        <f t="shared" si="559"/>
        <v/>
      </c>
      <c r="CI103" s="4" t="str">
        <f t="shared" si="534"/>
        <v/>
      </c>
      <c r="CJ103" s="5" t="str">
        <f t="shared" si="535"/>
        <v/>
      </c>
      <c r="CK103" s="8" t="str">
        <f t="shared" si="536"/>
        <v/>
      </c>
      <c r="CL103" s="177" t="str">
        <f t="shared" si="537"/>
        <v/>
      </c>
      <c r="CM103" s="5" t="str">
        <f t="shared" si="538"/>
        <v/>
      </c>
      <c r="CN103" s="6" t="str">
        <f t="shared" si="539"/>
        <v/>
      </c>
      <c r="CO103" s="171" t="str">
        <f t="shared" si="487"/>
        <v/>
      </c>
      <c r="CP103" s="4" t="str">
        <f t="shared" si="560"/>
        <v/>
      </c>
      <c r="CQ103" s="5" t="str">
        <f t="shared" si="561"/>
        <v/>
      </c>
      <c r="CR103" s="5" t="str">
        <f t="shared" si="562"/>
        <v/>
      </c>
      <c r="CS103" s="8" t="str">
        <f t="shared" si="563"/>
        <v/>
      </c>
      <c r="CT103" s="9" t="str">
        <f t="shared" si="564"/>
        <v/>
      </c>
      <c r="CU103" s="6" t="str">
        <f t="shared" si="565"/>
        <v/>
      </c>
      <c r="CV103" s="4" t="str">
        <f t="shared" si="566"/>
        <v/>
      </c>
      <c r="CW103" s="5" t="str">
        <f t="shared" si="567"/>
        <v/>
      </c>
      <c r="CX103" s="8" t="str">
        <f t="shared" si="568"/>
        <v/>
      </c>
      <c r="CY103" s="9" t="str">
        <f t="shared" si="569"/>
        <v/>
      </c>
      <c r="CZ103" s="5" t="str">
        <f t="shared" si="570"/>
        <v/>
      </c>
      <c r="DA103" s="6" t="str">
        <f t="shared" si="571"/>
        <v/>
      </c>
      <c r="DB103" s="4" t="str">
        <f t="shared" si="572"/>
        <v/>
      </c>
      <c r="DC103" s="5" t="str">
        <f t="shared" si="572"/>
        <v/>
      </c>
      <c r="DD103" s="10" t="str">
        <f t="shared" si="573"/>
        <v/>
      </c>
      <c r="DE103" s="9" t="str">
        <f t="shared" si="574"/>
        <v/>
      </c>
      <c r="DF103" s="5" t="str">
        <f t="shared" si="574"/>
        <v/>
      </c>
      <c r="DG103" s="10" t="str">
        <f t="shared" si="575"/>
        <v/>
      </c>
      <c r="DH103" s="72" t="str">
        <f t="shared" si="576"/>
        <v/>
      </c>
      <c r="DI103" s="4" t="str">
        <f t="shared" si="577"/>
        <v/>
      </c>
      <c r="DJ103" s="5" t="str">
        <f t="shared" si="578"/>
        <v/>
      </c>
      <c r="DK103" s="10" t="str">
        <f t="shared" si="579"/>
        <v/>
      </c>
      <c r="DL103" s="9" t="str">
        <f t="shared" si="580"/>
        <v/>
      </c>
      <c r="DM103" s="177" t="str">
        <f t="shared" si="581"/>
        <v/>
      </c>
      <c r="DN103" s="182" t="str">
        <f t="shared" si="582"/>
        <v/>
      </c>
      <c r="DO103" s="9" t="str">
        <f t="shared" si="583"/>
        <v/>
      </c>
      <c r="DP103" s="177" t="str">
        <f t="shared" si="584"/>
        <v/>
      </c>
      <c r="DQ103" s="11" t="str">
        <f t="shared" si="585"/>
        <v/>
      </c>
      <c r="DR103" s="177" t="str">
        <f t="shared" si="586"/>
        <v/>
      </c>
      <c r="DS103" s="5" t="str">
        <f t="shared" si="587"/>
        <v/>
      </c>
      <c r="DT103" s="5" t="str">
        <f t="shared" si="588"/>
        <v/>
      </c>
      <c r="DU103" s="5" t="str">
        <f t="shared" si="589"/>
        <v/>
      </c>
      <c r="DV103" s="5" t="str">
        <f t="shared" si="590"/>
        <v/>
      </c>
      <c r="DW103" s="5" t="str">
        <f t="shared" si="591"/>
        <v/>
      </c>
      <c r="DX103" s="171" t="str">
        <f t="shared" si="592"/>
        <v/>
      </c>
      <c r="DY103" s="9" t="str">
        <f t="shared" si="593"/>
        <v/>
      </c>
      <c r="DZ103" s="5" t="str">
        <f t="shared" si="594"/>
        <v/>
      </c>
      <c r="EA103" s="10" t="str">
        <f t="shared" si="595"/>
        <v/>
      </c>
      <c r="EB103" s="6" t="str">
        <f t="shared" si="596"/>
        <v/>
      </c>
      <c r="EC103" s="177" t="str">
        <f t="shared" si="597"/>
        <v/>
      </c>
      <c r="ED103" s="5" t="str">
        <f t="shared" si="598"/>
        <v/>
      </c>
      <c r="EE103" s="4" t="str">
        <f t="shared" si="599"/>
        <v/>
      </c>
      <c r="EF103" s="5" t="str">
        <f t="shared" si="600"/>
        <v/>
      </c>
      <c r="EG103" s="10" t="str">
        <f t="shared" si="601"/>
        <v/>
      </c>
      <c r="EH103" s="9" t="str">
        <f t="shared" si="602"/>
        <v/>
      </c>
      <c r="EI103" s="5" t="str">
        <f t="shared" si="603"/>
        <v/>
      </c>
      <c r="EJ103" s="6" t="str">
        <f t="shared" si="604"/>
        <v/>
      </c>
      <c r="EK103" s="247" t="str">
        <f t="shared" si="605"/>
        <v/>
      </c>
      <c r="EL103" s="249" t="str">
        <f t="shared" si="606"/>
        <v/>
      </c>
      <c r="EM103" s="4" t="str">
        <f t="shared" si="607"/>
        <v/>
      </c>
      <c r="EN103" s="5" t="str">
        <f t="shared" si="608"/>
        <v/>
      </c>
      <c r="EO103" s="10" t="str">
        <f t="shared" si="609"/>
        <v/>
      </c>
      <c r="EP103" s="9" t="str">
        <f t="shared" si="610"/>
        <v/>
      </c>
      <c r="EQ103" s="5" t="str">
        <f t="shared" si="611"/>
        <v/>
      </c>
      <c r="ER103" s="7" t="str">
        <f t="shared" si="612"/>
        <v/>
      </c>
      <c r="ES103" s="21" t="str">
        <f t="shared" si="488"/>
        <v/>
      </c>
      <c r="ET103" s="5" t="str">
        <f t="shared" si="489"/>
        <v/>
      </c>
      <c r="EU103" s="10" t="str">
        <f t="shared" si="490"/>
        <v/>
      </c>
      <c r="EV103" s="178" t="str">
        <f t="shared" si="491"/>
        <v/>
      </c>
      <c r="EW103" s="9" t="str">
        <f t="shared" si="492"/>
        <v/>
      </c>
      <c r="EX103" s="5" t="str">
        <f t="shared" si="493"/>
        <v/>
      </c>
      <c r="EY103" s="6" t="str">
        <f t="shared" si="613"/>
        <v/>
      </c>
      <c r="EZ103" s="52" t="str">
        <f t="shared" si="614"/>
        <v/>
      </c>
      <c r="FA103" s="177" t="str">
        <f t="shared" si="494"/>
        <v/>
      </c>
      <c r="FB103" s="5" t="str">
        <f t="shared" si="495"/>
        <v/>
      </c>
      <c r="FC103" s="6" t="str">
        <f t="shared" si="496"/>
        <v/>
      </c>
      <c r="FD103" s="4" t="str">
        <f t="shared" si="497"/>
        <v/>
      </c>
      <c r="FE103" s="5" t="str">
        <f t="shared" si="498"/>
        <v/>
      </c>
      <c r="FF103" s="7" t="str">
        <f t="shared" si="615"/>
        <v/>
      </c>
      <c r="FG103" s="177" t="str">
        <f t="shared" si="499"/>
        <v/>
      </c>
      <c r="FH103" s="5" t="str">
        <f t="shared" si="500"/>
        <v/>
      </c>
      <c r="FI103" s="10" t="str">
        <f t="shared" si="501"/>
        <v/>
      </c>
      <c r="FJ103" s="290" t="str">
        <f t="shared" si="616"/>
        <v/>
      </c>
      <c r="FK103" s="4" t="str">
        <f t="shared" si="502"/>
        <v/>
      </c>
      <c r="FL103" s="5" t="str">
        <f t="shared" si="540"/>
        <v/>
      </c>
      <c r="FM103" s="8" t="str">
        <f t="shared" si="541"/>
        <v/>
      </c>
      <c r="FN103" s="9" t="str">
        <f t="shared" si="542"/>
        <v/>
      </c>
      <c r="FO103" s="10" t="str">
        <f t="shared" si="503"/>
        <v/>
      </c>
      <c r="FP103" s="288" t="str">
        <f t="shared" si="543"/>
        <v/>
      </c>
      <c r="FQ103" s="177" t="str">
        <f t="shared" si="617"/>
        <v/>
      </c>
      <c r="FR103" s="10" t="str">
        <f t="shared" si="618"/>
        <v/>
      </c>
      <c r="FS103" s="9" t="str">
        <f t="shared" si="619"/>
        <v/>
      </c>
      <c r="FT103" s="6" t="str">
        <f t="shared" si="620"/>
        <v/>
      </c>
      <c r="FU103" s="4" t="str">
        <f t="shared" si="621"/>
        <v/>
      </c>
      <c r="FV103" s="5" t="str">
        <f t="shared" si="622"/>
        <v/>
      </c>
      <c r="FW103" s="8" t="str">
        <f t="shared" si="623"/>
        <v/>
      </c>
      <c r="FX103" s="9" t="str">
        <f t="shared" si="624"/>
        <v/>
      </c>
      <c r="FY103" s="10" t="str">
        <f t="shared" si="504"/>
        <v/>
      </c>
      <c r="FZ103" s="288" t="str">
        <f t="shared" si="625"/>
        <v/>
      </c>
      <c r="GA103" s="181" t="str">
        <f t="shared" si="626"/>
        <v/>
      </c>
      <c r="GB103" s="4" t="str">
        <f t="shared" si="627"/>
        <v/>
      </c>
      <c r="GC103" s="5" t="str">
        <f t="shared" si="628"/>
        <v/>
      </c>
      <c r="GD103" s="10" t="str">
        <f t="shared" si="629"/>
        <v/>
      </c>
      <c r="GE103" s="324" t="str">
        <f t="shared" si="630"/>
        <v/>
      </c>
      <c r="GF103" s="362" t="str">
        <f t="shared" si="631"/>
        <v/>
      </c>
      <c r="GG103" s="296" t="str">
        <f t="shared" si="505"/>
        <v/>
      </c>
      <c r="GH103" s="297" t="str">
        <f t="shared" si="506"/>
        <v/>
      </c>
      <c r="GI103" s="292" t="str">
        <f t="shared" si="507"/>
        <v/>
      </c>
      <c r="GJ103" s="171" t="str">
        <f t="shared" si="632"/>
        <v/>
      </c>
      <c r="GK103" s="178" t="str">
        <f t="shared" si="508"/>
        <v/>
      </c>
      <c r="GL103" s="178" t="str">
        <f t="shared" si="633"/>
        <v/>
      </c>
      <c r="GM103" s="181" t="str">
        <f t="shared" si="634"/>
        <v/>
      </c>
      <c r="GN103" s="291" t="str">
        <f t="shared" si="635"/>
        <v/>
      </c>
      <c r="GO103" s="4" t="str">
        <f t="shared" si="636"/>
        <v/>
      </c>
      <c r="GP103" s="8" t="str">
        <f t="shared" si="637"/>
        <v/>
      </c>
      <c r="GQ103" s="181" t="str">
        <f t="shared" si="638"/>
        <v/>
      </c>
      <c r="GR103" s="417" t="str">
        <f t="shared" si="639"/>
        <v/>
      </c>
      <c r="GS103" s="363" t="str">
        <f t="shared" si="509"/>
        <v/>
      </c>
      <c r="GT103" s="364" t="str">
        <f t="shared" si="510"/>
        <v/>
      </c>
      <c r="GU103" s="365" t="str">
        <f t="shared" si="511"/>
        <v/>
      </c>
      <c r="GV103" s="364" t="str">
        <f t="shared" si="640"/>
        <v/>
      </c>
      <c r="GW103" s="366" t="str">
        <f t="shared" si="512"/>
        <v/>
      </c>
      <c r="GX103" s="367" t="str">
        <f t="shared" si="513"/>
        <v/>
      </c>
      <c r="GY103" s="365" t="str">
        <f t="shared" si="514"/>
        <v/>
      </c>
      <c r="GZ103" s="366" t="str">
        <f t="shared" si="515"/>
        <v/>
      </c>
      <c r="HA103" s="363" t="str">
        <f t="shared" si="516"/>
        <v/>
      </c>
      <c r="HB103" s="5" t="str">
        <f t="shared" si="641"/>
        <v/>
      </c>
      <c r="HC103" s="364" t="str">
        <f t="shared" si="642"/>
        <v/>
      </c>
      <c r="HD103" s="405" t="str">
        <f t="shared" si="643"/>
        <v/>
      </c>
      <c r="HE103" s="365" t="str">
        <f t="shared" si="517"/>
        <v/>
      </c>
      <c r="HF103" s="5" t="str">
        <f t="shared" si="518"/>
        <v/>
      </c>
      <c r="HG103" s="364" t="str">
        <f t="shared" si="644"/>
        <v/>
      </c>
      <c r="HH103" s="370" t="str">
        <f t="shared" si="645"/>
        <v/>
      </c>
      <c r="HI103" s="335" t="str">
        <f t="shared" si="519"/>
        <v/>
      </c>
      <c r="HK103" s="323" t="str">
        <f t="shared" si="664"/>
        <v/>
      </c>
      <c r="HL103" s="322" t="str">
        <f t="shared" si="544"/>
        <v/>
      </c>
      <c r="HM103" s="369" t="str">
        <f t="shared" si="662"/>
        <v/>
      </c>
      <c r="HN103" s="384" t="str">
        <f t="shared" si="662"/>
        <v/>
      </c>
      <c r="HO103" s="385" t="str">
        <f t="shared" si="662"/>
        <v/>
      </c>
      <c r="HP103" s="380" t="str">
        <f t="shared" si="662"/>
        <v/>
      </c>
      <c r="HQ103" s="384" t="str">
        <f t="shared" si="662"/>
        <v/>
      </c>
      <c r="HR103" s="395" t="str">
        <f t="shared" si="662"/>
        <v/>
      </c>
      <c r="HS103" s="379" t="str">
        <f t="shared" si="662"/>
        <v/>
      </c>
      <c r="HT103" s="374" t="str">
        <f t="shared" si="662"/>
        <v/>
      </c>
      <c r="HU103" s="375" t="str">
        <f t="shared" si="662"/>
        <v/>
      </c>
      <c r="HV103" s="376" t="str">
        <f t="shared" si="662"/>
        <v/>
      </c>
      <c r="HW103" s="374" t="str">
        <f t="shared" si="662"/>
        <v/>
      </c>
      <c r="HX103" s="375" t="str">
        <f t="shared" si="662"/>
        <v/>
      </c>
      <c r="HY103" s="376" t="str">
        <f t="shared" si="662"/>
        <v/>
      </c>
      <c r="HZ103" s="374" t="str">
        <f t="shared" si="662"/>
        <v/>
      </c>
      <c r="IA103" s="375" t="str">
        <f t="shared" si="662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6"/>
        <v>5.2409999999999997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5.141</v>
      </c>
      <c r="II103" s="734" cm="1">
        <f t="array" ref="II103">IFERROR(ROUND(VALUE(IF($IH103&lt;1,$IH103+LARGE((IF($M$9:$M$150="",0,$M$9:$M$150)-MOD(IF($M$9:$M$150="",0,$M$9:$M$150),1)),1),$IH103)),4),"")</f>
        <v>5.141</v>
      </c>
      <c r="IJ103" s="533">
        <f t="shared" si="545"/>
        <v>1613</v>
      </c>
      <c r="IK103" s="533" t="str">
        <f t="shared" si="520"/>
        <v>Inactive</v>
      </c>
      <c r="IL103" s="727">
        <f t="shared" si="651"/>
        <v>15.92099770129235</v>
      </c>
      <c r="IM103" s="759">
        <v>1.3917725635663E-4</v>
      </c>
      <c r="IN103" s="5">
        <f t="shared" si="652"/>
        <v>0</v>
      </c>
      <c r="IO103" s="771">
        <v>0</v>
      </c>
      <c r="IP103" s="9">
        <f t="shared" si="653"/>
        <v>-6.233318799689501</v>
      </c>
      <c r="IQ103" s="5">
        <f t="shared" si="654"/>
        <v>-1.2527037781545944</v>
      </c>
      <c r="IR103" s="5">
        <f t="shared" si="521"/>
        <v>0.314</v>
      </c>
      <c r="IS103" s="5">
        <f t="shared" si="655"/>
        <v>0.28090804273327075</v>
      </c>
      <c r="IT103" s="727">
        <f t="shared" si="656"/>
        <v>58.200419084888416</v>
      </c>
      <c r="IU103" s="9">
        <f t="shared" si="657"/>
        <v>-6.2504188512632544</v>
      </c>
      <c r="IV103" s="5">
        <f t="shared" si="658"/>
        <v>-1.2406037416608835</v>
      </c>
      <c r="IW103" s="5">
        <f t="shared" si="522"/>
        <v>0.26250000000000001</v>
      </c>
      <c r="IX103" s="5">
        <f t="shared" si="659"/>
        <v>0.26250000000000001</v>
      </c>
      <c r="IY103" s="762">
        <f t="shared" si="660"/>
        <v>37.19999462898533</v>
      </c>
    </row>
    <row r="104" spans="1:259" ht="15" customHeight="1" x14ac:dyDescent="0.25">
      <c r="A104" s="79"/>
      <c r="B104" s="707">
        <v>-6.607527702407026</v>
      </c>
      <c r="C104" s="708">
        <v>-0.77067495599774805</v>
      </c>
      <c r="D104" s="709">
        <v>-1.8900057002571908</v>
      </c>
      <c r="E104" s="710">
        <v>-0.72642913887947969</v>
      </c>
      <c r="F104" s="708">
        <v>-8.4727946452607991E-2</v>
      </c>
      <c r="G104" s="711">
        <v>0.68199844668205933</v>
      </c>
      <c r="H104" s="710">
        <v>0.26250000000000001</v>
      </c>
      <c r="I104" s="708">
        <v>0.40699999999999997</v>
      </c>
      <c r="J104" s="570">
        <v>5.2469999999999999</v>
      </c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Inactive</v>
      </c>
      <c r="L104" s="1314">
        <f t="shared" si="663"/>
        <v>0</v>
      </c>
      <c r="M104" s="168">
        <f t="shared" si="467"/>
        <v>5.2469999999999999</v>
      </c>
      <c r="N104" s="632">
        <f t="shared" si="468"/>
        <v>-6.607527702407026</v>
      </c>
      <c r="O104" s="629">
        <f t="shared" si="469"/>
        <v>-0.77067495599774805</v>
      </c>
      <c r="P104" s="633">
        <f t="shared" si="470"/>
        <v>-1.8900057002571908</v>
      </c>
      <c r="Q104" s="585">
        <f t="shared" si="523"/>
        <v>186.65268604507872</v>
      </c>
      <c r="R104" s="629">
        <f t="shared" si="79"/>
        <v>6.652320063397311</v>
      </c>
      <c r="S104" s="634">
        <f t="shared" si="80"/>
        <v>-1.8900057002571908</v>
      </c>
      <c r="T104" s="635">
        <f t="shared" si="81"/>
        <v>-0.77067495599775016</v>
      </c>
      <c r="U104" s="629">
        <f t="shared" si="82"/>
        <v>6.607527702407026</v>
      </c>
      <c r="V104" s="636">
        <f t="shared" si="114"/>
        <v>-1.8900057002571908</v>
      </c>
      <c r="W104" s="585">
        <f t="shared" si="648"/>
        <v>96.652686045078724</v>
      </c>
      <c r="X104" s="629">
        <f t="shared" si="83"/>
        <v>6.652320063397311</v>
      </c>
      <c r="Y104" s="630">
        <f t="shared" si="647"/>
        <v>-1.8900057002571908</v>
      </c>
      <c r="Z104" s="632">
        <f t="shared" si="471"/>
        <v>0.72642913887947969</v>
      </c>
      <c r="AA104" s="629">
        <f t="shared" si="472"/>
        <v>8.4727946452607991E-2</v>
      </c>
      <c r="AB104" s="629">
        <f t="shared" si="473"/>
        <v>-0.68199844668205933</v>
      </c>
      <c r="AC104" s="636">
        <f t="shared" si="84"/>
        <v>1</v>
      </c>
      <c r="AD104" s="637">
        <f t="shared" si="115"/>
        <v>0.72642913887947969</v>
      </c>
      <c r="AE104" s="629">
        <f t="shared" si="85"/>
        <v>8.4727946452607991E-2</v>
      </c>
      <c r="AF104" s="633">
        <f t="shared" si="86"/>
        <v>-0.68199844668205933</v>
      </c>
      <c r="AG104" s="602">
        <f t="shared" si="87"/>
        <v>7.0818445464743851</v>
      </c>
      <c r="AH104" s="603">
        <f t="shared" si="88"/>
        <v>43.412134467502291</v>
      </c>
      <c r="AI104" s="585">
        <f t="shared" si="89"/>
        <v>-46.999993214041957</v>
      </c>
      <c r="AJ104" s="586">
        <f t="shared" si="90"/>
        <v>96.652703812667497</v>
      </c>
      <c r="AK104" s="635">
        <f t="shared" si="211"/>
        <v>2.2679489643240291E-7</v>
      </c>
      <c r="AL104" s="629">
        <f t="shared" si="91"/>
        <v>-0.7313536208450786</v>
      </c>
      <c r="AM104" s="634">
        <f t="shared" si="92"/>
        <v>-0.68199844668205933</v>
      </c>
      <c r="AN104" s="581">
        <f t="shared" si="93"/>
        <v>-46.999993214040586</v>
      </c>
      <c r="AO104" s="582">
        <f t="shared" si="463"/>
        <v>0</v>
      </c>
      <c r="AP104" s="585">
        <f t="shared" si="95"/>
        <v>-89.999982232411242</v>
      </c>
      <c r="AQ104" s="586">
        <f t="shared" si="474"/>
        <v>0.3426923878320563</v>
      </c>
      <c r="AS104" s="52">
        <f t="shared" si="546"/>
        <v>-263.34731395492128</v>
      </c>
      <c r="AT104" s="73">
        <f t="shared" si="475"/>
        <v>-1.7071256211218289</v>
      </c>
      <c r="AU104" s="469"/>
      <c r="AV104" s="168" t="str">
        <f t="shared" si="476"/>
        <v/>
      </c>
      <c r="AW104" s="418"/>
      <c r="AX104" s="419"/>
      <c r="AY104" s="420"/>
      <c r="AZ104" s="308" t="str">
        <f t="shared" si="547"/>
        <v/>
      </c>
      <c r="BA104" s="307" t="str">
        <f t="shared" si="477"/>
        <v/>
      </c>
      <c r="BB104" s="181" t="str">
        <f t="shared" si="524"/>
        <v/>
      </c>
      <c r="BC104" s="9"/>
      <c r="BD104" s="5" t="str">
        <f t="shared" si="525"/>
        <v/>
      </c>
      <c r="BE104" s="6" t="str">
        <f t="shared" si="478"/>
        <v/>
      </c>
      <c r="BF104" s="4" t="str">
        <f t="shared" si="479"/>
        <v/>
      </c>
      <c r="BG104" s="5" t="str">
        <f t="shared" si="480"/>
        <v/>
      </c>
      <c r="BH104" s="10" t="str">
        <f t="shared" si="481"/>
        <v/>
      </c>
      <c r="BI104" s="9" t="str">
        <f t="shared" si="548"/>
        <v/>
      </c>
      <c r="BJ104" s="5" t="str">
        <f t="shared" si="482"/>
        <v/>
      </c>
      <c r="BK104" s="8" t="str">
        <f t="shared" si="483"/>
        <v/>
      </c>
      <c r="BL104" s="177" t="str">
        <f t="shared" si="484"/>
        <v/>
      </c>
      <c r="BM104" s="5" t="str">
        <f t="shared" si="485"/>
        <v/>
      </c>
      <c r="BN104" s="6" t="str">
        <f t="shared" si="486"/>
        <v/>
      </c>
      <c r="BO104" s="4" t="str">
        <f t="shared" si="549"/>
        <v/>
      </c>
      <c r="BP104" s="5" t="str">
        <f t="shared" si="550"/>
        <v/>
      </c>
      <c r="BQ104" s="5" t="str">
        <f t="shared" si="551"/>
        <v/>
      </c>
      <c r="BR104" s="6" t="str">
        <f t="shared" si="552"/>
        <v/>
      </c>
      <c r="BS104" s="4" t="str">
        <f t="shared" si="526"/>
        <v/>
      </c>
      <c r="BT104" s="5" t="str">
        <f t="shared" si="526"/>
        <v/>
      </c>
      <c r="BU104" s="10" t="str">
        <f t="shared" si="527"/>
        <v/>
      </c>
      <c r="BV104" s="9" t="str">
        <f t="shared" si="528"/>
        <v/>
      </c>
      <c r="BW104" s="5" t="str">
        <f t="shared" si="529"/>
        <v/>
      </c>
      <c r="BX104" s="8" t="str">
        <f t="shared" si="530"/>
        <v/>
      </c>
      <c r="BY104" s="177" t="str">
        <f t="shared" si="531"/>
        <v/>
      </c>
      <c r="BZ104" s="5" t="str">
        <f t="shared" si="532"/>
        <v/>
      </c>
      <c r="CA104" s="6" t="str">
        <f t="shared" si="533"/>
        <v/>
      </c>
      <c r="CB104" s="4" t="str">
        <f t="shared" si="553"/>
        <v/>
      </c>
      <c r="CC104" s="5" t="str">
        <f t="shared" si="554"/>
        <v/>
      </c>
      <c r="CD104" s="5" t="str">
        <f t="shared" si="555"/>
        <v/>
      </c>
      <c r="CE104" s="6" t="str">
        <f t="shared" si="556"/>
        <v/>
      </c>
      <c r="CF104" s="4" t="str">
        <f t="shared" si="557"/>
        <v/>
      </c>
      <c r="CG104" s="5" t="str">
        <f t="shared" si="558"/>
        <v/>
      </c>
      <c r="CH104" s="5" t="str">
        <f t="shared" si="559"/>
        <v/>
      </c>
      <c r="CI104" s="4" t="str">
        <f t="shared" si="534"/>
        <v/>
      </c>
      <c r="CJ104" s="5" t="str">
        <f t="shared" si="535"/>
        <v/>
      </c>
      <c r="CK104" s="8" t="str">
        <f t="shared" si="536"/>
        <v/>
      </c>
      <c r="CL104" s="177" t="str">
        <f t="shared" si="537"/>
        <v/>
      </c>
      <c r="CM104" s="5" t="str">
        <f t="shared" si="538"/>
        <v/>
      </c>
      <c r="CN104" s="6" t="str">
        <f t="shared" si="539"/>
        <v/>
      </c>
      <c r="CO104" s="171" t="str">
        <f t="shared" si="487"/>
        <v/>
      </c>
      <c r="CP104" s="4" t="str">
        <f t="shared" si="560"/>
        <v/>
      </c>
      <c r="CQ104" s="5" t="str">
        <f t="shared" si="561"/>
        <v/>
      </c>
      <c r="CR104" s="5" t="str">
        <f t="shared" si="562"/>
        <v/>
      </c>
      <c r="CS104" s="8" t="str">
        <f t="shared" si="563"/>
        <v/>
      </c>
      <c r="CT104" s="9" t="str">
        <f t="shared" si="564"/>
        <v/>
      </c>
      <c r="CU104" s="6" t="str">
        <f t="shared" si="565"/>
        <v/>
      </c>
      <c r="CV104" s="4" t="str">
        <f t="shared" si="566"/>
        <v/>
      </c>
      <c r="CW104" s="5" t="str">
        <f t="shared" si="567"/>
        <v/>
      </c>
      <c r="CX104" s="8" t="str">
        <f t="shared" si="568"/>
        <v/>
      </c>
      <c r="CY104" s="9" t="str">
        <f t="shared" si="569"/>
        <v/>
      </c>
      <c r="CZ104" s="5" t="str">
        <f t="shared" si="570"/>
        <v/>
      </c>
      <c r="DA104" s="6" t="str">
        <f t="shared" si="571"/>
        <v/>
      </c>
      <c r="DB104" s="4" t="str">
        <f t="shared" si="572"/>
        <v/>
      </c>
      <c r="DC104" s="5" t="str">
        <f t="shared" si="572"/>
        <v/>
      </c>
      <c r="DD104" s="10" t="str">
        <f t="shared" si="573"/>
        <v/>
      </c>
      <c r="DE104" s="9" t="str">
        <f t="shared" si="574"/>
        <v/>
      </c>
      <c r="DF104" s="5" t="str">
        <f t="shared" si="574"/>
        <v/>
      </c>
      <c r="DG104" s="10" t="str">
        <f t="shared" si="575"/>
        <v/>
      </c>
      <c r="DH104" s="72" t="str">
        <f t="shared" si="576"/>
        <v/>
      </c>
      <c r="DI104" s="4" t="str">
        <f t="shared" si="577"/>
        <v/>
      </c>
      <c r="DJ104" s="5" t="str">
        <f t="shared" si="578"/>
        <v/>
      </c>
      <c r="DK104" s="10" t="str">
        <f t="shared" si="579"/>
        <v/>
      </c>
      <c r="DL104" s="9" t="str">
        <f t="shared" si="580"/>
        <v/>
      </c>
      <c r="DM104" s="177" t="str">
        <f t="shared" si="581"/>
        <v/>
      </c>
      <c r="DN104" s="182" t="str">
        <f t="shared" si="582"/>
        <v/>
      </c>
      <c r="DO104" s="9" t="str">
        <f t="shared" si="583"/>
        <v/>
      </c>
      <c r="DP104" s="177" t="str">
        <f t="shared" si="584"/>
        <v/>
      </c>
      <c r="DQ104" s="11" t="str">
        <f t="shared" si="585"/>
        <v/>
      </c>
      <c r="DR104" s="177" t="str">
        <f t="shared" si="586"/>
        <v/>
      </c>
      <c r="DS104" s="5" t="str">
        <f t="shared" si="587"/>
        <v/>
      </c>
      <c r="DT104" s="5" t="str">
        <f t="shared" si="588"/>
        <v/>
      </c>
      <c r="DU104" s="5" t="str">
        <f t="shared" si="589"/>
        <v/>
      </c>
      <c r="DV104" s="5" t="str">
        <f t="shared" si="590"/>
        <v/>
      </c>
      <c r="DW104" s="5" t="str">
        <f t="shared" si="591"/>
        <v/>
      </c>
      <c r="DX104" s="171" t="str">
        <f t="shared" si="592"/>
        <v/>
      </c>
      <c r="DY104" s="9" t="str">
        <f t="shared" si="593"/>
        <v/>
      </c>
      <c r="DZ104" s="5" t="str">
        <f t="shared" si="594"/>
        <v/>
      </c>
      <c r="EA104" s="10" t="str">
        <f t="shared" si="595"/>
        <v/>
      </c>
      <c r="EB104" s="6" t="str">
        <f t="shared" si="596"/>
        <v/>
      </c>
      <c r="EC104" s="177" t="str">
        <f t="shared" si="597"/>
        <v/>
      </c>
      <c r="ED104" s="5" t="str">
        <f t="shared" si="598"/>
        <v/>
      </c>
      <c r="EE104" s="4" t="str">
        <f t="shared" si="599"/>
        <v/>
      </c>
      <c r="EF104" s="5" t="str">
        <f t="shared" si="600"/>
        <v/>
      </c>
      <c r="EG104" s="10" t="str">
        <f t="shared" si="601"/>
        <v/>
      </c>
      <c r="EH104" s="9" t="str">
        <f t="shared" si="602"/>
        <v/>
      </c>
      <c r="EI104" s="5" t="str">
        <f t="shared" si="603"/>
        <v/>
      </c>
      <c r="EJ104" s="6" t="str">
        <f t="shared" si="604"/>
        <v/>
      </c>
      <c r="EK104" s="247" t="str">
        <f t="shared" si="605"/>
        <v/>
      </c>
      <c r="EL104" s="249" t="str">
        <f t="shared" si="606"/>
        <v/>
      </c>
      <c r="EM104" s="4" t="str">
        <f t="shared" si="607"/>
        <v/>
      </c>
      <c r="EN104" s="5" t="str">
        <f t="shared" si="608"/>
        <v/>
      </c>
      <c r="EO104" s="10" t="str">
        <f t="shared" si="609"/>
        <v/>
      </c>
      <c r="EP104" s="9" t="str">
        <f t="shared" si="610"/>
        <v/>
      </c>
      <c r="EQ104" s="5" t="str">
        <f t="shared" si="611"/>
        <v/>
      </c>
      <c r="ER104" s="7" t="str">
        <f t="shared" si="612"/>
        <v/>
      </c>
      <c r="ES104" s="21" t="str">
        <f t="shared" si="488"/>
        <v/>
      </c>
      <c r="ET104" s="5" t="str">
        <f t="shared" si="489"/>
        <v/>
      </c>
      <c r="EU104" s="10" t="str">
        <f t="shared" si="490"/>
        <v/>
      </c>
      <c r="EV104" s="178" t="str">
        <f t="shared" si="491"/>
        <v/>
      </c>
      <c r="EW104" s="9" t="str">
        <f t="shared" si="492"/>
        <v/>
      </c>
      <c r="EX104" s="5" t="str">
        <f t="shared" si="493"/>
        <v/>
      </c>
      <c r="EY104" s="6" t="str">
        <f t="shared" si="613"/>
        <v/>
      </c>
      <c r="EZ104" s="52" t="str">
        <f t="shared" si="614"/>
        <v/>
      </c>
      <c r="FA104" s="177" t="str">
        <f t="shared" si="494"/>
        <v/>
      </c>
      <c r="FB104" s="5" t="str">
        <f t="shared" si="495"/>
        <v/>
      </c>
      <c r="FC104" s="6" t="str">
        <f t="shared" si="496"/>
        <v/>
      </c>
      <c r="FD104" s="4" t="str">
        <f t="shared" si="497"/>
        <v/>
      </c>
      <c r="FE104" s="5" t="str">
        <f t="shared" si="498"/>
        <v/>
      </c>
      <c r="FF104" s="7" t="str">
        <f t="shared" si="615"/>
        <v/>
      </c>
      <c r="FG104" s="177" t="str">
        <f t="shared" si="499"/>
        <v/>
      </c>
      <c r="FH104" s="5" t="str">
        <f t="shared" si="500"/>
        <v/>
      </c>
      <c r="FI104" s="10" t="str">
        <f t="shared" si="501"/>
        <v/>
      </c>
      <c r="FJ104" s="290" t="str">
        <f t="shared" si="616"/>
        <v/>
      </c>
      <c r="FK104" s="4" t="str">
        <f t="shared" si="502"/>
        <v/>
      </c>
      <c r="FL104" s="5" t="str">
        <f t="shared" si="540"/>
        <v/>
      </c>
      <c r="FM104" s="8" t="str">
        <f t="shared" si="541"/>
        <v/>
      </c>
      <c r="FN104" s="9" t="str">
        <f t="shared" si="542"/>
        <v/>
      </c>
      <c r="FO104" s="10" t="str">
        <f t="shared" si="503"/>
        <v/>
      </c>
      <c r="FP104" s="288" t="str">
        <f t="shared" si="543"/>
        <v/>
      </c>
      <c r="FQ104" s="177" t="str">
        <f t="shared" si="617"/>
        <v/>
      </c>
      <c r="FR104" s="10" t="str">
        <f t="shared" si="618"/>
        <v/>
      </c>
      <c r="FS104" s="9" t="str">
        <f t="shared" si="619"/>
        <v/>
      </c>
      <c r="FT104" s="6" t="str">
        <f t="shared" si="620"/>
        <v/>
      </c>
      <c r="FU104" s="4" t="str">
        <f t="shared" si="621"/>
        <v/>
      </c>
      <c r="FV104" s="5" t="str">
        <f t="shared" si="622"/>
        <v/>
      </c>
      <c r="FW104" s="8" t="str">
        <f t="shared" si="623"/>
        <v/>
      </c>
      <c r="FX104" s="9" t="str">
        <f t="shared" si="624"/>
        <v/>
      </c>
      <c r="FY104" s="10" t="str">
        <f t="shared" si="504"/>
        <v/>
      </c>
      <c r="FZ104" s="288" t="str">
        <f t="shared" si="625"/>
        <v/>
      </c>
      <c r="GA104" s="181" t="str">
        <f t="shared" si="626"/>
        <v/>
      </c>
      <c r="GB104" s="4" t="str">
        <f t="shared" si="627"/>
        <v/>
      </c>
      <c r="GC104" s="5" t="str">
        <f t="shared" si="628"/>
        <v/>
      </c>
      <c r="GD104" s="10" t="str">
        <f t="shared" si="629"/>
        <v/>
      </c>
      <c r="GE104" s="324" t="str">
        <f t="shared" si="630"/>
        <v/>
      </c>
      <c r="GF104" s="362" t="str">
        <f t="shared" si="631"/>
        <v/>
      </c>
      <c r="GG104" s="296" t="str">
        <f t="shared" si="505"/>
        <v/>
      </c>
      <c r="GH104" s="297" t="str">
        <f t="shared" si="506"/>
        <v/>
      </c>
      <c r="GI104" s="292" t="str">
        <f t="shared" si="507"/>
        <v/>
      </c>
      <c r="GJ104" s="171" t="str">
        <f t="shared" si="632"/>
        <v/>
      </c>
      <c r="GK104" s="178" t="str">
        <f t="shared" si="508"/>
        <v/>
      </c>
      <c r="GL104" s="178" t="str">
        <f t="shared" si="633"/>
        <v/>
      </c>
      <c r="GM104" s="181" t="str">
        <f t="shared" si="634"/>
        <v/>
      </c>
      <c r="GN104" s="291" t="str">
        <f t="shared" si="635"/>
        <v/>
      </c>
      <c r="GO104" s="4" t="str">
        <f t="shared" si="636"/>
        <v/>
      </c>
      <c r="GP104" s="8" t="str">
        <f t="shared" si="637"/>
        <v/>
      </c>
      <c r="GQ104" s="181" t="str">
        <f t="shared" si="638"/>
        <v/>
      </c>
      <c r="GR104" s="417" t="str">
        <f t="shared" si="639"/>
        <v/>
      </c>
      <c r="GS104" s="363" t="str">
        <f t="shared" si="509"/>
        <v/>
      </c>
      <c r="GT104" s="364" t="str">
        <f t="shared" si="510"/>
        <v/>
      </c>
      <c r="GU104" s="365" t="str">
        <f t="shared" si="511"/>
        <v/>
      </c>
      <c r="GV104" s="364" t="str">
        <f t="shared" si="640"/>
        <v/>
      </c>
      <c r="GW104" s="366" t="str">
        <f t="shared" si="512"/>
        <v/>
      </c>
      <c r="GX104" s="367" t="str">
        <f t="shared" si="513"/>
        <v/>
      </c>
      <c r="GY104" s="365" t="str">
        <f t="shared" si="514"/>
        <v/>
      </c>
      <c r="GZ104" s="366" t="str">
        <f t="shared" si="515"/>
        <v/>
      </c>
      <c r="HA104" s="363" t="str">
        <f t="shared" si="516"/>
        <v/>
      </c>
      <c r="HB104" s="5" t="str">
        <f t="shared" si="641"/>
        <v/>
      </c>
      <c r="HC104" s="364" t="str">
        <f t="shared" si="642"/>
        <v/>
      </c>
      <c r="HD104" s="405" t="str">
        <f t="shared" si="643"/>
        <v/>
      </c>
      <c r="HE104" s="365" t="str">
        <f t="shared" si="517"/>
        <v/>
      </c>
      <c r="HF104" s="5" t="str">
        <f t="shared" si="518"/>
        <v/>
      </c>
      <c r="HG104" s="364" t="str">
        <f t="shared" si="644"/>
        <v/>
      </c>
      <c r="HH104" s="370" t="str">
        <f t="shared" si="645"/>
        <v/>
      </c>
      <c r="HI104" s="335" t="str">
        <f t="shared" si="519"/>
        <v/>
      </c>
      <c r="HK104" s="323" t="str">
        <f t="shared" si="664"/>
        <v/>
      </c>
      <c r="HL104" s="322" t="str">
        <f t="shared" si="544"/>
        <v/>
      </c>
      <c r="HM104" s="369" t="str">
        <f t="shared" si="662"/>
        <v/>
      </c>
      <c r="HN104" s="384" t="str">
        <f t="shared" si="662"/>
        <v/>
      </c>
      <c r="HO104" s="385" t="str">
        <f t="shared" si="662"/>
        <v/>
      </c>
      <c r="HP104" s="380" t="str">
        <f t="shared" si="662"/>
        <v/>
      </c>
      <c r="HQ104" s="384" t="str">
        <f t="shared" si="662"/>
        <v/>
      </c>
      <c r="HR104" s="395" t="str">
        <f t="shared" si="662"/>
        <v/>
      </c>
      <c r="HS104" s="379" t="str">
        <f t="shared" si="662"/>
        <v/>
      </c>
      <c r="HT104" s="374" t="str">
        <f t="shared" si="662"/>
        <v/>
      </c>
      <c r="HU104" s="375" t="str">
        <f t="shared" si="662"/>
        <v/>
      </c>
      <c r="HV104" s="376" t="str">
        <f t="shared" si="662"/>
        <v/>
      </c>
      <c r="HW104" s="374" t="str">
        <f t="shared" si="662"/>
        <v/>
      </c>
      <c r="HX104" s="375" t="str">
        <f t="shared" si="662"/>
        <v/>
      </c>
      <c r="HY104" s="376" t="str">
        <f t="shared" si="662"/>
        <v/>
      </c>
      <c r="HZ104" s="374" t="str">
        <f t="shared" si="662"/>
        <v/>
      </c>
      <c r="IA104" s="375" t="str">
        <f t="shared" si="662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6"/>
        <v>5.2469999999999999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5.1470000000000002</v>
      </c>
      <c r="II104" s="734" cm="1">
        <f t="array" ref="II104">IFERROR(ROUND(VALUE(IF($IH104&lt;1,$IH104+LARGE((IF($M$9:$M$150="",0,$M$9:$M$150)-MOD(IF($M$9:$M$150="",0,$M$9:$M$150),1)),1),$IH104)),4),"")</f>
        <v>5.1470000000000002</v>
      </c>
      <c r="IJ104" s="533">
        <f t="shared" si="545"/>
        <v>1613</v>
      </c>
      <c r="IK104" s="533" t="str">
        <f t="shared" si="520"/>
        <v>Inactive</v>
      </c>
      <c r="IL104" s="727">
        <f t="shared" si="651"/>
        <v>15.969797694246495</v>
      </c>
      <c r="IM104" s="759">
        <v>3.16249042548674E-4</v>
      </c>
      <c r="IN104" s="5">
        <f t="shared" si="652"/>
        <v>0</v>
      </c>
      <c r="IO104" s="771">
        <v>0</v>
      </c>
      <c r="IP104" s="9">
        <f t="shared" si="653"/>
        <v>-6.6370200172523734</v>
      </c>
      <c r="IQ104" s="5">
        <f t="shared" si="654"/>
        <v>-1.893805711718026</v>
      </c>
      <c r="IR104" s="5">
        <f t="shared" si="521"/>
        <v>0.314</v>
      </c>
      <c r="IS104" s="5">
        <f t="shared" si="655"/>
        <v>0.27243733154210914</v>
      </c>
      <c r="IT104" s="727">
        <f t="shared" si="656"/>
        <v>68.897678051037644</v>
      </c>
      <c r="IU104" s="9">
        <f t="shared" si="657"/>
        <v>-6.652320063397311</v>
      </c>
      <c r="IV104" s="5">
        <f t="shared" si="658"/>
        <v>-1.8900057002571908</v>
      </c>
      <c r="IW104" s="5">
        <f t="shared" si="522"/>
        <v>0.26250000000000001</v>
      </c>
      <c r="IX104" s="5">
        <f t="shared" si="659"/>
        <v>0.26250000000000001</v>
      </c>
      <c r="IY104" s="762">
        <f t="shared" si="660"/>
        <v>46.999993214040586</v>
      </c>
    </row>
    <row r="105" spans="1:259" ht="15" customHeight="1" x14ac:dyDescent="0.25">
      <c r="A105" s="79"/>
      <c r="B105" s="707">
        <v>-6.8505259037706461</v>
      </c>
      <c r="C105" s="708">
        <v>-0.77229445746750469</v>
      </c>
      <c r="D105" s="709">
        <v>-2.6027078497668752</v>
      </c>
      <c r="E105" s="710">
        <v>-0.82959267628352695</v>
      </c>
      <c r="F105" s="708">
        <v>-9.3524409418378848E-2</v>
      </c>
      <c r="G105" s="711">
        <v>0.55048085915831702</v>
      </c>
      <c r="H105" s="710">
        <v>0.26250000000000001</v>
      </c>
      <c r="I105" s="708">
        <v>0.40699999999999997</v>
      </c>
      <c r="J105" s="570">
        <v>5.2530000000000001</v>
      </c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Inactive</v>
      </c>
      <c r="L105" s="1314">
        <f t="shared" si="663"/>
        <v>0</v>
      </c>
      <c r="M105" s="168">
        <f t="shared" ref="M105:M136" si="665">IF(J105="","",VALUE(J105))</f>
        <v>5.2530000000000001</v>
      </c>
      <c r="N105" s="632">
        <f t="shared" ref="N105:N136" si="666">IF(M105="","",B105)</f>
        <v>-6.8505259037706461</v>
      </c>
      <c r="O105" s="629">
        <f t="shared" ref="O105:O136" si="667">IF(M105="","",C105)</f>
        <v>-0.77229445746750469</v>
      </c>
      <c r="P105" s="633">
        <f t="shared" ref="P105:P136" si="668">IF(M105="","",D105)</f>
        <v>-2.6027078497668752</v>
      </c>
      <c r="Q105" s="585">
        <f t="shared" si="523"/>
        <v>186.43208607692941</v>
      </c>
      <c r="R105" s="629">
        <f t="shared" si="79"/>
        <v>6.8939207920651118</v>
      </c>
      <c r="S105" s="634">
        <f t="shared" si="80"/>
        <v>-2.6027078497668752</v>
      </c>
      <c r="T105" s="635">
        <f t="shared" si="81"/>
        <v>-0.77229445746750536</v>
      </c>
      <c r="U105" s="629">
        <f t="shared" si="82"/>
        <v>6.8505259037706461</v>
      </c>
      <c r="V105" s="636">
        <f t="shared" si="114"/>
        <v>-2.6027078497668752</v>
      </c>
      <c r="W105" s="585">
        <f t="shared" si="648"/>
        <v>96.432086076929409</v>
      </c>
      <c r="X105" s="629">
        <f t="shared" si="83"/>
        <v>6.8939207920651118</v>
      </c>
      <c r="Y105" s="630">
        <f t="shared" si="647"/>
        <v>-2.6027078497668752</v>
      </c>
      <c r="Z105" s="632">
        <f t="shared" ref="Z105:Z136" si="669">IF(M105="","",-E105)</f>
        <v>0.82959267628352695</v>
      </c>
      <c r="AA105" s="629">
        <f t="shared" ref="AA105:AA136" si="670">IF(M105="","",-F105)</f>
        <v>9.3524409418378848E-2</v>
      </c>
      <c r="AB105" s="629">
        <f t="shared" ref="AB105:AB136" si="671">IF(M105="","",-G105)</f>
        <v>-0.55048085915831702</v>
      </c>
      <c r="AC105" s="636">
        <f t="shared" si="84"/>
        <v>1</v>
      </c>
      <c r="AD105" s="637">
        <f t="shared" si="115"/>
        <v>0.82959267628352695</v>
      </c>
      <c r="AE105" s="629">
        <f t="shared" si="85"/>
        <v>9.3524409418378848E-2</v>
      </c>
      <c r="AF105" s="633">
        <f t="shared" si="86"/>
        <v>-0.55048085915831702</v>
      </c>
      <c r="AG105" s="602">
        <f t="shared" si="87"/>
        <v>9.6422450630216083</v>
      </c>
      <c r="AH105" s="603">
        <f t="shared" si="88"/>
        <v>33.943081279323302</v>
      </c>
      <c r="AI105" s="585">
        <f t="shared" si="89"/>
        <v>-56.59999182797322</v>
      </c>
      <c r="AJ105" s="586">
        <f t="shared" si="90"/>
        <v>96.432101641910975</v>
      </c>
      <c r="AK105" s="635">
        <f t="shared" si="211"/>
        <v>2.2679489662669194E-7</v>
      </c>
      <c r="AL105" s="629">
        <f t="shared" si="91"/>
        <v>-0.83484778474897425</v>
      </c>
      <c r="AM105" s="634">
        <f t="shared" si="92"/>
        <v>-0.55048085915831702</v>
      </c>
      <c r="AN105" s="581">
        <f t="shared" si="93"/>
        <v>-56.599991827972254</v>
      </c>
      <c r="AO105" s="582">
        <f t="shared" si="463"/>
        <v>0</v>
      </c>
      <c r="AP105" s="585">
        <f t="shared" si="95"/>
        <v>-89.999984435018419</v>
      </c>
      <c r="AQ105" s="586">
        <f t="shared" ref="AQ105:AQ136" si="672">IF(M105="","",DEGREES(ATAN(($AS$5*SIN(RADIANS(90)))/(($X105*2*PI())-($AS$5*COS(RADIANS(90)))))))</f>
        <v>0.33068284186786562</v>
      </c>
      <c r="AS105" s="52">
        <f t="shared" si="546"/>
        <v>-263.56791392307059</v>
      </c>
      <c r="AT105" s="73">
        <f t="shared" ref="AT105:AT136" si="673">IF(M105="","",Y105+(((AS105-$AS$9)*$AS$6)*-1))</f>
        <v>-2.4196745762091871</v>
      </c>
      <c r="AU105" s="469"/>
      <c r="AV105" s="168" t="str">
        <f t="shared" ref="AV105:AV136" si="674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7"/>
        <v/>
      </c>
      <c r="BA105" s="307" t="str">
        <f t="shared" ref="BA105:BA129" si="675">IF(ISNUMBER(AV105),AZ105/$AZ$151,"")</f>
        <v/>
      </c>
      <c r="BB105" s="181" t="str">
        <f t="shared" si="524"/>
        <v/>
      </c>
      <c r="BC105" s="9"/>
      <c r="BD105" s="5" t="str">
        <f t="shared" si="525"/>
        <v/>
      </c>
      <c r="BE105" s="6" t="str">
        <f t="shared" ref="BE105:BE136" si="676">IF(ISNUMBER(AV105),Y105+BB105,"")</f>
        <v/>
      </c>
      <c r="BF105" s="4" t="str">
        <f t="shared" ref="BF105:BF136" si="677">IF(ISNUMBER($AV105),N105,"")</f>
        <v/>
      </c>
      <c r="BG105" s="5" t="str">
        <f t="shared" ref="BG105:BG136" si="678">IF(ISNUMBER($AV105),O105,"")</f>
        <v/>
      </c>
      <c r="BH105" s="10" t="str">
        <f t="shared" ref="BH105:BH136" si="679">IF(ISNUMBER($AV105),P105,"")</f>
        <v/>
      </c>
      <c r="BI105" s="9" t="str">
        <f t="shared" si="548"/>
        <v/>
      </c>
      <c r="BJ105" s="5" t="str">
        <f t="shared" ref="BJ105:BJ136" si="680">IF(ISNUMBER($AV105),BG105+COS(RADIANS($AG105)),"")</f>
        <v/>
      </c>
      <c r="BK105" s="8" t="str">
        <f t="shared" ref="BK105:BK136" si="681">IF(ISNUMBER($AV105),BH105+SIN(RADIANS($AG105)),"")</f>
        <v/>
      </c>
      <c r="BL105" s="177" t="str">
        <f t="shared" ref="BL105:BL136" si="682">IF(ISNUMBER($AV105),BF105+SIN(RADIANS($AH105)),"")</f>
        <v/>
      </c>
      <c r="BM105" s="5" t="str">
        <f t="shared" ref="BM105:BM136" si="683">IF(ISNUMBER($AV105),BG105-SIN(RADIANS($AG105))*COS(RADIANS($AH105)),"")</f>
        <v/>
      </c>
      <c r="BN105" s="6" t="str">
        <f t="shared" ref="BN105:BN136" si="684">IF(ISNUMBER($AV105),BH105+COS(RADIANS($AG105))*COS(RADIANS($AH105)),"")</f>
        <v/>
      </c>
      <c r="BO105" s="4" t="str">
        <f t="shared" si="549"/>
        <v/>
      </c>
      <c r="BP105" s="5" t="str">
        <f t="shared" si="550"/>
        <v/>
      </c>
      <c r="BQ105" s="5" t="str">
        <f t="shared" si="551"/>
        <v/>
      </c>
      <c r="BR105" s="6" t="str">
        <f t="shared" si="552"/>
        <v/>
      </c>
      <c r="BS105" s="4" t="str">
        <f t="shared" si="526"/>
        <v/>
      </c>
      <c r="BT105" s="5" t="str">
        <f t="shared" si="526"/>
        <v/>
      </c>
      <c r="BU105" s="10" t="str">
        <f t="shared" si="527"/>
        <v/>
      </c>
      <c r="BV105" s="9" t="str">
        <f t="shared" si="528"/>
        <v/>
      </c>
      <c r="BW105" s="5" t="str">
        <f t="shared" si="529"/>
        <v/>
      </c>
      <c r="BX105" s="8" t="str">
        <f t="shared" si="530"/>
        <v/>
      </c>
      <c r="BY105" s="177" t="str">
        <f t="shared" si="531"/>
        <v/>
      </c>
      <c r="BZ105" s="5" t="str">
        <f t="shared" si="532"/>
        <v/>
      </c>
      <c r="CA105" s="6" t="str">
        <f t="shared" si="533"/>
        <v/>
      </c>
      <c r="CB105" s="4" t="str">
        <f t="shared" si="553"/>
        <v/>
      </c>
      <c r="CC105" s="5" t="str">
        <f t="shared" si="554"/>
        <v/>
      </c>
      <c r="CD105" s="5" t="str">
        <f t="shared" si="555"/>
        <v/>
      </c>
      <c r="CE105" s="6" t="str">
        <f t="shared" si="556"/>
        <v/>
      </c>
      <c r="CF105" s="4" t="str">
        <f t="shared" si="557"/>
        <v/>
      </c>
      <c r="CG105" s="5" t="str">
        <f t="shared" si="558"/>
        <v/>
      </c>
      <c r="CH105" s="5" t="str">
        <f t="shared" si="559"/>
        <v/>
      </c>
      <c r="CI105" s="4" t="str">
        <f t="shared" si="534"/>
        <v/>
      </c>
      <c r="CJ105" s="5" t="str">
        <f t="shared" si="535"/>
        <v/>
      </c>
      <c r="CK105" s="8" t="str">
        <f t="shared" si="536"/>
        <v/>
      </c>
      <c r="CL105" s="177" t="str">
        <f t="shared" si="537"/>
        <v/>
      </c>
      <c r="CM105" s="5" t="str">
        <f t="shared" si="538"/>
        <v/>
      </c>
      <c r="CN105" s="6" t="str">
        <f t="shared" si="539"/>
        <v/>
      </c>
      <c r="CO105" s="171" t="str">
        <f t="shared" ref="CO105:CO136" si="685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0"/>
        <v/>
      </c>
      <c r="CQ105" s="5" t="str">
        <f t="shared" si="561"/>
        <v/>
      </c>
      <c r="CR105" s="5" t="str">
        <f t="shared" si="562"/>
        <v/>
      </c>
      <c r="CS105" s="8" t="str">
        <f t="shared" si="563"/>
        <v/>
      </c>
      <c r="CT105" s="9" t="str">
        <f t="shared" si="564"/>
        <v/>
      </c>
      <c r="CU105" s="6" t="str">
        <f t="shared" si="565"/>
        <v/>
      </c>
      <c r="CV105" s="4" t="str">
        <f t="shared" si="566"/>
        <v/>
      </c>
      <c r="CW105" s="5" t="str">
        <f t="shared" si="567"/>
        <v/>
      </c>
      <c r="CX105" s="8" t="str">
        <f t="shared" si="568"/>
        <v/>
      </c>
      <c r="CY105" s="9" t="str">
        <f t="shared" si="569"/>
        <v/>
      </c>
      <c r="CZ105" s="5" t="str">
        <f t="shared" si="570"/>
        <v/>
      </c>
      <c r="DA105" s="6" t="str">
        <f t="shared" si="571"/>
        <v/>
      </c>
      <c r="DB105" s="4" t="str">
        <f t="shared" si="572"/>
        <v/>
      </c>
      <c r="DC105" s="5" t="str">
        <f t="shared" si="572"/>
        <v/>
      </c>
      <c r="DD105" s="10" t="str">
        <f t="shared" si="573"/>
        <v/>
      </c>
      <c r="DE105" s="9" t="str">
        <f t="shared" si="574"/>
        <v/>
      </c>
      <c r="DF105" s="5" t="str">
        <f t="shared" si="574"/>
        <v/>
      </c>
      <c r="DG105" s="10" t="str">
        <f t="shared" si="575"/>
        <v/>
      </c>
      <c r="DH105" s="72" t="str">
        <f t="shared" si="576"/>
        <v/>
      </c>
      <c r="DI105" s="4" t="str">
        <f t="shared" si="577"/>
        <v/>
      </c>
      <c r="DJ105" s="5" t="str">
        <f t="shared" si="578"/>
        <v/>
      </c>
      <c r="DK105" s="10" t="str">
        <f t="shared" si="579"/>
        <v/>
      </c>
      <c r="DL105" s="9" t="str">
        <f t="shared" si="580"/>
        <v/>
      </c>
      <c r="DM105" s="177" t="str">
        <f t="shared" si="581"/>
        <v/>
      </c>
      <c r="DN105" s="182" t="str">
        <f t="shared" si="582"/>
        <v/>
      </c>
      <c r="DO105" s="9" t="str">
        <f t="shared" si="583"/>
        <v/>
      </c>
      <c r="DP105" s="177" t="str">
        <f t="shared" si="584"/>
        <v/>
      </c>
      <c r="DQ105" s="11" t="str">
        <f t="shared" si="585"/>
        <v/>
      </c>
      <c r="DR105" s="177" t="str">
        <f t="shared" si="586"/>
        <v/>
      </c>
      <c r="DS105" s="5" t="str">
        <f t="shared" si="587"/>
        <v/>
      </c>
      <c r="DT105" s="5" t="str">
        <f t="shared" si="588"/>
        <v/>
      </c>
      <c r="DU105" s="5" t="str">
        <f t="shared" si="589"/>
        <v/>
      </c>
      <c r="DV105" s="5" t="str">
        <f t="shared" si="590"/>
        <v/>
      </c>
      <c r="DW105" s="5" t="str">
        <f t="shared" si="591"/>
        <v/>
      </c>
      <c r="DX105" s="171" t="str">
        <f t="shared" si="592"/>
        <v/>
      </c>
      <c r="DY105" s="9" t="str">
        <f t="shared" si="593"/>
        <v/>
      </c>
      <c r="DZ105" s="5" t="str">
        <f t="shared" si="594"/>
        <v/>
      </c>
      <c r="EA105" s="10" t="str">
        <f t="shared" si="595"/>
        <v/>
      </c>
      <c r="EB105" s="6" t="str">
        <f t="shared" si="596"/>
        <v/>
      </c>
      <c r="EC105" s="177" t="str">
        <f t="shared" si="597"/>
        <v/>
      </c>
      <c r="ED105" s="5" t="str">
        <f t="shared" si="598"/>
        <v/>
      </c>
      <c r="EE105" s="4" t="str">
        <f t="shared" si="599"/>
        <v/>
      </c>
      <c r="EF105" s="5" t="str">
        <f t="shared" si="600"/>
        <v/>
      </c>
      <c r="EG105" s="10" t="str">
        <f t="shared" si="601"/>
        <v/>
      </c>
      <c r="EH105" s="9" t="str">
        <f t="shared" si="602"/>
        <v/>
      </c>
      <c r="EI105" s="5" t="str">
        <f t="shared" si="603"/>
        <v/>
      </c>
      <c r="EJ105" s="6" t="str">
        <f t="shared" si="604"/>
        <v/>
      </c>
      <c r="EK105" s="247" t="str">
        <f t="shared" si="605"/>
        <v/>
      </c>
      <c r="EL105" s="249" t="str">
        <f t="shared" si="606"/>
        <v/>
      </c>
      <c r="EM105" s="4" t="str">
        <f t="shared" si="607"/>
        <v/>
      </c>
      <c r="EN105" s="5" t="str">
        <f t="shared" si="608"/>
        <v/>
      </c>
      <c r="EO105" s="10" t="str">
        <f t="shared" si="609"/>
        <v/>
      </c>
      <c r="EP105" s="9" t="str">
        <f t="shared" si="610"/>
        <v/>
      </c>
      <c r="EQ105" s="5" t="str">
        <f t="shared" si="611"/>
        <v/>
      </c>
      <c r="ER105" s="7" t="str">
        <f t="shared" si="612"/>
        <v/>
      </c>
      <c r="ES105" s="21" t="str">
        <f t="shared" ref="ES105:ES136" si="686">IF(ISNUMBER($AV105),AD105,"")</f>
        <v/>
      </c>
      <c r="ET105" s="5" t="str">
        <f t="shared" ref="ET105:ET136" si="687">IF(ISNUMBER($AV105),AE105,"")</f>
        <v/>
      </c>
      <c r="EU105" s="10" t="str">
        <f t="shared" ref="EU105:EU136" si="688">IF(ISNUMBER($AV105),AF105,"")</f>
        <v/>
      </c>
      <c r="EV105" s="178" t="str">
        <f t="shared" ref="EV105:EV129" si="689">IF(ISNUMBER($AV105),IF(($EV$1-EP105)&lt;0,(360+($EV$1-EP105)),($EV$1-EP105)),"")</f>
        <v/>
      </c>
      <c r="EW105" s="9" t="str">
        <f t="shared" ref="EW105:EW129" si="690">IF(ISNUMBER($AV105),(COS(RADIANS($EV105))*ES105)+(-SIN(RADIANS($EV105))*ET105),"")</f>
        <v/>
      </c>
      <c r="EX105" s="5" t="str">
        <f t="shared" ref="EX105:EX129" si="691">IF(ISNUMBER($AV105),(SIN(RADIANS($EV105))*ES105)+(COS(RADIANS($EV105))*ET105),"")</f>
        <v/>
      </c>
      <c r="EY105" s="6" t="str">
        <f t="shared" si="613"/>
        <v/>
      </c>
      <c r="EZ105" s="52" t="str">
        <f t="shared" si="614"/>
        <v/>
      </c>
      <c r="FA105" s="177" t="str">
        <f t="shared" ref="FA105:FA150" si="692">IF(ISNUMBER($AV105),SIN(RADIANS($EP105))*COS(RADIANS($EZ105)),"")</f>
        <v/>
      </c>
      <c r="FB105" s="5" t="str">
        <f t="shared" ref="FB105:FB150" si="693">IF(ISNUMBER($AV105),-1*COS(RADIANS($EP105))*COS(RADIANS($EZ105)),"")</f>
        <v/>
      </c>
      <c r="FC105" s="6" t="str">
        <f t="shared" ref="FC105:FC150" si="694">IF(ISNUMBER($AV105),-1*SIN(RADIANS($EZ105)),"")</f>
        <v/>
      </c>
      <c r="FD105" s="4" t="str">
        <f t="shared" ref="FD105:FD129" si="695">IF(ISNUMBER($AV105),(COS(RADIANS($EV105))*FA105)+(-SIN(RADIANS($EV105))*FB105),"")</f>
        <v/>
      </c>
      <c r="FE105" s="5" t="str">
        <f t="shared" ref="FE105:FE129" si="696">IF(ISNUMBER($AV105),(SIN(RADIANS($EV105))*FA105)+(COS(RADIANS($EV105))*FB105),"")</f>
        <v/>
      </c>
      <c r="FF105" s="7" t="str">
        <f t="shared" si="615"/>
        <v/>
      </c>
      <c r="FG105" s="177" t="str">
        <f t="shared" ref="FG105:FG129" si="697">IF(ISNUMBER($AV105),EW105-FD105,"")</f>
        <v/>
      </c>
      <c r="FH105" s="5" t="str">
        <f t="shared" ref="FH105:FH129" si="698">IF(ISNUMBER($AV105),EX105-FE105,"")</f>
        <v/>
      </c>
      <c r="FI105" s="10" t="str">
        <f t="shared" ref="FI105:FI129" si="699">IF(ISNUMBER($AV105),EY105-FF105,"")</f>
        <v/>
      </c>
      <c r="FJ105" s="290" t="str">
        <f t="shared" si="616"/>
        <v/>
      </c>
      <c r="FK105" s="4" t="str">
        <f t="shared" ref="FK105:FK129" si="700">IF(ISNUMBER($AV105),SQRT(ES105^2+ET105^2),"")</f>
        <v/>
      </c>
      <c r="FL105" s="5" t="str">
        <f t="shared" si="540"/>
        <v/>
      </c>
      <c r="FM105" s="8" t="str">
        <f t="shared" si="541"/>
        <v/>
      </c>
      <c r="FN105" s="9" t="str">
        <f t="shared" si="542"/>
        <v/>
      </c>
      <c r="FO105" s="10" t="str">
        <f t="shared" ref="FO105:FO129" si="701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3"/>
        <v/>
      </c>
      <c r="FQ105" s="177" t="str">
        <f t="shared" si="617"/>
        <v/>
      </c>
      <c r="FR105" s="10" t="str">
        <f t="shared" si="618"/>
        <v/>
      </c>
      <c r="FS105" s="9" t="str">
        <f t="shared" si="619"/>
        <v/>
      </c>
      <c r="FT105" s="6" t="str">
        <f t="shared" si="620"/>
        <v/>
      </c>
      <c r="FU105" s="4" t="str">
        <f t="shared" si="621"/>
        <v/>
      </c>
      <c r="FV105" s="5" t="str">
        <f t="shared" si="622"/>
        <v/>
      </c>
      <c r="FW105" s="8" t="str">
        <f t="shared" si="623"/>
        <v/>
      </c>
      <c r="FX105" s="9" t="str">
        <f t="shared" si="624"/>
        <v/>
      </c>
      <c r="FY105" s="10" t="str">
        <f t="shared" ref="FY105:FY129" si="702">IF(ISNUMBER($AV105),IF(EU105&lt;FC105,1,-1),"")</f>
        <v/>
      </c>
      <c r="FZ105" s="288" t="str">
        <f t="shared" si="625"/>
        <v/>
      </c>
      <c r="GA105" s="181" t="str">
        <f t="shared" si="626"/>
        <v/>
      </c>
      <c r="GB105" s="4" t="str">
        <f t="shared" si="627"/>
        <v/>
      </c>
      <c r="GC105" s="5" t="str">
        <f t="shared" si="628"/>
        <v/>
      </c>
      <c r="GD105" s="10" t="str">
        <f t="shared" si="629"/>
        <v/>
      </c>
      <c r="GE105" s="324" t="str">
        <f t="shared" si="630"/>
        <v/>
      </c>
      <c r="GF105" s="362" t="str">
        <f t="shared" si="631"/>
        <v/>
      </c>
      <c r="GG105" s="296" t="str">
        <f t="shared" ref="GG105:GG129" si="703">IF(ISNUMBER($AV105),ABS(GB105)/(ABS($GB105)+ABS($GC105)+ABS($GD105)),"")</f>
        <v/>
      </c>
      <c r="GH105" s="297" t="str">
        <f t="shared" ref="GH105:GH129" si="704">IF(ISNUMBER($AV105),ABS(GC105)/(ABS($GB105)+ABS($GC105)+ABS($GD105)),"")</f>
        <v/>
      </c>
      <c r="GI105" s="292" t="str">
        <f t="shared" ref="GI105:GI129" si="705">IF(ISNUMBER($AV105),ABS(GD105)/(ABS($GB105)+ABS($GC105)+ABS($GD105)),"")</f>
        <v/>
      </c>
      <c r="GJ105" s="171" t="str">
        <f t="shared" si="632"/>
        <v/>
      </c>
      <c r="GK105" s="178" t="str">
        <f t="shared" ref="GK105:GK150" si="706">IF(ISNUMBER($AV105),SQRT((2*PI()*$GJ105)^2+$AS$5^2)/12,"")</f>
        <v/>
      </c>
      <c r="GL105" s="178" t="str">
        <f t="shared" si="633"/>
        <v/>
      </c>
      <c r="GM105" s="181" t="str">
        <f t="shared" si="634"/>
        <v/>
      </c>
      <c r="GN105" s="291" t="str">
        <f t="shared" si="635"/>
        <v/>
      </c>
      <c r="GO105" s="4" t="str">
        <f t="shared" si="636"/>
        <v/>
      </c>
      <c r="GP105" s="8" t="str">
        <f t="shared" si="637"/>
        <v/>
      </c>
      <c r="GQ105" s="181" t="str">
        <f t="shared" si="638"/>
        <v/>
      </c>
      <c r="GR105" s="417" t="str">
        <f t="shared" si="639"/>
        <v/>
      </c>
      <c r="GS105" s="363" t="str">
        <f t="shared" ref="GS105:GS129" si="707">IF(ISNUMBER($AV105),GU105/GH105*GG105,"")</f>
        <v/>
      </c>
      <c r="GT105" s="364" t="str">
        <f t="shared" ref="GT105:GT129" si="708">IF(ISNUMBER($AV105),GS105/$GK105,"")</f>
        <v/>
      </c>
      <c r="GU105" s="365" t="str">
        <f t="shared" ref="GU105:GU150" si="709">IF(ISNUMBER($AV105),$GV105*$GK105,"")</f>
        <v/>
      </c>
      <c r="GV105" s="364" t="str">
        <f t="shared" si="640"/>
        <v/>
      </c>
      <c r="GW105" s="366" t="str">
        <f t="shared" ref="GW105:GW150" si="710">IF(ISNUMBER($AV105),$GW$2,"")</f>
        <v/>
      </c>
      <c r="GX105" s="367" t="str">
        <f t="shared" ref="GX105:GX150" si="711">IF(ISNUMBER($AV105),($GJ105/12)*$GV105,"")</f>
        <v/>
      </c>
      <c r="GY105" s="365" t="str">
        <f t="shared" ref="GY105:GY129" si="712">IF(ISNUMBER($AV105),GU105/GH105*GI105,"")</f>
        <v/>
      </c>
      <c r="GZ105" s="366" t="str">
        <f t="shared" ref="GZ105:GZ129" si="713">IF(ISNUMBER($AV105),GY105/$GK105,"")</f>
        <v/>
      </c>
      <c r="HA105" s="363" t="str">
        <f t="shared" ref="HA105:HA150" si="714">IF(ISNUMBER($AV105),$FO105*$GS105,"")</f>
        <v/>
      </c>
      <c r="HB105" s="5" t="str">
        <f t="shared" si="641"/>
        <v/>
      </c>
      <c r="HC105" s="364" t="str">
        <f t="shared" si="642"/>
        <v/>
      </c>
      <c r="HD105" s="405" t="str">
        <f t="shared" si="643"/>
        <v/>
      </c>
      <c r="HE105" s="365" t="str">
        <f t="shared" ref="HE105:HE150" si="715">IF(ISNUMBER($AV105),$FY105*$GV105,"")</f>
        <v/>
      </c>
      <c r="HF105" s="5" t="str">
        <f t="shared" ref="HF105:HF150" si="716">IF(ISNUMBER($AV105),IF(($HB105+90)&lt;0,(360+($HB105+90)),($HB105+90)),"")</f>
        <v/>
      </c>
      <c r="HG105" s="364" t="str">
        <f t="shared" si="644"/>
        <v/>
      </c>
      <c r="HH105" s="370" t="str">
        <f t="shared" si="645"/>
        <v/>
      </c>
      <c r="HI105" s="335" t="str">
        <f t="shared" ref="HI105:HI136" si="717">IF(ISNUMBER($AV105),$M105,"")</f>
        <v/>
      </c>
      <c r="HK105" s="323" t="str">
        <f t="shared" si="664"/>
        <v/>
      </c>
      <c r="HL105" s="322" t="str">
        <f t="shared" si="544"/>
        <v/>
      </c>
      <c r="HM105" s="369" t="str">
        <f t="shared" si="662"/>
        <v/>
      </c>
      <c r="HN105" s="384" t="str">
        <f t="shared" si="662"/>
        <v/>
      </c>
      <c r="HO105" s="385" t="str">
        <f t="shared" si="662"/>
        <v/>
      </c>
      <c r="HP105" s="380" t="str">
        <f t="shared" si="662"/>
        <v/>
      </c>
      <c r="HQ105" s="384" t="str">
        <f t="shared" si="662"/>
        <v/>
      </c>
      <c r="HR105" s="395" t="str">
        <f t="shared" si="662"/>
        <v/>
      </c>
      <c r="HS105" s="379" t="str">
        <f t="shared" si="662"/>
        <v/>
      </c>
      <c r="HT105" s="374" t="str">
        <f t="shared" si="662"/>
        <v/>
      </c>
      <c r="HU105" s="375" t="str">
        <f t="shared" si="662"/>
        <v/>
      </c>
      <c r="HV105" s="376" t="str">
        <f t="shared" si="662"/>
        <v/>
      </c>
      <c r="HW105" s="374" t="str">
        <f t="shared" si="662"/>
        <v/>
      </c>
      <c r="HX105" s="375" t="str">
        <f t="shared" si="662"/>
        <v/>
      </c>
      <c r="HY105" s="376" t="str">
        <f t="shared" si="662"/>
        <v/>
      </c>
      <c r="HZ105" s="374" t="str">
        <f t="shared" si="662"/>
        <v/>
      </c>
      <c r="IA105" s="375" t="str">
        <f t="shared" si="662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6"/>
        <v>5.2530000000000001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5.1529999999999996</v>
      </c>
      <c r="II105" s="734" cm="1">
        <f t="array" ref="II105">IFERROR(ROUND(VALUE(IF($IH105&lt;1,$IH105+LARGE((IF($M$9:$M$150="",0,$M$9:$M$150)-MOD(IF($M$9:$M$150="",0,$M$9:$M$150),1)),1),$IH105)),4),"")</f>
        <v>5.1529999999999996</v>
      </c>
      <c r="IJ105" s="533">
        <f t="shared" si="545"/>
        <v>1613</v>
      </c>
      <c r="IK105" s="533" t="str">
        <f t="shared" ref="IK105:IK136" si="718">IF(ISNUMBER($II105),INDEX($K$9:$K$150,MATCH($IG105,$M$9:$M$150,0)),"")</f>
        <v>Inactive</v>
      </c>
      <c r="IL105" s="727">
        <f t="shared" si="651"/>
        <v>15.871797708395917</v>
      </c>
      <c r="IM105" s="759">
        <v>5.0743012433239996E-4</v>
      </c>
      <c r="IN105" s="5">
        <f t="shared" si="652"/>
        <v>0</v>
      </c>
      <c r="IO105" s="771">
        <v>0</v>
      </c>
      <c r="IP105" s="9">
        <f t="shared" si="653"/>
        <v>-6.8855207667306324</v>
      </c>
      <c r="IQ105" s="5">
        <f t="shared" si="654"/>
        <v>-2.5979078352900311</v>
      </c>
      <c r="IR105" s="5">
        <f t="shared" ref="IR105:IR136" si="719">IF(ISNUMBER($II105),INDEX($H$9:$H$150,MATCH($II105,$M$9:$M$150,0)),"")</f>
        <v>0.314</v>
      </c>
      <c r="IS105" s="5">
        <f t="shared" si="655"/>
        <v>0.26085424864929468</v>
      </c>
      <c r="IT105" s="727">
        <f t="shared" si="656"/>
        <v>77.763515282045063</v>
      </c>
      <c r="IU105" s="9">
        <f t="shared" si="657"/>
        <v>-6.8939207920651118</v>
      </c>
      <c r="IV105" s="5">
        <f t="shared" si="658"/>
        <v>-2.6027078497668752</v>
      </c>
      <c r="IW105" s="5">
        <f t="shared" ref="IW105:IW136" si="720">IF(ISNUMBER($II105),$H105,"")</f>
        <v>0.26250000000000001</v>
      </c>
      <c r="IX105" s="5">
        <f t="shared" si="659"/>
        <v>0.26250000000000001</v>
      </c>
      <c r="IY105" s="762">
        <f t="shared" si="660"/>
        <v>56.599991827972254</v>
      </c>
    </row>
    <row r="106" spans="1:259" ht="15" customHeight="1" x14ac:dyDescent="0.25">
      <c r="A106" s="79"/>
      <c r="B106" s="707">
        <v>-7.004854625545236</v>
      </c>
      <c r="C106" s="708">
        <v>-0.76883732233282176</v>
      </c>
      <c r="D106" s="709">
        <v>-3.3369100641207536</v>
      </c>
      <c r="E106" s="710">
        <v>-0.90089748509070677</v>
      </c>
      <c r="F106" s="708">
        <v>-9.8880739910484156E-2</v>
      </c>
      <c r="G106" s="711">
        <v>0.42261841019055829</v>
      </c>
      <c r="H106" s="710">
        <v>0.26250000000000001</v>
      </c>
      <c r="I106" s="708">
        <v>0.40699999999999997</v>
      </c>
      <c r="J106" s="570">
        <v>5.2590000000000003</v>
      </c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Inactive</v>
      </c>
      <c r="L106" s="1314">
        <f t="shared" si="663"/>
        <v>0</v>
      </c>
      <c r="M106" s="168">
        <f t="shared" si="665"/>
        <v>5.2590000000000003</v>
      </c>
      <c r="N106" s="632">
        <f t="shared" si="666"/>
        <v>-7.004854625545236</v>
      </c>
      <c r="O106" s="629">
        <f t="shared" si="667"/>
        <v>-0.76883732233282176</v>
      </c>
      <c r="P106" s="633">
        <f t="shared" si="668"/>
        <v>-3.3369100641207536</v>
      </c>
      <c r="Q106" s="585">
        <f t="shared" si="523"/>
        <v>186.2635861012578</v>
      </c>
      <c r="R106" s="629">
        <f t="shared" ref="R106:R129" si="721">IF(M106="","",SQRT(N106^2+O106^2))</f>
        <v>7.0469212535145012</v>
      </c>
      <c r="S106" s="634">
        <f t="shared" ref="S106:S129" si="722">IF(M106="","",P106)</f>
        <v>-3.3369100641207536</v>
      </c>
      <c r="T106" s="635">
        <f t="shared" ref="T106:T129" si="723">IF(M106="","",X106*COS(RADIANS(W106)))</f>
        <v>-0.76883732233282354</v>
      </c>
      <c r="U106" s="629">
        <f t="shared" ref="U106:U129" si="724">IF(M106="","",X106*SIN(RADIANS(W106)))</f>
        <v>7.004854625545236</v>
      </c>
      <c r="V106" s="636">
        <f t="shared" ref="V106:V129" si="725">IF(M106="","",Y106)</f>
        <v>-3.3369100641207536</v>
      </c>
      <c r="W106" s="585">
        <f t="shared" si="648"/>
        <v>96.2635861012578</v>
      </c>
      <c r="X106" s="629">
        <f t="shared" ref="X106:X129" si="726">IF(M106="","",R106)</f>
        <v>7.0469212535145012</v>
      </c>
      <c r="Y106" s="630">
        <f t="shared" si="647"/>
        <v>-3.3369100641207536</v>
      </c>
      <c r="Z106" s="632">
        <f t="shared" si="669"/>
        <v>0.90089748509070677</v>
      </c>
      <c r="AA106" s="629">
        <f t="shared" si="670"/>
        <v>9.8880739910484156E-2</v>
      </c>
      <c r="AB106" s="629">
        <f t="shared" si="671"/>
        <v>-0.42261841019055829</v>
      </c>
      <c r="AC106" s="636">
        <f t="shared" ref="AC106:AC129" si="727">IF(M106="","",SQRT(Z106^2+AA106^2+AB106^2))</f>
        <v>1</v>
      </c>
      <c r="AD106" s="637">
        <f t="shared" ref="AD106:AD129" si="728">IF(M106="","",Z106*(1/SQRT(Z106^2+AA106^2+AB106^2)))</f>
        <v>0.90089748509070677</v>
      </c>
      <c r="AE106" s="629">
        <f t="shared" ref="AE106:AE129" si="729">IF(M106="","",AA106*(1/SQRT(Z106^2+AA106^2+AB106^2)))</f>
        <v>9.8880739910484156E-2</v>
      </c>
      <c r="AF106" s="633">
        <f t="shared" ref="AF106:AF129" si="730">IF(M106="","",AB106*(1/SQRT(Z106^2+AA106^2+AB106^2)))</f>
        <v>-0.42261841019055829</v>
      </c>
      <c r="AG106" s="602">
        <f t="shared" ref="AG106:AG129" si="731">IF(M106="","",DEGREES(ATAN2(-AF106,AE106)))</f>
        <v>13.168703568998465</v>
      </c>
      <c r="AH106" s="603">
        <f t="shared" ref="AH106:AH129" si="732">IF(M106="","",DEGREES(ACOS(AD106)))</f>
        <v>25.723710440557003</v>
      </c>
      <c r="AI106" s="585">
        <f t="shared" ref="AI106:AI129" si="733">IF(M106="","",DEGREES(-ACOS(-AF106)))</f>
        <v>-64.999990615163156</v>
      </c>
      <c r="AJ106" s="586">
        <f t="shared" ref="AJ106:AJ129" si="734">IF(M106="","",DEGREES(ATAN2(-AE106,AD106)))</f>
        <v>96.263600438982309</v>
      </c>
      <c r="AK106" s="635">
        <f t="shared" ref="AK106:AK129" si="735">IF(M106="","",(COS(RADIANS((90-$Q$8)-W106))*AD106)+(-SIN(RADIANS((90-$Q$8)-W106))*AE106))</f>
        <v>2.2679489652954743E-7</v>
      </c>
      <c r="AL106" s="629">
        <f t="shared" ref="AL106:AL129" si="736">IF(M106="","",(SIN(RADIANS((90-$Q$8)-W106))*AD106)+(COS(RADIANS((90-$Q$8)-W106))*AE106))</f>
        <v>-0.90630771781330077</v>
      </c>
      <c r="AM106" s="634">
        <f t="shared" ref="AM106:AM129" si="737">IF(M106="","",AF106)</f>
        <v>-0.42261841019055829</v>
      </c>
      <c r="AN106" s="581">
        <f t="shared" ref="AN106:AN129" si="738">IF(M106="","",DEGREES(ATAN2(-AM106,AL106)))</f>
        <v>-64.999990615162474</v>
      </c>
      <c r="AO106" s="582">
        <f t="shared" si="463"/>
        <v>0</v>
      </c>
      <c r="AP106" s="585">
        <f t="shared" ref="AP106:AP129" si="739">IF(M106="","",DEGREES(ATAN2(AK106,AL106)))</f>
        <v>-89.999985662275478</v>
      </c>
      <c r="AQ106" s="586">
        <f t="shared" si="672"/>
        <v>0.32350331787933251</v>
      </c>
      <c r="AS106" s="52">
        <f t="shared" si="546"/>
        <v>-263.73641389874217</v>
      </c>
      <c r="AT106" s="73">
        <f t="shared" si="673"/>
        <v>-3.1537597766910714</v>
      </c>
      <c r="AU106" s="469"/>
      <c r="AV106" s="168" t="str">
        <f t="shared" si="674"/>
        <v/>
      </c>
      <c r="AW106" s="418"/>
      <c r="AX106" s="419"/>
      <c r="AY106" s="420"/>
      <c r="AZ106" s="308" t="str">
        <f t="shared" si="547"/>
        <v/>
      </c>
      <c r="BA106" s="307" t="str">
        <f t="shared" si="675"/>
        <v/>
      </c>
      <c r="BB106" s="181" t="str">
        <f t="shared" si="524"/>
        <v/>
      </c>
      <c r="BC106" s="9"/>
      <c r="BD106" s="5" t="str">
        <f t="shared" si="525"/>
        <v/>
      </c>
      <c r="BE106" s="6" t="str">
        <f t="shared" si="676"/>
        <v/>
      </c>
      <c r="BF106" s="4" t="str">
        <f t="shared" si="677"/>
        <v/>
      </c>
      <c r="BG106" s="5" t="str">
        <f t="shared" si="678"/>
        <v/>
      </c>
      <c r="BH106" s="10" t="str">
        <f t="shared" si="679"/>
        <v/>
      </c>
      <c r="BI106" s="9" t="str">
        <f t="shared" si="548"/>
        <v/>
      </c>
      <c r="BJ106" s="5" t="str">
        <f t="shared" si="680"/>
        <v/>
      </c>
      <c r="BK106" s="8" t="str">
        <f t="shared" si="681"/>
        <v/>
      </c>
      <c r="BL106" s="177" t="str">
        <f t="shared" si="682"/>
        <v/>
      </c>
      <c r="BM106" s="5" t="str">
        <f t="shared" si="683"/>
        <v/>
      </c>
      <c r="BN106" s="6" t="str">
        <f t="shared" si="684"/>
        <v/>
      </c>
      <c r="BO106" s="4" t="str">
        <f t="shared" si="549"/>
        <v/>
      </c>
      <c r="BP106" s="5" t="str">
        <f t="shared" si="550"/>
        <v/>
      </c>
      <c r="BQ106" s="5" t="str">
        <f t="shared" si="551"/>
        <v/>
      </c>
      <c r="BR106" s="6" t="str">
        <f t="shared" si="552"/>
        <v/>
      </c>
      <c r="BS106" s="4" t="str">
        <f t="shared" ref="BS106:BT150" si="740">IF(ISNUMBER($AV106),0,"")</f>
        <v/>
      </c>
      <c r="BT106" s="5" t="str">
        <f t="shared" si="740"/>
        <v/>
      </c>
      <c r="BU106" s="10" t="str">
        <f t="shared" si="527"/>
        <v/>
      </c>
      <c r="BV106" s="9" t="str">
        <f t="shared" si="528"/>
        <v/>
      </c>
      <c r="BW106" s="5" t="str">
        <f t="shared" si="529"/>
        <v/>
      </c>
      <c r="BX106" s="8" t="str">
        <f t="shared" si="530"/>
        <v/>
      </c>
      <c r="BY106" s="177" t="str">
        <f t="shared" si="531"/>
        <v/>
      </c>
      <c r="BZ106" s="5" t="str">
        <f t="shared" si="532"/>
        <v/>
      </c>
      <c r="CA106" s="6" t="str">
        <f t="shared" si="533"/>
        <v/>
      </c>
      <c r="CB106" s="4" t="str">
        <f t="shared" si="553"/>
        <v/>
      </c>
      <c r="CC106" s="5" t="str">
        <f t="shared" si="554"/>
        <v/>
      </c>
      <c r="CD106" s="5" t="str">
        <f t="shared" si="555"/>
        <v/>
      </c>
      <c r="CE106" s="6" t="str">
        <f t="shared" si="556"/>
        <v/>
      </c>
      <c r="CF106" s="4" t="str">
        <f t="shared" si="557"/>
        <v/>
      </c>
      <c r="CG106" s="5" t="str">
        <f t="shared" si="558"/>
        <v/>
      </c>
      <c r="CH106" s="5" t="str">
        <f t="shared" si="559"/>
        <v/>
      </c>
      <c r="CI106" s="4" t="str">
        <f t="shared" si="534"/>
        <v/>
      </c>
      <c r="CJ106" s="5" t="str">
        <f t="shared" si="535"/>
        <v/>
      </c>
      <c r="CK106" s="8" t="str">
        <f t="shared" si="536"/>
        <v/>
      </c>
      <c r="CL106" s="177" t="str">
        <f t="shared" si="537"/>
        <v/>
      </c>
      <c r="CM106" s="5" t="str">
        <f t="shared" si="538"/>
        <v/>
      </c>
      <c r="CN106" s="6" t="str">
        <f t="shared" si="539"/>
        <v/>
      </c>
      <c r="CO106" s="171" t="str">
        <f t="shared" si="685"/>
        <v/>
      </c>
      <c r="CP106" s="4" t="str">
        <f t="shared" si="560"/>
        <v/>
      </c>
      <c r="CQ106" s="5" t="str">
        <f t="shared" si="561"/>
        <v/>
      </c>
      <c r="CR106" s="5" t="str">
        <f t="shared" si="562"/>
        <v/>
      </c>
      <c r="CS106" s="8" t="str">
        <f t="shared" si="563"/>
        <v/>
      </c>
      <c r="CT106" s="9" t="str">
        <f t="shared" si="564"/>
        <v/>
      </c>
      <c r="CU106" s="6" t="str">
        <f t="shared" si="565"/>
        <v/>
      </c>
      <c r="CV106" s="4" t="str">
        <f t="shared" si="566"/>
        <v/>
      </c>
      <c r="CW106" s="5" t="str">
        <f t="shared" si="567"/>
        <v/>
      </c>
      <c r="CX106" s="8" t="str">
        <f t="shared" si="568"/>
        <v/>
      </c>
      <c r="CY106" s="9" t="str">
        <f t="shared" si="569"/>
        <v/>
      </c>
      <c r="CZ106" s="5" t="str">
        <f t="shared" si="570"/>
        <v/>
      </c>
      <c r="DA106" s="6" t="str">
        <f t="shared" si="571"/>
        <v/>
      </c>
      <c r="DB106" s="4" t="str">
        <f t="shared" si="572"/>
        <v/>
      </c>
      <c r="DC106" s="5" t="str">
        <f t="shared" si="572"/>
        <v/>
      </c>
      <c r="DD106" s="10" t="str">
        <f t="shared" si="573"/>
        <v/>
      </c>
      <c r="DE106" s="9" t="str">
        <f t="shared" si="574"/>
        <v/>
      </c>
      <c r="DF106" s="5" t="str">
        <f t="shared" si="574"/>
        <v/>
      </c>
      <c r="DG106" s="10" t="str">
        <f t="shared" si="575"/>
        <v/>
      </c>
      <c r="DH106" s="72" t="str">
        <f t="shared" si="576"/>
        <v/>
      </c>
      <c r="DI106" s="4" t="str">
        <f t="shared" si="577"/>
        <v/>
      </c>
      <c r="DJ106" s="5" t="str">
        <f t="shared" si="578"/>
        <v/>
      </c>
      <c r="DK106" s="10" t="str">
        <f t="shared" si="579"/>
        <v/>
      </c>
      <c r="DL106" s="9" t="str">
        <f t="shared" si="580"/>
        <v/>
      </c>
      <c r="DM106" s="177" t="str">
        <f t="shared" si="581"/>
        <v/>
      </c>
      <c r="DN106" s="182" t="str">
        <f t="shared" si="582"/>
        <v/>
      </c>
      <c r="DO106" s="9" t="str">
        <f t="shared" si="583"/>
        <v/>
      </c>
      <c r="DP106" s="177" t="str">
        <f t="shared" si="584"/>
        <v/>
      </c>
      <c r="DQ106" s="11" t="str">
        <f t="shared" si="585"/>
        <v/>
      </c>
      <c r="DR106" s="177" t="str">
        <f t="shared" si="586"/>
        <v/>
      </c>
      <c r="DS106" s="5" t="str">
        <f t="shared" si="587"/>
        <v/>
      </c>
      <c r="DT106" s="5" t="str">
        <f t="shared" si="588"/>
        <v/>
      </c>
      <c r="DU106" s="5" t="str">
        <f t="shared" si="589"/>
        <v/>
      </c>
      <c r="DV106" s="5" t="str">
        <f t="shared" si="590"/>
        <v/>
      </c>
      <c r="DW106" s="5" t="str">
        <f t="shared" si="591"/>
        <v/>
      </c>
      <c r="DX106" s="171" t="str">
        <f t="shared" si="592"/>
        <v/>
      </c>
      <c r="DY106" s="9" t="str">
        <f t="shared" si="593"/>
        <v/>
      </c>
      <c r="DZ106" s="5" t="str">
        <f t="shared" si="594"/>
        <v/>
      </c>
      <c r="EA106" s="10" t="str">
        <f t="shared" si="595"/>
        <v/>
      </c>
      <c r="EB106" s="6" t="str">
        <f t="shared" si="596"/>
        <v/>
      </c>
      <c r="EC106" s="177" t="str">
        <f t="shared" si="597"/>
        <v/>
      </c>
      <c r="ED106" s="5" t="str">
        <f t="shared" si="598"/>
        <v/>
      </c>
      <c r="EE106" s="4" t="str">
        <f t="shared" si="599"/>
        <v/>
      </c>
      <c r="EF106" s="5" t="str">
        <f t="shared" si="600"/>
        <v/>
      </c>
      <c r="EG106" s="10" t="str">
        <f t="shared" si="601"/>
        <v/>
      </c>
      <c r="EH106" s="9" t="str">
        <f t="shared" si="602"/>
        <v/>
      </c>
      <c r="EI106" s="5" t="str">
        <f t="shared" si="603"/>
        <v/>
      </c>
      <c r="EJ106" s="6" t="str">
        <f t="shared" si="604"/>
        <v/>
      </c>
      <c r="EK106" s="247" t="str">
        <f t="shared" si="605"/>
        <v/>
      </c>
      <c r="EL106" s="249" t="str">
        <f t="shared" si="606"/>
        <v/>
      </c>
      <c r="EM106" s="4" t="str">
        <f t="shared" si="607"/>
        <v/>
      </c>
      <c r="EN106" s="5" t="str">
        <f t="shared" si="608"/>
        <v/>
      </c>
      <c r="EO106" s="10" t="str">
        <f t="shared" si="609"/>
        <v/>
      </c>
      <c r="EP106" s="9" t="str">
        <f t="shared" si="610"/>
        <v/>
      </c>
      <c r="EQ106" s="5" t="str">
        <f t="shared" si="611"/>
        <v/>
      </c>
      <c r="ER106" s="7" t="str">
        <f t="shared" si="612"/>
        <v/>
      </c>
      <c r="ES106" s="21" t="str">
        <f t="shared" si="686"/>
        <v/>
      </c>
      <c r="ET106" s="5" t="str">
        <f t="shared" si="687"/>
        <v/>
      </c>
      <c r="EU106" s="10" t="str">
        <f t="shared" si="688"/>
        <v/>
      </c>
      <c r="EV106" s="178" t="str">
        <f t="shared" si="689"/>
        <v/>
      </c>
      <c r="EW106" s="9" t="str">
        <f t="shared" si="690"/>
        <v/>
      </c>
      <c r="EX106" s="5" t="str">
        <f t="shared" si="691"/>
        <v/>
      </c>
      <c r="EY106" s="6" t="str">
        <f t="shared" si="613"/>
        <v/>
      </c>
      <c r="EZ106" s="52" t="str">
        <f t="shared" si="614"/>
        <v/>
      </c>
      <c r="FA106" s="177" t="str">
        <f t="shared" si="692"/>
        <v/>
      </c>
      <c r="FB106" s="5" t="str">
        <f t="shared" si="693"/>
        <v/>
      </c>
      <c r="FC106" s="6" t="str">
        <f t="shared" si="694"/>
        <v/>
      </c>
      <c r="FD106" s="4" t="str">
        <f t="shared" si="695"/>
        <v/>
      </c>
      <c r="FE106" s="5" t="str">
        <f t="shared" si="696"/>
        <v/>
      </c>
      <c r="FF106" s="7" t="str">
        <f t="shared" si="615"/>
        <v/>
      </c>
      <c r="FG106" s="177" t="str">
        <f t="shared" si="697"/>
        <v/>
      </c>
      <c r="FH106" s="5" t="str">
        <f t="shared" si="698"/>
        <v/>
      </c>
      <c r="FI106" s="10" t="str">
        <f t="shared" si="699"/>
        <v/>
      </c>
      <c r="FJ106" s="290" t="str">
        <f t="shared" si="616"/>
        <v/>
      </c>
      <c r="FK106" s="4" t="str">
        <f t="shared" si="700"/>
        <v/>
      </c>
      <c r="FL106" s="5" t="str">
        <f t="shared" si="540"/>
        <v/>
      </c>
      <c r="FM106" s="8" t="str">
        <f t="shared" si="541"/>
        <v/>
      </c>
      <c r="FN106" s="9" t="str">
        <f t="shared" si="542"/>
        <v/>
      </c>
      <c r="FO106" s="10" t="str">
        <f t="shared" si="701"/>
        <v/>
      </c>
      <c r="FP106" s="288" t="str">
        <f t="shared" si="543"/>
        <v/>
      </c>
      <c r="FQ106" s="177" t="str">
        <f t="shared" si="617"/>
        <v/>
      </c>
      <c r="FR106" s="10" t="str">
        <f t="shared" si="618"/>
        <v/>
      </c>
      <c r="FS106" s="9" t="str">
        <f t="shared" si="619"/>
        <v/>
      </c>
      <c r="FT106" s="6" t="str">
        <f t="shared" si="620"/>
        <v/>
      </c>
      <c r="FU106" s="4" t="str">
        <f t="shared" si="621"/>
        <v/>
      </c>
      <c r="FV106" s="5" t="str">
        <f t="shared" si="622"/>
        <v/>
      </c>
      <c r="FW106" s="8" t="str">
        <f t="shared" si="623"/>
        <v/>
      </c>
      <c r="FX106" s="9" t="str">
        <f t="shared" si="624"/>
        <v/>
      </c>
      <c r="FY106" s="10" t="str">
        <f t="shared" si="702"/>
        <v/>
      </c>
      <c r="FZ106" s="288" t="str">
        <f t="shared" si="625"/>
        <v/>
      </c>
      <c r="GA106" s="181" t="str">
        <f t="shared" si="626"/>
        <v/>
      </c>
      <c r="GB106" s="4" t="str">
        <f t="shared" si="627"/>
        <v/>
      </c>
      <c r="GC106" s="5" t="str">
        <f t="shared" si="628"/>
        <v/>
      </c>
      <c r="GD106" s="10" t="str">
        <f t="shared" si="629"/>
        <v/>
      </c>
      <c r="GE106" s="324" t="str">
        <f t="shared" si="630"/>
        <v/>
      </c>
      <c r="GF106" s="362" t="str">
        <f t="shared" si="631"/>
        <v/>
      </c>
      <c r="GG106" s="296" t="str">
        <f t="shared" si="703"/>
        <v/>
      </c>
      <c r="GH106" s="297" t="str">
        <f t="shared" si="704"/>
        <v/>
      </c>
      <c r="GI106" s="292" t="str">
        <f t="shared" si="705"/>
        <v/>
      </c>
      <c r="GJ106" s="171" t="str">
        <f t="shared" si="632"/>
        <v/>
      </c>
      <c r="GK106" s="178" t="str">
        <f t="shared" si="706"/>
        <v/>
      </c>
      <c r="GL106" s="178" t="str">
        <f t="shared" si="633"/>
        <v/>
      </c>
      <c r="GM106" s="181" t="str">
        <f t="shared" si="634"/>
        <v/>
      </c>
      <c r="GN106" s="291" t="str">
        <f t="shared" si="635"/>
        <v/>
      </c>
      <c r="GO106" s="4" t="str">
        <f t="shared" si="636"/>
        <v/>
      </c>
      <c r="GP106" s="8" t="str">
        <f t="shared" si="637"/>
        <v/>
      </c>
      <c r="GQ106" s="181" t="str">
        <f t="shared" si="638"/>
        <v/>
      </c>
      <c r="GR106" s="417" t="str">
        <f t="shared" si="639"/>
        <v/>
      </c>
      <c r="GS106" s="363" t="str">
        <f t="shared" si="707"/>
        <v/>
      </c>
      <c r="GT106" s="364" t="str">
        <f t="shared" si="708"/>
        <v/>
      </c>
      <c r="GU106" s="365" t="str">
        <f t="shared" si="709"/>
        <v/>
      </c>
      <c r="GV106" s="364" t="str">
        <f t="shared" si="640"/>
        <v/>
      </c>
      <c r="GW106" s="366" t="str">
        <f t="shared" si="710"/>
        <v/>
      </c>
      <c r="GX106" s="367" t="str">
        <f t="shared" si="711"/>
        <v/>
      </c>
      <c r="GY106" s="365" t="str">
        <f t="shared" si="712"/>
        <v/>
      </c>
      <c r="GZ106" s="366" t="str">
        <f t="shared" si="713"/>
        <v/>
      </c>
      <c r="HA106" s="363" t="str">
        <f t="shared" si="714"/>
        <v/>
      </c>
      <c r="HB106" s="5" t="str">
        <f t="shared" si="641"/>
        <v/>
      </c>
      <c r="HC106" s="364" t="str">
        <f t="shared" si="642"/>
        <v/>
      </c>
      <c r="HD106" s="405" t="str">
        <f t="shared" si="643"/>
        <v/>
      </c>
      <c r="HE106" s="365" t="str">
        <f t="shared" si="715"/>
        <v/>
      </c>
      <c r="HF106" s="5" t="str">
        <f t="shared" si="716"/>
        <v/>
      </c>
      <c r="HG106" s="364" t="str">
        <f t="shared" si="644"/>
        <v/>
      </c>
      <c r="HH106" s="370" t="str">
        <f t="shared" si="645"/>
        <v/>
      </c>
      <c r="HI106" s="335" t="str">
        <f t="shared" si="717"/>
        <v/>
      </c>
      <c r="HK106" s="323" t="str">
        <f t="shared" si="664"/>
        <v/>
      </c>
      <c r="HL106" s="322" t="str">
        <f t="shared" ref="HL106:HL129" si="741">IFERROR(SMALL($GJ$9:$GJ$150,($HK105+1)),"")</f>
        <v/>
      </c>
      <c r="HM106" s="369" t="str">
        <f t="shared" si="662"/>
        <v/>
      </c>
      <c r="HN106" s="384" t="str">
        <f t="shared" si="662"/>
        <v/>
      </c>
      <c r="HO106" s="385" t="str">
        <f t="shared" si="662"/>
        <v/>
      </c>
      <c r="HP106" s="380" t="str">
        <f t="shared" si="662"/>
        <v/>
      </c>
      <c r="HQ106" s="384" t="str">
        <f t="shared" si="662"/>
        <v/>
      </c>
      <c r="HR106" s="395" t="str">
        <f t="shared" si="662"/>
        <v/>
      </c>
      <c r="HS106" s="379" t="str">
        <f t="shared" si="662"/>
        <v/>
      </c>
      <c r="HT106" s="374" t="str">
        <f t="shared" si="662"/>
        <v/>
      </c>
      <c r="HU106" s="375" t="str">
        <f t="shared" si="662"/>
        <v/>
      </c>
      <c r="HV106" s="376" t="str">
        <f t="shared" si="662"/>
        <v/>
      </c>
      <c r="HW106" s="374" t="str">
        <f t="shared" si="662"/>
        <v/>
      </c>
      <c r="HX106" s="375" t="str">
        <f t="shared" si="662"/>
        <v/>
      </c>
      <c r="HY106" s="376" t="str">
        <f t="shared" si="662"/>
        <v/>
      </c>
      <c r="HZ106" s="374" t="str">
        <f t="shared" si="662"/>
        <v/>
      </c>
      <c r="IA106" s="375" t="str">
        <f t="shared" si="662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6"/>
        <v>5.2590000000000003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5.1589999999999998</v>
      </c>
      <c r="II106" s="734" cm="1">
        <f t="array" ref="II106">IFERROR(ROUND(VALUE(IF($IH106&lt;1,$IH106+LARGE((IF($M$9:$M$150="",0,$M$9:$M$150)-MOD(IF($M$9:$M$150="",0,$M$9:$M$150),1)),1),$IH106)),4),"")</f>
        <v>5.1589999999999998</v>
      </c>
      <c r="IJ106" s="533">
        <f t="shared" si="545"/>
        <v>1613</v>
      </c>
      <c r="IK106" s="533" t="str">
        <f t="shared" si="718"/>
        <v>Inactive</v>
      </c>
      <c r="IL106" s="727">
        <f t="shared" si="651"/>
        <v>15.486397294798905</v>
      </c>
      <c r="IM106" s="759">
        <v>4.0097747209291799E-4</v>
      </c>
      <c r="IN106" s="5">
        <f t="shared" si="652"/>
        <v>0</v>
      </c>
      <c r="IO106" s="771">
        <v>0</v>
      </c>
      <c r="IP106" s="9">
        <f t="shared" si="653"/>
        <v>-7.0460212508000932</v>
      </c>
      <c r="IQ106" s="5">
        <f t="shared" si="654"/>
        <v>-3.3270100342622628</v>
      </c>
      <c r="IR106" s="5">
        <f t="shared" si="719"/>
        <v>0.314</v>
      </c>
      <c r="IS106" s="5">
        <f t="shared" si="655"/>
        <v>0.2514235857105519</v>
      </c>
      <c r="IT106" s="727">
        <f t="shared" si="656"/>
        <v>85.622108519327412</v>
      </c>
      <c r="IU106" s="9">
        <f t="shared" si="657"/>
        <v>-7.0469212535145012</v>
      </c>
      <c r="IV106" s="5">
        <f t="shared" si="658"/>
        <v>-3.3369100641207536</v>
      </c>
      <c r="IW106" s="5">
        <f t="shared" si="720"/>
        <v>0.26250000000000001</v>
      </c>
      <c r="IX106" s="5">
        <f t="shared" si="659"/>
        <v>0.26250000000000001</v>
      </c>
      <c r="IY106" s="762">
        <f t="shared" si="660"/>
        <v>64.999990615162474</v>
      </c>
    </row>
    <row r="107" spans="1:259" ht="15" customHeight="1" x14ac:dyDescent="0.25">
      <c r="A107" s="79"/>
      <c r="B107" s="707">
        <v>-2.8146965553503085</v>
      </c>
      <c r="C107" s="708">
        <v>1.9708723272037749</v>
      </c>
      <c r="D107" s="709">
        <v>-6.7500203580613802E-2</v>
      </c>
      <c r="E107" s="710">
        <v>-0.50970029871628131</v>
      </c>
      <c r="F107" s="708">
        <v>-0.79025690840509333</v>
      </c>
      <c r="G107" s="711">
        <v>0.34014647463491021</v>
      </c>
      <c r="H107" s="710">
        <v>0.314</v>
      </c>
      <c r="I107" s="708">
        <v>0.52</v>
      </c>
      <c r="J107" s="570">
        <v>6.1159999999999997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5"/>
        <v>6.1159999999999997</v>
      </c>
      <c r="N107" s="632">
        <f t="shared" si="666"/>
        <v>-2.8146965553503085</v>
      </c>
      <c r="O107" s="629">
        <f t="shared" si="667"/>
        <v>1.9708723272037749</v>
      </c>
      <c r="P107" s="633">
        <f t="shared" si="668"/>
        <v>-6.7500203580613802E-2</v>
      </c>
      <c r="Q107" s="585">
        <f t="shared" si="523"/>
        <v>144.99999205898365</v>
      </c>
      <c r="R107" s="629">
        <f t="shared" si="721"/>
        <v>3.4361103633088557</v>
      </c>
      <c r="S107" s="634">
        <f t="shared" si="722"/>
        <v>-6.7500203580613802E-2</v>
      </c>
      <c r="T107" s="635">
        <f t="shared" si="723"/>
        <v>1.9708723272037751</v>
      </c>
      <c r="U107" s="629">
        <f t="shared" si="724"/>
        <v>2.8146965553503085</v>
      </c>
      <c r="V107" s="636">
        <f t="shared" si="725"/>
        <v>-6.7500203580613802E-2</v>
      </c>
      <c r="W107" s="585">
        <f t="shared" si="648"/>
        <v>54.999992058983651</v>
      </c>
      <c r="X107" s="629">
        <f t="shared" si="726"/>
        <v>3.4361103633088557</v>
      </c>
      <c r="Y107" s="630">
        <f t="shared" si="647"/>
        <v>-6.7500203580613802E-2</v>
      </c>
      <c r="Z107" s="632">
        <f t="shared" si="669"/>
        <v>0.50970029871628131</v>
      </c>
      <c r="AA107" s="629">
        <f t="shared" si="670"/>
        <v>0.79025690840509333</v>
      </c>
      <c r="AB107" s="629">
        <f t="shared" si="671"/>
        <v>-0.34014647463491021</v>
      </c>
      <c r="AC107" s="636">
        <f t="shared" si="727"/>
        <v>1</v>
      </c>
      <c r="AD107" s="637">
        <f t="shared" si="728"/>
        <v>0.50970029871628131</v>
      </c>
      <c r="AE107" s="629">
        <f t="shared" si="729"/>
        <v>0.79025690840509333</v>
      </c>
      <c r="AF107" s="633">
        <f t="shared" si="730"/>
        <v>-0.34014647463491021</v>
      </c>
      <c r="AG107" s="602">
        <f t="shared" si="731"/>
        <v>66.711738646921532</v>
      </c>
      <c r="AH107" s="603">
        <f t="shared" si="732"/>
        <v>59.356131146615979</v>
      </c>
      <c r="AI107" s="585">
        <f t="shared" si="733"/>
        <v>-70.114201655431643</v>
      </c>
      <c r="AJ107" s="586">
        <f t="shared" si="734"/>
        <v>147.17877280409743</v>
      </c>
      <c r="AK107" s="635">
        <f t="shared" si="735"/>
        <v>0.93969263802333458</v>
      </c>
      <c r="AL107" s="629">
        <f t="shared" si="736"/>
        <v>3.5750829895106251E-2</v>
      </c>
      <c r="AM107" s="634">
        <f t="shared" si="737"/>
        <v>-0.34014647463491021</v>
      </c>
      <c r="AN107" s="581">
        <f t="shared" si="738"/>
        <v>5.9999991337073491</v>
      </c>
      <c r="AO107" s="582">
        <f t="shared" si="463"/>
        <v>19.999997112357679</v>
      </c>
      <c r="AP107" s="585">
        <f t="shared" si="739"/>
        <v>2.1787807451137788</v>
      </c>
      <c r="AQ107" s="586">
        <f t="shared" si="672"/>
        <v>0.66343176014691418</v>
      </c>
      <c r="AS107" s="52">
        <f t="shared" ref="AS107:AS138" si="742">IF(G107="","",IF(AND(W107&lt;(AS106+180),W107&gt;(AS106-180)),W107,IF(W107&gt;(AS106+180),W107-360,IF(W107&lt;(AS106-180),W107+360,"Error"))))</f>
        <v>-305.00000794101635</v>
      </c>
      <c r="AT107" s="73">
        <f t="shared" si="673"/>
        <v>0.14430535748953643</v>
      </c>
      <c r="AU107" s="469"/>
      <c r="AV107" s="168" t="str">
        <f t="shared" si="674"/>
        <v/>
      </c>
      <c r="AW107" s="418"/>
      <c r="AX107" s="419"/>
      <c r="AY107" s="420"/>
      <c r="AZ107" s="308" t="str">
        <f t="shared" si="547"/>
        <v/>
      </c>
      <c r="BA107" s="307" t="str">
        <f t="shared" si="675"/>
        <v/>
      </c>
      <c r="BB107" s="181" t="str">
        <f t="shared" si="524"/>
        <v/>
      </c>
      <c r="BC107" s="9"/>
      <c r="BD107" s="5" t="str">
        <f t="shared" si="525"/>
        <v/>
      </c>
      <c r="BE107" s="6" t="str">
        <f t="shared" si="676"/>
        <v/>
      </c>
      <c r="BF107" s="4" t="str">
        <f t="shared" si="677"/>
        <v/>
      </c>
      <c r="BG107" s="5" t="str">
        <f t="shared" si="678"/>
        <v/>
      </c>
      <c r="BH107" s="10" t="str">
        <f t="shared" si="679"/>
        <v/>
      </c>
      <c r="BI107" s="9" t="str">
        <f t="shared" si="548"/>
        <v/>
      </c>
      <c r="BJ107" s="5" t="str">
        <f t="shared" si="680"/>
        <v/>
      </c>
      <c r="BK107" s="8" t="str">
        <f t="shared" si="681"/>
        <v/>
      </c>
      <c r="BL107" s="177" t="str">
        <f t="shared" si="682"/>
        <v/>
      </c>
      <c r="BM107" s="5" t="str">
        <f t="shared" si="683"/>
        <v/>
      </c>
      <c r="BN107" s="6" t="str">
        <f t="shared" si="684"/>
        <v/>
      </c>
      <c r="BO107" s="4" t="str">
        <f t="shared" si="549"/>
        <v/>
      </c>
      <c r="BP107" s="5" t="str">
        <f t="shared" si="550"/>
        <v/>
      </c>
      <c r="BQ107" s="5" t="str">
        <f t="shared" si="551"/>
        <v/>
      </c>
      <c r="BR107" s="6" t="str">
        <f t="shared" si="552"/>
        <v/>
      </c>
      <c r="BS107" s="4" t="str">
        <f t="shared" si="740"/>
        <v/>
      </c>
      <c r="BT107" s="5" t="str">
        <f t="shared" si="740"/>
        <v/>
      </c>
      <c r="BU107" s="10" t="str">
        <f t="shared" si="527"/>
        <v/>
      </c>
      <c r="BV107" s="9" t="str">
        <f t="shared" si="528"/>
        <v/>
      </c>
      <c r="BW107" s="5" t="str">
        <f t="shared" si="529"/>
        <v/>
      </c>
      <c r="BX107" s="8" t="str">
        <f t="shared" si="530"/>
        <v/>
      </c>
      <c r="BY107" s="177" t="str">
        <f t="shared" si="531"/>
        <v/>
      </c>
      <c r="BZ107" s="5" t="str">
        <f t="shared" si="532"/>
        <v/>
      </c>
      <c r="CA107" s="6" t="str">
        <f t="shared" si="533"/>
        <v/>
      </c>
      <c r="CB107" s="4" t="str">
        <f t="shared" si="553"/>
        <v/>
      </c>
      <c r="CC107" s="5" t="str">
        <f t="shared" si="554"/>
        <v/>
      </c>
      <c r="CD107" s="5" t="str">
        <f t="shared" si="555"/>
        <v/>
      </c>
      <c r="CE107" s="6" t="str">
        <f t="shared" si="556"/>
        <v/>
      </c>
      <c r="CF107" s="4" t="str">
        <f t="shared" si="557"/>
        <v/>
      </c>
      <c r="CG107" s="5" t="str">
        <f t="shared" si="558"/>
        <v/>
      </c>
      <c r="CH107" s="5" t="str">
        <f t="shared" si="559"/>
        <v/>
      </c>
      <c r="CI107" s="4" t="str">
        <f t="shared" si="534"/>
        <v/>
      </c>
      <c r="CJ107" s="5" t="str">
        <f t="shared" si="535"/>
        <v/>
      </c>
      <c r="CK107" s="8" t="str">
        <f t="shared" si="536"/>
        <v/>
      </c>
      <c r="CL107" s="177" t="str">
        <f t="shared" si="537"/>
        <v/>
      </c>
      <c r="CM107" s="5" t="str">
        <f t="shared" si="538"/>
        <v/>
      </c>
      <c r="CN107" s="6" t="str">
        <f t="shared" si="539"/>
        <v/>
      </c>
      <c r="CO107" s="171" t="str">
        <f t="shared" si="685"/>
        <v/>
      </c>
      <c r="CP107" s="4" t="str">
        <f t="shared" si="560"/>
        <v/>
      </c>
      <c r="CQ107" s="5" t="str">
        <f t="shared" si="561"/>
        <v/>
      </c>
      <c r="CR107" s="5" t="str">
        <f t="shared" si="562"/>
        <v/>
      </c>
      <c r="CS107" s="8" t="str">
        <f t="shared" si="563"/>
        <v/>
      </c>
      <c r="CT107" s="9" t="str">
        <f t="shared" si="564"/>
        <v/>
      </c>
      <c r="CU107" s="6" t="str">
        <f t="shared" si="565"/>
        <v/>
      </c>
      <c r="CV107" s="4" t="str">
        <f t="shared" si="566"/>
        <v/>
      </c>
      <c r="CW107" s="5" t="str">
        <f t="shared" si="567"/>
        <v/>
      </c>
      <c r="CX107" s="8" t="str">
        <f t="shared" si="568"/>
        <v/>
      </c>
      <c r="CY107" s="9" t="str">
        <f t="shared" si="569"/>
        <v/>
      </c>
      <c r="CZ107" s="5" t="str">
        <f t="shared" si="570"/>
        <v/>
      </c>
      <c r="DA107" s="6" t="str">
        <f t="shared" si="571"/>
        <v/>
      </c>
      <c r="DB107" s="4" t="str">
        <f t="shared" ref="DB107:DC150" si="743">IF(ISNUMBER($AV107),0,"")</f>
        <v/>
      </c>
      <c r="DC107" s="5" t="str">
        <f t="shared" si="743"/>
        <v/>
      </c>
      <c r="DD107" s="10" t="str">
        <f t="shared" si="573"/>
        <v/>
      </c>
      <c r="DE107" s="9" t="str">
        <f t="shared" ref="DE107:DF150" si="744">IF(ISNUMBER($AV107),0,"")</f>
        <v/>
      </c>
      <c r="DF107" s="5" t="str">
        <f t="shared" si="744"/>
        <v/>
      </c>
      <c r="DG107" s="10" t="str">
        <f t="shared" si="575"/>
        <v/>
      </c>
      <c r="DH107" s="72" t="str">
        <f t="shared" si="576"/>
        <v/>
      </c>
      <c r="DI107" s="4" t="str">
        <f t="shared" si="577"/>
        <v/>
      </c>
      <c r="DJ107" s="5" t="str">
        <f t="shared" si="578"/>
        <v/>
      </c>
      <c r="DK107" s="10" t="str">
        <f t="shared" si="579"/>
        <v/>
      </c>
      <c r="DL107" s="9" t="str">
        <f t="shared" si="580"/>
        <v/>
      </c>
      <c r="DM107" s="177" t="str">
        <f t="shared" si="581"/>
        <v/>
      </c>
      <c r="DN107" s="182" t="str">
        <f t="shared" si="582"/>
        <v/>
      </c>
      <c r="DO107" s="9" t="str">
        <f t="shared" si="583"/>
        <v/>
      </c>
      <c r="DP107" s="177" t="str">
        <f t="shared" si="584"/>
        <v/>
      </c>
      <c r="DQ107" s="11" t="str">
        <f t="shared" si="585"/>
        <v/>
      </c>
      <c r="DR107" s="177" t="str">
        <f t="shared" si="586"/>
        <v/>
      </c>
      <c r="DS107" s="5" t="str">
        <f t="shared" si="587"/>
        <v/>
      </c>
      <c r="DT107" s="5" t="str">
        <f t="shared" si="588"/>
        <v/>
      </c>
      <c r="DU107" s="5" t="str">
        <f t="shared" si="589"/>
        <v/>
      </c>
      <c r="DV107" s="5" t="str">
        <f t="shared" si="590"/>
        <v/>
      </c>
      <c r="DW107" s="5" t="str">
        <f t="shared" si="591"/>
        <v/>
      </c>
      <c r="DX107" s="171" t="str">
        <f t="shared" si="592"/>
        <v/>
      </c>
      <c r="DY107" s="9" t="str">
        <f t="shared" si="593"/>
        <v/>
      </c>
      <c r="DZ107" s="5" t="str">
        <f t="shared" si="594"/>
        <v/>
      </c>
      <c r="EA107" s="10" t="str">
        <f t="shared" si="595"/>
        <v/>
      </c>
      <c r="EB107" s="6" t="str">
        <f t="shared" si="596"/>
        <v/>
      </c>
      <c r="EC107" s="177" t="str">
        <f t="shared" si="597"/>
        <v/>
      </c>
      <c r="ED107" s="5" t="str">
        <f t="shared" si="598"/>
        <v/>
      </c>
      <c r="EE107" s="4" t="str">
        <f t="shared" si="599"/>
        <v/>
      </c>
      <c r="EF107" s="5" t="str">
        <f t="shared" si="600"/>
        <v/>
      </c>
      <c r="EG107" s="10" t="str">
        <f t="shared" si="601"/>
        <v/>
      </c>
      <c r="EH107" s="9" t="str">
        <f t="shared" si="602"/>
        <v/>
      </c>
      <c r="EI107" s="5" t="str">
        <f t="shared" si="603"/>
        <v/>
      </c>
      <c r="EJ107" s="6" t="str">
        <f t="shared" si="604"/>
        <v/>
      </c>
      <c r="EK107" s="247" t="str">
        <f t="shared" si="605"/>
        <v/>
      </c>
      <c r="EL107" s="249" t="str">
        <f t="shared" si="606"/>
        <v/>
      </c>
      <c r="EM107" s="4" t="str">
        <f t="shared" si="607"/>
        <v/>
      </c>
      <c r="EN107" s="5" t="str">
        <f t="shared" si="608"/>
        <v/>
      </c>
      <c r="EO107" s="10" t="str">
        <f t="shared" si="609"/>
        <v/>
      </c>
      <c r="EP107" s="9" t="str">
        <f t="shared" si="610"/>
        <v/>
      </c>
      <c r="EQ107" s="5" t="str">
        <f t="shared" si="611"/>
        <v/>
      </c>
      <c r="ER107" s="7" t="str">
        <f t="shared" si="612"/>
        <v/>
      </c>
      <c r="ES107" s="21" t="str">
        <f t="shared" si="686"/>
        <v/>
      </c>
      <c r="ET107" s="5" t="str">
        <f t="shared" si="687"/>
        <v/>
      </c>
      <c r="EU107" s="10" t="str">
        <f t="shared" si="688"/>
        <v/>
      </c>
      <c r="EV107" s="178" t="str">
        <f t="shared" si="689"/>
        <v/>
      </c>
      <c r="EW107" s="9" t="str">
        <f t="shared" si="690"/>
        <v/>
      </c>
      <c r="EX107" s="5" t="str">
        <f t="shared" si="691"/>
        <v/>
      </c>
      <c r="EY107" s="6" t="str">
        <f t="shared" si="613"/>
        <v/>
      </c>
      <c r="EZ107" s="52" t="str">
        <f t="shared" si="614"/>
        <v/>
      </c>
      <c r="FA107" s="177" t="str">
        <f t="shared" si="692"/>
        <v/>
      </c>
      <c r="FB107" s="5" t="str">
        <f t="shared" si="693"/>
        <v/>
      </c>
      <c r="FC107" s="6" t="str">
        <f t="shared" si="694"/>
        <v/>
      </c>
      <c r="FD107" s="4" t="str">
        <f t="shared" si="695"/>
        <v/>
      </c>
      <c r="FE107" s="5" t="str">
        <f t="shared" si="696"/>
        <v/>
      </c>
      <c r="FF107" s="7" t="str">
        <f t="shared" si="615"/>
        <v/>
      </c>
      <c r="FG107" s="177" t="str">
        <f t="shared" si="697"/>
        <v/>
      </c>
      <c r="FH107" s="5" t="str">
        <f t="shared" si="698"/>
        <v/>
      </c>
      <c r="FI107" s="10" t="str">
        <f t="shared" si="699"/>
        <v/>
      </c>
      <c r="FJ107" s="290" t="str">
        <f t="shared" si="616"/>
        <v/>
      </c>
      <c r="FK107" s="4" t="str">
        <f t="shared" si="700"/>
        <v/>
      </c>
      <c r="FL107" s="5" t="str">
        <f t="shared" si="540"/>
        <v/>
      </c>
      <c r="FM107" s="8" t="str">
        <f t="shared" si="541"/>
        <v/>
      </c>
      <c r="FN107" s="9" t="str">
        <f t="shared" si="542"/>
        <v/>
      </c>
      <c r="FO107" s="10" t="str">
        <f t="shared" si="701"/>
        <v/>
      </c>
      <c r="FP107" s="288" t="str">
        <f t="shared" si="543"/>
        <v/>
      </c>
      <c r="FQ107" s="177" t="str">
        <f t="shared" si="617"/>
        <v/>
      </c>
      <c r="FR107" s="10" t="str">
        <f t="shared" si="618"/>
        <v/>
      </c>
      <c r="FS107" s="9" t="str">
        <f t="shared" si="619"/>
        <v/>
      </c>
      <c r="FT107" s="6" t="str">
        <f t="shared" si="620"/>
        <v/>
      </c>
      <c r="FU107" s="4" t="str">
        <f t="shared" si="621"/>
        <v/>
      </c>
      <c r="FV107" s="5" t="str">
        <f t="shared" si="622"/>
        <v/>
      </c>
      <c r="FW107" s="8" t="str">
        <f t="shared" si="623"/>
        <v/>
      </c>
      <c r="FX107" s="9" t="str">
        <f t="shared" si="624"/>
        <v/>
      </c>
      <c r="FY107" s="10" t="str">
        <f t="shared" si="702"/>
        <v/>
      </c>
      <c r="FZ107" s="288" t="str">
        <f t="shared" si="625"/>
        <v/>
      </c>
      <c r="GA107" s="181" t="str">
        <f t="shared" si="626"/>
        <v/>
      </c>
      <c r="GB107" s="4" t="str">
        <f t="shared" si="627"/>
        <v/>
      </c>
      <c r="GC107" s="5" t="str">
        <f t="shared" si="628"/>
        <v/>
      </c>
      <c r="GD107" s="10" t="str">
        <f t="shared" si="629"/>
        <v/>
      </c>
      <c r="GE107" s="324" t="str">
        <f t="shared" si="630"/>
        <v/>
      </c>
      <c r="GF107" s="362" t="str">
        <f t="shared" si="631"/>
        <v/>
      </c>
      <c r="GG107" s="296" t="str">
        <f t="shared" si="703"/>
        <v/>
      </c>
      <c r="GH107" s="297" t="str">
        <f t="shared" si="704"/>
        <v/>
      </c>
      <c r="GI107" s="292" t="str">
        <f t="shared" si="705"/>
        <v/>
      </c>
      <c r="GJ107" s="171" t="str">
        <f t="shared" si="632"/>
        <v/>
      </c>
      <c r="GK107" s="178" t="str">
        <f t="shared" si="706"/>
        <v/>
      </c>
      <c r="GL107" s="178" t="str">
        <f t="shared" si="633"/>
        <v/>
      </c>
      <c r="GM107" s="181" t="str">
        <f t="shared" si="634"/>
        <v/>
      </c>
      <c r="GN107" s="291" t="str">
        <f t="shared" si="635"/>
        <v/>
      </c>
      <c r="GO107" s="4" t="str">
        <f t="shared" si="636"/>
        <v/>
      </c>
      <c r="GP107" s="8" t="str">
        <f t="shared" si="637"/>
        <v/>
      </c>
      <c r="GQ107" s="181" t="str">
        <f t="shared" si="638"/>
        <v/>
      </c>
      <c r="GR107" s="417" t="str">
        <f t="shared" si="639"/>
        <v/>
      </c>
      <c r="GS107" s="363" t="str">
        <f t="shared" si="707"/>
        <v/>
      </c>
      <c r="GT107" s="364" t="str">
        <f t="shared" si="708"/>
        <v/>
      </c>
      <c r="GU107" s="365" t="str">
        <f t="shared" si="709"/>
        <v/>
      </c>
      <c r="GV107" s="364" t="str">
        <f t="shared" si="640"/>
        <v/>
      </c>
      <c r="GW107" s="366" t="str">
        <f t="shared" si="710"/>
        <v/>
      </c>
      <c r="GX107" s="367" t="str">
        <f t="shared" si="711"/>
        <v/>
      </c>
      <c r="GY107" s="365" t="str">
        <f t="shared" si="712"/>
        <v/>
      </c>
      <c r="GZ107" s="366" t="str">
        <f t="shared" si="713"/>
        <v/>
      </c>
      <c r="HA107" s="363" t="str">
        <f t="shared" si="714"/>
        <v/>
      </c>
      <c r="HB107" s="5" t="str">
        <f t="shared" si="641"/>
        <v/>
      </c>
      <c r="HC107" s="364" t="str">
        <f t="shared" si="642"/>
        <v/>
      </c>
      <c r="HD107" s="405" t="str">
        <f t="shared" si="643"/>
        <v/>
      </c>
      <c r="HE107" s="365" t="str">
        <f t="shared" si="715"/>
        <v/>
      </c>
      <c r="HF107" s="5" t="str">
        <f t="shared" si="716"/>
        <v/>
      </c>
      <c r="HG107" s="364" t="str">
        <f t="shared" si="644"/>
        <v/>
      </c>
      <c r="HH107" s="370" t="str">
        <f t="shared" si="645"/>
        <v/>
      </c>
      <c r="HI107" s="335" t="str">
        <f t="shared" si="717"/>
        <v/>
      </c>
      <c r="HK107" s="323" t="str">
        <f t="shared" si="664"/>
        <v/>
      </c>
      <c r="HL107" s="322" t="str">
        <f t="shared" si="741"/>
        <v/>
      </c>
      <c r="HM107" s="369" t="str">
        <f t="shared" si="662"/>
        <v/>
      </c>
      <c r="HN107" s="384" t="str">
        <f t="shared" si="662"/>
        <v/>
      </c>
      <c r="HO107" s="385" t="str">
        <f t="shared" si="662"/>
        <v/>
      </c>
      <c r="HP107" s="380" t="str">
        <f t="shared" si="662"/>
        <v/>
      </c>
      <c r="HQ107" s="384" t="str">
        <f t="shared" si="662"/>
        <v/>
      </c>
      <c r="HR107" s="395" t="str">
        <f t="shared" si="662"/>
        <v/>
      </c>
      <c r="HS107" s="379" t="str">
        <f t="shared" si="662"/>
        <v/>
      </c>
      <c r="HT107" s="374" t="str">
        <f t="shared" si="662"/>
        <v/>
      </c>
      <c r="HU107" s="375" t="str">
        <f t="shared" si="662"/>
        <v/>
      </c>
      <c r="HV107" s="376" t="str">
        <f t="shared" si="662"/>
        <v/>
      </c>
      <c r="HW107" s="374" t="str">
        <f t="shared" si="662"/>
        <v/>
      </c>
      <c r="HX107" s="375" t="str">
        <f t="shared" si="662"/>
        <v/>
      </c>
      <c r="HY107" s="376" t="str">
        <f t="shared" si="662"/>
        <v/>
      </c>
      <c r="HZ107" s="374" t="str">
        <f t="shared" si="662"/>
        <v/>
      </c>
      <c r="IA107" s="375" t="str">
        <f t="shared" si="662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6"/>
        <v>6.1159999999999997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5"/>
        <v>1613</v>
      </c>
      <c r="IK107" s="533" t="str">
        <f t="shared" si="718"/>
        <v/>
      </c>
      <c r="IL107" s="727" t="str">
        <f t="shared" si="651"/>
        <v/>
      </c>
      <c r="IM107" s="759"/>
      <c r="IN107" s="5" t="str">
        <f t="shared" si="652"/>
        <v/>
      </c>
      <c r="IO107" s="771"/>
      <c r="IP107" s="9" t="str">
        <f t="shared" si="653"/>
        <v/>
      </c>
      <c r="IQ107" s="5" t="str">
        <f t="shared" si="654"/>
        <v/>
      </c>
      <c r="IR107" s="5" t="str">
        <f t="shared" si="719"/>
        <v/>
      </c>
      <c r="IS107" s="5" t="str">
        <f t="shared" si="655"/>
        <v/>
      </c>
      <c r="IT107" s="727" t="str">
        <f t="shared" si="656"/>
        <v/>
      </c>
      <c r="IU107" s="9" t="str">
        <f t="shared" si="657"/>
        <v/>
      </c>
      <c r="IV107" s="5" t="str">
        <f t="shared" si="658"/>
        <v/>
      </c>
      <c r="IW107" s="5" t="str">
        <f t="shared" si="720"/>
        <v/>
      </c>
      <c r="IX107" s="5" t="str">
        <f t="shared" si="659"/>
        <v/>
      </c>
      <c r="IY107" s="762" t="str">
        <f t="shared" si="660"/>
        <v/>
      </c>
    </row>
    <row r="108" spans="1:259" ht="15" customHeight="1" x14ac:dyDescent="0.25">
      <c r="A108" s="79"/>
      <c r="B108" s="707">
        <v>-3.4182353928026417</v>
      </c>
      <c r="C108" s="708">
        <v>2.4027333065978365</v>
      </c>
      <c r="D108" s="709">
        <v>-8.6300260281584912E-2</v>
      </c>
      <c r="E108" s="710">
        <v>-0.59402766081741776</v>
      </c>
      <c r="F108" s="708">
        <v>-0.73051413972219792</v>
      </c>
      <c r="G108" s="711">
        <v>0.33686826779874085</v>
      </c>
      <c r="H108" s="710">
        <v>0.314</v>
      </c>
      <c r="I108" s="708">
        <v>0.52</v>
      </c>
      <c r="J108" s="570">
        <v>6.1219999999999999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5"/>
        <v>6.1219999999999999</v>
      </c>
      <c r="N108" s="632">
        <f t="shared" si="666"/>
        <v>-3.4182353928026417</v>
      </c>
      <c r="O108" s="629">
        <f t="shared" si="667"/>
        <v>2.4027333065978365</v>
      </c>
      <c r="P108" s="633">
        <f t="shared" si="668"/>
        <v>-8.6300260281584912E-2</v>
      </c>
      <c r="Q108" s="585">
        <f t="shared" si="523"/>
        <v>144.89599207399937</v>
      </c>
      <c r="R108" s="629">
        <f t="shared" si="721"/>
        <v>4.1782126014892063</v>
      </c>
      <c r="S108" s="634">
        <f t="shared" si="722"/>
        <v>-8.6300260281584912E-2</v>
      </c>
      <c r="T108" s="635">
        <f t="shared" si="723"/>
        <v>2.4027333065978373</v>
      </c>
      <c r="U108" s="629">
        <f t="shared" si="724"/>
        <v>3.4182353928026408</v>
      </c>
      <c r="V108" s="636">
        <f t="shared" si="725"/>
        <v>-8.6300260281584912E-2</v>
      </c>
      <c r="W108" s="585">
        <f t="shared" si="648"/>
        <v>54.895992073999366</v>
      </c>
      <c r="X108" s="629">
        <f t="shared" si="726"/>
        <v>4.1782126014892063</v>
      </c>
      <c r="Y108" s="630">
        <f t="shared" si="647"/>
        <v>-8.6300260281584912E-2</v>
      </c>
      <c r="Z108" s="632">
        <f t="shared" si="669"/>
        <v>0.59402766081741776</v>
      </c>
      <c r="AA108" s="629">
        <f t="shared" si="670"/>
        <v>0.73051413972219792</v>
      </c>
      <c r="AB108" s="629">
        <f t="shared" si="671"/>
        <v>-0.33686826779874085</v>
      </c>
      <c r="AC108" s="636">
        <f t="shared" si="727"/>
        <v>1</v>
      </c>
      <c r="AD108" s="637">
        <f t="shared" si="728"/>
        <v>0.59402766081741776</v>
      </c>
      <c r="AE108" s="629">
        <f t="shared" si="729"/>
        <v>0.73051413972219792</v>
      </c>
      <c r="AF108" s="633">
        <f t="shared" si="730"/>
        <v>-0.33686826779874085</v>
      </c>
      <c r="AG108" s="602">
        <f t="shared" si="731"/>
        <v>65.243749388787705</v>
      </c>
      <c r="AH108" s="603">
        <f t="shared" si="732"/>
        <v>53.556652757187074</v>
      </c>
      <c r="AI108" s="585">
        <f t="shared" si="733"/>
        <v>-70.313813542698597</v>
      </c>
      <c r="AJ108" s="586">
        <f t="shared" si="734"/>
        <v>140.88323897197438</v>
      </c>
      <c r="AK108" s="635">
        <f t="shared" si="735"/>
        <v>0.93924357310800211</v>
      </c>
      <c r="AL108" s="629">
        <f t="shared" si="736"/>
        <v>-6.5888394468138656E-2</v>
      </c>
      <c r="AM108" s="634">
        <f t="shared" si="737"/>
        <v>-0.33686826779874085</v>
      </c>
      <c r="AN108" s="581">
        <f t="shared" si="738"/>
        <v>-11.066825626043236</v>
      </c>
      <c r="AO108" s="582">
        <f t="shared" si="463"/>
        <v>20.075090039957292</v>
      </c>
      <c r="AP108" s="585">
        <f t="shared" si="739"/>
        <v>-4.0127531020249725</v>
      </c>
      <c r="AQ108" s="586">
        <f t="shared" si="672"/>
        <v>0.54560596604329159</v>
      </c>
      <c r="AS108" s="52">
        <f t="shared" si="742"/>
        <v>-305.10400792600063</v>
      </c>
      <c r="AT108" s="73">
        <f t="shared" si="673"/>
        <v>0.12557752300035999</v>
      </c>
      <c r="AU108" s="469"/>
      <c r="AV108" s="168" t="str">
        <f t="shared" si="674"/>
        <v/>
      </c>
      <c r="AW108" s="418"/>
      <c r="AX108" s="419"/>
      <c r="AY108" s="420"/>
      <c r="AZ108" s="308" t="str">
        <f t="shared" si="547"/>
        <v/>
      </c>
      <c r="BA108" s="307" t="str">
        <f t="shared" si="675"/>
        <v/>
      </c>
      <c r="BB108" s="181" t="str">
        <f t="shared" si="524"/>
        <v/>
      </c>
      <c r="BC108" s="9"/>
      <c r="BD108" s="5" t="str">
        <f t="shared" si="525"/>
        <v/>
      </c>
      <c r="BE108" s="6" t="str">
        <f t="shared" si="676"/>
        <v/>
      </c>
      <c r="BF108" s="4" t="str">
        <f t="shared" si="677"/>
        <v/>
      </c>
      <c r="BG108" s="5" t="str">
        <f t="shared" si="678"/>
        <v/>
      </c>
      <c r="BH108" s="10" t="str">
        <f t="shared" si="679"/>
        <v/>
      </c>
      <c r="BI108" s="9" t="str">
        <f t="shared" si="548"/>
        <v/>
      </c>
      <c r="BJ108" s="5" t="str">
        <f t="shared" si="680"/>
        <v/>
      </c>
      <c r="BK108" s="8" t="str">
        <f t="shared" si="681"/>
        <v/>
      </c>
      <c r="BL108" s="177" t="str">
        <f t="shared" si="682"/>
        <v/>
      </c>
      <c r="BM108" s="5" t="str">
        <f t="shared" si="683"/>
        <v/>
      </c>
      <c r="BN108" s="6" t="str">
        <f t="shared" si="684"/>
        <v/>
      </c>
      <c r="BO108" s="4" t="str">
        <f t="shared" si="549"/>
        <v/>
      </c>
      <c r="BP108" s="5" t="str">
        <f t="shared" si="550"/>
        <v/>
      </c>
      <c r="BQ108" s="5" t="str">
        <f t="shared" si="551"/>
        <v/>
      </c>
      <c r="BR108" s="6" t="str">
        <f t="shared" si="552"/>
        <v/>
      </c>
      <c r="BS108" s="4" t="str">
        <f t="shared" si="740"/>
        <v/>
      </c>
      <c r="BT108" s="5" t="str">
        <f t="shared" si="740"/>
        <v/>
      </c>
      <c r="BU108" s="10" t="str">
        <f t="shared" si="527"/>
        <v/>
      </c>
      <c r="BV108" s="9" t="str">
        <f t="shared" si="528"/>
        <v/>
      </c>
      <c r="BW108" s="5" t="str">
        <f t="shared" si="529"/>
        <v/>
      </c>
      <c r="BX108" s="8" t="str">
        <f t="shared" si="530"/>
        <v/>
      </c>
      <c r="BY108" s="177" t="str">
        <f t="shared" si="531"/>
        <v/>
      </c>
      <c r="BZ108" s="5" t="str">
        <f t="shared" si="532"/>
        <v/>
      </c>
      <c r="CA108" s="6" t="str">
        <f t="shared" si="533"/>
        <v/>
      </c>
      <c r="CB108" s="4" t="str">
        <f t="shared" si="553"/>
        <v/>
      </c>
      <c r="CC108" s="5" t="str">
        <f t="shared" si="554"/>
        <v/>
      </c>
      <c r="CD108" s="5" t="str">
        <f t="shared" si="555"/>
        <v/>
      </c>
      <c r="CE108" s="6" t="str">
        <f t="shared" si="556"/>
        <v/>
      </c>
      <c r="CF108" s="4" t="str">
        <f t="shared" si="557"/>
        <v/>
      </c>
      <c r="CG108" s="5" t="str">
        <f t="shared" si="558"/>
        <v/>
      </c>
      <c r="CH108" s="5" t="str">
        <f t="shared" si="559"/>
        <v/>
      </c>
      <c r="CI108" s="4" t="str">
        <f t="shared" si="534"/>
        <v/>
      </c>
      <c r="CJ108" s="5" t="str">
        <f t="shared" si="535"/>
        <v/>
      </c>
      <c r="CK108" s="8" t="str">
        <f t="shared" si="536"/>
        <v/>
      </c>
      <c r="CL108" s="177" t="str">
        <f t="shared" si="537"/>
        <v/>
      </c>
      <c r="CM108" s="5" t="str">
        <f t="shared" si="538"/>
        <v/>
      </c>
      <c r="CN108" s="6" t="str">
        <f t="shared" si="539"/>
        <v/>
      </c>
      <c r="CO108" s="171" t="str">
        <f t="shared" si="685"/>
        <v/>
      </c>
      <c r="CP108" s="4" t="str">
        <f t="shared" si="560"/>
        <v/>
      </c>
      <c r="CQ108" s="5" t="str">
        <f t="shared" si="561"/>
        <v/>
      </c>
      <c r="CR108" s="5" t="str">
        <f t="shared" si="562"/>
        <v/>
      </c>
      <c r="CS108" s="8" t="str">
        <f t="shared" si="563"/>
        <v/>
      </c>
      <c r="CT108" s="9" t="str">
        <f t="shared" si="564"/>
        <v/>
      </c>
      <c r="CU108" s="6" t="str">
        <f t="shared" si="565"/>
        <v/>
      </c>
      <c r="CV108" s="4" t="str">
        <f t="shared" si="566"/>
        <v/>
      </c>
      <c r="CW108" s="5" t="str">
        <f t="shared" si="567"/>
        <v/>
      </c>
      <c r="CX108" s="8" t="str">
        <f t="shared" si="568"/>
        <v/>
      </c>
      <c r="CY108" s="9" t="str">
        <f t="shared" si="569"/>
        <v/>
      </c>
      <c r="CZ108" s="5" t="str">
        <f t="shared" si="570"/>
        <v/>
      </c>
      <c r="DA108" s="6" t="str">
        <f t="shared" si="571"/>
        <v/>
      </c>
      <c r="DB108" s="4" t="str">
        <f t="shared" si="743"/>
        <v/>
      </c>
      <c r="DC108" s="5" t="str">
        <f t="shared" si="743"/>
        <v/>
      </c>
      <c r="DD108" s="10" t="str">
        <f t="shared" si="573"/>
        <v/>
      </c>
      <c r="DE108" s="9" t="str">
        <f t="shared" si="744"/>
        <v/>
      </c>
      <c r="DF108" s="5" t="str">
        <f t="shared" si="744"/>
        <v/>
      </c>
      <c r="DG108" s="10" t="str">
        <f t="shared" si="575"/>
        <v/>
      </c>
      <c r="DH108" s="72" t="str">
        <f t="shared" si="576"/>
        <v/>
      </c>
      <c r="DI108" s="4" t="str">
        <f t="shared" si="577"/>
        <v/>
      </c>
      <c r="DJ108" s="5" t="str">
        <f t="shared" si="578"/>
        <v/>
      </c>
      <c r="DK108" s="10" t="str">
        <f t="shared" si="579"/>
        <v/>
      </c>
      <c r="DL108" s="9" t="str">
        <f t="shared" si="580"/>
        <v/>
      </c>
      <c r="DM108" s="177" t="str">
        <f t="shared" si="581"/>
        <v/>
      </c>
      <c r="DN108" s="182" t="str">
        <f t="shared" si="582"/>
        <v/>
      </c>
      <c r="DO108" s="9" t="str">
        <f t="shared" si="583"/>
        <v/>
      </c>
      <c r="DP108" s="177" t="str">
        <f t="shared" si="584"/>
        <v/>
      </c>
      <c r="DQ108" s="11" t="str">
        <f t="shared" si="585"/>
        <v/>
      </c>
      <c r="DR108" s="177" t="str">
        <f t="shared" si="586"/>
        <v/>
      </c>
      <c r="DS108" s="5" t="str">
        <f t="shared" si="587"/>
        <v/>
      </c>
      <c r="DT108" s="5" t="str">
        <f t="shared" si="588"/>
        <v/>
      </c>
      <c r="DU108" s="5" t="str">
        <f t="shared" si="589"/>
        <v/>
      </c>
      <c r="DV108" s="5" t="str">
        <f t="shared" si="590"/>
        <v/>
      </c>
      <c r="DW108" s="5" t="str">
        <f t="shared" si="591"/>
        <v/>
      </c>
      <c r="DX108" s="171" t="str">
        <f t="shared" si="592"/>
        <v/>
      </c>
      <c r="DY108" s="9" t="str">
        <f t="shared" si="593"/>
        <v/>
      </c>
      <c r="DZ108" s="5" t="str">
        <f t="shared" si="594"/>
        <v/>
      </c>
      <c r="EA108" s="10" t="str">
        <f t="shared" si="595"/>
        <v/>
      </c>
      <c r="EB108" s="6" t="str">
        <f t="shared" si="596"/>
        <v/>
      </c>
      <c r="EC108" s="177" t="str">
        <f t="shared" si="597"/>
        <v/>
      </c>
      <c r="ED108" s="5" t="str">
        <f t="shared" si="598"/>
        <v/>
      </c>
      <c r="EE108" s="4" t="str">
        <f t="shared" si="599"/>
        <v/>
      </c>
      <c r="EF108" s="5" t="str">
        <f t="shared" si="600"/>
        <v/>
      </c>
      <c r="EG108" s="10" t="str">
        <f t="shared" si="601"/>
        <v/>
      </c>
      <c r="EH108" s="9" t="str">
        <f t="shared" si="602"/>
        <v/>
      </c>
      <c r="EI108" s="5" t="str">
        <f t="shared" si="603"/>
        <v/>
      </c>
      <c r="EJ108" s="6" t="str">
        <f t="shared" si="604"/>
        <v/>
      </c>
      <c r="EK108" s="247" t="str">
        <f t="shared" si="605"/>
        <v/>
      </c>
      <c r="EL108" s="249" t="str">
        <f t="shared" si="606"/>
        <v/>
      </c>
      <c r="EM108" s="4" t="str">
        <f t="shared" si="607"/>
        <v/>
      </c>
      <c r="EN108" s="5" t="str">
        <f t="shared" si="608"/>
        <v/>
      </c>
      <c r="EO108" s="10" t="str">
        <f t="shared" si="609"/>
        <v/>
      </c>
      <c r="EP108" s="9" t="str">
        <f t="shared" si="610"/>
        <v/>
      </c>
      <c r="EQ108" s="5" t="str">
        <f t="shared" si="611"/>
        <v/>
      </c>
      <c r="ER108" s="7" t="str">
        <f t="shared" si="612"/>
        <v/>
      </c>
      <c r="ES108" s="21" t="str">
        <f t="shared" si="686"/>
        <v/>
      </c>
      <c r="ET108" s="5" t="str">
        <f t="shared" si="687"/>
        <v/>
      </c>
      <c r="EU108" s="10" t="str">
        <f t="shared" si="688"/>
        <v/>
      </c>
      <c r="EV108" s="178" t="str">
        <f t="shared" si="689"/>
        <v/>
      </c>
      <c r="EW108" s="9" t="str">
        <f t="shared" si="690"/>
        <v/>
      </c>
      <c r="EX108" s="5" t="str">
        <f t="shared" si="691"/>
        <v/>
      </c>
      <c r="EY108" s="6" t="str">
        <f t="shared" si="613"/>
        <v/>
      </c>
      <c r="EZ108" s="52" t="str">
        <f t="shared" si="614"/>
        <v/>
      </c>
      <c r="FA108" s="177" t="str">
        <f t="shared" si="692"/>
        <v/>
      </c>
      <c r="FB108" s="5" t="str">
        <f t="shared" si="693"/>
        <v/>
      </c>
      <c r="FC108" s="6" t="str">
        <f t="shared" si="694"/>
        <v/>
      </c>
      <c r="FD108" s="4" t="str">
        <f t="shared" si="695"/>
        <v/>
      </c>
      <c r="FE108" s="5" t="str">
        <f t="shared" si="696"/>
        <v/>
      </c>
      <c r="FF108" s="7" t="str">
        <f t="shared" si="615"/>
        <v/>
      </c>
      <c r="FG108" s="177" t="str">
        <f t="shared" si="697"/>
        <v/>
      </c>
      <c r="FH108" s="5" t="str">
        <f t="shared" si="698"/>
        <v/>
      </c>
      <c r="FI108" s="10" t="str">
        <f t="shared" si="699"/>
        <v/>
      </c>
      <c r="FJ108" s="290" t="str">
        <f t="shared" si="616"/>
        <v/>
      </c>
      <c r="FK108" s="4" t="str">
        <f t="shared" si="700"/>
        <v/>
      </c>
      <c r="FL108" s="5" t="str">
        <f t="shared" si="540"/>
        <v/>
      </c>
      <c r="FM108" s="8" t="str">
        <f t="shared" si="541"/>
        <v/>
      </c>
      <c r="FN108" s="9" t="str">
        <f t="shared" si="542"/>
        <v/>
      </c>
      <c r="FO108" s="10" t="str">
        <f t="shared" si="701"/>
        <v/>
      </c>
      <c r="FP108" s="288" t="str">
        <f t="shared" si="543"/>
        <v/>
      </c>
      <c r="FQ108" s="177" t="str">
        <f t="shared" si="617"/>
        <v/>
      </c>
      <c r="FR108" s="10" t="str">
        <f t="shared" si="618"/>
        <v/>
      </c>
      <c r="FS108" s="9" t="str">
        <f t="shared" si="619"/>
        <v/>
      </c>
      <c r="FT108" s="6" t="str">
        <f t="shared" si="620"/>
        <v/>
      </c>
      <c r="FU108" s="4" t="str">
        <f t="shared" si="621"/>
        <v/>
      </c>
      <c r="FV108" s="5" t="str">
        <f t="shared" si="622"/>
        <v/>
      </c>
      <c r="FW108" s="8" t="str">
        <f t="shared" si="623"/>
        <v/>
      </c>
      <c r="FX108" s="9" t="str">
        <f t="shared" si="624"/>
        <v/>
      </c>
      <c r="FY108" s="10" t="str">
        <f t="shared" si="702"/>
        <v/>
      </c>
      <c r="FZ108" s="288" t="str">
        <f t="shared" si="625"/>
        <v/>
      </c>
      <c r="GA108" s="181" t="str">
        <f t="shared" si="626"/>
        <v/>
      </c>
      <c r="GB108" s="4" t="str">
        <f t="shared" si="627"/>
        <v/>
      </c>
      <c r="GC108" s="5" t="str">
        <f t="shared" si="628"/>
        <v/>
      </c>
      <c r="GD108" s="10" t="str">
        <f t="shared" si="629"/>
        <v/>
      </c>
      <c r="GE108" s="324" t="str">
        <f t="shared" si="630"/>
        <v/>
      </c>
      <c r="GF108" s="362" t="str">
        <f t="shared" si="631"/>
        <v/>
      </c>
      <c r="GG108" s="296" t="str">
        <f t="shared" si="703"/>
        <v/>
      </c>
      <c r="GH108" s="297" t="str">
        <f t="shared" si="704"/>
        <v/>
      </c>
      <c r="GI108" s="292" t="str">
        <f t="shared" si="705"/>
        <v/>
      </c>
      <c r="GJ108" s="171" t="str">
        <f t="shared" si="632"/>
        <v/>
      </c>
      <c r="GK108" s="178" t="str">
        <f t="shared" si="706"/>
        <v/>
      </c>
      <c r="GL108" s="178" t="str">
        <f t="shared" si="633"/>
        <v/>
      </c>
      <c r="GM108" s="181" t="str">
        <f t="shared" si="634"/>
        <v/>
      </c>
      <c r="GN108" s="291" t="str">
        <f t="shared" si="635"/>
        <v/>
      </c>
      <c r="GO108" s="4" t="str">
        <f t="shared" si="636"/>
        <v/>
      </c>
      <c r="GP108" s="8" t="str">
        <f t="shared" si="637"/>
        <v/>
      </c>
      <c r="GQ108" s="181" t="str">
        <f t="shared" si="638"/>
        <v/>
      </c>
      <c r="GR108" s="417" t="str">
        <f t="shared" si="639"/>
        <v/>
      </c>
      <c r="GS108" s="363" t="str">
        <f t="shared" si="707"/>
        <v/>
      </c>
      <c r="GT108" s="364" t="str">
        <f t="shared" si="708"/>
        <v/>
      </c>
      <c r="GU108" s="365" t="str">
        <f t="shared" si="709"/>
        <v/>
      </c>
      <c r="GV108" s="364" t="str">
        <f t="shared" si="640"/>
        <v/>
      </c>
      <c r="GW108" s="366" t="str">
        <f t="shared" si="710"/>
        <v/>
      </c>
      <c r="GX108" s="367" t="str">
        <f t="shared" si="711"/>
        <v/>
      </c>
      <c r="GY108" s="365" t="str">
        <f t="shared" si="712"/>
        <v/>
      </c>
      <c r="GZ108" s="366" t="str">
        <f t="shared" si="713"/>
        <v/>
      </c>
      <c r="HA108" s="363" t="str">
        <f t="shared" si="714"/>
        <v/>
      </c>
      <c r="HB108" s="5" t="str">
        <f t="shared" si="641"/>
        <v/>
      </c>
      <c r="HC108" s="364" t="str">
        <f t="shared" si="642"/>
        <v/>
      </c>
      <c r="HD108" s="405" t="str">
        <f t="shared" si="643"/>
        <v/>
      </c>
      <c r="HE108" s="365" t="str">
        <f t="shared" si="715"/>
        <v/>
      </c>
      <c r="HF108" s="5" t="str">
        <f t="shared" si="716"/>
        <v/>
      </c>
      <c r="HG108" s="364" t="str">
        <f t="shared" si="644"/>
        <v/>
      </c>
      <c r="HH108" s="370" t="str">
        <f t="shared" si="645"/>
        <v/>
      </c>
      <c r="HI108" s="335" t="str">
        <f t="shared" si="717"/>
        <v/>
      </c>
      <c r="HK108" s="323" t="str">
        <f t="shared" si="664"/>
        <v/>
      </c>
      <c r="HL108" s="322" t="str">
        <f t="shared" si="741"/>
        <v/>
      </c>
      <c r="HM108" s="369" t="str">
        <f t="shared" si="662"/>
        <v/>
      </c>
      <c r="HN108" s="384" t="str">
        <f t="shared" si="662"/>
        <v/>
      </c>
      <c r="HO108" s="385" t="str">
        <f t="shared" si="662"/>
        <v/>
      </c>
      <c r="HP108" s="380" t="str">
        <f t="shared" si="662"/>
        <v/>
      </c>
      <c r="HQ108" s="384" t="str">
        <f t="shared" si="662"/>
        <v/>
      </c>
      <c r="HR108" s="395" t="str">
        <f t="shared" si="662"/>
        <v/>
      </c>
      <c r="HS108" s="379" t="str">
        <f t="shared" si="662"/>
        <v/>
      </c>
      <c r="HT108" s="374" t="str">
        <f t="shared" si="662"/>
        <v/>
      </c>
      <c r="HU108" s="375" t="str">
        <f t="shared" si="662"/>
        <v/>
      </c>
      <c r="HV108" s="376" t="str">
        <f t="shared" si="662"/>
        <v/>
      </c>
      <c r="HW108" s="374" t="str">
        <f t="shared" si="662"/>
        <v/>
      </c>
      <c r="HX108" s="375" t="str">
        <f t="shared" si="662"/>
        <v/>
      </c>
      <c r="HY108" s="376" t="str">
        <f t="shared" si="662"/>
        <v/>
      </c>
      <c r="HZ108" s="374" t="str">
        <f t="shared" si="662"/>
        <v/>
      </c>
      <c r="IA108" s="375" t="str">
        <f t="shared" si="662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6"/>
        <v>6.1219999999999999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5"/>
        <v>1613</v>
      </c>
      <c r="IK108" s="533" t="str">
        <f t="shared" si="718"/>
        <v/>
      </c>
      <c r="IL108" s="727" t="str">
        <f t="shared" si="651"/>
        <v/>
      </c>
      <c r="IM108" s="759"/>
      <c r="IN108" s="5" t="str">
        <f t="shared" si="652"/>
        <v/>
      </c>
      <c r="IO108" s="771"/>
      <c r="IP108" s="9" t="str">
        <f t="shared" si="653"/>
        <v/>
      </c>
      <c r="IQ108" s="5" t="str">
        <f t="shared" si="654"/>
        <v/>
      </c>
      <c r="IR108" s="5" t="str">
        <f t="shared" si="719"/>
        <v/>
      </c>
      <c r="IS108" s="5" t="str">
        <f t="shared" si="655"/>
        <v/>
      </c>
      <c r="IT108" s="727" t="str">
        <f t="shared" si="656"/>
        <v/>
      </c>
      <c r="IU108" s="9" t="str">
        <f t="shared" si="657"/>
        <v/>
      </c>
      <c r="IV108" s="5" t="str">
        <f t="shared" si="658"/>
        <v/>
      </c>
      <c r="IW108" s="5" t="str">
        <f t="shared" si="720"/>
        <v/>
      </c>
      <c r="IX108" s="5" t="str">
        <f t="shared" si="659"/>
        <v/>
      </c>
      <c r="IY108" s="762" t="str">
        <f t="shared" si="660"/>
        <v/>
      </c>
    </row>
    <row r="109" spans="1:259" ht="15" customHeight="1" x14ac:dyDescent="0.25">
      <c r="A109" s="79"/>
      <c r="B109" s="707">
        <v>-4.0026521498742857</v>
      </c>
      <c r="C109" s="708">
        <v>2.8611721019029401</v>
      </c>
      <c r="D109" s="709">
        <v>-0.2856008613721977</v>
      </c>
      <c r="E109" s="710">
        <v>-0.68110373178065764</v>
      </c>
      <c r="F109" s="708">
        <v>-0.66473159281096028</v>
      </c>
      <c r="G109" s="711">
        <v>0.30696842846368699</v>
      </c>
      <c r="H109" s="710">
        <v>0.314</v>
      </c>
      <c r="I109" s="708">
        <v>0.52</v>
      </c>
      <c r="J109" s="570">
        <v>6.1280000000000001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5"/>
        <v>6.1280000000000001</v>
      </c>
      <c r="N109" s="632">
        <f t="shared" si="666"/>
        <v>-4.0026521498742857</v>
      </c>
      <c r="O109" s="629">
        <f t="shared" si="667"/>
        <v>2.8611721019029401</v>
      </c>
      <c r="P109" s="633">
        <f t="shared" si="668"/>
        <v>-0.2856008613721977</v>
      </c>
      <c r="Q109" s="585">
        <f t="shared" si="523"/>
        <v>144.44209213953445</v>
      </c>
      <c r="R109" s="629">
        <f t="shared" si="721"/>
        <v>4.9201148390663541</v>
      </c>
      <c r="S109" s="634">
        <f t="shared" si="722"/>
        <v>-0.2856008613721977</v>
      </c>
      <c r="T109" s="635">
        <f t="shared" si="723"/>
        <v>2.8611721019029392</v>
      </c>
      <c r="U109" s="629">
        <f t="shared" si="724"/>
        <v>4.0026521498742866</v>
      </c>
      <c r="V109" s="636">
        <f t="shared" si="725"/>
        <v>-0.2856008613721977</v>
      </c>
      <c r="W109" s="585">
        <f t="shared" si="648"/>
        <v>54.442092139534452</v>
      </c>
      <c r="X109" s="629">
        <f t="shared" si="726"/>
        <v>4.9201148390663541</v>
      </c>
      <c r="Y109" s="630">
        <f t="shared" si="647"/>
        <v>-0.2856008613721977</v>
      </c>
      <c r="Z109" s="632">
        <f t="shared" si="669"/>
        <v>0.68110373178065764</v>
      </c>
      <c r="AA109" s="629">
        <f t="shared" si="670"/>
        <v>0.66473159281096028</v>
      </c>
      <c r="AB109" s="629">
        <f t="shared" si="671"/>
        <v>-0.30696842846368699</v>
      </c>
      <c r="AC109" s="636">
        <f t="shared" si="727"/>
        <v>1</v>
      </c>
      <c r="AD109" s="637">
        <f t="shared" si="728"/>
        <v>0.68110373178065764</v>
      </c>
      <c r="AE109" s="629">
        <f t="shared" si="729"/>
        <v>0.66473159281096028</v>
      </c>
      <c r="AF109" s="633">
        <f t="shared" si="730"/>
        <v>-0.30696842846368699</v>
      </c>
      <c r="AG109" s="602">
        <f t="shared" si="731"/>
        <v>65.212835430006564</v>
      </c>
      <c r="AH109" s="603">
        <f t="shared" si="732"/>
        <v>47.070047140673815</v>
      </c>
      <c r="AI109" s="585">
        <f t="shared" si="733"/>
        <v>-72.123371455377807</v>
      </c>
      <c r="AJ109" s="586">
        <f t="shared" si="734"/>
        <v>134.30302899776839</v>
      </c>
      <c r="AK109" s="635">
        <f t="shared" si="735"/>
        <v>0.93685706242613676</v>
      </c>
      <c r="AL109" s="629">
        <f t="shared" si="736"/>
        <v>-0.16753873733797786</v>
      </c>
      <c r="AM109" s="634">
        <f t="shared" si="737"/>
        <v>-0.30696842846368699</v>
      </c>
      <c r="AN109" s="581">
        <f t="shared" si="738"/>
        <v>-28.625046020196134</v>
      </c>
      <c r="AO109" s="582">
        <f t="shared" si="463"/>
        <v>20.469732386209177</v>
      </c>
      <c r="AP109" s="585">
        <f t="shared" si="739"/>
        <v>-10.139063141766037</v>
      </c>
      <c r="AQ109" s="586">
        <f t="shared" si="672"/>
        <v>0.4633381559858063</v>
      </c>
      <c r="AS109" s="52">
        <f t="shared" si="742"/>
        <v>-305.55790786046555</v>
      </c>
      <c r="AT109" s="73">
        <f t="shared" si="673"/>
        <v>-7.3407869802429943E-2</v>
      </c>
      <c r="AU109" s="469"/>
      <c r="AV109" s="168" t="str">
        <f t="shared" si="674"/>
        <v/>
      </c>
      <c r="AW109" s="418"/>
      <c r="AX109" s="419"/>
      <c r="AY109" s="420"/>
      <c r="AZ109" s="308" t="str">
        <f t="shared" si="547"/>
        <v/>
      </c>
      <c r="BA109" s="307" t="str">
        <f t="shared" si="675"/>
        <v/>
      </c>
      <c r="BB109" s="181" t="str">
        <f t="shared" si="524"/>
        <v/>
      </c>
      <c r="BC109" s="9"/>
      <c r="BD109" s="5" t="str">
        <f t="shared" si="525"/>
        <v/>
      </c>
      <c r="BE109" s="6" t="str">
        <f t="shared" si="676"/>
        <v/>
      </c>
      <c r="BF109" s="4" t="str">
        <f t="shared" si="677"/>
        <v/>
      </c>
      <c r="BG109" s="5" t="str">
        <f t="shared" si="678"/>
        <v/>
      </c>
      <c r="BH109" s="10" t="str">
        <f t="shared" si="679"/>
        <v/>
      </c>
      <c r="BI109" s="9" t="str">
        <f t="shared" si="548"/>
        <v/>
      </c>
      <c r="BJ109" s="5" t="str">
        <f t="shared" si="680"/>
        <v/>
      </c>
      <c r="BK109" s="8" t="str">
        <f t="shared" si="681"/>
        <v/>
      </c>
      <c r="BL109" s="177" t="str">
        <f t="shared" si="682"/>
        <v/>
      </c>
      <c r="BM109" s="5" t="str">
        <f t="shared" si="683"/>
        <v/>
      </c>
      <c r="BN109" s="6" t="str">
        <f t="shared" si="684"/>
        <v/>
      </c>
      <c r="BO109" s="4" t="str">
        <f t="shared" si="549"/>
        <v/>
      </c>
      <c r="BP109" s="5" t="str">
        <f t="shared" si="550"/>
        <v/>
      </c>
      <c r="BQ109" s="5" t="str">
        <f t="shared" si="551"/>
        <v/>
      </c>
      <c r="BR109" s="6" t="str">
        <f t="shared" si="552"/>
        <v/>
      </c>
      <c r="BS109" s="4" t="str">
        <f t="shared" si="740"/>
        <v/>
      </c>
      <c r="BT109" s="5" t="str">
        <f t="shared" si="740"/>
        <v/>
      </c>
      <c r="BU109" s="10" t="str">
        <f t="shared" si="527"/>
        <v/>
      </c>
      <c r="BV109" s="9" t="str">
        <f t="shared" si="528"/>
        <v/>
      </c>
      <c r="BW109" s="5" t="str">
        <f t="shared" si="529"/>
        <v/>
      </c>
      <c r="BX109" s="8" t="str">
        <f t="shared" si="530"/>
        <v/>
      </c>
      <c r="BY109" s="177" t="str">
        <f t="shared" si="531"/>
        <v/>
      </c>
      <c r="BZ109" s="5" t="str">
        <f t="shared" si="532"/>
        <v/>
      </c>
      <c r="CA109" s="6" t="str">
        <f t="shared" si="533"/>
        <v/>
      </c>
      <c r="CB109" s="4" t="str">
        <f t="shared" si="553"/>
        <v/>
      </c>
      <c r="CC109" s="5" t="str">
        <f t="shared" si="554"/>
        <v/>
      </c>
      <c r="CD109" s="5" t="str">
        <f t="shared" si="555"/>
        <v/>
      </c>
      <c r="CE109" s="6" t="str">
        <f t="shared" si="556"/>
        <v/>
      </c>
      <c r="CF109" s="4" t="str">
        <f t="shared" si="557"/>
        <v/>
      </c>
      <c r="CG109" s="5" t="str">
        <f t="shared" si="558"/>
        <v/>
      </c>
      <c r="CH109" s="5" t="str">
        <f t="shared" si="559"/>
        <v/>
      </c>
      <c r="CI109" s="4" t="str">
        <f t="shared" si="534"/>
        <v/>
      </c>
      <c r="CJ109" s="5" t="str">
        <f t="shared" si="535"/>
        <v/>
      </c>
      <c r="CK109" s="8" t="str">
        <f t="shared" si="536"/>
        <v/>
      </c>
      <c r="CL109" s="177" t="str">
        <f t="shared" si="537"/>
        <v/>
      </c>
      <c r="CM109" s="5" t="str">
        <f t="shared" si="538"/>
        <v/>
      </c>
      <c r="CN109" s="6" t="str">
        <f t="shared" si="539"/>
        <v/>
      </c>
      <c r="CO109" s="171" t="str">
        <f t="shared" si="685"/>
        <v/>
      </c>
      <c r="CP109" s="4" t="str">
        <f t="shared" si="560"/>
        <v/>
      </c>
      <c r="CQ109" s="5" t="str">
        <f t="shared" si="561"/>
        <v/>
      </c>
      <c r="CR109" s="5" t="str">
        <f t="shared" si="562"/>
        <v/>
      </c>
      <c r="CS109" s="8" t="str">
        <f t="shared" si="563"/>
        <v/>
      </c>
      <c r="CT109" s="9" t="str">
        <f t="shared" si="564"/>
        <v/>
      </c>
      <c r="CU109" s="6" t="str">
        <f t="shared" si="565"/>
        <v/>
      </c>
      <c r="CV109" s="4" t="str">
        <f t="shared" si="566"/>
        <v/>
      </c>
      <c r="CW109" s="5" t="str">
        <f t="shared" si="567"/>
        <v/>
      </c>
      <c r="CX109" s="8" t="str">
        <f t="shared" si="568"/>
        <v/>
      </c>
      <c r="CY109" s="9" t="str">
        <f t="shared" si="569"/>
        <v/>
      </c>
      <c r="CZ109" s="5" t="str">
        <f t="shared" si="570"/>
        <v/>
      </c>
      <c r="DA109" s="6" t="str">
        <f t="shared" si="571"/>
        <v/>
      </c>
      <c r="DB109" s="4" t="str">
        <f t="shared" si="743"/>
        <v/>
      </c>
      <c r="DC109" s="5" t="str">
        <f t="shared" si="743"/>
        <v/>
      </c>
      <c r="DD109" s="10" t="str">
        <f t="shared" si="573"/>
        <v/>
      </c>
      <c r="DE109" s="9" t="str">
        <f t="shared" si="744"/>
        <v/>
      </c>
      <c r="DF109" s="5" t="str">
        <f t="shared" si="744"/>
        <v/>
      </c>
      <c r="DG109" s="10" t="str">
        <f t="shared" si="575"/>
        <v/>
      </c>
      <c r="DH109" s="72" t="str">
        <f t="shared" si="576"/>
        <v/>
      </c>
      <c r="DI109" s="4" t="str">
        <f t="shared" si="577"/>
        <v/>
      </c>
      <c r="DJ109" s="5" t="str">
        <f t="shared" si="578"/>
        <v/>
      </c>
      <c r="DK109" s="10" t="str">
        <f t="shared" si="579"/>
        <v/>
      </c>
      <c r="DL109" s="9" t="str">
        <f t="shared" si="580"/>
        <v/>
      </c>
      <c r="DM109" s="177" t="str">
        <f t="shared" si="581"/>
        <v/>
      </c>
      <c r="DN109" s="182" t="str">
        <f t="shared" si="582"/>
        <v/>
      </c>
      <c r="DO109" s="9" t="str">
        <f t="shared" si="583"/>
        <v/>
      </c>
      <c r="DP109" s="177" t="str">
        <f t="shared" si="584"/>
        <v/>
      </c>
      <c r="DQ109" s="11" t="str">
        <f t="shared" si="585"/>
        <v/>
      </c>
      <c r="DR109" s="177" t="str">
        <f t="shared" si="586"/>
        <v/>
      </c>
      <c r="DS109" s="5" t="str">
        <f t="shared" si="587"/>
        <v/>
      </c>
      <c r="DT109" s="5" t="str">
        <f t="shared" si="588"/>
        <v/>
      </c>
      <c r="DU109" s="5" t="str">
        <f t="shared" si="589"/>
        <v/>
      </c>
      <c r="DV109" s="5" t="str">
        <f t="shared" si="590"/>
        <v/>
      </c>
      <c r="DW109" s="5" t="str">
        <f t="shared" si="591"/>
        <v/>
      </c>
      <c r="DX109" s="171" t="str">
        <f t="shared" si="592"/>
        <v/>
      </c>
      <c r="DY109" s="9" t="str">
        <f t="shared" si="593"/>
        <v/>
      </c>
      <c r="DZ109" s="5" t="str">
        <f t="shared" si="594"/>
        <v/>
      </c>
      <c r="EA109" s="10" t="str">
        <f t="shared" si="595"/>
        <v/>
      </c>
      <c r="EB109" s="6" t="str">
        <f t="shared" si="596"/>
        <v/>
      </c>
      <c r="EC109" s="177" t="str">
        <f t="shared" si="597"/>
        <v/>
      </c>
      <c r="ED109" s="5" t="str">
        <f t="shared" si="598"/>
        <v/>
      </c>
      <c r="EE109" s="4" t="str">
        <f t="shared" si="599"/>
        <v/>
      </c>
      <c r="EF109" s="5" t="str">
        <f t="shared" si="600"/>
        <v/>
      </c>
      <c r="EG109" s="10" t="str">
        <f t="shared" si="601"/>
        <v/>
      </c>
      <c r="EH109" s="9" t="str">
        <f t="shared" si="602"/>
        <v/>
      </c>
      <c r="EI109" s="5" t="str">
        <f t="shared" si="603"/>
        <v/>
      </c>
      <c r="EJ109" s="6" t="str">
        <f t="shared" si="604"/>
        <v/>
      </c>
      <c r="EK109" s="247" t="str">
        <f t="shared" si="605"/>
        <v/>
      </c>
      <c r="EL109" s="249" t="str">
        <f t="shared" si="606"/>
        <v/>
      </c>
      <c r="EM109" s="4" t="str">
        <f t="shared" si="607"/>
        <v/>
      </c>
      <c r="EN109" s="5" t="str">
        <f t="shared" si="608"/>
        <v/>
      </c>
      <c r="EO109" s="10" t="str">
        <f t="shared" si="609"/>
        <v/>
      </c>
      <c r="EP109" s="9" t="str">
        <f t="shared" si="610"/>
        <v/>
      </c>
      <c r="EQ109" s="5" t="str">
        <f t="shared" si="611"/>
        <v/>
      </c>
      <c r="ER109" s="7" t="str">
        <f t="shared" si="612"/>
        <v/>
      </c>
      <c r="ES109" s="21" t="str">
        <f t="shared" si="686"/>
        <v/>
      </c>
      <c r="ET109" s="5" t="str">
        <f t="shared" si="687"/>
        <v/>
      </c>
      <c r="EU109" s="10" t="str">
        <f t="shared" si="688"/>
        <v/>
      </c>
      <c r="EV109" s="178" t="str">
        <f t="shared" si="689"/>
        <v/>
      </c>
      <c r="EW109" s="9" t="str">
        <f t="shared" si="690"/>
        <v/>
      </c>
      <c r="EX109" s="5" t="str">
        <f t="shared" si="691"/>
        <v/>
      </c>
      <c r="EY109" s="6" t="str">
        <f t="shared" si="613"/>
        <v/>
      </c>
      <c r="EZ109" s="52" t="str">
        <f t="shared" si="614"/>
        <v/>
      </c>
      <c r="FA109" s="177" t="str">
        <f t="shared" si="692"/>
        <v/>
      </c>
      <c r="FB109" s="5" t="str">
        <f t="shared" si="693"/>
        <v/>
      </c>
      <c r="FC109" s="6" t="str">
        <f t="shared" si="694"/>
        <v/>
      </c>
      <c r="FD109" s="4" t="str">
        <f t="shared" si="695"/>
        <v/>
      </c>
      <c r="FE109" s="5" t="str">
        <f t="shared" si="696"/>
        <v/>
      </c>
      <c r="FF109" s="7" t="str">
        <f t="shared" si="615"/>
        <v/>
      </c>
      <c r="FG109" s="177" t="str">
        <f t="shared" si="697"/>
        <v/>
      </c>
      <c r="FH109" s="5" t="str">
        <f t="shared" si="698"/>
        <v/>
      </c>
      <c r="FI109" s="10" t="str">
        <f t="shared" si="699"/>
        <v/>
      </c>
      <c r="FJ109" s="290" t="str">
        <f t="shared" si="616"/>
        <v/>
      </c>
      <c r="FK109" s="4" t="str">
        <f t="shared" si="700"/>
        <v/>
      </c>
      <c r="FL109" s="5" t="str">
        <f t="shared" si="540"/>
        <v/>
      </c>
      <c r="FM109" s="8" t="str">
        <f t="shared" si="541"/>
        <v/>
      </c>
      <c r="FN109" s="9" t="str">
        <f t="shared" si="542"/>
        <v/>
      </c>
      <c r="FO109" s="10" t="str">
        <f t="shared" si="701"/>
        <v/>
      </c>
      <c r="FP109" s="288" t="str">
        <f t="shared" si="543"/>
        <v/>
      </c>
      <c r="FQ109" s="177" t="str">
        <f t="shared" si="617"/>
        <v/>
      </c>
      <c r="FR109" s="10" t="str">
        <f t="shared" si="618"/>
        <v/>
      </c>
      <c r="FS109" s="9" t="str">
        <f t="shared" si="619"/>
        <v/>
      </c>
      <c r="FT109" s="6" t="str">
        <f t="shared" si="620"/>
        <v/>
      </c>
      <c r="FU109" s="4" t="str">
        <f t="shared" si="621"/>
        <v/>
      </c>
      <c r="FV109" s="5" t="str">
        <f t="shared" si="622"/>
        <v/>
      </c>
      <c r="FW109" s="8" t="str">
        <f t="shared" si="623"/>
        <v/>
      </c>
      <c r="FX109" s="9" t="str">
        <f t="shared" si="624"/>
        <v/>
      </c>
      <c r="FY109" s="10" t="str">
        <f t="shared" si="702"/>
        <v/>
      </c>
      <c r="FZ109" s="288" t="str">
        <f t="shared" si="625"/>
        <v/>
      </c>
      <c r="GA109" s="181" t="str">
        <f t="shared" si="626"/>
        <v/>
      </c>
      <c r="GB109" s="4" t="str">
        <f t="shared" si="627"/>
        <v/>
      </c>
      <c r="GC109" s="5" t="str">
        <f t="shared" si="628"/>
        <v/>
      </c>
      <c r="GD109" s="10" t="str">
        <f t="shared" si="629"/>
        <v/>
      </c>
      <c r="GE109" s="324" t="str">
        <f t="shared" si="630"/>
        <v/>
      </c>
      <c r="GF109" s="362" t="str">
        <f t="shared" si="631"/>
        <v/>
      </c>
      <c r="GG109" s="296" t="str">
        <f t="shared" si="703"/>
        <v/>
      </c>
      <c r="GH109" s="297" t="str">
        <f t="shared" si="704"/>
        <v/>
      </c>
      <c r="GI109" s="292" t="str">
        <f t="shared" si="705"/>
        <v/>
      </c>
      <c r="GJ109" s="171" t="str">
        <f t="shared" si="632"/>
        <v/>
      </c>
      <c r="GK109" s="178" t="str">
        <f t="shared" si="706"/>
        <v/>
      </c>
      <c r="GL109" s="178" t="str">
        <f t="shared" si="633"/>
        <v/>
      </c>
      <c r="GM109" s="181" t="str">
        <f t="shared" si="634"/>
        <v/>
      </c>
      <c r="GN109" s="291" t="str">
        <f t="shared" si="635"/>
        <v/>
      </c>
      <c r="GO109" s="4" t="str">
        <f t="shared" si="636"/>
        <v/>
      </c>
      <c r="GP109" s="8" t="str">
        <f t="shared" si="637"/>
        <v/>
      </c>
      <c r="GQ109" s="181" t="str">
        <f t="shared" si="638"/>
        <v/>
      </c>
      <c r="GR109" s="417" t="str">
        <f t="shared" si="639"/>
        <v/>
      </c>
      <c r="GS109" s="363" t="str">
        <f t="shared" si="707"/>
        <v/>
      </c>
      <c r="GT109" s="364" t="str">
        <f t="shared" si="708"/>
        <v/>
      </c>
      <c r="GU109" s="365" t="str">
        <f t="shared" si="709"/>
        <v/>
      </c>
      <c r="GV109" s="364" t="str">
        <f t="shared" si="640"/>
        <v/>
      </c>
      <c r="GW109" s="366" t="str">
        <f t="shared" si="710"/>
        <v/>
      </c>
      <c r="GX109" s="367" t="str">
        <f t="shared" si="711"/>
        <v/>
      </c>
      <c r="GY109" s="365" t="str">
        <f t="shared" si="712"/>
        <v/>
      </c>
      <c r="GZ109" s="366" t="str">
        <f t="shared" si="713"/>
        <v/>
      </c>
      <c r="HA109" s="363" t="str">
        <f t="shared" si="714"/>
        <v/>
      </c>
      <c r="HB109" s="5" t="str">
        <f t="shared" si="641"/>
        <v/>
      </c>
      <c r="HC109" s="364" t="str">
        <f t="shared" si="642"/>
        <v/>
      </c>
      <c r="HD109" s="405" t="str">
        <f t="shared" si="643"/>
        <v/>
      </c>
      <c r="HE109" s="365" t="str">
        <f t="shared" si="715"/>
        <v/>
      </c>
      <c r="HF109" s="5" t="str">
        <f t="shared" si="716"/>
        <v/>
      </c>
      <c r="HG109" s="364" t="str">
        <f t="shared" si="644"/>
        <v/>
      </c>
      <c r="HH109" s="370" t="str">
        <f t="shared" si="645"/>
        <v/>
      </c>
      <c r="HI109" s="335" t="str">
        <f t="shared" si="717"/>
        <v/>
      </c>
      <c r="HK109" s="323" t="str">
        <f t="shared" si="664"/>
        <v/>
      </c>
      <c r="HL109" s="322" t="str">
        <f t="shared" si="741"/>
        <v/>
      </c>
      <c r="HM109" s="369" t="str">
        <f t="shared" ref="HM109:IA118" si="745">IF(ISNUMBER($HL109),VLOOKUP($HL109,$GJ$9:$HI$150,HM$1,FALSE),"")</f>
        <v/>
      </c>
      <c r="HN109" s="384" t="str">
        <f t="shared" si="745"/>
        <v/>
      </c>
      <c r="HO109" s="385" t="str">
        <f t="shared" si="745"/>
        <v/>
      </c>
      <c r="HP109" s="380" t="str">
        <f t="shared" si="745"/>
        <v/>
      </c>
      <c r="HQ109" s="384" t="str">
        <f t="shared" si="745"/>
        <v/>
      </c>
      <c r="HR109" s="395" t="str">
        <f t="shared" si="745"/>
        <v/>
      </c>
      <c r="HS109" s="379" t="str">
        <f t="shared" si="745"/>
        <v/>
      </c>
      <c r="HT109" s="374" t="str">
        <f t="shared" si="745"/>
        <v/>
      </c>
      <c r="HU109" s="375" t="str">
        <f t="shared" si="745"/>
        <v/>
      </c>
      <c r="HV109" s="376" t="str">
        <f t="shared" si="745"/>
        <v/>
      </c>
      <c r="HW109" s="374" t="str">
        <f t="shared" si="745"/>
        <v/>
      </c>
      <c r="HX109" s="375" t="str">
        <f t="shared" si="745"/>
        <v/>
      </c>
      <c r="HY109" s="376" t="str">
        <f t="shared" si="745"/>
        <v/>
      </c>
      <c r="HZ109" s="374" t="str">
        <f t="shared" si="745"/>
        <v/>
      </c>
      <c r="IA109" s="375" t="str">
        <f t="shared" si="745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6"/>
        <v>6.1280000000000001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5"/>
        <v>1613</v>
      </c>
      <c r="IK109" s="533" t="str">
        <f t="shared" si="718"/>
        <v/>
      </c>
      <c r="IL109" s="727" t="str">
        <f t="shared" si="651"/>
        <v/>
      </c>
      <c r="IM109" s="759"/>
      <c r="IN109" s="5" t="str">
        <f t="shared" si="652"/>
        <v/>
      </c>
      <c r="IO109" s="771"/>
      <c r="IP109" s="9" t="str">
        <f t="shared" si="653"/>
        <v/>
      </c>
      <c r="IQ109" s="5" t="str">
        <f t="shared" si="654"/>
        <v/>
      </c>
      <c r="IR109" s="5" t="str">
        <f t="shared" si="719"/>
        <v/>
      </c>
      <c r="IS109" s="5" t="str">
        <f t="shared" si="655"/>
        <v/>
      </c>
      <c r="IT109" s="727" t="str">
        <f t="shared" si="656"/>
        <v/>
      </c>
      <c r="IU109" s="9" t="str">
        <f t="shared" si="657"/>
        <v/>
      </c>
      <c r="IV109" s="5" t="str">
        <f t="shared" si="658"/>
        <v/>
      </c>
      <c r="IW109" s="5" t="str">
        <f t="shared" si="720"/>
        <v/>
      </c>
      <c r="IX109" s="5" t="str">
        <f t="shared" si="659"/>
        <v/>
      </c>
      <c r="IY109" s="762" t="str">
        <f t="shared" si="660"/>
        <v/>
      </c>
    </row>
    <row r="110" spans="1:259" ht="15" customHeight="1" x14ac:dyDescent="0.25">
      <c r="A110" s="79"/>
      <c r="B110" s="707">
        <v>-4.5094314076551667</v>
      </c>
      <c r="C110" s="708">
        <v>3.2964190003565399</v>
      </c>
      <c r="D110" s="709">
        <v>-0.64880195678670216</v>
      </c>
      <c r="E110" s="710">
        <v>-0.75848987657285538</v>
      </c>
      <c r="F110" s="708">
        <v>-0.59367551404392349</v>
      </c>
      <c r="G110" s="711">
        <v>0.26877963308475988</v>
      </c>
      <c r="H110" s="710">
        <v>0.314</v>
      </c>
      <c r="I110" s="708">
        <v>0.52</v>
      </c>
      <c r="J110" s="570">
        <v>6.1340000000000003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5"/>
        <v>6.1340000000000003</v>
      </c>
      <c r="N110" s="632">
        <f t="shared" si="666"/>
        <v>-4.5094314076551667</v>
      </c>
      <c r="O110" s="629">
        <f t="shared" si="667"/>
        <v>3.2964190003565399</v>
      </c>
      <c r="P110" s="633">
        <f t="shared" si="668"/>
        <v>-0.64880195678670216</v>
      </c>
      <c r="Q110" s="585">
        <f t="shared" si="523"/>
        <v>143.83299222747758</v>
      </c>
      <c r="R110" s="629">
        <f t="shared" si="721"/>
        <v>5.5858168468236116</v>
      </c>
      <c r="S110" s="634">
        <f t="shared" si="722"/>
        <v>-0.64880195678670216</v>
      </c>
      <c r="T110" s="635">
        <f t="shared" si="723"/>
        <v>3.2964190003565403</v>
      </c>
      <c r="U110" s="629">
        <f t="shared" si="724"/>
        <v>4.5094314076551667</v>
      </c>
      <c r="V110" s="636">
        <f t="shared" si="725"/>
        <v>-0.64880195678670216</v>
      </c>
      <c r="W110" s="585">
        <f t="shared" si="648"/>
        <v>53.832992227477575</v>
      </c>
      <c r="X110" s="629">
        <f t="shared" si="726"/>
        <v>5.5858168468236116</v>
      </c>
      <c r="Y110" s="630">
        <f t="shared" si="647"/>
        <v>-0.64880195678670216</v>
      </c>
      <c r="Z110" s="632">
        <f t="shared" si="669"/>
        <v>0.75848987657285538</v>
      </c>
      <c r="AA110" s="629">
        <f t="shared" si="670"/>
        <v>0.59367551404392349</v>
      </c>
      <c r="AB110" s="629">
        <f t="shared" si="671"/>
        <v>-0.26877963308475988</v>
      </c>
      <c r="AC110" s="636">
        <f t="shared" si="727"/>
        <v>1</v>
      </c>
      <c r="AD110" s="637">
        <f t="shared" si="728"/>
        <v>0.75848987657285538</v>
      </c>
      <c r="AE110" s="629">
        <f t="shared" si="729"/>
        <v>0.59367551404392349</v>
      </c>
      <c r="AF110" s="633">
        <f t="shared" si="730"/>
        <v>-0.26877963308475988</v>
      </c>
      <c r="AG110" s="602">
        <f t="shared" si="731"/>
        <v>65.641916884446914</v>
      </c>
      <c r="AH110" s="603">
        <f t="shared" si="732"/>
        <v>40.668750997806761</v>
      </c>
      <c r="AI110" s="585">
        <f t="shared" si="733"/>
        <v>-74.408339184831959</v>
      </c>
      <c r="AJ110" s="586">
        <f t="shared" si="734"/>
        <v>128.0505437409175</v>
      </c>
      <c r="AK110" s="635">
        <f t="shared" si="735"/>
        <v>0.92689029942729073</v>
      </c>
      <c r="AL110" s="629">
        <f t="shared" si="736"/>
        <v>-0.26197687238840278</v>
      </c>
      <c r="AM110" s="634">
        <f t="shared" si="737"/>
        <v>-0.26877963308475988</v>
      </c>
      <c r="AN110" s="581">
        <f t="shared" si="738"/>
        <v>-44.265674313003601</v>
      </c>
      <c r="AO110" s="582">
        <f t="shared" si="463"/>
        <v>22.044855570816797</v>
      </c>
      <c r="AP110" s="585">
        <f t="shared" si="739"/>
        <v>-15.782448486560058</v>
      </c>
      <c r="AQ110" s="586">
        <f t="shared" si="672"/>
        <v>0.4081208063531197</v>
      </c>
      <c r="AS110" s="52">
        <f t="shared" si="742"/>
        <v>-306.16700777252242</v>
      </c>
      <c r="AT110" s="73">
        <f t="shared" si="673"/>
        <v>-0.43618597916689494</v>
      </c>
      <c r="AU110" s="469"/>
      <c r="AV110" s="168" t="str">
        <f t="shared" si="674"/>
        <v/>
      </c>
      <c r="AW110" s="418"/>
      <c r="AX110" s="419"/>
      <c r="AY110" s="420"/>
      <c r="AZ110" s="308" t="str">
        <f t="shared" si="547"/>
        <v/>
      </c>
      <c r="BA110" s="307" t="str">
        <f t="shared" si="675"/>
        <v/>
      </c>
      <c r="BB110" s="181" t="str">
        <f t="shared" si="524"/>
        <v/>
      </c>
      <c r="BC110" s="9"/>
      <c r="BD110" s="5" t="str">
        <f t="shared" si="525"/>
        <v/>
      </c>
      <c r="BE110" s="6" t="str">
        <f t="shared" si="676"/>
        <v/>
      </c>
      <c r="BF110" s="4" t="str">
        <f t="shared" si="677"/>
        <v/>
      </c>
      <c r="BG110" s="5" t="str">
        <f t="shared" si="678"/>
        <v/>
      </c>
      <c r="BH110" s="10" t="str">
        <f t="shared" si="679"/>
        <v/>
      </c>
      <c r="BI110" s="9" t="str">
        <f t="shared" si="548"/>
        <v/>
      </c>
      <c r="BJ110" s="5" t="str">
        <f t="shared" si="680"/>
        <v/>
      </c>
      <c r="BK110" s="8" t="str">
        <f t="shared" si="681"/>
        <v/>
      </c>
      <c r="BL110" s="177" t="str">
        <f t="shared" si="682"/>
        <v/>
      </c>
      <c r="BM110" s="5" t="str">
        <f t="shared" si="683"/>
        <v/>
      </c>
      <c r="BN110" s="6" t="str">
        <f t="shared" si="684"/>
        <v/>
      </c>
      <c r="BO110" s="4" t="str">
        <f t="shared" si="549"/>
        <v/>
      </c>
      <c r="BP110" s="5" t="str">
        <f t="shared" si="550"/>
        <v/>
      </c>
      <c r="BQ110" s="5" t="str">
        <f t="shared" si="551"/>
        <v/>
      </c>
      <c r="BR110" s="6" t="str">
        <f t="shared" si="552"/>
        <v/>
      </c>
      <c r="BS110" s="4" t="str">
        <f t="shared" si="740"/>
        <v/>
      </c>
      <c r="BT110" s="5" t="str">
        <f t="shared" si="740"/>
        <v/>
      </c>
      <c r="BU110" s="10" t="str">
        <f t="shared" si="527"/>
        <v/>
      </c>
      <c r="BV110" s="9" t="str">
        <f t="shared" si="528"/>
        <v/>
      </c>
      <c r="BW110" s="5" t="str">
        <f t="shared" si="529"/>
        <v/>
      </c>
      <c r="BX110" s="8" t="str">
        <f t="shared" si="530"/>
        <v/>
      </c>
      <c r="BY110" s="177" t="str">
        <f t="shared" si="531"/>
        <v/>
      </c>
      <c r="BZ110" s="5" t="str">
        <f t="shared" si="532"/>
        <v/>
      </c>
      <c r="CA110" s="6" t="str">
        <f t="shared" si="533"/>
        <v/>
      </c>
      <c r="CB110" s="4" t="str">
        <f t="shared" si="553"/>
        <v/>
      </c>
      <c r="CC110" s="5" t="str">
        <f t="shared" si="554"/>
        <v/>
      </c>
      <c r="CD110" s="5" t="str">
        <f t="shared" si="555"/>
        <v/>
      </c>
      <c r="CE110" s="6" t="str">
        <f t="shared" si="556"/>
        <v/>
      </c>
      <c r="CF110" s="4" t="str">
        <f t="shared" si="557"/>
        <v/>
      </c>
      <c r="CG110" s="5" t="str">
        <f t="shared" si="558"/>
        <v/>
      </c>
      <c r="CH110" s="5" t="str">
        <f t="shared" si="559"/>
        <v/>
      </c>
      <c r="CI110" s="4" t="str">
        <f t="shared" si="534"/>
        <v/>
      </c>
      <c r="CJ110" s="5" t="str">
        <f t="shared" si="535"/>
        <v/>
      </c>
      <c r="CK110" s="8" t="str">
        <f t="shared" si="536"/>
        <v/>
      </c>
      <c r="CL110" s="177" t="str">
        <f t="shared" si="537"/>
        <v/>
      </c>
      <c r="CM110" s="5" t="str">
        <f t="shared" si="538"/>
        <v/>
      </c>
      <c r="CN110" s="6" t="str">
        <f t="shared" si="539"/>
        <v/>
      </c>
      <c r="CO110" s="171" t="str">
        <f t="shared" si="685"/>
        <v/>
      </c>
      <c r="CP110" s="4" t="str">
        <f t="shared" si="560"/>
        <v/>
      </c>
      <c r="CQ110" s="5" t="str">
        <f t="shared" si="561"/>
        <v/>
      </c>
      <c r="CR110" s="5" t="str">
        <f t="shared" si="562"/>
        <v/>
      </c>
      <c r="CS110" s="8" t="str">
        <f t="shared" si="563"/>
        <v/>
      </c>
      <c r="CT110" s="9" t="str">
        <f t="shared" si="564"/>
        <v/>
      </c>
      <c r="CU110" s="6" t="str">
        <f t="shared" si="565"/>
        <v/>
      </c>
      <c r="CV110" s="4" t="str">
        <f t="shared" si="566"/>
        <v/>
      </c>
      <c r="CW110" s="5" t="str">
        <f t="shared" si="567"/>
        <v/>
      </c>
      <c r="CX110" s="8" t="str">
        <f t="shared" si="568"/>
        <v/>
      </c>
      <c r="CY110" s="9" t="str">
        <f t="shared" si="569"/>
        <v/>
      </c>
      <c r="CZ110" s="5" t="str">
        <f t="shared" si="570"/>
        <v/>
      </c>
      <c r="DA110" s="6" t="str">
        <f t="shared" si="571"/>
        <v/>
      </c>
      <c r="DB110" s="4" t="str">
        <f t="shared" si="743"/>
        <v/>
      </c>
      <c r="DC110" s="5" t="str">
        <f t="shared" si="743"/>
        <v/>
      </c>
      <c r="DD110" s="10" t="str">
        <f t="shared" si="573"/>
        <v/>
      </c>
      <c r="DE110" s="9" t="str">
        <f t="shared" si="744"/>
        <v/>
      </c>
      <c r="DF110" s="5" t="str">
        <f t="shared" si="744"/>
        <v/>
      </c>
      <c r="DG110" s="10" t="str">
        <f t="shared" si="575"/>
        <v/>
      </c>
      <c r="DH110" s="72" t="str">
        <f t="shared" si="576"/>
        <v/>
      </c>
      <c r="DI110" s="4" t="str">
        <f t="shared" si="577"/>
        <v/>
      </c>
      <c r="DJ110" s="5" t="str">
        <f t="shared" si="578"/>
        <v/>
      </c>
      <c r="DK110" s="10" t="str">
        <f t="shared" si="579"/>
        <v/>
      </c>
      <c r="DL110" s="9" t="str">
        <f t="shared" si="580"/>
        <v/>
      </c>
      <c r="DM110" s="177" t="str">
        <f t="shared" si="581"/>
        <v/>
      </c>
      <c r="DN110" s="182" t="str">
        <f t="shared" si="582"/>
        <v/>
      </c>
      <c r="DO110" s="9" t="str">
        <f t="shared" si="583"/>
        <v/>
      </c>
      <c r="DP110" s="177" t="str">
        <f t="shared" si="584"/>
        <v/>
      </c>
      <c r="DQ110" s="11" t="str">
        <f t="shared" si="585"/>
        <v/>
      </c>
      <c r="DR110" s="177" t="str">
        <f t="shared" si="586"/>
        <v/>
      </c>
      <c r="DS110" s="5" t="str">
        <f t="shared" si="587"/>
        <v/>
      </c>
      <c r="DT110" s="5" t="str">
        <f t="shared" si="588"/>
        <v/>
      </c>
      <c r="DU110" s="5" t="str">
        <f t="shared" si="589"/>
        <v/>
      </c>
      <c r="DV110" s="5" t="str">
        <f t="shared" si="590"/>
        <v/>
      </c>
      <c r="DW110" s="5" t="str">
        <f t="shared" si="591"/>
        <v/>
      </c>
      <c r="DX110" s="171" t="str">
        <f t="shared" si="592"/>
        <v/>
      </c>
      <c r="DY110" s="9" t="str">
        <f t="shared" si="593"/>
        <v/>
      </c>
      <c r="DZ110" s="5" t="str">
        <f t="shared" si="594"/>
        <v/>
      </c>
      <c r="EA110" s="10" t="str">
        <f t="shared" si="595"/>
        <v/>
      </c>
      <c r="EB110" s="6" t="str">
        <f t="shared" si="596"/>
        <v/>
      </c>
      <c r="EC110" s="177" t="str">
        <f t="shared" si="597"/>
        <v/>
      </c>
      <c r="ED110" s="5" t="str">
        <f t="shared" si="598"/>
        <v/>
      </c>
      <c r="EE110" s="4" t="str">
        <f t="shared" si="599"/>
        <v/>
      </c>
      <c r="EF110" s="5" t="str">
        <f t="shared" si="600"/>
        <v/>
      </c>
      <c r="EG110" s="10" t="str">
        <f t="shared" si="601"/>
        <v/>
      </c>
      <c r="EH110" s="9" t="str">
        <f t="shared" si="602"/>
        <v/>
      </c>
      <c r="EI110" s="5" t="str">
        <f t="shared" si="603"/>
        <v/>
      </c>
      <c r="EJ110" s="6" t="str">
        <f t="shared" si="604"/>
        <v/>
      </c>
      <c r="EK110" s="247" t="str">
        <f t="shared" si="605"/>
        <v/>
      </c>
      <c r="EL110" s="249" t="str">
        <f t="shared" si="606"/>
        <v/>
      </c>
      <c r="EM110" s="4" t="str">
        <f t="shared" si="607"/>
        <v/>
      </c>
      <c r="EN110" s="5" t="str">
        <f t="shared" si="608"/>
        <v/>
      </c>
      <c r="EO110" s="10" t="str">
        <f t="shared" si="609"/>
        <v/>
      </c>
      <c r="EP110" s="9" t="str">
        <f t="shared" si="610"/>
        <v/>
      </c>
      <c r="EQ110" s="5" t="str">
        <f t="shared" si="611"/>
        <v/>
      </c>
      <c r="ER110" s="7" t="str">
        <f t="shared" si="612"/>
        <v/>
      </c>
      <c r="ES110" s="21" t="str">
        <f t="shared" si="686"/>
        <v/>
      </c>
      <c r="ET110" s="5" t="str">
        <f t="shared" si="687"/>
        <v/>
      </c>
      <c r="EU110" s="10" t="str">
        <f t="shared" si="688"/>
        <v/>
      </c>
      <c r="EV110" s="178" t="str">
        <f t="shared" si="689"/>
        <v/>
      </c>
      <c r="EW110" s="9" t="str">
        <f t="shared" si="690"/>
        <v/>
      </c>
      <c r="EX110" s="5" t="str">
        <f t="shared" si="691"/>
        <v/>
      </c>
      <c r="EY110" s="6" t="str">
        <f t="shared" si="613"/>
        <v/>
      </c>
      <c r="EZ110" s="52" t="str">
        <f t="shared" si="614"/>
        <v/>
      </c>
      <c r="FA110" s="177" t="str">
        <f t="shared" si="692"/>
        <v/>
      </c>
      <c r="FB110" s="5" t="str">
        <f t="shared" si="693"/>
        <v/>
      </c>
      <c r="FC110" s="6" t="str">
        <f t="shared" si="694"/>
        <v/>
      </c>
      <c r="FD110" s="4" t="str">
        <f t="shared" si="695"/>
        <v/>
      </c>
      <c r="FE110" s="5" t="str">
        <f t="shared" si="696"/>
        <v/>
      </c>
      <c r="FF110" s="7" t="str">
        <f t="shared" si="615"/>
        <v/>
      </c>
      <c r="FG110" s="177" t="str">
        <f t="shared" si="697"/>
        <v/>
      </c>
      <c r="FH110" s="5" t="str">
        <f t="shared" si="698"/>
        <v/>
      </c>
      <c r="FI110" s="10" t="str">
        <f t="shared" si="699"/>
        <v/>
      </c>
      <c r="FJ110" s="290" t="str">
        <f t="shared" si="616"/>
        <v/>
      </c>
      <c r="FK110" s="4" t="str">
        <f t="shared" si="700"/>
        <v/>
      </c>
      <c r="FL110" s="5" t="str">
        <f t="shared" si="540"/>
        <v/>
      </c>
      <c r="FM110" s="8" t="str">
        <f t="shared" si="541"/>
        <v/>
      </c>
      <c r="FN110" s="9" t="str">
        <f t="shared" si="542"/>
        <v/>
      </c>
      <c r="FO110" s="10" t="str">
        <f t="shared" si="701"/>
        <v/>
      </c>
      <c r="FP110" s="288" t="str">
        <f t="shared" si="543"/>
        <v/>
      </c>
      <c r="FQ110" s="177" t="str">
        <f t="shared" si="617"/>
        <v/>
      </c>
      <c r="FR110" s="10" t="str">
        <f t="shared" si="618"/>
        <v/>
      </c>
      <c r="FS110" s="9" t="str">
        <f t="shared" si="619"/>
        <v/>
      </c>
      <c r="FT110" s="6" t="str">
        <f t="shared" si="620"/>
        <v/>
      </c>
      <c r="FU110" s="4" t="str">
        <f t="shared" si="621"/>
        <v/>
      </c>
      <c r="FV110" s="5" t="str">
        <f t="shared" si="622"/>
        <v/>
      </c>
      <c r="FW110" s="8" t="str">
        <f t="shared" si="623"/>
        <v/>
      </c>
      <c r="FX110" s="9" t="str">
        <f t="shared" si="624"/>
        <v/>
      </c>
      <c r="FY110" s="10" t="str">
        <f t="shared" si="702"/>
        <v/>
      </c>
      <c r="FZ110" s="288" t="str">
        <f t="shared" si="625"/>
        <v/>
      </c>
      <c r="GA110" s="181" t="str">
        <f t="shared" si="626"/>
        <v/>
      </c>
      <c r="GB110" s="4" t="str">
        <f t="shared" si="627"/>
        <v/>
      </c>
      <c r="GC110" s="5" t="str">
        <f t="shared" si="628"/>
        <v/>
      </c>
      <c r="GD110" s="10" t="str">
        <f t="shared" si="629"/>
        <v/>
      </c>
      <c r="GE110" s="324" t="str">
        <f t="shared" si="630"/>
        <v/>
      </c>
      <c r="GF110" s="362" t="str">
        <f t="shared" si="631"/>
        <v/>
      </c>
      <c r="GG110" s="296" t="str">
        <f t="shared" si="703"/>
        <v/>
      </c>
      <c r="GH110" s="297" t="str">
        <f t="shared" si="704"/>
        <v/>
      </c>
      <c r="GI110" s="292" t="str">
        <f t="shared" si="705"/>
        <v/>
      </c>
      <c r="GJ110" s="171" t="str">
        <f t="shared" si="632"/>
        <v/>
      </c>
      <c r="GK110" s="178" t="str">
        <f t="shared" si="706"/>
        <v/>
      </c>
      <c r="GL110" s="178" t="str">
        <f t="shared" si="633"/>
        <v/>
      </c>
      <c r="GM110" s="181" t="str">
        <f t="shared" si="634"/>
        <v/>
      </c>
      <c r="GN110" s="291" t="str">
        <f t="shared" si="635"/>
        <v/>
      </c>
      <c r="GO110" s="4" t="str">
        <f t="shared" si="636"/>
        <v/>
      </c>
      <c r="GP110" s="8" t="str">
        <f t="shared" si="637"/>
        <v/>
      </c>
      <c r="GQ110" s="181" t="str">
        <f t="shared" si="638"/>
        <v/>
      </c>
      <c r="GR110" s="417" t="str">
        <f t="shared" si="639"/>
        <v/>
      </c>
      <c r="GS110" s="363" t="str">
        <f t="shared" si="707"/>
        <v/>
      </c>
      <c r="GT110" s="364" t="str">
        <f t="shared" si="708"/>
        <v/>
      </c>
      <c r="GU110" s="365" t="str">
        <f t="shared" si="709"/>
        <v/>
      </c>
      <c r="GV110" s="364" t="str">
        <f t="shared" si="640"/>
        <v/>
      </c>
      <c r="GW110" s="366" t="str">
        <f t="shared" si="710"/>
        <v/>
      </c>
      <c r="GX110" s="367" t="str">
        <f t="shared" si="711"/>
        <v/>
      </c>
      <c r="GY110" s="365" t="str">
        <f t="shared" si="712"/>
        <v/>
      </c>
      <c r="GZ110" s="366" t="str">
        <f t="shared" si="713"/>
        <v/>
      </c>
      <c r="HA110" s="363" t="str">
        <f t="shared" si="714"/>
        <v/>
      </c>
      <c r="HB110" s="5" t="str">
        <f t="shared" si="641"/>
        <v/>
      </c>
      <c r="HC110" s="364" t="str">
        <f t="shared" si="642"/>
        <v/>
      </c>
      <c r="HD110" s="405" t="str">
        <f t="shared" si="643"/>
        <v/>
      </c>
      <c r="HE110" s="365" t="str">
        <f t="shared" si="715"/>
        <v/>
      </c>
      <c r="HF110" s="5" t="str">
        <f t="shared" si="716"/>
        <v/>
      </c>
      <c r="HG110" s="364" t="str">
        <f t="shared" si="644"/>
        <v/>
      </c>
      <c r="HH110" s="370" t="str">
        <f t="shared" si="645"/>
        <v/>
      </c>
      <c r="HI110" s="335" t="str">
        <f t="shared" si="717"/>
        <v/>
      </c>
      <c r="HK110" s="323" t="str">
        <f t="shared" si="664"/>
        <v/>
      </c>
      <c r="HL110" s="322" t="str">
        <f t="shared" si="741"/>
        <v/>
      </c>
      <c r="HM110" s="369" t="str">
        <f t="shared" si="745"/>
        <v/>
      </c>
      <c r="HN110" s="384" t="str">
        <f t="shared" si="745"/>
        <v/>
      </c>
      <c r="HO110" s="385" t="str">
        <f t="shared" si="745"/>
        <v/>
      </c>
      <c r="HP110" s="380" t="str">
        <f t="shared" si="745"/>
        <v/>
      </c>
      <c r="HQ110" s="384" t="str">
        <f t="shared" si="745"/>
        <v/>
      </c>
      <c r="HR110" s="395" t="str">
        <f t="shared" si="745"/>
        <v/>
      </c>
      <c r="HS110" s="379" t="str">
        <f t="shared" si="745"/>
        <v/>
      </c>
      <c r="HT110" s="374" t="str">
        <f t="shared" si="745"/>
        <v/>
      </c>
      <c r="HU110" s="375" t="str">
        <f t="shared" si="745"/>
        <v/>
      </c>
      <c r="HV110" s="376" t="str">
        <f t="shared" si="745"/>
        <v/>
      </c>
      <c r="HW110" s="374" t="str">
        <f t="shared" si="745"/>
        <v/>
      </c>
      <c r="HX110" s="375" t="str">
        <f t="shared" si="745"/>
        <v/>
      </c>
      <c r="HY110" s="376" t="str">
        <f t="shared" si="745"/>
        <v/>
      </c>
      <c r="HZ110" s="374" t="str">
        <f t="shared" si="745"/>
        <v/>
      </c>
      <c r="IA110" s="375" t="str">
        <f t="shared" si="745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6"/>
        <v>6.1340000000000003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5"/>
        <v>1613</v>
      </c>
      <c r="IK110" s="533" t="str">
        <f t="shared" si="718"/>
        <v/>
      </c>
      <c r="IL110" s="727" t="str">
        <f t="shared" si="651"/>
        <v/>
      </c>
      <c r="IM110" s="759"/>
      <c r="IN110" s="5" t="str">
        <f t="shared" si="652"/>
        <v/>
      </c>
      <c r="IO110" s="771"/>
      <c r="IP110" s="9" t="str">
        <f t="shared" si="653"/>
        <v/>
      </c>
      <c r="IQ110" s="5" t="str">
        <f t="shared" si="654"/>
        <v/>
      </c>
      <c r="IR110" s="5" t="str">
        <f t="shared" si="719"/>
        <v/>
      </c>
      <c r="IS110" s="5" t="str">
        <f t="shared" si="655"/>
        <v/>
      </c>
      <c r="IT110" s="727" t="str">
        <f t="shared" si="656"/>
        <v/>
      </c>
      <c r="IU110" s="9" t="str">
        <f t="shared" si="657"/>
        <v/>
      </c>
      <c r="IV110" s="5" t="str">
        <f t="shared" si="658"/>
        <v/>
      </c>
      <c r="IW110" s="5" t="str">
        <f t="shared" si="720"/>
        <v/>
      </c>
      <c r="IX110" s="5" t="str">
        <f t="shared" si="659"/>
        <v/>
      </c>
      <c r="IY110" s="762" t="str">
        <f t="shared" si="660"/>
        <v/>
      </c>
    </row>
    <row r="111" spans="1:259" ht="15" customHeight="1" x14ac:dyDescent="0.25">
      <c r="A111" s="79"/>
      <c r="B111" s="707">
        <v>-4.9257005265611236</v>
      </c>
      <c r="C111" s="708">
        <v>3.6830860237939236</v>
      </c>
      <c r="D111" s="709">
        <v>-1.1563034874113181</v>
      </c>
      <c r="E111" s="710">
        <v>-0.82836138495853084</v>
      </c>
      <c r="F111" s="708">
        <v>-0.50752111542057832</v>
      </c>
      <c r="G111" s="711">
        <v>0.23714917944584354</v>
      </c>
      <c r="H111" s="710">
        <v>0.314</v>
      </c>
      <c r="I111" s="708">
        <v>0.52</v>
      </c>
      <c r="J111" s="570">
        <v>6.14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1613</v>
      </c>
      <c r="L111" s="320"/>
      <c r="M111" s="168">
        <f t="shared" si="665"/>
        <v>6.14</v>
      </c>
      <c r="N111" s="632">
        <f t="shared" si="666"/>
        <v>-4.9257005265611236</v>
      </c>
      <c r="O111" s="629">
        <f t="shared" si="667"/>
        <v>3.6830860237939236</v>
      </c>
      <c r="P111" s="633">
        <f t="shared" si="668"/>
        <v>-1.1563034874113181</v>
      </c>
      <c r="Q111" s="585">
        <f t="shared" si="523"/>
        <v>143.2134923169223</v>
      </c>
      <c r="R111" s="629">
        <f t="shared" si="721"/>
        <v>6.1504185496623451</v>
      </c>
      <c r="S111" s="634">
        <f t="shared" si="722"/>
        <v>-1.1563034874113181</v>
      </c>
      <c r="T111" s="635">
        <f t="shared" si="723"/>
        <v>3.6830860237939231</v>
      </c>
      <c r="U111" s="629">
        <f t="shared" si="724"/>
        <v>4.9257005265611236</v>
      </c>
      <c r="V111" s="636">
        <f t="shared" si="725"/>
        <v>-1.1563034874113181</v>
      </c>
      <c r="W111" s="585">
        <f t="shared" si="648"/>
        <v>53.213492316922299</v>
      </c>
      <c r="X111" s="629">
        <f t="shared" si="726"/>
        <v>6.1504185496623451</v>
      </c>
      <c r="Y111" s="630">
        <f t="shared" si="647"/>
        <v>-1.1563034874113181</v>
      </c>
      <c r="Z111" s="632">
        <f t="shared" si="669"/>
        <v>0.82836138495853084</v>
      </c>
      <c r="AA111" s="629">
        <f t="shared" si="670"/>
        <v>0.50752111542057832</v>
      </c>
      <c r="AB111" s="629">
        <f t="shared" si="671"/>
        <v>-0.23714917944584354</v>
      </c>
      <c r="AC111" s="636">
        <f t="shared" si="727"/>
        <v>1</v>
      </c>
      <c r="AD111" s="637">
        <f t="shared" si="728"/>
        <v>0.82836138495853084</v>
      </c>
      <c r="AE111" s="629">
        <f t="shared" si="729"/>
        <v>0.50752111542057832</v>
      </c>
      <c r="AF111" s="633">
        <f t="shared" si="730"/>
        <v>-0.23714917944584354</v>
      </c>
      <c r="AG111" s="602">
        <f t="shared" si="731"/>
        <v>64.954746240661706</v>
      </c>
      <c r="AH111" s="603">
        <f t="shared" si="732"/>
        <v>34.069221263123239</v>
      </c>
      <c r="AI111" s="585">
        <f t="shared" si="733"/>
        <v>-76.281656516014479</v>
      </c>
      <c r="AJ111" s="586">
        <f t="shared" si="734"/>
        <v>121.49500174528175</v>
      </c>
      <c r="AK111" s="635">
        <f t="shared" si="735"/>
        <v>0.90251146653492564</v>
      </c>
      <c r="AL111" s="629">
        <f t="shared" si="736"/>
        <v>-0.35949036073466673</v>
      </c>
      <c r="AM111" s="634">
        <f t="shared" si="737"/>
        <v>-0.23714917944584354</v>
      </c>
      <c r="AN111" s="581">
        <f t="shared" si="738"/>
        <v>-56.587897896377854</v>
      </c>
      <c r="AO111" s="582">
        <f t="shared" si="463"/>
        <v>25.509822486254496</v>
      </c>
      <c r="AP111" s="585">
        <f t="shared" si="739"/>
        <v>-21.71849057164054</v>
      </c>
      <c r="AQ111" s="586">
        <f t="shared" si="672"/>
        <v>0.37065686034596601</v>
      </c>
      <c r="AS111" s="52">
        <f t="shared" si="742"/>
        <v>-306.78650768307773</v>
      </c>
      <c r="AT111" s="73">
        <f t="shared" si="673"/>
        <v>-0.94325730152029186</v>
      </c>
      <c r="AU111" s="469"/>
      <c r="AV111" s="168" t="str">
        <f t="shared" si="674"/>
        <v/>
      </c>
      <c r="AW111" s="418"/>
      <c r="AX111" s="419"/>
      <c r="AY111" s="420"/>
      <c r="AZ111" s="308" t="str">
        <f t="shared" si="547"/>
        <v/>
      </c>
      <c r="BA111" s="307" t="str">
        <f t="shared" si="675"/>
        <v/>
      </c>
      <c r="BB111" s="181" t="str">
        <f t="shared" si="524"/>
        <v/>
      </c>
      <c r="BC111" s="9"/>
      <c r="BD111" s="5" t="str">
        <f t="shared" si="525"/>
        <v/>
      </c>
      <c r="BE111" s="6" t="str">
        <f t="shared" si="676"/>
        <v/>
      </c>
      <c r="BF111" s="4" t="str">
        <f t="shared" si="677"/>
        <v/>
      </c>
      <c r="BG111" s="5" t="str">
        <f t="shared" si="678"/>
        <v/>
      </c>
      <c r="BH111" s="10" t="str">
        <f t="shared" si="679"/>
        <v/>
      </c>
      <c r="BI111" s="9" t="str">
        <f t="shared" si="548"/>
        <v/>
      </c>
      <c r="BJ111" s="5" t="str">
        <f t="shared" si="680"/>
        <v/>
      </c>
      <c r="BK111" s="8" t="str">
        <f t="shared" si="681"/>
        <v/>
      </c>
      <c r="BL111" s="177" t="str">
        <f t="shared" si="682"/>
        <v/>
      </c>
      <c r="BM111" s="5" t="str">
        <f t="shared" si="683"/>
        <v/>
      </c>
      <c r="BN111" s="6" t="str">
        <f t="shared" si="684"/>
        <v/>
      </c>
      <c r="BO111" s="4" t="str">
        <f t="shared" si="549"/>
        <v/>
      </c>
      <c r="BP111" s="5" t="str">
        <f t="shared" si="550"/>
        <v/>
      </c>
      <c r="BQ111" s="5" t="str">
        <f t="shared" si="551"/>
        <v/>
      </c>
      <c r="BR111" s="6" t="str">
        <f t="shared" si="552"/>
        <v/>
      </c>
      <c r="BS111" s="4" t="str">
        <f t="shared" si="740"/>
        <v/>
      </c>
      <c r="BT111" s="5" t="str">
        <f t="shared" si="740"/>
        <v/>
      </c>
      <c r="BU111" s="10" t="str">
        <f t="shared" si="527"/>
        <v/>
      </c>
      <c r="BV111" s="9" t="str">
        <f t="shared" si="528"/>
        <v/>
      </c>
      <c r="BW111" s="5" t="str">
        <f t="shared" si="529"/>
        <v/>
      </c>
      <c r="BX111" s="8" t="str">
        <f t="shared" si="530"/>
        <v/>
      </c>
      <c r="BY111" s="177" t="str">
        <f t="shared" si="531"/>
        <v/>
      </c>
      <c r="BZ111" s="5" t="str">
        <f t="shared" si="532"/>
        <v/>
      </c>
      <c r="CA111" s="6" t="str">
        <f t="shared" si="533"/>
        <v/>
      </c>
      <c r="CB111" s="4" t="str">
        <f t="shared" si="553"/>
        <v/>
      </c>
      <c r="CC111" s="5" t="str">
        <f t="shared" si="554"/>
        <v/>
      </c>
      <c r="CD111" s="5" t="str">
        <f t="shared" si="555"/>
        <v/>
      </c>
      <c r="CE111" s="6" t="str">
        <f t="shared" si="556"/>
        <v/>
      </c>
      <c r="CF111" s="4" t="str">
        <f t="shared" si="557"/>
        <v/>
      </c>
      <c r="CG111" s="5" t="str">
        <f t="shared" si="558"/>
        <v/>
      </c>
      <c r="CH111" s="5" t="str">
        <f t="shared" si="559"/>
        <v/>
      </c>
      <c r="CI111" s="4" t="str">
        <f t="shared" si="534"/>
        <v/>
      </c>
      <c r="CJ111" s="5" t="str">
        <f t="shared" si="535"/>
        <v/>
      </c>
      <c r="CK111" s="8" t="str">
        <f t="shared" si="536"/>
        <v/>
      </c>
      <c r="CL111" s="177" t="str">
        <f t="shared" si="537"/>
        <v/>
      </c>
      <c r="CM111" s="5" t="str">
        <f t="shared" si="538"/>
        <v/>
      </c>
      <c r="CN111" s="6" t="str">
        <f t="shared" si="539"/>
        <v/>
      </c>
      <c r="CO111" s="171" t="str">
        <f t="shared" si="685"/>
        <v/>
      </c>
      <c r="CP111" s="4" t="str">
        <f t="shared" si="560"/>
        <v/>
      </c>
      <c r="CQ111" s="5" t="str">
        <f t="shared" si="561"/>
        <v/>
      </c>
      <c r="CR111" s="5" t="str">
        <f t="shared" si="562"/>
        <v/>
      </c>
      <c r="CS111" s="8" t="str">
        <f t="shared" si="563"/>
        <v/>
      </c>
      <c r="CT111" s="9" t="str">
        <f t="shared" si="564"/>
        <v/>
      </c>
      <c r="CU111" s="6" t="str">
        <f t="shared" si="565"/>
        <v/>
      </c>
      <c r="CV111" s="4" t="str">
        <f t="shared" si="566"/>
        <v/>
      </c>
      <c r="CW111" s="5" t="str">
        <f t="shared" si="567"/>
        <v/>
      </c>
      <c r="CX111" s="8" t="str">
        <f t="shared" si="568"/>
        <v/>
      </c>
      <c r="CY111" s="9" t="str">
        <f t="shared" si="569"/>
        <v/>
      </c>
      <c r="CZ111" s="5" t="str">
        <f t="shared" si="570"/>
        <v/>
      </c>
      <c r="DA111" s="6" t="str">
        <f t="shared" si="571"/>
        <v/>
      </c>
      <c r="DB111" s="4" t="str">
        <f t="shared" si="743"/>
        <v/>
      </c>
      <c r="DC111" s="5" t="str">
        <f t="shared" si="743"/>
        <v/>
      </c>
      <c r="DD111" s="10" t="str">
        <f t="shared" si="573"/>
        <v/>
      </c>
      <c r="DE111" s="9" t="str">
        <f t="shared" si="744"/>
        <v/>
      </c>
      <c r="DF111" s="5" t="str">
        <f t="shared" si="744"/>
        <v/>
      </c>
      <c r="DG111" s="10" t="str">
        <f t="shared" si="575"/>
        <v/>
      </c>
      <c r="DH111" s="72" t="str">
        <f t="shared" si="576"/>
        <v/>
      </c>
      <c r="DI111" s="4" t="str">
        <f t="shared" si="577"/>
        <v/>
      </c>
      <c r="DJ111" s="5" t="str">
        <f t="shared" si="578"/>
        <v/>
      </c>
      <c r="DK111" s="10" t="str">
        <f t="shared" si="579"/>
        <v/>
      </c>
      <c r="DL111" s="9" t="str">
        <f t="shared" si="580"/>
        <v/>
      </c>
      <c r="DM111" s="177" t="str">
        <f t="shared" si="581"/>
        <v/>
      </c>
      <c r="DN111" s="182" t="str">
        <f t="shared" si="582"/>
        <v/>
      </c>
      <c r="DO111" s="9" t="str">
        <f t="shared" si="583"/>
        <v/>
      </c>
      <c r="DP111" s="177" t="str">
        <f t="shared" si="584"/>
        <v/>
      </c>
      <c r="DQ111" s="11" t="str">
        <f t="shared" si="585"/>
        <v/>
      </c>
      <c r="DR111" s="177" t="str">
        <f t="shared" si="586"/>
        <v/>
      </c>
      <c r="DS111" s="5" t="str">
        <f t="shared" si="587"/>
        <v/>
      </c>
      <c r="DT111" s="5" t="str">
        <f t="shared" si="588"/>
        <v/>
      </c>
      <c r="DU111" s="5" t="str">
        <f t="shared" si="589"/>
        <v/>
      </c>
      <c r="DV111" s="5" t="str">
        <f t="shared" si="590"/>
        <v/>
      </c>
      <c r="DW111" s="5" t="str">
        <f t="shared" si="591"/>
        <v/>
      </c>
      <c r="DX111" s="171" t="str">
        <f t="shared" si="592"/>
        <v/>
      </c>
      <c r="DY111" s="9" t="str">
        <f t="shared" si="593"/>
        <v/>
      </c>
      <c r="DZ111" s="5" t="str">
        <f t="shared" si="594"/>
        <v/>
      </c>
      <c r="EA111" s="10" t="str">
        <f t="shared" si="595"/>
        <v/>
      </c>
      <c r="EB111" s="6" t="str">
        <f t="shared" si="596"/>
        <v/>
      </c>
      <c r="EC111" s="177" t="str">
        <f t="shared" si="597"/>
        <v/>
      </c>
      <c r="ED111" s="5" t="str">
        <f t="shared" si="598"/>
        <v/>
      </c>
      <c r="EE111" s="4" t="str">
        <f t="shared" si="599"/>
        <v/>
      </c>
      <c r="EF111" s="5" t="str">
        <f t="shared" si="600"/>
        <v/>
      </c>
      <c r="EG111" s="10" t="str">
        <f t="shared" si="601"/>
        <v/>
      </c>
      <c r="EH111" s="9" t="str">
        <f t="shared" si="602"/>
        <v/>
      </c>
      <c r="EI111" s="5" t="str">
        <f t="shared" si="603"/>
        <v/>
      </c>
      <c r="EJ111" s="6" t="str">
        <f t="shared" si="604"/>
        <v/>
      </c>
      <c r="EK111" s="247" t="str">
        <f t="shared" si="605"/>
        <v/>
      </c>
      <c r="EL111" s="249" t="str">
        <f t="shared" si="606"/>
        <v/>
      </c>
      <c r="EM111" s="4" t="str">
        <f t="shared" si="607"/>
        <v/>
      </c>
      <c r="EN111" s="5" t="str">
        <f t="shared" si="608"/>
        <v/>
      </c>
      <c r="EO111" s="10" t="str">
        <f t="shared" si="609"/>
        <v/>
      </c>
      <c r="EP111" s="9" t="str">
        <f t="shared" si="610"/>
        <v/>
      </c>
      <c r="EQ111" s="5" t="str">
        <f t="shared" si="611"/>
        <v/>
      </c>
      <c r="ER111" s="7" t="str">
        <f t="shared" si="612"/>
        <v/>
      </c>
      <c r="ES111" s="21" t="str">
        <f t="shared" si="686"/>
        <v/>
      </c>
      <c r="ET111" s="5" t="str">
        <f t="shared" si="687"/>
        <v/>
      </c>
      <c r="EU111" s="10" t="str">
        <f t="shared" si="688"/>
        <v/>
      </c>
      <c r="EV111" s="178" t="str">
        <f t="shared" si="689"/>
        <v/>
      </c>
      <c r="EW111" s="9" t="str">
        <f t="shared" si="690"/>
        <v/>
      </c>
      <c r="EX111" s="5" t="str">
        <f t="shared" si="691"/>
        <v/>
      </c>
      <c r="EY111" s="6" t="str">
        <f t="shared" si="613"/>
        <v/>
      </c>
      <c r="EZ111" s="52" t="str">
        <f t="shared" si="614"/>
        <v/>
      </c>
      <c r="FA111" s="177" t="str">
        <f t="shared" si="692"/>
        <v/>
      </c>
      <c r="FB111" s="5" t="str">
        <f t="shared" si="693"/>
        <v/>
      </c>
      <c r="FC111" s="6" t="str">
        <f t="shared" si="694"/>
        <v/>
      </c>
      <c r="FD111" s="4" t="str">
        <f t="shared" si="695"/>
        <v/>
      </c>
      <c r="FE111" s="5" t="str">
        <f t="shared" si="696"/>
        <v/>
      </c>
      <c r="FF111" s="7" t="str">
        <f t="shared" si="615"/>
        <v/>
      </c>
      <c r="FG111" s="177" t="str">
        <f t="shared" si="697"/>
        <v/>
      </c>
      <c r="FH111" s="5" t="str">
        <f t="shared" si="698"/>
        <v/>
      </c>
      <c r="FI111" s="10" t="str">
        <f t="shared" si="699"/>
        <v/>
      </c>
      <c r="FJ111" s="290" t="str">
        <f t="shared" si="616"/>
        <v/>
      </c>
      <c r="FK111" s="4" t="str">
        <f t="shared" si="700"/>
        <v/>
      </c>
      <c r="FL111" s="5" t="str">
        <f t="shared" si="540"/>
        <v/>
      </c>
      <c r="FM111" s="8" t="str">
        <f t="shared" si="541"/>
        <v/>
      </c>
      <c r="FN111" s="9" t="str">
        <f t="shared" si="542"/>
        <v/>
      </c>
      <c r="FO111" s="10" t="str">
        <f t="shared" si="701"/>
        <v/>
      </c>
      <c r="FP111" s="288" t="str">
        <f t="shared" si="543"/>
        <v/>
      </c>
      <c r="FQ111" s="177" t="str">
        <f t="shared" si="617"/>
        <v/>
      </c>
      <c r="FR111" s="10" t="str">
        <f t="shared" si="618"/>
        <v/>
      </c>
      <c r="FS111" s="9" t="str">
        <f t="shared" si="619"/>
        <v/>
      </c>
      <c r="FT111" s="6" t="str">
        <f t="shared" si="620"/>
        <v/>
      </c>
      <c r="FU111" s="4" t="str">
        <f t="shared" si="621"/>
        <v/>
      </c>
      <c r="FV111" s="5" t="str">
        <f t="shared" si="622"/>
        <v/>
      </c>
      <c r="FW111" s="8" t="str">
        <f t="shared" si="623"/>
        <v/>
      </c>
      <c r="FX111" s="9" t="str">
        <f t="shared" si="624"/>
        <v/>
      </c>
      <c r="FY111" s="10" t="str">
        <f t="shared" si="702"/>
        <v/>
      </c>
      <c r="FZ111" s="288" t="str">
        <f t="shared" si="625"/>
        <v/>
      </c>
      <c r="GA111" s="181" t="str">
        <f t="shared" si="626"/>
        <v/>
      </c>
      <c r="GB111" s="4" t="str">
        <f t="shared" si="627"/>
        <v/>
      </c>
      <c r="GC111" s="5" t="str">
        <f t="shared" si="628"/>
        <v/>
      </c>
      <c r="GD111" s="10" t="str">
        <f t="shared" si="629"/>
        <v/>
      </c>
      <c r="GE111" s="324" t="str">
        <f t="shared" si="630"/>
        <v/>
      </c>
      <c r="GF111" s="362" t="str">
        <f t="shared" si="631"/>
        <v/>
      </c>
      <c r="GG111" s="296" t="str">
        <f t="shared" si="703"/>
        <v/>
      </c>
      <c r="GH111" s="297" t="str">
        <f t="shared" si="704"/>
        <v/>
      </c>
      <c r="GI111" s="292" t="str">
        <f t="shared" si="705"/>
        <v/>
      </c>
      <c r="GJ111" s="171" t="str">
        <f t="shared" si="632"/>
        <v/>
      </c>
      <c r="GK111" s="178" t="str">
        <f t="shared" si="706"/>
        <v/>
      </c>
      <c r="GL111" s="178" t="str">
        <f t="shared" si="633"/>
        <v/>
      </c>
      <c r="GM111" s="181" t="str">
        <f t="shared" si="634"/>
        <v/>
      </c>
      <c r="GN111" s="291" t="str">
        <f t="shared" si="635"/>
        <v/>
      </c>
      <c r="GO111" s="4" t="str">
        <f t="shared" si="636"/>
        <v/>
      </c>
      <c r="GP111" s="8" t="str">
        <f t="shared" si="637"/>
        <v/>
      </c>
      <c r="GQ111" s="181" t="str">
        <f t="shared" si="638"/>
        <v/>
      </c>
      <c r="GR111" s="417" t="str">
        <f t="shared" si="639"/>
        <v/>
      </c>
      <c r="GS111" s="363" t="str">
        <f t="shared" si="707"/>
        <v/>
      </c>
      <c r="GT111" s="364" t="str">
        <f t="shared" si="708"/>
        <v/>
      </c>
      <c r="GU111" s="365" t="str">
        <f t="shared" si="709"/>
        <v/>
      </c>
      <c r="GV111" s="364" t="str">
        <f t="shared" si="640"/>
        <v/>
      </c>
      <c r="GW111" s="366" t="str">
        <f t="shared" si="710"/>
        <v/>
      </c>
      <c r="GX111" s="367" t="str">
        <f t="shared" si="711"/>
        <v/>
      </c>
      <c r="GY111" s="365" t="str">
        <f t="shared" si="712"/>
        <v/>
      </c>
      <c r="GZ111" s="366" t="str">
        <f t="shared" si="713"/>
        <v/>
      </c>
      <c r="HA111" s="363" t="str">
        <f t="shared" si="714"/>
        <v/>
      </c>
      <c r="HB111" s="5" t="str">
        <f t="shared" si="641"/>
        <v/>
      </c>
      <c r="HC111" s="364" t="str">
        <f t="shared" si="642"/>
        <v/>
      </c>
      <c r="HD111" s="405" t="str">
        <f t="shared" si="643"/>
        <v/>
      </c>
      <c r="HE111" s="365" t="str">
        <f t="shared" si="715"/>
        <v/>
      </c>
      <c r="HF111" s="5" t="str">
        <f t="shared" si="716"/>
        <v/>
      </c>
      <c r="HG111" s="364" t="str">
        <f t="shared" si="644"/>
        <v/>
      </c>
      <c r="HH111" s="370" t="str">
        <f t="shared" si="645"/>
        <v/>
      </c>
      <c r="HI111" s="335" t="str">
        <f t="shared" si="717"/>
        <v/>
      </c>
      <c r="HK111" s="323" t="str">
        <f t="shared" si="664"/>
        <v/>
      </c>
      <c r="HL111" s="322" t="str">
        <f t="shared" si="741"/>
        <v/>
      </c>
      <c r="HM111" s="369" t="str">
        <f t="shared" si="745"/>
        <v/>
      </c>
      <c r="HN111" s="384" t="str">
        <f t="shared" si="745"/>
        <v/>
      </c>
      <c r="HO111" s="385" t="str">
        <f t="shared" si="745"/>
        <v/>
      </c>
      <c r="HP111" s="380" t="str">
        <f t="shared" si="745"/>
        <v/>
      </c>
      <c r="HQ111" s="384" t="str">
        <f t="shared" si="745"/>
        <v/>
      </c>
      <c r="HR111" s="395" t="str">
        <f t="shared" si="745"/>
        <v/>
      </c>
      <c r="HS111" s="379" t="str">
        <f t="shared" si="745"/>
        <v/>
      </c>
      <c r="HT111" s="374" t="str">
        <f t="shared" si="745"/>
        <v/>
      </c>
      <c r="HU111" s="375" t="str">
        <f t="shared" si="745"/>
        <v/>
      </c>
      <c r="HV111" s="376" t="str">
        <f t="shared" si="745"/>
        <v/>
      </c>
      <c r="HW111" s="374" t="str">
        <f t="shared" si="745"/>
        <v/>
      </c>
      <c r="HX111" s="375" t="str">
        <f t="shared" si="745"/>
        <v/>
      </c>
      <c r="HY111" s="376" t="str">
        <f t="shared" si="745"/>
        <v/>
      </c>
      <c r="HZ111" s="374" t="str">
        <f t="shared" si="745"/>
        <v/>
      </c>
      <c r="IA111" s="375" t="str">
        <f t="shared" si="745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6"/>
        <v>6.14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>
        <f t="shared" si="545"/>
        <v>1613</v>
      </c>
      <c r="IK111" s="533" t="str">
        <f t="shared" si="718"/>
        <v/>
      </c>
      <c r="IL111" s="727" t="str">
        <f t="shared" si="651"/>
        <v/>
      </c>
      <c r="IM111" s="759"/>
      <c r="IN111" s="5" t="str">
        <f t="shared" si="652"/>
        <v/>
      </c>
      <c r="IO111" s="771"/>
      <c r="IP111" s="9" t="str">
        <f t="shared" si="653"/>
        <v/>
      </c>
      <c r="IQ111" s="5" t="str">
        <f t="shared" si="654"/>
        <v/>
      </c>
      <c r="IR111" s="5" t="str">
        <f t="shared" si="719"/>
        <v/>
      </c>
      <c r="IS111" s="5" t="str">
        <f t="shared" si="655"/>
        <v/>
      </c>
      <c r="IT111" s="727" t="str">
        <f t="shared" si="656"/>
        <v/>
      </c>
      <c r="IU111" s="9" t="str">
        <f t="shared" si="657"/>
        <v/>
      </c>
      <c r="IV111" s="5" t="str">
        <f t="shared" si="658"/>
        <v/>
      </c>
      <c r="IW111" s="5" t="str">
        <f t="shared" si="720"/>
        <v/>
      </c>
      <c r="IX111" s="5" t="str">
        <f t="shared" si="659"/>
        <v/>
      </c>
      <c r="IY111" s="762" t="str">
        <f t="shared" si="660"/>
        <v/>
      </c>
    </row>
    <row r="112" spans="1:259" ht="15" customHeight="1" x14ac:dyDescent="0.25">
      <c r="A112" s="79"/>
      <c r="B112" s="707">
        <v>-5.235084778088444</v>
      </c>
      <c r="C112" s="708">
        <v>3.9892655858189223</v>
      </c>
      <c r="D112" s="709">
        <v>-1.7810053715122007</v>
      </c>
      <c r="E112" s="710">
        <v>-0.88902460828054741</v>
      </c>
      <c r="F112" s="708">
        <v>-0.41409151289073148</v>
      </c>
      <c r="G112" s="711">
        <v>0.19535471538584506</v>
      </c>
      <c r="H112" s="710">
        <v>0.314</v>
      </c>
      <c r="I112" s="708">
        <v>0.52</v>
      </c>
      <c r="J112" s="570">
        <v>6.1459999999999999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5"/>
        <v>6.1459999999999999</v>
      </c>
      <c r="N112" s="632">
        <f t="shared" si="666"/>
        <v>-5.235084778088444</v>
      </c>
      <c r="O112" s="629">
        <f t="shared" si="667"/>
        <v>3.9892655858189223</v>
      </c>
      <c r="P112" s="633">
        <f t="shared" si="668"/>
        <v>-1.7810053715122007</v>
      </c>
      <c r="Q112" s="585">
        <f t="shared" si="523"/>
        <v>142.69169239226088</v>
      </c>
      <c r="R112" s="629">
        <f t="shared" si="721"/>
        <v>6.58181985076867</v>
      </c>
      <c r="S112" s="634">
        <f t="shared" si="722"/>
        <v>-1.7810053715122007</v>
      </c>
      <c r="T112" s="635">
        <f t="shared" si="723"/>
        <v>3.9892655858189228</v>
      </c>
      <c r="U112" s="629">
        <f t="shared" si="724"/>
        <v>5.2350847780884431</v>
      </c>
      <c r="V112" s="636">
        <f t="shared" si="725"/>
        <v>-1.7810053715122007</v>
      </c>
      <c r="W112" s="585">
        <f t="shared" si="648"/>
        <v>52.691692392260876</v>
      </c>
      <c r="X112" s="629">
        <f t="shared" si="726"/>
        <v>6.58181985076867</v>
      </c>
      <c r="Y112" s="630">
        <f t="shared" si="647"/>
        <v>-1.7810053715122007</v>
      </c>
      <c r="Z112" s="632">
        <f t="shared" si="669"/>
        <v>0.88902460828054741</v>
      </c>
      <c r="AA112" s="629">
        <f t="shared" si="670"/>
        <v>0.41409151289073148</v>
      </c>
      <c r="AB112" s="629">
        <f t="shared" si="671"/>
        <v>-0.19535471538584506</v>
      </c>
      <c r="AC112" s="636">
        <f t="shared" si="727"/>
        <v>1</v>
      </c>
      <c r="AD112" s="637">
        <f t="shared" si="728"/>
        <v>0.88902460828054741</v>
      </c>
      <c r="AE112" s="629">
        <f t="shared" si="729"/>
        <v>0.41409151289073148</v>
      </c>
      <c r="AF112" s="633">
        <f t="shared" si="730"/>
        <v>-0.19535471538584506</v>
      </c>
      <c r="AG112" s="602">
        <f t="shared" si="731"/>
        <v>64.743607599134904</v>
      </c>
      <c r="AH112" s="603">
        <f t="shared" si="732"/>
        <v>27.249065632288179</v>
      </c>
      <c r="AI112" s="585">
        <f t="shared" si="733"/>
        <v>-78.734554182378716</v>
      </c>
      <c r="AJ112" s="586">
        <f t="shared" si="734"/>
        <v>114.9752484905293</v>
      </c>
      <c r="AK112" s="635">
        <f t="shared" si="735"/>
        <v>0.86820356378521313</v>
      </c>
      <c r="AL112" s="629">
        <f t="shared" si="736"/>
        <v>-0.45613496578005397</v>
      </c>
      <c r="AM112" s="634">
        <f t="shared" si="737"/>
        <v>-0.19535471538584506</v>
      </c>
      <c r="AN112" s="581">
        <f t="shared" si="738"/>
        <v>-66.81538679780121</v>
      </c>
      <c r="AO112" s="582">
        <f t="shared" si="463"/>
        <v>29.749451616588857</v>
      </c>
      <c r="AP112" s="585">
        <f t="shared" si="739"/>
        <v>-27.716443901731569</v>
      </c>
      <c r="AQ112" s="586">
        <f t="shared" si="672"/>
        <v>0.34636299889066724</v>
      </c>
      <c r="AS112" s="52">
        <f t="shared" si="742"/>
        <v>-307.30830760773915</v>
      </c>
      <c r="AT112" s="73">
        <f t="shared" si="673"/>
        <v>-1.5675968245623819</v>
      </c>
      <c r="AU112" s="469"/>
      <c r="AV112" s="168" t="str">
        <f t="shared" si="674"/>
        <v/>
      </c>
      <c r="AW112" s="418"/>
      <c r="AX112" s="419"/>
      <c r="AY112" s="420"/>
      <c r="AZ112" s="308" t="str">
        <f t="shared" si="547"/>
        <v/>
      </c>
      <c r="BA112" s="307" t="str">
        <f t="shared" si="675"/>
        <v/>
      </c>
      <c r="BB112" s="181" t="str">
        <f t="shared" si="524"/>
        <v/>
      </c>
      <c r="BC112" s="9"/>
      <c r="BD112" s="5" t="str">
        <f t="shared" si="525"/>
        <v/>
      </c>
      <c r="BE112" s="6" t="str">
        <f t="shared" si="676"/>
        <v/>
      </c>
      <c r="BF112" s="4" t="str">
        <f t="shared" si="677"/>
        <v/>
      </c>
      <c r="BG112" s="5" t="str">
        <f t="shared" si="678"/>
        <v/>
      </c>
      <c r="BH112" s="10" t="str">
        <f t="shared" si="679"/>
        <v/>
      </c>
      <c r="BI112" s="9" t="str">
        <f t="shared" si="548"/>
        <v/>
      </c>
      <c r="BJ112" s="5" t="str">
        <f t="shared" si="680"/>
        <v/>
      </c>
      <c r="BK112" s="8" t="str">
        <f t="shared" si="681"/>
        <v/>
      </c>
      <c r="BL112" s="177" t="str">
        <f t="shared" si="682"/>
        <v/>
      </c>
      <c r="BM112" s="5" t="str">
        <f t="shared" si="683"/>
        <v/>
      </c>
      <c r="BN112" s="6" t="str">
        <f t="shared" si="684"/>
        <v/>
      </c>
      <c r="BO112" s="4" t="str">
        <f t="shared" si="549"/>
        <v/>
      </c>
      <c r="BP112" s="5" t="str">
        <f t="shared" si="550"/>
        <v/>
      </c>
      <c r="BQ112" s="5" t="str">
        <f t="shared" si="551"/>
        <v/>
      </c>
      <c r="BR112" s="6" t="str">
        <f t="shared" si="552"/>
        <v/>
      </c>
      <c r="BS112" s="4" t="str">
        <f t="shared" si="740"/>
        <v/>
      </c>
      <c r="BT112" s="5" t="str">
        <f t="shared" si="740"/>
        <v/>
      </c>
      <c r="BU112" s="10" t="str">
        <f t="shared" si="527"/>
        <v/>
      </c>
      <c r="BV112" s="9" t="str">
        <f t="shared" si="528"/>
        <v/>
      </c>
      <c r="BW112" s="5" t="str">
        <f t="shared" si="529"/>
        <v/>
      </c>
      <c r="BX112" s="8" t="str">
        <f t="shared" si="530"/>
        <v/>
      </c>
      <c r="BY112" s="177" t="str">
        <f t="shared" si="531"/>
        <v/>
      </c>
      <c r="BZ112" s="5" t="str">
        <f t="shared" si="532"/>
        <v/>
      </c>
      <c r="CA112" s="6" t="str">
        <f t="shared" si="533"/>
        <v/>
      </c>
      <c r="CB112" s="4" t="str">
        <f t="shared" si="553"/>
        <v/>
      </c>
      <c r="CC112" s="5" t="str">
        <f t="shared" si="554"/>
        <v/>
      </c>
      <c r="CD112" s="5" t="str">
        <f t="shared" si="555"/>
        <v/>
      </c>
      <c r="CE112" s="6" t="str">
        <f t="shared" si="556"/>
        <v/>
      </c>
      <c r="CF112" s="4" t="str">
        <f t="shared" si="557"/>
        <v/>
      </c>
      <c r="CG112" s="5" t="str">
        <f t="shared" si="558"/>
        <v/>
      </c>
      <c r="CH112" s="5" t="str">
        <f t="shared" si="559"/>
        <v/>
      </c>
      <c r="CI112" s="4" t="str">
        <f t="shared" si="534"/>
        <v/>
      </c>
      <c r="CJ112" s="5" t="str">
        <f t="shared" si="535"/>
        <v/>
      </c>
      <c r="CK112" s="8" t="str">
        <f t="shared" si="536"/>
        <v/>
      </c>
      <c r="CL112" s="177" t="str">
        <f t="shared" si="537"/>
        <v/>
      </c>
      <c r="CM112" s="5" t="str">
        <f t="shared" si="538"/>
        <v/>
      </c>
      <c r="CN112" s="6" t="str">
        <f t="shared" si="539"/>
        <v/>
      </c>
      <c r="CO112" s="171" t="str">
        <f t="shared" si="685"/>
        <v/>
      </c>
      <c r="CP112" s="4" t="str">
        <f t="shared" si="560"/>
        <v/>
      </c>
      <c r="CQ112" s="5" t="str">
        <f t="shared" si="561"/>
        <v/>
      </c>
      <c r="CR112" s="5" t="str">
        <f t="shared" si="562"/>
        <v/>
      </c>
      <c r="CS112" s="8" t="str">
        <f t="shared" si="563"/>
        <v/>
      </c>
      <c r="CT112" s="9" t="str">
        <f t="shared" si="564"/>
        <v/>
      </c>
      <c r="CU112" s="6" t="str">
        <f t="shared" si="565"/>
        <v/>
      </c>
      <c r="CV112" s="4" t="str">
        <f t="shared" si="566"/>
        <v/>
      </c>
      <c r="CW112" s="5" t="str">
        <f t="shared" si="567"/>
        <v/>
      </c>
      <c r="CX112" s="8" t="str">
        <f t="shared" si="568"/>
        <v/>
      </c>
      <c r="CY112" s="9" t="str">
        <f t="shared" si="569"/>
        <v/>
      </c>
      <c r="CZ112" s="5" t="str">
        <f t="shared" si="570"/>
        <v/>
      </c>
      <c r="DA112" s="6" t="str">
        <f t="shared" si="571"/>
        <v/>
      </c>
      <c r="DB112" s="4" t="str">
        <f t="shared" si="743"/>
        <v/>
      </c>
      <c r="DC112" s="5" t="str">
        <f t="shared" si="743"/>
        <v/>
      </c>
      <c r="DD112" s="10" t="str">
        <f t="shared" si="573"/>
        <v/>
      </c>
      <c r="DE112" s="9" t="str">
        <f t="shared" si="744"/>
        <v/>
      </c>
      <c r="DF112" s="5" t="str">
        <f t="shared" si="744"/>
        <v/>
      </c>
      <c r="DG112" s="10" t="str">
        <f t="shared" si="575"/>
        <v/>
      </c>
      <c r="DH112" s="72" t="str">
        <f t="shared" si="576"/>
        <v/>
      </c>
      <c r="DI112" s="4" t="str">
        <f t="shared" si="577"/>
        <v/>
      </c>
      <c r="DJ112" s="5" t="str">
        <f t="shared" si="578"/>
        <v/>
      </c>
      <c r="DK112" s="10" t="str">
        <f t="shared" si="579"/>
        <v/>
      </c>
      <c r="DL112" s="9" t="str">
        <f t="shared" si="580"/>
        <v/>
      </c>
      <c r="DM112" s="177" t="str">
        <f t="shared" si="581"/>
        <v/>
      </c>
      <c r="DN112" s="182" t="str">
        <f t="shared" si="582"/>
        <v/>
      </c>
      <c r="DO112" s="9" t="str">
        <f t="shared" si="583"/>
        <v/>
      </c>
      <c r="DP112" s="177" t="str">
        <f t="shared" si="584"/>
        <v/>
      </c>
      <c r="DQ112" s="11" t="str">
        <f t="shared" si="585"/>
        <v/>
      </c>
      <c r="DR112" s="177" t="str">
        <f t="shared" si="586"/>
        <v/>
      </c>
      <c r="DS112" s="5" t="str">
        <f t="shared" si="587"/>
        <v/>
      </c>
      <c r="DT112" s="5" t="str">
        <f t="shared" si="588"/>
        <v/>
      </c>
      <c r="DU112" s="5" t="str">
        <f t="shared" si="589"/>
        <v/>
      </c>
      <c r="DV112" s="5" t="str">
        <f t="shared" si="590"/>
        <v/>
      </c>
      <c r="DW112" s="5" t="str">
        <f t="shared" si="591"/>
        <v/>
      </c>
      <c r="DX112" s="171" t="str">
        <f t="shared" si="592"/>
        <v/>
      </c>
      <c r="DY112" s="9" t="str">
        <f t="shared" si="593"/>
        <v/>
      </c>
      <c r="DZ112" s="5" t="str">
        <f t="shared" si="594"/>
        <v/>
      </c>
      <c r="EA112" s="10" t="str">
        <f t="shared" si="595"/>
        <v/>
      </c>
      <c r="EB112" s="6" t="str">
        <f t="shared" si="596"/>
        <v/>
      </c>
      <c r="EC112" s="177" t="str">
        <f t="shared" si="597"/>
        <v/>
      </c>
      <c r="ED112" s="5" t="str">
        <f t="shared" si="598"/>
        <v/>
      </c>
      <c r="EE112" s="4" t="str">
        <f t="shared" si="599"/>
        <v/>
      </c>
      <c r="EF112" s="5" t="str">
        <f t="shared" si="600"/>
        <v/>
      </c>
      <c r="EG112" s="10" t="str">
        <f t="shared" si="601"/>
        <v/>
      </c>
      <c r="EH112" s="9" t="str">
        <f t="shared" si="602"/>
        <v/>
      </c>
      <c r="EI112" s="5" t="str">
        <f t="shared" si="603"/>
        <v/>
      </c>
      <c r="EJ112" s="6" t="str">
        <f t="shared" si="604"/>
        <v/>
      </c>
      <c r="EK112" s="247" t="str">
        <f t="shared" si="605"/>
        <v/>
      </c>
      <c r="EL112" s="249" t="str">
        <f t="shared" si="606"/>
        <v/>
      </c>
      <c r="EM112" s="4" t="str">
        <f t="shared" si="607"/>
        <v/>
      </c>
      <c r="EN112" s="5" t="str">
        <f t="shared" si="608"/>
        <v/>
      </c>
      <c r="EO112" s="10" t="str">
        <f t="shared" si="609"/>
        <v/>
      </c>
      <c r="EP112" s="9" t="str">
        <f t="shared" si="610"/>
        <v/>
      </c>
      <c r="EQ112" s="5" t="str">
        <f t="shared" si="611"/>
        <v/>
      </c>
      <c r="ER112" s="7" t="str">
        <f t="shared" si="612"/>
        <v/>
      </c>
      <c r="ES112" s="21" t="str">
        <f t="shared" si="686"/>
        <v/>
      </c>
      <c r="ET112" s="5" t="str">
        <f t="shared" si="687"/>
        <v/>
      </c>
      <c r="EU112" s="10" t="str">
        <f t="shared" si="688"/>
        <v/>
      </c>
      <c r="EV112" s="178" t="str">
        <f t="shared" si="689"/>
        <v/>
      </c>
      <c r="EW112" s="9" t="str">
        <f t="shared" si="690"/>
        <v/>
      </c>
      <c r="EX112" s="5" t="str">
        <f t="shared" si="691"/>
        <v/>
      </c>
      <c r="EY112" s="6" t="str">
        <f t="shared" si="613"/>
        <v/>
      </c>
      <c r="EZ112" s="52" t="str">
        <f t="shared" si="614"/>
        <v/>
      </c>
      <c r="FA112" s="177" t="str">
        <f t="shared" si="692"/>
        <v/>
      </c>
      <c r="FB112" s="5" t="str">
        <f t="shared" si="693"/>
        <v/>
      </c>
      <c r="FC112" s="6" t="str">
        <f t="shared" si="694"/>
        <v/>
      </c>
      <c r="FD112" s="4" t="str">
        <f t="shared" si="695"/>
        <v/>
      </c>
      <c r="FE112" s="5" t="str">
        <f t="shared" si="696"/>
        <v/>
      </c>
      <c r="FF112" s="7" t="str">
        <f t="shared" si="615"/>
        <v/>
      </c>
      <c r="FG112" s="177" t="str">
        <f t="shared" si="697"/>
        <v/>
      </c>
      <c r="FH112" s="5" t="str">
        <f t="shared" si="698"/>
        <v/>
      </c>
      <c r="FI112" s="10" t="str">
        <f t="shared" si="699"/>
        <v/>
      </c>
      <c r="FJ112" s="290" t="str">
        <f t="shared" si="616"/>
        <v/>
      </c>
      <c r="FK112" s="4" t="str">
        <f t="shared" si="700"/>
        <v/>
      </c>
      <c r="FL112" s="5" t="str">
        <f t="shared" si="540"/>
        <v/>
      </c>
      <c r="FM112" s="8" t="str">
        <f t="shared" si="541"/>
        <v/>
      </c>
      <c r="FN112" s="9" t="str">
        <f t="shared" si="542"/>
        <v/>
      </c>
      <c r="FO112" s="10" t="str">
        <f t="shared" si="701"/>
        <v/>
      </c>
      <c r="FP112" s="288" t="str">
        <f t="shared" si="543"/>
        <v/>
      </c>
      <c r="FQ112" s="177" t="str">
        <f t="shared" si="617"/>
        <v/>
      </c>
      <c r="FR112" s="10" t="str">
        <f t="shared" si="618"/>
        <v/>
      </c>
      <c r="FS112" s="9" t="str">
        <f t="shared" si="619"/>
        <v/>
      </c>
      <c r="FT112" s="6" t="str">
        <f t="shared" si="620"/>
        <v/>
      </c>
      <c r="FU112" s="4" t="str">
        <f t="shared" si="621"/>
        <v/>
      </c>
      <c r="FV112" s="5" t="str">
        <f t="shared" si="622"/>
        <v/>
      </c>
      <c r="FW112" s="8" t="str">
        <f t="shared" si="623"/>
        <v/>
      </c>
      <c r="FX112" s="9" t="str">
        <f t="shared" si="624"/>
        <v/>
      </c>
      <c r="FY112" s="10" t="str">
        <f t="shared" si="702"/>
        <v/>
      </c>
      <c r="FZ112" s="288" t="str">
        <f t="shared" si="625"/>
        <v/>
      </c>
      <c r="GA112" s="181" t="str">
        <f t="shared" si="626"/>
        <v/>
      </c>
      <c r="GB112" s="4" t="str">
        <f t="shared" si="627"/>
        <v/>
      </c>
      <c r="GC112" s="5" t="str">
        <f t="shared" si="628"/>
        <v/>
      </c>
      <c r="GD112" s="10" t="str">
        <f t="shared" si="629"/>
        <v/>
      </c>
      <c r="GE112" s="324" t="str">
        <f t="shared" si="630"/>
        <v/>
      </c>
      <c r="GF112" s="362" t="str">
        <f t="shared" si="631"/>
        <v/>
      </c>
      <c r="GG112" s="296" t="str">
        <f t="shared" si="703"/>
        <v/>
      </c>
      <c r="GH112" s="297" t="str">
        <f t="shared" si="704"/>
        <v/>
      </c>
      <c r="GI112" s="292" t="str">
        <f t="shared" si="705"/>
        <v/>
      </c>
      <c r="GJ112" s="171" t="str">
        <f t="shared" si="632"/>
        <v/>
      </c>
      <c r="GK112" s="178" t="str">
        <f t="shared" si="706"/>
        <v/>
      </c>
      <c r="GL112" s="178" t="str">
        <f t="shared" si="633"/>
        <v/>
      </c>
      <c r="GM112" s="181" t="str">
        <f t="shared" si="634"/>
        <v/>
      </c>
      <c r="GN112" s="291" t="str">
        <f t="shared" si="635"/>
        <v/>
      </c>
      <c r="GO112" s="4" t="str">
        <f t="shared" si="636"/>
        <v/>
      </c>
      <c r="GP112" s="8" t="str">
        <f t="shared" si="637"/>
        <v/>
      </c>
      <c r="GQ112" s="181" t="str">
        <f t="shared" si="638"/>
        <v/>
      </c>
      <c r="GR112" s="417" t="str">
        <f t="shared" si="639"/>
        <v/>
      </c>
      <c r="GS112" s="363" t="str">
        <f t="shared" si="707"/>
        <v/>
      </c>
      <c r="GT112" s="364" t="str">
        <f t="shared" si="708"/>
        <v/>
      </c>
      <c r="GU112" s="365" t="str">
        <f t="shared" si="709"/>
        <v/>
      </c>
      <c r="GV112" s="364" t="str">
        <f t="shared" si="640"/>
        <v/>
      </c>
      <c r="GW112" s="366" t="str">
        <f t="shared" si="710"/>
        <v/>
      </c>
      <c r="GX112" s="367" t="str">
        <f t="shared" si="711"/>
        <v/>
      </c>
      <c r="GY112" s="365" t="str">
        <f t="shared" si="712"/>
        <v/>
      </c>
      <c r="GZ112" s="366" t="str">
        <f t="shared" si="713"/>
        <v/>
      </c>
      <c r="HA112" s="363" t="str">
        <f t="shared" si="714"/>
        <v/>
      </c>
      <c r="HB112" s="5" t="str">
        <f t="shared" si="641"/>
        <v/>
      </c>
      <c r="HC112" s="364" t="str">
        <f t="shared" si="642"/>
        <v/>
      </c>
      <c r="HD112" s="405" t="str">
        <f t="shared" si="643"/>
        <v/>
      </c>
      <c r="HE112" s="365" t="str">
        <f t="shared" si="715"/>
        <v/>
      </c>
      <c r="HF112" s="5" t="str">
        <f t="shared" si="716"/>
        <v/>
      </c>
      <c r="HG112" s="364" t="str">
        <f t="shared" si="644"/>
        <v/>
      </c>
      <c r="HH112" s="370" t="str">
        <f t="shared" si="645"/>
        <v/>
      </c>
      <c r="HI112" s="335" t="str">
        <f t="shared" si="717"/>
        <v/>
      </c>
      <c r="HK112" s="323" t="str">
        <f t="shared" si="664"/>
        <v/>
      </c>
      <c r="HL112" s="322" t="str">
        <f t="shared" si="741"/>
        <v/>
      </c>
      <c r="HM112" s="369" t="str">
        <f t="shared" si="745"/>
        <v/>
      </c>
      <c r="HN112" s="384" t="str">
        <f t="shared" si="745"/>
        <v/>
      </c>
      <c r="HO112" s="385" t="str">
        <f t="shared" si="745"/>
        <v/>
      </c>
      <c r="HP112" s="380" t="str">
        <f t="shared" si="745"/>
        <v/>
      </c>
      <c r="HQ112" s="384" t="str">
        <f t="shared" si="745"/>
        <v/>
      </c>
      <c r="HR112" s="395" t="str">
        <f t="shared" si="745"/>
        <v/>
      </c>
      <c r="HS112" s="379" t="str">
        <f t="shared" si="745"/>
        <v/>
      </c>
      <c r="HT112" s="374" t="str">
        <f t="shared" si="745"/>
        <v/>
      </c>
      <c r="HU112" s="375" t="str">
        <f t="shared" si="745"/>
        <v/>
      </c>
      <c r="HV112" s="376" t="str">
        <f t="shared" si="745"/>
        <v/>
      </c>
      <c r="HW112" s="374" t="str">
        <f t="shared" si="745"/>
        <v/>
      </c>
      <c r="HX112" s="375" t="str">
        <f t="shared" si="745"/>
        <v/>
      </c>
      <c r="HY112" s="376" t="str">
        <f t="shared" si="745"/>
        <v/>
      </c>
      <c r="HZ112" s="374" t="str">
        <f t="shared" si="745"/>
        <v/>
      </c>
      <c r="IA112" s="375" t="str">
        <f t="shared" si="745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6"/>
        <v>6.1459999999999999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>
        <f t="shared" si="545"/>
        <v>1613</v>
      </c>
      <c r="IK112" s="533" t="str">
        <f t="shared" si="718"/>
        <v/>
      </c>
      <c r="IL112" s="727" t="str">
        <f t="shared" si="651"/>
        <v/>
      </c>
      <c r="IM112" s="759"/>
      <c r="IN112" s="5" t="str">
        <f t="shared" si="652"/>
        <v/>
      </c>
      <c r="IO112" s="771"/>
      <c r="IP112" s="9" t="str">
        <f t="shared" si="653"/>
        <v/>
      </c>
      <c r="IQ112" s="5" t="str">
        <f t="shared" si="654"/>
        <v/>
      </c>
      <c r="IR112" s="5" t="str">
        <f t="shared" si="719"/>
        <v/>
      </c>
      <c r="IS112" s="5" t="str">
        <f t="shared" si="655"/>
        <v/>
      </c>
      <c r="IT112" s="727" t="str">
        <f t="shared" si="656"/>
        <v/>
      </c>
      <c r="IU112" s="9" t="str">
        <f t="shared" si="657"/>
        <v/>
      </c>
      <c r="IV112" s="5" t="str">
        <f t="shared" si="658"/>
        <v/>
      </c>
      <c r="IW112" s="5" t="str">
        <f t="shared" si="720"/>
        <v/>
      </c>
      <c r="IX112" s="5" t="str">
        <f t="shared" si="659"/>
        <v/>
      </c>
      <c r="IY112" s="762" t="str">
        <f t="shared" si="660"/>
        <v/>
      </c>
    </row>
    <row r="113" spans="1:259" ht="15" customHeight="1" x14ac:dyDescent="0.25">
      <c r="A113" s="79"/>
      <c r="B113" s="707">
        <v>-5.4260647061075593</v>
      </c>
      <c r="C113" s="708">
        <v>4.1868768910146059</v>
      </c>
      <c r="D113" s="709">
        <v>-2.4782074742737441</v>
      </c>
      <c r="E113" s="710">
        <v>-0.93486509645921234</v>
      </c>
      <c r="F113" s="708">
        <v>-0.32838131840812734</v>
      </c>
      <c r="G113" s="711">
        <v>0.13488128536920105</v>
      </c>
      <c r="H113" s="710">
        <v>0.314</v>
      </c>
      <c r="I113" s="708">
        <v>0.52</v>
      </c>
      <c r="J113" s="570">
        <v>6.1520000000000001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1613</v>
      </c>
      <c r="L113" s="320"/>
      <c r="M113" s="168">
        <f t="shared" si="665"/>
        <v>6.1520000000000001</v>
      </c>
      <c r="N113" s="632">
        <f t="shared" si="666"/>
        <v>-5.4260647061075593</v>
      </c>
      <c r="O113" s="629">
        <f t="shared" si="667"/>
        <v>4.1868768910146059</v>
      </c>
      <c r="P113" s="633">
        <f t="shared" si="668"/>
        <v>-2.4782074742737441</v>
      </c>
      <c r="Q113" s="585">
        <f t="shared" si="523"/>
        <v>142.34539244226039</v>
      </c>
      <c r="R113" s="629">
        <f t="shared" si="721"/>
        <v>6.8536206705199438</v>
      </c>
      <c r="S113" s="634">
        <f t="shared" si="722"/>
        <v>-2.4782074742737441</v>
      </c>
      <c r="T113" s="635">
        <f t="shared" si="723"/>
        <v>4.1868768910146068</v>
      </c>
      <c r="U113" s="629">
        <f t="shared" si="724"/>
        <v>5.4260647061075584</v>
      </c>
      <c r="V113" s="636">
        <f t="shared" si="725"/>
        <v>-2.4782074742737441</v>
      </c>
      <c r="W113" s="585">
        <f t="shared" si="648"/>
        <v>52.34539244226039</v>
      </c>
      <c r="X113" s="629">
        <f t="shared" si="726"/>
        <v>6.8536206705199438</v>
      </c>
      <c r="Y113" s="630">
        <f t="shared" si="647"/>
        <v>-2.4782074742737441</v>
      </c>
      <c r="Z113" s="632">
        <f t="shared" si="669"/>
        <v>0.93486509645921234</v>
      </c>
      <c r="AA113" s="629">
        <f t="shared" si="670"/>
        <v>0.32838131840812734</v>
      </c>
      <c r="AB113" s="629">
        <f t="shared" si="671"/>
        <v>-0.13488128536920105</v>
      </c>
      <c r="AC113" s="636">
        <f t="shared" si="727"/>
        <v>1</v>
      </c>
      <c r="AD113" s="637">
        <f t="shared" si="728"/>
        <v>0.93486509645921234</v>
      </c>
      <c r="AE113" s="629">
        <f t="shared" si="729"/>
        <v>0.32838131840812734</v>
      </c>
      <c r="AF113" s="633">
        <f t="shared" si="730"/>
        <v>-0.13488128536920105</v>
      </c>
      <c r="AG113" s="602">
        <f t="shared" si="731"/>
        <v>67.669792947696052</v>
      </c>
      <c r="AH113" s="603">
        <f t="shared" si="732"/>
        <v>20.793638724077319</v>
      </c>
      <c r="AI113" s="585">
        <f t="shared" si="733"/>
        <v>-82.248244744835716</v>
      </c>
      <c r="AJ113" s="586">
        <f t="shared" si="734"/>
        <v>109.35436811449968</v>
      </c>
      <c r="AK113" s="635">
        <f t="shared" si="735"/>
        <v>0.83109113042121496</v>
      </c>
      <c r="AL113" s="629">
        <f t="shared" si="736"/>
        <v>-0.53953180795235722</v>
      </c>
      <c r="AM113" s="634">
        <f t="shared" si="737"/>
        <v>-0.13488128536920105</v>
      </c>
      <c r="AN113" s="581">
        <f t="shared" si="738"/>
        <v>-75.963923108390432</v>
      </c>
      <c r="AO113" s="582">
        <f t="shared" si="463"/>
        <v>33.789012839880193</v>
      </c>
      <c r="AP113" s="585">
        <f t="shared" si="739"/>
        <v>-32.991024327760712</v>
      </c>
      <c r="AQ113" s="586">
        <f t="shared" si="672"/>
        <v>0.33262725356012757</v>
      </c>
      <c r="AS113" s="52">
        <f t="shared" si="742"/>
        <v>-307.65460755773961</v>
      </c>
      <c r="AT113" s="73">
        <f t="shared" si="673"/>
        <v>-2.2645584412475359</v>
      </c>
      <c r="AU113" s="469"/>
      <c r="AV113" s="168" t="str">
        <f t="shared" si="674"/>
        <v/>
      </c>
      <c r="AW113" s="418"/>
      <c r="AX113" s="419"/>
      <c r="AY113" s="420"/>
      <c r="AZ113" s="308" t="str">
        <f t="shared" si="547"/>
        <v/>
      </c>
      <c r="BA113" s="307" t="str">
        <f t="shared" si="675"/>
        <v/>
      </c>
      <c r="BB113" s="181" t="str">
        <f t="shared" si="524"/>
        <v/>
      </c>
      <c r="BC113" s="9"/>
      <c r="BD113" s="5" t="str">
        <f t="shared" si="525"/>
        <v/>
      </c>
      <c r="BE113" s="6" t="str">
        <f t="shared" si="676"/>
        <v/>
      </c>
      <c r="BF113" s="4" t="str">
        <f t="shared" si="677"/>
        <v/>
      </c>
      <c r="BG113" s="5" t="str">
        <f t="shared" si="678"/>
        <v/>
      </c>
      <c r="BH113" s="10" t="str">
        <f t="shared" si="679"/>
        <v/>
      </c>
      <c r="BI113" s="9" t="str">
        <f t="shared" si="548"/>
        <v/>
      </c>
      <c r="BJ113" s="5" t="str">
        <f t="shared" si="680"/>
        <v/>
      </c>
      <c r="BK113" s="8" t="str">
        <f t="shared" si="681"/>
        <v/>
      </c>
      <c r="BL113" s="177" t="str">
        <f t="shared" si="682"/>
        <v/>
      </c>
      <c r="BM113" s="5" t="str">
        <f t="shared" si="683"/>
        <v/>
      </c>
      <c r="BN113" s="6" t="str">
        <f t="shared" si="684"/>
        <v/>
      </c>
      <c r="BO113" s="4" t="str">
        <f t="shared" si="549"/>
        <v/>
      </c>
      <c r="BP113" s="5" t="str">
        <f t="shared" si="550"/>
        <v/>
      </c>
      <c r="BQ113" s="5" t="str">
        <f t="shared" si="551"/>
        <v/>
      </c>
      <c r="BR113" s="6" t="str">
        <f t="shared" si="552"/>
        <v/>
      </c>
      <c r="BS113" s="4" t="str">
        <f t="shared" si="740"/>
        <v/>
      </c>
      <c r="BT113" s="5" t="str">
        <f t="shared" si="740"/>
        <v/>
      </c>
      <c r="BU113" s="10" t="str">
        <f t="shared" si="527"/>
        <v/>
      </c>
      <c r="BV113" s="9" t="str">
        <f t="shared" si="528"/>
        <v/>
      </c>
      <c r="BW113" s="5" t="str">
        <f t="shared" si="529"/>
        <v/>
      </c>
      <c r="BX113" s="8" t="str">
        <f t="shared" si="530"/>
        <v/>
      </c>
      <c r="BY113" s="177" t="str">
        <f t="shared" si="531"/>
        <v/>
      </c>
      <c r="BZ113" s="5" t="str">
        <f t="shared" si="532"/>
        <v/>
      </c>
      <c r="CA113" s="6" t="str">
        <f t="shared" si="533"/>
        <v/>
      </c>
      <c r="CB113" s="4" t="str">
        <f t="shared" si="553"/>
        <v/>
      </c>
      <c r="CC113" s="5" t="str">
        <f t="shared" si="554"/>
        <v/>
      </c>
      <c r="CD113" s="5" t="str">
        <f t="shared" si="555"/>
        <v/>
      </c>
      <c r="CE113" s="6" t="str">
        <f t="shared" si="556"/>
        <v/>
      </c>
      <c r="CF113" s="4" t="str">
        <f t="shared" si="557"/>
        <v/>
      </c>
      <c r="CG113" s="5" t="str">
        <f t="shared" si="558"/>
        <v/>
      </c>
      <c r="CH113" s="5" t="str">
        <f t="shared" si="559"/>
        <v/>
      </c>
      <c r="CI113" s="4" t="str">
        <f t="shared" si="534"/>
        <v/>
      </c>
      <c r="CJ113" s="5" t="str">
        <f t="shared" si="535"/>
        <v/>
      </c>
      <c r="CK113" s="8" t="str">
        <f t="shared" si="536"/>
        <v/>
      </c>
      <c r="CL113" s="177" t="str">
        <f t="shared" si="537"/>
        <v/>
      </c>
      <c r="CM113" s="5" t="str">
        <f t="shared" si="538"/>
        <v/>
      </c>
      <c r="CN113" s="6" t="str">
        <f t="shared" si="539"/>
        <v/>
      </c>
      <c r="CO113" s="171" t="str">
        <f t="shared" si="685"/>
        <v/>
      </c>
      <c r="CP113" s="4" t="str">
        <f t="shared" si="560"/>
        <v/>
      </c>
      <c r="CQ113" s="5" t="str">
        <f t="shared" si="561"/>
        <v/>
      </c>
      <c r="CR113" s="5" t="str">
        <f t="shared" si="562"/>
        <v/>
      </c>
      <c r="CS113" s="8" t="str">
        <f t="shared" si="563"/>
        <v/>
      </c>
      <c r="CT113" s="9" t="str">
        <f t="shared" si="564"/>
        <v/>
      </c>
      <c r="CU113" s="6" t="str">
        <f t="shared" si="565"/>
        <v/>
      </c>
      <c r="CV113" s="4" t="str">
        <f t="shared" si="566"/>
        <v/>
      </c>
      <c r="CW113" s="5" t="str">
        <f t="shared" si="567"/>
        <v/>
      </c>
      <c r="CX113" s="8" t="str">
        <f t="shared" si="568"/>
        <v/>
      </c>
      <c r="CY113" s="9" t="str">
        <f t="shared" si="569"/>
        <v/>
      </c>
      <c r="CZ113" s="5" t="str">
        <f t="shared" si="570"/>
        <v/>
      </c>
      <c r="DA113" s="6" t="str">
        <f t="shared" si="571"/>
        <v/>
      </c>
      <c r="DB113" s="4" t="str">
        <f t="shared" si="743"/>
        <v/>
      </c>
      <c r="DC113" s="5" t="str">
        <f t="shared" si="743"/>
        <v/>
      </c>
      <c r="DD113" s="10" t="str">
        <f t="shared" si="573"/>
        <v/>
      </c>
      <c r="DE113" s="9" t="str">
        <f t="shared" si="744"/>
        <v/>
      </c>
      <c r="DF113" s="5" t="str">
        <f t="shared" si="744"/>
        <v/>
      </c>
      <c r="DG113" s="10" t="str">
        <f t="shared" si="575"/>
        <v/>
      </c>
      <c r="DH113" s="72" t="str">
        <f t="shared" si="576"/>
        <v/>
      </c>
      <c r="DI113" s="4" t="str">
        <f t="shared" si="577"/>
        <v/>
      </c>
      <c r="DJ113" s="5" t="str">
        <f t="shared" si="578"/>
        <v/>
      </c>
      <c r="DK113" s="10" t="str">
        <f t="shared" si="579"/>
        <v/>
      </c>
      <c r="DL113" s="9" t="str">
        <f t="shared" si="580"/>
        <v/>
      </c>
      <c r="DM113" s="177" t="str">
        <f t="shared" si="581"/>
        <v/>
      </c>
      <c r="DN113" s="182" t="str">
        <f t="shared" si="582"/>
        <v/>
      </c>
      <c r="DO113" s="9" t="str">
        <f t="shared" si="583"/>
        <v/>
      </c>
      <c r="DP113" s="177" t="str">
        <f t="shared" si="584"/>
        <v/>
      </c>
      <c r="DQ113" s="11" t="str">
        <f t="shared" si="585"/>
        <v/>
      </c>
      <c r="DR113" s="177" t="str">
        <f t="shared" si="586"/>
        <v/>
      </c>
      <c r="DS113" s="5" t="str">
        <f t="shared" si="587"/>
        <v/>
      </c>
      <c r="DT113" s="5" t="str">
        <f t="shared" si="588"/>
        <v/>
      </c>
      <c r="DU113" s="5" t="str">
        <f t="shared" si="589"/>
        <v/>
      </c>
      <c r="DV113" s="5" t="str">
        <f t="shared" si="590"/>
        <v/>
      </c>
      <c r="DW113" s="5" t="str">
        <f t="shared" si="591"/>
        <v/>
      </c>
      <c r="DX113" s="171" t="str">
        <f t="shared" si="592"/>
        <v/>
      </c>
      <c r="DY113" s="9" t="str">
        <f t="shared" si="593"/>
        <v/>
      </c>
      <c r="DZ113" s="5" t="str">
        <f t="shared" si="594"/>
        <v/>
      </c>
      <c r="EA113" s="10" t="str">
        <f t="shared" si="595"/>
        <v/>
      </c>
      <c r="EB113" s="6" t="str">
        <f t="shared" si="596"/>
        <v/>
      </c>
      <c r="EC113" s="177" t="str">
        <f t="shared" si="597"/>
        <v/>
      </c>
      <c r="ED113" s="5" t="str">
        <f t="shared" si="598"/>
        <v/>
      </c>
      <c r="EE113" s="4" t="str">
        <f t="shared" si="599"/>
        <v/>
      </c>
      <c r="EF113" s="5" t="str">
        <f t="shared" si="600"/>
        <v/>
      </c>
      <c r="EG113" s="10" t="str">
        <f t="shared" si="601"/>
        <v/>
      </c>
      <c r="EH113" s="9" t="str">
        <f t="shared" si="602"/>
        <v/>
      </c>
      <c r="EI113" s="5" t="str">
        <f t="shared" si="603"/>
        <v/>
      </c>
      <c r="EJ113" s="6" t="str">
        <f t="shared" si="604"/>
        <v/>
      </c>
      <c r="EK113" s="247" t="str">
        <f t="shared" si="605"/>
        <v/>
      </c>
      <c r="EL113" s="249" t="str">
        <f t="shared" si="606"/>
        <v/>
      </c>
      <c r="EM113" s="4" t="str">
        <f t="shared" si="607"/>
        <v/>
      </c>
      <c r="EN113" s="5" t="str">
        <f t="shared" si="608"/>
        <v/>
      </c>
      <c r="EO113" s="10" t="str">
        <f t="shared" si="609"/>
        <v/>
      </c>
      <c r="EP113" s="9" t="str">
        <f t="shared" si="610"/>
        <v/>
      </c>
      <c r="EQ113" s="5" t="str">
        <f t="shared" si="611"/>
        <v/>
      </c>
      <c r="ER113" s="7" t="str">
        <f t="shared" si="612"/>
        <v/>
      </c>
      <c r="ES113" s="21" t="str">
        <f t="shared" si="686"/>
        <v/>
      </c>
      <c r="ET113" s="5" t="str">
        <f t="shared" si="687"/>
        <v/>
      </c>
      <c r="EU113" s="10" t="str">
        <f t="shared" si="688"/>
        <v/>
      </c>
      <c r="EV113" s="178" t="str">
        <f t="shared" si="689"/>
        <v/>
      </c>
      <c r="EW113" s="9" t="str">
        <f t="shared" si="690"/>
        <v/>
      </c>
      <c r="EX113" s="5" t="str">
        <f t="shared" si="691"/>
        <v/>
      </c>
      <c r="EY113" s="6" t="str">
        <f t="shared" si="613"/>
        <v/>
      </c>
      <c r="EZ113" s="52" t="str">
        <f t="shared" si="614"/>
        <v/>
      </c>
      <c r="FA113" s="177" t="str">
        <f t="shared" si="692"/>
        <v/>
      </c>
      <c r="FB113" s="5" t="str">
        <f t="shared" si="693"/>
        <v/>
      </c>
      <c r="FC113" s="6" t="str">
        <f t="shared" si="694"/>
        <v/>
      </c>
      <c r="FD113" s="4" t="str">
        <f t="shared" si="695"/>
        <v/>
      </c>
      <c r="FE113" s="5" t="str">
        <f t="shared" si="696"/>
        <v/>
      </c>
      <c r="FF113" s="7" t="str">
        <f t="shared" si="615"/>
        <v/>
      </c>
      <c r="FG113" s="177" t="str">
        <f t="shared" si="697"/>
        <v/>
      </c>
      <c r="FH113" s="5" t="str">
        <f t="shared" si="698"/>
        <v/>
      </c>
      <c r="FI113" s="10" t="str">
        <f t="shared" si="699"/>
        <v/>
      </c>
      <c r="FJ113" s="290" t="str">
        <f t="shared" si="616"/>
        <v/>
      </c>
      <c r="FK113" s="4" t="str">
        <f t="shared" si="700"/>
        <v/>
      </c>
      <c r="FL113" s="5" t="str">
        <f t="shared" si="540"/>
        <v/>
      </c>
      <c r="FM113" s="8" t="str">
        <f t="shared" si="541"/>
        <v/>
      </c>
      <c r="FN113" s="9" t="str">
        <f t="shared" si="542"/>
        <v/>
      </c>
      <c r="FO113" s="10" t="str">
        <f t="shared" si="701"/>
        <v/>
      </c>
      <c r="FP113" s="288" t="str">
        <f t="shared" si="543"/>
        <v/>
      </c>
      <c r="FQ113" s="177" t="str">
        <f t="shared" si="617"/>
        <v/>
      </c>
      <c r="FR113" s="10" t="str">
        <f t="shared" si="618"/>
        <v/>
      </c>
      <c r="FS113" s="9" t="str">
        <f t="shared" si="619"/>
        <v/>
      </c>
      <c r="FT113" s="6" t="str">
        <f t="shared" si="620"/>
        <v/>
      </c>
      <c r="FU113" s="4" t="str">
        <f t="shared" si="621"/>
        <v/>
      </c>
      <c r="FV113" s="5" t="str">
        <f t="shared" si="622"/>
        <v/>
      </c>
      <c r="FW113" s="8" t="str">
        <f t="shared" si="623"/>
        <v/>
      </c>
      <c r="FX113" s="9" t="str">
        <f t="shared" si="624"/>
        <v/>
      </c>
      <c r="FY113" s="10" t="str">
        <f t="shared" si="702"/>
        <v/>
      </c>
      <c r="FZ113" s="288" t="str">
        <f t="shared" si="625"/>
        <v/>
      </c>
      <c r="GA113" s="181" t="str">
        <f t="shared" si="626"/>
        <v/>
      </c>
      <c r="GB113" s="4" t="str">
        <f t="shared" si="627"/>
        <v/>
      </c>
      <c r="GC113" s="5" t="str">
        <f t="shared" si="628"/>
        <v/>
      </c>
      <c r="GD113" s="10" t="str">
        <f t="shared" si="629"/>
        <v/>
      </c>
      <c r="GE113" s="324" t="str">
        <f t="shared" si="630"/>
        <v/>
      </c>
      <c r="GF113" s="362" t="str">
        <f t="shared" si="631"/>
        <v/>
      </c>
      <c r="GG113" s="296" t="str">
        <f t="shared" si="703"/>
        <v/>
      </c>
      <c r="GH113" s="297" t="str">
        <f t="shared" si="704"/>
        <v/>
      </c>
      <c r="GI113" s="292" t="str">
        <f t="shared" si="705"/>
        <v/>
      </c>
      <c r="GJ113" s="171" t="str">
        <f t="shared" si="632"/>
        <v/>
      </c>
      <c r="GK113" s="178" t="str">
        <f t="shared" si="706"/>
        <v/>
      </c>
      <c r="GL113" s="178" t="str">
        <f t="shared" si="633"/>
        <v/>
      </c>
      <c r="GM113" s="181" t="str">
        <f t="shared" si="634"/>
        <v/>
      </c>
      <c r="GN113" s="291" t="str">
        <f t="shared" si="635"/>
        <v/>
      </c>
      <c r="GO113" s="4" t="str">
        <f t="shared" si="636"/>
        <v/>
      </c>
      <c r="GP113" s="8" t="str">
        <f t="shared" si="637"/>
        <v/>
      </c>
      <c r="GQ113" s="181" t="str">
        <f t="shared" si="638"/>
        <v/>
      </c>
      <c r="GR113" s="417" t="str">
        <f t="shared" si="639"/>
        <v/>
      </c>
      <c r="GS113" s="363" t="str">
        <f t="shared" si="707"/>
        <v/>
      </c>
      <c r="GT113" s="364" t="str">
        <f t="shared" si="708"/>
        <v/>
      </c>
      <c r="GU113" s="365" t="str">
        <f t="shared" si="709"/>
        <v/>
      </c>
      <c r="GV113" s="364" t="str">
        <f t="shared" si="640"/>
        <v/>
      </c>
      <c r="GW113" s="366" t="str">
        <f t="shared" si="710"/>
        <v/>
      </c>
      <c r="GX113" s="367" t="str">
        <f t="shared" si="711"/>
        <v/>
      </c>
      <c r="GY113" s="365" t="str">
        <f t="shared" si="712"/>
        <v/>
      </c>
      <c r="GZ113" s="366" t="str">
        <f t="shared" si="713"/>
        <v/>
      </c>
      <c r="HA113" s="363" t="str">
        <f t="shared" si="714"/>
        <v/>
      </c>
      <c r="HB113" s="5" t="str">
        <f t="shared" si="641"/>
        <v/>
      </c>
      <c r="HC113" s="364" t="str">
        <f t="shared" si="642"/>
        <v/>
      </c>
      <c r="HD113" s="405" t="str">
        <f t="shared" si="643"/>
        <v/>
      </c>
      <c r="HE113" s="365" t="str">
        <f t="shared" si="715"/>
        <v/>
      </c>
      <c r="HF113" s="5" t="str">
        <f t="shared" si="716"/>
        <v/>
      </c>
      <c r="HG113" s="364" t="str">
        <f t="shared" si="644"/>
        <v/>
      </c>
      <c r="HH113" s="370" t="str">
        <f t="shared" si="645"/>
        <v/>
      </c>
      <c r="HI113" s="335" t="str">
        <f t="shared" si="717"/>
        <v/>
      </c>
      <c r="HK113" s="323" t="str">
        <f t="shared" si="664"/>
        <v/>
      </c>
      <c r="HL113" s="322" t="str">
        <f t="shared" si="741"/>
        <v/>
      </c>
      <c r="HM113" s="369" t="str">
        <f t="shared" si="745"/>
        <v/>
      </c>
      <c r="HN113" s="384" t="str">
        <f t="shared" si="745"/>
        <v/>
      </c>
      <c r="HO113" s="385" t="str">
        <f t="shared" si="745"/>
        <v/>
      </c>
      <c r="HP113" s="380" t="str">
        <f t="shared" si="745"/>
        <v/>
      </c>
      <c r="HQ113" s="384" t="str">
        <f t="shared" si="745"/>
        <v/>
      </c>
      <c r="HR113" s="395" t="str">
        <f t="shared" si="745"/>
        <v/>
      </c>
      <c r="HS113" s="379" t="str">
        <f t="shared" si="745"/>
        <v/>
      </c>
      <c r="HT113" s="374" t="str">
        <f t="shared" si="745"/>
        <v/>
      </c>
      <c r="HU113" s="375" t="str">
        <f t="shared" si="745"/>
        <v/>
      </c>
      <c r="HV113" s="376" t="str">
        <f t="shared" si="745"/>
        <v/>
      </c>
      <c r="HW113" s="374" t="str">
        <f t="shared" si="745"/>
        <v/>
      </c>
      <c r="HX113" s="375" t="str">
        <f t="shared" si="745"/>
        <v/>
      </c>
      <c r="HY113" s="376" t="str">
        <f t="shared" si="745"/>
        <v/>
      </c>
      <c r="HZ113" s="374" t="str">
        <f t="shared" si="745"/>
        <v/>
      </c>
      <c r="IA113" s="375" t="str">
        <f t="shared" si="745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6"/>
        <v>6.1520000000000001</v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>
        <f t="shared" si="545"/>
        <v>1613</v>
      </c>
      <c r="IK113" s="533" t="str">
        <f t="shared" si="718"/>
        <v/>
      </c>
      <c r="IL113" s="727" t="str">
        <f t="shared" si="651"/>
        <v/>
      </c>
      <c r="IM113" s="759"/>
      <c r="IN113" s="5" t="str">
        <f t="shared" si="652"/>
        <v/>
      </c>
      <c r="IO113" s="771"/>
      <c r="IP113" s="9" t="str">
        <f t="shared" si="653"/>
        <v/>
      </c>
      <c r="IQ113" s="5" t="str">
        <f t="shared" si="654"/>
        <v/>
      </c>
      <c r="IR113" s="5" t="str">
        <f t="shared" si="719"/>
        <v/>
      </c>
      <c r="IS113" s="5" t="str">
        <f t="shared" si="655"/>
        <v/>
      </c>
      <c r="IT113" s="727" t="str">
        <f t="shared" si="656"/>
        <v/>
      </c>
      <c r="IU113" s="9" t="str">
        <f t="shared" si="657"/>
        <v/>
      </c>
      <c r="IV113" s="5" t="str">
        <f t="shared" si="658"/>
        <v/>
      </c>
      <c r="IW113" s="5" t="str">
        <f t="shared" si="720"/>
        <v/>
      </c>
      <c r="IX113" s="5" t="str">
        <f t="shared" si="659"/>
        <v/>
      </c>
      <c r="IY113" s="762" t="str">
        <f t="shared" si="660"/>
        <v/>
      </c>
    </row>
    <row r="114" spans="1:259" ht="15" customHeight="1" x14ac:dyDescent="0.25">
      <c r="A114" s="79"/>
      <c r="B114" s="707">
        <v>-5.5169460074542993</v>
      </c>
      <c r="C114" s="708">
        <v>4.3492107851454902</v>
      </c>
      <c r="D114" s="709">
        <v>-3.2026096590707316</v>
      </c>
      <c r="E114" s="710">
        <v>-0.96419910242341389</v>
      </c>
      <c r="F114" s="708">
        <v>-0.25978287374420683</v>
      </c>
      <c r="G114" s="711">
        <v>5.3225458148188548E-2</v>
      </c>
      <c r="H114" s="710">
        <v>0.314</v>
      </c>
      <c r="I114" s="708">
        <v>0.52</v>
      </c>
      <c r="J114" s="570">
        <v>6.1580000000000004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1613</v>
      </c>
      <c r="L114" s="320"/>
      <c r="M114" s="168">
        <f t="shared" si="665"/>
        <v>6.1580000000000004</v>
      </c>
      <c r="N114" s="632">
        <f t="shared" si="666"/>
        <v>-5.5169460074542993</v>
      </c>
      <c r="O114" s="629">
        <f t="shared" si="667"/>
        <v>4.3492107851454902</v>
      </c>
      <c r="P114" s="633">
        <f t="shared" si="668"/>
        <v>-3.2026096590707316</v>
      </c>
      <c r="Q114" s="585">
        <f t="shared" si="523"/>
        <v>141.74999205898365</v>
      </c>
      <c r="R114" s="629">
        <f t="shared" si="721"/>
        <v>7.0251211877655022</v>
      </c>
      <c r="S114" s="634">
        <f t="shared" si="722"/>
        <v>-3.2026096590707316</v>
      </c>
      <c r="T114" s="635">
        <f t="shared" si="723"/>
        <v>4.3492107851454893</v>
      </c>
      <c r="U114" s="629">
        <f t="shared" si="724"/>
        <v>5.5169460074542993</v>
      </c>
      <c r="V114" s="636">
        <f t="shared" si="725"/>
        <v>-3.2026096590707316</v>
      </c>
      <c r="W114" s="585">
        <f t="shared" si="648"/>
        <v>51.749992058983651</v>
      </c>
      <c r="X114" s="629">
        <f t="shared" si="726"/>
        <v>7.0251211877655022</v>
      </c>
      <c r="Y114" s="630">
        <f t="shared" si="647"/>
        <v>-3.2026096590707316</v>
      </c>
      <c r="Z114" s="632">
        <f t="shared" si="669"/>
        <v>0.96419910242341389</v>
      </c>
      <c r="AA114" s="629">
        <f t="shared" si="670"/>
        <v>0.25978287374420683</v>
      </c>
      <c r="AB114" s="629">
        <f t="shared" si="671"/>
        <v>-5.3225458148188548E-2</v>
      </c>
      <c r="AC114" s="636">
        <f t="shared" si="727"/>
        <v>1</v>
      </c>
      <c r="AD114" s="637">
        <f t="shared" si="728"/>
        <v>0.96419910242341389</v>
      </c>
      <c r="AE114" s="629">
        <f t="shared" si="729"/>
        <v>0.25978287374420683</v>
      </c>
      <c r="AF114" s="633">
        <f t="shared" si="730"/>
        <v>-5.3225458148188548E-2</v>
      </c>
      <c r="AG114" s="602">
        <f t="shared" si="731"/>
        <v>78.421230204189314</v>
      </c>
      <c r="AH114" s="603">
        <f t="shared" si="732"/>
        <v>15.377610433782291</v>
      </c>
      <c r="AI114" s="585">
        <f t="shared" si="733"/>
        <v>-86.948964155778043</v>
      </c>
      <c r="AJ114" s="586">
        <f t="shared" si="734"/>
        <v>105.07905971592642</v>
      </c>
      <c r="AK114" s="635">
        <f t="shared" si="735"/>
        <v>0.80094180199976317</v>
      </c>
      <c r="AL114" s="629">
        <f t="shared" si="736"/>
        <v>-0.59637176359573529</v>
      </c>
      <c r="AM114" s="634">
        <f t="shared" si="737"/>
        <v>-5.3225458148188548E-2</v>
      </c>
      <c r="AN114" s="581">
        <f t="shared" si="738"/>
        <v>-84.899933641766737</v>
      </c>
      <c r="AO114" s="582">
        <f t="shared" si="463"/>
        <v>36.779867832378812</v>
      </c>
      <c r="AP114" s="585">
        <f t="shared" si="739"/>
        <v>-36.670932343057231</v>
      </c>
      <c r="AQ114" s="586">
        <f t="shared" si="672"/>
        <v>0.32450717857142791</v>
      </c>
      <c r="AS114" s="52">
        <f t="shared" si="742"/>
        <v>-308.25000794101635</v>
      </c>
      <c r="AT114" s="73">
        <f t="shared" si="673"/>
        <v>-2.9885471535561368</v>
      </c>
      <c r="AU114" s="469"/>
      <c r="AV114" s="168" t="str">
        <f t="shared" si="674"/>
        <v/>
      </c>
      <c r="AW114" s="418"/>
      <c r="AX114" s="419"/>
      <c r="AY114" s="420"/>
      <c r="AZ114" s="308" t="str">
        <f t="shared" si="547"/>
        <v/>
      </c>
      <c r="BA114" s="307" t="str">
        <f t="shared" si="675"/>
        <v/>
      </c>
      <c r="BB114" s="181" t="str">
        <f t="shared" si="524"/>
        <v/>
      </c>
      <c r="BC114" s="9"/>
      <c r="BD114" s="5" t="str">
        <f t="shared" si="525"/>
        <v/>
      </c>
      <c r="BE114" s="6" t="str">
        <f t="shared" si="676"/>
        <v/>
      </c>
      <c r="BF114" s="4" t="str">
        <f t="shared" si="677"/>
        <v/>
      </c>
      <c r="BG114" s="5" t="str">
        <f t="shared" si="678"/>
        <v/>
      </c>
      <c r="BH114" s="10" t="str">
        <f t="shared" si="679"/>
        <v/>
      </c>
      <c r="BI114" s="9" t="str">
        <f t="shared" si="548"/>
        <v/>
      </c>
      <c r="BJ114" s="5" t="str">
        <f t="shared" si="680"/>
        <v/>
      </c>
      <c r="BK114" s="8" t="str">
        <f t="shared" si="681"/>
        <v/>
      </c>
      <c r="BL114" s="177" t="str">
        <f t="shared" si="682"/>
        <v/>
      </c>
      <c r="BM114" s="5" t="str">
        <f t="shared" si="683"/>
        <v/>
      </c>
      <c r="BN114" s="6" t="str">
        <f t="shared" si="684"/>
        <v/>
      </c>
      <c r="BO114" s="4" t="str">
        <f t="shared" si="549"/>
        <v/>
      </c>
      <c r="BP114" s="5" t="str">
        <f t="shared" si="550"/>
        <v/>
      </c>
      <c r="BQ114" s="5" t="str">
        <f t="shared" si="551"/>
        <v/>
      </c>
      <c r="BR114" s="6" t="str">
        <f t="shared" si="552"/>
        <v/>
      </c>
      <c r="BS114" s="4" t="str">
        <f t="shared" si="740"/>
        <v/>
      </c>
      <c r="BT114" s="5" t="str">
        <f t="shared" si="740"/>
        <v/>
      </c>
      <c r="BU114" s="10" t="str">
        <f t="shared" si="527"/>
        <v/>
      </c>
      <c r="BV114" s="9" t="str">
        <f t="shared" si="528"/>
        <v/>
      </c>
      <c r="BW114" s="5" t="str">
        <f t="shared" si="529"/>
        <v/>
      </c>
      <c r="BX114" s="8" t="str">
        <f t="shared" si="530"/>
        <v/>
      </c>
      <c r="BY114" s="177" t="str">
        <f t="shared" si="531"/>
        <v/>
      </c>
      <c r="BZ114" s="5" t="str">
        <f t="shared" si="532"/>
        <v/>
      </c>
      <c r="CA114" s="6" t="str">
        <f t="shared" si="533"/>
        <v/>
      </c>
      <c r="CB114" s="4" t="str">
        <f t="shared" si="553"/>
        <v/>
      </c>
      <c r="CC114" s="5" t="str">
        <f t="shared" si="554"/>
        <v/>
      </c>
      <c r="CD114" s="5" t="str">
        <f t="shared" si="555"/>
        <v/>
      </c>
      <c r="CE114" s="6" t="str">
        <f t="shared" si="556"/>
        <v/>
      </c>
      <c r="CF114" s="4" t="str">
        <f t="shared" si="557"/>
        <v/>
      </c>
      <c r="CG114" s="5" t="str">
        <f t="shared" si="558"/>
        <v/>
      </c>
      <c r="CH114" s="5" t="str">
        <f t="shared" si="559"/>
        <v/>
      </c>
      <c r="CI114" s="4" t="str">
        <f t="shared" si="534"/>
        <v/>
      </c>
      <c r="CJ114" s="5" t="str">
        <f t="shared" si="535"/>
        <v/>
      </c>
      <c r="CK114" s="8" t="str">
        <f t="shared" si="536"/>
        <v/>
      </c>
      <c r="CL114" s="177" t="str">
        <f t="shared" si="537"/>
        <v/>
      </c>
      <c r="CM114" s="5" t="str">
        <f t="shared" si="538"/>
        <v/>
      </c>
      <c r="CN114" s="6" t="str">
        <f t="shared" si="539"/>
        <v/>
      </c>
      <c r="CO114" s="171" t="str">
        <f t="shared" si="685"/>
        <v/>
      </c>
      <c r="CP114" s="4" t="str">
        <f t="shared" si="560"/>
        <v/>
      </c>
      <c r="CQ114" s="5" t="str">
        <f t="shared" si="561"/>
        <v/>
      </c>
      <c r="CR114" s="5" t="str">
        <f t="shared" si="562"/>
        <v/>
      </c>
      <c r="CS114" s="8" t="str">
        <f t="shared" si="563"/>
        <v/>
      </c>
      <c r="CT114" s="9" t="str">
        <f t="shared" si="564"/>
        <v/>
      </c>
      <c r="CU114" s="6" t="str">
        <f t="shared" si="565"/>
        <v/>
      </c>
      <c r="CV114" s="4" t="str">
        <f t="shared" si="566"/>
        <v/>
      </c>
      <c r="CW114" s="5" t="str">
        <f t="shared" si="567"/>
        <v/>
      </c>
      <c r="CX114" s="8" t="str">
        <f t="shared" si="568"/>
        <v/>
      </c>
      <c r="CY114" s="9" t="str">
        <f t="shared" si="569"/>
        <v/>
      </c>
      <c r="CZ114" s="5" t="str">
        <f t="shared" si="570"/>
        <v/>
      </c>
      <c r="DA114" s="6" t="str">
        <f t="shared" si="571"/>
        <v/>
      </c>
      <c r="DB114" s="4" t="str">
        <f t="shared" si="743"/>
        <v/>
      </c>
      <c r="DC114" s="5" t="str">
        <f t="shared" si="743"/>
        <v/>
      </c>
      <c r="DD114" s="10" t="str">
        <f t="shared" si="573"/>
        <v/>
      </c>
      <c r="DE114" s="9" t="str">
        <f t="shared" si="744"/>
        <v/>
      </c>
      <c r="DF114" s="5" t="str">
        <f t="shared" si="744"/>
        <v/>
      </c>
      <c r="DG114" s="10" t="str">
        <f t="shared" si="575"/>
        <v/>
      </c>
      <c r="DH114" s="72" t="str">
        <f t="shared" si="576"/>
        <v/>
      </c>
      <c r="DI114" s="4" t="str">
        <f t="shared" si="577"/>
        <v/>
      </c>
      <c r="DJ114" s="5" t="str">
        <f t="shared" si="578"/>
        <v/>
      </c>
      <c r="DK114" s="10" t="str">
        <f t="shared" si="579"/>
        <v/>
      </c>
      <c r="DL114" s="9" t="str">
        <f t="shared" si="580"/>
        <v/>
      </c>
      <c r="DM114" s="177" t="str">
        <f t="shared" si="581"/>
        <v/>
      </c>
      <c r="DN114" s="182" t="str">
        <f t="shared" si="582"/>
        <v/>
      </c>
      <c r="DO114" s="9" t="str">
        <f t="shared" si="583"/>
        <v/>
      </c>
      <c r="DP114" s="177" t="str">
        <f t="shared" si="584"/>
        <v/>
      </c>
      <c r="DQ114" s="11" t="str">
        <f t="shared" si="585"/>
        <v/>
      </c>
      <c r="DR114" s="177" t="str">
        <f t="shared" si="586"/>
        <v/>
      </c>
      <c r="DS114" s="5" t="str">
        <f t="shared" si="587"/>
        <v/>
      </c>
      <c r="DT114" s="5" t="str">
        <f t="shared" si="588"/>
        <v/>
      </c>
      <c r="DU114" s="5" t="str">
        <f t="shared" si="589"/>
        <v/>
      </c>
      <c r="DV114" s="5" t="str">
        <f t="shared" si="590"/>
        <v/>
      </c>
      <c r="DW114" s="5" t="str">
        <f t="shared" si="591"/>
        <v/>
      </c>
      <c r="DX114" s="171" t="str">
        <f t="shared" si="592"/>
        <v/>
      </c>
      <c r="DY114" s="9" t="str">
        <f t="shared" si="593"/>
        <v/>
      </c>
      <c r="DZ114" s="5" t="str">
        <f t="shared" si="594"/>
        <v/>
      </c>
      <c r="EA114" s="10" t="str">
        <f t="shared" si="595"/>
        <v/>
      </c>
      <c r="EB114" s="6" t="str">
        <f t="shared" si="596"/>
        <v/>
      </c>
      <c r="EC114" s="177" t="str">
        <f t="shared" si="597"/>
        <v/>
      </c>
      <c r="ED114" s="5" t="str">
        <f t="shared" si="598"/>
        <v/>
      </c>
      <c r="EE114" s="4" t="str">
        <f t="shared" si="599"/>
        <v/>
      </c>
      <c r="EF114" s="5" t="str">
        <f t="shared" si="600"/>
        <v/>
      </c>
      <c r="EG114" s="10" t="str">
        <f t="shared" si="601"/>
        <v/>
      </c>
      <c r="EH114" s="9" t="str">
        <f t="shared" si="602"/>
        <v/>
      </c>
      <c r="EI114" s="5" t="str">
        <f t="shared" si="603"/>
        <v/>
      </c>
      <c r="EJ114" s="6" t="str">
        <f t="shared" si="604"/>
        <v/>
      </c>
      <c r="EK114" s="247" t="str">
        <f t="shared" si="605"/>
        <v/>
      </c>
      <c r="EL114" s="249" t="str">
        <f t="shared" si="606"/>
        <v/>
      </c>
      <c r="EM114" s="4" t="str">
        <f t="shared" si="607"/>
        <v/>
      </c>
      <c r="EN114" s="5" t="str">
        <f t="shared" si="608"/>
        <v/>
      </c>
      <c r="EO114" s="10" t="str">
        <f t="shared" si="609"/>
        <v/>
      </c>
      <c r="EP114" s="9" t="str">
        <f t="shared" si="610"/>
        <v/>
      </c>
      <c r="EQ114" s="5" t="str">
        <f t="shared" si="611"/>
        <v/>
      </c>
      <c r="ER114" s="7" t="str">
        <f t="shared" si="612"/>
        <v/>
      </c>
      <c r="ES114" s="21" t="str">
        <f t="shared" si="686"/>
        <v/>
      </c>
      <c r="ET114" s="5" t="str">
        <f t="shared" si="687"/>
        <v/>
      </c>
      <c r="EU114" s="10" t="str">
        <f t="shared" si="688"/>
        <v/>
      </c>
      <c r="EV114" s="178" t="str">
        <f t="shared" si="689"/>
        <v/>
      </c>
      <c r="EW114" s="9" t="str">
        <f t="shared" si="690"/>
        <v/>
      </c>
      <c r="EX114" s="5" t="str">
        <f t="shared" si="691"/>
        <v/>
      </c>
      <c r="EY114" s="6" t="str">
        <f t="shared" si="613"/>
        <v/>
      </c>
      <c r="EZ114" s="52" t="str">
        <f t="shared" si="614"/>
        <v/>
      </c>
      <c r="FA114" s="177" t="str">
        <f t="shared" si="692"/>
        <v/>
      </c>
      <c r="FB114" s="5" t="str">
        <f t="shared" si="693"/>
        <v/>
      </c>
      <c r="FC114" s="6" t="str">
        <f t="shared" si="694"/>
        <v/>
      </c>
      <c r="FD114" s="4" t="str">
        <f t="shared" si="695"/>
        <v/>
      </c>
      <c r="FE114" s="5" t="str">
        <f t="shared" si="696"/>
        <v/>
      </c>
      <c r="FF114" s="7" t="str">
        <f t="shared" si="615"/>
        <v/>
      </c>
      <c r="FG114" s="177" t="str">
        <f t="shared" si="697"/>
        <v/>
      </c>
      <c r="FH114" s="5" t="str">
        <f t="shared" si="698"/>
        <v/>
      </c>
      <c r="FI114" s="10" t="str">
        <f t="shared" si="699"/>
        <v/>
      </c>
      <c r="FJ114" s="290" t="str">
        <f t="shared" si="616"/>
        <v/>
      </c>
      <c r="FK114" s="4" t="str">
        <f t="shared" si="700"/>
        <v/>
      </c>
      <c r="FL114" s="5" t="str">
        <f t="shared" si="540"/>
        <v/>
      </c>
      <c r="FM114" s="8" t="str">
        <f t="shared" si="541"/>
        <v/>
      </c>
      <c r="FN114" s="9" t="str">
        <f t="shared" si="542"/>
        <v/>
      </c>
      <c r="FO114" s="10" t="str">
        <f t="shared" si="701"/>
        <v/>
      </c>
      <c r="FP114" s="288" t="str">
        <f t="shared" si="543"/>
        <v/>
      </c>
      <c r="FQ114" s="177" t="str">
        <f t="shared" si="617"/>
        <v/>
      </c>
      <c r="FR114" s="10" t="str">
        <f t="shared" si="618"/>
        <v/>
      </c>
      <c r="FS114" s="9" t="str">
        <f t="shared" si="619"/>
        <v/>
      </c>
      <c r="FT114" s="6" t="str">
        <f t="shared" si="620"/>
        <v/>
      </c>
      <c r="FU114" s="4" t="str">
        <f t="shared" si="621"/>
        <v/>
      </c>
      <c r="FV114" s="5" t="str">
        <f t="shared" si="622"/>
        <v/>
      </c>
      <c r="FW114" s="8" t="str">
        <f t="shared" si="623"/>
        <v/>
      </c>
      <c r="FX114" s="9" t="str">
        <f t="shared" si="624"/>
        <v/>
      </c>
      <c r="FY114" s="10" t="str">
        <f t="shared" si="702"/>
        <v/>
      </c>
      <c r="FZ114" s="288" t="str">
        <f t="shared" si="625"/>
        <v/>
      </c>
      <c r="GA114" s="181" t="str">
        <f t="shared" si="626"/>
        <v/>
      </c>
      <c r="GB114" s="4" t="str">
        <f t="shared" si="627"/>
        <v/>
      </c>
      <c r="GC114" s="5" t="str">
        <f t="shared" si="628"/>
        <v/>
      </c>
      <c r="GD114" s="10" t="str">
        <f t="shared" si="629"/>
        <v/>
      </c>
      <c r="GE114" s="324" t="str">
        <f t="shared" si="630"/>
        <v/>
      </c>
      <c r="GF114" s="362" t="str">
        <f t="shared" si="631"/>
        <v/>
      </c>
      <c r="GG114" s="296" t="str">
        <f t="shared" si="703"/>
        <v/>
      </c>
      <c r="GH114" s="297" t="str">
        <f t="shared" si="704"/>
        <v/>
      </c>
      <c r="GI114" s="292" t="str">
        <f t="shared" si="705"/>
        <v/>
      </c>
      <c r="GJ114" s="171" t="str">
        <f t="shared" si="632"/>
        <v/>
      </c>
      <c r="GK114" s="178" t="str">
        <f t="shared" si="706"/>
        <v/>
      </c>
      <c r="GL114" s="178" t="str">
        <f t="shared" si="633"/>
        <v/>
      </c>
      <c r="GM114" s="181" t="str">
        <f t="shared" si="634"/>
        <v/>
      </c>
      <c r="GN114" s="291" t="str">
        <f t="shared" si="635"/>
        <v/>
      </c>
      <c r="GO114" s="4" t="str">
        <f t="shared" si="636"/>
        <v/>
      </c>
      <c r="GP114" s="8" t="str">
        <f t="shared" si="637"/>
        <v/>
      </c>
      <c r="GQ114" s="181" t="str">
        <f t="shared" si="638"/>
        <v/>
      </c>
      <c r="GR114" s="417" t="str">
        <f t="shared" si="639"/>
        <v/>
      </c>
      <c r="GS114" s="363" t="str">
        <f t="shared" si="707"/>
        <v/>
      </c>
      <c r="GT114" s="364" t="str">
        <f t="shared" si="708"/>
        <v/>
      </c>
      <c r="GU114" s="365" t="str">
        <f t="shared" si="709"/>
        <v/>
      </c>
      <c r="GV114" s="364" t="str">
        <f t="shared" si="640"/>
        <v/>
      </c>
      <c r="GW114" s="366" t="str">
        <f t="shared" si="710"/>
        <v/>
      </c>
      <c r="GX114" s="367" t="str">
        <f t="shared" si="711"/>
        <v/>
      </c>
      <c r="GY114" s="365" t="str">
        <f t="shared" si="712"/>
        <v/>
      </c>
      <c r="GZ114" s="366" t="str">
        <f t="shared" si="713"/>
        <v/>
      </c>
      <c r="HA114" s="363" t="str">
        <f t="shared" si="714"/>
        <v/>
      </c>
      <c r="HB114" s="5" t="str">
        <f t="shared" si="641"/>
        <v/>
      </c>
      <c r="HC114" s="364" t="str">
        <f t="shared" si="642"/>
        <v/>
      </c>
      <c r="HD114" s="405" t="str">
        <f t="shared" si="643"/>
        <v/>
      </c>
      <c r="HE114" s="365" t="str">
        <f t="shared" si="715"/>
        <v/>
      </c>
      <c r="HF114" s="5" t="str">
        <f t="shared" si="716"/>
        <v/>
      </c>
      <c r="HG114" s="364" t="str">
        <f t="shared" si="644"/>
        <v/>
      </c>
      <c r="HH114" s="370" t="str">
        <f t="shared" si="645"/>
        <v/>
      </c>
      <c r="HI114" s="335" t="str">
        <f t="shared" si="717"/>
        <v/>
      </c>
      <c r="HK114" s="323" t="str">
        <f t="shared" si="664"/>
        <v/>
      </c>
      <c r="HL114" s="322" t="str">
        <f t="shared" si="741"/>
        <v/>
      </c>
      <c r="HM114" s="369" t="str">
        <f t="shared" si="745"/>
        <v/>
      </c>
      <c r="HN114" s="384" t="str">
        <f t="shared" si="745"/>
        <v/>
      </c>
      <c r="HO114" s="385" t="str">
        <f t="shared" si="745"/>
        <v/>
      </c>
      <c r="HP114" s="380" t="str">
        <f t="shared" si="745"/>
        <v/>
      </c>
      <c r="HQ114" s="384" t="str">
        <f t="shared" si="745"/>
        <v/>
      </c>
      <c r="HR114" s="395" t="str">
        <f t="shared" si="745"/>
        <v/>
      </c>
      <c r="HS114" s="379" t="str">
        <f t="shared" si="745"/>
        <v/>
      </c>
      <c r="HT114" s="374" t="str">
        <f t="shared" si="745"/>
        <v/>
      </c>
      <c r="HU114" s="375" t="str">
        <f t="shared" si="745"/>
        <v/>
      </c>
      <c r="HV114" s="376" t="str">
        <f t="shared" si="745"/>
        <v/>
      </c>
      <c r="HW114" s="374" t="str">
        <f t="shared" si="745"/>
        <v/>
      </c>
      <c r="HX114" s="375" t="str">
        <f t="shared" si="745"/>
        <v/>
      </c>
      <c r="HY114" s="376" t="str">
        <f t="shared" si="745"/>
        <v/>
      </c>
      <c r="HZ114" s="374" t="str">
        <f t="shared" si="745"/>
        <v/>
      </c>
      <c r="IA114" s="375" t="str">
        <f t="shared" si="745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6"/>
        <v>6.1580000000000004</v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>
        <f t="shared" si="545"/>
        <v>1613</v>
      </c>
      <c r="IK114" s="533" t="str">
        <f t="shared" si="718"/>
        <v/>
      </c>
      <c r="IL114" s="727" t="str">
        <f t="shared" si="651"/>
        <v/>
      </c>
      <c r="IM114" s="759"/>
      <c r="IN114" s="5" t="str">
        <f t="shared" si="652"/>
        <v/>
      </c>
      <c r="IO114" s="771"/>
      <c r="IP114" s="9" t="str">
        <f t="shared" si="653"/>
        <v/>
      </c>
      <c r="IQ114" s="5" t="str">
        <f t="shared" si="654"/>
        <v/>
      </c>
      <c r="IR114" s="5" t="str">
        <f t="shared" si="719"/>
        <v/>
      </c>
      <c r="IS114" s="5" t="str">
        <f t="shared" si="655"/>
        <v/>
      </c>
      <c r="IT114" s="727" t="str">
        <f t="shared" si="656"/>
        <v/>
      </c>
      <c r="IU114" s="9" t="str">
        <f t="shared" si="657"/>
        <v/>
      </c>
      <c r="IV114" s="5" t="str">
        <f t="shared" si="658"/>
        <v/>
      </c>
      <c r="IW114" s="5" t="str">
        <f t="shared" si="720"/>
        <v/>
      </c>
      <c r="IX114" s="5" t="str">
        <f t="shared" si="659"/>
        <v/>
      </c>
      <c r="IY114" s="762" t="str">
        <f t="shared" si="660"/>
        <v/>
      </c>
    </row>
    <row r="115" spans="1:259" ht="15" customHeight="1" x14ac:dyDescent="0.25">
      <c r="A115" s="79"/>
      <c r="B115" s="707">
        <v>-5.6084042161531604</v>
      </c>
      <c r="C115" s="708">
        <v>4.4611274178435494</v>
      </c>
      <c r="D115" s="709">
        <v>-3.9536119240935625</v>
      </c>
      <c r="E115" s="710">
        <v>-0.97992471215675436</v>
      </c>
      <c r="F115" s="708">
        <v>-0.1993678973768869</v>
      </c>
      <c r="G115" s="711">
        <v>1.4578093184201008E-7</v>
      </c>
      <c r="H115" s="710">
        <v>0.314</v>
      </c>
      <c r="I115" s="708">
        <v>0.52</v>
      </c>
      <c r="J115" s="570">
        <v>6.1639999999999997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1613</v>
      </c>
      <c r="L115" s="320"/>
      <c r="M115" s="168">
        <f t="shared" si="665"/>
        <v>6.1639999999999997</v>
      </c>
      <c r="N115" s="632">
        <f t="shared" si="666"/>
        <v>-5.6084042161531604</v>
      </c>
      <c r="O115" s="629">
        <f t="shared" si="667"/>
        <v>4.4611274178435494</v>
      </c>
      <c r="P115" s="633">
        <f t="shared" si="668"/>
        <v>-3.9536119240935625</v>
      </c>
      <c r="Q115" s="585">
        <f t="shared" si="523"/>
        <v>141.49999205898365</v>
      </c>
      <c r="R115" s="629">
        <f t="shared" si="721"/>
        <v>7.1662999999999997</v>
      </c>
      <c r="S115" s="634">
        <f t="shared" si="722"/>
        <v>-3.9536119240935625</v>
      </c>
      <c r="T115" s="635">
        <f t="shared" si="723"/>
        <v>4.4611274178435494</v>
      </c>
      <c r="U115" s="629">
        <f t="shared" si="724"/>
        <v>5.6084042161531604</v>
      </c>
      <c r="V115" s="636">
        <f t="shared" si="725"/>
        <v>-3.9536119240935625</v>
      </c>
      <c r="W115" s="585">
        <f t="shared" si="648"/>
        <v>51.499992058983651</v>
      </c>
      <c r="X115" s="629">
        <f t="shared" si="726"/>
        <v>7.1662999999999997</v>
      </c>
      <c r="Y115" s="630">
        <f t="shared" si="647"/>
        <v>-3.9536119240935625</v>
      </c>
      <c r="Z115" s="632">
        <f t="shared" si="669"/>
        <v>0.97992471215675436</v>
      </c>
      <c r="AA115" s="629">
        <f t="shared" si="670"/>
        <v>0.1993678973768869</v>
      </c>
      <c r="AB115" s="629">
        <f t="shared" si="671"/>
        <v>-1.4578093184201008E-7</v>
      </c>
      <c r="AC115" s="636">
        <f t="shared" si="727"/>
        <v>1</v>
      </c>
      <c r="AD115" s="637">
        <f t="shared" si="728"/>
        <v>0.97992471215675436</v>
      </c>
      <c r="AE115" s="629">
        <f t="shared" si="729"/>
        <v>0.1993678973768869</v>
      </c>
      <c r="AF115" s="633">
        <f t="shared" si="730"/>
        <v>-1.4578093184201008E-7</v>
      </c>
      <c r="AG115" s="602">
        <f t="shared" si="731"/>
        <v>89.999958104427861</v>
      </c>
      <c r="AH115" s="603">
        <f t="shared" si="732"/>
        <v>11.499997834271971</v>
      </c>
      <c r="AI115" s="585">
        <f t="shared" si="733"/>
        <v>-89.999991647367878</v>
      </c>
      <c r="AJ115" s="586">
        <f t="shared" si="734"/>
        <v>101.49999783426898</v>
      </c>
      <c r="AK115" s="635">
        <f t="shared" si="735"/>
        <v>0.76604450791050716</v>
      </c>
      <c r="AL115" s="629">
        <f t="shared" si="736"/>
        <v>-0.6427875324709772</v>
      </c>
      <c r="AM115" s="634">
        <f t="shared" si="737"/>
        <v>-1.4578093184201008E-7</v>
      </c>
      <c r="AN115" s="581">
        <f t="shared" si="738"/>
        <v>-89.999987005609626</v>
      </c>
      <c r="AO115" s="582">
        <f t="shared" si="463"/>
        <v>39.999994224715394</v>
      </c>
      <c r="AP115" s="585">
        <f t="shared" si="739"/>
        <v>-39.999994224714662</v>
      </c>
      <c r="AQ115" s="586">
        <f t="shared" si="672"/>
        <v>0.31811439748911491</v>
      </c>
      <c r="AS115" s="52">
        <f t="shared" si="742"/>
        <v>-308.50000794101635</v>
      </c>
      <c r="AT115" s="73">
        <f t="shared" si="673"/>
        <v>-3.7393758074678569</v>
      </c>
      <c r="AU115" s="469"/>
      <c r="AV115" s="168" t="str">
        <f t="shared" si="674"/>
        <v/>
      </c>
      <c r="AW115" s="418"/>
      <c r="AX115" s="419"/>
      <c r="AY115" s="420"/>
      <c r="AZ115" s="308" t="str">
        <f t="shared" si="547"/>
        <v/>
      </c>
      <c r="BA115" s="307" t="str">
        <f t="shared" si="675"/>
        <v/>
      </c>
      <c r="BB115" s="181" t="str">
        <f t="shared" si="524"/>
        <v/>
      </c>
      <c r="BC115" s="9"/>
      <c r="BD115" s="5" t="str">
        <f t="shared" si="525"/>
        <v/>
      </c>
      <c r="BE115" s="6" t="str">
        <f t="shared" si="676"/>
        <v/>
      </c>
      <c r="BF115" s="4" t="str">
        <f t="shared" si="677"/>
        <v/>
      </c>
      <c r="BG115" s="5" t="str">
        <f t="shared" si="678"/>
        <v/>
      </c>
      <c r="BH115" s="10" t="str">
        <f t="shared" si="679"/>
        <v/>
      </c>
      <c r="BI115" s="9" t="str">
        <f t="shared" si="548"/>
        <v/>
      </c>
      <c r="BJ115" s="5" t="str">
        <f t="shared" si="680"/>
        <v/>
      </c>
      <c r="BK115" s="8" t="str">
        <f t="shared" si="681"/>
        <v/>
      </c>
      <c r="BL115" s="177" t="str">
        <f t="shared" si="682"/>
        <v/>
      </c>
      <c r="BM115" s="5" t="str">
        <f t="shared" si="683"/>
        <v/>
      </c>
      <c r="BN115" s="6" t="str">
        <f t="shared" si="684"/>
        <v/>
      </c>
      <c r="BO115" s="4" t="str">
        <f t="shared" si="549"/>
        <v/>
      </c>
      <c r="BP115" s="5" t="str">
        <f t="shared" si="550"/>
        <v/>
      </c>
      <c r="BQ115" s="5" t="str">
        <f t="shared" si="551"/>
        <v/>
      </c>
      <c r="BR115" s="6" t="str">
        <f t="shared" si="552"/>
        <v/>
      </c>
      <c r="BS115" s="4" t="str">
        <f t="shared" si="740"/>
        <v/>
      </c>
      <c r="BT115" s="5" t="str">
        <f t="shared" si="740"/>
        <v/>
      </c>
      <c r="BU115" s="10" t="str">
        <f t="shared" si="527"/>
        <v/>
      </c>
      <c r="BV115" s="9" t="str">
        <f t="shared" si="528"/>
        <v/>
      </c>
      <c r="BW115" s="5" t="str">
        <f t="shared" si="529"/>
        <v/>
      </c>
      <c r="BX115" s="8" t="str">
        <f t="shared" si="530"/>
        <v/>
      </c>
      <c r="BY115" s="177" t="str">
        <f t="shared" si="531"/>
        <v/>
      </c>
      <c r="BZ115" s="5" t="str">
        <f t="shared" si="532"/>
        <v/>
      </c>
      <c r="CA115" s="6" t="str">
        <f t="shared" si="533"/>
        <v/>
      </c>
      <c r="CB115" s="4" t="str">
        <f t="shared" si="553"/>
        <v/>
      </c>
      <c r="CC115" s="5" t="str">
        <f t="shared" si="554"/>
        <v/>
      </c>
      <c r="CD115" s="5" t="str">
        <f t="shared" si="555"/>
        <v/>
      </c>
      <c r="CE115" s="6" t="str">
        <f t="shared" si="556"/>
        <v/>
      </c>
      <c r="CF115" s="4" t="str">
        <f t="shared" si="557"/>
        <v/>
      </c>
      <c r="CG115" s="5" t="str">
        <f t="shared" si="558"/>
        <v/>
      </c>
      <c r="CH115" s="5" t="str">
        <f t="shared" si="559"/>
        <v/>
      </c>
      <c r="CI115" s="4" t="str">
        <f t="shared" si="534"/>
        <v/>
      </c>
      <c r="CJ115" s="5" t="str">
        <f t="shared" si="535"/>
        <v/>
      </c>
      <c r="CK115" s="8" t="str">
        <f t="shared" si="536"/>
        <v/>
      </c>
      <c r="CL115" s="177" t="str">
        <f t="shared" si="537"/>
        <v/>
      </c>
      <c r="CM115" s="5" t="str">
        <f t="shared" si="538"/>
        <v/>
      </c>
      <c r="CN115" s="6" t="str">
        <f t="shared" si="539"/>
        <v/>
      </c>
      <c r="CO115" s="171" t="str">
        <f t="shared" si="685"/>
        <v/>
      </c>
      <c r="CP115" s="4" t="str">
        <f t="shared" si="560"/>
        <v/>
      </c>
      <c r="CQ115" s="5" t="str">
        <f t="shared" si="561"/>
        <v/>
      </c>
      <c r="CR115" s="5" t="str">
        <f t="shared" si="562"/>
        <v/>
      </c>
      <c r="CS115" s="8" t="str">
        <f t="shared" si="563"/>
        <v/>
      </c>
      <c r="CT115" s="9" t="str">
        <f t="shared" si="564"/>
        <v/>
      </c>
      <c r="CU115" s="6" t="str">
        <f t="shared" si="565"/>
        <v/>
      </c>
      <c r="CV115" s="4" t="str">
        <f t="shared" si="566"/>
        <v/>
      </c>
      <c r="CW115" s="5" t="str">
        <f t="shared" si="567"/>
        <v/>
      </c>
      <c r="CX115" s="8" t="str">
        <f t="shared" si="568"/>
        <v/>
      </c>
      <c r="CY115" s="9" t="str">
        <f t="shared" si="569"/>
        <v/>
      </c>
      <c r="CZ115" s="5" t="str">
        <f t="shared" si="570"/>
        <v/>
      </c>
      <c r="DA115" s="6" t="str">
        <f t="shared" si="571"/>
        <v/>
      </c>
      <c r="DB115" s="4" t="str">
        <f t="shared" si="743"/>
        <v/>
      </c>
      <c r="DC115" s="5" t="str">
        <f t="shared" si="743"/>
        <v/>
      </c>
      <c r="DD115" s="10" t="str">
        <f t="shared" si="573"/>
        <v/>
      </c>
      <c r="DE115" s="9" t="str">
        <f t="shared" si="744"/>
        <v/>
      </c>
      <c r="DF115" s="5" t="str">
        <f t="shared" si="744"/>
        <v/>
      </c>
      <c r="DG115" s="10" t="str">
        <f t="shared" si="575"/>
        <v/>
      </c>
      <c r="DH115" s="72" t="str">
        <f t="shared" si="576"/>
        <v/>
      </c>
      <c r="DI115" s="4" t="str">
        <f t="shared" si="577"/>
        <v/>
      </c>
      <c r="DJ115" s="5" t="str">
        <f t="shared" si="578"/>
        <v/>
      </c>
      <c r="DK115" s="10" t="str">
        <f t="shared" si="579"/>
        <v/>
      </c>
      <c r="DL115" s="9" t="str">
        <f t="shared" si="580"/>
        <v/>
      </c>
      <c r="DM115" s="177" t="str">
        <f t="shared" si="581"/>
        <v/>
      </c>
      <c r="DN115" s="182" t="str">
        <f t="shared" si="582"/>
        <v/>
      </c>
      <c r="DO115" s="9" t="str">
        <f t="shared" si="583"/>
        <v/>
      </c>
      <c r="DP115" s="177" t="str">
        <f t="shared" si="584"/>
        <v/>
      </c>
      <c r="DQ115" s="11" t="str">
        <f t="shared" si="585"/>
        <v/>
      </c>
      <c r="DR115" s="177" t="str">
        <f t="shared" si="586"/>
        <v/>
      </c>
      <c r="DS115" s="5" t="str">
        <f t="shared" si="587"/>
        <v/>
      </c>
      <c r="DT115" s="5" t="str">
        <f t="shared" si="588"/>
        <v/>
      </c>
      <c r="DU115" s="5" t="str">
        <f t="shared" si="589"/>
        <v/>
      </c>
      <c r="DV115" s="5" t="str">
        <f t="shared" si="590"/>
        <v/>
      </c>
      <c r="DW115" s="5" t="str">
        <f t="shared" si="591"/>
        <v/>
      </c>
      <c r="DX115" s="171" t="str">
        <f t="shared" si="592"/>
        <v/>
      </c>
      <c r="DY115" s="9" t="str">
        <f t="shared" si="593"/>
        <v/>
      </c>
      <c r="DZ115" s="5" t="str">
        <f t="shared" si="594"/>
        <v/>
      </c>
      <c r="EA115" s="10" t="str">
        <f t="shared" si="595"/>
        <v/>
      </c>
      <c r="EB115" s="6" t="str">
        <f t="shared" si="596"/>
        <v/>
      </c>
      <c r="EC115" s="177" t="str">
        <f t="shared" si="597"/>
        <v/>
      </c>
      <c r="ED115" s="5" t="str">
        <f t="shared" si="598"/>
        <v/>
      </c>
      <c r="EE115" s="4" t="str">
        <f t="shared" si="599"/>
        <v/>
      </c>
      <c r="EF115" s="5" t="str">
        <f t="shared" si="600"/>
        <v/>
      </c>
      <c r="EG115" s="10" t="str">
        <f t="shared" si="601"/>
        <v/>
      </c>
      <c r="EH115" s="9" t="str">
        <f t="shared" si="602"/>
        <v/>
      </c>
      <c r="EI115" s="5" t="str">
        <f t="shared" si="603"/>
        <v/>
      </c>
      <c r="EJ115" s="6" t="str">
        <f t="shared" si="604"/>
        <v/>
      </c>
      <c r="EK115" s="247" t="str">
        <f t="shared" si="605"/>
        <v/>
      </c>
      <c r="EL115" s="249" t="str">
        <f t="shared" si="606"/>
        <v/>
      </c>
      <c r="EM115" s="4" t="str">
        <f t="shared" si="607"/>
        <v/>
      </c>
      <c r="EN115" s="5" t="str">
        <f t="shared" si="608"/>
        <v/>
      </c>
      <c r="EO115" s="10" t="str">
        <f t="shared" si="609"/>
        <v/>
      </c>
      <c r="EP115" s="9" t="str">
        <f t="shared" si="610"/>
        <v/>
      </c>
      <c r="EQ115" s="5" t="str">
        <f t="shared" si="611"/>
        <v/>
      </c>
      <c r="ER115" s="7" t="str">
        <f t="shared" si="612"/>
        <v/>
      </c>
      <c r="ES115" s="21" t="str">
        <f t="shared" si="686"/>
        <v/>
      </c>
      <c r="ET115" s="5" t="str">
        <f t="shared" si="687"/>
        <v/>
      </c>
      <c r="EU115" s="10" t="str">
        <f t="shared" si="688"/>
        <v/>
      </c>
      <c r="EV115" s="178" t="str">
        <f t="shared" si="689"/>
        <v/>
      </c>
      <c r="EW115" s="9" t="str">
        <f t="shared" si="690"/>
        <v/>
      </c>
      <c r="EX115" s="5" t="str">
        <f t="shared" si="691"/>
        <v/>
      </c>
      <c r="EY115" s="6" t="str">
        <f t="shared" si="613"/>
        <v/>
      </c>
      <c r="EZ115" s="52" t="str">
        <f t="shared" si="614"/>
        <v/>
      </c>
      <c r="FA115" s="177" t="str">
        <f t="shared" si="692"/>
        <v/>
      </c>
      <c r="FB115" s="5" t="str">
        <f t="shared" si="693"/>
        <v/>
      </c>
      <c r="FC115" s="6" t="str">
        <f t="shared" si="694"/>
        <v/>
      </c>
      <c r="FD115" s="4" t="str">
        <f t="shared" si="695"/>
        <v/>
      </c>
      <c r="FE115" s="5" t="str">
        <f t="shared" si="696"/>
        <v/>
      </c>
      <c r="FF115" s="7" t="str">
        <f t="shared" si="615"/>
        <v/>
      </c>
      <c r="FG115" s="177" t="str">
        <f t="shared" si="697"/>
        <v/>
      </c>
      <c r="FH115" s="5" t="str">
        <f t="shared" si="698"/>
        <v/>
      </c>
      <c r="FI115" s="10" t="str">
        <f t="shared" si="699"/>
        <v/>
      </c>
      <c r="FJ115" s="290" t="str">
        <f t="shared" si="616"/>
        <v/>
      </c>
      <c r="FK115" s="4" t="str">
        <f t="shared" si="700"/>
        <v/>
      </c>
      <c r="FL115" s="5" t="str">
        <f t="shared" si="540"/>
        <v/>
      </c>
      <c r="FM115" s="8" t="str">
        <f t="shared" si="541"/>
        <v/>
      </c>
      <c r="FN115" s="9" t="str">
        <f t="shared" si="542"/>
        <v/>
      </c>
      <c r="FO115" s="10" t="str">
        <f t="shared" si="701"/>
        <v/>
      </c>
      <c r="FP115" s="288" t="str">
        <f t="shared" si="543"/>
        <v/>
      </c>
      <c r="FQ115" s="177" t="str">
        <f t="shared" si="617"/>
        <v/>
      </c>
      <c r="FR115" s="10" t="str">
        <f t="shared" si="618"/>
        <v/>
      </c>
      <c r="FS115" s="9" t="str">
        <f t="shared" si="619"/>
        <v/>
      </c>
      <c r="FT115" s="6" t="str">
        <f t="shared" si="620"/>
        <v/>
      </c>
      <c r="FU115" s="4" t="str">
        <f t="shared" si="621"/>
        <v/>
      </c>
      <c r="FV115" s="5" t="str">
        <f t="shared" si="622"/>
        <v/>
      </c>
      <c r="FW115" s="8" t="str">
        <f t="shared" si="623"/>
        <v/>
      </c>
      <c r="FX115" s="9" t="str">
        <f t="shared" si="624"/>
        <v/>
      </c>
      <c r="FY115" s="10" t="str">
        <f t="shared" si="702"/>
        <v/>
      </c>
      <c r="FZ115" s="288" t="str">
        <f t="shared" si="625"/>
        <v/>
      </c>
      <c r="GA115" s="181" t="str">
        <f t="shared" si="626"/>
        <v/>
      </c>
      <c r="GB115" s="4" t="str">
        <f t="shared" si="627"/>
        <v/>
      </c>
      <c r="GC115" s="5" t="str">
        <f t="shared" si="628"/>
        <v/>
      </c>
      <c r="GD115" s="10" t="str">
        <f t="shared" si="629"/>
        <v/>
      </c>
      <c r="GE115" s="324" t="str">
        <f t="shared" si="630"/>
        <v/>
      </c>
      <c r="GF115" s="362" t="str">
        <f t="shared" si="631"/>
        <v/>
      </c>
      <c r="GG115" s="296" t="str">
        <f t="shared" si="703"/>
        <v/>
      </c>
      <c r="GH115" s="297" t="str">
        <f t="shared" si="704"/>
        <v/>
      </c>
      <c r="GI115" s="292" t="str">
        <f t="shared" si="705"/>
        <v/>
      </c>
      <c r="GJ115" s="171" t="str">
        <f t="shared" si="632"/>
        <v/>
      </c>
      <c r="GK115" s="178" t="str">
        <f t="shared" si="706"/>
        <v/>
      </c>
      <c r="GL115" s="178" t="str">
        <f t="shared" si="633"/>
        <v/>
      </c>
      <c r="GM115" s="181" t="str">
        <f t="shared" si="634"/>
        <v/>
      </c>
      <c r="GN115" s="291" t="str">
        <f t="shared" si="635"/>
        <v/>
      </c>
      <c r="GO115" s="4" t="str">
        <f t="shared" si="636"/>
        <v/>
      </c>
      <c r="GP115" s="8" t="str">
        <f t="shared" si="637"/>
        <v/>
      </c>
      <c r="GQ115" s="181" t="str">
        <f t="shared" si="638"/>
        <v/>
      </c>
      <c r="GR115" s="417" t="str">
        <f t="shared" si="639"/>
        <v/>
      </c>
      <c r="GS115" s="363" t="str">
        <f t="shared" si="707"/>
        <v/>
      </c>
      <c r="GT115" s="364" t="str">
        <f t="shared" si="708"/>
        <v/>
      </c>
      <c r="GU115" s="365" t="str">
        <f t="shared" si="709"/>
        <v/>
      </c>
      <c r="GV115" s="364" t="str">
        <f t="shared" si="640"/>
        <v/>
      </c>
      <c r="GW115" s="366" t="str">
        <f t="shared" si="710"/>
        <v/>
      </c>
      <c r="GX115" s="367" t="str">
        <f t="shared" si="711"/>
        <v/>
      </c>
      <c r="GY115" s="365" t="str">
        <f t="shared" si="712"/>
        <v/>
      </c>
      <c r="GZ115" s="366" t="str">
        <f t="shared" si="713"/>
        <v/>
      </c>
      <c r="HA115" s="363" t="str">
        <f t="shared" si="714"/>
        <v/>
      </c>
      <c r="HB115" s="5" t="str">
        <f t="shared" si="641"/>
        <v/>
      </c>
      <c r="HC115" s="364" t="str">
        <f t="shared" si="642"/>
        <v/>
      </c>
      <c r="HD115" s="405" t="str">
        <f t="shared" si="643"/>
        <v/>
      </c>
      <c r="HE115" s="365" t="str">
        <f t="shared" si="715"/>
        <v/>
      </c>
      <c r="HF115" s="5" t="str">
        <f t="shared" si="716"/>
        <v/>
      </c>
      <c r="HG115" s="364" t="str">
        <f t="shared" si="644"/>
        <v/>
      </c>
      <c r="HH115" s="370" t="str">
        <f t="shared" si="645"/>
        <v/>
      </c>
      <c r="HI115" s="335" t="str">
        <f t="shared" si="717"/>
        <v/>
      </c>
      <c r="HK115" s="323" t="str">
        <f t="shared" si="664"/>
        <v/>
      </c>
      <c r="HL115" s="322" t="str">
        <f t="shared" si="741"/>
        <v/>
      </c>
      <c r="HM115" s="369" t="str">
        <f t="shared" si="745"/>
        <v/>
      </c>
      <c r="HN115" s="384" t="str">
        <f t="shared" si="745"/>
        <v/>
      </c>
      <c r="HO115" s="385" t="str">
        <f t="shared" si="745"/>
        <v/>
      </c>
      <c r="HP115" s="380" t="str">
        <f t="shared" si="745"/>
        <v/>
      </c>
      <c r="HQ115" s="384" t="str">
        <f t="shared" si="745"/>
        <v/>
      </c>
      <c r="HR115" s="395" t="str">
        <f t="shared" si="745"/>
        <v/>
      </c>
      <c r="HS115" s="379" t="str">
        <f t="shared" si="745"/>
        <v/>
      </c>
      <c r="HT115" s="374" t="str">
        <f t="shared" si="745"/>
        <v/>
      </c>
      <c r="HU115" s="375" t="str">
        <f t="shared" si="745"/>
        <v/>
      </c>
      <c r="HV115" s="376" t="str">
        <f t="shared" si="745"/>
        <v/>
      </c>
      <c r="HW115" s="374" t="str">
        <f t="shared" si="745"/>
        <v/>
      </c>
      <c r="HX115" s="375" t="str">
        <f t="shared" si="745"/>
        <v/>
      </c>
      <c r="HY115" s="376" t="str">
        <f t="shared" si="745"/>
        <v/>
      </c>
      <c r="HZ115" s="374" t="str">
        <f t="shared" si="745"/>
        <v/>
      </c>
      <c r="IA115" s="375" t="str">
        <f t="shared" si="745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6"/>
        <v>6.1639999999999997</v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>
        <f t="shared" si="545"/>
        <v>1613</v>
      </c>
      <c r="IK115" s="533" t="str">
        <f t="shared" si="718"/>
        <v/>
      </c>
      <c r="IL115" s="727" t="str">
        <f t="shared" si="651"/>
        <v/>
      </c>
      <c r="IM115" s="759"/>
      <c r="IN115" s="5" t="str">
        <f t="shared" si="652"/>
        <v/>
      </c>
      <c r="IO115" s="771"/>
      <c r="IP115" s="9" t="str">
        <f t="shared" si="653"/>
        <v/>
      </c>
      <c r="IQ115" s="5" t="str">
        <f t="shared" si="654"/>
        <v/>
      </c>
      <c r="IR115" s="5" t="str">
        <f t="shared" si="719"/>
        <v/>
      </c>
      <c r="IS115" s="5" t="str">
        <f t="shared" si="655"/>
        <v/>
      </c>
      <c r="IT115" s="727" t="str">
        <f t="shared" si="656"/>
        <v/>
      </c>
      <c r="IU115" s="9" t="str">
        <f t="shared" si="657"/>
        <v/>
      </c>
      <c r="IV115" s="5" t="str">
        <f t="shared" si="658"/>
        <v/>
      </c>
      <c r="IW115" s="5" t="str">
        <f t="shared" si="720"/>
        <v/>
      </c>
      <c r="IX115" s="5" t="str">
        <f t="shared" si="659"/>
        <v/>
      </c>
      <c r="IY115" s="762" t="str">
        <f t="shared" si="660"/>
        <v/>
      </c>
    </row>
    <row r="116" spans="1:259" ht="15" customHeight="1" x14ac:dyDescent="0.25">
      <c r="A116" s="79"/>
      <c r="B116" s="707">
        <v>-2.6017741347973655</v>
      </c>
      <c r="C116" s="708">
        <v>3.2743966919820906</v>
      </c>
      <c r="D116" s="709">
        <v>-5.8600176738132628E-2</v>
      </c>
      <c r="E116" s="710">
        <v>-6.3947888908281889E-2</v>
      </c>
      <c r="F116" s="708">
        <v>8.0479625266298052E-2</v>
      </c>
      <c r="G116" s="711">
        <v>0.99470281864543364</v>
      </c>
      <c r="H116" s="710">
        <v>0.26250000000000001</v>
      </c>
      <c r="I116" s="708">
        <v>0.40699999999999997</v>
      </c>
      <c r="J116" s="570">
        <v>6.2220000000000004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Inactive</v>
      </c>
      <c r="L116" s="1314">
        <f t="shared" ref="L116:L122" si="746">IO116</f>
        <v>40</v>
      </c>
      <c r="M116" s="168">
        <f t="shared" si="665"/>
        <v>6.2220000000000004</v>
      </c>
      <c r="N116" s="632">
        <f t="shared" si="666"/>
        <v>-2.6017741347973655</v>
      </c>
      <c r="O116" s="629">
        <f t="shared" si="667"/>
        <v>3.2743966919820906</v>
      </c>
      <c r="P116" s="633">
        <f t="shared" si="668"/>
        <v>-5.8600176738132628E-2</v>
      </c>
      <c r="Q116" s="585">
        <f t="shared" si="523"/>
        <v>128.46999444562002</v>
      </c>
      <c r="R116" s="629">
        <f t="shared" si="721"/>
        <v>4.1822126135532418</v>
      </c>
      <c r="S116" s="634">
        <f t="shared" si="722"/>
        <v>-5.8600176738132628E-2</v>
      </c>
      <c r="T116" s="635">
        <f t="shared" si="723"/>
        <v>3.2743966919820906</v>
      </c>
      <c r="U116" s="629">
        <f t="shared" si="724"/>
        <v>2.6017741347973655</v>
      </c>
      <c r="V116" s="636">
        <f t="shared" si="725"/>
        <v>-5.8600176738132628E-2</v>
      </c>
      <c r="W116" s="585">
        <f t="shared" si="648"/>
        <v>38.469994445620017</v>
      </c>
      <c r="X116" s="629">
        <f t="shared" si="726"/>
        <v>4.1822126135532418</v>
      </c>
      <c r="Y116" s="630">
        <f t="shared" si="647"/>
        <v>-5.8600176738132628E-2</v>
      </c>
      <c r="Z116" s="632">
        <f t="shared" si="669"/>
        <v>6.3947888908281889E-2</v>
      </c>
      <c r="AA116" s="629">
        <f t="shared" si="670"/>
        <v>-8.0479625266298052E-2</v>
      </c>
      <c r="AB116" s="629">
        <f t="shared" si="671"/>
        <v>-0.99470281864543364</v>
      </c>
      <c r="AC116" s="636">
        <f t="shared" si="727"/>
        <v>1</v>
      </c>
      <c r="AD116" s="637">
        <f t="shared" si="728"/>
        <v>6.3947888908281889E-2</v>
      </c>
      <c r="AE116" s="629">
        <f t="shared" si="729"/>
        <v>-8.0479625266298052E-2</v>
      </c>
      <c r="AF116" s="633">
        <f t="shared" si="730"/>
        <v>-0.99470281864543364</v>
      </c>
      <c r="AG116" s="602">
        <f t="shared" si="731"/>
        <v>-4.6256232384410207</v>
      </c>
      <c r="AH116" s="603">
        <f t="shared" si="732"/>
        <v>86.333554069281092</v>
      </c>
      <c r="AI116" s="585">
        <f t="shared" si="733"/>
        <v>-5.8999991481597256</v>
      </c>
      <c r="AJ116" s="586">
        <f t="shared" si="734"/>
        <v>38.470120859391592</v>
      </c>
      <c r="AK116" s="635">
        <f t="shared" si="735"/>
        <v>2.2679489668914199E-7</v>
      </c>
      <c r="AL116" s="629">
        <f t="shared" si="736"/>
        <v>-0.10279252199833548</v>
      </c>
      <c r="AM116" s="634">
        <f t="shared" si="737"/>
        <v>-0.99470281864543364</v>
      </c>
      <c r="AN116" s="581">
        <f t="shared" si="738"/>
        <v>-5.8999991481455201</v>
      </c>
      <c r="AO116" s="582">
        <f t="shared" si="463"/>
        <v>0</v>
      </c>
      <c r="AP116" s="585">
        <f t="shared" si="739"/>
        <v>-89.999873586228432</v>
      </c>
      <c r="AQ116" s="586">
        <f t="shared" si="672"/>
        <v>0.54508416122273473</v>
      </c>
      <c r="AS116" s="52">
        <f t="shared" si="742"/>
        <v>-321.53000555437995</v>
      </c>
      <c r="AT116" s="73">
        <f t="shared" si="673"/>
        <v>0.16468454934129789</v>
      </c>
      <c r="AU116" s="469"/>
      <c r="AV116" s="168" t="str">
        <f t="shared" si="674"/>
        <v/>
      </c>
      <c r="AW116" s="418"/>
      <c r="AX116" s="419"/>
      <c r="AY116" s="420"/>
      <c r="AZ116" s="308" t="str">
        <f t="shared" si="547"/>
        <v/>
      </c>
      <c r="BA116" s="307" t="str">
        <f t="shared" si="675"/>
        <v/>
      </c>
      <c r="BB116" s="181" t="str">
        <f t="shared" si="524"/>
        <v/>
      </c>
      <c r="BC116" s="9"/>
      <c r="BD116" s="5" t="str">
        <f t="shared" si="525"/>
        <v/>
      </c>
      <c r="BE116" s="6" t="str">
        <f t="shared" si="676"/>
        <v/>
      </c>
      <c r="BF116" s="4" t="str">
        <f t="shared" si="677"/>
        <v/>
      </c>
      <c r="BG116" s="5" t="str">
        <f t="shared" si="678"/>
        <v/>
      </c>
      <c r="BH116" s="10" t="str">
        <f t="shared" si="679"/>
        <v/>
      </c>
      <c r="BI116" s="9" t="str">
        <f t="shared" si="548"/>
        <v/>
      </c>
      <c r="BJ116" s="5" t="str">
        <f t="shared" si="680"/>
        <v/>
      </c>
      <c r="BK116" s="8" t="str">
        <f t="shared" si="681"/>
        <v/>
      </c>
      <c r="BL116" s="177" t="str">
        <f t="shared" si="682"/>
        <v/>
      </c>
      <c r="BM116" s="5" t="str">
        <f t="shared" si="683"/>
        <v/>
      </c>
      <c r="BN116" s="6" t="str">
        <f t="shared" si="684"/>
        <v/>
      </c>
      <c r="BO116" s="4" t="str">
        <f t="shared" si="549"/>
        <v/>
      </c>
      <c r="BP116" s="5" t="str">
        <f t="shared" si="550"/>
        <v/>
      </c>
      <c r="BQ116" s="5" t="str">
        <f t="shared" si="551"/>
        <v/>
      </c>
      <c r="BR116" s="6" t="str">
        <f t="shared" si="552"/>
        <v/>
      </c>
      <c r="BS116" s="4" t="str">
        <f t="shared" si="740"/>
        <v/>
      </c>
      <c r="BT116" s="5" t="str">
        <f t="shared" si="740"/>
        <v/>
      </c>
      <c r="BU116" s="10" t="str">
        <f t="shared" si="527"/>
        <v/>
      </c>
      <c r="BV116" s="9" t="str">
        <f t="shared" si="528"/>
        <v/>
      </c>
      <c r="BW116" s="5" t="str">
        <f t="shared" si="529"/>
        <v/>
      </c>
      <c r="BX116" s="8" t="str">
        <f t="shared" si="530"/>
        <v/>
      </c>
      <c r="BY116" s="177" t="str">
        <f t="shared" si="531"/>
        <v/>
      </c>
      <c r="BZ116" s="5" t="str">
        <f t="shared" si="532"/>
        <v/>
      </c>
      <c r="CA116" s="6" t="str">
        <f t="shared" si="533"/>
        <v/>
      </c>
      <c r="CB116" s="4" t="str">
        <f t="shared" si="553"/>
        <v/>
      </c>
      <c r="CC116" s="5" t="str">
        <f t="shared" si="554"/>
        <v/>
      </c>
      <c r="CD116" s="5" t="str">
        <f t="shared" si="555"/>
        <v/>
      </c>
      <c r="CE116" s="6" t="str">
        <f t="shared" si="556"/>
        <v/>
      </c>
      <c r="CF116" s="4" t="str">
        <f t="shared" si="557"/>
        <v/>
      </c>
      <c r="CG116" s="5" t="str">
        <f t="shared" si="558"/>
        <v/>
      </c>
      <c r="CH116" s="5" t="str">
        <f t="shared" si="559"/>
        <v/>
      </c>
      <c r="CI116" s="4" t="str">
        <f t="shared" si="534"/>
        <v/>
      </c>
      <c r="CJ116" s="5" t="str">
        <f t="shared" si="535"/>
        <v/>
      </c>
      <c r="CK116" s="8" t="str">
        <f t="shared" si="536"/>
        <v/>
      </c>
      <c r="CL116" s="177" t="str">
        <f t="shared" si="537"/>
        <v/>
      </c>
      <c r="CM116" s="5" t="str">
        <f t="shared" si="538"/>
        <v/>
      </c>
      <c r="CN116" s="6" t="str">
        <f t="shared" si="539"/>
        <v/>
      </c>
      <c r="CO116" s="171" t="str">
        <f t="shared" si="685"/>
        <v/>
      </c>
      <c r="CP116" s="4" t="str">
        <f t="shared" si="560"/>
        <v/>
      </c>
      <c r="CQ116" s="5" t="str">
        <f t="shared" si="561"/>
        <v/>
      </c>
      <c r="CR116" s="5" t="str">
        <f t="shared" si="562"/>
        <v/>
      </c>
      <c r="CS116" s="8" t="str">
        <f t="shared" si="563"/>
        <v/>
      </c>
      <c r="CT116" s="9" t="str">
        <f t="shared" si="564"/>
        <v/>
      </c>
      <c r="CU116" s="6" t="str">
        <f t="shared" si="565"/>
        <v/>
      </c>
      <c r="CV116" s="4" t="str">
        <f t="shared" si="566"/>
        <v/>
      </c>
      <c r="CW116" s="5" t="str">
        <f t="shared" si="567"/>
        <v/>
      </c>
      <c r="CX116" s="8" t="str">
        <f t="shared" si="568"/>
        <v/>
      </c>
      <c r="CY116" s="9" t="str">
        <f t="shared" si="569"/>
        <v/>
      </c>
      <c r="CZ116" s="5" t="str">
        <f t="shared" si="570"/>
        <v/>
      </c>
      <c r="DA116" s="6" t="str">
        <f t="shared" si="571"/>
        <v/>
      </c>
      <c r="DB116" s="4" t="str">
        <f t="shared" si="743"/>
        <v/>
      </c>
      <c r="DC116" s="5" t="str">
        <f t="shared" si="743"/>
        <v/>
      </c>
      <c r="DD116" s="10" t="str">
        <f t="shared" si="573"/>
        <v/>
      </c>
      <c r="DE116" s="9" t="str">
        <f t="shared" si="744"/>
        <v/>
      </c>
      <c r="DF116" s="5" t="str">
        <f t="shared" si="744"/>
        <v/>
      </c>
      <c r="DG116" s="10" t="str">
        <f t="shared" si="575"/>
        <v/>
      </c>
      <c r="DH116" s="72" t="str">
        <f t="shared" si="576"/>
        <v/>
      </c>
      <c r="DI116" s="4" t="str">
        <f t="shared" si="577"/>
        <v/>
      </c>
      <c r="DJ116" s="5" t="str">
        <f t="shared" si="578"/>
        <v/>
      </c>
      <c r="DK116" s="10" t="str">
        <f t="shared" si="579"/>
        <v/>
      </c>
      <c r="DL116" s="9" t="str">
        <f t="shared" si="580"/>
        <v/>
      </c>
      <c r="DM116" s="177" t="str">
        <f t="shared" si="581"/>
        <v/>
      </c>
      <c r="DN116" s="182" t="str">
        <f t="shared" si="582"/>
        <v/>
      </c>
      <c r="DO116" s="9" t="str">
        <f t="shared" si="583"/>
        <v/>
      </c>
      <c r="DP116" s="177" t="str">
        <f t="shared" si="584"/>
        <v/>
      </c>
      <c r="DQ116" s="11" t="str">
        <f t="shared" si="585"/>
        <v/>
      </c>
      <c r="DR116" s="177" t="str">
        <f t="shared" si="586"/>
        <v/>
      </c>
      <c r="DS116" s="5" t="str">
        <f t="shared" si="587"/>
        <v/>
      </c>
      <c r="DT116" s="5" t="str">
        <f t="shared" si="588"/>
        <v/>
      </c>
      <c r="DU116" s="5" t="str">
        <f t="shared" si="589"/>
        <v/>
      </c>
      <c r="DV116" s="5" t="str">
        <f t="shared" si="590"/>
        <v/>
      </c>
      <c r="DW116" s="5" t="str">
        <f t="shared" si="591"/>
        <v/>
      </c>
      <c r="DX116" s="171" t="str">
        <f t="shared" si="592"/>
        <v/>
      </c>
      <c r="DY116" s="9" t="str">
        <f t="shared" si="593"/>
        <v/>
      </c>
      <c r="DZ116" s="5" t="str">
        <f t="shared" si="594"/>
        <v/>
      </c>
      <c r="EA116" s="10" t="str">
        <f t="shared" si="595"/>
        <v/>
      </c>
      <c r="EB116" s="6" t="str">
        <f t="shared" si="596"/>
        <v/>
      </c>
      <c r="EC116" s="177" t="str">
        <f t="shared" si="597"/>
        <v/>
      </c>
      <c r="ED116" s="5" t="str">
        <f t="shared" si="598"/>
        <v/>
      </c>
      <c r="EE116" s="4" t="str">
        <f t="shared" si="599"/>
        <v/>
      </c>
      <c r="EF116" s="5" t="str">
        <f t="shared" si="600"/>
        <v/>
      </c>
      <c r="EG116" s="10" t="str">
        <f t="shared" si="601"/>
        <v/>
      </c>
      <c r="EH116" s="9" t="str">
        <f t="shared" si="602"/>
        <v/>
      </c>
      <c r="EI116" s="5" t="str">
        <f t="shared" si="603"/>
        <v/>
      </c>
      <c r="EJ116" s="6" t="str">
        <f t="shared" si="604"/>
        <v/>
      </c>
      <c r="EK116" s="247" t="str">
        <f t="shared" si="605"/>
        <v/>
      </c>
      <c r="EL116" s="249" t="str">
        <f t="shared" si="606"/>
        <v/>
      </c>
      <c r="EM116" s="4" t="str">
        <f t="shared" si="607"/>
        <v/>
      </c>
      <c r="EN116" s="5" t="str">
        <f t="shared" si="608"/>
        <v/>
      </c>
      <c r="EO116" s="10" t="str">
        <f t="shared" si="609"/>
        <v/>
      </c>
      <c r="EP116" s="9" t="str">
        <f t="shared" si="610"/>
        <v/>
      </c>
      <c r="EQ116" s="5" t="str">
        <f t="shared" si="611"/>
        <v/>
      </c>
      <c r="ER116" s="7" t="str">
        <f t="shared" si="612"/>
        <v/>
      </c>
      <c r="ES116" s="21" t="str">
        <f t="shared" si="686"/>
        <v/>
      </c>
      <c r="ET116" s="5" t="str">
        <f t="shared" si="687"/>
        <v/>
      </c>
      <c r="EU116" s="10" t="str">
        <f t="shared" si="688"/>
        <v/>
      </c>
      <c r="EV116" s="178" t="str">
        <f t="shared" si="689"/>
        <v/>
      </c>
      <c r="EW116" s="9" t="str">
        <f t="shared" si="690"/>
        <v/>
      </c>
      <c r="EX116" s="5" t="str">
        <f t="shared" si="691"/>
        <v/>
      </c>
      <c r="EY116" s="6" t="str">
        <f t="shared" si="613"/>
        <v/>
      </c>
      <c r="EZ116" s="52" t="str">
        <f t="shared" si="614"/>
        <v/>
      </c>
      <c r="FA116" s="177" t="str">
        <f t="shared" si="692"/>
        <v/>
      </c>
      <c r="FB116" s="5" t="str">
        <f t="shared" si="693"/>
        <v/>
      </c>
      <c r="FC116" s="6" t="str">
        <f t="shared" si="694"/>
        <v/>
      </c>
      <c r="FD116" s="4" t="str">
        <f t="shared" si="695"/>
        <v/>
      </c>
      <c r="FE116" s="5" t="str">
        <f t="shared" si="696"/>
        <v/>
      </c>
      <c r="FF116" s="7" t="str">
        <f t="shared" si="615"/>
        <v/>
      </c>
      <c r="FG116" s="177" t="str">
        <f t="shared" si="697"/>
        <v/>
      </c>
      <c r="FH116" s="5" t="str">
        <f t="shared" si="698"/>
        <v/>
      </c>
      <c r="FI116" s="10" t="str">
        <f t="shared" si="699"/>
        <v/>
      </c>
      <c r="FJ116" s="290" t="str">
        <f t="shared" si="616"/>
        <v/>
      </c>
      <c r="FK116" s="4" t="str">
        <f t="shared" si="700"/>
        <v/>
      </c>
      <c r="FL116" s="5" t="str">
        <f t="shared" si="540"/>
        <v/>
      </c>
      <c r="FM116" s="8" t="str">
        <f t="shared" si="541"/>
        <v/>
      </c>
      <c r="FN116" s="9" t="str">
        <f t="shared" si="542"/>
        <v/>
      </c>
      <c r="FO116" s="10" t="str">
        <f t="shared" si="701"/>
        <v/>
      </c>
      <c r="FP116" s="288" t="str">
        <f t="shared" si="543"/>
        <v/>
      </c>
      <c r="FQ116" s="177" t="str">
        <f t="shared" si="617"/>
        <v/>
      </c>
      <c r="FR116" s="10" t="str">
        <f t="shared" si="618"/>
        <v/>
      </c>
      <c r="FS116" s="9" t="str">
        <f t="shared" si="619"/>
        <v/>
      </c>
      <c r="FT116" s="6" t="str">
        <f t="shared" si="620"/>
        <v/>
      </c>
      <c r="FU116" s="4" t="str">
        <f t="shared" si="621"/>
        <v/>
      </c>
      <c r="FV116" s="5" t="str">
        <f t="shared" si="622"/>
        <v/>
      </c>
      <c r="FW116" s="8" t="str">
        <f t="shared" si="623"/>
        <v/>
      </c>
      <c r="FX116" s="9" t="str">
        <f t="shared" si="624"/>
        <v/>
      </c>
      <c r="FY116" s="10" t="str">
        <f t="shared" si="702"/>
        <v/>
      </c>
      <c r="FZ116" s="288" t="str">
        <f t="shared" si="625"/>
        <v/>
      </c>
      <c r="GA116" s="181" t="str">
        <f t="shared" si="626"/>
        <v/>
      </c>
      <c r="GB116" s="4" t="str">
        <f t="shared" si="627"/>
        <v/>
      </c>
      <c r="GC116" s="5" t="str">
        <f t="shared" si="628"/>
        <v/>
      </c>
      <c r="GD116" s="10" t="str">
        <f t="shared" si="629"/>
        <v/>
      </c>
      <c r="GE116" s="324" t="str">
        <f t="shared" si="630"/>
        <v/>
      </c>
      <c r="GF116" s="362" t="str">
        <f t="shared" si="631"/>
        <v/>
      </c>
      <c r="GG116" s="296" t="str">
        <f t="shared" si="703"/>
        <v/>
      </c>
      <c r="GH116" s="297" t="str">
        <f t="shared" si="704"/>
        <v/>
      </c>
      <c r="GI116" s="292" t="str">
        <f t="shared" si="705"/>
        <v/>
      </c>
      <c r="GJ116" s="171" t="str">
        <f t="shared" si="632"/>
        <v/>
      </c>
      <c r="GK116" s="178" t="str">
        <f t="shared" si="706"/>
        <v/>
      </c>
      <c r="GL116" s="178" t="str">
        <f t="shared" si="633"/>
        <v/>
      </c>
      <c r="GM116" s="181" t="str">
        <f t="shared" si="634"/>
        <v/>
      </c>
      <c r="GN116" s="291" t="str">
        <f t="shared" si="635"/>
        <v/>
      </c>
      <c r="GO116" s="4" t="str">
        <f t="shared" si="636"/>
        <v/>
      </c>
      <c r="GP116" s="8" t="str">
        <f t="shared" si="637"/>
        <v/>
      </c>
      <c r="GQ116" s="181" t="str">
        <f t="shared" si="638"/>
        <v/>
      </c>
      <c r="GR116" s="417" t="str">
        <f t="shared" si="639"/>
        <v/>
      </c>
      <c r="GS116" s="363" t="str">
        <f t="shared" si="707"/>
        <v/>
      </c>
      <c r="GT116" s="364" t="str">
        <f t="shared" si="708"/>
        <v/>
      </c>
      <c r="GU116" s="365" t="str">
        <f t="shared" si="709"/>
        <v/>
      </c>
      <c r="GV116" s="364" t="str">
        <f t="shared" si="640"/>
        <v/>
      </c>
      <c r="GW116" s="366" t="str">
        <f t="shared" si="710"/>
        <v/>
      </c>
      <c r="GX116" s="367" t="str">
        <f t="shared" si="711"/>
        <v/>
      </c>
      <c r="GY116" s="365" t="str">
        <f t="shared" si="712"/>
        <v/>
      </c>
      <c r="GZ116" s="366" t="str">
        <f t="shared" si="713"/>
        <v/>
      </c>
      <c r="HA116" s="363" t="str">
        <f t="shared" si="714"/>
        <v/>
      </c>
      <c r="HB116" s="5" t="str">
        <f t="shared" si="641"/>
        <v/>
      </c>
      <c r="HC116" s="364" t="str">
        <f t="shared" si="642"/>
        <v/>
      </c>
      <c r="HD116" s="405" t="str">
        <f t="shared" si="643"/>
        <v/>
      </c>
      <c r="HE116" s="365" t="str">
        <f t="shared" si="715"/>
        <v/>
      </c>
      <c r="HF116" s="5" t="str">
        <f t="shared" si="716"/>
        <v/>
      </c>
      <c r="HG116" s="364" t="str">
        <f t="shared" si="644"/>
        <v/>
      </c>
      <c r="HH116" s="370" t="str">
        <f t="shared" si="645"/>
        <v/>
      </c>
      <c r="HI116" s="335" t="str">
        <f t="shared" si="717"/>
        <v/>
      </c>
      <c r="HK116" s="323" t="str">
        <f t="shared" si="664"/>
        <v/>
      </c>
      <c r="HL116" s="322" t="str">
        <f t="shared" si="741"/>
        <v/>
      </c>
      <c r="HM116" s="369" t="str">
        <f t="shared" si="745"/>
        <v/>
      </c>
      <c r="HN116" s="384" t="str">
        <f t="shared" si="745"/>
        <v/>
      </c>
      <c r="HO116" s="385" t="str">
        <f t="shared" si="745"/>
        <v/>
      </c>
      <c r="HP116" s="380" t="str">
        <f t="shared" si="745"/>
        <v/>
      </c>
      <c r="HQ116" s="384" t="str">
        <f t="shared" si="745"/>
        <v/>
      </c>
      <c r="HR116" s="395" t="str">
        <f t="shared" si="745"/>
        <v/>
      </c>
      <c r="HS116" s="379" t="str">
        <f t="shared" si="745"/>
        <v/>
      </c>
      <c r="HT116" s="374" t="str">
        <f t="shared" si="745"/>
        <v/>
      </c>
      <c r="HU116" s="375" t="str">
        <f t="shared" si="745"/>
        <v/>
      </c>
      <c r="HV116" s="376" t="str">
        <f t="shared" si="745"/>
        <v/>
      </c>
      <c r="HW116" s="374" t="str">
        <f t="shared" si="745"/>
        <v/>
      </c>
      <c r="HX116" s="375" t="str">
        <f t="shared" si="745"/>
        <v/>
      </c>
      <c r="HY116" s="376" t="str">
        <f t="shared" si="745"/>
        <v/>
      </c>
      <c r="HZ116" s="374" t="str">
        <f t="shared" si="745"/>
        <v/>
      </c>
      <c r="IA116" s="375" t="str">
        <f t="shared" si="745"/>
        <v/>
      </c>
      <c r="IE116" s="849" t="str">
        <f>IFERROR(IF($IU116="","",IF($IU116&lt;(((Settings!$C$19/2)*-1)*$IE$8),"Taper","Nose")),"")</f>
        <v>Nose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6"/>
        <v>6.2220000000000004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0.122</v>
      </c>
      <c r="II116" s="734" cm="1">
        <f t="array" ref="II116">IFERROR(ROUND(VALUE(IF($IH116&lt;1,$IH116+LARGE((IF($M$9:$M$150="",0,$M$9:$M$150)-MOD(IF($M$9:$M$150="",0,$M$9:$M$150),1)),1),$IH116)),4),"")</f>
        <v>6.1219999999999999</v>
      </c>
      <c r="IJ116" s="533">
        <f t="shared" si="545"/>
        <v>1613</v>
      </c>
      <c r="IK116" s="533" t="str">
        <f t="shared" si="718"/>
        <v>Inactive</v>
      </c>
      <c r="IL116" s="727">
        <f t="shared" si="651"/>
        <v>16.425997628379349</v>
      </c>
      <c r="IM116" s="759">
        <v>4.4742168378846103E-3</v>
      </c>
      <c r="IN116" s="5">
        <f t="shared" si="652"/>
        <v>0.08</v>
      </c>
      <c r="IO116" s="771">
        <v>40</v>
      </c>
      <c r="IP116" s="9">
        <f t="shared" si="653"/>
        <v>-4.1782126014892063</v>
      </c>
      <c r="IQ116" s="5">
        <f t="shared" si="654"/>
        <v>-8.6300260281584912E-2</v>
      </c>
      <c r="IR116" s="5">
        <f t="shared" si="719"/>
        <v>0.314</v>
      </c>
      <c r="IS116" s="5">
        <f t="shared" si="655"/>
        <v>0.29492248195591264</v>
      </c>
      <c r="IT116" s="727">
        <f t="shared" si="656"/>
        <v>11.066825626043236</v>
      </c>
      <c r="IU116" s="9">
        <f t="shared" si="657"/>
        <v>-4.1822126135532418</v>
      </c>
      <c r="IV116" s="5">
        <f t="shared" si="658"/>
        <v>-5.8600176738132628E-2</v>
      </c>
      <c r="IW116" s="5">
        <f t="shared" si="720"/>
        <v>0.26250000000000001</v>
      </c>
      <c r="IX116" s="5">
        <f t="shared" si="659"/>
        <v>0.26250000000000001</v>
      </c>
      <c r="IY116" s="762">
        <f t="shared" si="660"/>
        <v>5.8999991481455201</v>
      </c>
    </row>
    <row r="117" spans="1:259" ht="15" customHeight="1" x14ac:dyDescent="0.25">
      <c r="A117" s="79"/>
      <c r="B117" s="707">
        <v>-3.0371419201594043</v>
      </c>
      <c r="C117" s="708">
        <v>3.8841642550641646</v>
      </c>
      <c r="D117" s="709">
        <v>-0.25910078144795662</v>
      </c>
      <c r="E117" s="710">
        <v>-0.16771833504577685</v>
      </c>
      <c r="F117" s="708">
        <v>0.21449259230902196</v>
      </c>
      <c r="G117" s="711">
        <v>0.96221800437012628</v>
      </c>
      <c r="H117" s="710">
        <v>0.26250000000000001</v>
      </c>
      <c r="I117" s="708">
        <v>0.40699999999999997</v>
      </c>
      <c r="J117" s="570">
        <v>6.2279999999999998</v>
      </c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Inactive</v>
      </c>
      <c r="L117" s="1314">
        <f t="shared" si="746"/>
        <v>20</v>
      </c>
      <c r="M117" s="168">
        <f t="shared" si="665"/>
        <v>6.2279999999999998</v>
      </c>
      <c r="N117" s="632">
        <f t="shared" si="666"/>
        <v>-3.0371419201594043</v>
      </c>
      <c r="O117" s="629">
        <f t="shared" si="667"/>
        <v>3.8841642550641646</v>
      </c>
      <c r="P117" s="633">
        <f t="shared" si="668"/>
        <v>-0.25910078144795662</v>
      </c>
      <c r="Q117" s="585">
        <f t="shared" si="523"/>
        <v>128.02289451017324</v>
      </c>
      <c r="R117" s="629">
        <f t="shared" si="721"/>
        <v>4.930614870734451</v>
      </c>
      <c r="S117" s="634">
        <f t="shared" si="722"/>
        <v>-0.25910078144795662</v>
      </c>
      <c r="T117" s="635">
        <f t="shared" si="723"/>
        <v>3.8841642550641646</v>
      </c>
      <c r="U117" s="629">
        <f t="shared" si="724"/>
        <v>3.0371419201594039</v>
      </c>
      <c r="V117" s="636">
        <f t="shared" si="725"/>
        <v>-0.25910078144795662</v>
      </c>
      <c r="W117" s="585">
        <f t="shared" si="648"/>
        <v>38.022894510173245</v>
      </c>
      <c r="X117" s="629">
        <f t="shared" si="726"/>
        <v>4.930614870734451</v>
      </c>
      <c r="Y117" s="630">
        <f t="shared" si="647"/>
        <v>-0.25910078144795662</v>
      </c>
      <c r="Z117" s="632">
        <f t="shared" si="669"/>
        <v>0.16771833504577685</v>
      </c>
      <c r="AA117" s="629">
        <f t="shared" si="670"/>
        <v>-0.21449259230902196</v>
      </c>
      <c r="AB117" s="629">
        <f t="shared" si="671"/>
        <v>-0.96221800437012628</v>
      </c>
      <c r="AC117" s="636">
        <f t="shared" si="727"/>
        <v>1</v>
      </c>
      <c r="AD117" s="637">
        <f t="shared" si="728"/>
        <v>0.16771833504577685</v>
      </c>
      <c r="AE117" s="629">
        <f t="shared" si="729"/>
        <v>-0.21449259230902196</v>
      </c>
      <c r="AF117" s="633">
        <f t="shared" si="730"/>
        <v>-0.96221800437012628</v>
      </c>
      <c r="AG117" s="602">
        <f t="shared" si="731"/>
        <v>-12.566614199055063</v>
      </c>
      <c r="AH117" s="603">
        <f t="shared" si="732"/>
        <v>80.344815352273301</v>
      </c>
      <c r="AI117" s="585">
        <f t="shared" si="733"/>
        <v>-15.799997718767761</v>
      </c>
      <c r="AJ117" s="586">
        <f t="shared" si="734"/>
        <v>38.022942234502757</v>
      </c>
      <c r="AK117" s="635">
        <f t="shared" si="735"/>
        <v>2.2679489677934761E-7</v>
      </c>
      <c r="AL117" s="629">
        <f t="shared" si="736"/>
        <v>-0.27228020872975756</v>
      </c>
      <c r="AM117" s="634">
        <f t="shared" si="737"/>
        <v>-0.96221800437012628</v>
      </c>
      <c r="AN117" s="581">
        <f t="shared" si="738"/>
        <v>-15.799997718762578</v>
      </c>
      <c r="AO117" s="582">
        <f t="shared" si="463"/>
        <v>0</v>
      </c>
      <c r="AP117" s="585">
        <f t="shared" si="739"/>
        <v>-89.999952275670495</v>
      </c>
      <c r="AQ117" s="586">
        <f t="shared" si="672"/>
        <v>0.46235149326432207</v>
      </c>
      <c r="AS117" s="52">
        <f t="shared" si="742"/>
        <v>-321.97710548982673</v>
      </c>
      <c r="AT117" s="73">
        <f t="shared" si="673"/>
        <v>-3.5505569302243606E-2</v>
      </c>
      <c r="AU117" s="469"/>
      <c r="AV117" s="168" t="str">
        <f t="shared" si="674"/>
        <v/>
      </c>
      <c r="AW117" s="418"/>
      <c r="AX117" s="419"/>
      <c r="AY117" s="420"/>
      <c r="AZ117" s="308" t="str">
        <f t="shared" si="547"/>
        <v/>
      </c>
      <c r="BA117" s="307" t="str">
        <f t="shared" si="675"/>
        <v/>
      </c>
      <c r="BB117" s="181" t="str">
        <f t="shared" si="524"/>
        <v/>
      </c>
      <c r="BC117" s="9"/>
      <c r="BD117" s="5" t="str">
        <f t="shared" si="525"/>
        <v/>
      </c>
      <c r="BE117" s="6" t="str">
        <f t="shared" si="676"/>
        <v/>
      </c>
      <c r="BF117" s="4" t="str">
        <f t="shared" si="677"/>
        <v/>
      </c>
      <c r="BG117" s="5" t="str">
        <f t="shared" si="678"/>
        <v/>
      </c>
      <c r="BH117" s="10" t="str">
        <f t="shared" si="679"/>
        <v/>
      </c>
      <c r="BI117" s="9" t="str">
        <f t="shared" si="548"/>
        <v/>
      </c>
      <c r="BJ117" s="5" t="str">
        <f t="shared" si="680"/>
        <v/>
      </c>
      <c r="BK117" s="8" t="str">
        <f t="shared" si="681"/>
        <v/>
      </c>
      <c r="BL117" s="177" t="str">
        <f t="shared" si="682"/>
        <v/>
      </c>
      <c r="BM117" s="5" t="str">
        <f t="shared" si="683"/>
        <v/>
      </c>
      <c r="BN117" s="6" t="str">
        <f t="shared" si="684"/>
        <v/>
      </c>
      <c r="BO117" s="4" t="str">
        <f t="shared" si="549"/>
        <v/>
      </c>
      <c r="BP117" s="5" t="str">
        <f t="shared" si="550"/>
        <v/>
      </c>
      <c r="BQ117" s="5" t="str">
        <f t="shared" si="551"/>
        <v/>
      </c>
      <c r="BR117" s="6" t="str">
        <f t="shared" si="552"/>
        <v/>
      </c>
      <c r="BS117" s="4" t="str">
        <f t="shared" si="740"/>
        <v/>
      </c>
      <c r="BT117" s="5" t="str">
        <f t="shared" si="740"/>
        <v/>
      </c>
      <c r="BU117" s="10" t="str">
        <f t="shared" si="527"/>
        <v/>
      </c>
      <c r="BV117" s="9" t="str">
        <f t="shared" si="528"/>
        <v/>
      </c>
      <c r="BW117" s="5" t="str">
        <f t="shared" si="529"/>
        <v/>
      </c>
      <c r="BX117" s="8" t="str">
        <f t="shared" si="530"/>
        <v/>
      </c>
      <c r="BY117" s="177" t="str">
        <f t="shared" si="531"/>
        <v/>
      </c>
      <c r="BZ117" s="5" t="str">
        <f t="shared" si="532"/>
        <v/>
      </c>
      <c r="CA117" s="6" t="str">
        <f t="shared" si="533"/>
        <v/>
      </c>
      <c r="CB117" s="4" t="str">
        <f t="shared" si="553"/>
        <v/>
      </c>
      <c r="CC117" s="5" t="str">
        <f t="shared" si="554"/>
        <v/>
      </c>
      <c r="CD117" s="5" t="str">
        <f t="shared" si="555"/>
        <v/>
      </c>
      <c r="CE117" s="6" t="str">
        <f t="shared" si="556"/>
        <v/>
      </c>
      <c r="CF117" s="4" t="str">
        <f t="shared" si="557"/>
        <v/>
      </c>
      <c r="CG117" s="5" t="str">
        <f t="shared" si="558"/>
        <v/>
      </c>
      <c r="CH117" s="5" t="str">
        <f t="shared" si="559"/>
        <v/>
      </c>
      <c r="CI117" s="4" t="str">
        <f t="shared" si="534"/>
        <v/>
      </c>
      <c r="CJ117" s="5" t="str">
        <f t="shared" si="535"/>
        <v/>
      </c>
      <c r="CK117" s="8" t="str">
        <f t="shared" si="536"/>
        <v/>
      </c>
      <c r="CL117" s="177" t="str">
        <f t="shared" si="537"/>
        <v/>
      </c>
      <c r="CM117" s="5" t="str">
        <f t="shared" si="538"/>
        <v/>
      </c>
      <c r="CN117" s="6" t="str">
        <f t="shared" si="539"/>
        <v/>
      </c>
      <c r="CO117" s="171" t="str">
        <f t="shared" si="685"/>
        <v/>
      </c>
      <c r="CP117" s="4" t="str">
        <f t="shared" si="560"/>
        <v/>
      </c>
      <c r="CQ117" s="5" t="str">
        <f t="shared" si="561"/>
        <v/>
      </c>
      <c r="CR117" s="5" t="str">
        <f t="shared" si="562"/>
        <v/>
      </c>
      <c r="CS117" s="8" t="str">
        <f t="shared" si="563"/>
        <v/>
      </c>
      <c r="CT117" s="9" t="str">
        <f t="shared" si="564"/>
        <v/>
      </c>
      <c r="CU117" s="6" t="str">
        <f t="shared" si="565"/>
        <v/>
      </c>
      <c r="CV117" s="4" t="str">
        <f t="shared" si="566"/>
        <v/>
      </c>
      <c r="CW117" s="5" t="str">
        <f t="shared" si="567"/>
        <v/>
      </c>
      <c r="CX117" s="8" t="str">
        <f t="shared" si="568"/>
        <v/>
      </c>
      <c r="CY117" s="9" t="str">
        <f t="shared" si="569"/>
        <v/>
      </c>
      <c r="CZ117" s="5" t="str">
        <f t="shared" si="570"/>
        <v/>
      </c>
      <c r="DA117" s="6" t="str">
        <f t="shared" si="571"/>
        <v/>
      </c>
      <c r="DB117" s="4" t="str">
        <f t="shared" si="743"/>
        <v/>
      </c>
      <c r="DC117" s="5" t="str">
        <f t="shared" si="743"/>
        <v/>
      </c>
      <c r="DD117" s="10" t="str">
        <f t="shared" si="573"/>
        <v/>
      </c>
      <c r="DE117" s="9" t="str">
        <f t="shared" si="744"/>
        <v/>
      </c>
      <c r="DF117" s="5" t="str">
        <f t="shared" si="744"/>
        <v/>
      </c>
      <c r="DG117" s="10" t="str">
        <f t="shared" si="575"/>
        <v/>
      </c>
      <c r="DH117" s="72" t="str">
        <f t="shared" si="576"/>
        <v/>
      </c>
      <c r="DI117" s="4" t="str">
        <f t="shared" si="577"/>
        <v/>
      </c>
      <c r="DJ117" s="5" t="str">
        <f t="shared" si="578"/>
        <v/>
      </c>
      <c r="DK117" s="10" t="str">
        <f t="shared" si="579"/>
        <v/>
      </c>
      <c r="DL117" s="9" t="str">
        <f t="shared" si="580"/>
        <v/>
      </c>
      <c r="DM117" s="177" t="str">
        <f t="shared" si="581"/>
        <v/>
      </c>
      <c r="DN117" s="182" t="str">
        <f t="shared" si="582"/>
        <v/>
      </c>
      <c r="DO117" s="9" t="str">
        <f t="shared" si="583"/>
        <v/>
      </c>
      <c r="DP117" s="177" t="str">
        <f t="shared" si="584"/>
        <v/>
      </c>
      <c r="DQ117" s="11" t="str">
        <f t="shared" si="585"/>
        <v/>
      </c>
      <c r="DR117" s="177" t="str">
        <f t="shared" si="586"/>
        <v/>
      </c>
      <c r="DS117" s="5" t="str">
        <f t="shared" si="587"/>
        <v/>
      </c>
      <c r="DT117" s="5" t="str">
        <f t="shared" si="588"/>
        <v/>
      </c>
      <c r="DU117" s="5" t="str">
        <f t="shared" si="589"/>
        <v/>
      </c>
      <c r="DV117" s="5" t="str">
        <f t="shared" si="590"/>
        <v/>
      </c>
      <c r="DW117" s="5" t="str">
        <f t="shared" si="591"/>
        <v/>
      </c>
      <c r="DX117" s="171" t="str">
        <f t="shared" si="592"/>
        <v/>
      </c>
      <c r="DY117" s="9" t="str">
        <f t="shared" si="593"/>
        <v/>
      </c>
      <c r="DZ117" s="5" t="str">
        <f t="shared" si="594"/>
        <v/>
      </c>
      <c r="EA117" s="10" t="str">
        <f t="shared" si="595"/>
        <v/>
      </c>
      <c r="EB117" s="6" t="str">
        <f t="shared" si="596"/>
        <v/>
      </c>
      <c r="EC117" s="177" t="str">
        <f t="shared" si="597"/>
        <v/>
      </c>
      <c r="ED117" s="5" t="str">
        <f t="shared" si="598"/>
        <v/>
      </c>
      <c r="EE117" s="4" t="str">
        <f t="shared" si="599"/>
        <v/>
      </c>
      <c r="EF117" s="5" t="str">
        <f t="shared" si="600"/>
        <v/>
      </c>
      <c r="EG117" s="10" t="str">
        <f t="shared" si="601"/>
        <v/>
      </c>
      <c r="EH117" s="9" t="str">
        <f t="shared" si="602"/>
        <v/>
      </c>
      <c r="EI117" s="5" t="str">
        <f t="shared" si="603"/>
        <v/>
      </c>
      <c r="EJ117" s="6" t="str">
        <f t="shared" si="604"/>
        <v/>
      </c>
      <c r="EK117" s="247" t="str">
        <f t="shared" si="605"/>
        <v/>
      </c>
      <c r="EL117" s="249" t="str">
        <f t="shared" si="606"/>
        <v/>
      </c>
      <c r="EM117" s="4" t="str">
        <f t="shared" si="607"/>
        <v/>
      </c>
      <c r="EN117" s="5" t="str">
        <f t="shared" si="608"/>
        <v/>
      </c>
      <c r="EO117" s="10" t="str">
        <f t="shared" si="609"/>
        <v/>
      </c>
      <c r="EP117" s="9" t="str">
        <f t="shared" si="610"/>
        <v/>
      </c>
      <c r="EQ117" s="5" t="str">
        <f t="shared" si="611"/>
        <v/>
      </c>
      <c r="ER117" s="7" t="str">
        <f t="shared" si="612"/>
        <v/>
      </c>
      <c r="ES117" s="21" t="str">
        <f t="shared" si="686"/>
        <v/>
      </c>
      <c r="ET117" s="5" t="str">
        <f t="shared" si="687"/>
        <v/>
      </c>
      <c r="EU117" s="10" t="str">
        <f t="shared" si="688"/>
        <v/>
      </c>
      <c r="EV117" s="178" t="str">
        <f t="shared" si="689"/>
        <v/>
      </c>
      <c r="EW117" s="9" t="str">
        <f t="shared" si="690"/>
        <v/>
      </c>
      <c r="EX117" s="5" t="str">
        <f t="shared" si="691"/>
        <v/>
      </c>
      <c r="EY117" s="6" t="str">
        <f t="shared" si="613"/>
        <v/>
      </c>
      <c r="EZ117" s="52" t="str">
        <f t="shared" si="614"/>
        <v/>
      </c>
      <c r="FA117" s="177" t="str">
        <f t="shared" si="692"/>
        <v/>
      </c>
      <c r="FB117" s="5" t="str">
        <f t="shared" si="693"/>
        <v/>
      </c>
      <c r="FC117" s="6" t="str">
        <f t="shared" si="694"/>
        <v/>
      </c>
      <c r="FD117" s="4" t="str">
        <f t="shared" si="695"/>
        <v/>
      </c>
      <c r="FE117" s="5" t="str">
        <f t="shared" si="696"/>
        <v/>
      </c>
      <c r="FF117" s="7" t="str">
        <f t="shared" si="615"/>
        <v/>
      </c>
      <c r="FG117" s="177" t="str">
        <f t="shared" si="697"/>
        <v/>
      </c>
      <c r="FH117" s="5" t="str">
        <f t="shared" si="698"/>
        <v/>
      </c>
      <c r="FI117" s="10" t="str">
        <f t="shared" si="699"/>
        <v/>
      </c>
      <c r="FJ117" s="290" t="str">
        <f t="shared" si="616"/>
        <v/>
      </c>
      <c r="FK117" s="4" t="str">
        <f t="shared" si="700"/>
        <v/>
      </c>
      <c r="FL117" s="5" t="str">
        <f t="shared" si="540"/>
        <v/>
      </c>
      <c r="FM117" s="8" t="str">
        <f t="shared" si="541"/>
        <v/>
      </c>
      <c r="FN117" s="9" t="str">
        <f t="shared" si="542"/>
        <v/>
      </c>
      <c r="FO117" s="10" t="str">
        <f t="shared" si="701"/>
        <v/>
      </c>
      <c r="FP117" s="288" t="str">
        <f t="shared" si="543"/>
        <v/>
      </c>
      <c r="FQ117" s="177" t="str">
        <f t="shared" si="617"/>
        <v/>
      </c>
      <c r="FR117" s="10" t="str">
        <f t="shared" si="618"/>
        <v/>
      </c>
      <c r="FS117" s="9" t="str">
        <f t="shared" si="619"/>
        <v/>
      </c>
      <c r="FT117" s="6" t="str">
        <f t="shared" si="620"/>
        <v/>
      </c>
      <c r="FU117" s="4" t="str">
        <f t="shared" si="621"/>
        <v/>
      </c>
      <c r="FV117" s="5" t="str">
        <f t="shared" si="622"/>
        <v/>
      </c>
      <c r="FW117" s="8" t="str">
        <f t="shared" si="623"/>
        <v/>
      </c>
      <c r="FX117" s="9" t="str">
        <f t="shared" si="624"/>
        <v/>
      </c>
      <c r="FY117" s="10" t="str">
        <f t="shared" si="702"/>
        <v/>
      </c>
      <c r="FZ117" s="288" t="str">
        <f t="shared" si="625"/>
        <v/>
      </c>
      <c r="GA117" s="181" t="str">
        <f t="shared" si="626"/>
        <v/>
      </c>
      <c r="GB117" s="4" t="str">
        <f t="shared" si="627"/>
        <v/>
      </c>
      <c r="GC117" s="5" t="str">
        <f t="shared" si="628"/>
        <v/>
      </c>
      <c r="GD117" s="10" t="str">
        <f t="shared" si="629"/>
        <v/>
      </c>
      <c r="GE117" s="324" t="str">
        <f t="shared" si="630"/>
        <v/>
      </c>
      <c r="GF117" s="362" t="str">
        <f t="shared" si="631"/>
        <v/>
      </c>
      <c r="GG117" s="296" t="str">
        <f t="shared" si="703"/>
        <v/>
      </c>
      <c r="GH117" s="297" t="str">
        <f t="shared" si="704"/>
        <v/>
      </c>
      <c r="GI117" s="292" t="str">
        <f t="shared" si="705"/>
        <v/>
      </c>
      <c r="GJ117" s="171" t="str">
        <f t="shared" si="632"/>
        <v/>
      </c>
      <c r="GK117" s="178" t="str">
        <f t="shared" si="706"/>
        <v/>
      </c>
      <c r="GL117" s="178" t="str">
        <f t="shared" si="633"/>
        <v/>
      </c>
      <c r="GM117" s="181" t="str">
        <f t="shared" si="634"/>
        <v/>
      </c>
      <c r="GN117" s="291" t="str">
        <f t="shared" si="635"/>
        <v/>
      </c>
      <c r="GO117" s="4" t="str">
        <f t="shared" si="636"/>
        <v/>
      </c>
      <c r="GP117" s="8" t="str">
        <f t="shared" si="637"/>
        <v/>
      </c>
      <c r="GQ117" s="181" t="str">
        <f t="shared" si="638"/>
        <v/>
      </c>
      <c r="GR117" s="417" t="str">
        <f t="shared" si="639"/>
        <v/>
      </c>
      <c r="GS117" s="363" t="str">
        <f t="shared" si="707"/>
        <v/>
      </c>
      <c r="GT117" s="364" t="str">
        <f t="shared" si="708"/>
        <v/>
      </c>
      <c r="GU117" s="365" t="str">
        <f t="shared" si="709"/>
        <v/>
      </c>
      <c r="GV117" s="364" t="str">
        <f t="shared" si="640"/>
        <v/>
      </c>
      <c r="GW117" s="366" t="str">
        <f t="shared" si="710"/>
        <v/>
      </c>
      <c r="GX117" s="367" t="str">
        <f t="shared" si="711"/>
        <v/>
      </c>
      <c r="GY117" s="365" t="str">
        <f t="shared" si="712"/>
        <v/>
      </c>
      <c r="GZ117" s="366" t="str">
        <f t="shared" si="713"/>
        <v/>
      </c>
      <c r="HA117" s="363" t="str">
        <f t="shared" si="714"/>
        <v/>
      </c>
      <c r="HB117" s="5" t="str">
        <f t="shared" si="641"/>
        <v/>
      </c>
      <c r="HC117" s="364" t="str">
        <f t="shared" si="642"/>
        <v/>
      </c>
      <c r="HD117" s="405" t="str">
        <f t="shared" si="643"/>
        <v/>
      </c>
      <c r="HE117" s="365" t="str">
        <f t="shared" si="715"/>
        <v/>
      </c>
      <c r="HF117" s="5" t="str">
        <f t="shared" si="716"/>
        <v/>
      </c>
      <c r="HG117" s="364" t="str">
        <f t="shared" si="644"/>
        <v/>
      </c>
      <c r="HH117" s="370" t="str">
        <f t="shared" si="645"/>
        <v/>
      </c>
      <c r="HI117" s="335" t="str">
        <f t="shared" si="717"/>
        <v/>
      </c>
      <c r="HK117" s="323" t="str">
        <f t="shared" si="664"/>
        <v/>
      </c>
      <c r="HL117" s="322" t="str">
        <f t="shared" si="741"/>
        <v/>
      </c>
      <c r="HM117" s="369" t="str">
        <f t="shared" si="745"/>
        <v/>
      </c>
      <c r="HN117" s="384" t="str">
        <f t="shared" si="745"/>
        <v/>
      </c>
      <c r="HO117" s="385" t="str">
        <f t="shared" si="745"/>
        <v/>
      </c>
      <c r="HP117" s="380" t="str">
        <f t="shared" si="745"/>
        <v/>
      </c>
      <c r="HQ117" s="384" t="str">
        <f t="shared" si="745"/>
        <v/>
      </c>
      <c r="HR117" s="395" t="str">
        <f t="shared" si="745"/>
        <v/>
      </c>
      <c r="HS117" s="379" t="str">
        <f t="shared" si="745"/>
        <v/>
      </c>
      <c r="HT117" s="374" t="str">
        <f t="shared" si="745"/>
        <v/>
      </c>
      <c r="HU117" s="375" t="str">
        <f t="shared" si="745"/>
        <v/>
      </c>
      <c r="HV117" s="376" t="str">
        <f t="shared" si="745"/>
        <v/>
      </c>
      <c r="HW117" s="374" t="str">
        <f t="shared" si="745"/>
        <v/>
      </c>
      <c r="HX117" s="375" t="str">
        <f t="shared" si="745"/>
        <v/>
      </c>
      <c r="HY117" s="376" t="str">
        <f t="shared" si="745"/>
        <v/>
      </c>
      <c r="HZ117" s="374" t="str">
        <f t="shared" si="745"/>
        <v/>
      </c>
      <c r="IA117" s="375" t="str">
        <f t="shared" si="745"/>
        <v/>
      </c>
      <c r="IE117" s="849" t="str">
        <f>IFERROR(IF($IU117="","",IF($IU117&lt;(((Settings!$C$19/2)*-1)*$IE$8),"Taper","Nose")),"")</f>
        <v>Nose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6"/>
        <v>6.2279999999999998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0.128</v>
      </c>
      <c r="II117" s="734" cm="1">
        <f t="array" ref="II117">IFERROR(ROUND(VALUE(IF($IH117&lt;1,$IH117+LARGE((IF($M$9:$M$150="",0,$M$9:$M$150)-MOD(IF($M$9:$M$150="",0,$M$9:$M$150),1)),1),$IH117)),4),"")</f>
        <v>6.1280000000000001</v>
      </c>
      <c r="IJ117" s="533">
        <f t="shared" si="545"/>
        <v>1613</v>
      </c>
      <c r="IK117" s="533" t="str">
        <f t="shared" si="718"/>
        <v>Inactive</v>
      </c>
      <c r="IL117" s="727">
        <f t="shared" si="651"/>
        <v>16.419197629361207</v>
      </c>
      <c r="IM117" s="759">
        <v>3.29764623263868E-3</v>
      </c>
      <c r="IN117" s="5">
        <f t="shared" si="652"/>
        <v>0.04</v>
      </c>
      <c r="IO117" s="771">
        <v>20</v>
      </c>
      <c r="IP117" s="9">
        <f t="shared" si="653"/>
        <v>-4.9201148390663541</v>
      </c>
      <c r="IQ117" s="5">
        <f t="shared" si="654"/>
        <v>-0.2856008613721977</v>
      </c>
      <c r="IR117" s="5">
        <f t="shared" si="719"/>
        <v>0.314</v>
      </c>
      <c r="IS117" s="5">
        <f t="shared" si="655"/>
        <v>0.29417311760180692</v>
      </c>
      <c r="IT117" s="727">
        <f t="shared" si="656"/>
        <v>28.625046020196134</v>
      </c>
      <c r="IU117" s="9">
        <f t="shared" si="657"/>
        <v>-4.930614870734451</v>
      </c>
      <c r="IV117" s="5">
        <f t="shared" si="658"/>
        <v>-0.25910078144795662</v>
      </c>
      <c r="IW117" s="5">
        <f t="shared" si="720"/>
        <v>0.26250000000000001</v>
      </c>
      <c r="IX117" s="5">
        <f t="shared" si="659"/>
        <v>0.26250000000000001</v>
      </c>
      <c r="IY117" s="762">
        <f t="shared" si="660"/>
        <v>15.799997718762578</v>
      </c>
    </row>
    <row r="118" spans="1:259" ht="15" customHeight="1" x14ac:dyDescent="0.25">
      <c r="A118" s="79"/>
      <c r="B118" s="707">
        <v>-3.4186965692426763</v>
      </c>
      <c r="C118" s="708">
        <v>4.4375382743917102</v>
      </c>
      <c r="D118" s="709">
        <v>-0.6263018889264963</v>
      </c>
      <c r="E118" s="710">
        <v>-0.26465986401272323</v>
      </c>
      <c r="F118" s="708">
        <v>0.34353356082465264</v>
      </c>
      <c r="G118" s="711">
        <v>0.90107704940693145</v>
      </c>
      <c r="H118" s="710">
        <v>0.26250000000000001</v>
      </c>
      <c r="I118" s="708">
        <v>0.40699999999999997</v>
      </c>
      <c r="J118" s="570">
        <v>6.234</v>
      </c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Inactive</v>
      </c>
      <c r="L118" s="1314">
        <f t="shared" si="746"/>
        <v>0</v>
      </c>
      <c r="M118" s="168">
        <f t="shared" si="665"/>
        <v>6.234</v>
      </c>
      <c r="N118" s="632">
        <f t="shared" si="666"/>
        <v>-3.4186965692426763</v>
      </c>
      <c r="O118" s="629">
        <f t="shared" si="667"/>
        <v>4.4375382743917102</v>
      </c>
      <c r="P118" s="633">
        <f t="shared" si="668"/>
        <v>-0.6263018889264963</v>
      </c>
      <c r="Q118" s="585">
        <f t="shared" si="523"/>
        <v>127.61079456967313</v>
      </c>
      <c r="R118" s="629">
        <f t="shared" si="721"/>
        <v>5.6017168947781544</v>
      </c>
      <c r="S118" s="634">
        <f t="shared" si="722"/>
        <v>-0.6263018889264963</v>
      </c>
      <c r="T118" s="635">
        <f t="shared" si="723"/>
        <v>4.4375382743917111</v>
      </c>
      <c r="U118" s="629">
        <f t="shared" si="724"/>
        <v>3.4186965692426758</v>
      </c>
      <c r="V118" s="636">
        <f t="shared" si="725"/>
        <v>-0.6263018889264963</v>
      </c>
      <c r="W118" s="585">
        <f t="shared" si="648"/>
        <v>37.610794569673132</v>
      </c>
      <c r="X118" s="629">
        <f t="shared" si="726"/>
        <v>5.6017168947781544</v>
      </c>
      <c r="Y118" s="630">
        <f t="shared" si="647"/>
        <v>-0.6263018889264963</v>
      </c>
      <c r="Z118" s="632">
        <f t="shared" si="669"/>
        <v>0.26465986401272323</v>
      </c>
      <c r="AA118" s="629">
        <f t="shared" si="670"/>
        <v>-0.34353356082465264</v>
      </c>
      <c r="AB118" s="629">
        <f t="shared" si="671"/>
        <v>-0.90107704940693145</v>
      </c>
      <c r="AC118" s="636">
        <f t="shared" si="727"/>
        <v>1</v>
      </c>
      <c r="AD118" s="637">
        <f t="shared" si="728"/>
        <v>0.26465986401272323</v>
      </c>
      <c r="AE118" s="629">
        <f t="shared" si="729"/>
        <v>-0.34353356082465264</v>
      </c>
      <c r="AF118" s="633">
        <f t="shared" si="730"/>
        <v>-0.90107704940693145</v>
      </c>
      <c r="AG118" s="602">
        <f t="shared" si="731"/>
        <v>-20.869233194208942</v>
      </c>
      <c r="AH118" s="603">
        <f t="shared" si="732"/>
        <v>74.653257152424104</v>
      </c>
      <c r="AI118" s="585">
        <f t="shared" si="733"/>
        <v>-25.699996289382707</v>
      </c>
      <c r="AJ118" s="586">
        <f t="shared" si="734"/>
        <v>37.610824534206579</v>
      </c>
      <c r="AK118" s="635">
        <f t="shared" si="735"/>
        <v>2.2679489675159203E-7</v>
      </c>
      <c r="AL118" s="629">
        <f t="shared" si="736"/>
        <v>-0.43365902623149333</v>
      </c>
      <c r="AM118" s="634">
        <f t="shared" si="737"/>
        <v>-0.90107704940693145</v>
      </c>
      <c r="AN118" s="581">
        <f t="shared" si="738"/>
        <v>-25.699996289379641</v>
      </c>
      <c r="AO118" s="582">
        <f t="shared" si="463"/>
        <v>0</v>
      </c>
      <c r="AP118" s="585">
        <f t="shared" si="739"/>
        <v>-89.999970035466546</v>
      </c>
      <c r="AQ118" s="586">
        <f t="shared" si="672"/>
        <v>0.4069624254579014</v>
      </c>
      <c r="AS118" s="52">
        <f t="shared" si="742"/>
        <v>-322.38920543032685</v>
      </c>
      <c r="AT118" s="73">
        <f t="shared" si="673"/>
        <v>-0.40242049626654708</v>
      </c>
      <c r="AU118" s="469"/>
      <c r="AV118" s="168" t="str">
        <f t="shared" si="674"/>
        <v/>
      </c>
      <c r="AW118" s="418"/>
      <c r="AX118" s="419"/>
      <c r="AY118" s="420"/>
      <c r="AZ118" s="308" t="str">
        <f t="shared" si="547"/>
        <v/>
      </c>
      <c r="BA118" s="307" t="str">
        <f t="shared" si="675"/>
        <v/>
      </c>
      <c r="BB118" s="181" t="str">
        <f t="shared" si="524"/>
        <v/>
      </c>
      <c r="BC118" s="9"/>
      <c r="BD118" s="5" t="str">
        <f t="shared" si="525"/>
        <v/>
      </c>
      <c r="BE118" s="6" t="str">
        <f t="shared" si="676"/>
        <v/>
      </c>
      <c r="BF118" s="4" t="str">
        <f t="shared" si="677"/>
        <v/>
      </c>
      <c r="BG118" s="5" t="str">
        <f t="shared" si="678"/>
        <v/>
      </c>
      <c r="BH118" s="10" t="str">
        <f t="shared" si="679"/>
        <v/>
      </c>
      <c r="BI118" s="9" t="str">
        <f t="shared" si="548"/>
        <v/>
      </c>
      <c r="BJ118" s="5" t="str">
        <f t="shared" si="680"/>
        <v/>
      </c>
      <c r="BK118" s="8" t="str">
        <f t="shared" si="681"/>
        <v/>
      </c>
      <c r="BL118" s="177" t="str">
        <f t="shared" si="682"/>
        <v/>
      </c>
      <c r="BM118" s="5" t="str">
        <f t="shared" si="683"/>
        <v/>
      </c>
      <c r="BN118" s="6" t="str">
        <f t="shared" si="684"/>
        <v/>
      </c>
      <c r="BO118" s="4" t="str">
        <f t="shared" si="549"/>
        <v/>
      </c>
      <c r="BP118" s="5" t="str">
        <f t="shared" si="550"/>
        <v/>
      </c>
      <c r="BQ118" s="5" t="str">
        <f t="shared" si="551"/>
        <v/>
      </c>
      <c r="BR118" s="6" t="str">
        <f t="shared" si="552"/>
        <v/>
      </c>
      <c r="BS118" s="4" t="str">
        <f t="shared" si="740"/>
        <v/>
      </c>
      <c r="BT118" s="5" t="str">
        <f t="shared" si="740"/>
        <v/>
      </c>
      <c r="BU118" s="10" t="str">
        <f t="shared" si="527"/>
        <v/>
      </c>
      <c r="BV118" s="9" t="str">
        <f t="shared" si="528"/>
        <v/>
      </c>
      <c r="BW118" s="5" t="str">
        <f t="shared" si="529"/>
        <v/>
      </c>
      <c r="BX118" s="8" t="str">
        <f t="shared" si="530"/>
        <v/>
      </c>
      <c r="BY118" s="177" t="str">
        <f t="shared" si="531"/>
        <v/>
      </c>
      <c r="BZ118" s="5" t="str">
        <f t="shared" si="532"/>
        <v/>
      </c>
      <c r="CA118" s="6" t="str">
        <f t="shared" si="533"/>
        <v/>
      </c>
      <c r="CB118" s="4" t="str">
        <f t="shared" si="553"/>
        <v/>
      </c>
      <c r="CC118" s="5" t="str">
        <f t="shared" si="554"/>
        <v/>
      </c>
      <c r="CD118" s="5" t="str">
        <f t="shared" si="555"/>
        <v/>
      </c>
      <c r="CE118" s="6" t="str">
        <f t="shared" si="556"/>
        <v/>
      </c>
      <c r="CF118" s="4" t="str">
        <f t="shared" si="557"/>
        <v/>
      </c>
      <c r="CG118" s="5" t="str">
        <f t="shared" si="558"/>
        <v/>
      </c>
      <c r="CH118" s="5" t="str">
        <f t="shared" si="559"/>
        <v/>
      </c>
      <c r="CI118" s="4" t="str">
        <f t="shared" si="534"/>
        <v/>
      </c>
      <c r="CJ118" s="5" t="str">
        <f t="shared" si="535"/>
        <v/>
      </c>
      <c r="CK118" s="8" t="str">
        <f t="shared" si="536"/>
        <v/>
      </c>
      <c r="CL118" s="177" t="str">
        <f t="shared" si="537"/>
        <v/>
      </c>
      <c r="CM118" s="5" t="str">
        <f t="shared" si="538"/>
        <v/>
      </c>
      <c r="CN118" s="6" t="str">
        <f t="shared" si="539"/>
        <v/>
      </c>
      <c r="CO118" s="171" t="str">
        <f t="shared" si="685"/>
        <v/>
      </c>
      <c r="CP118" s="4" t="str">
        <f t="shared" si="560"/>
        <v/>
      </c>
      <c r="CQ118" s="5" t="str">
        <f t="shared" si="561"/>
        <v/>
      </c>
      <c r="CR118" s="5" t="str">
        <f t="shared" si="562"/>
        <v/>
      </c>
      <c r="CS118" s="8" t="str">
        <f t="shared" si="563"/>
        <v/>
      </c>
      <c r="CT118" s="9" t="str">
        <f t="shared" si="564"/>
        <v/>
      </c>
      <c r="CU118" s="6" t="str">
        <f t="shared" si="565"/>
        <v/>
      </c>
      <c r="CV118" s="4" t="str">
        <f t="shared" si="566"/>
        <v/>
      </c>
      <c r="CW118" s="5" t="str">
        <f t="shared" si="567"/>
        <v/>
      </c>
      <c r="CX118" s="8" t="str">
        <f t="shared" si="568"/>
        <v/>
      </c>
      <c r="CY118" s="9" t="str">
        <f t="shared" si="569"/>
        <v/>
      </c>
      <c r="CZ118" s="5" t="str">
        <f t="shared" si="570"/>
        <v/>
      </c>
      <c r="DA118" s="6" t="str">
        <f t="shared" si="571"/>
        <v/>
      </c>
      <c r="DB118" s="4" t="str">
        <f t="shared" si="743"/>
        <v/>
      </c>
      <c r="DC118" s="5" t="str">
        <f t="shared" si="743"/>
        <v/>
      </c>
      <c r="DD118" s="10" t="str">
        <f t="shared" si="573"/>
        <v/>
      </c>
      <c r="DE118" s="9" t="str">
        <f t="shared" si="744"/>
        <v/>
      </c>
      <c r="DF118" s="5" t="str">
        <f t="shared" si="744"/>
        <v/>
      </c>
      <c r="DG118" s="10" t="str">
        <f t="shared" si="575"/>
        <v/>
      </c>
      <c r="DH118" s="72" t="str">
        <f t="shared" si="576"/>
        <v/>
      </c>
      <c r="DI118" s="4" t="str">
        <f t="shared" si="577"/>
        <v/>
      </c>
      <c r="DJ118" s="5" t="str">
        <f t="shared" si="578"/>
        <v/>
      </c>
      <c r="DK118" s="10" t="str">
        <f t="shared" si="579"/>
        <v/>
      </c>
      <c r="DL118" s="9" t="str">
        <f t="shared" si="580"/>
        <v/>
      </c>
      <c r="DM118" s="177" t="str">
        <f t="shared" si="581"/>
        <v/>
      </c>
      <c r="DN118" s="182" t="str">
        <f t="shared" si="582"/>
        <v/>
      </c>
      <c r="DO118" s="9" t="str">
        <f t="shared" si="583"/>
        <v/>
      </c>
      <c r="DP118" s="177" t="str">
        <f t="shared" si="584"/>
        <v/>
      </c>
      <c r="DQ118" s="11" t="str">
        <f t="shared" si="585"/>
        <v/>
      </c>
      <c r="DR118" s="177" t="str">
        <f t="shared" si="586"/>
        <v/>
      </c>
      <c r="DS118" s="5" t="str">
        <f t="shared" si="587"/>
        <v/>
      </c>
      <c r="DT118" s="5" t="str">
        <f t="shared" si="588"/>
        <v/>
      </c>
      <c r="DU118" s="5" t="str">
        <f t="shared" si="589"/>
        <v/>
      </c>
      <c r="DV118" s="5" t="str">
        <f t="shared" si="590"/>
        <v/>
      </c>
      <c r="DW118" s="5" t="str">
        <f t="shared" si="591"/>
        <v/>
      </c>
      <c r="DX118" s="171" t="str">
        <f t="shared" si="592"/>
        <v/>
      </c>
      <c r="DY118" s="9" t="str">
        <f t="shared" si="593"/>
        <v/>
      </c>
      <c r="DZ118" s="5" t="str">
        <f t="shared" si="594"/>
        <v/>
      </c>
      <c r="EA118" s="10" t="str">
        <f t="shared" si="595"/>
        <v/>
      </c>
      <c r="EB118" s="6" t="str">
        <f t="shared" si="596"/>
        <v/>
      </c>
      <c r="EC118" s="177" t="str">
        <f t="shared" si="597"/>
        <v/>
      </c>
      <c r="ED118" s="5" t="str">
        <f t="shared" si="598"/>
        <v/>
      </c>
      <c r="EE118" s="4" t="str">
        <f t="shared" si="599"/>
        <v/>
      </c>
      <c r="EF118" s="5" t="str">
        <f t="shared" si="600"/>
        <v/>
      </c>
      <c r="EG118" s="10" t="str">
        <f t="shared" si="601"/>
        <v/>
      </c>
      <c r="EH118" s="9" t="str">
        <f t="shared" si="602"/>
        <v/>
      </c>
      <c r="EI118" s="5" t="str">
        <f t="shared" si="603"/>
        <v/>
      </c>
      <c r="EJ118" s="6" t="str">
        <f t="shared" si="604"/>
        <v/>
      </c>
      <c r="EK118" s="247" t="str">
        <f t="shared" si="605"/>
        <v/>
      </c>
      <c r="EL118" s="249" t="str">
        <f t="shared" si="606"/>
        <v/>
      </c>
      <c r="EM118" s="4" t="str">
        <f t="shared" si="607"/>
        <v/>
      </c>
      <c r="EN118" s="5" t="str">
        <f t="shared" si="608"/>
        <v/>
      </c>
      <c r="EO118" s="10" t="str">
        <f t="shared" si="609"/>
        <v/>
      </c>
      <c r="EP118" s="9" t="str">
        <f t="shared" si="610"/>
        <v/>
      </c>
      <c r="EQ118" s="5" t="str">
        <f t="shared" si="611"/>
        <v/>
      </c>
      <c r="ER118" s="7" t="str">
        <f t="shared" si="612"/>
        <v/>
      </c>
      <c r="ES118" s="21" t="str">
        <f t="shared" si="686"/>
        <v/>
      </c>
      <c r="ET118" s="5" t="str">
        <f t="shared" si="687"/>
        <v/>
      </c>
      <c r="EU118" s="10" t="str">
        <f t="shared" si="688"/>
        <v/>
      </c>
      <c r="EV118" s="178" t="str">
        <f t="shared" si="689"/>
        <v/>
      </c>
      <c r="EW118" s="9" t="str">
        <f t="shared" si="690"/>
        <v/>
      </c>
      <c r="EX118" s="5" t="str">
        <f t="shared" si="691"/>
        <v/>
      </c>
      <c r="EY118" s="6" t="str">
        <f t="shared" si="613"/>
        <v/>
      </c>
      <c r="EZ118" s="52" t="str">
        <f t="shared" si="614"/>
        <v/>
      </c>
      <c r="FA118" s="177" t="str">
        <f t="shared" si="692"/>
        <v/>
      </c>
      <c r="FB118" s="5" t="str">
        <f t="shared" si="693"/>
        <v/>
      </c>
      <c r="FC118" s="6" t="str">
        <f t="shared" si="694"/>
        <v/>
      </c>
      <c r="FD118" s="4" t="str">
        <f t="shared" si="695"/>
        <v/>
      </c>
      <c r="FE118" s="5" t="str">
        <f t="shared" si="696"/>
        <v/>
      </c>
      <c r="FF118" s="7" t="str">
        <f t="shared" si="615"/>
        <v/>
      </c>
      <c r="FG118" s="177" t="str">
        <f t="shared" si="697"/>
        <v/>
      </c>
      <c r="FH118" s="5" t="str">
        <f t="shared" si="698"/>
        <v/>
      </c>
      <c r="FI118" s="10" t="str">
        <f t="shared" si="699"/>
        <v/>
      </c>
      <c r="FJ118" s="290" t="str">
        <f t="shared" si="616"/>
        <v/>
      </c>
      <c r="FK118" s="4" t="str">
        <f t="shared" si="700"/>
        <v/>
      </c>
      <c r="FL118" s="5" t="str">
        <f t="shared" si="540"/>
        <v/>
      </c>
      <c r="FM118" s="8" t="str">
        <f t="shared" si="541"/>
        <v/>
      </c>
      <c r="FN118" s="9" t="str">
        <f t="shared" si="542"/>
        <v/>
      </c>
      <c r="FO118" s="10" t="str">
        <f t="shared" si="701"/>
        <v/>
      </c>
      <c r="FP118" s="288" t="str">
        <f t="shared" si="543"/>
        <v/>
      </c>
      <c r="FQ118" s="177" t="str">
        <f t="shared" si="617"/>
        <v/>
      </c>
      <c r="FR118" s="10" t="str">
        <f t="shared" si="618"/>
        <v/>
      </c>
      <c r="FS118" s="9" t="str">
        <f t="shared" si="619"/>
        <v/>
      </c>
      <c r="FT118" s="6" t="str">
        <f t="shared" si="620"/>
        <v/>
      </c>
      <c r="FU118" s="4" t="str">
        <f t="shared" si="621"/>
        <v/>
      </c>
      <c r="FV118" s="5" t="str">
        <f t="shared" si="622"/>
        <v/>
      </c>
      <c r="FW118" s="8" t="str">
        <f t="shared" si="623"/>
        <v/>
      </c>
      <c r="FX118" s="9" t="str">
        <f t="shared" si="624"/>
        <v/>
      </c>
      <c r="FY118" s="10" t="str">
        <f t="shared" si="702"/>
        <v/>
      </c>
      <c r="FZ118" s="288" t="str">
        <f t="shared" si="625"/>
        <v/>
      </c>
      <c r="GA118" s="181" t="str">
        <f t="shared" si="626"/>
        <v/>
      </c>
      <c r="GB118" s="4" t="str">
        <f t="shared" si="627"/>
        <v/>
      </c>
      <c r="GC118" s="5" t="str">
        <f t="shared" si="628"/>
        <v/>
      </c>
      <c r="GD118" s="10" t="str">
        <f t="shared" si="629"/>
        <v/>
      </c>
      <c r="GE118" s="324" t="str">
        <f t="shared" si="630"/>
        <v/>
      </c>
      <c r="GF118" s="362" t="str">
        <f t="shared" si="631"/>
        <v/>
      </c>
      <c r="GG118" s="296" t="str">
        <f t="shared" si="703"/>
        <v/>
      </c>
      <c r="GH118" s="297" t="str">
        <f t="shared" si="704"/>
        <v/>
      </c>
      <c r="GI118" s="292" t="str">
        <f t="shared" si="705"/>
        <v/>
      </c>
      <c r="GJ118" s="171" t="str">
        <f t="shared" si="632"/>
        <v/>
      </c>
      <c r="GK118" s="178" t="str">
        <f t="shared" si="706"/>
        <v/>
      </c>
      <c r="GL118" s="178" t="str">
        <f t="shared" si="633"/>
        <v/>
      </c>
      <c r="GM118" s="181" t="str">
        <f t="shared" si="634"/>
        <v/>
      </c>
      <c r="GN118" s="291" t="str">
        <f t="shared" si="635"/>
        <v/>
      </c>
      <c r="GO118" s="4" t="str">
        <f t="shared" si="636"/>
        <v/>
      </c>
      <c r="GP118" s="8" t="str">
        <f t="shared" si="637"/>
        <v/>
      </c>
      <c r="GQ118" s="181" t="str">
        <f t="shared" si="638"/>
        <v/>
      </c>
      <c r="GR118" s="417" t="str">
        <f t="shared" si="639"/>
        <v/>
      </c>
      <c r="GS118" s="363" t="str">
        <f t="shared" si="707"/>
        <v/>
      </c>
      <c r="GT118" s="364" t="str">
        <f t="shared" si="708"/>
        <v/>
      </c>
      <c r="GU118" s="365" t="str">
        <f t="shared" si="709"/>
        <v/>
      </c>
      <c r="GV118" s="364" t="str">
        <f t="shared" si="640"/>
        <v/>
      </c>
      <c r="GW118" s="366" t="str">
        <f t="shared" si="710"/>
        <v/>
      </c>
      <c r="GX118" s="367" t="str">
        <f t="shared" si="711"/>
        <v/>
      </c>
      <c r="GY118" s="365" t="str">
        <f t="shared" si="712"/>
        <v/>
      </c>
      <c r="GZ118" s="366" t="str">
        <f t="shared" si="713"/>
        <v/>
      </c>
      <c r="HA118" s="363" t="str">
        <f t="shared" si="714"/>
        <v/>
      </c>
      <c r="HB118" s="5" t="str">
        <f t="shared" si="641"/>
        <v/>
      </c>
      <c r="HC118" s="364" t="str">
        <f t="shared" si="642"/>
        <v/>
      </c>
      <c r="HD118" s="405" t="str">
        <f t="shared" si="643"/>
        <v/>
      </c>
      <c r="HE118" s="365" t="str">
        <f t="shared" si="715"/>
        <v/>
      </c>
      <c r="HF118" s="5" t="str">
        <f t="shared" si="716"/>
        <v/>
      </c>
      <c r="HG118" s="364" t="str">
        <f t="shared" si="644"/>
        <v/>
      </c>
      <c r="HH118" s="370" t="str">
        <f t="shared" si="645"/>
        <v/>
      </c>
      <c r="HI118" s="335" t="str">
        <f t="shared" si="717"/>
        <v/>
      </c>
      <c r="HK118" s="323" t="str">
        <f t="shared" si="664"/>
        <v/>
      </c>
      <c r="HL118" s="322" t="str">
        <f t="shared" si="741"/>
        <v/>
      </c>
      <c r="HM118" s="369" t="str">
        <f t="shared" si="745"/>
        <v/>
      </c>
      <c r="HN118" s="384" t="str">
        <f t="shared" si="745"/>
        <v/>
      </c>
      <c r="HO118" s="385" t="str">
        <f t="shared" si="745"/>
        <v/>
      </c>
      <c r="HP118" s="380" t="str">
        <f t="shared" si="745"/>
        <v/>
      </c>
      <c r="HQ118" s="384" t="str">
        <f t="shared" si="745"/>
        <v/>
      </c>
      <c r="HR118" s="395" t="str">
        <f t="shared" si="745"/>
        <v/>
      </c>
      <c r="HS118" s="379" t="str">
        <f t="shared" si="745"/>
        <v/>
      </c>
      <c r="HT118" s="374" t="str">
        <f t="shared" si="745"/>
        <v/>
      </c>
      <c r="HU118" s="375" t="str">
        <f t="shared" si="745"/>
        <v/>
      </c>
      <c r="HV118" s="376" t="str">
        <f t="shared" si="745"/>
        <v/>
      </c>
      <c r="HW118" s="374" t="str">
        <f t="shared" si="745"/>
        <v/>
      </c>
      <c r="HX118" s="375" t="str">
        <f t="shared" si="745"/>
        <v/>
      </c>
      <c r="HY118" s="376" t="str">
        <f t="shared" si="745"/>
        <v/>
      </c>
      <c r="HZ118" s="374" t="str">
        <f t="shared" si="745"/>
        <v/>
      </c>
      <c r="IA118" s="375" t="str">
        <f t="shared" si="745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6"/>
        <v>6.234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0.13400000000000001</v>
      </c>
      <c r="II118" s="734" cm="1">
        <f t="array" ref="II118">IFERROR(ROUND(VALUE(IF($IH118&lt;1,$IH118+LARGE((IF($M$9:$M$150="",0,$M$9:$M$150)-MOD(IF($M$9:$M$150="",0,$M$9:$M$150),1)),1),$IH118)),4),"")</f>
        <v>6.1340000000000003</v>
      </c>
      <c r="IJ118" s="533">
        <f t="shared" si="545"/>
        <v>1613</v>
      </c>
      <c r="IK118" s="533" t="str">
        <f t="shared" si="718"/>
        <v>Inactive</v>
      </c>
      <c r="IL118" s="727">
        <f t="shared" si="651"/>
        <v>16.222197657804443</v>
      </c>
      <c r="IM118" s="759">
        <v>1.22942812053836E-3</v>
      </c>
      <c r="IN118" s="5">
        <f t="shared" si="652"/>
        <v>0</v>
      </c>
      <c r="IO118" s="771">
        <v>0</v>
      </c>
      <c r="IP118" s="9">
        <f t="shared" si="653"/>
        <v>-5.5858168468236116</v>
      </c>
      <c r="IQ118" s="5">
        <f t="shared" si="654"/>
        <v>-0.64880195678670216</v>
      </c>
      <c r="IR118" s="5">
        <f t="shared" si="719"/>
        <v>0.314</v>
      </c>
      <c r="IS118" s="5">
        <f t="shared" si="655"/>
        <v>0.29104355402016929</v>
      </c>
      <c r="IT118" s="727">
        <f t="shared" si="656"/>
        <v>44.265674313003601</v>
      </c>
      <c r="IU118" s="9">
        <f t="shared" si="657"/>
        <v>-5.6017168947781544</v>
      </c>
      <c r="IV118" s="5">
        <f t="shared" si="658"/>
        <v>-0.6263018889264963</v>
      </c>
      <c r="IW118" s="5">
        <f t="shared" si="720"/>
        <v>0.26250000000000001</v>
      </c>
      <c r="IX118" s="5">
        <f t="shared" si="659"/>
        <v>0.26250000000000001</v>
      </c>
      <c r="IY118" s="762">
        <f t="shared" si="660"/>
        <v>25.699996289379641</v>
      </c>
    </row>
    <row r="119" spans="1:259" ht="15" customHeight="1" x14ac:dyDescent="0.25">
      <c r="A119" s="79"/>
      <c r="B119" s="707">
        <v>-3.7208039163777609</v>
      </c>
      <c r="C119" s="708">
        <v>4.9194822204279216</v>
      </c>
      <c r="D119" s="709">
        <v>-1.1420034442823888</v>
      </c>
      <c r="E119" s="710">
        <v>-0.35029849710168753</v>
      </c>
      <c r="F119" s="708">
        <v>0.46314878939231713</v>
      </c>
      <c r="G119" s="711">
        <v>0.81411557030481263</v>
      </c>
      <c r="H119" s="710">
        <v>0.26250000000000001</v>
      </c>
      <c r="I119" s="708">
        <v>0.40699999999999997</v>
      </c>
      <c r="J119" s="570">
        <v>6.24</v>
      </c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Inactive</v>
      </c>
      <c r="L119" s="1314">
        <f t="shared" si="746"/>
        <v>0</v>
      </c>
      <c r="M119" s="168">
        <f t="shared" si="665"/>
        <v>6.24</v>
      </c>
      <c r="N119" s="632">
        <f t="shared" si="666"/>
        <v>-3.7208039163777609</v>
      </c>
      <c r="O119" s="629">
        <f t="shared" si="667"/>
        <v>4.9194822204279216</v>
      </c>
      <c r="P119" s="633">
        <f t="shared" si="668"/>
        <v>-1.1420034442823888</v>
      </c>
      <c r="Q119" s="585">
        <f t="shared" si="523"/>
        <v>127.10169464317806</v>
      </c>
      <c r="R119" s="629">
        <f t="shared" si="721"/>
        <v>6.1681186030457065</v>
      </c>
      <c r="S119" s="634">
        <f t="shared" si="722"/>
        <v>-1.1420034442823888</v>
      </c>
      <c r="T119" s="635">
        <f t="shared" si="723"/>
        <v>4.9194822204279207</v>
      </c>
      <c r="U119" s="629">
        <f t="shared" si="724"/>
        <v>3.7208039163777618</v>
      </c>
      <c r="V119" s="636">
        <f t="shared" si="725"/>
        <v>-1.1420034442823888</v>
      </c>
      <c r="W119" s="585">
        <f t="shared" si="648"/>
        <v>37.101694643178064</v>
      </c>
      <c r="X119" s="629">
        <f t="shared" si="726"/>
        <v>6.1681186030457065</v>
      </c>
      <c r="Y119" s="630">
        <f t="shared" si="647"/>
        <v>-1.1420034442823888</v>
      </c>
      <c r="Z119" s="632">
        <f t="shared" si="669"/>
        <v>0.35029849710168753</v>
      </c>
      <c r="AA119" s="629">
        <f t="shared" si="670"/>
        <v>-0.46314878939231713</v>
      </c>
      <c r="AB119" s="629">
        <f t="shared" si="671"/>
        <v>-0.81411557030481263</v>
      </c>
      <c r="AC119" s="636">
        <f t="shared" si="727"/>
        <v>1</v>
      </c>
      <c r="AD119" s="637">
        <f t="shared" si="728"/>
        <v>0.35029849710168753</v>
      </c>
      <c r="AE119" s="629">
        <f t="shared" si="729"/>
        <v>-0.46314878939231713</v>
      </c>
      <c r="AF119" s="633">
        <f t="shared" si="730"/>
        <v>-0.81411557030481263</v>
      </c>
      <c r="AG119" s="602">
        <f t="shared" si="731"/>
        <v>-29.635464901632226</v>
      </c>
      <c r="AH119" s="603">
        <f t="shared" si="732"/>
        <v>69.494426387146433</v>
      </c>
      <c r="AI119" s="585">
        <f t="shared" si="733"/>
        <v>-35.49999487443695</v>
      </c>
      <c r="AJ119" s="586">
        <f t="shared" si="734"/>
        <v>37.101717020181475</v>
      </c>
      <c r="AK119" s="635">
        <f t="shared" si="735"/>
        <v>2.2679489658505858E-7</v>
      </c>
      <c r="AL119" s="629">
        <f t="shared" si="736"/>
        <v>-0.58070288288178706</v>
      </c>
      <c r="AM119" s="634">
        <f t="shared" si="737"/>
        <v>-0.81411557030481263</v>
      </c>
      <c r="AN119" s="581">
        <f t="shared" si="738"/>
        <v>-35.499994874434897</v>
      </c>
      <c r="AO119" s="582">
        <f t="shared" si="463"/>
        <v>0</v>
      </c>
      <c r="AP119" s="585">
        <f t="shared" si="739"/>
        <v>-89.999977622996596</v>
      </c>
      <c r="AQ119" s="586">
        <f t="shared" si="672"/>
        <v>0.36959325175112034</v>
      </c>
      <c r="AS119" s="52">
        <f t="shared" si="742"/>
        <v>-322.89830535682194</v>
      </c>
      <c r="AT119" s="73">
        <f t="shared" si="673"/>
        <v>-0.91776851000681803</v>
      </c>
      <c r="AU119" s="469"/>
      <c r="AV119" s="168" t="str">
        <f t="shared" si="674"/>
        <v/>
      </c>
      <c r="AW119" s="418"/>
      <c r="AX119" s="419"/>
      <c r="AY119" s="420"/>
      <c r="AZ119" s="308" t="str">
        <f t="shared" si="547"/>
        <v/>
      </c>
      <c r="BA119" s="307" t="str">
        <f t="shared" si="675"/>
        <v/>
      </c>
      <c r="BB119" s="181" t="str">
        <f t="shared" si="524"/>
        <v/>
      </c>
      <c r="BC119" s="9"/>
      <c r="BD119" s="5" t="str">
        <f t="shared" si="525"/>
        <v/>
      </c>
      <c r="BE119" s="6" t="str">
        <f t="shared" si="676"/>
        <v/>
      </c>
      <c r="BF119" s="4" t="str">
        <f t="shared" si="677"/>
        <v/>
      </c>
      <c r="BG119" s="5" t="str">
        <f t="shared" si="678"/>
        <v/>
      </c>
      <c r="BH119" s="10" t="str">
        <f t="shared" si="679"/>
        <v/>
      </c>
      <c r="BI119" s="9" t="str">
        <f t="shared" si="548"/>
        <v/>
      </c>
      <c r="BJ119" s="5" t="str">
        <f t="shared" si="680"/>
        <v/>
      </c>
      <c r="BK119" s="8" t="str">
        <f t="shared" si="681"/>
        <v/>
      </c>
      <c r="BL119" s="177" t="str">
        <f t="shared" si="682"/>
        <v/>
      </c>
      <c r="BM119" s="5" t="str">
        <f t="shared" si="683"/>
        <v/>
      </c>
      <c r="BN119" s="6" t="str">
        <f t="shared" si="684"/>
        <v/>
      </c>
      <c r="BO119" s="4" t="str">
        <f t="shared" si="549"/>
        <v/>
      </c>
      <c r="BP119" s="5" t="str">
        <f t="shared" si="550"/>
        <v/>
      </c>
      <c r="BQ119" s="5" t="str">
        <f t="shared" si="551"/>
        <v/>
      </c>
      <c r="BR119" s="6" t="str">
        <f t="shared" si="552"/>
        <v/>
      </c>
      <c r="BS119" s="4" t="str">
        <f t="shared" si="740"/>
        <v/>
      </c>
      <c r="BT119" s="5" t="str">
        <f t="shared" si="740"/>
        <v/>
      </c>
      <c r="BU119" s="10" t="str">
        <f t="shared" si="527"/>
        <v/>
      </c>
      <c r="BV119" s="9" t="str">
        <f t="shared" si="528"/>
        <v/>
      </c>
      <c r="BW119" s="5" t="str">
        <f t="shared" si="529"/>
        <v/>
      </c>
      <c r="BX119" s="8" t="str">
        <f t="shared" si="530"/>
        <v/>
      </c>
      <c r="BY119" s="177" t="str">
        <f t="shared" si="531"/>
        <v/>
      </c>
      <c r="BZ119" s="5" t="str">
        <f t="shared" si="532"/>
        <v/>
      </c>
      <c r="CA119" s="6" t="str">
        <f t="shared" si="533"/>
        <v/>
      </c>
      <c r="CB119" s="4" t="str">
        <f t="shared" si="553"/>
        <v/>
      </c>
      <c r="CC119" s="5" t="str">
        <f t="shared" si="554"/>
        <v/>
      </c>
      <c r="CD119" s="5" t="str">
        <f t="shared" si="555"/>
        <v/>
      </c>
      <c r="CE119" s="6" t="str">
        <f t="shared" si="556"/>
        <v/>
      </c>
      <c r="CF119" s="4" t="str">
        <f t="shared" si="557"/>
        <v/>
      </c>
      <c r="CG119" s="5" t="str">
        <f t="shared" si="558"/>
        <v/>
      </c>
      <c r="CH119" s="5" t="str">
        <f t="shared" si="559"/>
        <v/>
      </c>
      <c r="CI119" s="4" t="str">
        <f t="shared" si="534"/>
        <v/>
      </c>
      <c r="CJ119" s="5" t="str">
        <f t="shared" si="535"/>
        <v/>
      </c>
      <c r="CK119" s="8" t="str">
        <f t="shared" si="536"/>
        <v/>
      </c>
      <c r="CL119" s="177" t="str">
        <f t="shared" si="537"/>
        <v/>
      </c>
      <c r="CM119" s="5" t="str">
        <f t="shared" si="538"/>
        <v/>
      </c>
      <c r="CN119" s="6" t="str">
        <f t="shared" si="539"/>
        <v/>
      </c>
      <c r="CO119" s="171" t="str">
        <f t="shared" si="685"/>
        <v/>
      </c>
      <c r="CP119" s="4" t="str">
        <f t="shared" si="560"/>
        <v/>
      </c>
      <c r="CQ119" s="5" t="str">
        <f t="shared" si="561"/>
        <v/>
      </c>
      <c r="CR119" s="5" t="str">
        <f t="shared" si="562"/>
        <v/>
      </c>
      <c r="CS119" s="8" t="str">
        <f t="shared" si="563"/>
        <v/>
      </c>
      <c r="CT119" s="9" t="str">
        <f t="shared" si="564"/>
        <v/>
      </c>
      <c r="CU119" s="6" t="str">
        <f t="shared" si="565"/>
        <v/>
      </c>
      <c r="CV119" s="4" t="str">
        <f t="shared" si="566"/>
        <v/>
      </c>
      <c r="CW119" s="5" t="str">
        <f t="shared" si="567"/>
        <v/>
      </c>
      <c r="CX119" s="8" t="str">
        <f t="shared" si="568"/>
        <v/>
      </c>
      <c r="CY119" s="9" t="str">
        <f t="shared" si="569"/>
        <v/>
      </c>
      <c r="CZ119" s="5" t="str">
        <f t="shared" si="570"/>
        <v/>
      </c>
      <c r="DA119" s="6" t="str">
        <f t="shared" si="571"/>
        <v/>
      </c>
      <c r="DB119" s="4" t="str">
        <f t="shared" si="743"/>
        <v/>
      </c>
      <c r="DC119" s="5" t="str">
        <f t="shared" si="743"/>
        <v/>
      </c>
      <c r="DD119" s="10" t="str">
        <f t="shared" si="573"/>
        <v/>
      </c>
      <c r="DE119" s="9" t="str">
        <f t="shared" si="744"/>
        <v/>
      </c>
      <c r="DF119" s="5" t="str">
        <f t="shared" si="744"/>
        <v/>
      </c>
      <c r="DG119" s="10" t="str">
        <f t="shared" si="575"/>
        <v/>
      </c>
      <c r="DH119" s="72" t="str">
        <f t="shared" si="576"/>
        <v/>
      </c>
      <c r="DI119" s="4" t="str">
        <f t="shared" si="577"/>
        <v/>
      </c>
      <c r="DJ119" s="5" t="str">
        <f t="shared" si="578"/>
        <v/>
      </c>
      <c r="DK119" s="10" t="str">
        <f t="shared" si="579"/>
        <v/>
      </c>
      <c r="DL119" s="9" t="str">
        <f t="shared" si="580"/>
        <v/>
      </c>
      <c r="DM119" s="177" t="str">
        <f t="shared" si="581"/>
        <v/>
      </c>
      <c r="DN119" s="182" t="str">
        <f t="shared" si="582"/>
        <v/>
      </c>
      <c r="DO119" s="9" t="str">
        <f t="shared" si="583"/>
        <v/>
      </c>
      <c r="DP119" s="177" t="str">
        <f t="shared" si="584"/>
        <v/>
      </c>
      <c r="DQ119" s="11" t="str">
        <f t="shared" si="585"/>
        <v/>
      </c>
      <c r="DR119" s="177" t="str">
        <f t="shared" si="586"/>
        <v/>
      </c>
      <c r="DS119" s="5" t="str">
        <f t="shared" si="587"/>
        <v/>
      </c>
      <c r="DT119" s="5" t="str">
        <f t="shared" si="588"/>
        <v/>
      </c>
      <c r="DU119" s="5" t="str">
        <f t="shared" si="589"/>
        <v/>
      </c>
      <c r="DV119" s="5" t="str">
        <f t="shared" si="590"/>
        <v/>
      </c>
      <c r="DW119" s="5" t="str">
        <f t="shared" si="591"/>
        <v/>
      </c>
      <c r="DX119" s="171" t="str">
        <f t="shared" si="592"/>
        <v/>
      </c>
      <c r="DY119" s="9" t="str">
        <f t="shared" si="593"/>
        <v/>
      </c>
      <c r="DZ119" s="5" t="str">
        <f t="shared" si="594"/>
        <v/>
      </c>
      <c r="EA119" s="10" t="str">
        <f t="shared" si="595"/>
        <v/>
      </c>
      <c r="EB119" s="6" t="str">
        <f t="shared" si="596"/>
        <v/>
      </c>
      <c r="EC119" s="177" t="str">
        <f t="shared" si="597"/>
        <v/>
      </c>
      <c r="ED119" s="5" t="str">
        <f t="shared" si="598"/>
        <v/>
      </c>
      <c r="EE119" s="4" t="str">
        <f t="shared" si="599"/>
        <v/>
      </c>
      <c r="EF119" s="5" t="str">
        <f t="shared" si="600"/>
        <v/>
      </c>
      <c r="EG119" s="10" t="str">
        <f t="shared" si="601"/>
        <v/>
      </c>
      <c r="EH119" s="9" t="str">
        <f t="shared" si="602"/>
        <v/>
      </c>
      <c r="EI119" s="5" t="str">
        <f t="shared" si="603"/>
        <v/>
      </c>
      <c r="EJ119" s="6" t="str">
        <f t="shared" si="604"/>
        <v/>
      </c>
      <c r="EK119" s="247" t="str">
        <f t="shared" si="605"/>
        <v/>
      </c>
      <c r="EL119" s="249" t="str">
        <f t="shared" si="606"/>
        <v/>
      </c>
      <c r="EM119" s="4" t="str">
        <f t="shared" si="607"/>
        <v/>
      </c>
      <c r="EN119" s="5" t="str">
        <f t="shared" si="608"/>
        <v/>
      </c>
      <c r="EO119" s="10" t="str">
        <f t="shared" si="609"/>
        <v/>
      </c>
      <c r="EP119" s="9" t="str">
        <f t="shared" si="610"/>
        <v/>
      </c>
      <c r="EQ119" s="5" t="str">
        <f t="shared" si="611"/>
        <v/>
      </c>
      <c r="ER119" s="7" t="str">
        <f t="shared" si="612"/>
        <v/>
      </c>
      <c r="ES119" s="21" t="str">
        <f t="shared" si="686"/>
        <v/>
      </c>
      <c r="ET119" s="5" t="str">
        <f t="shared" si="687"/>
        <v/>
      </c>
      <c r="EU119" s="10" t="str">
        <f t="shared" si="688"/>
        <v/>
      </c>
      <c r="EV119" s="178" t="str">
        <f t="shared" si="689"/>
        <v/>
      </c>
      <c r="EW119" s="9" t="str">
        <f t="shared" si="690"/>
        <v/>
      </c>
      <c r="EX119" s="5" t="str">
        <f t="shared" si="691"/>
        <v/>
      </c>
      <c r="EY119" s="6" t="str">
        <f t="shared" si="613"/>
        <v/>
      </c>
      <c r="EZ119" s="52" t="str">
        <f t="shared" si="614"/>
        <v/>
      </c>
      <c r="FA119" s="177" t="str">
        <f t="shared" si="692"/>
        <v/>
      </c>
      <c r="FB119" s="5" t="str">
        <f t="shared" si="693"/>
        <v/>
      </c>
      <c r="FC119" s="6" t="str">
        <f t="shared" si="694"/>
        <v/>
      </c>
      <c r="FD119" s="4" t="str">
        <f t="shared" si="695"/>
        <v/>
      </c>
      <c r="FE119" s="5" t="str">
        <f t="shared" si="696"/>
        <v/>
      </c>
      <c r="FF119" s="7" t="str">
        <f t="shared" si="615"/>
        <v/>
      </c>
      <c r="FG119" s="177" t="str">
        <f t="shared" si="697"/>
        <v/>
      </c>
      <c r="FH119" s="5" t="str">
        <f t="shared" si="698"/>
        <v/>
      </c>
      <c r="FI119" s="10" t="str">
        <f t="shared" si="699"/>
        <v/>
      </c>
      <c r="FJ119" s="290" t="str">
        <f t="shared" si="616"/>
        <v/>
      </c>
      <c r="FK119" s="4" t="str">
        <f t="shared" si="700"/>
        <v/>
      </c>
      <c r="FL119" s="5" t="str">
        <f t="shared" si="540"/>
        <v/>
      </c>
      <c r="FM119" s="8" t="str">
        <f t="shared" si="541"/>
        <v/>
      </c>
      <c r="FN119" s="9" t="str">
        <f t="shared" si="542"/>
        <v/>
      </c>
      <c r="FO119" s="10" t="str">
        <f t="shared" si="701"/>
        <v/>
      </c>
      <c r="FP119" s="288" t="str">
        <f t="shared" si="543"/>
        <v/>
      </c>
      <c r="FQ119" s="177" t="str">
        <f t="shared" si="617"/>
        <v/>
      </c>
      <c r="FR119" s="10" t="str">
        <f t="shared" si="618"/>
        <v/>
      </c>
      <c r="FS119" s="9" t="str">
        <f t="shared" si="619"/>
        <v/>
      </c>
      <c r="FT119" s="6" t="str">
        <f t="shared" si="620"/>
        <v/>
      </c>
      <c r="FU119" s="4" t="str">
        <f t="shared" si="621"/>
        <v/>
      </c>
      <c r="FV119" s="5" t="str">
        <f t="shared" si="622"/>
        <v/>
      </c>
      <c r="FW119" s="8" t="str">
        <f t="shared" si="623"/>
        <v/>
      </c>
      <c r="FX119" s="9" t="str">
        <f t="shared" si="624"/>
        <v/>
      </c>
      <c r="FY119" s="10" t="str">
        <f t="shared" si="702"/>
        <v/>
      </c>
      <c r="FZ119" s="288" t="str">
        <f t="shared" si="625"/>
        <v/>
      </c>
      <c r="GA119" s="181" t="str">
        <f t="shared" si="626"/>
        <v/>
      </c>
      <c r="GB119" s="4" t="str">
        <f t="shared" si="627"/>
        <v/>
      </c>
      <c r="GC119" s="5" t="str">
        <f t="shared" si="628"/>
        <v/>
      </c>
      <c r="GD119" s="10" t="str">
        <f t="shared" si="629"/>
        <v/>
      </c>
      <c r="GE119" s="324" t="str">
        <f t="shared" si="630"/>
        <v/>
      </c>
      <c r="GF119" s="362" t="str">
        <f t="shared" si="631"/>
        <v/>
      </c>
      <c r="GG119" s="296" t="str">
        <f t="shared" si="703"/>
        <v/>
      </c>
      <c r="GH119" s="297" t="str">
        <f t="shared" si="704"/>
        <v/>
      </c>
      <c r="GI119" s="292" t="str">
        <f t="shared" si="705"/>
        <v/>
      </c>
      <c r="GJ119" s="171" t="str">
        <f t="shared" si="632"/>
        <v/>
      </c>
      <c r="GK119" s="178" t="str">
        <f t="shared" si="706"/>
        <v/>
      </c>
      <c r="GL119" s="178" t="str">
        <f t="shared" si="633"/>
        <v/>
      </c>
      <c r="GM119" s="181" t="str">
        <f t="shared" si="634"/>
        <v/>
      </c>
      <c r="GN119" s="291" t="str">
        <f t="shared" si="635"/>
        <v/>
      </c>
      <c r="GO119" s="4" t="str">
        <f t="shared" si="636"/>
        <v/>
      </c>
      <c r="GP119" s="8" t="str">
        <f t="shared" si="637"/>
        <v/>
      </c>
      <c r="GQ119" s="181" t="str">
        <f t="shared" si="638"/>
        <v/>
      </c>
      <c r="GR119" s="417" t="str">
        <f t="shared" si="639"/>
        <v/>
      </c>
      <c r="GS119" s="363" t="str">
        <f t="shared" si="707"/>
        <v/>
      </c>
      <c r="GT119" s="364" t="str">
        <f t="shared" si="708"/>
        <v/>
      </c>
      <c r="GU119" s="365" t="str">
        <f t="shared" si="709"/>
        <v/>
      </c>
      <c r="GV119" s="364" t="str">
        <f t="shared" si="640"/>
        <v/>
      </c>
      <c r="GW119" s="366" t="str">
        <f t="shared" si="710"/>
        <v/>
      </c>
      <c r="GX119" s="367" t="str">
        <f t="shared" si="711"/>
        <v/>
      </c>
      <c r="GY119" s="365" t="str">
        <f t="shared" si="712"/>
        <v/>
      </c>
      <c r="GZ119" s="366" t="str">
        <f t="shared" si="713"/>
        <v/>
      </c>
      <c r="HA119" s="363" t="str">
        <f t="shared" si="714"/>
        <v/>
      </c>
      <c r="HB119" s="5" t="str">
        <f t="shared" si="641"/>
        <v/>
      </c>
      <c r="HC119" s="364" t="str">
        <f t="shared" si="642"/>
        <v/>
      </c>
      <c r="HD119" s="405" t="str">
        <f t="shared" si="643"/>
        <v/>
      </c>
      <c r="HE119" s="365" t="str">
        <f t="shared" si="715"/>
        <v/>
      </c>
      <c r="HF119" s="5" t="str">
        <f t="shared" si="716"/>
        <v/>
      </c>
      <c r="HG119" s="364" t="str">
        <f t="shared" si="644"/>
        <v/>
      </c>
      <c r="HH119" s="370" t="str">
        <f t="shared" si="645"/>
        <v/>
      </c>
      <c r="HI119" s="335" t="str">
        <f t="shared" si="717"/>
        <v/>
      </c>
      <c r="HK119" s="323" t="str">
        <f t="shared" si="664"/>
        <v/>
      </c>
      <c r="HL119" s="322" t="str">
        <f t="shared" si="741"/>
        <v/>
      </c>
      <c r="HM119" s="369" t="str">
        <f t="shared" ref="HM119:IA129" si="747">IF(ISNUMBER($HL119),VLOOKUP($HL119,$GJ$9:$HI$150,HM$1,FALSE),"")</f>
        <v/>
      </c>
      <c r="HN119" s="384" t="str">
        <f t="shared" si="747"/>
        <v/>
      </c>
      <c r="HO119" s="385" t="str">
        <f t="shared" si="747"/>
        <v/>
      </c>
      <c r="HP119" s="380" t="str">
        <f t="shared" si="747"/>
        <v/>
      </c>
      <c r="HQ119" s="384" t="str">
        <f t="shared" si="747"/>
        <v/>
      </c>
      <c r="HR119" s="395" t="str">
        <f t="shared" si="747"/>
        <v/>
      </c>
      <c r="HS119" s="379" t="str">
        <f t="shared" si="747"/>
        <v/>
      </c>
      <c r="HT119" s="374" t="str">
        <f t="shared" si="747"/>
        <v/>
      </c>
      <c r="HU119" s="375" t="str">
        <f t="shared" si="747"/>
        <v/>
      </c>
      <c r="HV119" s="376" t="str">
        <f t="shared" si="747"/>
        <v/>
      </c>
      <c r="HW119" s="374" t="str">
        <f t="shared" si="747"/>
        <v/>
      </c>
      <c r="HX119" s="375" t="str">
        <f t="shared" si="747"/>
        <v/>
      </c>
      <c r="HY119" s="376" t="str">
        <f t="shared" si="747"/>
        <v/>
      </c>
      <c r="HZ119" s="374" t="str">
        <f t="shared" si="747"/>
        <v/>
      </c>
      <c r="IA119" s="375" t="str">
        <f t="shared" si="747"/>
        <v/>
      </c>
      <c r="IE119" s="849" t="str">
        <f>IFERROR(IF($IU119="","",IF($IU119&lt;(((Settings!$C$19/2)*-1)*$IE$8),"Taper","Nose")),"")</f>
        <v>Taper</v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6"/>
        <v>6.24</v>
      </c>
      <c r="IH119" s="731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0.14000000000000001</v>
      </c>
      <c r="II119" s="734" cm="1">
        <f t="array" ref="II119">IFERROR(ROUND(VALUE(IF($IH119&lt;1,$IH119+LARGE((IF($M$9:$M$150="",0,$M$9:$M$150)-MOD(IF($M$9:$M$150="",0,$M$9:$M$150),1)),1),$IH119)),4),"")</f>
        <v>6.14</v>
      </c>
      <c r="IJ119" s="533">
        <f t="shared" si="545"/>
        <v>1613</v>
      </c>
      <c r="IK119" s="533" t="str">
        <f t="shared" si="718"/>
        <v>Inactive</v>
      </c>
      <c r="IL119" s="727">
        <f t="shared" si="651"/>
        <v>16.111797673744235</v>
      </c>
      <c r="IM119" s="759">
        <v>1.18373992095723E-4</v>
      </c>
      <c r="IN119" s="5">
        <f t="shared" si="652"/>
        <v>0</v>
      </c>
      <c r="IO119" s="771">
        <v>0</v>
      </c>
      <c r="IP119" s="9">
        <f t="shared" si="653"/>
        <v>-6.1504185496623451</v>
      </c>
      <c r="IQ119" s="5">
        <f t="shared" si="654"/>
        <v>-1.1563034874113181</v>
      </c>
      <c r="IR119" s="5">
        <f t="shared" si="719"/>
        <v>0.314</v>
      </c>
      <c r="IS119" s="5">
        <f t="shared" si="655"/>
        <v>0.28338860049196668</v>
      </c>
      <c r="IT119" s="727">
        <f t="shared" si="656"/>
        <v>56.587897896377854</v>
      </c>
      <c r="IU119" s="9">
        <f t="shared" si="657"/>
        <v>-6.1681186030457065</v>
      </c>
      <c r="IV119" s="5">
        <f t="shared" si="658"/>
        <v>-1.1420034442823888</v>
      </c>
      <c r="IW119" s="5">
        <f t="shared" si="720"/>
        <v>0.26250000000000001</v>
      </c>
      <c r="IX119" s="5">
        <f t="shared" si="659"/>
        <v>0.26250000000000001</v>
      </c>
      <c r="IY119" s="762">
        <f t="shared" si="660"/>
        <v>35.499994874434897</v>
      </c>
    </row>
    <row r="120" spans="1:259" ht="15" customHeight="1" x14ac:dyDescent="0.25">
      <c r="A120" s="79"/>
      <c r="B120" s="707">
        <v>-3.9320002474018887</v>
      </c>
      <c r="C120" s="708">
        <v>5.2967997353921872</v>
      </c>
      <c r="D120" s="709">
        <v>-1.7768053588449628</v>
      </c>
      <c r="E120" s="710">
        <v>-0.42367489250345564</v>
      </c>
      <c r="F120" s="708">
        <v>0.57073230447659207</v>
      </c>
      <c r="G120" s="711">
        <v>0.70339478395068011</v>
      </c>
      <c r="H120" s="710">
        <v>0.26250000000000001</v>
      </c>
      <c r="I120" s="708">
        <v>0.40699999999999997</v>
      </c>
      <c r="J120" s="570">
        <v>6.2460000000000004</v>
      </c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Inactive</v>
      </c>
      <c r="L120" s="1314">
        <f t="shared" si="746"/>
        <v>0</v>
      </c>
      <c r="M120" s="168">
        <f t="shared" si="665"/>
        <v>6.2460000000000004</v>
      </c>
      <c r="N120" s="632">
        <f t="shared" si="666"/>
        <v>-3.9320002474018887</v>
      </c>
      <c r="O120" s="629">
        <f t="shared" si="667"/>
        <v>5.2967997353921872</v>
      </c>
      <c r="P120" s="633">
        <f t="shared" si="668"/>
        <v>-1.7768053588449628</v>
      </c>
      <c r="Q120" s="585">
        <f t="shared" si="523"/>
        <v>126.58779471737604</v>
      </c>
      <c r="R120" s="629">
        <f t="shared" si="721"/>
        <v>6.5967198957072037</v>
      </c>
      <c r="S120" s="634">
        <f t="shared" si="722"/>
        <v>-1.7768053588449628</v>
      </c>
      <c r="T120" s="635">
        <f t="shared" si="723"/>
        <v>5.2967997353921863</v>
      </c>
      <c r="U120" s="629">
        <f t="shared" si="724"/>
        <v>3.9320002474018896</v>
      </c>
      <c r="V120" s="636">
        <f t="shared" si="725"/>
        <v>-1.7768053588449628</v>
      </c>
      <c r="W120" s="585">
        <f t="shared" si="648"/>
        <v>36.587794717376042</v>
      </c>
      <c r="X120" s="629">
        <f t="shared" si="726"/>
        <v>6.5967198957072037</v>
      </c>
      <c r="Y120" s="630">
        <f t="shared" si="647"/>
        <v>-1.7768053588449628</v>
      </c>
      <c r="Z120" s="632">
        <f t="shared" si="669"/>
        <v>0.42367489250345564</v>
      </c>
      <c r="AA120" s="629">
        <f t="shared" si="670"/>
        <v>-0.57073230447659207</v>
      </c>
      <c r="AB120" s="629">
        <f t="shared" si="671"/>
        <v>-0.70339478395068011</v>
      </c>
      <c r="AC120" s="636">
        <f t="shared" si="727"/>
        <v>1</v>
      </c>
      <c r="AD120" s="637">
        <f t="shared" si="728"/>
        <v>0.42367489250345564</v>
      </c>
      <c r="AE120" s="629">
        <f t="shared" si="729"/>
        <v>-0.57073230447659207</v>
      </c>
      <c r="AF120" s="633">
        <f t="shared" si="730"/>
        <v>-0.70339478395068011</v>
      </c>
      <c r="AG120" s="602">
        <f t="shared" si="731"/>
        <v>-39.055765732893676</v>
      </c>
      <c r="AH120" s="603">
        <f t="shared" si="732"/>
        <v>64.933182784917861</v>
      </c>
      <c r="AI120" s="585">
        <f t="shared" si="733"/>
        <v>-45.299993459491631</v>
      </c>
      <c r="AJ120" s="586">
        <f t="shared" si="734"/>
        <v>36.587812998751211</v>
      </c>
      <c r="AK120" s="635">
        <f t="shared" si="735"/>
        <v>2.2679489652954743E-7</v>
      </c>
      <c r="AL120" s="629">
        <f t="shared" si="736"/>
        <v>-0.71079939357805066</v>
      </c>
      <c r="AM120" s="634">
        <f t="shared" si="737"/>
        <v>-0.70339478395068011</v>
      </c>
      <c r="AN120" s="581">
        <f t="shared" si="738"/>
        <v>-45.299993459490175</v>
      </c>
      <c r="AO120" s="582">
        <f t="shared" ref="AO120:AO150" si="748">IF(ROUND(IF(M120="",0,DEGREES(ACOS(AK120))),4)=90,0,IF(M120="","",DEGREES(ACOS(AK120))))</f>
        <v>0</v>
      </c>
      <c r="AP120" s="585">
        <f t="shared" si="739"/>
        <v>-89.999981718624824</v>
      </c>
      <c r="AQ120" s="586">
        <f t="shared" si="672"/>
        <v>0.3455806860102113</v>
      </c>
      <c r="AS120" s="52">
        <f t="shared" si="742"/>
        <v>-323.41220528262397</v>
      </c>
      <c r="AT120" s="73">
        <f t="shared" si="673"/>
        <v>-1.5522135496209184</v>
      </c>
      <c r="AU120" s="469"/>
      <c r="AV120" s="168" t="str">
        <f t="shared" si="674"/>
        <v/>
      </c>
      <c r="AW120" s="418"/>
      <c r="AX120" s="419"/>
      <c r="AY120" s="420"/>
      <c r="AZ120" s="308" t="str">
        <f t="shared" si="547"/>
        <v/>
      </c>
      <c r="BA120" s="307" t="str">
        <f t="shared" si="675"/>
        <v/>
      </c>
      <c r="BB120" s="181" t="str">
        <f t="shared" si="524"/>
        <v/>
      </c>
      <c r="BC120" s="9"/>
      <c r="BD120" s="5" t="str">
        <f t="shared" si="525"/>
        <v/>
      </c>
      <c r="BE120" s="6" t="str">
        <f t="shared" si="676"/>
        <v/>
      </c>
      <c r="BF120" s="4" t="str">
        <f t="shared" si="677"/>
        <v/>
      </c>
      <c r="BG120" s="5" t="str">
        <f t="shared" si="678"/>
        <v/>
      </c>
      <c r="BH120" s="10" t="str">
        <f t="shared" si="679"/>
        <v/>
      </c>
      <c r="BI120" s="9" t="str">
        <f t="shared" si="548"/>
        <v/>
      </c>
      <c r="BJ120" s="5" t="str">
        <f t="shared" si="680"/>
        <v/>
      </c>
      <c r="BK120" s="8" t="str">
        <f t="shared" si="681"/>
        <v/>
      </c>
      <c r="BL120" s="177" t="str">
        <f t="shared" si="682"/>
        <v/>
      </c>
      <c r="BM120" s="5" t="str">
        <f t="shared" si="683"/>
        <v/>
      </c>
      <c r="BN120" s="6" t="str">
        <f t="shared" si="684"/>
        <v/>
      </c>
      <c r="BO120" s="4" t="str">
        <f t="shared" si="549"/>
        <v/>
      </c>
      <c r="BP120" s="5" t="str">
        <f t="shared" si="550"/>
        <v/>
      </c>
      <c r="BQ120" s="5" t="str">
        <f t="shared" si="551"/>
        <v/>
      </c>
      <c r="BR120" s="6" t="str">
        <f t="shared" si="552"/>
        <v/>
      </c>
      <c r="BS120" s="4" t="str">
        <f t="shared" si="740"/>
        <v/>
      </c>
      <c r="BT120" s="5" t="str">
        <f t="shared" si="740"/>
        <v/>
      </c>
      <c r="BU120" s="10" t="str">
        <f t="shared" si="527"/>
        <v/>
      </c>
      <c r="BV120" s="9" t="str">
        <f t="shared" si="528"/>
        <v/>
      </c>
      <c r="BW120" s="5" t="str">
        <f t="shared" si="529"/>
        <v/>
      </c>
      <c r="BX120" s="8" t="str">
        <f t="shared" si="530"/>
        <v/>
      </c>
      <c r="BY120" s="177" t="str">
        <f t="shared" si="531"/>
        <v/>
      </c>
      <c r="BZ120" s="5" t="str">
        <f t="shared" si="532"/>
        <v/>
      </c>
      <c r="CA120" s="6" t="str">
        <f t="shared" si="533"/>
        <v/>
      </c>
      <c r="CB120" s="4" t="str">
        <f t="shared" si="553"/>
        <v/>
      </c>
      <c r="CC120" s="5" t="str">
        <f t="shared" si="554"/>
        <v/>
      </c>
      <c r="CD120" s="5" t="str">
        <f t="shared" si="555"/>
        <v/>
      </c>
      <c r="CE120" s="6" t="str">
        <f t="shared" si="556"/>
        <v/>
      </c>
      <c r="CF120" s="4" t="str">
        <f t="shared" si="557"/>
        <v/>
      </c>
      <c r="CG120" s="5" t="str">
        <f t="shared" si="558"/>
        <v/>
      </c>
      <c r="CH120" s="5" t="str">
        <f t="shared" si="559"/>
        <v/>
      </c>
      <c r="CI120" s="4" t="str">
        <f t="shared" si="534"/>
        <v/>
      </c>
      <c r="CJ120" s="5" t="str">
        <f t="shared" si="535"/>
        <v/>
      </c>
      <c r="CK120" s="8" t="str">
        <f t="shared" si="536"/>
        <v/>
      </c>
      <c r="CL120" s="177" t="str">
        <f t="shared" si="537"/>
        <v/>
      </c>
      <c r="CM120" s="5" t="str">
        <f t="shared" si="538"/>
        <v/>
      </c>
      <c r="CN120" s="6" t="str">
        <f t="shared" si="539"/>
        <v/>
      </c>
      <c r="CO120" s="171" t="str">
        <f t="shared" si="685"/>
        <v/>
      </c>
      <c r="CP120" s="4" t="str">
        <f t="shared" si="560"/>
        <v/>
      </c>
      <c r="CQ120" s="5" t="str">
        <f t="shared" si="561"/>
        <v/>
      </c>
      <c r="CR120" s="5" t="str">
        <f t="shared" si="562"/>
        <v/>
      </c>
      <c r="CS120" s="8" t="str">
        <f t="shared" si="563"/>
        <v/>
      </c>
      <c r="CT120" s="9" t="str">
        <f t="shared" si="564"/>
        <v/>
      </c>
      <c r="CU120" s="6" t="str">
        <f t="shared" si="565"/>
        <v/>
      </c>
      <c r="CV120" s="4" t="str">
        <f t="shared" si="566"/>
        <v/>
      </c>
      <c r="CW120" s="5" t="str">
        <f t="shared" si="567"/>
        <v/>
      </c>
      <c r="CX120" s="8" t="str">
        <f t="shared" si="568"/>
        <v/>
      </c>
      <c r="CY120" s="9" t="str">
        <f t="shared" si="569"/>
        <v/>
      </c>
      <c r="CZ120" s="5" t="str">
        <f t="shared" si="570"/>
        <v/>
      </c>
      <c r="DA120" s="6" t="str">
        <f t="shared" si="571"/>
        <v/>
      </c>
      <c r="DB120" s="4" t="str">
        <f t="shared" si="743"/>
        <v/>
      </c>
      <c r="DC120" s="5" t="str">
        <f t="shared" si="743"/>
        <v/>
      </c>
      <c r="DD120" s="10" t="str">
        <f t="shared" si="573"/>
        <v/>
      </c>
      <c r="DE120" s="9" t="str">
        <f t="shared" si="744"/>
        <v/>
      </c>
      <c r="DF120" s="5" t="str">
        <f t="shared" si="744"/>
        <v/>
      </c>
      <c r="DG120" s="10" t="str">
        <f t="shared" si="575"/>
        <v/>
      </c>
      <c r="DH120" s="72" t="str">
        <f t="shared" si="576"/>
        <v/>
      </c>
      <c r="DI120" s="4" t="str">
        <f t="shared" si="577"/>
        <v/>
      </c>
      <c r="DJ120" s="5" t="str">
        <f t="shared" si="578"/>
        <v/>
      </c>
      <c r="DK120" s="10" t="str">
        <f t="shared" si="579"/>
        <v/>
      </c>
      <c r="DL120" s="9" t="str">
        <f t="shared" si="580"/>
        <v/>
      </c>
      <c r="DM120" s="177" t="str">
        <f t="shared" si="581"/>
        <v/>
      </c>
      <c r="DN120" s="182" t="str">
        <f t="shared" si="582"/>
        <v/>
      </c>
      <c r="DO120" s="9" t="str">
        <f t="shared" si="583"/>
        <v/>
      </c>
      <c r="DP120" s="177" t="str">
        <f t="shared" si="584"/>
        <v/>
      </c>
      <c r="DQ120" s="11" t="str">
        <f t="shared" si="585"/>
        <v/>
      </c>
      <c r="DR120" s="177" t="str">
        <f t="shared" si="586"/>
        <v/>
      </c>
      <c r="DS120" s="5" t="str">
        <f t="shared" si="587"/>
        <v/>
      </c>
      <c r="DT120" s="5" t="str">
        <f t="shared" si="588"/>
        <v/>
      </c>
      <c r="DU120" s="5" t="str">
        <f t="shared" si="589"/>
        <v/>
      </c>
      <c r="DV120" s="5" t="str">
        <f t="shared" si="590"/>
        <v/>
      </c>
      <c r="DW120" s="5" t="str">
        <f t="shared" si="591"/>
        <v/>
      </c>
      <c r="DX120" s="171" t="str">
        <f t="shared" si="592"/>
        <v/>
      </c>
      <c r="DY120" s="9" t="str">
        <f t="shared" si="593"/>
        <v/>
      </c>
      <c r="DZ120" s="5" t="str">
        <f t="shared" si="594"/>
        <v/>
      </c>
      <c r="EA120" s="10" t="str">
        <f t="shared" si="595"/>
        <v/>
      </c>
      <c r="EB120" s="6" t="str">
        <f t="shared" si="596"/>
        <v/>
      </c>
      <c r="EC120" s="177" t="str">
        <f t="shared" si="597"/>
        <v/>
      </c>
      <c r="ED120" s="5" t="str">
        <f t="shared" si="598"/>
        <v/>
      </c>
      <c r="EE120" s="4" t="str">
        <f t="shared" si="599"/>
        <v/>
      </c>
      <c r="EF120" s="5" t="str">
        <f t="shared" si="600"/>
        <v/>
      </c>
      <c r="EG120" s="10" t="str">
        <f t="shared" si="601"/>
        <v/>
      </c>
      <c r="EH120" s="9" t="str">
        <f t="shared" si="602"/>
        <v/>
      </c>
      <c r="EI120" s="5" t="str">
        <f t="shared" si="603"/>
        <v/>
      </c>
      <c r="EJ120" s="6" t="str">
        <f t="shared" si="604"/>
        <v/>
      </c>
      <c r="EK120" s="247" t="str">
        <f t="shared" si="605"/>
        <v/>
      </c>
      <c r="EL120" s="249" t="str">
        <f t="shared" si="606"/>
        <v/>
      </c>
      <c r="EM120" s="4" t="str">
        <f t="shared" si="607"/>
        <v/>
      </c>
      <c r="EN120" s="5" t="str">
        <f t="shared" si="608"/>
        <v/>
      </c>
      <c r="EO120" s="10" t="str">
        <f t="shared" si="609"/>
        <v/>
      </c>
      <c r="EP120" s="9" t="str">
        <f t="shared" si="610"/>
        <v/>
      </c>
      <c r="EQ120" s="5" t="str">
        <f t="shared" si="611"/>
        <v/>
      </c>
      <c r="ER120" s="7" t="str">
        <f t="shared" si="612"/>
        <v/>
      </c>
      <c r="ES120" s="21" t="str">
        <f t="shared" si="686"/>
        <v/>
      </c>
      <c r="ET120" s="5" t="str">
        <f t="shared" si="687"/>
        <v/>
      </c>
      <c r="EU120" s="10" t="str">
        <f t="shared" si="688"/>
        <v/>
      </c>
      <c r="EV120" s="178" t="str">
        <f t="shared" si="689"/>
        <v/>
      </c>
      <c r="EW120" s="9" t="str">
        <f t="shared" si="690"/>
        <v/>
      </c>
      <c r="EX120" s="5" t="str">
        <f t="shared" si="691"/>
        <v/>
      </c>
      <c r="EY120" s="6" t="str">
        <f t="shared" si="613"/>
        <v/>
      </c>
      <c r="EZ120" s="52" t="str">
        <f t="shared" si="614"/>
        <v/>
      </c>
      <c r="FA120" s="177" t="str">
        <f t="shared" si="692"/>
        <v/>
      </c>
      <c r="FB120" s="5" t="str">
        <f t="shared" si="693"/>
        <v/>
      </c>
      <c r="FC120" s="6" t="str">
        <f t="shared" si="694"/>
        <v/>
      </c>
      <c r="FD120" s="4" t="str">
        <f t="shared" si="695"/>
        <v/>
      </c>
      <c r="FE120" s="5" t="str">
        <f t="shared" si="696"/>
        <v/>
      </c>
      <c r="FF120" s="7" t="str">
        <f t="shared" si="615"/>
        <v/>
      </c>
      <c r="FG120" s="177" t="str">
        <f t="shared" si="697"/>
        <v/>
      </c>
      <c r="FH120" s="5" t="str">
        <f t="shared" si="698"/>
        <v/>
      </c>
      <c r="FI120" s="10" t="str">
        <f t="shared" si="699"/>
        <v/>
      </c>
      <c r="FJ120" s="290" t="str">
        <f t="shared" si="616"/>
        <v/>
      </c>
      <c r="FK120" s="4" t="str">
        <f t="shared" si="700"/>
        <v/>
      </c>
      <c r="FL120" s="5" t="str">
        <f t="shared" si="540"/>
        <v/>
      </c>
      <c r="FM120" s="8" t="str">
        <f t="shared" si="541"/>
        <v/>
      </c>
      <c r="FN120" s="9" t="str">
        <f t="shared" si="542"/>
        <v/>
      </c>
      <c r="FO120" s="10" t="str">
        <f t="shared" si="701"/>
        <v/>
      </c>
      <c r="FP120" s="288" t="str">
        <f t="shared" si="543"/>
        <v/>
      </c>
      <c r="FQ120" s="177" t="str">
        <f t="shared" si="617"/>
        <v/>
      </c>
      <c r="FR120" s="10" t="str">
        <f t="shared" si="618"/>
        <v/>
      </c>
      <c r="FS120" s="9" t="str">
        <f t="shared" si="619"/>
        <v/>
      </c>
      <c r="FT120" s="6" t="str">
        <f t="shared" si="620"/>
        <v/>
      </c>
      <c r="FU120" s="4" t="str">
        <f t="shared" si="621"/>
        <v/>
      </c>
      <c r="FV120" s="5" t="str">
        <f t="shared" si="622"/>
        <v/>
      </c>
      <c r="FW120" s="8" t="str">
        <f t="shared" si="623"/>
        <v/>
      </c>
      <c r="FX120" s="9" t="str">
        <f t="shared" si="624"/>
        <v/>
      </c>
      <c r="FY120" s="10" t="str">
        <f t="shared" si="702"/>
        <v/>
      </c>
      <c r="FZ120" s="288" t="str">
        <f t="shared" si="625"/>
        <v/>
      </c>
      <c r="GA120" s="181" t="str">
        <f t="shared" si="626"/>
        <v/>
      </c>
      <c r="GB120" s="4" t="str">
        <f t="shared" si="627"/>
        <v/>
      </c>
      <c r="GC120" s="5" t="str">
        <f t="shared" si="628"/>
        <v/>
      </c>
      <c r="GD120" s="10" t="str">
        <f t="shared" si="629"/>
        <v/>
      </c>
      <c r="GE120" s="324" t="str">
        <f t="shared" si="630"/>
        <v/>
      </c>
      <c r="GF120" s="362" t="str">
        <f t="shared" si="631"/>
        <v/>
      </c>
      <c r="GG120" s="296" t="str">
        <f t="shared" si="703"/>
        <v/>
      </c>
      <c r="GH120" s="297" t="str">
        <f t="shared" si="704"/>
        <v/>
      </c>
      <c r="GI120" s="292" t="str">
        <f t="shared" si="705"/>
        <v/>
      </c>
      <c r="GJ120" s="171" t="str">
        <f t="shared" si="632"/>
        <v/>
      </c>
      <c r="GK120" s="178" t="str">
        <f t="shared" si="706"/>
        <v/>
      </c>
      <c r="GL120" s="178" t="str">
        <f t="shared" si="633"/>
        <v/>
      </c>
      <c r="GM120" s="181" t="str">
        <f t="shared" si="634"/>
        <v/>
      </c>
      <c r="GN120" s="291" t="str">
        <f t="shared" si="635"/>
        <v/>
      </c>
      <c r="GO120" s="4" t="str">
        <f t="shared" si="636"/>
        <v/>
      </c>
      <c r="GP120" s="8" t="str">
        <f t="shared" si="637"/>
        <v/>
      </c>
      <c r="GQ120" s="181" t="str">
        <f t="shared" si="638"/>
        <v/>
      </c>
      <c r="GR120" s="417" t="str">
        <f t="shared" si="639"/>
        <v/>
      </c>
      <c r="GS120" s="363" t="str">
        <f t="shared" si="707"/>
        <v/>
      </c>
      <c r="GT120" s="364" t="str">
        <f t="shared" si="708"/>
        <v/>
      </c>
      <c r="GU120" s="365" t="str">
        <f t="shared" si="709"/>
        <v/>
      </c>
      <c r="GV120" s="364" t="str">
        <f t="shared" si="640"/>
        <v/>
      </c>
      <c r="GW120" s="366" t="str">
        <f t="shared" si="710"/>
        <v/>
      </c>
      <c r="GX120" s="367" t="str">
        <f t="shared" si="711"/>
        <v/>
      </c>
      <c r="GY120" s="365" t="str">
        <f t="shared" si="712"/>
        <v/>
      </c>
      <c r="GZ120" s="366" t="str">
        <f t="shared" si="713"/>
        <v/>
      </c>
      <c r="HA120" s="363" t="str">
        <f t="shared" si="714"/>
        <v/>
      </c>
      <c r="HB120" s="5" t="str">
        <f t="shared" si="641"/>
        <v/>
      </c>
      <c r="HC120" s="364" t="str">
        <f t="shared" si="642"/>
        <v/>
      </c>
      <c r="HD120" s="405" t="str">
        <f t="shared" si="643"/>
        <v/>
      </c>
      <c r="HE120" s="365" t="str">
        <f t="shared" si="715"/>
        <v/>
      </c>
      <c r="HF120" s="5" t="str">
        <f t="shared" si="716"/>
        <v/>
      </c>
      <c r="HG120" s="364" t="str">
        <f t="shared" si="644"/>
        <v/>
      </c>
      <c r="HH120" s="370" t="str">
        <f t="shared" si="645"/>
        <v/>
      </c>
      <c r="HI120" s="335" t="str">
        <f t="shared" si="717"/>
        <v/>
      </c>
      <c r="HK120" s="323" t="str">
        <f t="shared" si="664"/>
        <v/>
      </c>
      <c r="HL120" s="322" t="str">
        <f t="shared" si="741"/>
        <v/>
      </c>
      <c r="HM120" s="369" t="str">
        <f t="shared" si="747"/>
        <v/>
      </c>
      <c r="HN120" s="384" t="str">
        <f t="shared" si="747"/>
        <v/>
      </c>
      <c r="HO120" s="385" t="str">
        <f t="shared" si="747"/>
        <v/>
      </c>
      <c r="HP120" s="380" t="str">
        <f t="shared" si="747"/>
        <v/>
      </c>
      <c r="HQ120" s="384" t="str">
        <f t="shared" si="747"/>
        <v/>
      </c>
      <c r="HR120" s="395" t="str">
        <f t="shared" si="747"/>
        <v/>
      </c>
      <c r="HS120" s="379" t="str">
        <f t="shared" si="747"/>
        <v/>
      </c>
      <c r="HT120" s="374" t="str">
        <f t="shared" si="747"/>
        <v/>
      </c>
      <c r="HU120" s="375" t="str">
        <f t="shared" si="747"/>
        <v/>
      </c>
      <c r="HV120" s="376" t="str">
        <f t="shared" si="747"/>
        <v/>
      </c>
      <c r="HW120" s="374" t="str">
        <f t="shared" si="747"/>
        <v/>
      </c>
      <c r="HX120" s="375" t="str">
        <f t="shared" si="747"/>
        <v/>
      </c>
      <c r="HY120" s="376" t="str">
        <f t="shared" si="747"/>
        <v/>
      </c>
      <c r="HZ120" s="374" t="str">
        <f t="shared" si="747"/>
        <v/>
      </c>
      <c r="IA120" s="375" t="str">
        <f t="shared" si="747"/>
        <v/>
      </c>
      <c r="IE120" s="849" t="str">
        <f>IFERROR(IF($IU120="","",IF($IU120&lt;(((Settings!$C$19/2)*-1)*$IE$8),"Taper","Nose")),"")</f>
        <v>Taper</v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6"/>
        <v>6.2460000000000004</v>
      </c>
      <c r="IH120" s="731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0.14599999999999999</v>
      </c>
      <c r="II120" s="734" cm="1">
        <f t="array" ref="II120">IFERROR(ROUND(VALUE(IF($IH120&lt;1,$IH120+LARGE((IF($M$9:$M$150="",0,$M$9:$M$150)-MOD(IF($M$9:$M$150="",0,$M$9:$M$150),1)),1),$IH120)),4),"")</f>
        <v>6.1459999999999999</v>
      </c>
      <c r="IJ120" s="533">
        <f t="shared" si="545"/>
        <v>1613</v>
      </c>
      <c r="IK120" s="533" t="str">
        <f t="shared" si="718"/>
        <v>Inactive</v>
      </c>
      <c r="IL120" s="727">
        <f t="shared" si="651"/>
        <v>16.103897674884834</v>
      </c>
      <c r="IM120" s="759">
        <v>2.12280061780065E-4</v>
      </c>
      <c r="IN120" s="5">
        <f t="shared" si="652"/>
        <v>0</v>
      </c>
      <c r="IO120" s="771">
        <v>0</v>
      </c>
      <c r="IP120" s="9">
        <f t="shared" si="653"/>
        <v>-6.58181985076867</v>
      </c>
      <c r="IQ120" s="5">
        <f t="shared" si="654"/>
        <v>-1.7810053715122007</v>
      </c>
      <c r="IR120" s="5">
        <f t="shared" si="719"/>
        <v>0.314</v>
      </c>
      <c r="IS120" s="5">
        <f t="shared" si="655"/>
        <v>0.27261591902855692</v>
      </c>
      <c r="IT120" s="727">
        <f t="shared" si="656"/>
        <v>66.81538679780121</v>
      </c>
      <c r="IU120" s="9">
        <f t="shared" si="657"/>
        <v>-6.5967198957072037</v>
      </c>
      <c r="IV120" s="5">
        <f t="shared" si="658"/>
        <v>-1.7768053588449628</v>
      </c>
      <c r="IW120" s="5">
        <f t="shared" si="720"/>
        <v>0.26250000000000001</v>
      </c>
      <c r="IX120" s="5">
        <f t="shared" si="659"/>
        <v>0.26250000000000001</v>
      </c>
      <c r="IY120" s="762">
        <f t="shared" si="660"/>
        <v>45.299993459490175</v>
      </c>
    </row>
    <row r="121" spans="1:259" ht="15" customHeight="1" x14ac:dyDescent="0.25">
      <c r="A121" s="79"/>
      <c r="B121" s="707">
        <v>-4.0721069997437151</v>
      </c>
      <c r="C121" s="708">
        <v>5.5229093634076722</v>
      </c>
      <c r="D121" s="709">
        <v>-2.4829074884489852</v>
      </c>
      <c r="E121" s="710">
        <v>-0.48612108220253686</v>
      </c>
      <c r="F121" s="708">
        <v>0.65931497394084171</v>
      </c>
      <c r="G121" s="711">
        <v>0.57357654988294426</v>
      </c>
      <c r="H121" s="710">
        <v>0.26250000000000001</v>
      </c>
      <c r="I121" s="708">
        <v>0.40699999999999997</v>
      </c>
      <c r="J121" s="570">
        <v>6.2519999999999998</v>
      </c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Inactive</v>
      </c>
      <c r="L121" s="1314">
        <f t="shared" si="746"/>
        <v>0</v>
      </c>
      <c r="M121" s="168">
        <f t="shared" si="665"/>
        <v>6.2519999999999998</v>
      </c>
      <c r="N121" s="632">
        <f t="shared" si="666"/>
        <v>-4.0721069997437151</v>
      </c>
      <c r="O121" s="629">
        <f t="shared" si="667"/>
        <v>5.5229093634076722</v>
      </c>
      <c r="P121" s="633">
        <f t="shared" si="668"/>
        <v>-2.4829074884489852</v>
      </c>
      <c r="Q121" s="585">
        <f t="shared" si="523"/>
        <v>126.40179474423111</v>
      </c>
      <c r="R121" s="629">
        <f t="shared" si="721"/>
        <v>6.8618206952512173</v>
      </c>
      <c r="S121" s="634">
        <f t="shared" si="722"/>
        <v>-2.4829074884489852</v>
      </c>
      <c r="T121" s="635">
        <f t="shared" si="723"/>
        <v>5.5229093634076722</v>
      </c>
      <c r="U121" s="629">
        <f t="shared" si="724"/>
        <v>4.0721069997437151</v>
      </c>
      <c r="V121" s="636">
        <f t="shared" si="725"/>
        <v>-2.4829074884489852</v>
      </c>
      <c r="W121" s="585">
        <f t="shared" si="648"/>
        <v>36.401794744231111</v>
      </c>
      <c r="X121" s="629">
        <f t="shared" si="726"/>
        <v>6.8618206952512173</v>
      </c>
      <c r="Y121" s="630">
        <f t="shared" si="647"/>
        <v>-2.4829074884489852</v>
      </c>
      <c r="Z121" s="632">
        <f t="shared" si="669"/>
        <v>0.48612108220253686</v>
      </c>
      <c r="AA121" s="629">
        <f t="shared" si="670"/>
        <v>-0.65931497394084171</v>
      </c>
      <c r="AB121" s="629">
        <f t="shared" si="671"/>
        <v>-0.57357654988294426</v>
      </c>
      <c r="AC121" s="636">
        <f t="shared" si="727"/>
        <v>1</v>
      </c>
      <c r="AD121" s="637">
        <f t="shared" si="728"/>
        <v>0.48612108220253686</v>
      </c>
      <c r="AE121" s="629">
        <f t="shared" si="729"/>
        <v>-0.65931497394084171</v>
      </c>
      <c r="AF121" s="633">
        <f t="shared" si="730"/>
        <v>-0.57357654988294426</v>
      </c>
      <c r="AG121" s="602">
        <f t="shared" si="731"/>
        <v>-48.978090126893036</v>
      </c>
      <c r="AH121" s="603">
        <f t="shared" si="732"/>
        <v>60.914051197191938</v>
      </c>
      <c r="AI121" s="585">
        <f t="shared" si="733"/>
        <v>-54.999992058984695</v>
      </c>
      <c r="AJ121" s="586">
        <f t="shared" si="734"/>
        <v>36.40181060745423</v>
      </c>
      <c r="AK121" s="635">
        <f t="shared" si="735"/>
        <v>2.2679489652954743E-7</v>
      </c>
      <c r="AL121" s="629">
        <f t="shared" si="736"/>
        <v>-0.81915196479305774</v>
      </c>
      <c r="AM121" s="634">
        <f t="shared" si="737"/>
        <v>-0.57357654988294426</v>
      </c>
      <c r="AN121" s="581">
        <f t="shared" si="738"/>
        <v>-54.999992058983665</v>
      </c>
      <c r="AO121" s="582">
        <f t="shared" si="748"/>
        <v>0</v>
      </c>
      <c r="AP121" s="585">
        <f t="shared" si="739"/>
        <v>-89.999984136776874</v>
      </c>
      <c r="AQ121" s="586">
        <f t="shared" si="672"/>
        <v>0.3322297656845134</v>
      </c>
      <c r="AS121" s="52">
        <f t="shared" si="742"/>
        <v>-323.5982052557689</v>
      </c>
      <c r="AT121" s="73">
        <f t="shared" si="673"/>
        <v>-2.2581865125769234</v>
      </c>
      <c r="AU121" s="469"/>
      <c r="AV121" s="168" t="str">
        <f t="shared" si="674"/>
        <v/>
      </c>
      <c r="AW121" s="418"/>
      <c r="AX121" s="419"/>
      <c r="AY121" s="420"/>
      <c r="AZ121" s="308" t="str">
        <f t="shared" si="547"/>
        <v/>
      </c>
      <c r="BA121" s="307" t="str">
        <f t="shared" si="675"/>
        <v/>
      </c>
      <c r="BB121" s="181" t="str">
        <f t="shared" si="524"/>
        <v/>
      </c>
      <c r="BC121" s="9"/>
      <c r="BD121" s="5" t="str">
        <f t="shared" si="525"/>
        <v/>
      </c>
      <c r="BE121" s="6" t="str">
        <f t="shared" si="676"/>
        <v/>
      </c>
      <c r="BF121" s="4" t="str">
        <f t="shared" si="677"/>
        <v/>
      </c>
      <c r="BG121" s="5" t="str">
        <f t="shared" si="678"/>
        <v/>
      </c>
      <c r="BH121" s="10" t="str">
        <f t="shared" si="679"/>
        <v/>
      </c>
      <c r="BI121" s="9" t="str">
        <f t="shared" si="548"/>
        <v/>
      </c>
      <c r="BJ121" s="5" t="str">
        <f t="shared" si="680"/>
        <v/>
      </c>
      <c r="BK121" s="8" t="str">
        <f t="shared" si="681"/>
        <v/>
      </c>
      <c r="BL121" s="177" t="str">
        <f t="shared" si="682"/>
        <v/>
      </c>
      <c r="BM121" s="5" t="str">
        <f t="shared" si="683"/>
        <v/>
      </c>
      <c r="BN121" s="6" t="str">
        <f t="shared" si="684"/>
        <v/>
      </c>
      <c r="BO121" s="4" t="str">
        <f t="shared" si="549"/>
        <v/>
      </c>
      <c r="BP121" s="5" t="str">
        <f t="shared" si="550"/>
        <v/>
      </c>
      <c r="BQ121" s="5" t="str">
        <f t="shared" si="551"/>
        <v/>
      </c>
      <c r="BR121" s="6" t="str">
        <f t="shared" si="552"/>
        <v/>
      </c>
      <c r="BS121" s="4" t="str">
        <f t="shared" si="740"/>
        <v/>
      </c>
      <c r="BT121" s="5" t="str">
        <f t="shared" si="740"/>
        <v/>
      </c>
      <c r="BU121" s="10" t="str">
        <f t="shared" si="527"/>
        <v/>
      </c>
      <c r="BV121" s="9" t="str">
        <f t="shared" si="528"/>
        <v/>
      </c>
      <c r="BW121" s="5" t="str">
        <f t="shared" si="529"/>
        <v/>
      </c>
      <c r="BX121" s="8" t="str">
        <f t="shared" si="530"/>
        <v/>
      </c>
      <c r="BY121" s="177" t="str">
        <f t="shared" si="531"/>
        <v/>
      </c>
      <c r="BZ121" s="5" t="str">
        <f t="shared" si="532"/>
        <v/>
      </c>
      <c r="CA121" s="6" t="str">
        <f t="shared" si="533"/>
        <v/>
      </c>
      <c r="CB121" s="4" t="str">
        <f t="shared" si="553"/>
        <v/>
      </c>
      <c r="CC121" s="5" t="str">
        <f t="shared" si="554"/>
        <v/>
      </c>
      <c r="CD121" s="5" t="str">
        <f t="shared" si="555"/>
        <v/>
      </c>
      <c r="CE121" s="6" t="str">
        <f t="shared" si="556"/>
        <v/>
      </c>
      <c r="CF121" s="4" t="str">
        <f t="shared" si="557"/>
        <v/>
      </c>
      <c r="CG121" s="5" t="str">
        <f t="shared" si="558"/>
        <v/>
      </c>
      <c r="CH121" s="5" t="str">
        <f t="shared" si="559"/>
        <v/>
      </c>
      <c r="CI121" s="4" t="str">
        <f t="shared" si="534"/>
        <v/>
      </c>
      <c r="CJ121" s="5" t="str">
        <f t="shared" si="535"/>
        <v/>
      </c>
      <c r="CK121" s="8" t="str">
        <f t="shared" si="536"/>
        <v/>
      </c>
      <c r="CL121" s="177" t="str">
        <f t="shared" si="537"/>
        <v/>
      </c>
      <c r="CM121" s="5" t="str">
        <f t="shared" si="538"/>
        <v/>
      </c>
      <c r="CN121" s="6" t="str">
        <f t="shared" si="539"/>
        <v/>
      </c>
      <c r="CO121" s="171" t="str">
        <f t="shared" si="685"/>
        <v/>
      </c>
      <c r="CP121" s="4" t="str">
        <f t="shared" si="560"/>
        <v/>
      </c>
      <c r="CQ121" s="5" t="str">
        <f t="shared" si="561"/>
        <v/>
      </c>
      <c r="CR121" s="5" t="str">
        <f t="shared" si="562"/>
        <v/>
      </c>
      <c r="CS121" s="8" t="str">
        <f t="shared" si="563"/>
        <v/>
      </c>
      <c r="CT121" s="9" t="str">
        <f t="shared" si="564"/>
        <v/>
      </c>
      <c r="CU121" s="6" t="str">
        <f t="shared" si="565"/>
        <v/>
      </c>
      <c r="CV121" s="4" t="str">
        <f t="shared" si="566"/>
        <v/>
      </c>
      <c r="CW121" s="5" t="str">
        <f t="shared" si="567"/>
        <v/>
      </c>
      <c r="CX121" s="8" t="str">
        <f t="shared" si="568"/>
        <v/>
      </c>
      <c r="CY121" s="9" t="str">
        <f t="shared" si="569"/>
        <v/>
      </c>
      <c r="CZ121" s="5" t="str">
        <f t="shared" si="570"/>
        <v/>
      </c>
      <c r="DA121" s="6" t="str">
        <f t="shared" si="571"/>
        <v/>
      </c>
      <c r="DB121" s="4" t="str">
        <f t="shared" si="743"/>
        <v/>
      </c>
      <c r="DC121" s="5" t="str">
        <f t="shared" si="743"/>
        <v/>
      </c>
      <c r="DD121" s="10" t="str">
        <f t="shared" si="573"/>
        <v/>
      </c>
      <c r="DE121" s="9" t="str">
        <f t="shared" si="744"/>
        <v/>
      </c>
      <c r="DF121" s="5" t="str">
        <f t="shared" si="744"/>
        <v/>
      </c>
      <c r="DG121" s="10" t="str">
        <f t="shared" si="575"/>
        <v/>
      </c>
      <c r="DH121" s="72" t="str">
        <f t="shared" si="576"/>
        <v/>
      </c>
      <c r="DI121" s="4" t="str">
        <f t="shared" si="577"/>
        <v/>
      </c>
      <c r="DJ121" s="5" t="str">
        <f t="shared" si="578"/>
        <v/>
      </c>
      <c r="DK121" s="10" t="str">
        <f t="shared" si="579"/>
        <v/>
      </c>
      <c r="DL121" s="9" t="str">
        <f t="shared" si="580"/>
        <v/>
      </c>
      <c r="DM121" s="177" t="str">
        <f t="shared" si="581"/>
        <v/>
      </c>
      <c r="DN121" s="182" t="str">
        <f t="shared" si="582"/>
        <v/>
      </c>
      <c r="DO121" s="9" t="str">
        <f t="shared" si="583"/>
        <v/>
      </c>
      <c r="DP121" s="177" t="str">
        <f t="shared" si="584"/>
        <v/>
      </c>
      <c r="DQ121" s="11" t="str">
        <f t="shared" si="585"/>
        <v/>
      </c>
      <c r="DR121" s="177" t="str">
        <f t="shared" si="586"/>
        <v/>
      </c>
      <c r="DS121" s="5" t="str">
        <f t="shared" si="587"/>
        <v/>
      </c>
      <c r="DT121" s="5" t="str">
        <f t="shared" si="588"/>
        <v/>
      </c>
      <c r="DU121" s="5" t="str">
        <f t="shared" si="589"/>
        <v/>
      </c>
      <c r="DV121" s="5" t="str">
        <f t="shared" si="590"/>
        <v/>
      </c>
      <c r="DW121" s="5" t="str">
        <f t="shared" si="591"/>
        <v/>
      </c>
      <c r="DX121" s="171" t="str">
        <f t="shared" si="592"/>
        <v/>
      </c>
      <c r="DY121" s="9" t="str">
        <f t="shared" si="593"/>
        <v/>
      </c>
      <c r="DZ121" s="5" t="str">
        <f t="shared" si="594"/>
        <v/>
      </c>
      <c r="EA121" s="10" t="str">
        <f t="shared" si="595"/>
        <v/>
      </c>
      <c r="EB121" s="6" t="str">
        <f t="shared" si="596"/>
        <v/>
      </c>
      <c r="EC121" s="177" t="str">
        <f t="shared" si="597"/>
        <v/>
      </c>
      <c r="ED121" s="5" t="str">
        <f t="shared" si="598"/>
        <v/>
      </c>
      <c r="EE121" s="4" t="str">
        <f t="shared" si="599"/>
        <v/>
      </c>
      <c r="EF121" s="5" t="str">
        <f t="shared" si="600"/>
        <v/>
      </c>
      <c r="EG121" s="10" t="str">
        <f t="shared" si="601"/>
        <v/>
      </c>
      <c r="EH121" s="9" t="str">
        <f t="shared" si="602"/>
        <v/>
      </c>
      <c r="EI121" s="5" t="str">
        <f t="shared" si="603"/>
        <v/>
      </c>
      <c r="EJ121" s="6" t="str">
        <f t="shared" si="604"/>
        <v/>
      </c>
      <c r="EK121" s="247" t="str">
        <f t="shared" si="605"/>
        <v/>
      </c>
      <c r="EL121" s="249" t="str">
        <f t="shared" si="606"/>
        <v/>
      </c>
      <c r="EM121" s="4" t="str">
        <f t="shared" si="607"/>
        <v/>
      </c>
      <c r="EN121" s="5" t="str">
        <f t="shared" si="608"/>
        <v/>
      </c>
      <c r="EO121" s="10" t="str">
        <f t="shared" si="609"/>
        <v/>
      </c>
      <c r="EP121" s="9" t="str">
        <f t="shared" si="610"/>
        <v/>
      </c>
      <c r="EQ121" s="5" t="str">
        <f t="shared" si="611"/>
        <v/>
      </c>
      <c r="ER121" s="7" t="str">
        <f t="shared" si="612"/>
        <v/>
      </c>
      <c r="ES121" s="21" t="str">
        <f t="shared" si="686"/>
        <v/>
      </c>
      <c r="ET121" s="5" t="str">
        <f t="shared" si="687"/>
        <v/>
      </c>
      <c r="EU121" s="10" t="str">
        <f t="shared" si="688"/>
        <v/>
      </c>
      <c r="EV121" s="178" t="str">
        <f t="shared" si="689"/>
        <v/>
      </c>
      <c r="EW121" s="9" t="str">
        <f t="shared" si="690"/>
        <v/>
      </c>
      <c r="EX121" s="5" t="str">
        <f t="shared" si="691"/>
        <v/>
      </c>
      <c r="EY121" s="6" t="str">
        <f t="shared" si="613"/>
        <v/>
      </c>
      <c r="EZ121" s="52" t="str">
        <f t="shared" si="614"/>
        <v/>
      </c>
      <c r="FA121" s="177" t="str">
        <f t="shared" si="692"/>
        <v/>
      </c>
      <c r="FB121" s="5" t="str">
        <f t="shared" si="693"/>
        <v/>
      </c>
      <c r="FC121" s="6" t="str">
        <f t="shared" si="694"/>
        <v/>
      </c>
      <c r="FD121" s="4" t="str">
        <f t="shared" si="695"/>
        <v/>
      </c>
      <c r="FE121" s="5" t="str">
        <f t="shared" si="696"/>
        <v/>
      </c>
      <c r="FF121" s="7" t="str">
        <f t="shared" si="615"/>
        <v/>
      </c>
      <c r="FG121" s="177" t="str">
        <f t="shared" si="697"/>
        <v/>
      </c>
      <c r="FH121" s="5" t="str">
        <f t="shared" si="698"/>
        <v/>
      </c>
      <c r="FI121" s="10" t="str">
        <f t="shared" si="699"/>
        <v/>
      </c>
      <c r="FJ121" s="290" t="str">
        <f t="shared" si="616"/>
        <v/>
      </c>
      <c r="FK121" s="4" t="str">
        <f t="shared" si="700"/>
        <v/>
      </c>
      <c r="FL121" s="5" t="str">
        <f t="shared" si="540"/>
        <v/>
      </c>
      <c r="FM121" s="8" t="str">
        <f t="shared" si="541"/>
        <v/>
      </c>
      <c r="FN121" s="9" t="str">
        <f t="shared" si="542"/>
        <v/>
      </c>
      <c r="FO121" s="10" t="str">
        <f t="shared" si="701"/>
        <v/>
      </c>
      <c r="FP121" s="288" t="str">
        <f t="shared" si="543"/>
        <v/>
      </c>
      <c r="FQ121" s="177" t="str">
        <f t="shared" si="617"/>
        <v/>
      </c>
      <c r="FR121" s="10" t="str">
        <f t="shared" si="618"/>
        <v/>
      </c>
      <c r="FS121" s="9" t="str">
        <f t="shared" si="619"/>
        <v/>
      </c>
      <c r="FT121" s="6" t="str">
        <f t="shared" si="620"/>
        <v/>
      </c>
      <c r="FU121" s="4" t="str">
        <f t="shared" si="621"/>
        <v/>
      </c>
      <c r="FV121" s="5" t="str">
        <f t="shared" si="622"/>
        <v/>
      </c>
      <c r="FW121" s="8" t="str">
        <f t="shared" si="623"/>
        <v/>
      </c>
      <c r="FX121" s="9" t="str">
        <f t="shared" si="624"/>
        <v/>
      </c>
      <c r="FY121" s="10" t="str">
        <f t="shared" si="702"/>
        <v/>
      </c>
      <c r="FZ121" s="288" t="str">
        <f t="shared" si="625"/>
        <v/>
      </c>
      <c r="GA121" s="181" t="str">
        <f t="shared" si="626"/>
        <v/>
      </c>
      <c r="GB121" s="4" t="str">
        <f t="shared" si="627"/>
        <v/>
      </c>
      <c r="GC121" s="5" t="str">
        <f t="shared" si="628"/>
        <v/>
      </c>
      <c r="GD121" s="10" t="str">
        <f t="shared" si="629"/>
        <v/>
      </c>
      <c r="GE121" s="324" t="str">
        <f t="shared" si="630"/>
        <v/>
      </c>
      <c r="GF121" s="362" t="str">
        <f t="shared" si="631"/>
        <v/>
      </c>
      <c r="GG121" s="296" t="str">
        <f t="shared" si="703"/>
        <v/>
      </c>
      <c r="GH121" s="297" t="str">
        <f t="shared" si="704"/>
        <v/>
      </c>
      <c r="GI121" s="292" t="str">
        <f t="shared" si="705"/>
        <v/>
      </c>
      <c r="GJ121" s="171" t="str">
        <f t="shared" si="632"/>
        <v/>
      </c>
      <c r="GK121" s="178" t="str">
        <f t="shared" si="706"/>
        <v/>
      </c>
      <c r="GL121" s="178" t="str">
        <f t="shared" si="633"/>
        <v/>
      </c>
      <c r="GM121" s="181" t="str">
        <f t="shared" si="634"/>
        <v/>
      </c>
      <c r="GN121" s="291" t="str">
        <f t="shared" si="635"/>
        <v/>
      </c>
      <c r="GO121" s="4" t="str">
        <f t="shared" si="636"/>
        <v/>
      </c>
      <c r="GP121" s="8" t="str">
        <f t="shared" si="637"/>
        <v/>
      </c>
      <c r="GQ121" s="181" t="str">
        <f t="shared" si="638"/>
        <v/>
      </c>
      <c r="GR121" s="417" t="str">
        <f t="shared" si="639"/>
        <v/>
      </c>
      <c r="GS121" s="363" t="str">
        <f t="shared" si="707"/>
        <v/>
      </c>
      <c r="GT121" s="364" t="str">
        <f t="shared" si="708"/>
        <v/>
      </c>
      <c r="GU121" s="365" t="str">
        <f t="shared" si="709"/>
        <v/>
      </c>
      <c r="GV121" s="364" t="str">
        <f t="shared" si="640"/>
        <v/>
      </c>
      <c r="GW121" s="366" t="str">
        <f t="shared" si="710"/>
        <v/>
      </c>
      <c r="GX121" s="367" t="str">
        <f t="shared" si="711"/>
        <v/>
      </c>
      <c r="GY121" s="365" t="str">
        <f t="shared" si="712"/>
        <v/>
      </c>
      <c r="GZ121" s="366" t="str">
        <f t="shared" si="713"/>
        <v/>
      </c>
      <c r="HA121" s="363" t="str">
        <f t="shared" si="714"/>
        <v/>
      </c>
      <c r="HB121" s="5" t="str">
        <f t="shared" si="641"/>
        <v/>
      </c>
      <c r="HC121" s="364" t="str">
        <f t="shared" si="642"/>
        <v/>
      </c>
      <c r="HD121" s="405" t="str">
        <f t="shared" si="643"/>
        <v/>
      </c>
      <c r="HE121" s="365" t="str">
        <f t="shared" si="715"/>
        <v/>
      </c>
      <c r="HF121" s="5" t="str">
        <f t="shared" si="716"/>
        <v/>
      </c>
      <c r="HG121" s="364" t="str">
        <f t="shared" si="644"/>
        <v/>
      </c>
      <c r="HH121" s="370" t="str">
        <f t="shared" si="645"/>
        <v/>
      </c>
      <c r="HI121" s="335" t="str">
        <f t="shared" si="717"/>
        <v/>
      </c>
      <c r="HK121" s="323" t="str">
        <f t="shared" si="664"/>
        <v/>
      </c>
      <c r="HL121" s="322" t="str">
        <f t="shared" si="741"/>
        <v/>
      </c>
      <c r="HM121" s="369" t="str">
        <f t="shared" si="747"/>
        <v/>
      </c>
      <c r="HN121" s="384" t="str">
        <f t="shared" si="747"/>
        <v/>
      </c>
      <c r="HO121" s="385" t="str">
        <f t="shared" si="747"/>
        <v/>
      </c>
      <c r="HP121" s="380" t="str">
        <f t="shared" si="747"/>
        <v/>
      </c>
      <c r="HQ121" s="384" t="str">
        <f t="shared" si="747"/>
        <v/>
      </c>
      <c r="HR121" s="395" t="str">
        <f t="shared" si="747"/>
        <v/>
      </c>
      <c r="HS121" s="379" t="str">
        <f t="shared" si="747"/>
        <v/>
      </c>
      <c r="HT121" s="374" t="str">
        <f t="shared" si="747"/>
        <v/>
      </c>
      <c r="HU121" s="375" t="str">
        <f t="shared" si="747"/>
        <v/>
      </c>
      <c r="HV121" s="376" t="str">
        <f t="shared" si="747"/>
        <v/>
      </c>
      <c r="HW121" s="374" t="str">
        <f t="shared" si="747"/>
        <v/>
      </c>
      <c r="HX121" s="375" t="str">
        <f t="shared" si="747"/>
        <v/>
      </c>
      <c r="HY121" s="376" t="str">
        <f t="shared" si="747"/>
        <v/>
      </c>
      <c r="HZ121" s="374" t="str">
        <f t="shared" si="747"/>
        <v/>
      </c>
      <c r="IA121" s="375" t="str">
        <f t="shared" si="747"/>
        <v/>
      </c>
      <c r="IE121" s="849" t="str">
        <f>IFERROR(IF($IU121="","",IF($IU121&lt;(((Settings!$C$19/2)*-1)*$IE$8),"Taper","Nose")),"")</f>
        <v>Taper</v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6"/>
        <v>6.2519999999999998</v>
      </c>
      <c r="IH121" s="731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0.152</v>
      </c>
      <c r="II121" s="734" cm="1">
        <f t="array" ref="II121">IFERROR(ROUND(VALUE(IF($IH121&lt;1,$IH121+LARGE((IF($M$9:$M$150="",0,$M$9:$M$150)-MOD(IF($M$9:$M$150="",0,$M$9:$M$150),1)),1),$IH121)),4),"")</f>
        <v>6.1520000000000001</v>
      </c>
      <c r="IJ121" s="533">
        <f t="shared" si="545"/>
        <v>1613</v>
      </c>
      <c r="IK121" s="533" t="str">
        <f t="shared" si="718"/>
        <v>Inactive</v>
      </c>
      <c r="IL121" s="727">
        <f t="shared" si="651"/>
        <v>15.943597698029279</v>
      </c>
      <c r="IM121" s="759">
        <v>5.6865425641873101E-4</v>
      </c>
      <c r="IN121" s="5">
        <f t="shared" si="652"/>
        <v>0</v>
      </c>
      <c r="IO121" s="771">
        <v>0</v>
      </c>
      <c r="IP121" s="9">
        <f t="shared" si="653"/>
        <v>-6.8536206705199438</v>
      </c>
      <c r="IQ121" s="5">
        <f t="shared" si="654"/>
        <v>-2.4782074742737441</v>
      </c>
      <c r="IR121" s="5">
        <f t="shared" si="719"/>
        <v>0.314</v>
      </c>
      <c r="IS121" s="5">
        <f t="shared" si="655"/>
        <v>0.26096261495226147</v>
      </c>
      <c r="IT121" s="727">
        <f t="shared" si="656"/>
        <v>75.963923108390432</v>
      </c>
      <c r="IU121" s="9">
        <f t="shared" si="657"/>
        <v>-6.8618206952512173</v>
      </c>
      <c r="IV121" s="5">
        <f t="shared" si="658"/>
        <v>-2.4829074884489852</v>
      </c>
      <c r="IW121" s="5">
        <f t="shared" si="720"/>
        <v>0.26250000000000001</v>
      </c>
      <c r="IX121" s="5">
        <f t="shared" si="659"/>
        <v>0.26250000000000001</v>
      </c>
      <c r="IY121" s="762">
        <f t="shared" si="660"/>
        <v>54.999992058983665</v>
      </c>
    </row>
    <row r="122" spans="1:259" ht="15" customHeight="1" x14ac:dyDescent="0.25">
      <c r="A122" s="79"/>
      <c r="B122" s="707">
        <v>-4.1540393462411318</v>
      </c>
      <c r="C122" s="708">
        <v>5.666474289975497</v>
      </c>
      <c r="D122" s="709">
        <v>-3.2125096889292215</v>
      </c>
      <c r="E122" s="710">
        <v>-0.53319634124159732</v>
      </c>
      <c r="F122" s="708">
        <v>0.72732622728349627</v>
      </c>
      <c r="G122" s="711">
        <v>0.43208589515526896</v>
      </c>
      <c r="H122" s="710">
        <v>0.26250000000000001</v>
      </c>
      <c r="I122" s="708">
        <v>0.40699999999999997</v>
      </c>
      <c r="J122" s="570">
        <v>6.258</v>
      </c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Inactive</v>
      </c>
      <c r="L122" s="1314">
        <f t="shared" si="746"/>
        <v>0</v>
      </c>
      <c r="M122" s="168">
        <f t="shared" si="665"/>
        <v>6.258</v>
      </c>
      <c r="N122" s="632">
        <f t="shared" si="666"/>
        <v>-4.1540393462411318</v>
      </c>
      <c r="O122" s="629">
        <f t="shared" si="667"/>
        <v>5.666474289975497</v>
      </c>
      <c r="P122" s="633">
        <f t="shared" si="668"/>
        <v>-3.2125096889292215</v>
      </c>
      <c r="Q122" s="585">
        <f t="shared" si="523"/>
        <v>126.24479476689912</v>
      </c>
      <c r="R122" s="629">
        <f t="shared" si="721"/>
        <v>7.0260211904799119</v>
      </c>
      <c r="S122" s="634">
        <f t="shared" si="722"/>
        <v>-3.2125096889292215</v>
      </c>
      <c r="T122" s="635">
        <f t="shared" si="723"/>
        <v>5.6664742899754961</v>
      </c>
      <c r="U122" s="629">
        <f t="shared" si="724"/>
        <v>4.1540393462411327</v>
      </c>
      <c r="V122" s="636">
        <f t="shared" si="725"/>
        <v>-3.2125096889292215</v>
      </c>
      <c r="W122" s="585">
        <f t="shared" si="648"/>
        <v>36.244794766899119</v>
      </c>
      <c r="X122" s="629">
        <f t="shared" si="726"/>
        <v>7.0260211904799119</v>
      </c>
      <c r="Y122" s="630">
        <f t="shared" si="647"/>
        <v>-3.2125096889292215</v>
      </c>
      <c r="Z122" s="632">
        <f t="shared" si="669"/>
        <v>0.53319634124159732</v>
      </c>
      <c r="AA122" s="629">
        <f t="shared" si="670"/>
        <v>-0.72732622728349627</v>
      </c>
      <c r="AB122" s="629">
        <f t="shared" si="671"/>
        <v>-0.43208589515526896</v>
      </c>
      <c r="AC122" s="636">
        <f t="shared" si="727"/>
        <v>1</v>
      </c>
      <c r="AD122" s="637">
        <f t="shared" si="728"/>
        <v>0.53319634124159732</v>
      </c>
      <c r="AE122" s="629">
        <f t="shared" si="729"/>
        <v>-0.72732622728349627</v>
      </c>
      <c r="AF122" s="633">
        <f t="shared" si="730"/>
        <v>-0.43208589515526896</v>
      </c>
      <c r="AG122" s="602">
        <f t="shared" si="731"/>
        <v>-59.286537109349936</v>
      </c>
      <c r="AH122" s="603">
        <f t="shared" si="732"/>
        <v>57.7783257899343</v>
      </c>
      <c r="AI122" s="585">
        <f t="shared" si="733"/>
        <v>-64.399990701792476</v>
      </c>
      <c r="AJ122" s="586">
        <f t="shared" si="734"/>
        <v>36.244809175773277</v>
      </c>
      <c r="AK122" s="635">
        <f t="shared" si="735"/>
        <v>2.2679489636301398E-7</v>
      </c>
      <c r="AL122" s="629">
        <f t="shared" si="736"/>
        <v>-0.90183245628432473</v>
      </c>
      <c r="AM122" s="634">
        <f t="shared" si="737"/>
        <v>-0.43208589515526896</v>
      </c>
      <c r="AN122" s="581">
        <f t="shared" si="738"/>
        <v>-64.399990701791779</v>
      </c>
      <c r="AO122" s="582">
        <f t="shared" si="748"/>
        <v>0</v>
      </c>
      <c r="AP122" s="585">
        <f t="shared" si="739"/>
        <v>-89.999985591125835</v>
      </c>
      <c r="AQ122" s="586">
        <f t="shared" si="672"/>
        <v>0.32446561150392345</v>
      </c>
      <c r="AS122" s="52">
        <f t="shared" si="742"/>
        <v>-323.75520523310087</v>
      </c>
      <c r="AT122" s="73">
        <f t="shared" si="673"/>
        <v>-2.9876796852951237</v>
      </c>
      <c r="AU122" s="469"/>
      <c r="AV122" s="168" t="str">
        <f t="shared" si="674"/>
        <v/>
      </c>
      <c r="AW122" s="418"/>
      <c r="AX122" s="419"/>
      <c r="AY122" s="420"/>
      <c r="AZ122" s="308" t="str">
        <f t="shared" si="547"/>
        <v/>
      </c>
      <c r="BA122" s="307" t="str">
        <f t="shared" si="675"/>
        <v/>
      </c>
      <c r="BB122" s="181" t="str">
        <f t="shared" si="524"/>
        <v/>
      </c>
      <c r="BC122" s="9"/>
      <c r="BD122" s="5" t="str">
        <f t="shared" si="525"/>
        <v/>
      </c>
      <c r="BE122" s="6" t="str">
        <f t="shared" si="676"/>
        <v/>
      </c>
      <c r="BF122" s="4" t="str">
        <f t="shared" si="677"/>
        <v/>
      </c>
      <c r="BG122" s="5" t="str">
        <f t="shared" si="678"/>
        <v/>
      </c>
      <c r="BH122" s="10" t="str">
        <f t="shared" si="679"/>
        <v/>
      </c>
      <c r="BI122" s="9" t="str">
        <f t="shared" si="548"/>
        <v/>
      </c>
      <c r="BJ122" s="5" t="str">
        <f t="shared" si="680"/>
        <v/>
      </c>
      <c r="BK122" s="8" t="str">
        <f t="shared" si="681"/>
        <v/>
      </c>
      <c r="BL122" s="177" t="str">
        <f t="shared" si="682"/>
        <v/>
      </c>
      <c r="BM122" s="5" t="str">
        <f t="shared" si="683"/>
        <v/>
      </c>
      <c r="BN122" s="6" t="str">
        <f t="shared" si="684"/>
        <v/>
      </c>
      <c r="BO122" s="4" t="str">
        <f t="shared" si="549"/>
        <v/>
      </c>
      <c r="BP122" s="5" t="str">
        <f t="shared" si="550"/>
        <v/>
      </c>
      <c r="BQ122" s="5" t="str">
        <f t="shared" si="551"/>
        <v/>
      </c>
      <c r="BR122" s="6" t="str">
        <f t="shared" si="552"/>
        <v/>
      </c>
      <c r="BS122" s="4" t="str">
        <f t="shared" si="740"/>
        <v/>
      </c>
      <c r="BT122" s="5" t="str">
        <f t="shared" si="740"/>
        <v/>
      </c>
      <c r="BU122" s="10" t="str">
        <f t="shared" si="527"/>
        <v/>
      </c>
      <c r="BV122" s="9" t="str">
        <f t="shared" si="528"/>
        <v/>
      </c>
      <c r="BW122" s="5" t="str">
        <f t="shared" si="529"/>
        <v/>
      </c>
      <c r="BX122" s="8" t="str">
        <f t="shared" si="530"/>
        <v/>
      </c>
      <c r="BY122" s="177" t="str">
        <f t="shared" si="531"/>
        <v/>
      </c>
      <c r="BZ122" s="5" t="str">
        <f t="shared" si="532"/>
        <v/>
      </c>
      <c r="CA122" s="6" t="str">
        <f t="shared" si="533"/>
        <v/>
      </c>
      <c r="CB122" s="4" t="str">
        <f t="shared" si="553"/>
        <v/>
      </c>
      <c r="CC122" s="5" t="str">
        <f t="shared" si="554"/>
        <v/>
      </c>
      <c r="CD122" s="5" t="str">
        <f t="shared" si="555"/>
        <v/>
      </c>
      <c r="CE122" s="6" t="str">
        <f t="shared" si="556"/>
        <v/>
      </c>
      <c r="CF122" s="4" t="str">
        <f t="shared" si="557"/>
        <v/>
      </c>
      <c r="CG122" s="5" t="str">
        <f t="shared" si="558"/>
        <v/>
      </c>
      <c r="CH122" s="5" t="str">
        <f t="shared" si="559"/>
        <v/>
      </c>
      <c r="CI122" s="4" t="str">
        <f t="shared" si="534"/>
        <v/>
      </c>
      <c r="CJ122" s="5" t="str">
        <f t="shared" si="535"/>
        <v/>
      </c>
      <c r="CK122" s="8" t="str">
        <f t="shared" si="536"/>
        <v/>
      </c>
      <c r="CL122" s="177" t="str">
        <f t="shared" si="537"/>
        <v/>
      </c>
      <c r="CM122" s="5" t="str">
        <f t="shared" si="538"/>
        <v/>
      </c>
      <c r="CN122" s="6" t="str">
        <f t="shared" si="539"/>
        <v/>
      </c>
      <c r="CO122" s="171" t="str">
        <f t="shared" si="685"/>
        <v/>
      </c>
      <c r="CP122" s="4" t="str">
        <f t="shared" si="560"/>
        <v/>
      </c>
      <c r="CQ122" s="5" t="str">
        <f t="shared" si="561"/>
        <v/>
      </c>
      <c r="CR122" s="5" t="str">
        <f t="shared" si="562"/>
        <v/>
      </c>
      <c r="CS122" s="8" t="str">
        <f t="shared" si="563"/>
        <v/>
      </c>
      <c r="CT122" s="9" t="str">
        <f t="shared" si="564"/>
        <v/>
      </c>
      <c r="CU122" s="6" t="str">
        <f t="shared" si="565"/>
        <v/>
      </c>
      <c r="CV122" s="4" t="str">
        <f t="shared" si="566"/>
        <v/>
      </c>
      <c r="CW122" s="5" t="str">
        <f t="shared" si="567"/>
        <v/>
      </c>
      <c r="CX122" s="8" t="str">
        <f t="shared" si="568"/>
        <v/>
      </c>
      <c r="CY122" s="9" t="str">
        <f t="shared" si="569"/>
        <v/>
      </c>
      <c r="CZ122" s="5" t="str">
        <f t="shared" si="570"/>
        <v/>
      </c>
      <c r="DA122" s="6" t="str">
        <f t="shared" si="571"/>
        <v/>
      </c>
      <c r="DB122" s="4" t="str">
        <f t="shared" si="743"/>
        <v/>
      </c>
      <c r="DC122" s="5" t="str">
        <f t="shared" si="743"/>
        <v/>
      </c>
      <c r="DD122" s="10" t="str">
        <f t="shared" si="573"/>
        <v/>
      </c>
      <c r="DE122" s="9" t="str">
        <f t="shared" si="744"/>
        <v/>
      </c>
      <c r="DF122" s="5" t="str">
        <f t="shared" si="744"/>
        <v/>
      </c>
      <c r="DG122" s="10" t="str">
        <f t="shared" si="575"/>
        <v/>
      </c>
      <c r="DH122" s="72" t="str">
        <f t="shared" si="576"/>
        <v/>
      </c>
      <c r="DI122" s="4" t="str">
        <f t="shared" si="577"/>
        <v/>
      </c>
      <c r="DJ122" s="5" t="str">
        <f t="shared" si="578"/>
        <v/>
      </c>
      <c r="DK122" s="10" t="str">
        <f t="shared" si="579"/>
        <v/>
      </c>
      <c r="DL122" s="9" t="str">
        <f t="shared" si="580"/>
        <v/>
      </c>
      <c r="DM122" s="177" t="str">
        <f t="shared" si="581"/>
        <v/>
      </c>
      <c r="DN122" s="182" t="str">
        <f t="shared" si="582"/>
        <v/>
      </c>
      <c r="DO122" s="9" t="str">
        <f t="shared" si="583"/>
        <v/>
      </c>
      <c r="DP122" s="177" t="str">
        <f t="shared" si="584"/>
        <v/>
      </c>
      <c r="DQ122" s="11" t="str">
        <f t="shared" si="585"/>
        <v/>
      </c>
      <c r="DR122" s="177" t="str">
        <f t="shared" si="586"/>
        <v/>
      </c>
      <c r="DS122" s="5" t="str">
        <f t="shared" si="587"/>
        <v/>
      </c>
      <c r="DT122" s="5" t="str">
        <f t="shared" si="588"/>
        <v/>
      </c>
      <c r="DU122" s="5" t="str">
        <f t="shared" si="589"/>
        <v/>
      </c>
      <c r="DV122" s="5" t="str">
        <f t="shared" si="590"/>
        <v/>
      </c>
      <c r="DW122" s="5" t="str">
        <f t="shared" si="591"/>
        <v/>
      </c>
      <c r="DX122" s="171" t="str">
        <f t="shared" si="592"/>
        <v/>
      </c>
      <c r="DY122" s="9" t="str">
        <f t="shared" si="593"/>
        <v/>
      </c>
      <c r="DZ122" s="5" t="str">
        <f t="shared" si="594"/>
        <v/>
      </c>
      <c r="EA122" s="10" t="str">
        <f t="shared" si="595"/>
        <v/>
      </c>
      <c r="EB122" s="6" t="str">
        <f t="shared" si="596"/>
        <v/>
      </c>
      <c r="EC122" s="177" t="str">
        <f t="shared" si="597"/>
        <v/>
      </c>
      <c r="ED122" s="5" t="str">
        <f t="shared" si="598"/>
        <v/>
      </c>
      <c r="EE122" s="4" t="str">
        <f t="shared" si="599"/>
        <v/>
      </c>
      <c r="EF122" s="5" t="str">
        <f t="shared" si="600"/>
        <v/>
      </c>
      <c r="EG122" s="10" t="str">
        <f t="shared" si="601"/>
        <v/>
      </c>
      <c r="EH122" s="9" t="str">
        <f t="shared" si="602"/>
        <v/>
      </c>
      <c r="EI122" s="5" t="str">
        <f t="shared" si="603"/>
        <v/>
      </c>
      <c r="EJ122" s="6" t="str">
        <f t="shared" si="604"/>
        <v/>
      </c>
      <c r="EK122" s="247" t="str">
        <f t="shared" si="605"/>
        <v/>
      </c>
      <c r="EL122" s="249" t="str">
        <f t="shared" si="606"/>
        <v/>
      </c>
      <c r="EM122" s="4" t="str">
        <f t="shared" si="607"/>
        <v/>
      </c>
      <c r="EN122" s="5" t="str">
        <f t="shared" si="608"/>
        <v/>
      </c>
      <c r="EO122" s="10" t="str">
        <f t="shared" si="609"/>
        <v/>
      </c>
      <c r="EP122" s="9" t="str">
        <f t="shared" si="610"/>
        <v/>
      </c>
      <c r="EQ122" s="5" t="str">
        <f t="shared" si="611"/>
        <v/>
      </c>
      <c r="ER122" s="7" t="str">
        <f t="shared" si="612"/>
        <v/>
      </c>
      <c r="ES122" s="21" t="str">
        <f t="shared" si="686"/>
        <v/>
      </c>
      <c r="ET122" s="5" t="str">
        <f t="shared" si="687"/>
        <v/>
      </c>
      <c r="EU122" s="10" t="str">
        <f t="shared" si="688"/>
        <v/>
      </c>
      <c r="EV122" s="178" t="str">
        <f t="shared" si="689"/>
        <v/>
      </c>
      <c r="EW122" s="9" t="str">
        <f t="shared" si="690"/>
        <v/>
      </c>
      <c r="EX122" s="5" t="str">
        <f t="shared" si="691"/>
        <v/>
      </c>
      <c r="EY122" s="6" t="str">
        <f t="shared" si="613"/>
        <v/>
      </c>
      <c r="EZ122" s="52" t="str">
        <f t="shared" si="614"/>
        <v/>
      </c>
      <c r="FA122" s="177" t="str">
        <f t="shared" si="692"/>
        <v/>
      </c>
      <c r="FB122" s="5" t="str">
        <f t="shared" si="693"/>
        <v/>
      </c>
      <c r="FC122" s="6" t="str">
        <f t="shared" si="694"/>
        <v/>
      </c>
      <c r="FD122" s="4" t="str">
        <f t="shared" si="695"/>
        <v/>
      </c>
      <c r="FE122" s="5" t="str">
        <f t="shared" si="696"/>
        <v/>
      </c>
      <c r="FF122" s="7" t="str">
        <f t="shared" si="615"/>
        <v/>
      </c>
      <c r="FG122" s="177" t="str">
        <f t="shared" si="697"/>
        <v/>
      </c>
      <c r="FH122" s="5" t="str">
        <f t="shared" si="698"/>
        <v/>
      </c>
      <c r="FI122" s="10" t="str">
        <f t="shared" si="699"/>
        <v/>
      </c>
      <c r="FJ122" s="290" t="str">
        <f t="shared" si="616"/>
        <v/>
      </c>
      <c r="FK122" s="4" t="str">
        <f t="shared" si="700"/>
        <v/>
      </c>
      <c r="FL122" s="5" t="str">
        <f t="shared" si="540"/>
        <v/>
      </c>
      <c r="FM122" s="8" t="str">
        <f t="shared" si="541"/>
        <v/>
      </c>
      <c r="FN122" s="9" t="str">
        <f t="shared" si="542"/>
        <v/>
      </c>
      <c r="FO122" s="10" t="str">
        <f t="shared" si="701"/>
        <v/>
      </c>
      <c r="FP122" s="288" t="str">
        <f t="shared" si="543"/>
        <v/>
      </c>
      <c r="FQ122" s="177" t="str">
        <f t="shared" si="617"/>
        <v/>
      </c>
      <c r="FR122" s="10" t="str">
        <f t="shared" si="618"/>
        <v/>
      </c>
      <c r="FS122" s="9" t="str">
        <f t="shared" si="619"/>
        <v/>
      </c>
      <c r="FT122" s="6" t="str">
        <f t="shared" si="620"/>
        <v/>
      </c>
      <c r="FU122" s="4" t="str">
        <f t="shared" si="621"/>
        <v/>
      </c>
      <c r="FV122" s="5" t="str">
        <f t="shared" si="622"/>
        <v/>
      </c>
      <c r="FW122" s="8" t="str">
        <f t="shared" si="623"/>
        <v/>
      </c>
      <c r="FX122" s="9" t="str">
        <f t="shared" si="624"/>
        <v/>
      </c>
      <c r="FY122" s="10" t="str">
        <f t="shared" si="702"/>
        <v/>
      </c>
      <c r="FZ122" s="288" t="str">
        <f t="shared" si="625"/>
        <v/>
      </c>
      <c r="GA122" s="181" t="str">
        <f t="shared" si="626"/>
        <v/>
      </c>
      <c r="GB122" s="4" t="str">
        <f t="shared" si="627"/>
        <v/>
      </c>
      <c r="GC122" s="5" t="str">
        <f t="shared" si="628"/>
        <v/>
      </c>
      <c r="GD122" s="10" t="str">
        <f t="shared" si="629"/>
        <v/>
      </c>
      <c r="GE122" s="324" t="str">
        <f t="shared" si="630"/>
        <v/>
      </c>
      <c r="GF122" s="362" t="str">
        <f t="shared" si="631"/>
        <v/>
      </c>
      <c r="GG122" s="296" t="str">
        <f t="shared" si="703"/>
        <v/>
      </c>
      <c r="GH122" s="297" t="str">
        <f t="shared" si="704"/>
        <v/>
      </c>
      <c r="GI122" s="292" t="str">
        <f t="shared" si="705"/>
        <v/>
      </c>
      <c r="GJ122" s="171" t="str">
        <f t="shared" si="632"/>
        <v/>
      </c>
      <c r="GK122" s="178" t="str">
        <f t="shared" si="706"/>
        <v/>
      </c>
      <c r="GL122" s="178" t="str">
        <f t="shared" si="633"/>
        <v/>
      </c>
      <c r="GM122" s="181" t="str">
        <f t="shared" si="634"/>
        <v/>
      </c>
      <c r="GN122" s="291" t="str">
        <f t="shared" si="635"/>
        <v/>
      </c>
      <c r="GO122" s="4" t="str">
        <f t="shared" si="636"/>
        <v/>
      </c>
      <c r="GP122" s="8" t="str">
        <f t="shared" si="637"/>
        <v/>
      </c>
      <c r="GQ122" s="181" t="str">
        <f t="shared" si="638"/>
        <v/>
      </c>
      <c r="GR122" s="417" t="str">
        <f t="shared" si="639"/>
        <v/>
      </c>
      <c r="GS122" s="363" t="str">
        <f t="shared" si="707"/>
        <v/>
      </c>
      <c r="GT122" s="364" t="str">
        <f t="shared" si="708"/>
        <v/>
      </c>
      <c r="GU122" s="365" t="str">
        <f t="shared" si="709"/>
        <v/>
      </c>
      <c r="GV122" s="364" t="str">
        <f t="shared" si="640"/>
        <v/>
      </c>
      <c r="GW122" s="366" t="str">
        <f t="shared" si="710"/>
        <v/>
      </c>
      <c r="GX122" s="367" t="str">
        <f t="shared" si="711"/>
        <v/>
      </c>
      <c r="GY122" s="365" t="str">
        <f t="shared" si="712"/>
        <v/>
      </c>
      <c r="GZ122" s="366" t="str">
        <f t="shared" si="713"/>
        <v/>
      </c>
      <c r="HA122" s="363" t="str">
        <f t="shared" si="714"/>
        <v/>
      </c>
      <c r="HB122" s="5" t="str">
        <f t="shared" si="641"/>
        <v/>
      </c>
      <c r="HC122" s="364" t="str">
        <f t="shared" si="642"/>
        <v/>
      </c>
      <c r="HD122" s="405" t="str">
        <f t="shared" si="643"/>
        <v/>
      </c>
      <c r="HE122" s="365" t="str">
        <f t="shared" si="715"/>
        <v/>
      </c>
      <c r="HF122" s="5" t="str">
        <f t="shared" si="716"/>
        <v/>
      </c>
      <c r="HG122" s="364" t="str">
        <f t="shared" si="644"/>
        <v/>
      </c>
      <c r="HH122" s="370" t="str">
        <f t="shared" si="645"/>
        <v/>
      </c>
      <c r="HI122" s="335" t="str">
        <f t="shared" si="717"/>
        <v/>
      </c>
      <c r="HK122" s="323" t="str">
        <f t="shared" si="664"/>
        <v/>
      </c>
      <c r="HL122" s="322" t="str">
        <f t="shared" si="741"/>
        <v/>
      </c>
      <c r="HM122" s="369" t="str">
        <f t="shared" si="747"/>
        <v/>
      </c>
      <c r="HN122" s="384" t="str">
        <f t="shared" si="747"/>
        <v/>
      </c>
      <c r="HO122" s="385" t="str">
        <f t="shared" si="747"/>
        <v/>
      </c>
      <c r="HP122" s="380" t="str">
        <f t="shared" si="747"/>
        <v/>
      </c>
      <c r="HQ122" s="384" t="str">
        <f t="shared" si="747"/>
        <v/>
      </c>
      <c r="HR122" s="395" t="str">
        <f t="shared" si="747"/>
        <v/>
      </c>
      <c r="HS122" s="379" t="str">
        <f t="shared" si="747"/>
        <v/>
      </c>
      <c r="HT122" s="374" t="str">
        <f t="shared" si="747"/>
        <v/>
      </c>
      <c r="HU122" s="375" t="str">
        <f t="shared" si="747"/>
        <v/>
      </c>
      <c r="HV122" s="376" t="str">
        <f t="shared" si="747"/>
        <v/>
      </c>
      <c r="HW122" s="374" t="str">
        <f t="shared" si="747"/>
        <v/>
      </c>
      <c r="HX122" s="375" t="str">
        <f t="shared" si="747"/>
        <v/>
      </c>
      <c r="HY122" s="376" t="str">
        <f t="shared" si="747"/>
        <v/>
      </c>
      <c r="HZ122" s="374" t="str">
        <f t="shared" si="747"/>
        <v/>
      </c>
      <c r="IA122" s="375" t="str">
        <f t="shared" si="747"/>
        <v/>
      </c>
      <c r="IE122" s="849" t="str">
        <f>IFERROR(IF($IU122="","",IF($IU122&lt;(((Settings!$C$19/2)*-1)*$IE$8),"Taper","Nose")),"")</f>
        <v>Taper</v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6"/>
        <v>6.258</v>
      </c>
      <c r="IH122" s="731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0.158</v>
      </c>
      <c r="II122" s="734" cm="1">
        <f t="array" ref="II122">IFERROR(ROUND(VALUE(IF($IH122&lt;1,$IH122+LARGE((IF($M$9:$M$150="",0,$M$9:$M$150)-MOD(IF($M$9:$M$150="",0,$M$9:$M$150),1)),1),$IH122)),4),"")</f>
        <v>6.1580000000000004</v>
      </c>
      <c r="IJ122" s="533">
        <f t="shared" si="545"/>
        <v>1613</v>
      </c>
      <c r="IK122" s="533" t="str">
        <f t="shared" si="718"/>
        <v>Inactive</v>
      </c>
      <c r="IL122" s="727">
        <f t="shared" si="651"/>
        <v>15.505197292084532</v>
      </c>
      <c r="IM122" s="759">
        <v>2.0455188191882101E-4</v>
      </c>
      <c r="IN122" s="5">
        <f t="shared" si="652"/>
        <v>0</v>
      </c>
      <c r="IO122" s="771">
        <v>0</v>
      </c>
      <c r="IP122" s="9">
        <f t="shared" si="653"/>
        <v>-7.0251211877655022</v>
      </c>
      <c r="IQ122" s="5">
        <f t="shared" si="654"/>
        <v>-3.2026096590707316</v>
      </c>
      <c r="IR122" s="5">
        <f t="shared" si="719"/>
        <v>0.314</v>
      </c>
      <c r="IS122" s="5">
        <f t="shared" si="655"/>
        <v>0.25149572582792562</v>
      </c>
      <c r="IT122" s="727">
        <f t="shared" si="656"/>
        <v>84.899933641766737</v>
      </c>
      <c r="IU122" s="9">
        <f t="shared" si="657"/>
        <v>-7.0260211904799119</v>
      </c>
      <c r="IV122" s="5">
        <f t="shared" si="658"/>
        <v>-3.2125096889292215</v>
      </c>
      <c r="IW122" s="5">
        <f t="shared" si="720"/>
        <v>0.26250000000000001</v>
      </c>
      <c r="IX122" s="5">
        <f t="shared" si="659"/>
        <v>0.26250000000000001</v>
      </c>
      <c r="IY122" s="762">
        <f t="shared" si="660"/>
        <v>64.399990701791779</v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5"/>
        <v/>
      </c>
      <c r="N123" s="632" t="str">
        <f t="shared" si="666"/>
        <v/>
      </c>
      <c r="O123" s="629" t="str">
        <f t="shared" si="667"/>
        <v/>
      </c>
      <c r="P123" s="633" t="str">
        <f t="shared" si="668"/>
        <v/>
      </c>
      <c r="Q123" s="585" t="str">
        <f t="shared" si="523"/>
        <v/>
      </c>
      <c r="R123" s="629" t="str">
        <f t="shared" si="721"/>
        <v/>
      </c>
      <c r="S123" s="634" t="str">
        <f t="shared" si="722"/>
        <v/>
      </c>
      <c r="T123" s="635" t="str">
        <f t="shared" si="723"/>
        <v/>
      </c>
      <c r="U123" s="629" t="str">
        <f t="shared" si="724"/>
        <v/>
      </c>
      <c r="V123" s="636" t="str">
        <f t="shared" si="725"/>
        <v/>
      </c>
      <c r="W123" s="585" t="str">
        <f t="shared" si="648"/>
        <v/>
      </c>
      <c r="X123" s="629" t="str">
        <f t="shared" si="726"/>
        <v/>
      </c>
      <c r="Y123" s="630" t="str">
        <f t="shared" si="647"/>
        <v/>
      </c>
      <c r="Z123" s="632" t="str">
        <f t="shared" si="669"/>
        <v/>
      </c>
      <c r="AA123" s="629" t="str">
        <f t="shared" si="670"/>
        <v/>
      </c>
      <c r="AB123" s="629" t="str">
        <f t="shared" si="671"/>
        <v/>
      </c>
      <c r="AC123" s="636" t="str">
        <f t="shared" si="727"/>
        <v/>
      </c>
      <c r="AD123" s="637" t="str">
        <f t="shared" si="728"/>
        <v/>
      </c>
      <c r="AE123" s="629" t="str">
        <f t="shared" si="729"/>
        <v/>
      </c>
      <c r="AF123" s="633" t="str">
        <f t="shared" si="730"/>
        <v/>
      </c>
      <c r="AG123" s="602" t="str">
        <f t="shared" si="731"/>
        <v/>
      </c>
      <c r="AH123" s="603" t="str">
        <f t="shared" si="732"/>
        <v/>
      </c>
      <c r="AI123" s="585" t="str">
        <f t="shared" si="733"/>
        <v/>
      </c>
      <c r="AJ123" s="586" t="str">
        <f t="shared" si="734"/>
        <v/>
      </c>
      <c r="AK123" s="635" t="str">
        <f t="shared" si="735"/>
        <v/>
      </c>
      <c r="AL123" s="629" t="str">
        <f t="shared" si="736"/>
        <v/>
      </c>
      <c r="AM123" s="634" t="str">
        <f t="shared" si="737"/>
        <v/>
      </c>
      <c r="AN123" s="581" t="str">
        <f t="shared" si="738"/>
        <v/>
      </c>
      <c r="AO123" s="582" t="str">
        <f t="shared" si="748"/>
        <v/>
      </c>
      <c r="AP123" s="585" t="str">
        <f t="shared" si="739"/>
        <v/>
      </c>
      <c r="AQ123" s="586" t="str">
        <f t="shared" si="672"/>
        <v/>
      </c>
      <c r="AS123" s="52" t="str">
        <f t="shared" si="742"/>
        <v/>
      </c>
      <c r="AT123" s="73" t="str">
        <f t="shared" si="673"/>
        <v/>
      </c>
      <c r="AU123" s="469"/>
      <c r="AV123" s="168" t="str">
        <f t="shared" si="674"/>
        <v/>
      </c>
      <c r="AW123" s="418"/>
      <c r="AX123" s="419"/>
      <c r="AY123" s="420"/>
      <c r="AZ123" s="308" t="str">
        <f t="shared" si="547"/>
        <v/>
      </c>
      <c r="BA123" s="307" t="str">
        <f t="shared" si="675"/>
        <v/>
      </c>
      <c r="BB123" s="181" t="str">
        <f t="shared" si="524"/>
        <v/>
      </c>
      <c r="BC123" s="9"/>
      <c r="BD123" s="5" t="str">
        <f t="shared" si="525"/>
        <v/>
      </c>
      <c r="BE123" s="6" t="str">
        <f t="shared" si="676"/>
        <v/>
      </c>
      <c r="BF123" s="4" t="str">
        <f t="shared" si="677"/>
        <v/>
      </c>
      <c r="BG123" s="5" t="str">
        <f t="shared" si="678"/>
        <v/>
      </c>
      <c r="BH123" s="10" t="str">
        <f t="shared" si="679"/>
        <v/>
      </c>
      <c r="BI123" s="9" t="str">
        <f t="shared" si="548"/>
        <v/>
      </c>
      <c r="BJ123" s="5" t="str">
        <f t="shared" si="680"/>
        <v/>
      </c>
      <c r="BK123" s="8" t="str">
        <f t="shared" si="681"/>
        <v/>
      </c>
      <c r="BL123" s="177" t="str">
        <f t="shared" si="682"/>
        <v/>
      </c>
      <c r="BM123" s="5" t="str">
        <f t="shared" si="683"/>
        <v/>
      </c>
      <c r="BN123" s="6" t="str">
        <f t="shared" si="684"/>
        <v/>
      </c>
      <c r="BO123" s="4" t="str">
        <f t="shared" si="549"/>
        <v/>
      </c>
      <c r="BP123" s="5" t="str">
        <f t="shared" si="550"/>
        <v/>
      </c>
      <c r="BQ123" s="5" t="str">
        <f t="shared" si="551"/>
        <v/>
      </c>
      <c r="BR123" s="6" t="str">
        <f t="shared" si="552"/>
        <v/>
      </c>
      <c r="BS123" s="4" t="str">
        <f t="shared" si="740"/>
        <v/>
      </c>
      <c r="BT123" s="5" t="str">
        <f t="shared" si="740"/>
        <v/>
      </c>
      <c r="BU123" s="10" t="str">
        <f t="shared" si="527"/>
        <v/>
      </c>
      <c r="BV123" s="9" t="str">
        <f t="shared" si="528"/>
        <v/>
      </c>
      <c r="BW123" s="5" t="str">
        <f t="shared" si="529"/>
        <v/>
      </c>
      <c r="BX123" s="8" t="str">
        <f t="shared" si="530"/>
        <v/>
      </c>
      <c r="BY123" s="177" t="str">
        <f t="shared" si="531"/>
        <v/>
      </c>
      <c r="BZ123" s="5" t="str">
        <f t="shared" si="532"/>
        <v/>
      </c>
      <c r="CA123" s="6" t="str">
        <f t="shared" si="533"/>
        <v/>
      </c>
      <c r="CB123" s="4" t="str">
        <f t="shared" si="553"/>
        <v/>
      </c>
      <c r="CC123" s="5" t="str">
        <f t="shared" si="554"/>
        <v/>
      </c>
      <c r="CD123" s="5" t="str">
        <f t="shared" si="555"/>
        <v/>
      </c>
      <c r="CE123" s="6" t="str">
        <f t="shared" si="556"/>
        <v/>
      </c>
      <c r="CF123" s="4" t="str">
        <f t="shared" si="557"/>
        <v/>
      </c>
      <c r="CG123" s="5" t="str">
        <f t="shared" si="558"/>
        <v/>
      </c>
      <c r="CH123" s="5" t="str">
        <f t="shared" si="559"/>
        <v/>
      </c>
      <c r="CI123" s="4" t="str">
        <f t="shared" si="534"/>
        <v/>
      </c>
      <c r="CJ123" s="5" t="str">
        <f t="shared" si="535"/>
        <v/>
      </c>
      <c r="CK123" s="8" t="str">
        <f t="shared" si="536"/>
        <v/>
      </c>
      <c r="CL123" s="177" t="str">
        <f t="shared" si="537"/>
        <v/>
      </c>
      <c r="CM123" s="5" t="str">
        <f t="shared" si="538"/>
        <v/>
      </c>
      <c r="CN123" s="6" t="str">
        <f t="shared" si="539"/>
        <v/>
      </c>
      <c r="CO123" s="171" t="str">
        <f t="shared" si="685"/>
        <v/>
      </c>
      <c r="CP123" s="4" t="str">
        <f t="shared" si="560"/>
        <v/>
      </c>
      <c r="CQ123" s="5" t="str">
        <f t="shared" si="561"/>
        <v/>
      </c>
      <c r="CR123" s="5" t="str">
        <f t="shared" si="562"/>
        <v/>
      </c>
      <c r="CS123" s="8" t="str">
        <f t="shared" si="563"/>
        <v/>
      </c>
      <c r="CT123" s="9" t="str">
        <f t="shared" si="564"/>
        <v/>
      </c>
      <c r="CU123" s="6" t="str">
        <f t="shared" si="565"/>
        <v/>
      </c>
      <c r="CV123" s="4" t="str">
        <f t="shared" si="566"/>
        <v/>
      </c>
      <c r="CW123" s="5" t="str">
        <f t="shared" si="567"/>
        <v/>
      </c>
      <c r="CX123" s="8" t="str">
        <f t="shared" si="568"/>
        <v/>
      </c>
      <c r="CY123" s="9" t="str">
        <f t="shared" si="569"/>
        <v/>
      </c>
      <c r="CZ123" s="5" t="str">
        <f t="shared" si="570"/>
        <v/>
      </c>
      <c r="DA123" s="6" t="str">
        <f t="shared" si="571"/>
        <v/>
      </c>
      <c r="DB123" s="4" t="str">
        <f t="shared" si="743"/>
        <v/>
      </c>
      <c r="DC123" s="5" t="str">
        <f t="shared" si="743"/>
        <v/>
      </c>
      <c r="DD123" s="10" t="str">
        <f t="shared" si="573"/>
        <v/>
      </c>
      <c r="DE123" s="9" t="str">
        <f t="shared" si="744"/>
        <v/>
      </c>
      <c r="DF123" s="5" t="str">
        <f t="shared" si="744"/>
        <v/>
      </c>
      <c r="DG123" s="10" t="str">
        <f t="shared" si="575"/>
        <v/>
      </c>
      <c r="DH123" s="72" t="str">
        <f t="shared" si="576"/>
        <v/>
      </c>
      <c r="DI123" s="4" t="str">
        <f t="shared" si="577"/>
        <v/>
      </c>
      <c r="DJ123" s="5" t="str">
        <f t="shared" si="578"/>
        <v/>
      </c>
      <c r="DK123" s="10" t="str">
        <f t="shared" si="579"/>
        <v/>
      </c>
      <c r="DL123" s="9" t="str">
        <f t="shared" si="580"/>
        <v/>
      </c>
      <c r="DM123" s="177" t="str">
        <f t="shared" si="581"/>
        <v/>
      </c>
      <c r="DN123" s="182" t="str">
        <f t="shared" si="582"/>
        <v/>
      </c>
      <c r="DO123" s="9" t="str">
        <f t="shared" si="583"/>
        <v/>
      </c>
      <c r="DP123" s="177" t="str">
        <f t="shared" si="584"/>
        <v/>
      </c>
      <c r="DQ123" s="11" t="str">
        <f t="shared" si="585"/>
        <v/>
      </c>
      <c r="DR123" s="177" t="str">
        <f t="shared" si="586"/>
        <v/>
      </c>
      <c r="DS123" s="5" t="str">
        <f t="shared" si="587"/>
        <v/>
      </c>
      <c r="DT123" s="5" t="str">
        <f t="shared" si="588"/>
        <v/>
      </c>
      <c r="DU123" s="5" t="str">
        <f t="shared" si="589"/>
        <v/>
      </c>
      <c r="DV123" s="5" t="str">
        <f t="shared" si="590"/>
        <v/>
      </c>
      <c r="DW123" s="5" t="str">
        <f t="shared" si="591"/>
        <v/>
      </c>
      <c r="DX123" s="171" t="str">
        <f t="shared" si="592"/>
        <v/>
      </c>
      <c r="DY123" s="9" t="str">
        <f t="shared" si="593"/>
        <v/>
      </c>
      <c r="DZ123" s="5" t="str">
        <f t="shared" si="594"/>
        <v/>
      </c>
      <c r="EA123" s="10" t="str">
        <f t="shared" si="595"/>
        <v/>
      </c>
      <c r="EB123" s="6" t="str">
        <f t="shared" si="596"/>
        <v/>
      </c>
      <c r="EC123" s="177" t="str">
        <f t="shared" si="597"/>
        <v/>
      </c>
      <c r="ED123" s="5" t="str">
        <f t="shared" si="598"/>
        <v/>
      </c>
      <c r="EE123" s="4" t="str">
        <f t="shared" si="599"/>
        <v/>
      </c>
      <c r="EF123" s="5" t="str">
        <f t="shared" si="600"/>
        <v/>
      </c>
      <c r="EG123" s="10" t="str">
        <f t="shared" si="601"/>
        <v/>
      </c>
      <c r="EH123" s="9" t="str">
        <f t="shared" si="602"/>
        <v/>
      </c>
      <c r="EI123" s="5" t="str">
        <f t="shared" si="603"/>
        <v/>
      </c>
      <c r="EJ123" s="6" t="str">
        <f t="shared" si="604"/>
        <v/>
      </c>
      <c r="EK123" s="247" t="str">
        <f t="shared" si="605"/>
        <v/>
      </c>
      <c r="EL123" s="249" t="str">
        <f t="shared" si="606"/>
        <v/>
      </c>
      <c r="EM123" s="4" t="str">
        <f t="shared" si="607"/>
        <v/>
      </c>
      <c r="EN123" s="5" t="str">
        <f t="shared" si="608"/>
        <v/>
      </c>
      <c r="EO123" s="10" t="str">
        <f t="shared" si="609"/>
        <v/>
      </c>
      <c r="EP123" s="9" t="str">
        <f t="shared" si="610"/>
        <v/>
      </c>
      <c r="EQ123" s="5" t="str">
        <f t="shared" si="611"/>
        <v/>
      </c>
      <c r="ER123" s="7" t="str">
        <f t="shared" si="612"/>
        <v/>
      </c>
      <c r="ES123" s="21" t="str">
        <f t="shared" si="686"/>
        <v/>
      </c>
      <c r="ET123" s="5" t="str">
        <f t="shared" si="687"/>
        <v/>
      </c>
      <c r="EU123" s="10" t="str">
        <f t="shared" si="688"/>
        <v/>
      </c>
      <c r="EV123" s="178" t="str">
        <f t="shared" si="689"/>
        <v/>
      </c>
      <c r="EW123" s="9" t="str">
        <f t="shared" si="690"/>
        <v/>
      </c>
      <c r="EX123" s="5" t="str">
        <f t="shared" si="691"/>
        <v/>
      </c>
      <c r="EY123" s="6" t="str">
        <f t="shared" si="613"/>
        <v/>
      </c>
      <c r="EZ123" s="52" t="str">
        <f t="shared" si="614"/>
        <v/>
      </c>
      <c r="FA123" s="177" t="str">
        <f t="shared" si="692"/>
        <v/>
      </c>
      <c r="FB123" s="5" t="str">
        <f t="shared" si="693"/>
        <v/>
      </c>
      <c r="FC123" s="6" t="str">
        <f t="shared" si="694"/>
        <v/>
      </c>
      <c r="FD123" s="4" t="str">
        <f t="shared" si="695"/>
        <v/>
      </c>
      <c r="FE123" s="5" t="str">
        <f t="shared" si="696"/>
        <v/>
      </c>
      <c r="FF123" s="7" t="str">
        <f t="shared" si="615"/>
        <v/>
      </c>
      <c r="FG123" s="177" t="str">
        <f t="shared" si="697"/>
        <v/>
      </c>
      <c r="FH123" s="5" t="str">
        <f t="shared" si="698"/>
        <v/>
      </c>
      <c r="FI123" s="10" t="str">
        <f t="shared" si="699"/>
        <v/>
      </c>
      <c r="FJ123" s="290" t="str">
        <f t="shared" si="616"/>
        <v/>
      </c>
      <c r="FK123" s="4" t="str">
        <f t="shared" si="700"/>
        <v/>
      </c>
      <c r="FL123" s="5" t="str">
        <f t="shared" si="540"/>
        <v/>
      </c>
      <c r="FM123" s="8" t="str">
        <f t="shared" si="541"/>
        <v/>
      </c>
      <c r="FN123" s="9" t="str">
        <f t="shared" si="542"/>
        <v/>
      </c>
      <c r="FO123" s="10" t="str">
        <f t="shared" si="701"/>
        <v/>
      </c>
      <c r="FP123" s="288" t="str">
        <f t="shared" si="543"/>
        <v/>
      </c>
      <c r="FQ123" s="177" t="str">
        <f t="shared" si="617"/>
        <v/>
      </c>
      <c r="FR123" s="10" t="str">
        <f t="shared" si="618"/>
        <v/>
      </c>
      <c r="FS123" s="9" t="str">
        <f t="shared" si="619"/>
        <v/>
      </c>
      <c r="FT123" s="6" t="str">
        <f t="shared" si="620"/>
        <v/>
      </c>
      <c r="FU123" s="4" t="str">
        <f t="shared" si="621"/>
        <v/>
      </c>
      <c r="FV123" s="5" t="str">
        <f t="shared" si="622"/>
        <v/>
      </c>
      <c r="FW123" s="8" t="str">
        <f t="shared" si="623"/>
        <v/>
      </c>
      <c r="FX123" s="9" t="str">
        <f t="shared" si="624"/>
        <v/>
      </c>
      <c r="FY123" s="10" t="str">
        <f t="shared" si="702"/>
        <v/>
      </c>
      <c r="FZ123" s="288" t="str">
        <f t="shared" si="625"/>
        <v/>
      </c>
      <c r="GA123" s="181" t="str">
        <f t="shared" si="626"/>
        <v/>
      </c>
      <c r="GB123" s="4" t="str">
        <f t="shared" si="627"/>
        <v/>
      </c>
      <c r="GC123" s="5" t="str">
        <f t="shared" si="628"/>
        <v/>
      </c>
      <c r="GD123" s="10" t="str">
        <f t="shared" si="629"/>
        <v/>
      </c>
      <c r="GE123" s="324" t="str">
        <f t="shared" si="630"/>
        <v/>
      </c>
      <c r="GF123" s="362" t="str">
        <f t="shared" si="631"/>
        <v/>
      </c>
      <c r="GG123" s="296" t="str">
        <f t="shared" si="703"/>
        <v/>
      </c>
      <c r="GH123" s="297" t="str">
        <f t="shared" si="704"/>
        <v/>
      </c>
      <c r="GI123" s="292" t="str">
        <f t="shared" si="705"/>
        <v/>
      </c>
      <c r="GJ123" s="171" t="str">
        <f t="shared" si="632"/>
        <v/>
      </c>
      <c r="GK123" s="178" t="str">
        <f t="shared" si="706"/>
        <v/>
      </c>
      <c r="GL123" s="178" t="str">
        <f t="shared" si="633"/>
        <v/>
      </c>
      <c r="GM123" s="181" t="str">
        <f t="shared" si="634"/>
        <v/>
      </c>
      <c r="GN123" s="291" t="str">
        <f t="shared" si="635"/>
        <v/>
      </c>
      <c r="GO123" s="4" t="str">
        <f t="shared" si="636"/>
        <v/>
      </c>
      <c r="GP123" s="8" t="str">
        <f t="shared" si="637"/>
        <v/>
      </c>
      <c r="GQ123" s="181" t="str">
        <f t="shared" si="638"/>
        <v/>
      </c>
      <c r="GR123" s="417" t="str">
        <f t="shared" si="639"/>
        <v/>
      </c>
      <c r="GS123" s="363" t="str">
        <f t="shared" si="707"/>
        <v/>
      </c>
      <c r="GT123" s="364" t="str">
        <f t="shared" si="708"/>
        <v/>
      </c>
      <c r="GU123" s="365" t="str">
        <f t="shared" si="709"/>
        <v/>
      </c>
      <c r="GV123" s="364" t="str">
        <f t="shared" si="640"/>
        <v/>
      </c>
      <c r="GW123" s="366" t="str">
        <f t="shared" si="710"/>
        <v/>
      </c>
      <c r="GX123" s="367" t="str">
        <f t="shared" si="711"/>
        <v/>
      </c>
      <c r="GY123" s="365" t="str">
        <f t="shared" si="712"/>
        <v/>
      </c>
      <c r="GZ123" s="366" t="str">
        <f t="shared" si="713"/>
        <v/>
      </c>
      <c r="HA123" s="363" t="str">
        <f t="shared" si="714"/>
        <v/>
      </c>
      <c r="HB123" s="5" t="str">
        <f t="shared" si="641"/>
        <v/>
      </c>
      <c r="HC123" s="364" t="str">
        <f t="shared" si="642"/>
        <v/>
      </c>
      <c r="HD123" s="405" t="str">
        <f t="shared" si="643"/>
        <v/>
      </c>
      <c r="HE123" s="365" t="str">
        <f t="shared" si="715"/>
        <v/>
      </c>
      <c r="HF123" s="5" t="str">
        <f t="shared" si="716"/>
        <v/>
      </c>
      <c r="HG123" s="364" t="str">
        <f t="shared" si="644"/>
        <v/>
      </c>
      <c r="HH123" s="370" t="str">
        <f t="shared" si="645"/>
        <v/>
      </c>
      <c r="HI123" s="335" t="str">
        <f t="shared" si="717"/>
        <v/>
      </c>
      <c r="HK123" s="323" t="str">
        <f t="shared" si="664"/>
        <v/>
      </c>
      <c r="HL123" s="322" t="str">
        <f t="shared" si="741"/>
        <v/>
      </c>
      <c r="HM123" s="369" t="str">
        <f t="shared" si="747"/>
        <v/>
      </c>
      <c r="HN123" s="384" t="str">
        <f t="shared" si="747"/>
        <v/>
      </c>
      <c r="HO123" s="385" t="str">
        <f t="shared" si="747"/>
        <v/>
      </c>
      <c r="HP123" s="380" t="str">
        <f t="shared" si="747"/>
        <v/>
      </c>
      <c r="HQ123" s="384" t="str">
        <f t="shared" si="747"/>
        <v/>
      </c>
      <c r="HR123" s="395" t="str">
        <f t="shared" si="747"/>
        <v/>
      </c>
      <c r="HS123" s="379" t="str">
        <f t="shared" si="747"/>
        <v/>
      </c>
      <c r="HT123" s="374" t="str">
        <f t="shared" si="747"/>
        <v/>
      </c>
      <c r="HU123" s="375" t="str">
        <f t="shared" si="747"/>
        <v/>
      </c>
      <c r="HV123" s="376" t="str">
        <f t="shared" si="747"/>
        <v/>
      </c>
      <c r="HW123" s="374" t="str">
        <f t="shared" si="747"/>
        <v/>
      </c>
      <c r="HX123" s="375" t="str">
        <f t="shared" si="747"/>
        <v/>
      </c>
      <c r="HY123" s="376" t="str">
        <f t="shared" si="747"/>
        <v/>
      </c>
      <c r="HZ123" s="374" t="str">
        <f t="shared" si="747"/>
        <v/>
      </c>
      <c r="IA123" s="375" t="str">
        <f t="shared" si="747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6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5"/>
        <v/>
      </c>
      <c r="IK123" s="533" t="str">
        <f t="shared" si="718"/>
        <v/>
      </c>
      <c r="IL123" s="727" t="str">
        <f t="shared" si="651"/>
        <v/>
      </c>
      <c r="IM123" s="759"/>
      <c r="IN123" s="5" t="str">
        <f t="shared" si="652"/>
        <v/>
      </c>
      <c r="IO123" s="771"/>
      <c r="IP123" s="9" t="str">
        <f t="shared" si="653"/>
        <v/>
      </c>
      <c r="IQ123" s="5" t="str">
        <f t="shared" si="654"/>
        <v/>
      </c>
      <c r="IR123" s="5" t="str">
        <f t="shared" si="719"/>
        <v/>
      </c>
      <c r="IS123" s="5" t="str">
        <f t="shared" si="655"/>
        <v/>
      </c>
      <c r="IT123" s="727" t="str">
        <f t="shared" si="656"/>
        <v/>
      </c>
      <c r="IU123" s="9" t="str">
        <f t="shared" si="657"/>
        <v/>
      </c>
      <c r="IV123" s="5" t="str">
        <f t="shared" si="658"/>
        <v/>
      </c>
      <c r="IW123" s="5" t="str">
        <f t="shared" si="720"/>
        <v/>
      </c>
      <c r="IX123" s="5" t="str">
        <f t="shared" si="659"/>
        <v/>
      </c>
      <c r="IY123" s="762" t="str">
        <f t="shared" si="660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5"/>
        <v/>
      </c>
      <c r="N124" s="632" t="str">
        <f t="shared" si="666"/>
        <v/>
      </c>
      <c r="O124" s="629" t="str">
        <f t="shared" si="667"/>
        <v/>
      </c>
      <c r="P124" s="633" t="str">
        <f t="shared" si="668"/>
        <v/>
      </c>
      <c r="Q124" s="585" t="str">
        <f t="shared" si="523"/>
        <v/>
      </c>
      <c r="R124" s="629" t="str">
        <f t="shared" si="721"/>
        <v/>
      </c>
      <c r="S124" s="634" t="str">
        <f t="shared" si="722"/>
        <v/>
      </c>
      <c r="T124" s="635" t="str">
        <f t="shared" si="723"/>
        <v/>
      </c>
      <c r="U124" s="629" t="str">
        <f t="shared" si="724"/>
        <v/>
      </c>
      <c r="V124" s="636" t="str">
        <f t="shared" si="725"/>
        <v/>
      </c>
      <c r="W124" s="585" t="str">
        <f t="shared" si="648"/>
        <v/>
      </c>
      <c r="X124" s="629" t="str">
        <f t="shared" si="726"/>
        <v/>
      </c>
      <c r="Y124" s="630" t="str">
        <f t="shared" si="647"/>
        <v/>
      </c>
      <c r="Z124" s="632" t="str">
        <f t="shared" si="669"/>
        <v/>
      </c>
      <c r="AA124" s="629" t="str">
        <f t="shared" si="670"/>
        <v/>
      </c>
      <c r="AB124" s="629" t="str">
        <f t="shared" si="671"/>
        <v/>
      </c>
      <c r="AC124" s="636" t="str">
        <f t="shared" si="727"/>
        <v/>
      </c>
      <c r="AD124" s="637" t="str">
        <f t="shared" si="728"/>
        <v/>
      </c>
      <c r="AE124" s="629" t="str">
        <f t="shared" si="729"/>
        <v/>
      </c>
      <c r="AF124" s="633" t="str">
        <f t="shared" si="730"/>
        <v/>
      </c>
      <c r="AG124" s="602" t="str">
        <f t="shared" si="731"/>
        <v/>
      </c>
      <c r="AH124" s="603" t="str">
        <f t="shared" si="732"/>
        <v/>
      </c>
      <c r="AI124" s="585" t="str">
        <f t="shared" si="733"/>
        <v/>
      </c>
      <c r="AJ124" s="586" t="str">
        <f t="shared" si="734"/>
        <v/>
      </c>
      <c r="AK124" s="635" t="str">
        <f t="shared" si="735"/>
        <v/>
      </c>
      <c r="AL124" s="629" t="str">
        <f t="shared" si="736"/>
        <v/>
      </c>
      <c r="AM124" s="634" t="str">
        <f t="shared" si="737"/>
        <v/>
      </c>
      <c r="AN124" s="581" t="str">
        <f t="shared" si="738"/>
        <v/>
      </c>
      <c r="AO124" s="582" t="str">
        <f t="shared" si="748"/>
        <v/>
      </c>
      <c r="AP124" s="585" t="str">
        <f t="shared" si="739"/>
        <v/>
      </c>
      <c r="AQ124" s="586" t="str">
        <f t="shared" si="672"/>
        <v/>
      </c>
      <c r="AS124" s="52" t="str">
        <f t="shared" si="742"/>
        <v/>
      </c>
      <c r="AT124" s="73" t="str">
        <f t="shared" si="673"/>
        <v/>
      </c>
      <c r="AU124" s="469"/>
      <c r="AV124" s="168" t="str">
        <f t="shared" si="674"/>
        <v/>
      </c>
      <c r="AW124" s="418"/>
      <c r="AX124" s="419"/>
      <c r="AY124" s="420"/>
      <c r="AZ124" s="308" t="str">
        <f t="shared" si="547"/>
        <v/>
      </c>
      <c r="BA124" s="307" t="str">
        <f t="shared" si="675"/>
        <v/>
      </c>
      <c r="BB124" s="181" t="str">
        <f t="shared" si="524"/>
        <v/>
      </c>
      <c r="BC124" s="9"/>
      <c r="BD124" s="5" t="str">
        <f t="shared" si="525"/>
        <v/>
      </c>
      <c r="BE124" s="6" t="str">
        <f t="shared" si="676"/>
        <v/>
      </c>
      <c r="BF124" s="4" t="str">
        <f t="shared" si="677"/>
        <v/>
      </c>
      <c r="BG124" s="5" t="str">
        <f t="shared" si="678"/>
        <v/>
      </c>
      <c r="BH124" s="10" t="str">
        <f t="shared" si="679"/>
        <v/>
      </c>
      <c r="BI124" s="9" t="str">
        <f t="shared" si="548"/>
        <v/>
      </c>
      <c r="BJ124" s="5" t="str">
        <f t="shared" si="680"/>
        <v/>
      </c>
      <c r="BK124" s="8" t="str">
        <f t="shared" si="681"/>
        <v/>
      </c>
      <c r="BL124" s="177" t="str">
        <f t="shared" si="682"/>
        <v/>
      </c>
      <c r="BM124" s="5" t="str">
        <f t="shared" si="683"/>
        <v/>
      </c>
      <c r="BN124" s="6" t="str">
        <f t="shared" si="684"/>
        <v/>
      </c>
      <c r="BO124" s="4" t="str">
        <f t="shared" si="549"/>
        <v/>
      </c>
      <c r="BP124" s="5" t="str">
        <f t="shared" si="550"/>
        <v/>
      </c>
      <c r="BQ124" s="5" t="str">
        <f t="shared" si="551"/>
        <v/>
      </c>
      <c r="BR124" s="6" t="str">
        <f t="shared" si="552"/>
        <v/>
      </c>
      <c r="BS124" s="4" t="str">
        <f t="shared" si="740"/>
        <v/>
      </c>
      <c r="BT124" s="5" t="str">
        <f t="shared" si="740"/>
        <v/>
      </c>
      <c r="BU124" s="10" t="str">
        <f t="shared" si="527"/>
        <v/>
      </c>
      <c r="BV124" s="9" t="str">
        <f t="shared" si="528"/>
        <v/>
      </c>
      <c r="BW124" s="5" t="str">
        <f t="shared" si="529"/>
        <v/>
      </c>
      <c r="BX124" s="8" t="str">
        <f t="shared" si="530"/>
        <v/>
      </c>
      <c r="BY124" s="177" t="str">
        <f t="shared" si="531"/>
        <v/>
      </c>
      <c r="BZ124" s="5" t="str">
        <f t="shared" si="532"/>
        <v/>
      </c>
      <c r="CA124" s="6" t="str">
        <f t="shared" si="533"/>
        <v/>
      </c>
      <c r="CB124" s="4" t="str">
        <f t="shared" si="553"/>
        <v/>
      </c>
      <c r="CC124" s="5" t="str">
        <f t="shared" si="554"/>
        <v/>
      </c>
      <c r="CD124" s="5" t="str">
        <f t="shared" si="555"/>
        <v/>
      </c>
      <c r="CE124" s="6" t="str">
        <f t="shared" si="556"/>
        <v/>
      </c>
      <c r="CF124" s="4" t="str">
        <f t="shared" si="557"/>
        <v/>
      </c>
      <c r="CG124" s="5" t="str">
        <f t="shared" si="558"/>
        <v/>
      </c>
      <c r="CH124" s="5" t="str">
        <f t="shared" si="559"/>
        <v/>
      </c>
      <c r="CI124" s="4" t="str">
        <f t="shared" si="534"/>
        <v/>
      </c>
      <c r="CJ124" s="5" t="str">
        <f t="shared" si="535"/>
        <v/>
      </c>
      <c r="CK124" s="8" t="str">
        <f t="shared" si="536"/>
        <v/>
      </c>
      <c r="CL124" s="177" t="str">
        <f t="shared" si="537"/>
        <v/>
      </c>
      <c r="CM124" s="5" t="str">
        <f t="shared" si="538"/>
        <v/>
      </c>
      <c r="CN124" s="6" t="str">
        <f t="shared" si="539"/>
        <v/>
      </c>
      <c r="CO124" s="171" t="str">
        <f t="shared" si="685"/>
        <v/>
      </c>
      <c r="CP124" s="4" t="str">
        <f t="shared" si="560"/>
        <v/>
      </c>
      <c r="CQ124" s="5" t="str">
        <f t="shared" si="561"/>
        <v/>
      </c>
      <c r="CR124" s="5" t="str">
        <f t="shared" si="562"/>
        <v/>
      </c>
      <c r="CS124" s="8" t="str">
        <f t="shared" si="563"/>
        <v/>
      </c>
      <c r="CT124" s="9" t="str">
        <f t="shared" si="564"/>
        <v/>
      </c>
      <c r="CU124" s="6" t="str">
        <f t="shared" si="565"/>
        <v/>
      </c>
      <c r="CV124" s="4" t="str">
        <f t="shared" si="566"/>
        <v/>
      </c>
      <c r="CW124" s="5" t="str">
        <f t="shared" si="567"/>
        <v/>
      </c>
      <c r="CX124" s="8" t="str">
        <f t="shared" si="568"/>
        <v/>
      </c>
      <c r="CY124" s="9" t="str">
        <f t="shared" si="569"/>
        <v/>
      </c>
      <c r="CZ124" s="5" t="str">
        <f t="shared" si="570"/>
        <v/>
      </c>
      <c r="DA124" s="6" t="str">
        <f t="shared" si="571"/>
        <v/>
      </c>
      <c r="DB124" s="4" t="str">
        <f t="shared" si="743"/>
        <v/>
      </c>
      <c r="DC124" s="5" t="str">
        <f t="shared" si="743"/>
        <v/>
      </c>
      <c r="DD124" s="10" t="str">
        <f t="shared" si="573"/>
        <v/>
      </c>
      <c r="DE124" s="9" t="str">
        <f t="shared" si="744"/>
        <v/>
      </c>
      <c r="DF124" s="5" t="str">
        <f t="shared" si="744"/>
        <v/>
      </c>
      <c r="DG124" s="10" t="str">
        <f t="shared" si="575"/>
        <v/>
      </c>
      <c r="DH124" s="72" t="str">
        <f t="shared" si="576"/>
        <v/>
      </c>
      <c r="DI124" s="4" t="str">
        <f t="shared" si="577"/>
        <v/>
      </c>
      <c r="DJ124" s="5" t="str">
        <f t="shared" si="578"/>
        <v/>
      </c>
      <c r="DK124" s="10" t="str">
        <f t="shared" si="579"/>
        <v/>
      </c>
      <c r="DL124" s="9" t="str">
        <f t="shared" si="580"/>
        <v/>
      </c>
      <c r="DM124" s="177" t="str">
        <f t="shared" si="581"/>
        <v/>
      </c>
      <c r="DN124" s="182" t="str">
        <f t="shared" si="582"/>
        <v/>
      </c>
      <c r="DO124" s="9" t="str">
        <f t="shared" si="583"/>
        <v/>
      </c>
      <c r="DP124" s="177" t="str">
        <f t="shared" si="584"/>
        <v/>
      </c>
      <c r="DQ124" s="11" t="str">
        <f t="shared" si="585"/>
        <v/>
      </c>
      <c r="DR124" s="177" t="str">
        <f t="shared" si="586"/>
        <v/>
      </c>
      <c r="DS124" s="5" t="str">
        <f t="shared" si="587"/>
        <v/>
      </c>
      <c r="DT124" s="5" t="str">
        <f t="shared" si="588"/>
        <v/>
      </c>
      <c r="DU124" s="5" t="str">
        <f t="shared" si="589"/>
        <v/>
      </c>
      <c r="DV124" s="5" t="str">
        <f t="shared" si="590"/>
        <v/>
      </c>
      <c r="DW124" s="5" t="str">
        <f t="shared" si="591"/>
        <v/>
      </c>
      <c r="DX124" s="171" t="str">
        <f t="shared" si="592"/>
        <v/>
      </c>
      <c r="DY124" s="9" t="str">
        <f t="shared" si="593"/>
        <v/>
      </c>
      <c r="DZ124" s="5" t="str">
        <f t="shared" si="594"/>
        <v/>
      </c>
      <c r="EA124" s="10" t="str">
        <f t="shared" si="595"/>
        <v/>
      </c>
      <c r="EB124" s="6" t="str">
        <f t="shared" si="596"/>
        <v/>
      </c>
      <c r="EC124" s="177" t="str">
        <f t="shared" si="597"/>
        <v/>
      </c>
      <c r="ED124" s="5" t="str">
        <f t="shared" si="598"/>
        <v/>
      </c>
      <c r="EE124" s="4" t="str">
        <f t="shared" si="599"/>
        <v/>
      </c>
      <c r="EF124" s="5" t="str">
        <f t="shared" si="600"/>
        <v/>
      </c>
      <c r="EG124" s="10" t="str">
        <f t="shared" si="601"/>
        <v/>
      </c>
      <c r="EH124" s="9" t="str">
        <f t="shared" si="602"/>
        <v/>
      </c>
      <c r="EI124" s="5" t="str">
        <f t="shared" si="603"/>
        <v/>
      </c>
      <c r="EJ124" s="6" t="str">
        <f t="shared" si="604"/>
        <v/>
      </c>
      <c r="EK124" s="247" t="str">
        <f t="shared" si="605"/>
        <v/>
      </c>
      <c r="EL124" s="249" t="str">
        <f t="shared" si="606"/>
        <v/>
      </c>
      <c r="EM124" s="4" t="str">
        <f t="shared" si="607"/>
        <v/>
      </c>
      <c r="EN124" s="5" t="str">
        <f t="shared" si="608"/>
        <v/>
      </c>
      <c r="EO124" s="10" t="str">
        <f t="shared" si="609"/>
        <v/>
      </c>
      <c r="EP124" s="9" t="str">
        <f t="shared" si="610"/>
        <v/>
      </c>
      <c r="EQ124" s="5" t="str">
        <f t="shared" si="611"/>
        <v/>
      </c>
      <c r="ER124" s="7" t="str">
        <f t="shared" si="612"/>
        <v/>
      </c>
      <c r="ES124" s="21" t="str">
        <f t="shared" si="686"/>
        <v/>
      </c>
      <c r="ET124" s="5" t="str">
        <f t="shared" si="687"/>
        <v/>
      </c>
      <c r="EU124" s="10" t="str">
        <f t="shared" si="688"/>
        <v/>
      </c>
      <c r="EV124" s="178" t="str">
        <f t="shared" si="689"/>
        <v/>
      </c>
      <c r="EW124" s="9" t="str">
        <f t="shared" si="690"/>
        <v/>
      </c>
      <c r="EX124" s="5" t="str">
        <f t="shared" si="691"/>
        <v/>
      </c>
      <c r="EY124" s="6" t="str">
        <f t="shared" si="613"/>
        <v/>
      </c>
      <c r="EZ124" s="52" t="str">
        <f t="shared" si="614"/>
        <v/>
      </c>
      <c r="FA124" s="177" t="str">
        <f t="shared" si="692"/>
        <v/>
      </c>
      <c r="FB124" s="5" t="str">
        <f t="shared" si="693"/>
        <v/>
      </c>
      <c r="FC124" s="6" t="str">
        <f t="shared" si="694"/>
        <v/>
      </c>
      <c r="FD124" s="4" t="str">
        <f t="shared" si="695"/>
        <v/>
      </c>
      <c r="FE124" s="5" t="str">
        <f t="shared" si="696"/>
        <v/>
      </c>
      <c r="FF124" s="7" t="str">
        <f t="shared" si="615"/>
        <v/>
      </c>
      <c r="FG124" s="177" t="str">
        <f t="shared" si="697"/>
        <v/>
      </c>
      <c r="FH124" s="5" t="str">
        <f t="shared" si="698"/>
        <v/>
      </c>
      <c r="FI124" s="10" t="str">
        <f t="shared" si="699"/>
        <v/>
      </c>
      <c r="FJ124" s="290" t="str">
        <f t="shared" si="616"/>
        <v/>
      </c>
      <c r="FK124" s="4" t="str">
        <f t="shared" si="700"/>
        <v/>
      </c>
      <c r="FL124" s="5" t="str">
        <f t="shared" si="540"/>
        <v/>
      </c>
      <c r="FM124" s="8" t="str">
        <f t="shared" si="541"/>
        <v/>
      </c>
      <c r="FN124" s="9" t="str">
        <f t="shared" si="542"/>
        <v/>
      </c>
      <c r="FO124" s="10" t="str">
        <f t="shared" si="701"/>
        <v/>
      </c>
      <c r="FP124" s="288" t="str">
        <f t="shared" si="543"/>
        <v/>
      </c>
      <c r="FQ124" s="177" t="str">
        <f t="shared" si="617"/>
        <v/>
      </c>
      <c r="FR124" s="10" t="str">
        <f t="shared" si="618"/>
        <v/>
      </c>
      <c r="FS124" s="9" t="str">
        <f t="shared" si="619"/>
        <v/>
      </c>
      <c r="FT124" s="6" t="str">
        <f t="shared" si="620"/>
        <v/>
      </c>
      <c r="FU124" s="4" t="str">
        <f t="shared" si="621"/>
        <v/>
      </c>
      <c r="FV124" s="5" t="str">
        <f t="shared" si="622"/>
        <v/>
      </c>
      <c r="FW124" s="8" t="str">
        <f t="shared" si="623"/>
        <v/>
      </c>
      <c r="FX124" s="9" t="str">
        <f t="shared" si="624"/>
        <v/>
      </c>
      <c r="FY124" s="10" t="str">
        <f t="shared" si="702"/>
        <v/>
      </c>
      <c r="FZ124" s="288" t="str">
        <f t="shared" si="625"/>
        <v/>
      </c>
      <c r="GA124" s="181" t="str">
        <f t="shared" si="626"/>
        <v/>
      </c>
      <c r="GB124" s="4" t="str">
        <f t="shared" si="627"/>
        <v/>
      </c>
      <c r="GC124" s="5" t="str">
        <f t="shared" si="628"/>
        <v/>
      </c>
      <c r="GD124" s="10" t="str">
        <f t="shared" si="629"/>
        <v/>
      </c>
      <c r="GE124" s="324" t="str">
        <f t="shared" si="630"/>
        <v/>
      </c>
      <c r="GF124" s="362" t="str">
        <f t="shared" si="631"/>
        <v/>
      </c>
      <c r="GG124" s="296" t="str">
        <f t="shared" si="703"/>
        <v/>
      </c>
      <c r="GH124" s="297" t="str">
        <f t="shared" si="704"/>
        <v/>
      </c>
      <c r="GI124" s="292" t="str">
        <f t="shared" si="705"/>
        <v/>
      </c>
      <c r="GJ124" s="171" t="str">
        <f t="shared" si="632"/>
        <v/>
      </c>
      <c r="GK124" s="178" t="str">
        <f t="shared" si="706"/>
        <v/>
      </c>
      <c r="GL124" s="178" t="str">
        <f t="shared" si="633"/>
        <v/>
      </c>
      <c r="GM124" s="181" t="str">
        <f t="shared" si="634"/>
        <v/>
      </c>
      <c r="GN124" s="291" t="str">
        <f t="shared" si="635"/>
        <v/>
      </c>
      <c r="GO124" s="4" t="str">
        <f t="shared" si="636"/>
        <v/>
      </c>
      <c r="GP124" s="8" t="str">
        <f t="shared" si="637"/>
        <v/>
      </c>
      <c r="GQ124" s="181" t="str">
        <f t="shared" si="638"/>
        <v/>
      </c>
      <c r="GR124" s="417" t="str">
        <f t="shared" si="639"/>
        <v/>
      </c>
      <c r="GS124" s="363" t="str">
        <f t="shared" si="707"/>
        <v/>
      </c>
      <c r="GT124" s="364" t="str">
        <f t="shared" si="708"/>
        <v/>
      </c>
      <c r="GU124" s="365" t="str">
        <f t="shared" si="709"/>
        <v/>
      </c>
      <c r="GV124" s="364" t="str">
        <f t="shared" si="640"/>
        <v/>
      </c>
      <c r="GW124" s="366" t="str">
        <f t="shared" si="710"/>
        <v/>
      </c>
      <c r="GX124" s="367" t="str">
        <f t="shared" si="711"/>
        <v/>
      </c>
      <c r="GY124" s="365" t="str">
        <f t="shared" si="712"/>
        <v/>
      </c>
      <c r="GZ124" s="366" t="str">
        <f t="shared" si="713"/>
        <v/>
      </c>
      <c r="HA124" s="363" t="str">
        <f t="shared" si="714"/>
        <v/>
      </c>
      <c r="HB124" s="5" t="str">
        <f t="shared" si="641"/>
        <v/>
      </c>
      <c r="HC124" s="364" t="str">
        <f t="shared" si="642"/>
        <v/>
      </c>
      <c r="HD124" s="405" t="str">
        <f t="shared" si="643"/>
        <v/>
      </c>
      <c r="HE124" s="365" t="str">
        <f t="shared" si="715"/>
        <v/>
      </c>
      <c r="HF124" s="5" t="str">
        <f t="shared" si="716"/>
        <v/>
      </c>
      <c r="HG124" s="364" t="str">
        <f t="shared" si="644"/>
        <v/>
      </c>
      <c r="HH124" s="370" t="str">
        <f t="shared" si="645"/>
        <v/>
      </c>
      <c r="HI124" s="335" t="str">
        <f t="shared" si="717"/>
        <v/>
      </c>
      <c r="HK124" s="323" t="str">
        <f t="shared" si="664"/>
        <v/>
      </c>
      <c r="HL124" s="322" t="str">
        <f t="shared" si="741"/>
        <v/>
      </c>
      <c r="HM124" s="369" t="str">
        <f t="shared" si="747"/>
        <v/>
      </c>
      <c r="HN124" s="384" t="str">
        <f t="shared" si="747"/>
        <v/>
      </c>
      <c r="HO124" s="385" t="str">
        <f t="shared" si="747"/>
        <v/>
      </c>
      <c r="HP124" s="380" t="str">
        <f t="shared" si="747"/>
        <v/>
      </c>
      <c r="HQ124" s="384" t="str">
        <f t="shared" si="747"/>
        <v/>
      </c>
      <c r="HR124" s="395" t="str">
        <f t="shared" si="747"/>
        <v/>
      </c>
      <c r="HS124" s="379" t="str">
        <f t="shared" si="747"/>
        <v/>
      </c>
      <c r="HT124" s="374" t="str">
        <f t="shared" si="747"/>
        <v/>
      </c>
      <c r="HU124" s="375" t="str">
        <f t="shared" si="747"/>
        <v/>
      </c>
      <c r="HV124" s="376" t="str">
        <f t="shared" si="747"/>
        <v/>
      </c>
      <c r="HW124" s="374" t="str">
        <f t="shared" si="747"/>
        <v/>
      </c>
      <c r="HX124" s="375" t="str">
        <f t="shared" si="747"/>
        <v/>
      </c>
      <c r="HY124" s="376" t="str">
        <f t="shared" si="747"/>
        <v/>
      </c>
      <c r="HZ124" s="374" t="str">
        <f t="shared" si="747"/>
        <v/>
      </c>
      <c r="IA124" s="375" t="str">
        <f t="shared" si="747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6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5"/>
        <v/>
      </c>
      <c r="IK124" s="533" t="str">
        <f t="shared" si="718"/>
        <v/>
      </c>
      <c r="IL124" s="727" t="str">
        <f t="shared" si="651"/>
        <v/>
      </c>
      <c r="IM124" s="759"/>
      <c r="IN124" s="5" t="str">
        <f t="shared" si="652"/>
        <v/>
      </c>
      <c r="IO124" s="771"/>
      <c r="IP124" s="9" t="str">
        <f t="shared" si="653"/>
        <v/>
      </c>
      <c r="IQ124" s="5" t="str">
        <f t="shared" si="654"/>
        <v/>
      </c>
      <c r="IR124" s="5" t="str">
        <f t="shared" si="719"/>
        <v/>
      </c>
      <c r="IS124" s="5" t="str">
        <f t="shared" si="655"/>
        <v/>
      </c>
      <c r="IT124" s="727" t="str">
        <f t="shared" si="656"/>
        <v/>
      </c>
      <c r="IU124" s="9" t="str">
        <f t="shared" si="657"/>
        <v/>
      </c>
      <c r="IV124" s="5" t="str">
        <f t="shared" si="658"/>
        <v/>
      </c>
      <c r="IW124" s="5" t="str">
        <f t="shared" si="720"/>
        <v/>
      </c>
      <c r="IX124" s="5" t="str">
        <f t="shared" si="659"/>
        <v/>
      </c>
      <c r="IY124" s="762" t="str">
        <f t="shared" si="660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5"/>
        <v/>
      </c>
      <c r="N125" s="632" t="str">
        <f t="shared" si="666"/>
        <v/>
      </c>
      <c r="O125" s="629" t="str">
        <f t="shared" si="667"/>
        <v/>
      </c>
      <c r="P125" s="633" t="str">
        <f t="shared" si="668"/>
        <v/>
      </c>
      <c r="Q125" s="585" t="str">
        <f t="shared" si="523"/>
        <v/>
      </c>
      <c r="R125" s="629" t="str">
        <f t="shared" si="721"/>
        <v/>
      </c>
      <c r="S125" s="634" t="str">
        <f t="shared" si="722"/>
        <v/>
      </c>
      <c r="T125" s="635" t="str">
        <f t="shared" si="723"/>
        <v/>
      </c>
      <c r="U125" s="629" t="str">
        <f t="shared" si="724"/>
        <v/>
      </c>
      <c r="V125" s="636" t="str">
        <f t="shared" si="725"/>
        <v/>
      </c>
      <c r="W125" s="585" t="str">
        <f t="shared" si="648"/>
        <v/>
      </c>
      <c r="X125" s="629" t="str">
        <f t="shared" si="726"/>
        <v/>
      </c>
      <c r="Y125" s="630" t="str">
        <f t="shared" si="647"/>
        <v/>
      </c>
      <c r="Z125" s="632" t="str">
        <f t="shared" si="669"/>
        <v/>
      </c>
      <c r="AA125" s="629" t="str">
        <f t="shared" si="670"/>
        <v/>
      </c>
      <c r="AB125" s="629" t="str">
        <f t="shared" si="671"/>
        <v/>
      </c>
      <c r="AC125" s="636" t="str">
        <f t="shared" si="727"/>
        <v/>
      </c>
      <c r="AD125" s="637" t="str">
        <f t="shared" si="728"/>
        <v/>
      </c>
      <c r="AE125" s="629" t="str">
        <f t="shared" si="729"/>
        <v/>
      </c>
      <c r="AF125" s="633" t="str">
        <f t="shared" si="730"/>
        <v/>
      </c>
      <c r="AG125" s="602" t="str">
        <f t="shared" si="731"/>
        <v/>
      </c>
      <c r="AH125" s="603" t="str">
        <f t="shared" si="732"/>
        <v/>
      </c>
      <c r="AI125" s="585" t="str">
        <f t="shared" si="733"/>
        <v/>
      </c>
      <c r="AJ125" s="586" t="str">
        <f t="shared" si="734"/>
        <v/>
      </c>
      <c r="AK125" s="635" t="str">
        <f t="shared" si="735"/>
        <v/>
      </c>
      <c r="AL125" s="629" t="str">
        <f t="shared" si="736"/>
        <v/>
      </c>
      <c r="AM125" s="634" t="str">
        <f t="shared" si="737"/>
        <v/>
      </c>
      <c r="AN125" s="581" t="str">
        <f t="shared" si="738"/>
        <v/>
      </c>
      <c r="AO125" s="582" t="str">
        <f t="shared" si="748"/>
        <v/>
      </c>
      <c r="AP125" s="585" t="str">
        <f t="shared" si="739"/>
        <v/>
      </c>
      <c r="AQ125" s="586" t="str">
        <f t="shared" si="672"/>
        <v/>
      </c>
      <c r="AS125" s="52" t="str">
        <f t="shared" si="742"/>
        <v/>
      </c>
      <c r="AT125" s="73" t="str">
        <f t="shared" si="673"/>
        <v/>
      </c>
      <c r="AU125" s="469"/>
      <c r="AV125" s="168" t="str">
        <f t="shared" si="674"/>
        <v/>
      </c>
      <c r="AW125" s="418"/>
      <c r="AX125" s="419"/>
      <c r="AY125" s="420"/>
      <c r="AZ125" s="308" t="str">
        <f t="shared" si="547"/>
        <v/>
      </c>
      <c r="BA125" s="307" t="str">
        <f t="shared" si="675"/>
        <v/>
      </c>
      <c r="BB125" s="181" t="str">
        <f t="shared" si="524"/>
        <v/>
      </c>
      <c r="BC125" s="9"/>
      <c r="BD125" s="5" t="str">
        <f t="shared" si="525"/>
        <v/>
      </c>
      <c r="BE125" s="6" t="str">
        <f t="shared" si="676"/>
        <v/>
      </c>
      <c r="BF125" s="4" t="str">
        <f t="shared" si="677"/>
        <v/>
      </c>
      <c r="BG125" s="5" t="str">
        <f t="shared" si="678"/>
        <v/>
      </c>
      <c r="BH125" s="10" t="str">
        <f t="shared" si="679"/>
        <v/>
      </c>
      <c r="BI125" s="9" t="str">
        <f t="shared" si="548"/>
        <v/>
      </c>
      <c r="BJ125" s="5" t="str">
        <f t="shared" si="680"/>
        <v/>
      </c>
      <c r="BK125" s="8" t="str">
        <f t="shared" si="681"/>
        <v/>
      </c>
      <c r="BL125" s="177" t="str">
        <f t="shared" si="682"/>
        <v/>
      </c>
      <c r="BM125" s="5" t="str">
        <f t="shared" si="683"/>
        <v/>
      </c>
      <c r="BN125" s="6" t="str">
        <f t="shared" si="684"/>
        <v/>
      </c>
      <c r="BO125" s="4" t="str">
        <f t="shared" si="549"/>
        <v/>
      </c>
      <c r="BP125" s="5" t="str">
        <f t="shared" si="550"/>
        <v/>
      </c>
      <c r="BQ125" s="5" t="str">
        <f t="shared" si="551"/>
        <v/>
      </c>
      <c r="BR125" s="6" t="str">
        <f t="shared" si="552"/>
        <v/>
      </c>
      <c r="BS125" s="4" t="str">
        <f t="shared" si="740"/>
        <v/>
      </c>
      <c r="BT125" s="5" t="str">
        <f t="shared" si="740"/>
        <v/>
      </c>
      <c r="BU125" s="10" t="str">
        <f t="shared" si="527"/>
        <v/>
      </c>
      <c r="BV125" s="9" t="str">
        <f t="shared" si="528"/>
        <v/>
      </c>
      <c r="BW125" s="5" t="str">
        <f t="shared" si="529"/>
        <v/>
      </c>
      <c r="BX125" s="8" t="str">
        <f t="shared" si="530"/>
        <v/>
      </c>
      <c r="BY125" s="177" t="str">
        <f t="shared" si="531"/>
        <v/>
      </c>
      <c r="BZ125" s="5" t="str">
        <f t="shared" si="532"/>
        <v/>
      </c>
      <c r="CA125" s="6" t="str">
        <f t="shared" si="533"/>
        <v/>
      </c>
      <c r="CB125" s="4" t="str">
        <f t="shared" si="553"/>
        <v/>
      </c>
      <c r="CC125" s="5" t="str">
        <f t="shared" si="554"/>
        <v/>
      </c>
      <c r="CD125" s="5" t="str">
        <f t="shared" si="555"/>
        <v/>
      </c>
      <c r="CE125" s="6" t="str">
        <f t="shared" si="556"/>
        <v/>
      </c>
      <c r="CF125" s="4" t="str">
        <f t="shared" si="557"/>
        <v/>
      </c>
      <c r="CG125" s="5" t="str">
        <f t="shared" si="558"/>
        <v/>
      </c>
      <c r="CH125" s="5" t="str">
        <f t="shared" si="559"/>
        <v/>
      </c>
      <c r="CI125" s="4" t="str">
        <f t="shared" si="534"/>
        <v/>
      </c>
      <c r="CJ125" s="5" t="str">
        <f t="shared" si="535"/>
        <v/>
      </c>
      <c r="CK125" s="8" t="str">
        <f t="shared" si="536"/>
        <v/>
      </c>
      <c r="CL125" s="177" t="str">
        <f t="shared" si="537"/>
        <v/>
      </c>
      <c r="CM125" s="5" t="str">
        <f t="shared" si="538"/>
        <v/>
      </c>
      <c r="CN125" s="6" t="str">
        <f t="shared" si="539"/>
        <v/>
      </c>
      <c r="CO125" s="171" t="str">
        <f t="shared" si="685"/>
        <v/>
      </c>
      <c r="CP125" s="4" t="str">
        <f t="shared" si="560"/>
        <v/>
      </c>
      <c r="CQ125" s="5" t="str">
        <f t="shared" si="561"/>
        <v/>
      </c>
      <c r="CR125" s="5" t="str">
        <f t="shared" si="562"/>
        <v/>
      </c>
      <c r="CS125" s="8" t="str">
        <f t="shared" si="563"/>
        <v/>
      </c>
      <c r="CT125" s="9" t="str">
        <f t="shared" si="564"/>
        <v/>
      </c>
      <c r="CU125" s="6" t="str">
        <f t="shared" si="565"/>
        <v/>
      </c>
      <c r="CV125" s="4" t="str">
        <f t="shared" si="566"/>
        <v/>
      </c>
      <c r="CW125" s="5" t="str">
        <f t="shared" si="567"/>
        <v/>
      </c>
      <c r="CX125" s="8" t="str">
        <f t="shared" si="568"/>
        <v/>
      </c>
      <c r="CY125" s="9" t="str">
        <f t="shared" si="569"/>
        <v/>
      </c>
      <c r="CZ125" s="5" t="str">
        <f t="shared" si="570"/>
        <v/>
      </c>
      <c r="DA125" s="6" t="str">
        <f t="shared" si="571"/>
        <v/>
      </c>
      <c r="DB125" s="4" t="str">
        <f t="shared" si="743"/>
        <v/>
      </c>
      <c r="DC125" s="5" t="str">
        <f t="shared" si="743"/>
        <v/>
      </c>
      <c r="DD125" s="10" t="str">
        <f t="shared" si="573"/>
        <v/>
      </c>
      <c r="DE125" s="9" t="str">
        <f t="shared" si="744"/>
        <v/>
      </c>
      <c r="DF125" s="5" t="str">
        <f t="shared" si="744"/>
        <v/>
      </c>
      <c r="DG125" s="10" t="str">
        <f t="shared" si="575"/>
        <v/>
      </c>
      <c r="DH125" s="72" t="str">
        <f t="shared" si="576"/>
        <v/>
      </c>
      <c r="DI125" s="4" t="str">
        <f t="shared" si="577"/>
        <v/>
      </c>
      <c r="DJ125" s="5" t="str">
        <f t="shared" si="578"/>
        <v/>
      </c>
      <c r="DK125" s="10" t="str">
        <f t="shared" si="579"/>
        <v/>
      </c>
      <c r="DL125" s="9" t="str">
        <f t="shared" si="580"/>
        <v/>
      </c>
      <c r="DM125" s="177" t="str">
        <f t="shared" si="581"/>
        <v/>
      </c>
      <c r="DN125" s="182" t="str">
        <f t="shared" si="582"/>
        <v/>
      </c>
      <c r="DO125" s="9" t="str">
        <f t="shared" si="583"/>
        <v/>
      </c>
      <c r="DP125" s="177" t="str">
        <f t="shared" si="584"/>
        <v/>
      </c>
      <c r="DQ125" s="11" t="str">
        <f t="shared" si="585"/>
        <v/>
      </c>
      <c r="DR125" s="177" t="str">
        <f t="shared" si="586"/>
        <v/>
      </c>
      <c r="DS125" s="5" t="str">
        <f t="shared" si="587"/>
        <v/>
      </c>
      <c r="DT125" s="5" t="str">
        <f t="shared" si="588"/>
        <v/>
      </c>
      <c r="DU125" s="5" t="str">
        <f t="shared" si="589"/>
        <v/>
      </c>
      <c r="DV125" s="5" t="str">
        <f t="shared" si="590"/>
        <v/>
      </c>
      <c r="DW125" s="5" t="str">
        <f t="shared" si="591"/>
        <v/>
      </c>
      <c r="DX125" s="171" t="str">
        <f t="shared" si="592"/>
        <v/>
      </c>
      <c r="DY125" s="9" t="str">
        <f t="shared" si="593"/>
        <v/>
      </c>
      <c r="DZ125" s="5" t="str">
        <f t="shared" si="594"/>
        <v/>
      </c>
      <c r="EA125" s="10" t="str">
        <f t="shared" si="595"/>
        <v/>
      </c>
      <c r="EB125" s="6" t="str">
        <f t="shared" si="596"/>
        <v/>
      </c>
      <c r="EC125" s="177" t="str">
        <f t="shared" si="597"/>
        <v/>
      </c>
      <c r="ED125" s="5" t="str">
        <f t="shared" si="598"/>
        <v/>
      </c>
      <c r="EE125" s="4" t="str">
        <f t="shared" si="599"/>
        <v/>
      </c>
      <c r="EF125" s="5" t="str">
        <f t="shared" si="600"/>
        <v/>
      </c>
      <c r="EG125" s="10" t="str">
        <f t="shared" si="601"/>
        <v/>
      </c>
      <c r="EH125" s="9" t="str">
        <f t="shared" si="602"/>
        <v/>
      </c>
      <c r="EI125" s="5" t="str">
        <f t="shared" si="603"/>
        <v/>
      </c>
      <c r="EJ125" s="6" t="str">
        <f t="shared" si="604"/>
        <v/>
      </c>
      <c r="EK125" s="247" t="str">
        <f t="shared" si="605"/>
        <v/>
      </c>
      <c r="EL125" s="249" t="str">
        <f t="shared" si="606"/>
        <v/>
      </c>
      <c r="EM125" s="4" t="str">
        <f t="shared" si="607"/>
        <v/>
      </c>
      <c r="EN125" s="5" t="str">
        <f t="shared" si="608"/>
        <v/>
      </c>
      <c r="EO125" s="10" t="str">
        <f t="shared" si="609"/>
        <v/>
      </c>
      <c r="EP125" s="9" t="str">
        <f t="shared" si="610"/>
        <v/>
      </c>
      <c r="EQ125" s="5" t="str">
        <f t="shared" si="611"/>
        <v/>
      </c>
      <c r="ER125" s="7" t="str">
        <f t="shared" si="612"/>
        <v/>
      </c>
      <c r="ES125" s="21" t="str">
        <f t="shared" si="686"/>
        <v/>
      </c>
      <c r="ET125" s="5" t="str">
        <f t="shared" si="687"/>
        <v/>
      </c>
      <c r="EU125" s="10" t="str">
        <f t="shared" si="688"/>
        <v/>
      </c>
      <c r="EV125" s="178" t="str">
        <f t="shared" si="689"/>
        <v/>
      </c>
      <c r="EW125" s="9" t="str">
        <f t="shared" si="690"/>
        <v/>
      </c>
      <c r="EX125" s="5" t="str">
        <f t="shared" si="691"/>
        <v/>
      </c>
      <c r="EY125" s="6" t="str">
        <f t="shared" si="613"/>
        <v/>
      </c>
      <c r="EZ125" s="52" t="str">
        <f t="shared" si="614"/>
        <v/>
      </c>
      <c r="FA125" s="177" t="str">
        <f t="shared" si="692"/>
        <v/>
      </c>
      <c r="FB125" s="5" t="str">
        <f t="shared" si="693"/>
        <v/>
      </c>
      <c r="FC125" s="6" t="str">
        <f t="shared" si="694"/>
        <v/>
      </c>
      <c r="FD125" s="4" t="str">
        <f t="shared" si="695"/>
        <v/>
      </c>
      <c r="FE125" s="5" t="str">
        <f t="shared" si="696"/>
        <v/>
      </c>
      <c r="FF125" s="7" t="str">
        <f t="shared" si="615"/>
        <v/>
      </c>
      <c r="FG125" s="177" t="str">
        <f t="shared" si="697"/>
        <v/>
      </c>
      <c r="FH125" s="5" t="str">
        <f t="shared" si="698"/>
        <v/>
      </c>
      <c r="FI125" s="10" t="str">
        <f t="shared" si="699"/>
        <v/>
      </c>
      <c r="FJ125" s="290" t="str">
        <f t="shared" si="616"/>
        <v/>
      </c>
      <c r="FK125" s="4" t="str">
        <f t="shared" si="700"/>
        <v/>
      </c>
      <c r="FL125" s="5" t="str">
        <f t="shared" si="540"/>
        <v/>
      </c>
      <c r="FM125" s="8" t="str">
        <f t="shared" si="541"/>
        <v/>
      </c>
      <c r="FN125" s="9" t="str">
        <f t="shared" si="542"/>
        <v/>
      </c>
      <c r="FO125" s="10" t="str">
        <f t="shared" si="701"/>
        <v/>
      </c>
      <c r="FP125" s="288" t="str">
        <f t="shared" si="543"/>
        <v/>
      </c>
      <c r="FQ125" s="177" t="str">
        <f t="shared" si="617"/>
        <v/>
      </c>
      <c r="FR125" s="10" t="str">
        <f t="shared" si="618"/>
        <v/>
      </c>
      <c r="FS125" s="9" t="str">
        <f t="shared" si="619"/>
        <v/>
      </c>
      <c r="FT125" s="6" t="str">
        <f t="shared" si="620"/>
        <v/>
      </c>
      <c r="FU125" s="4" t="str">
        <f t="shared" si="621"/>
        <v/>
      </c>
      <c r="FV125" s="5" t="str">
        <f t="shared" si="622"/>
        <v/>
      </c>
      <c r="FW125" s="8" t="str">
        <f t="shared" si="623"/>
        <v/>
      </c>
      <c r="FX125" s="9" t="str">
        <f t="shared" si="624"/>
        <v/>
      </c>
      <c r="FY125" s="10" t="str">
        <f t="shared" si="702"/>
        <v/>
      </c>
      <c r="FZ125" s="288" t="str">
        <f t="shared" si="625"/>
        <v/>
      </c>
      <c r="GA125" s="181" t="str">
        <f t="shared" si="626"/>
        <v/>
      </c>
      <c r="GB125" s="4" t="str">
        <f t="shared" si="627"/>
        <v/>
      </c>
      <c r="GC125" s="5" t="str">
        <f t="shared" si="628"/>
        <v/>
      </c>
      <c r="GD125" s="10" t="str">
        <f t="shared" si="629"/>
        <v/>
      </c>
      <c r="GE125" s="324" t="str">
        <f t="shared" si="630"/>
        <v/>
      </c>
      <c r="GF125" s="362" t="str">
        <f t="shared" si="631"/>
        <v/>
      </c>
      <c r="GG125" s="296" t="str">
        <f t="shared" si="703"/>
        <v/>
      </c>
      <c r="GH125" s="297" t="str">
        <f t="shared" si="704"/>
        <v/>
      </c>
      <c r="GI125" s="292" t="str">
        <f t="shared" si="705"/>
        <v/>
      </c>
      <c r="GJ125" s="171" t="str">
        <f t="shared" si="632"/>
        <v/>
      </c>
      <c r="GK125" s="178" t="str">
        <f t="shared" si="706"/>
        <v/>
      </c>
      <c r="GL125" s="178" t="str">
        <f t="shared" si="633"/>
        <v/>
      </c>
      <c r="GM125" s="181" t="str">
        <f t="shared" si="634"/>
        <v/>
      </c>
      <c r="GN125" s="291" t="str">
        <f t="shared" si="635"/>
        <v/>
      </c>
      <c r="GO125" s="4" t="str">
        <f t="shared" si="636"/>
        <v/>
      </c>
      <c r="GP125" s="8" t="str">
        <f t="shared" si="637"/>
        <v/>
      </c>
      <c r="GQ125" s="181" t="str">
        <f t="shared" si="638"/>
        <v/>
      </c>
      <c r="GR125" s="417" t="str">
        <f t="shared" si="639"/>
        <v/>
      </c>
      <c r="GS125" s="363" t="str">
        <f t="shared" si="707"/>
        <v/>
      </c>
      <c r="GT125" s="364" t="str">
        <f t="shared" si="708"/>
        <v/>
      </c>
      <c r="GU125" s="365" t="str">
        <f t="shared" si="709"/>
        <v/>
      </c>
      <c r="GV125" s="364" t="str">
        <f t="shared" si="640"/>
        <v/>
      </c>
      <c r="GW125" s="366" t="str">
        <f t="shared" si="710"/>
        <v/>
      </c>
      <c r="GX125" s="367" t="str">
        <f t="shared" si="711"/>
        <v/>
      </c>
      <c r="GY125" s="365" t="str">
        <f t="shared" si="712"/>
        <v/>
      </c>
      <c r="GZ125" s="366" t="str">
        <f t="shared" si="713"/>
        <v/>
      </c>
      <c r="HA125" s="363" t="str">
        <f t="shared" si="714"/>
        <v/>
      </c>
      <c r="HB125" s="5" t="str">
        <f t="shared" si="641"/>
        <v/>
      </c>
      <c r="HC125" s="364" t="str">
        <f t="shared" si="642"/>
        <v/>
      </c>
      <c r="HD125" s="405" t="str">
        <f t="shared" si="643"/>
        <v/>
      </c>
      <c r="HE125" s="365" t="str">
        <f t="shared" si="715"/>
        <v/>
      </c>
      <c r="HF125" s="5" t="str">
        <f t="shared" si="716"/>
        <v/>
      </c>
      <c r="HG125" s="364" t="str">
        <f t="shared" si="644"/>
        <v/>
      </c>
      <c r="HH125" s="370" t="str">
        <f t="shared" si="645"/>
        <v/>
      </c>
      <c r="HI125" s="335" t="str">
        <f t="shared" si="717"/>
        <v/>
      </c>
      <c r="HK125" s="323" t="str">
        <f t="shared" si="664"/>
        <v/>
      </c>
      <c r="HL125" s="322" t="str">
        <f t="shared" si="741"/>
        <v/>
      </c>
      <c r="HM125" s="369" t="str">
        <f t="shared" si="747"/>
        <v/>
      </c>
      <c r="HN125" s="384" t="str">
        <f t="shared" si="747"/>
        <v/>
      </c>
      <c r="HO125" s="385" t="str">
        <f t="shared" si="747"/>
        <v/>
      </c>
      <c r="HP125" s="380" t="str">
        <f t="shared" si="747"/>
        <v/>
      </c>
      <c r="HQ125" s="384" t="str">
        <f t="shared" si="747"/>
        <v/>
      </c>
      <c r="HR125" s="395" t="str">
        <f t="shared" si="747"/>
        <v/>
      </c>
      <c r="HS125" s="379" t="str">
        <f t="shared" si="747"/>
        <v/>
      </c>
      <c r="HT125" s="374" t="str">
        <f t="shared" si="747"/>
        <v/>
      </c>
      <c r="HU125" s="375" t="str">
        <f t="shared" si="747"/>
        <v/>
      </c>
      <c r="HV125" s="376" t="str">
        <f t="shared" si="747"/>
        <v/>
      </c>
      <c r="HW125" s="374" t="str">
        <f t="shared" si="747"/>
        <v/>
      </c>
      <c r="HX125" s="375" t="str">
        <f t="shared" si="747"/>
        <v/>
      </c>
      <c r="HY125" s="376" t="str">
        <f t="shared" si="747"/>
        <v/>
      </c>
      <c r="HZ125" s="374" t="str">
        <f t="shared" si="747"/>
        <v/>
      </c>
      <c r="IA125" s="375" t="str">
        <f t="shared" si="747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6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5"/>
        <v/>
      </c>
      <c r="IK125" s="533" t="str">
        <f t="shared" si="718"/>
        <v/>
      </c>
      <c r="IL125" s="727" t="str">
        <f t="shared" si="651"/>
        <v/>
      </c>
      <c r="IM125" s="759"/>
      <c r="IN125" s="5" t="str">
        <f t="shared" si="652"/>
        <v/>
      </c>
      <c r="IO125" s="771"/>
      <c r="IP125" s="9" t="str">
        <f t="shared" si="653"/>
        <v/>
      </c>
      <c r="IQ125" s="5" t="str">
        <f t="shared" si="654"/>
        <v/>
      </c>
      <c r="IR125" s="5" t="str">
        <f t="shared" si="719"/>
        <v/>
      </c>
      <c r="IS125" s="5" t="str">
        <f t="shared" si="655"/>
        <v/>
      </c>
      <c r="IT125" s="727" t="str">
        <f t="shared" si="656"/>
        <v/>
      </c>
      <c r="IU125" s="9" t="str">
        <f t="shared" si="657"/>
        <v/>
      </c>
      <c r="IV125" s="5" t="str">
        <f t="shared" si="658"/>
        <v/>
      </c>
      <c r="IW125" s="5" t="str">
        <f t="shared" si="720"/>
        <v/>
      </c>
      <c r="IX125" s="5" t="str">
        <f t="shared" si="659"/>
        <v/>
      </c>
      <c r="IY125" s="762" t="str">
        <f t="shared" si="660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5"/>
        <v/>
      </c>
      <c r="N126" s="632" t="str">
        <f t="shared" si="666"/>
        <v/>
      </c>
      <c r="O126" s="629" t="str">
        <f t="shared" si="667"/>
        <v/>
      </c>
      <c r="P126" s="633" t="str">
        <f t="shared" si="668"/>
        <v/>
      </c>
      <c r="Q126" s="585" t="str">
        <f t="shared" si="523"/>
        <v/>
      </c>
      <c r="R126" s="629" t="str">
        <f t="shared" si="721"/>
        <v/>
      </c>
      <c r="S126" s="634" t="str">
        <f t="shared" si="722"/>
        <v/>
      </c>
      <c r="T126" s="635" t="str">
        <f t="shared" si="723"/>
        <v/>
      </c>
      <c r="U126" s="629" t="str">
        <f t="shared" si="724"/>
        <v/>
      </c>
      <c r="V126" s="636" t="str">
        <f t="shared" si="725"/>
        <v/>
      </c>
      <c r="W126" s="585" t="str">
        <f t="shared" si="648"/>
        <v/>
      </c>
      <c r="X126" s="629" t="str">
        <f t="shared" si="726"/>
        <v/>
      </c>
      <c r="Y126" s="630" t="str">
        <f t="shared" si="647"/>
        <v/>
      </c>
      <c r="Z126" s="632" t="str">
        <f t="shared" si="669"/>
        <v/>
      </c>
      <c r="AA126" s="629" t="str">
        <f t="shared" si="670"/>
        <v/>
      </c>
      <c r="AB126" s="629" t="str">
        <f t="shared" si="671"/>
        <v/>
      </c>
      <c r="AC126" s="636" t="str">
        <f t="shared" si="727"/>
        <v/>
      </c>
      <c r="AD126" s="637" t="str">
        <f t="shared" si="728"/>
        <v/>
      </c>
      <c r="AE126" s="629" t="str">
        <f t="shared" si="729"/>
        <v/>
      </c>
      <c r="AF126" s="633" t="str">
        <f t="shared" si="730"/>
        <v/>
      </c>
      <c r="AG126" s="602" t="str">
        <f t="shared" si="731"/>
        <v/>
      </c>
      <c r="AH126" s="603" t="str">
        <f t="shared" si="732"/>
        <v/>
      </c>
      <c r="AI126" s="585" t="str">
        <f t="shared" si="733"/>
        <v/>
      </c>
      <c r="AJ126" s="586" t="str">
        <f t="shared" si="734"/>
        <v/>
      </c>
      <c r="AK126" s="635" t="str">
        <f t="shared" si="735"/>
        <v/>
      </c>
      <c r="AL126" s="629" t="str">
        <f t="shared" si="736"/>
        <v/>
      </c>
      <c r="AM126" s="634" t="str">
        <f t="shared" si="737"/>
        <v/>
      </c>
      <c r="AN126" s="581" t="str">
        <f t="shared" si="738"/>
        <v/>
      </c>
      <c r="AO126" s="582" t="str">
        <f t="shared" si="748"/>
        <v/>
      </c>
      <c r="AP126" s="585" t="str">
        <f t="shared" si="739"/>
        <v/>
      </c>
      <c r="AQ126" s="586" t="str">
        <f t="shared" si="672"/>
        <v/>
      </c>
      <c r="AS126" s="52" t="str">
        <f t="shared" si="742"/>
        <v/>
      </c>
      <c r="AT126" s="73" t="str">
        <f t="shared" si="673"/>
        <v/>
      </c>
      <c r="AU126" s="469"/>
      <c r="AV126" s="168" t="str">
        <f t="shared" si="674"/>
        <v/>
      </c>
      <c r="AW126" s="418"/>
      <c r="AX126" s="419"/>
      <c r="AY126" s="420"/>
      <c r="AZ126" s="308" t="str">
        <f t="shared" si="547"/>
        <v/>
      </c>
      <c r="BA126" s="307" t="str">
        <f t="shared" si="675"/>
        <v/>
      </c>
      <c r="BB126" s="181" t="str">
        <f t="shared" si="524"/>
        <v/>
      </c>
      <c r="BC126" s="9"/>
      <c r="BD126" s="5" t="str">
        <f t="shared" si="525"/>
        <v/>
      </c>
      <c r="BE126" s="6" t="str">
        <f t="shared" si="676"/>
        <v/>
      </c>
      <c r="BF126" s="4" t="str">
        <f t="shared" si="677"/>
        <v/>
      </c>
      <c r="BG126" s="5" t="str">
        <f t="shared" si="678"/>
        <v/>
      </c>
      <c r="BH126" s="10" t="str">
        <f t="shared" si="679"/>
        <v/>
      </c>
      <c r="BI126" s="9" t="str">
        <f t="shared" si="548"/>
        <v/>
      </c>
      <c r="BJ126" s="5" t="str">
        <f t="shared" si="680"/>
        <v/>
      </c>
      <c r="BK126" s="8" t="str">
        <f t="shared" si="681"/>
        <v/>
      </c>
      <c r="BL126" s="177" t="str">
        <f t="shared" si="682"/>
        <v/>
      </c>
      <c r="BM126" s="5" t="str">
        <f t="shared" si="683"/>
        <v/>
      </c>
      <c r="BN126" s="6" t="str">
        <f t="shared" si="684"/>
        <v/>
      </c>
      <c r="BO126" s="4" t="str">
        <f t="shared" si="549"/>
        <v/>
      </c>
      <c r="BP126" s="5" t="str">
        <f t="shared" si="550"/>
        <v/>
      </c>
      <c r="BQ126" s="5" t="str">
        <f t="shared" si="551"/>
        <v/>
      </c>
      <c r="BR126" s="6" t="str">
        <f t="shared" si="552"/>
        <v/>
      </c>
      <c r="BS126" s="4" t="str">
        <f t="shared" si="740"/>
        <v/>
      </c>
      <c r="BT126" s="5" t="str">
        <f t="shared" si="740"/>
        <v/>
      </c>
      <c r="BU126" s="10" t="str">
        <f t="shared" si="527"/>
        <v/>
      </c>
      <c r="BV126" s="9" t="str">
        <f t="shared" si="528"/>
        <v/>
      </c>
      <c r="BW126" s="5" t="str">
        <f t="shared" si="529"/>
        <v/>
      </c>
      <c r="BX126" s="8" t="str">
        <f t="shared" si="530"/>
        <v/>
      </c>
      <c r="BY126" s="177" t="str">
        <f t="shared" si="531"/>
        <v/>
      </c>
      <c r="BZ126" s="5" t="str">
        <f t="shared" si="532"/>
        <v/>
      </c>
      <c r="CA126" s="6" t="str">
        <f t="shared" si="533"/>
        <v/>
      </c>
      <c r="CB126" s="4" t="str">
        <f t="shared" si="553"/>
        <v/>
      </c>
      <c r="CC126" s="5" t="str">
        <f t="shared" si="554"/>
        <v/>
      </c>
      <c r="CD126" s="5" t="str">
        <f t="shared" si="555"/>
        <v/>
      </c>
      <c r="CE126" s="6" t="str">
        <f t="shared" si="556"/>
        <v/>
      </c>
      <c r="CF126" s="4" t="str">
        <f t="shared" si="557"/>
        <v/>
      </c>
      <c r="CG126" s="5" t="str">
        <f t="shared" si="558"/>
        <v/>
      </c>
      <c r="CH126" s="5" t="str">
        <f t="shared" si="559"/>
        <v/>
      </c>
      <c r="CI126" s="4" t="str">
        <f t="shared" si="534"/>
        <v/>
      </c>
      <c r="CJ126" s="5" t="str">
        <f t="shared" si="535"/>
        <v/>
      </c>
      <c r="CK126" s="8" t="str">
        <f t="shared" si="536"/>
        <v/>
      </c>
      <c r="CL126" s="177" t="str">
        <f t="shared" si="537"/>
        <v/>
      </c>
      <c r="CM126" s="5" t="str">
        <f t="shared" si="538"/>
        <v/>
      </c>
      <c r="CN126" s="6" t="str">
        <f t="shared" si="539"/>
        <v/>
      </c>
      <c r="CO126" s="171" t="str">
        <f t="shared" si="685"/>
        <v/>
      </c>
      <c r="CP126" s="4" t="str">
        <f t="shared" si="560"/>
        <v/>
      </c>
      <c r="CQ126" s="5" t="str">
        <f t="shared" si="561"/>
        <v/>
      </c>
      <c r="CR126" s="5" t="str">
        <f t="shared" si="562"/>
        <v/>
      </c>
      <c r="CS126" s="8" t="str">
        <f t="shared" si="563"/>
        <v/>
      </c>
      <c r="CT126" s="9" t="str">
        <f t="shared" si="564"/>
        <v/>
      </c>
      <c r="CU126" s="6" t="str">
        <f t="shared" si="565"/>
        <v/>
      </c>
      <c r="CV126" s="4" t="str">
        <f t="shared" si="566"/>
        <v/>
      </c>
      <c r="CW126" s="5" t="str">
        <f t="shared" si="567"/>
        <v/>
      </c>
      <c r="CX126" s="8" t="str">
        <f t="shared" si="568"/>
        <v/>
      </c>
      <c r="CY126" s="9" t="str">
        <f t="shared" si="569"/>
        <v/>
      </c>
      <c r="CZ126" s="5" t="str">
        <f t="shared" si="570"/>
        <v/>
      </c>
      <c r="DA126" s="6" t="str">
        <f t="shared" si="571"/>
        <v/>
      </c>
      <c r="DB126" s="4" t="str">
        <f t="shared" si="743"/>
        <v/>
      </c>
      <c r="DC126" s="5" t="str">
        <f t="shared" si="743"/>
        <v/>
      </c>
      <c r="DD126" s="10" t="str">
        <f t="shared" si="573"/>
        <v/>
      </c>
      <c r="DE126" s="9" t="str">
        <f t="shared" si="744"/>
        <v/>
      </c>
      <c r="DF126" s="5" t="str">
        <f t="shared" si="744"/>
        <v/>
      </c>
      <c r="DG126" s="10" t="str">
        <f t="shared" si="575"/>
        <v/>
      </c>
      <c r="DH126" s="72" t="str">
        <f t="shared" si="576"/>
        <v/>
      </c>
      <c r="DI126" s="4" t="str">
        <f t="shared" si="577"/>
        <v/>
      </c>
      <c r="DJ126" s="5" t="str">
        <f t="shared" si="578"/>
        <v/>
      </c>
      <c r="DK126" s="10" t="str">
        <f t="shared" si="579"/>
        <v/>
      </c>
      <c r="DL126" s="9" t="str">
        <f t="shared" si="580"/>
        <v/>
      </c>
      <c r="DM126" s="177" t="str">
        <f t="shared" si="581"/>
        <v/>
      </c>
      <c r="DN126" s="182" t="str">
        <f t="shared" si="582"/>
        <v/>
      </c>
      <c r="DO126" s="9" t="str">
        <f t="shared" si="583"/>
        <v/>
      </c>
      <c r="DP126" s="177" t="str">
        <f t="shared" si="584"/>
        <v/>
      </c>
      <c r="DQ126" s="11" t="str">
        <f t="shared" si="585"/>
        <v/>
      </c>
      <c r="DR126" s="177" t="str">
        <f t="shared" si="586"/>
        <v/>
      </c>
      <c r="DS126" s="5" t="str">
        <f t="shared" si="587"/>
        <v/>
      </c>
      <c r="DT126" s="5" t="str">
        <f t="shared" si="588"/>
        <v/>
      </c>
      <c r="DU126" s="5" t="str">
        <f t="shared" si="589"/>
        <v/>
      </c>
      <c r="DV126" s="5" t="str">
        <f t="shared" si="590"/>
        <v/>
      </c>
      <c r="DW126" s="5" t="str">
        <f t="shared" si="591"/>
        <v/>
      </c>
      <c r="DX126" s="171" t="str">
        <f t="shared" si="592"/>
        <v/>
      </c>
      <c r="DY126" s="9" t="str">
        <f t="shared" si="593"/>
        <v/>
      </c>
      <c r="DZ126" s="5" t="str">
        <f t="shared" si="594"/>
        <v/>
      </c>
      <c r="EA126" s="10" t="str">
        <f t="shared" si="595"/>
        <v/>
      </c>
      <c r="EB126" s="6" t="str">
        <f t="shared" si="596"/>
        <v/>
      </c>
      <c r="EC126" s="177" t="str">
        <f t="shared" si="597"/>
        <v/>
      </c>
      <c r="ED126" s="5" t="str">
        <f t="shared" si="598"/>
        <v/>
      </c>
      <c r="EE126" s="4" t="str">
        <f t="shared" si="599"/>
        <v/>
      </c>
      <c r="EF126" s="5" t="str">
        <f t="shared" si="600"/>
        <v/>
      </c>
      <c r="EG126" s="10" t="str">
        <f t="shared" si="601"/>
        <v/>
      </c>
      <c r="EH126" s="9" t="str">
        <f t="shared" si="602"/>
        <v/>
      </c>
      <c r="EI126" s="5" t="str">
        <f t="shared" si="603"/>
        <v/>
      </c>
      <c r="EJ126" s="6" t="str">
        <f t="shared" si="604"/>
        <v/>
      </c>
      <c r="EK126" s="247" t="str">
        <f t="shared" si="605"/>
        <v/>
      </c>
      <c r="EL126" s="249" t="str">
        <f t="shared" si="606"/>
        <v/>
      </c>
      <c r="EM126" s="4" t="str">
        <f t="shared" si="607"/>
        <v/>
      </c>
      <c r="EN126" s="5" t="str">
        <f t="shared" si="608"/>
        <v/>
      </c>
      <c r="EO126" s="10" t="str">
        <f t="shared" si="609"/>
        <v/>
      </c>
      <c r="EP126" s="9" t="str">
        <f t="shared" si="610"/>
        <v/>
      </c>
      <c r="EQ126" s="5" t="str">
        <f t="shared" si="611"/>
        <v/>
      </c>
      <c r="ER126" s="7" t="str">
        <f t="shared" si="612"/>
        <v/>
      </c>
      <c r="ES126" s="21" t="str">
        <f t="shared" si="686"/>
        <v/>
      </c>
      <c r="ET126" s="5" t="str">
        <f t="shared" si="687"/>
        <v/>
      </c>
      <c r="EU126" s="10" t="str">
        <f t="shared" si="688"/>
        <v/>
      </c>
      <c r="EV126" s="178" t="str">
        <f t="shared" si="689"/>
        <v/>
      </c>
      <c r="EW126" s="9" t="str">
        <f t="shared" si="690"/>
        <v/>
      </c>
      <c r="EX126" s="5" t="str">
        <f t="shared" si="691"/>
        <v/>
      </c>
      <c r="EY126" s="6" t="str">
        <f t="shared" si="613"/>
        <v/>
      </c>
      <c r="EZ126" s="52" t="str">
        <f t="shared" si="614"/>
        <v/>
      </c>
      <c r="FA126" s="177" t="str">
        <f t="shared" si="692"/>
        <v/>
      </c>
      <c r="FB126" s="5" t="str">
        <f t="shared" si="693"/>
        <v/>
      </c>
      <c r="FC126" s="6" t="str">
        <f t="shared" si="694"/>
        <v/>
      </c>
      <c r="FD126" s="4" t="str">
        <f t="shared" si="695"/>
        <v/>
      </c>
      <c r="FE126" s="5" t="str">
        <f t="shared" si="696"/>
        <v/>
      </c>
      <c r="FF126" s="7" t="str">
        <f t="shared" si="615"/>
        <v/>
      </c>
      <c r="FG126" s="177" t="str">
        <f t="shared" si="697"/>
        <v/>
      </c>
      <c r="FH126" s="5" t="str">
        <f t="shared" si="698"/>
        <v/>
      </c>
      <c r="FI126" s="10" t="str">
        <f t="shared" si="699"/>
        <v/>
      </c>
      <c r="FJ126" s="290" t="str">
        <f t="shared" si="616"/>
        <v/>
      </c>
      <c r="FK126" s="4" t="str">
        <f t="shared" si="700"/>
        <v/>
      </c>
      <c r="FL126" s="5" t="str">
        <f t="shared" si="540"/>
        <v/>
      </c>
      <c r="FM126" s="8" t="str">
        <f t="shared" si="541"/>
        <v/>
      </c>
      <c r="FN126" s="9" t="str">
        <f t="shared" si="542"/>
        <v/>
      </c>
      <c r="FO126" s="10" t="str">
        <f t="shared" si="701"/>
        <v/>
      </c>
      <c r="FP126" s="288" t="str">
        <f t="shared" si="543"/>
        <v/>
      </c>
      <c r="FQ126" s="177" t="str">
        <f t="shared" si="617"/>
        <v/>
      </c>
      <c r="FR126" s="10" t="str">
        <f t="shared" si="618"/>
        <v/>
      </c>
      <c r="FS126" s="9" t="str">
        <f t="shared" si="619"/>
        <v/>
      </c>
      <c r="FT126" s="6" t="str">
        <f t="shared" si="620"/>
        <v/>
      </c>
      <c r="FU126" s="4" t="str">
        <f t="shared" si="621"/>
        <v/>
      </c>
      <c r="FV126" s="5" t="str">
        <f t="shared" si="622"/>
        <v/>
      </c>
      <c r="FW126" s="8" t="str">
        <f t="shared" si="623"/>
        <v/>
      </c>
      <c r="FX126" s="9" t="str">
        <f t="shared" si="624"/>
        <v/>
      </c>
      <c r="FY126" s="10" t="str">
        <f t="shared" si="702"/>
        <v/>
      </c>
      <c r="FZ126" s="288" t="str">
        <f t="shared" si="625"/>
        <v/>
      </c>
      <c r="GA126" s="181" t="str">
        <f t="shared" si="626"/>
        <v/>
      </c>
      <c r="GB126" s="4" t="str">
        <f t="shared" si="627"/>
        <v/>
      </c>
      <c r="GC126" s="5" t="str">
        <f t="shared" si="628"/>
        <v/>
      </c>
      <c r="GD126" s="10" t="str">
        <f t="shared" si="629"/>
        <v/>
      </c>
      <c r="GE126" s="324" t="str">
        <f t="shared" si="630"/>
        <v/>
      </c>
      <c r="GF126" s="362" t="str">
        <f t="shared" si="631"/>
        <v/>
      </c>
      <c r="GG126" s="296" t="str">
        <f t="shared" si="703"/>
        <v/>
      </c>
      <c r="GH126" s="297" t="str">
        <f t="shared" si="704"/>
        <v/>
      </c>
      <c r="GI126" s="292" t="str">
        <f t="shared" si="705"/>
        <v/>
      </c>
      <c r="GJ126" s="171" t="str">
        <f t="shared" si="632"/>
        <v/>
      </c>
      <c r="GK126" s="178" t="str">
        <f t="shared" si="706"/>
        <v/>
      </c>
      <c r="GL126" s="178" t="str">
        <f t="shared" si="633"/>
        <v/>
      </c>
      <c r="GM126" s="181" t="str">
        <f t="shared" si="634"/>
        <v/>
      </c>
      <c r="GN126" s="291" t="str">
        <f t="shared" si="635"/>
        <v/>
      </c>
      <c r="GO126" s="4" t="str">
        <f t="shared" si="636"/>
        <v/>
      </c>
      <c r="GP126" s="8" t="str">
        <f t="shared" si="637"/>
        <v/>
      </c>
      <c r="GQ126" s="181" t="str">
        <f t="shared" si="638"/>
        <v/>
      </c>
      <c r="GR126" s="417" t="str">
        <f t="shared" si="639"/>
        <v/>
      </c>
      <c r="GS126" s="363" t="str">
        <f t="shared" si="707"/>
        <v/>
      </c>
      <c r="GT126" s="364" t="str">
        <f t="shared" si="708"/>
        <v/>
      </c>
      <c r="GU126" s="365" t="str">
        <f t="shared" si="709"/>
        <v/>
      </c>
      <c r="GV126" s="364" t="str">
        <f t="shared" si="640"/>
        <v/>
      </c>
      <c r="GW126" s="366" t="str">
        <f t="shared" si="710"/>
        <v/>
      </c>
      <c r="GX126" s="367" t="str">
        <f t="shared" si="711"/>
        <v/>
      </c>
      <c r="GY126" s="365" t="str">
        <f t="shared" si="712"/>
        <v/>
      </c>
      <c r="GZ126" s="366" t="str">
        <f t="shared" si="713"/>
        <v/>
      </c>
      <c r="HA126" s="363" t="str">
        <f t="shared" si="714"/>
        <v/>
      </c>
      <c r="HB126" s="5" t="str">
        <f t="shared" si="641"/>
        <v/>
      </c>
      <c r="HC126" s="364" t="str">
        <f t="shared" si="642"/>
        <v/>
      </c>
      <c r="HD126" s="405" t="str">
        <f t="shared" si="643"/>
        <v/>
      </c>
      <c r="HE126" s="365" t="str">
        <f t="shared" si="715"/>
        <v/>
      </c>
      <c r="HF126" s="5" t="str">
        <f t="shared" si="716"/>
        <v/>
      </c>
      <c r="HG126" s="364" t="str">
        <f t="shared" si="644"/>
        <v/>
      </c>
      <c r="HH126" s="370" t="str">
        <f t="shared" si="645"/>
        <v/>
      </c>
      <c r="HI126" s="335" t="str">
        <f t="shared" si="717"/>
        <v/>
      </c>
      <c r="HK126" s="323" t="str">
        <f t="shared" si="664"/>
        <v/>
      </c>
      <c r="HL126" s="322" t="str">
        <f t="shared" si="741"/>
        <v/>
      </c>
      <c r="HM126" s="369" t="str">
        <f t="shared" si="747"/>
        <v/>
      </c>
      <c r="HN126" s="384" t="str">
        <f t="shared" si="747"/>
        <v/>
      </c>
      <c r="HO126" s="385" t="str">
        <f t="shared" si="747"/>
        <v/>
      </c>
      <c r="HP126" s="380" t="str">
        <f t="shared" si="747"/>
        <v/>
      </c>
      <c r="HQ126" s="384" t="str">
        <f t="shared" si="747"/>
        <v/>
      </c>
      <c r="HR126" s="395" t="str">
        <f t="shared" si="747"/>
        <v/>
      </c>
      <c r="HS126" s="379" t="str">
        <f t="shared" si="747"/>
        <v/>
      </c>
      <c r="HT126" s="374" t="str">
        <f t="shared" si="747"/>
        <v/>
      </c>
      <c r="HU126" s="375" t="str">
        <f t="shared" si="747"/>
        <v/>
      </c>
      <c r="HV126" s="376" t="str">
        <f t="shared" si="747"/>
        <v/>
      </c>
      <c r="HW126" s="374" t="str">
        <f t="shared" si="747"/>
        <v/>
      </c>
      <c r="HX126" s="375" t="str">
        <f t="shared" si="747"/>
        <v/>
      </c>
      <c r="HY126" s="376" t="str">
        <f t="shared" si="747"/>
        <v/>
      </c>
      <c r="HZ126" s="374" t="str">
        <f t="shared" si="747"/>
        <v/>
      </c>
      <c r="IA126" s="375" t="str">
        <f t="shared" si="747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6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5"/>
        <v/>
      </c>
      <c r="IK126" s="533" t="str">
        <f t="shared" si="718"/>
        <v/>
      </c>
      <c r="IL126" s="727" t="str">
        <f t="shared" si="651"/>
        <v/>
      </c>
      <c r="IM126" s="759"/>
      <c r="IN126" s="5" t="str">
        <f t="shared" si="652"/>
        <v/>
      </c>
      <c r="IO126" s="771"/>
      <c r="IP126" s="9" t="str">
        <f t="shared" si="653"/>
        <v/>
      </c>
      <c r="IQ126" s="5" t="str">
        <f t="shared" si="654"/>
        <v/>
      </c>
      <c r="IR126" s="5" t="str">
        <f t="shared" si="719"/>
        <v/>
      </c>
      <c r="IS126" s="5" t="str">
        <f t="shared" si="655"/>
        <v/>
      </c>
      <c r="IT126" s="727" t="str">
        <f t="shared" si="656"/>
        <v/>
      </c>
      <c r="IU126" s="9" t="str">
        <f t="shared" si="657"/>
        <v/>
      </c>
      <c r="IV126" s="5" t="str">
        <f t="shared" si="658"/>
        <v/>
      </c>
      <c r="IW126" s="5" t="str">
        <f t="shared" si="720"/>
        <v/>
      </c>
      <c r="IX126" s="5" t="str">
        <f t="shared" si="659"/>
        <v/>
      </c>
      <c r="IY126" s="762" t="str">
        <f t="shared" si="660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5"/>
        <v/>
      </c>
      <c r="N127" s="632" t="str">
        <f t="shared" si="666"/>
        <v/>
      </c>
      <c r="O127" s="629" t="str">
        <f t="shared" si="667"/>
        <v/>
      </c>
      <c r="P127" s="633" t="str">
        <f t="shared" si="668"/>
        <v/>
      </c>
      <c r="Q127" s="585" t="str">
        <f t="shared" si="523"/>
        <v/>
      </c>
      <c r="R127" s="629" t="str">
        <f t="shared" si="721"/>
        <v/>
      </c>
      <c r="S127" s="634" t="str">
        <f t="shared" si="722"/>
        <v/>
      </c>
      <c r="T127" s="635" t="str">
        <f t="shared" si="723"/>
        <v/>
      </c>
      <c r="U127" s="629" t="str">
        <f t="shared" si="724"/>
        <v/>
      </c>
      <c r="V127" s="636" t="str">
        <f t="shared" si="725"/>
        <v/>
      </c>
      <c r="W127" s="585" t="str">
        <f t="shared" si="648"/>
        <v/>
      </c>
      <c r="X127" s="629" t="str">
        <f t="shared" si="726"/>
        <v/>
      </c>
      <c r="Y127" s="630" t="str">
        <f t="shared" si="647"/>
        <v/>
      </c>
      <c r="Z127" s="632" t="str">
        <f t="shared" si="669"/>
        <v/>
      </c>
      <c r="AA127" s="629" t="str">
        <f t="shared" si="670"/>
        <v/>
      </c>
      <c r="AB127" s="629" t="str">
        <f t="shared" si="671"/>
        <v/>
      </c>
      <c r="AC127" s="636" t="str">
        <f t="shared" si="727"/>
        <v/>
      </c>
      <c r="AD127" s="637" t="str">
        <f t="shared" si="728"/>
        <v/>
      </c>
      <c r="AE127" s="629" t="str">
        <f t="shared" si="729"/>
        <v/>
      </c>
      <c r="AF127" s="633" t="str">
        <f t="shared" si="730"/>
        <v/>
      </c>
      <c r="AG127" s="602" t="str">
        <f t="shared" si="731"/>
        <v/>
      </c>
      <c r="AH127" s="603" t="str">
        <f t="shared" si="732"/>
        <v/>
      </c>
      <c r="AI127" s="585" t="str">
        <f t="shared" si="733"/>
        <v/>
      </c>
      <c r="AJ127" s="586" t="str">
        <f t="shared" si="734"/>
        <v/>
      </c>
      <c r="AK127" s="635" t="str">
        <f t="shared" si="735"/>
        <v/>
      </c>
      <c r="AL127" s="629" t="str">
        <f t="shared" si="736"/>
        <v/>
      </c>
      <c r="AM127" s="634" t="str">
        <f t="shared" si="737"/>
        <v/>
      </c>
      <c r="AN127" s="581" t="str">
        <f t="shared" si="738"/>
        <v/>
      </c>
      <c r="AO127" s="582" t="str">
        <f t="shared" si="748"/>
        <v/>
      </c>
      <c r="AP127" s="585" t="str">
        <f t="shared" si="739"/>
        <v/>
      </c>
      <c r="AQ127" s="586" t="str">
        <f t="shared" si="672"/>
        <v/>
      </c>
      <c r="AS127" s="52" t="str">
        <f t="shared" si="742"/>
        <v/>
      </c>
      <c r="AT127" s="73" t="str">
        <f t="shared" si="673"/>
        <v/>
      </c>
      <c r="AU127" s="469"/>
      <c r="AV127" s="168" t="str">
        <f t="shared" si="674"/>
        <v/>
      </c>
      <c r="AW127" s="418"/>
      <c r="AX127" s="419"/>
      <c r="AY127" s="420"/>
      <c r="AZ127" s="308" t="str">
        <f t="shared" si="547"/>
        <v/>
      </c>
      <c r="BA127" s="307" t="str">
        <f t="shared" si="675"/>
        <v/>
      </c>
      <c r="BB127" s="181" t="str">
        <f t="shared" si="524"/>
        <v/>
      </c>
      <c r="BC127" s="9"/>
      <c r="BD127" s="5" t="str">
        <f t="shared" si="525"/>
        <v/>
      </c>
      <c r="BE127" s="6" t="str">
        <f t="shared" si="676"/>
        <v/>
      </c>
      <c r="BF127" s="4" t="str">
        <f t="shared" si="677"/>
        <v/>
      </c>
      <c r="BG127" s="5" t="str">
        <f t="shared" si="678"/>
        <v/>
      </c>
      <c r="BH127" s="10" t="str">
        <f t="shared" si="679"/>
        <v/>
      </c>
      <c r="BI127" s="9" t="str">
        <f t="shared" si="548"/>
        <v/>
      </c>
      <c r="BJ127" s="5" t="str">
        <f t="shared" si="680"/>
        <v/>
      </c>
      <c r="BK127" s="8" t="str">
        <f t="shared" si="681"/>
        <v/>
      </c>
      <c r="BL127" s="177" t="str">
        <f t="shared" si="682"/>
        <v/>
      </c>
      <c r="BM127" s="5" t="str">
        <f t="shared" si="683"/>
        <v/>
      </c>
      <c r="BN127" s="6" t="str">
        <f t="shared" si="684"/>
        <v/>
      </c>
      <c r="BO127" s="4" t="str">
        <f t="shared" si="549"/>
        <v/>
      </c>
      <c r="BP127" s="5" t="str">
        <f t="shared" si="550"/>
        <v/>
      </c>
      <c r="BQ127" s="5" t="str">
        <f t="shared" si="551"/>
        <v/>
      </c>
      <c r="BR127" s="6" t="str">
        <f t="shared" si="552"/>
        <v/>
      </c>
      <c r="BS127" s="4" t="str">
        <f t="shared" si="740"/>
        <v/>
      </c>
      <c r="BT127" s="5" t="str">
        <f t="shared" si="740"/>
        <v/>
      </c>
      <c r="BU127" s="10" t="str">
        <f t="shared" si="527"/>
        <v/>
      </c>
      <c r="BV127" s="9" t="str">
        <f t="shared" si="528"/>
        <v/>
      </c>
      <c r="BW127" s="5" t="str">
        <f t="shared" si="529"/>
        <v/>
      </c>
      <c r="BX127" s="8" t="str">
        <f t="shared" si="530"/>
        <v/>
      </c>
      <c r="BY127" s="177" t="str">
        <f t="shared" si="531"/>
        <v/>
      </c>
      <c r="BZ127" s="5" t="str">
        <f t="shared" si="532"/>
        <v/>
      </c>
      <c r="CA127" s="6" t="str">
        <f t="shared" si="533"/>
        <v/>
      </c>
      <c r="CB127" s="4" t="str">
        <f t="shared" si="553"/>
        <v/>
      </c>
      <c r="CC127" s="5" t="str">
        <f t="shared" si="554"/>
        <v/>
      </c>
      <c r="CD127" s="5" t="str">
        <f t="shared" si="555"/>
        <v/>
      </c>
      <c r="CE127" s="6" t="str">
        <f t="shared" si="556"/>
        <v/>
      </c>
      <c r="CF127" s="4" t="str">
        <f t="shared" si="557"/>
        <v/>
      </c>
      <c r="CG127" s="5" t="str">
        <f t="shared" si="558"/>
        <v/>
      </c>
      <c r="CH127" s="5" t="str">
        <f t="shared" si="559"/>
        <v/>
      </c>
      <c r="CI127" s="4" t="str">
        <f t="shared" si="534"/>
        <v/>
      </c>
      <c r="CJ127" s="5" t="str">
        <f t="shared" si="535"/>
        <v/>
      </c>
      <c r="CK127" s="8" t="str">
        <f t="shared" si="536"/>
        <v/>
      </c>
      <c r="CL127" s="177" t="str">
        <f t="shared" si="537"/>
        <v/>
      </c>
      <c r="CM127" s="5" t="str">
        <f t="shared" si="538"/>
        <v/>
      </c>
      <c r="CN127" s="6" t="str">
        <f t="shared" si="539"/>
        <v/>
      </c>
      <c r="CO127" s="171" t="str">
        <f t="shared" si="685"/>
        <v/>
      </c>
      <c r="CP127" s="4" t="str">
        <f t="shared" si="560"/>
        <v/>
      </c>
      <c r="CQ127" s="5" t="str">
        <f t="shared" si="561"/>
        <v/>
      </c>
      <c r="CR127" s="5" t="str">
        <f t="shared" si="562"/>
        <v/>
      </c>
      <c r="CS127" s="8" t="str">
        <f t="shared" si="563"/>
        <v/>
      </c>
      <c r="CT127" s="9" t="str">
        <f t="shared" si="564"/>
        <v/>
      </c>
      <c r="CU127" s="6" t="str">
        <f t="shared" si="565"/>
        <v/>
      </c>
      <c r="CV127" s="4" t="str">
        <f t="shared" si="566"/>
        <v/>
      </c>
      <c r="CW127" s="5" t="str">
        <f t="shared" si="567"/>
        <v/>
      </c>
      <c r="CX127" s="8" t="str">
        <f t="shared" si="568"/>
        <v/>
      </c>
      <c r="CY127" s="9" t="str">
        <f t="shared" si="569"/>
        <v/>
      </c>
      <c r="CZ127" s="5" t="str">
        <f t="shared" si="570"/>
        <v/>
      </c>
      <c r="DA127" s="6" t="str">
        <f t="shared" si="571"/>
        <v/>
      </c>
      <c r="DB127" s="4" t="str">
        <f t="shared" si="743"/>
        <v/>
      </c>
      <c r="DC127" s="5" t="str">
        <f t="shared" si="743"/>
        <v/>
      </c>
      <c r="DD127" s="10" t="str">
        <f t="shared" si="573"/>
        <v/>
      </c>
      <c r="DE127" s="9" t="str">
        <f t="shared" si="744"/>
        <v/>
      </c>
      <c r="DF127" s="5" t="str">
        <f t="shared" si="744"/>
        <v/>
      </c>
      <c r="DG127" s="10" t="str">
        <f t="shared" si="575"/>
        <v/>
      </c>
      <c r="DH127" s="72" t="str">
        <f t="shared" si="576"/>
        <v/>
      </c>
      <c r="DI127" s="4" t="str">
        <f t="shared" si="577"/>
        <v/>
      </c>
      <c r="DJ127" s="5" t="str">
        <f t="shared" si="578"/>
        <v/>
      </c>
      <c r="DK127" s="10" t="str">
        <f t="shared" si="579"/>
        <v/>
      </c>
      <c r="DL127" s="9" t="str">
        <f t="shared" si="580"/>
        <v/>
      </c>
      <c r="DM127" s="177" t="str">
        <f t="shared" si="581"/>
        <v/>
      </c>
      <c r="DN127" s="182" t="str">
        <f t="shared" si="582"/>
        <v/>
      </c>
      <c r="DO127" s="9" t="str">
        <f t="shared" si="583"/>
        <v/>
      </c>
      <c r="DP127" s="177" t="str">
        <f t="shared" si="584"/>
        <v/>
      </c>
      <c r="DQ127" s="11" t="str">
        <f t="shared" si="585"/>
        <v/>
      </c>
      <c r="DR127" s="177" t="str">
        <f t="shared" si="586"/>
        <v/>
      </c>
      <c r="DS127" s="5" t="str">
        <f t="shared" si="587"/>
        <v/>
      </c>
      <c r="DT127" s="5" t="str">
        <f t="shared" si="588"/>
        <v/>
      </c>
      <c r="DU127" s="5" t="str">
        <f t="shared" si="589"/>
        <v/>
      </c>
      <c r="DV127" s="5" t="str">
        <f t="shared" si="590"/>
        <v/>
      </c>
      <c r="DW127" s="5" t="str">
        <f t="shared" si="591"/>
        <v/>
      </c>
      <c r="DX127" s="171" t="str">
        <f t="shared" si="592"/>
        <v/>
      </c>
      <c r="DY127" s="9" t="str">
        <f t="shared" si="593"/>
        <v/>
      </c>
      <c r="DZ127" s="5" t="str">
        <f t="shared" si="594"/>
        <v/>
      </c>
      <c r="EA127" s="10" t="str">
        <f t="shared" si="595"/>
        <v/>
      </c>
      <c r="EB127" s="6" t="str">
        <f t="shared" si="596"/>
        <v/>
      </c>
      <c r="EC127" s="177" t="str">
        <f t="shared" si="597"/>
        <v/>
      </c>
      <c r="ED127" s="5" t="str">
        <f t="shared" si="598"/>
        <v/>
      </c>
      <c r="EE127" s="4" t="str">
        <f t="shared" si="599"/>
        <v/>
      </c>
      <c r="EF127" s="5" t="str">
        <f t="shared" si="600"/>
        <v/>
      </c>
      <c r="EG127" s="10" t="str">
        <f t="shared" si="601"/>
        <v/>
      </c>
      <c r="EH127" s="9" t="str">
        <f t="shared" si="602"/>
        <v/>
      </c>
      <c r="EI127" s="5" t="str">
        <f t="shared" si="603"/>
        <v/>
      </c>
      <c r="EJ127" s="6" t="str">
        <f t="shared" si="604"/>
        <v/>
      </c>
      <c r="EK127" s="247" t="str">
        <f t="shared" si="605"/>
        <v/>
      </c>
      <c r="EL127" s="249" t="str">
        <f t="shared" si="606"/>
        <v/>
      </c>
      <c r="EM127" s="4" t="str">
        <f t="shared" si="607"/>
        <v/>
      </c>
      <c r="EN127" s="5" t="str">
        <f t="shared" si="608"/>
        <v/>
      </c>
      <c r="EO127" s="10" t="str">
        <f t="shared" si="609"/>
        <v/>
      </c>
      <c r="EP127" s="9" t="str">
        <f t="shared" si="610"/>
        <v/>
      </c>
      <c r="EQ127" s="5" t="str">
        <f t="shared" si="611"/>
        <v/>
      </c>
      <c r="ER127" s="7" t="str">
        <f t="shared" si="612"/>
        <v/>
      </c>
      <c r="ES127" s="21" t="str">
        <f t="shared" si="686"/>
        <v/>
      </c>
      <c r="ET127" s="5" t="str">
        <f t="shared" si="687"/>
        <v/>
      </c>
      <c r="EU127" s="10" t="str">
        <f t="shared" si="688"/>
        <v/>
      </c>
      <c r="EV127" s="178" t="str">
        <f t="shared" si="689"/>
        <v/>
      </c>
      <c r="EW127" s="9" t="str">
        <f t="shared" si="690"/>
        <v/>
      </c>
      <c r="EX127" s="5" t="str">
        <f t="shared" si="691"/>
        <v/>
      </c>
      <c r="EY127" s="6" t="str">
        <f t="shared" si="613"/>
        <v/>
      </c>
      <c r="EZ127" s="52" t="str">
        <f t="shared" si="614"/>
        <v/>
      </c>
      <c r="FA127" s="177" t="str">
        <f t="shared" si="692"/>
        <v/>
      </c>
      <c r="FB127" s="5" t="str">
        <f t="shared" si="693"/>
        <v/>
      </c>
      <c r="FC127" s="6" t="str">
        <f t="shared" si="694"/>
        <v/>
      </c>
      <c r="FD127" s="4" t="str">
        <f t="shared" si="695"/>
        <v/>
      </c>
      <c r="FE127" s="5" t="str">
        <f t="shared" si="696"/>
        <v/>
      </c>
      <c r="FF127" s="7" t="str">
        <f t="shared" si="615"/>
        <v/>
      </c>
      <c r="FG127" s="177" t="str">
        <f t="shared" si="697"/>
        <v/>
      </c>
      <c r="FH127" s="5" t="str">
        <f t="shared" si="698"/>
        <v/>
      </c>
      <c r="FI127" s="10" t="str">
        <f t="shared" si="699"/>
        <v/>
      </c>
      <c r="FJ127" s="290" t="str">
        <f t="shared" si="616"/>
        <v/>
      </c>
      <c r="FK127" s="4" t="str">
        <f t="shared" si="700"/>
        <v/>
      </c>
      <c r="FL127" s="5" t="str">
        <f t="shared" si="540"/>
        <v/>
      </c>
      <c r="FM127" s="8" t="str">
        <f t="shared" si="541"/>
        <v/>
      </c>
      <c r="FN127" s="9" t="str">
        <f t="shared" si="542"/>
        <v/>
      </c>
      <c r="FO127" s="10" t="str">
        <f t="shared" si="701"/>
        <v/>
      </c>
      <c r="FP127" s="288" t="str">
        <f t="shared" si="543"/>
        <v/>
      </c>
      <c r="FQ127" s="177" t="str">
        <f t="shared" si="617"/>
        <v/>
      </c>
      <c r="FR127" s="10" t="str">
        <f t="shared" si="618"/>
        <v/>
      </c>
      <c r="FS127" s="9" t="str">
        <f t="shared" si="619"/>
        <v/>
      </c>
      <c r="FT127" s="6" t="str">
        <f t="shared" si="620"/>
        <v/>
      </c>
      <c r="FU127" s="4" t="str">
        <f t="shared" si="621"/>
        <v/>
      </c>
      <c r="FV127" s="5" t="str">
        <f t="shared" si="622"/>
        <v/>
      </c>
      <c r="FW127" s="8" t="str">
        <f t="shared" si="623"/>
        <v/>
      </c>
      <c r="FX127" s="9" t="str">
        <f t="shared" si="624"/>
        <v/>
      </c>
      <c r="FY127" s="10" t="str">
        <f t="shared" si="702"/>
        <v/>
      </c>
      <c r="FZ127" s="288" t="str">
        <f t="shared" si="625"/>
        <v/>
      </c>
      <c r="GA127" s="181" t="str">
        <f t="shared" si="626"/>
        <v/>
      </c>
      <c r="GB127" s="4" t="str">
        <f t="shared" si="627"/>
        <v/>
      </c>
      <c r="GC127" s="5" t="str">
        <f t="shared" si="628"/>
        <v/>
      </c>
      <c r="GD127" s="10" t="str">
        <f t="shared" si="629"/>
        <v/>
      </c>
      <c r="GE127" s="324" t="str">
        <f t="shared" si="630"/>
        <v/>
      </c>
      <c r="GF127" s="362" t="str">
        <f t="shared" si="631"/>
        <v/>
      </c>
      <c r="GG127" s="296" t="str">
        <f t="shared" si="703"/>
        <v/>
      </c>
      <c r="GH127" s="297" t="str">
        <f t="shared" si="704"/>
        <v/>
      </c>
      <c r="GI127" s="292" t="str">
        <f t="shared" si="705"/>
        <v/>
      </c>
      <c r="GJ127" s="171" t="str">
        <f t="shared" si="632"/>
        <v/>
      </c>
      <c r="GK127" s="178" t="str">
        <f t="shared" si="706"/>
        <v/>
      </c>
      <c r="GL127" s="178" t="str">
        <f t="shared" si="633"/>
        <v/>
      </c>
      <c r="GM127" s="181" t="str">
        <f t="shared" si="634"/>
        <v/>
      </c>
      <c r="GN127" s="291" t="str">
        <f t="shared" si="635"/>
        <v/>
      </c>
      <c r="GO127" s="4" t="str">
        <f t="shared" si="636"/>
        <v/>
      </c>
      <c r="GP127" s="8" t="str">
        <f t="shared" si="637"/>
        <v/>
      </c>
      <c r="GQ127" s="181" t="str">
        <f t="shared" si="638"/>
        <v/>
      </c>
      <c r="GR127" s="417" t="str">
        <f t="shared" si="639"/>
        <v/>
      </c>
      <c r="GS127" s="363" t="str">
        <f t="shared" si="707"/>
        <v/>
      </c>
      <c r="GT127" s="364" t="str">
        <f t="shared" si="708"/>
        <v/>
      </c>
      <c r="GU127" s="365" t="str">
        <f t="shared" si="709"/>
        <v/>
      </c>
      <c r="GV127" s="364" t="str">
        <f t="shared" si="640"/>
        <v/>
      </c>
      <c r="GW127" s="366" t="str">
        <f t="shared" si="710"/>
        <v/>
      </c>
      <c r="GX127" s="367" t="str">
        <f t="shared" si="711"/>
        <v/>
      </c>
      <c r="GY127" s="365" t="str">
        <f t="shared" si="712"/>
        <v/>
      </c>
      <c r="GZ127" s="366" t="str">
        <f t="shared" si="713"/>
        <v/>
      </c>
      <c r="HA127" s="363" t="str">
        <f t="shared" si="714"/>
        <v/>
      </c>
      <c r="HB127" s="5" t="str">
        <f t="shared" si="641"/>
        <v/>
      </c>
      <c r="HC127" s="364" t="str">
        <f t="shared" si="642"/>
        <v/>
      </c>
      <c r="HD127" s="405" t="str">
        <f t="shared" si="643"/>
        <v/>
      </c>
      <c r="HE127" s="365" t="str">
        <f t="shared" si="715"/>
        <v/>
      </c>
      <c r="HF127" s="5" t="str">
        <f t="shared" si="716"/>
        <v/>
      </c>
      <c r="HG127" s="364" t="str">
        <f t="shared" si="644"/>
        <v/>
      </c>
      <c r="HH127" s="370" t="str">
        <f t="shared" si="645"/>
        <v/>
      </c>
      <c r="HI127" s="335" t="str">
        <f t="shared" si="717"/>
        <v/>
      </c>
      <c r="HK127" s="323" t="str">
        <f t="shared" si="664"/>
        <v/>
      </c>
      <c r="HL127" s="322" t="str">
        <f t="shared" si="741"/>
        <v/>
      </c>
      <c r="HM127" s="369" t="str">
        <f t="shared" si="747"/>
        <v/>
      </c>
      <c r="HN127" s="384" t="str">
        <f t="shared" si="747"/>
        <v/>
      </c>
      <c r="HO127" s="385" t="str">
        <f t="shared" si="747"/>
        <v/>
      </c>
      <c r="HP127" s="380" t="str">
        <f t="shared" si="747"/>
        <v/>
      </c>
      <c r="HQ127" s="384" t="str">
        <f t="shared" si="747"/>
        <v/>
      </c>
      <c r="HR127" s="395" t="str">
        <f t="shared" si="747"/>
        <v/>
      </c>
      <c r="HS127" s="379" t="str">
        <f t="shared" si="747"/>
        <v/>
      </c>
      <c r="HT127" s="374" t="str">
        <f t="shared" si="747"/>
        <v/>
      </c>
      <c r="HU127" s="375" t="str">
        <f t="shared" si="747"/>
        <v/>
      </c>
      <c r="HV127" s="376" t="str">
        <f t="shared" si="747"/>
        <v/>
      </c>
      <c r="HW127" s="374" t="str">
        <f t="shared" si="747"/>
        <v/>
      </c>
      <c r="HX127" s="375" t="str">
        <f t="shared" si="747"/>
        <v/>
      </c>
      <c r="HY127" s="376" t="str">
        <f t="shared" si="747"/>
        <v/>
      </c>
      <c r="HZ127" s="374" t="str">
        <f t="shared" si="747"/>
        <v/>
      </c>
      <c r="IA127" s="375" t="str">
        <f t="shared" si="747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6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5"/>
        <v/>
      </c>
      <c r="IK127" s="533" t="str">
        <f t="shared" si="718"/>
        <v/>
      </c>
      <c r="IL127" s="727" t="str">
        <f t="shared" si="651"/>
        <v/>
      </c>
      <c r="IM127" s="759"/>
      <c r="IN127" s="5" t="str">
        <f t="shared" si="652"/>
        <v/>
      </c>
      <c r="IO127" s="771"/>
      <c r="IP127" s="9" t="str">
        <f t="shared" si="653"/>
        <v/>
      </c>
      <c r="IQ127" s="5" t="str">
        <f t="shared" si="654"/>
        <v/>
      </c>
      <c r="IR127" s="5" t="str">
        <f t="shared" si="719"/>
        <v/>
      </c>
      <c r="IS127" s="5" t="str">
        <f t="shared" si="655"/>
        <v/>
      </c>
      <c r="IT127" s="727" t="str">
        <f t="shared" si="656"/>
        <v/>
      </c>
      <c r="IU127" s="9" t="str">
        <f t="shared" si="657"/>
        <v/>
      </c>
      <c r="IV127" s="5" t="str">
        <f t="shared" si="658"/>
        <v/>
      </c>
      <c r="IW127" s="5" t="str">
        <f t="shared" si="720"/>
        <v/>
      </c>
      <c r="IX127" s="5" t="str">
        <f t="shared" si="659"/>
        <v/>
      </c>
      <c r="IY127" s="762" t="str">
        <f t="shared" si="660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5"/>
        <v/>
      </c>
      <c r="N128" s="632" t="str">
        <f t="shared" si="666"/>
        <v/>
      </c>
      <c r="O128" s="629" t="str">
        <f t="shared" si="667"/>
        <v/>
      </c>
      <c r="P128" s="633" t="str">
        <f t="shared" si="668"/>
        <v/>
      </c>
      <c r="Q128" s="585" t="str">
        <f t="shared" si="523"/>
        <v/>
      </c>
      <c r="R128" s="629" t="str">
        <f t="shared" si="721"/>
        <v/>
      </c>
      <c r="S128" s="634" t="str">
        <f t="shared" si="722"/>
        <v/>
      </c>
      <c r="T128" s="635" t="str">
        <f t="shared" si="723"/>
        <v/>
      </c>
      <c r="U128" s="629" t="str">
        <f t="shared" si="724"/>
        <v/>
      </c>
      <c r="V128" s="636" t="str">
        <f t="shared" si="725"/>
        <v/>
      </c>
      <c r="W128" s="585" t="str">
        <f t="shared" si="648"/>
        <v/>
      </c>
      <c r="X128" s="629" t="str">
        <f t="shared" si="726"/>
        <v/>
      </c>
      <c r="Y128" s="630" t="str">
        <f t="shared" si="647"/>
        <v/>
      </c>
      <c r="Z128" s="632" t="str">
        <f t="shared" si="669"/>
        <v/>
      </c>
      <c r="AA128" s="629" t="str">
        <f t="shared" si="670"/>
        <v/>
      </c>
      <c r="AB128" s="629" t="str">
        <f t="shared" si="671"/>
        <v/>
      </c>
      <c r="AC128" s="636" t="str">
        <f t="shared" si="727"/>
        <v/>
      </c>
      <c r="AD128" s="637" t="str">
        <f t="shared" si="728"/>
        <v/>
      </c>
      <c r="AE128" s="629" t="str">
        <f t="shared" si="729"/>
        <v/>
      </c>
      <c r="AF128" s="633" t="str">
        <f t="shared" si="730"/>
        <v/>
      </c>
      <c r="AG128" s="602" t="str">
        <f t="shared" si="731"/>
        <v/>
      </c>
      <c r="AH128" s="603" t="str">
        <f t="shared" si="732"/>
        <v/>
      </c>
      <c r="AI128" s="585" t="str">
        <f t="shared" si="733"/>
        <v/>
      </c>
      <c r="AJ128" s="586" t="str">
        <f t="shared" si="734"/>
        <v/>
      </c>
      <c r="AK128" s="635" t="str">
        <f t="shared" si="735"/>
        <v/>
      </c>
      <c r="AL128" s="629" t="str">
        <f t="shared" si="736"/>
        <v/>
      </c>
      <c r="AM128" s="634" t="str">
        <f t="shared" si="737"/>
        <v/>
      </c>
      <c r="AN128" s="581" t="str">
        <f t="shared" si="738"/>
        <v/>
      </c>
      <c r="AO128" s="582" t="str">
        <f t="shared" si="748"/>
        <v/>
      </c>
      <c r="AP128" s="585" t="str">
        <f t="shared" si="739"/>
        <v/>
      </c>
      <c r="AQ128" s="586" t="str">
        <f t="shared" si="672"/>
        <v/>
      </c>
      <c r="AS128" s="52" t="str">
        <f t="shared" si="742"/>
        <v/>
      </c>
      <c r="AT128" s="73" t="str">
        <f t="shared" si="673"/>
        <v/>
      </c>
      <c r="AU128" s="469"/>
      <c r="AV128" s="168" t="str">
        <f t="shared" si="674"/>
        <v/>
      </c>
      <c r="AW128" s="418"/>
      <c r="AX128" s="419"/>
      <c r="AY128" s="420"/>
      <c r="AZ128" s="308" t="str">
        <f t="shared" si="547"/>
        <v/>
      </c>
      <c r="BA128" s="307" t="str">
        <f t="shared" si="675"/>
        <v/>
      </c>
      <c r="BB128" s="181" t="str">
        <f t="shared" si="524"/>
        <v/>
      </c>
      <c r="BC128" s="9"/>
      <c r="BD128" s="5" t="str">
        <f t="shared" si="525"/>
        <v/>
      </c>
      <c r="BE128" s="6" t="str">
        <f t="shared" si="676"/>
        <v/>
      </c>
      <c r="BF128" s="4" t="str">
        <f t="shared" si="677"/>
        <v/>
      </c>
      <c r="BG128" s="5" t="str">
        <f t="shared" si="678"/>
        <v/>
      </c>
      <c r="BH128" s="10" t="str">
        <f t="shared" si="679"/>
        <v/>
      </c>
      <c r="BI128" s="9" t="str">
        <f t="shared" si="548"/>
        <v/>
      </c>
      <c r="BJ128" s="5" t="str">
        <f t="shared" si="680"/>
        <v/>
      </c>
      <c r="BK128" s="8" t="str">
        <f t="shared" si="681"/>
        <v/>
      </c>
      <c r="BL128" s="177" t="str">
        <f t="shared" si="682"/>
        <v/>
      </c>
      <c r="BM128" s="5" t="str">
        <f t="shared" si="683"/>
        <v/>
      </c>
      <c r="BN128" s="6" t="str">
        <f t="shared" si="684"/>
        <v/>
      </c>
      <c r="BO128" s="4" t="str">
        <f t="shared" si="549"/>
        <v/>
      </c>
      <c r="BP128" s="5" t="str">
        <f t="shared" si="550"/>
        <v/>
      </c>
      <c r="BQ128" s="5" t="str">
        <f t="shared" si="551"/>
        <v/>
      </c>
      <c r="BR128" s="6" t="str">
        <f t="shared" si="552"/>
        <v/>
      </c>
      <c r="BS128" s="4" t="str">
        <f t="shared" si="740"/>
        <v/>
      </c>
      <c r="BT128" s="5" t="str">
        <f t="shared" si="740"/>
        <v/>
      </c>
      <c r="BU128" s="10" t="str">
        <f t="shared" si="527"/>
        <v/>
      </c>
      <c r="BV128" s="9" t="str">
        <f t="shared" si="528"/>
        <v/>
      </c>
      <c r="BW128" s="5" t="str">
        <f t="shared" si="529"/>
        <v/>
      </c>
      <c r="BX128" s="8" t="str">
        <f t="shared" si="530"/>
        <v/>
      </c>
      <c r="BY128" s="177" t="str">
        <f t="shared" si="531"/>
        <v/>
      </c>
      <c r="BZ128" s="5" t="str">
        <f t="shared" si="532"/>
        <v/>
      </c>
      <c r="CA128" s="6" t="str">
        <f t="shared" si="533"/>
        <v/>
      </c>
      <c r="CB128" s="4" t="str">
        <f t="shared" si="553"/>
        <v/>
      </c>
      <c r="CC128" s="5" t="str">
        <f t="shared" si="554"/>
        <v/>
      </c>
      <c r="CD128" s="5" t="str">
        <f t="shared" si="555"/>
        <v/>
      </c>
      <c r="CE128" s="6" t="str">
        <f t="shared" si="556"/>
        <v/>
      </c>
      <c r="CF128" s="4" t="str">
        <f t="shared" si="557"/>
        <v/>
      </c>
      <c r="CG128" s="5" t="str">
        <f t="shared" si="558"/>
        <v/>
      </c>
      <c r="CH128" s="5" t="str">
        <f t="shared" si="559"/>
        <v/>
      </c>
      <c r="CI128" s="4" t="str">
        <f t="shared" si="534"/>
        <v/>
      </c>
      <c r="CJ128" s="5" t="str">
        <f t="shared" si="535"/>
        <v/>
      </c>
      <c r="CK128" s="8" t="str">
        <f t="shared" si="536"/>
        <v/>
      </c>
      <c r="CL128" s="177" t="str">
        <f t="shared" si="537"/>
        <v/>
      </c>
      <c r="CM128" s="5" t="str">
        <f t="shared" si="538"/>
        <v/>
      </c>
      <c r="CN128" s="6" t="str">
        <f t="shared" si="539"/>
        <v/>
      </c>
      <c r="CO128" s="171" t="str">
        <f t="shared" si="685"/>
        <v/>
      </c>
      <c r="CP128" s="4" t="str">
        <f t="shared" si="560"/>
        <v/>
      </c>
      <c r="CQ128" s="5" t="str">
        <f t="shared" si="561"/>
        <v/>
      </c>
      <c r="CR128" s="5" t="str">
        <f t="shared" si="562"/>
        <v/>
      </c>
      <c r="CS128" s="8" t="str">
        <f t="shared" si="563"/>
        <v/>
      </c>
      <c r="CT128" s="9" t="str">
        <f t="shared" si="564"/>
        <v/>
      </c>
      <c r="CU128" s="6" t="str">
        <f t="shared" si="565"/>
        <v/>
      </c>
      <c r="CV128" s="4" t="str">
        <f t="shared" si="566"/>
        <v/>
      </c>
      <c r="CW128" s="5" t="str">
        <f t="shared" si="567"/>
        <v/>
      </c>
      <c r="CX128" s="8" t="str">
        <f t="shared" si="568"/>
        <v/>
      </c>
      <c r="CY128" s="9" t="str">
        <f t="shared" si="569"/>
        <v/>
      </c>
      <c r="CZ128" s="5" t="str">
        <f t="shared" si="570"/>
        <v/>
      </c>
      <c r="DA128" s="6" t="str">
        <f t="shared" si="571"/>
        <v/>
      </c>
      <c r="DB128" s="4" t="str">
        <f t="shared" si="743"/>
        <v/>
      </c>
      <c r="DC128" s="5" t="str">
        <f t="shared" si="743"/>
        <v/>
      </c>
      <c r="DD128" s="10" t="str">
        <f t="shared" si="573"/>
        <v/>
      </c>
      <c r="DE128" s="9" t="str">
        <f t="shared" si="744"/>
        <v/>
      </c>
      <c r="DF128" s="5" t="str">
        <f t="shared" si="744"/>
        <v/>
      </c>
      <c r="DG128" s="10" t="str">
        <f t="shared" si="575"/>
        <v/>
      </c>
      <c r="DH128" s="72" t="str">
        <f t="shared" si="576"/>
        <v/>
      </c>
      <c r="DI128" s="4" t="str">
        <f t="shared" si="577"/>
        <v/>
      </c>
      <c r="DJ128" s="5" t="str">
        <f t="shared" si="578"/>
        <v/>
      </c>
      <c r="DK128" s="10" t="str">
        <f t="shared" si="579"/>
        <v/>
      </c>
      <c r="DL128" s="9" t="str">
        <f t="shared" si="580"/>
        <v/>
      </c>
      <c r="DM128" s="177" t="str">
        <f t="shared" si="581"/>
        <v/>
      </c>
      <c r="DN128" s="182" t="str">
        <f t="shared" si="582"/>
        <v/>
      </c>
      <c r="DO128" s="9" t="str">
        <f t="shared" si="583"/>
        <v/>
      </c>
      <c r="DP128" s="177" t="str">
        <f t="shared" si="584"/>
        <v/>
      </c>
      <c r="DQ128" s="11" t="str">
        <f t="shared" si="585"/>
        <v/>
      </c>
      <c r="DR128" s="177" t="str">
        <f t="shared" si="586"/>
        <v/>
      </c>
      <c r="DS128" s="5" t="str">
        <f t="shared" si="587"/>
        <v/>
      </c>
      <c r="DT128" s="5" t="str">
        <f t="shared" si="588"/>
        <v/>
      </c>
      <c r="DU128" s="5" t="str">
        <f t="shared" si="589"/>
        <v/>
      </c>
      <c r="DV128" s="5" t="str">
        <f t="shared" si="590"/>
        <v/>
      </c>
      <c r="DW128" s="5" t="str">
        <f t="shared" si="591"/>
        <v/>
      </c>
      <c r="DX128" s="171" t="str">
        <f t="shared" si="592"/>
        <v/>
      </c>
      <c r="DY128" s="9" t="str">
        <f t="shared" si="593"/>
        <v/>
      </c>
      <c r="DZ128" s="5" t="str">
        <f t="shared" si="594"/>
        <v/>
      </c>
      <c r="EA128" s="10" t="str">
        <f t="shared" si="595"/>
        <v/>
      </c>
      <c r="EB128" s="6" t="str">
        <f t="shared" si="596"/>
        <v/>
      </c>
      <c r="EC128" s="177" t="str">
        <f t="shared" si="597"/>
        <v/>
      </c>
      <c r="ED128" s="5" t="str">
        <f t="shared" si="598"/>
        <v/>
      </c>
      <c r="EE128" s="4" t="str">
        <f t="shared" si="599"/>
        <v/>
      </c>
      <c r="EF128" s="5" t="str">
        <f t="shared" si="600"/>
        <v/>
      </c>
      <c r="EG128" s="10" t="str">
        <f t="shared" si="601"/>
        <v/>
      </c>
      <c r="EH128" s="9" t="str">
        <f t="shared" si="602"/>
        <v/>
      </c>
      <c r="EI128" s="5" t="str">
        <f t="shared" si="603"/>
        <v/>
      </c>
      <c r="EJ128" s="6" t="str">
        <f t="shared" si="604"/>
        <v/>
      </c>
      <c r="EK128" s="247" t="str">
        <f t="shared" si="605"/>
        <v/>
      </c>
      <c r="EL128" s="249" t="str">
        <f t="shared" si="606"/>
        <v/>
      </c>
      <c r="EM128" s="4" t="str">
        <f t="shared" si="607"/>
        <v/>
      </c>
      <c r="EN128" s="5" t="str">
        <f t="shared" si="608"/>
        <v/>
      </c>
      <c r="EO128" s="10" t="str">
        <f t="shared" si="609"/>
        <v/>
      </c>
      <c r="EP128" s="9" t="str">
        <f t="shared" si="610"/>
        <v/>
      </c>
      <c r="EQ128" s="5" t="str">
        <f t="shared" si="611"/>
        <v/>
      </c>
      <c r="ER128" s="7" t="str">
        <f t="shared" si="612"/>
        <v/>
      </c>
      <c r="ES128" s="21" t="str">
        <f t="shared" si="686"/>
        <v/>
      </c>
      <c r="ET128" s="5" t="str">
        <f t="shared" si="687"/>
        <v/>
      </c>
      <c r="EU128" s="10" t="str">
        <f t="shared" si="688"/>
        <v/>
      </c>
      <c r="EV128" s="178" t="str">
        <f t="shared" si="689"/>
        <v/>
      </c>
      <c r="EW128" s="9" t="str">
        <f t="shared" si="690"/>
        <v/>
      </c>
      <c r="EX128" s="5" t="str">
        <f t="shared" si="691"/>
        <v/>
      </c>
      <c r="EY128" s="6" t="str">
        <f t="shared" si="613"/>
        <v/>
      </c>
      <c r="EZ128" s="52" t="str">
        <f t="shared" si="614"/>
        <v/>
      </c>
      <c r="FA128" s="177" t="str">
        <f t="shared" si="692"/>
        <v/>
      </c>
      <c r="FB128" s="5" t="str">
        <f t="shared" si="693"/>
        <v/>
      </c>
      <c r="FC128" s="6" t="str">
        <f t="shared" si="694"/>
        <v/>
      </c>
      <c r="FD128" s="4" t="str">
        <f t="shared" si="695"/>
        <v/>
      </c>
      <c r="FE128" s="5" t="str">
        <f t="shared" si="696"/>
        <v/>
      </c>
      <c r="FF128" s="7" t="str">
        <f t="shared" si="615"/>
        <v/>
      </c>
      <c r="FG128" s="177" t="str">
        <f t="shared" si="697"/>
        <v/>
      </c>
      <c r="FH128" s="5" t="str">
        <f t="shared" si="698"/>
        <v/>
      </c>
      <c r="FI128" s="10" t="str">
        <f t="shared" si="699"/>
        <v/>
      </c>
      <c r="FJ128" s="290" t="str">
        <f t="shared" si="616"/>
        <v/>
      </c>
      <c r="FK128" s="4" t="str">
        <f t="shared" si="700"/>
        <v/>
      </c>
      <c r="FL128" s="5" t="str">
        <f t="shared" si="540"/>
        <v/>
      </c>
      <c r="FM128" s="8" t="str">
        <f t="shared" si="541"/>
        <v/>
      </c>
      <c r="FN128" s="9" t="str">
        <f t="shared" si="542"/>
        <v/>
      </c>
      <c r="FO128" s="10" t="str">
        <f t="shared" si="701"/>
        <v/>
      </c>
      <c r="FP128" s="288" t="str">
        <f t="shared" si="543"/>
        <v/>
      </c>
      <c r="FQ128" s="177" t="str">
        <f t="shared" si="617"/>
        <v/>
      </c>
      <c r="FR128" s="10" t="str">
        <f t="shared" si="618"/>
        <v/>
      </c>
      <c r="FS128" s="9" t="str">
        <f t="shared" si="619"/>
        <v/>
      </c>
      <c r="FT128" s="6" t="str">
        <f t="shared" si="620"/>
        <v/>
      </c>
      <c r="FU128" s="4" t="str">
        <f t="shared" si="621"/>
        <v/>
      </c>
      <c r="FV128" s="5" t="str">
        <f t="shared" si="622"/>
        <v/>
      </c>
      <c r="FW128" s="8" t="str">
        <f t="shared" si="623"/>
        <v/>
      </c>
      <c r="FX128" s="9" t="str">
        <f t="shared" si="624"/>
        <v/>
      </c>
      <c r="FY128" s="10" t="str">
        <f t="shared" si="702"/>
        <v/>
      </c>
      <c r="FZ128" s="288" t="str">
        <f t="shared" si="625"/>
        <v/>
      </c>
      <c r="GA128" s="181" t="str">
        <f t="shared" si="626"/>
        <v/>
      </c>
      <c r="GB128" s="4" t="str">
        <f t="shared" si="627"/>
        <v/>
      </c>
      <c r="GC128" s="5" t="str">
        <f t="shared" si="628"/>
        <v/>
      </c>
      <c r="GD128" s="10" t="str">
        <f t="shared" si="629"/>
        <v/>
      </c>
      <c r="GE128" s="324" t="str">
        <f t="shared" si="630"/>
        <v/>
      </c>
      <c r="GF128" s="362" t="str">
        <f t="shared" si="631"/>
        <v/>
      </c>
      <c r="GG128" s="296" t="str">
        <f t="shared" si="703"/>
        <v/>
      </c>
      <c r="GH128" s="297" t="str">
        <f t="shared" si="704"/>
        <v/>
      </c>
      <c r="GI128" s="292" t="str">
        <f t="shared" si="705"/>
        <v/>
      </c>
      <c r="GJ128" s="171" t="str">
        <f t="shared" si="632"/>
        <v/>
      </c>
      <c r="GK128" s="178" t="str">
        <f t="shared" si="706"/>
        <v/>
      </c>
      <c r="GL128" s="178" t="str">
        <f t="shared" si="633"/>
        <v/>
      </c>
      <c r="GM128" s="181" t="str">
        <f t="shared" si="634"/>
        <v/>
      </c>
      <c r="GN128" s="291" t="str">
        <f t="shared" si="635"/>
        <v/>
      </c>
      <c r="GO128" s="4" t="str">
        <f t="shared" si="636"/>
        <v/>
      </c>
      <c r="GP128" s="8" t="str">
        <f t="shared" si="637"/>
        <v/>
      </c>
      <c r="GQ128" s="181" t="str">
        <f t="shared" si="638"/>
        <v/>
      </c>
      <c r="GR128" s="417" t="str">
        <f t="shared" si="639"/>
        <v/>
      </c>
      <c r="GS128" s="363" t="str">
        <f t="shared" si="707"/>
        <v/>
      </c>
      <c r="GT128" s="364" t="str">
        <f t="shared" si="708"/>
        <v/>
      </c>
      <c r="GU128" s="365" t="str">
        <f t="shared" si="709"/>
        <v/>
      </c>
      <c r="GV128" s="364" t="str">
        <f t="shared" si="640"/>
        <v/>
      </c>
      <c r="GW128" s="366" t="str">
        <f t="shared" si="710"/>
        <v/>
      </c>
      <c r="GX128" s="367" t="str">
        <f t="shared" si="711"/>
        <v/>
      </c>
      <c r="GY128" s="365" t="str">
        <f t="shared" si="712"/>
        <v/>
      </c>
      <c r="GZ128" s="366" t="str">
        <f t="shared" si="713"/>
        <v/>
      </c>
      <c r="HA128" s="363" t="str">
        <f t="shared" si="714"/>
        <v/>
      </c>
      <c r="HB128" s="5" t="str">
        <f t="shared" si="641"/>
        <v/>
      </c>
      <c r="HC128" s="364" t="str">
        <f t="shared" si="642"/>
        <v/>
      </c>
      <c r="HD128" s="405" t="str">
        <f t="shared" si="643"/>
        <v/>
      </c>
      <c r="HE128" s="365" t="str">
        <f t="shared" si="715"/>
        <v/>
      </c>
      <c r="HF128" s="5" t="str">
        <f t="shared" si="716"/>
        <v/>
      </c>
      <c r="HG128" s="364" t="str">
        <f t="shared" si="644"/>
        <v/>
      </c>
      <c r="HH128" s="370" t="str">
        <f t="shared" si="645"/>
        <v/>
      </c>
      <c r="HI128" s="335" t="str">
        <f t="shared" si="717"/>
        <v/>
      </c>
      <c r="HK128" s="323" t="str">
        <f t="shared" si="664"/>
        <v/>
      </c>
      <c r="HL128" s="322" t="str">
        <f t="shared" si="741"/>
        <v/>
      </c>
      <c r="HM128" s="369" t="str">
        <f t="shared" si="747"/>
        <v/>
      </c>
      <c r="HN128" s="384" t="str">
        <f t="shared" si="747"/>
        <v/>
      </c>
      <c r="HO128" s="385" t="str">
        <f t="shared" si="747"/>
        <v/>
      </c>
      <c r="HP128" s="380" t="str">
        <f t="shared" si="747"/>
        <v/>
      </c>
      <c r="HQ128" s="384" t="str">
        <f t="shared" si="747"/>
        <v/>
      </c>
      <c r="HR128" s="395" t="str">
        <f t="shared" si="747"/>
        <v/>
      </c>
      <c r="HS128" s="379" t="str">
        <f t="shared" si="747"/>
        <v/>
      </c>
      <c r="HT128" s="374" t="str">
        <f t="shared" si="747"/>
        <v/>
      </c>
      <c r="HU128" s="375" t="str">
        <f t="shared" si="747"/>
        <v/>
      </c>
      <c r="HV128" s="376" t="str">
        <f t="shared" si="747"/>
        <v/>
      </c>
      <c r="HW128" s="374" t="str">
        <f t="shared" si="747"/>
        <v/>
      </c>
      <c r="HX128" s="375" t="str">
        <f t="shared" si="747"/>
        <v/>
      </c>
      <c r="HY128" s="376" t="str">
        <f t="shared" si="747"/>
        <v/>
      </c>
      <c r="HZ128" s="374" t="str">
        <f t="shared" si="747"/>
        <v/>
      </c>
      <c r="IA128" s="375" t="str">
        <f t="shared" si="747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6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5"/>
        <v/>
      </c>
      <c r="IK128" s="533" t="str">
        <f t="shared" si="718"/>
        <v/>
      </c>
      <c r="IL128" s="727" t="str">
        <f t="shared" si="651"/>
        <v/>
      </c>
      <c r="IM128" s="759"/>
      <c r="IN128" s="5" t="str">
        <f t="shared" si="652"/>
        <v/>
      </c>
      <c r="IO128" s="771"/>
      <c r="IP128" s="9" t="str">
        <f t="shared" si="653"/>
        <v/>
      </c>
      <c r="IQ128" s="5" t="str">
        <f t="shared" si="654"/>
        <v/>
      </c>
      <c r="IR128" s="5" t="str">
        <f t="shared" si="719"/>
        <v/>
      </c>
      <c r="IS128" s="5" t="str">
        <f t="shared" si="655"/>
        <v/>
      </c>
      <c r="IT128" s="727" t="str">
        <f t="shared" si="656"/>
        <v/>
      </c>
      <c r="IU128" s="9" t="str">
        <f t="shared" si="657"/>
        <v/>
      </c>
      <c r="IV128" s="5" t="str">
        <f t="shared" si="658"/>
        <v/>
      </c>
      <c r="IW128" s="5" t="str">
        <f t="shared" si="720"/>
        <v/>
      </c>
      <c r="IX128" s="5" t="str">
        <f t="shared" si="659"/>
        <v/>
      </c>
      <c r="IY128" s="762" t="str">
        <f t="shared" si="660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5"/>
        <v/>
      </c>
      <c r="N129" s="632" t="str">
        <f t="shared" si="666"/>
        <v/>
      </c>
      <c r="O129" s="629" t="str">
        <f t="shared" si="667"/>
        <v/>
      </c>
      <c r="P129" s="633" t="str">
        <f t="shared" si="668"/>
        <v/>
      </c>
      <c r="Q129" s="585" t="str">
        <f t="shared" si="523"/>
        <v/>
      </c>
      <c r="R129" s="629" t="str">
        <f t="shared" si="721"/>
        <v/>
      </c>
      <c r="S129" s="634" t="str">
        <f t="shared" si="722"/>
        <v/>
      </c>
      <c r="T129" s="635" t="str">
        <f t="shared" si="723"/>
        <v/>
      </c>
      <c r="U129" s="629" t="str">
        <f t="shared" si="724"/>
        <v/>
      </c>
      <c r="V129" s="636" t="str">
        <f t="shared" si="725"/>
        <v/>
      </c>
      <c r="W129" s="585" t="str">
        <f t="shared" si="648"/>
        <v/>
      </c>
      <c r="X129" s="629" t="str">
        <f t="shared" si="726"/>
        <v/>
      </c>
      <c r="Y129" s="630" t="str">
        <f t="shared" si="647"/>
        <v/>
      </c>
      <c r="Z129" s="632" t="str">
        <f t="shared" si="669"/>
        <v/>
      </c>
      <c r="AA129" s="629" t="str">
        <f t="shared" si="670"/>
        <v/>
      </c>
      <c r="AB129" s="629" t="str">
        <f t="shared" si="671"/>
        <v/>
      </c>
      <c r="AC129" s="636" t="str">
        <f t="shared" si="727"/>
        <v/>
      </c>
      <c r="AD129" s="637" t="str">
        <f t="shared" si="728"/>
        <v/>
      </c>
      <c r="AE129" s="629" t="str">
        <f t="shared" si="729"/>
        <v/>
      </c>
      <c r="AF129" s="633" t="str">
        <f t="shared" si="730"/>
        <v/>
      </c>
      <c r="AG129" s="602" t="str">
        <f t="shared" si="731"/>
        <v/>
      </c>
      <c r="AH129" s="603" t="str">
        <f t="shared" si="732"/>
        <v/>
      </c>
      <c r="AI129" s="585" t="str">
        <f t="shared" si="733"/>
        <v/>
      </c>
      <c r="AJ129" s="586" t="str">
        <f t="shared" si="734"/>
        <v/>
      </c>
      <c r="AK129" s="635" t="str">
        <f t="shared" si="735"/>
        <v/>
      </c>
      <c r="AL129" s="629" t="str">
        <f t="shared" si="736"/>
        <v/>
      </c>
      <c r="AM129" s="634" t="str">
        <f t="shared" si="737"/>
        <v/>
      </c>
      <c r="AN129" s="581" t="str">
        <f t="shared" si="738"/>
        <v/>
      </c>
      <c r="AO129" s="582" t="str">
        <f t="shared" si="748"/>
        <v/>
      </c>
      <c r="AP129" s="585" t="str">
        <f t="shared" si="739"/>
        <v/>
      </c>
      <c r="AQ129" s="586" t="str">
        <f t="shared" si="672"/>
        <v/>
      </c>
      <c r="AS129" s="52" t="str">
        <f t="shared" si="742"/>
        <v/>
      </c>
      <c r="AT129" s="73" t="str">
        <f t="shared" si="673"/>
        <v/>
      </c>
      <c r="AU129" s="469"/>
      <c r="AV129" s="168" t="str">
        <f t="shared" si="674"/>
        <v/>
      </c>
      <c r="AW129" s="418"/>
      <c r="AX129" s="419"/>
      <c r="AY129" s="420"/>
      <c r="AZ129" s="308" t="str">
        <f t="shared" si="547"/>
        <v/>
      </c>
      <c r="BA129" s="307" t="str">
        <f t="shared" si="675"/>
        <v/>
      </c>
      <c r="BB129" s="181" t="str">
        <f t="shared" si="524"/>
        <v/>
      </c>
      <c r="BC129" s="9"/>
      <c r="BD129" s="5" t="str">
        <f t="shared" si="525"/>
        <v/>
      </c>
      <c r="BE129" s="6" t="str">
        <f t="shared" si="676"/>
        <v/>
      </c>
      <c r="BF129" s="4" t="str">
        <f t="shared" si="677"/>
        <v/>
      </c>
      <c r="BG129" s="5" t="str">
        <f t="shared" si="678"/>
        <v/>
      </c>
      <c r="BH129" s="10" t="str">
        <f t="shared" si="679"/>
        <v/>
      </c>
      <c r="BI129" s="9" t="str">
        <f t="shared" si="548"/>
        <v/>
      </c>
      <c r="BJ129" s="5" t="str">
        <f t="shared" si="680"/>
        <v/>
      </c>
      <c r="BK129" s="8" t="str">
        <f t="shared" si="681"/>
        <v/>
      </c>
      <c r="BL129" s="177" t="str">
        <f t="shared" si="682"/>
        <v/>
      </c>
      <c r="BM129" s="5" t="str">
        <f t="shared" si="683"/>
        <v/>
      </c>
      <c r="BN129" s="6" t="str">
        <f t="shared" si="684"/>
        <v/>
      </c>
      <c r="BO129" s="4" t="str">
        <f t="shared" si="549"/>
        <v/>
      </c>
      <c r="BP129" s="5" t="str">
        <f t="shared" si="550"/>
        <v/>
      </c>
      <c r="BQ129" s="5" t="str">
        <f t="shared" si="551"/>
        <v/>
      </c>
      <c r="BR129" s="6" t="str">
        <f t="shared" si="552"/>
        <v/>
      </c>
      <c r="BS129" s="4" t="str">
        <f t="shared" si="740"/>
        <v/>
      </c>
      <c r="BT129" s="5" t="str">
        <f t="shared" si="740"/>
        <v/>
      </c>
      <c r="BU129" s="10" t="str">
        <f t="shared" si="527"/>
        <v/>
      </c>
      <c r="BV129" s="9" t="str">
        <f t="shared" si="528"/>
        <v/>
      </c>
      <c r="BW129" s="5" t="str">
        <f t="shared" si="529"/>
        <v/>
      </c>
      <c r="BX129" s="8" t="str">
        <f t="shared" si="530"/>
        <v/>
      </c>
      <c r="BY129" s="177" t="str">
        <f t="shared" si="531"/>
        <v/>
      </c>
      <c r="BZ129" s="5" t="str">
        <f t="shared" si="532"/>
        <v/>
      </c>
      <c r="CA129" s="6" t="str">
        <f t="shared" si="533"/>
        <v/>
      </c>
      <c r="CB129" s="4" t="str">
        <f t="shared" si="553"/>
        <v/>
      </c>
      <c r="CC129" s="5" t="str">
        <f t="shared" si="554"/>
        <v/>
      </c>
      <c r="CD129" s="5" t="str">
        <f t="shared" si="555"/>
        <v/>
      </c>
      <c r="CE129" s="6" t="str">
        <f t="shared" si="556"/>
        <v/>
      </c>
      <c r="CF129" s="4" t="str">
        <f t="shared" si="557"/>
        <v/>
      </c>
      <c r="CG129" s="5" t="str">
        <f t="shared" si="558"/>
        <v/>
      </c>
      <c r="CH129" s="5" t="str">
        <f t="shared" si="559"/>
        <v/>
      </c>
      <c r="CI129" s="4" t="str">
        <f t="shared" si="534"/>
        <v/>
      </c>
      <c r="CJ129" s="5" t="str">
        <f t="shared" si="535"/>
        <v/>
      </c>
      <c r="CK129" s="8" t="str">
        <f t="shared" si="536"/>
        <v/>
      </c>
      <c r="CL129" s="177" t="str">
        <f t="shared" si="537"/>
        <v/>
      </c>
      <c r="CM129" s="5" t="str">
        <f t="shared" si="538"/>
        <v/>
      </c>
      <c r="CN129" s="6" t="str">
        <f t="shared" si="539"/>
        <v/>
      </c>
      <c r="CO129" s="171" t="str">
        <f t="shared" si="685"/>
        <v/>
      </c>
      <c r="CP129" s="4" t="str">
        <f t="shared" si="560"/>
        <v/>
      </c>
      <c r="CQ129" s="5" t="str">
        <f t="shared" si="561"/>
        <v/>
      </c>
      <c r="CR129" s="5" t="str">
        <f t="shared" si="562"/>
        <v/>
      </c>
      <c r="CS129" s="8" t="str">
        <f t="shared" si="563"/>
        <v/>
      </c>
      <c r="CT129" s="9" t="str">
        <f t="shared" si="564"/>
        <v/>
      </c>
      <c r="CU129" s="6" t="str">
        <f t="shared" si="565"/>
        <v/>
      </c>
      <c r="CV129" s="4" t="str">
        <f t="shared" si="566"/>
        <v/>
      </c>
      <c r="CW129" s="5" t="str">
        <f t="shared" si="567"/>
        <v/>
      </c>
      <c r="CX129" s="8" t="str">
        <f t="shared" si="568"/>
        <v/>
      </c>
      <c r="CY129" s="9" t="str">
        <f t="shared" si="569"/>
        <v/>
      </c>
      <c r="CZ129" s="5" t="str">
        <f t="shared" si="570"/>
        <v/>
      </c>
      <c r="DA129" s="6" t="str">
        <f t="shared" si="571"/>
        <v/>
      </c>
      <c r="DB129" s="4" t="str">
        <f t="shared" si="743"/>
        <v/>
      </c>
      <c r="DC129" s="5" t="str">
        <f t="shared" si="743"/>
        <v/>
      </c>
      <c r="DD129" s="10" t="str">
        <f t="shared" si="573"/>
        <v/>
      </c>
      <c r="DE129" s="9" t="str">
        <f t="shared" si="744"/>
        <v/>
      </c>
      <c r="DF129" s="5" t="str">
        <f t="shared" si="744"/>
        <v/>
      </c>
      <c r="DG129" s="10" t="str">
        <f t="shared" si="575"/>
        <v/>
      </c>
      <c r="DH129" s="72" t="str">
        <f t="shared" si="576"/>
        <v/>
      </c>
      <c r="DI129" s="4" t="str">
        <f t="shared" si="577"/>
        <v/>
      </c>
      <c r="DJ129" s="5" t="str">
        <f t="shared" si="578"/>
        <v/>
      </c>
      <c r="DK129" s="10" t="str">
        <f t="shared" si="579"/>
        <v/>
      </c>
      <c r="DL129" s="9" t="str">
        <f t="shared" si="580"/>
        <v/>
      </c>
      <c r="DM129" s="177" t="str">
        <f t="shared" si="581"/>
        <v/>
      </c>
      <c r="DN129" s="182" t="str">
        <f t="shared" si="582"/>
        <v/>
      </c>
      <c r="DO129" s="9" t="str">
        <f t="shared" si="583"/>
        <v/>
      </c>
      <c r="DP129" s="177" t="str">
        <f t="shared" si="584"/>
        <v/>
      </c>
      <c r="DQ129" s="11" t="str">
        <f t="shared" si="585"/>
        <v/>
      </c>
      <c r="DR129" s="177" t="str">
        <f t="shared" si="586"/>
        <v/>
      </c>
      <c r="DS129" s="5" t="str">
        <f t="shared" si="587"/>
        <v/>
      </c>
      <c r="DT129" s="5" t="str">
        <f t="shared" si="588"/>
        <v/>
      </c>
      <c r="DU129" s="5" t="str">
        <f t="shared" si="589"/>
        <v/>
      </c>
      <c r="DV129" s="5" t="str">
        <f t="shared" si="590"/>
        <v/>
      </c>
      <c r="DW129" s="5" t="str">
        <f t="shared" si="591"/>
        <v/>
      </c>
      <c r="DX129" s="171" t="str">
        <f t="shared" si="592"/>
        <v/>
      </c>
      <c r="DY129" s="9" t="str">
        <f t="shared" si="593"/>
        <v/>
      </c>
      <c r="DZ129" s="5" t="str">
        <f t="shared" si="594"/>
        <v/>
      </c>
      <c r="EA129" s="10" t="str">
        <f t="shared" si="595"/>
        <v/>
      </c>
      <c r="EB129" s="6" t="str">
        <f t="shared" si="596"/>
        <v/>
      </c>
      <c r="EC129" s="177" t="str">
        <f t="shared" si="597"/>
        <v/>
      </c>
      <c r="ED129" s="5" t="str">
        <f t="shared" si="598"/>
        <v/>
      </c>
      <c r="EE129" s="4" t="str">
        <f t="shared" si="599"/>
        <v/>
      </c>
      <c r="EF129" s="5" t="str">
        <f t="shared" si="600"/>
        <v/>
      </c>
      <c r="EG129" s="10" t="str">
        <f t="shared" si="601"/>
        <v/>
      </c>
      <c r="EH129" s="9" t="str">
        <f t="shared" si="602"/>
        <v/>
      </c>
      <c r="EI129" s="5" t="str">
        <f t="shared" si="603"/>
        <v/>
      </c>
      <c r="EJ129" s="6" t="str">
        <f t="shared" si="604"/>
        <v/>
      </c>
      <c r="EK129" s="247" t="str">
        <f t="shared" si="605"/>
        <v/>
      </c>
      <c r="EL129" s="249" t="str">
        <f t="shared" si="606"/>
        <v/>
      </c>
      <c r="EM129" s="4" t="str">
        <f t="shared" si="607"/>
        <v/>
      </c>
      <c r="EN129" s="5" t="str">
        <f t="shared" si="608"/>
        <v/>
      </c>
      <c r="EO129" s="10" t="str">
        <f t="shared" si="609"/>
        <v/>
      </c>
      <c r="EP129" s="9" t="str">
        <f t="shared" si="610"/>
        <v/>
      </c>
      <c r="EQ129" s="5" t="str">
        <f t="shared" si="611"/>
        <v/>
      </c>
      <c r="ER129" s="7" t="str">
        <f t="shared" si="612"/>
        <v/>
      </c>
      <c r="ES129" s="21" t="str">
        <f t="shared" si="686"/>
        <v/>
      </c>
      <c r="ET129" s="5" t="str">
        <f t="shared" si="687"/>
        <v/>
      </c>
      <c r="EU129" s="10" t="str">
        <f t="shared" si="688"/>
        <v/>
      </c>
      <c r="EV129" s="178" t="str">
        <f t="shared" si="689"/>
        <v/>
      </c>
      <c r="EW129" s="9" t="str">
        <f t="shared" si="690"/>
        <v/>
      </c>
      <c r="EX129" s="5" t="str">
        <f t="shared" si="691"/>
        <v/>
      </c>
      <c r="EY129" s="6" t="str">
        <f t="shared" si="613"/>
        <v/>
      </c>
      <c r="EZ129" s="52" t="str">
        <f t="shared" si="614"/>
        <v/>
      </c>
      <c r="FA129" s="177" t="str">
        <f t="shared" si="692"/>
        <v/>
      </c>
      <c r="FB129" s="5" t="str">
        <f t="shared" si="693"/>
        <v/>
      </c>
      <c r="FC129" s="6" t="str">
        <f t="shared" si="694"/>
        <v/>
      </c>
      <c r="FD129" s="4" t="str">
        <f t="shared" si="695"/>
        <v/>
      </c>
      <c r="FE129" s="5" t="str">
        <f t="shared" si="696"/>
        <v/>
      </c>
      <c r="FF129" s="7" t="str">
        <f t="shared" si="615"/>
        <v/>
      </c>
      <c r="FG129" s="177" t="str">
        <f t="shared" si="697"/>
        <v/>
      </c>
      <c r="FH129" s="5" t="str">
        <f t="shared" si="698"/>
        <v/>
      </c>
      <c r="FI129" s="10" t="str">
        <f t="shared" si="699"/>
        <v/>
      </c>
      <c r="FJ129" s="290" t="str">
        <f t="shared" si="616"/>
        <v/>
      </c>
      <c r="FK129" s="4" t="str">
        <f t="shared" si="700"/>
        <v/>
      </c>
      <c r="FL129" s="5" t="str">
        <f t="shared" si="540"/>
        <v/>
      </c>
      <c r="FM129" s="8" t="str">
        <f t="shared" si="541"/>
        <v/>
      </c>
      <c r="FN129" s="9" t="str">
        <f t="shared" si="542"/>
        <v/>
      </c>
      <c r="FO129" s="10" t="str">
        <f t="shared" si="701"/>
        <v/>
      </c>
      <c r="FP129" s="288" t="str">
        <f t="shared" si="543"/>
        <v/>
      </c>
      <c r="FQ129" s="177" t="str">
        <f t="shared" si="617"/>
        <v/>
      </c>
      <c r="FR129" s="10" t="str">
        <f t="shared" si="618"/>
        <v/>
      </c>
      <c r="FS129" s="9" t="str">
        <f t="shared" si="619"/>
        <v/>
      </c>
      <c r="FT129" s="6" t="str">
        <f t="shared" si="620"/>
        <v/>
      </c>
      <c r="FU129" s="4" t="str">
        <f t="shared" si="621"/>
        <v/>
      </c>
      <c r="FV129" s="5" t="str">
        <f t="shared" si="622"/>
        <v/>
      </c>
      <c r="FW129" s="8" t="str">
        <f t="shared" si="623"/>
        <v/>
      </c>
      <c r="FX129" s="9" t="str">
        <f t="shared" si="624"/>
        <v/>
      </c>
      <c r="FY129" s="10" t="str">
        <f t="shared" si="702"/>
        <v/>
      </c>
      <c r="FZ129" s="288" t="str">
        <f t="shared" si="625"/>
        <v/>
      </c>
      <c r="GA129" s="181" t="str">
        <f t="shared" si="626"/>
        <v/>
      </c>
      <c r="GB129" s="4" t="str">
        <f t="shared" si="627"/>
        <v/>
      </c>
      <c r="GC129" s="5" t="str">
        <f t="shared" si="628"/>
        <v/>
      </c>
      <c r="GD129" s="10" t="str">
        <f t="shared" si="629"/>
        <v/>
      </c>
      <c r="GE129" s="324" t="str">
        <f t="shared" si="630"/>
        <v/>
      </c>
      <c r="GF129" s="362" t="str">
        <f t="shared" si="631"/>
        <v/>
      </c>
      <c r="GG129" s="296" t="str">
        <f t="shared" si="703"/>
        <v/>
      </c>
      <c r="GH129" s="297" t="str">
        <f t="shared" si="704"/>
        <v/>
      </c>
      <c r="GI129" s="292" t="str">
        <f t="shared" si="705"/>
        <v/>
      </c>
      <c r="GJ129" s="171" t="str">
        <f t="shared" si="632"/>
        <v/>
      </c>
      <c r="GK129" s="178" t="str">
        <f t="shared" si="706"/>
        <v/>
      </c>
      <c r="GL129" s="178" t="str">
        <f t="shared" si="633"/>
        <v/>
      </c>
      <c r="GM129" s="181" t="str">
        <f t="shared" si="634"/>
        <v/>
      </c>
      <c r="GN129" s="291" t="str">
        <f t="shared" si="635"/>
        <v/>
      </c>
      <c r="GO129" s="4" t="str">
        <f t="shared" si="636"/>
        <v/>
      </c>
      <c r="GP129" s="8" t="str">
        <f t="shared" si="637"/>
        <v/>
      </c>
      <c r="GQ129" s="181" t="str">
        <f t="shared" si="638"/>
        <v/>
      </c>
      <c r="GR129" s="417" t="str">
        <f t="shared" si="639"/>
        <v/>
      </c>
      <c r="GS129" s="363" t="str">
        <f t="shared" si="707"/>
        <v/>
      </c>
      <c r="GT129" s="364" t="str">
        <f t="shared" si="708"/>
        <v/>
      </c>
      <c r="GU129" s="365" t="str">
        <f t="shared" si="709"/>
        <v/>
      </c>
      <c r="GV129" s="364" t="str">
        <f t="shared" si="640"/>
        <v/>
      </c>
      <c r="GW129" s="366" t="str">
        <f t="shared" si="710"/>
        <v/>
      </c>
      <c r="GX129" s="367" t="str">
        <f t="shared" si="711"/>
        <v/>
      </c>
      <c r="GY129" s="365" t="str">
        <f t="shared" si="712"/>
        <v/>
      </c>
      <c r="GZ129" s="366" t="str">
        <f t="shared" si="713"/>
        <v/>
      </c>
      <c r="HA129" s="363" t="str">
        <f t="shared" si="714"/>
        <v/>
      </c>
      <c r="HB129" s="5" t="str">
        <f t="shared" si="641"/>
        <v/>
      </c>
      <c r="HC129" s="364" t="str">
        <f t="shared" si="642"/>
        <v/>
      </c>
      <c r="HD129" s="405" t="str">
        <f t="shared" si="643"/>
        <v/>
      </c>
      <c r="HE129" s="365" t="str">
        <f t="shared" si="715"/>
        <v/>
      </c>
      <c r="HF129" s="5" t="str">
        <f t="shared" si="716"/>
        <v/>
      </c>
      <c r="HG129" s="364" t="str">
        <f t="shared" si="644"/>
        <v/>
      </c>
      <c r="HH129" s="370" t="str">
        <f t="shared" si="645"/>
        <v/>
      </c>
      <c r="HI129" s="335" t="str">
        <f t="shared" si="717"/>
        <v/>
      </c>
      <c r="HK129" s="323" t="str">
        <f t="shared" si="664"/>
        <v/>
      </c>
      <c r="HL129" s="322" t="str">
        <f t="shared" si="741"/>
        <v/>
      </c>
      <c r="HM129" s="369" t="str">
        <f t="shared" si="747"/>
        <v/>
      </c>
      <c r="HN129" s="384" t="str">
        <f t="shared" si="747"/>
        <v/>
      </c>
      <c r="HO129" s="385" t="str">
        <f t="shared" si="747"/>
        <v/>
      </c>
      <c r="HP129" s="380" t="str">
        <f t="shared" si="747"/>
        <v/>
      </c>
      <c r="HQ129" s="384" t="str">
        <f t="shared" si="747"/>
        <v/>
      </c>
      <c r="HR129" s="395" t="str">
        <f t="shared" si="747"/>
        <v/>
      </c>
      <c r="HS129" s="379" t="str">
        <f t="shared" si="747"/>
        <v/>
      </c>
      <c r="HT129" s="374" t="str">
        <f t="shared" si="747"/>
        <v/>
      </c>
      <c r="HU129" s="375" t="str">
        <f t="shared" si="747"/>
        <v/>
      </c>
      <c r="HV129" s="376" t="str">
        <f t="shared" si="747"/>
        <v/>
      </c>
      <c r="HW129" s="374" t="str">
        <f t="shared" si="747"/>
        <v/>
      </c>
      <c r="HX129" s="375" t="str">
        <f t="shared" si="747"/>
        <v/>
      </c>
      <c r="HY129" s="376" t="str">
        <f t="shared" si="747"/>
        <v/>
      </c>
      <c r="HZ129" s="374" t="str">
        <f t="shared" si="747"/>
        <v/>
      </c>
      <c r="IA129" s="375" t="str">
        <f t="shared" si="747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6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5"/>
        <v/>
      </c>
      <c r="IK129" s="533" t="str">
        <f t="shared" si="718"/>
        <v/>
      </c>
      <c r="IL129" s="727" t="str">
        <f t="shared" si="651"/>
        <v/>
      </c>
      <c r="IM129" s="759"/>
      <c r="IN129" s="5" t="str">
        <f t="shared" si="652"/>
        <v/>
      </c>
      <c r="IO129" s="771"/>
      <c r="IP129" s="9" t="str">
        <f t="shared" si="653"/>
        <v/>
      </c>
      <c r="IQ129" s="5" t="str">
        <f t="shared" si="654"/>
        <v/>
      </c>
      <c r="IR129" s="5" t="str">
        <f t="shared" si="719"/>
        <v/>
      </c>
      <c r="IS129" s="5" t="str">
        <f t="shared" si="655"/>
        <v/>
      </c>
      <c r="IT129" s="727" t="str">
        <f t="shared" si="656"/>
        <v/>
      </c>
      <c r="IU129" s="9" t="str">
        <f t="shared" si="657"/>
        <v/>
      </c>
      <c r="IV129" s="5" t="str">
        <f t="shared" si="658"/>
        <v/>
      </c>
      <c r="IW129" s="5" t="str">
        <f t="shared" si="720"/>
        <v/>
      </c>
      <c r="IX129" s="5" t="str">
        <f t="shared" si="659"/>
        <v/>
      </c>
      <c r="IY129" s="762" t="str">
        <f t="shared" si="660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5"/>
        <v/>
      </c>
      <c r="N130" s="638" t="str">
        <f t="shared" si="666"/>
        <v/>
      </c>
      <c r="O130" s="639" t="str">
        <f t="shared" si="667"/>
        <v/>
      </c>
      <c r="P130" s="640" t="str">
        <f t="shared" si="668"/>
        <v/>
      </c>
      <c r="Q130" s="593" t="str">
        <f t="shared" ref="Q130:Q150" si="749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50">IF(M130="","",SQRT(N130^2+O130^2))</f>
        <v/>
      </c>
      <c r="S130" s="641" t="str">
        <f t="shared" ref="S130:S150" si="751">IF(M130="","",P130)</f>
        <v/>
      </c>
      <c r="T130" s="642" t="str">
        <f t="shared" ref="T130:T150" si="752">IF(M130="","",X130*COS(RADIANS(W130)))</f>
        <v/>
      </c>
      <c r="U130" s="639" t="str">
        <f t="shared" ref="U130:U150" si="753">IF(M130="","",X130*SIN(RADIANS(W130)))</f>
        <v/>
      </c>
      <c r="V130" s="643" t="str">
        <f t="shared" ref="V130:V150" si="754">IF(M130="","",Y130)</f>
        <v/>
      </c>
      <c r="W130" s="593" t="str">
        <f t="shared" ref="W130:W150" si="755">IF(M130="","",IF(Q130-$Q$8&lt;0,360+Q130-$Q$8,Q130-$Q$8))</f>
        <v/>
      </c>
      <c r="X130" s="639" t="str">
        <f t="shared" ref="X130:X150" si="756">IF(M130="","",R130)</f>
        <v/>
      </c>
      <c r="Y130" s="644" t="str">
        <f t="shared" ref="Y130:Y150" si="757">IF(M130="","",S130)</f>
        <v/>
      </c>
      <c r="Z130" s="638" t="str">
        <f t="shared" si="669"/>
        <v/>
      </c>
      <c r="AA130" s="639" t="str">
        <f t="shared" si="670"/>
        <v/>
      </c>
      <c r="AB130" s="639" t="str">
        <f t="shared" si="671"/>
        <v/>
      </c>
      <c r="AC130" s="643" t="str">
        <f t="shared" ref="AC130:AC150" si="758">IF(M130="","",SQRT(Z130^2+AA130^2+AB130^2))</f>
        <v/>
      </c>
      <c r="AD130" s="645" t="str">
        <f t="shared" ref="AD130:AD150" si="759">IF(M130="","",Z130*(1/SQRT(Z130^2+AA130^2+AB130^2)))</f>
        <v/>
      </c>
      <c r="AE130" s="639" t="str">
        <f t="shared" ref="AE130:AE150" si="760">IF(M130="","",AA130*(1/SQRT(Z130^2+AA130^2+AB130^2)))</f>
        <v/>
      </c>
      <c r="AF130" s="640" t="str">
        <f t="shared" ref="AF130:AF150" si="761">IF(M130="","",AB130*(1/SQRT(Z130^2+AA130^2+AB130^2)))</f>
        <v/>
      </c>
      <c r="AG130" s="604" t="str">
        <f t="shared" ref="AG130:AG150" si="762">IF(M130="","",DEGREES(ATAN2(-AF130,AE130)))</f>
        <v/>
      </c>
      <c r="AH130" s="605" t="str">
        <f t="shared" ref="AH130:AH150" si="763">IF(M130="","",DEGREES(ACOS(AD130)))</f>
        <v/>
      </c>
      <c r="AI130" s="593" t="str">
        <f t="shared" ref="AI130:AI150" si="764">IF(M130="","",DEGREES(-ACOS(-AF130)))</f>
        <v/>
      </c>
      <c r="AJ130" s="594" t="str">
        <f t="shared" ref="AJ130:AJ150" si="765">IF(M130="","",DEGREES(ATAN2(-AE130,AD130)))</f>
        <v/>
      </c>
      <c r="AK130" s="642" t="str">
        <f t="shared" ref="AK130:AK150" si="766">IF(M130="","",(COS(RADIANS((90-$Q$8)-W130))*AD130)+(-SIN(RADIANS((90-$Q$8)-W130))*AE130))</f>
        <v/>
      </c>
      <c r="AL130" s="639" t="str">
        <f t="shared" ref="AL130:AL150" si="767">IF(M130="","",(SIN(RADIANS((90-$Q$8)-W130))*AD130)+(COS(RADIANS((90-$Q$8)-W130))*AE130))</f>
        <v/>
      </c>
      <c r="AM130" s="641" t="str">
        <f t="shared" ref="AM130:AM150" si="768">IF(M130="","",AF130)</f>
        <v/>
      </c>
      <c r="AN130" s="591" t="str">
        <f t="shared" ref="AN130:AN150" si="769">IF(M130="","",DEGREES(ATAN2(-AM130,AL130)))</f>
        <v/>
      </c>
      <c r="AO130" s="592" t="str">
        <f t="shared" si="748"/>
        <v/>
      </c>
      <c r="AP130" s="593" t="str">
        <f t="shared" ref="AP130:AP150" si="770">IF(M130="","",DEGREES(ATAN2(AK130,AL130)))</f>
        <v/>
      </c>
      <c r="AQ130" s="594" t="str">
        <f t="shared" si="672"/>
        <v/>
      </c>
      <c r="AS130" s="555" t="str">
        <f t="shared" si="742"/>
        <v/>
      </c>
      <c r="AT130" s="556" t="str">
        <f t="shared" si="673"/>
        <v/>
      </c>
      <c r="AU130" s="469"/>
      <c r="AV130" s="168" t="str">
        <f t="shared" si="674"/>
        <v/>
      </c>
      <c r="AW130" s="557"/>
      <c r="AX130" s="49"/>
      <c r="AY130" s="242"/>
      <c r="AZ130" s="308" t="str">
        <f t="shared" ref="AZ130:AZ150" si="771">IF(ISNUMBER(AV130),$AY130*SQRT((2*PI()*$AW130)^2+$AS$5^2),"")</f>
        <v/>
      </c>
      <c r="BA130" s="558" t="str">
        <f t="shared" ref="BA130:BA150" si="772">IF(ISNUMBER(AV130),AZ130/$AZ$151,"")</f>
        <v/>
      </c>
      <c r="BB130" s="559" t="str">
        <f t="shared" si="524"/>
        <v/>
      </c>
      <c r="BC130" s="547"/>
      <c r="BD130" s="545" t="str">
        <f t="shared" ref="BD130:BD150" si="773">IF(ISNUMBER(AV130),AW130,"")</f>
        <v/>
      </c>
      <c r="BE130" s="548" t="str">
        <f t="shared" si="676"/>
        <v/>
      </c>
      <c r="BF130" s="549" t="str">
        <f t="shared" si="677"/>
        <v/>
      </c>
      <c r="BG130" s="545" t="str">
        <f t="shared" si="678"/>
        <v/>
      </c>
      <c r="BH130" s="546" t="str">
        <f t="shared" si="679"/>
        <v/>
      </c>
      <c r="BI130" s="547" t="str">
        <f t="shared" ref="BI130:BI150" si="774">IF(ISNUMBER($AV130),BF130+0,"")</f>
        <v/>
      </c>
      <c r="BJ130" s="545" t="str">
        <f t="shared" si="680"/>
        <v/>
      </c>
      <c r="BK130" s="550" t="str">
        <f t="shared" si="681"/>
        <v/>
      </c>
      <c r="BL130" s="553" t="str">
        <f t="shared" si="682"/>
        <v/>
      </c>
      <c r="BM130" s="545" t="str">
        <f t="shared" si="683"/>
        <v/>
      </c>
      <c r="BN130" s="548" t="str">
        <f t="shared" si="684"/>
        <v/>
      </c>
      <c r="BO130" s="549" t="str">
        <f t="shared" ref="BO130:BO150" si="775">IF(ISNUMBER($AV130),BJ130*BN130-BM130*BK130-BG130*(BN130-BK130)+BH130*(BM130-BJ130),"")</f>
        <v/>
      </c>
      <c r="BP130" s="545" t="str">
        <f t="shared" ref="BP130:BP150" si="776">IF(ISNUMBER($AV130),BF130*(BN130-BK130)-(BI130*BN130-BL130*BK130)+BH130*(BI130-BL130),"")</f>
        <v/>
      </c>
      <c r="BQ130" s="545" t="str">
        <f t="shared" ref="BQ130:BQ150" si="777">IF(ISNUMBER($AV130),BF130*(BJ130-BM130)-BG130*(BI130-BL130)+(BI130*BM130-BL130*BJ130),"")</f>
        <v/>
      </c>
      <c r="BR130" s="548" t="str">
        <f t="shared" ref="BR130:BR150" si="778">IF(ISNUMBER($AV130),-(BF130*(BJ130*BN130-BM130*BK130)-BG130*(BI130*BN130-BL130*BK130)+BH130*(BI130*BM130-BL130*BJ130)),"")</f>
        <v/>
      </c>
      <c r="BS130" s="549" t="str">
        <f t="shared" si="740"/>
        <v/>
      </c>
      <c r="BT130" s="545" t="str">
        <f t="shared" si="740"/>
        <v/>
      </c>
      <c r="BU130" s="546" t="str">
        <f t="shared" si="527"/>
        <v/>
      </c>
      <c r="BV130" s="547" t="str">
        <f t="shared" si="528"/>
        <v/>
      </c>
      <c r="BW130" s="545" t="str">
        <f t="shared" si="529"/>
        <v/>
      </c>
      <c r="BX130" s="550" t="str">
        <f t="shared" si="530"/>
        <v/>
      </c>
      <c r="BY130" s="553" t="str">
        <f t="shared" si="531"/>
        <v/>
      </c>
      <c r="BZ130" s="545" t="str">
        <f t="shared" si="532"/>
        <v/>
      </c>
      <c r="CA130" s="548" t="str">
        <f t="shared" si="533"/>
        <v/>
      </c>
      <c r="CB130" s="549" t="str">
        <f t="shared" ref="CB130:CB150" si="779">IF(ISNUMBER($AV130),BW130*CA130-BZ130*BX130-BT130*(CA130-BX130)+BU130*(BZ130-BW130),"")</f>
        <v/>
      </c>
      <c r="CC130" s="545" t="str">
        <f t="shared" ref="CC130:CC150" si="780">IF(ISNUMBER($AV130),BS130*(CA130-BX130)-(BV130*CA130-BY130*BX130)+BU130*(BV130-BY130),"")</f>
        <v/>
      </c>
      <c r="CD130" s="545" t="str">
        <f t="shared" ref="CD130:CD150" si="781">IF(ISNUMBER($AV130),BS130*(BW130-BZ130)-BT130*(BV130-BY130)+(BV130*BZ130-BY130*BW130),"")</f>
        <v/>
      </c>
      <c r="CE130" s="548" t="str">
        <f t="shared" ref="CE130:CE150" si="782">IF(ISNUMBER($AV130),-(BS130*(BW130*CA130-BZ130*BX130)-BT130*(BV130*CA130-BY130*BX130)+BU130*(BV130*BZ130-BY130*BW130)),"")</f>
        <v/>
      </c>
      <c r="CF130" s="549" t="str">
        <f t="shared" ref="CF130:CF150" si="783">IF(ISNUMBER($AV130),(BP130*CD130)-(BQ130*CC130),"")</f>
        <v/>
      </c>
      <c r="CG130" s="545" t="str">
        <f t="shared" ref="CG130:CG150" si="784">IF(ISNUMBER($AV130),(BQ130*CB130)-(BO130*CD130),"")</f>
        <v/>
      </c>
      <c r="CH130" s="545" t="str">
        <f t="shared" ref="CH130:CH150" si="785">IF(ISNUMBER($AV130),(BO130*CC130)-(BP130*CB130),"")</f>
        <v/>
      </c>
      <c r="CI130" s="549" t="str">
        <f t="shared" si="534"/>
        <v/>
      </c>
      <c r="CJ130" s="545" t="str">
        <f t="shared" ref="CJ130:CJ150" si="786">IF(ISNUMBER($AV130),(CD130*BR130-BQ130*CE130)/(BQ130*CC130-CD130*BP130),"")</f>
        <v/>
      </c>
      <c r="CK130" s="550" t="str">
        <f t="shared" ref="CK130:CK150" si="787">IF(ISNUMBER($AV130),(CC130*BR130-BP130*CE130)/(-CC130*BQ130+BP130*CD130),"")</f>
        <v/>
      </c>
      <c r="CL130" s="553" t="str">
        <f t="shared" ref="CL130:CL150" si="788">IF(ISNUMBER($AV130),CI130+CF130,"")</f>
        <v/>
      </c>
      <c r="CM130" s="545" t="str">
        <f t="shared" ref="CM130:CM150" si="789">IF(ISNUMBER($AV130),CJ130+CG130,"")</f>
        <v/>
      </c>
      <c r="CN130" s="548" t="str">
        <f t="shared" ref="CN130:CN150" si="790">IF(ISNUMBER($AV130),CK130+CH130,"")</f>
        <v/>
      </c>
      <c r="CO130" s="560" t="str">
        <f t="shared" si="685"/>
        <v/>
      </c>
      <c r="CP130" s="549" t="str">
        <f t="shared" ref="CP130:CP150" si="791">IF(ISNUMBER($AV130),(CL130-CI130)^2+(CM130-CJ130)^2+(CN130-CK130)^2,"")</f>
        <v/>
      </c>
      <c r="CQ130" s="545" t="str">
        <f t="shared" ref="CQ130:CQ150" si="792">IF(ISNUMBER($AV130),2*((CL130-CI130)*(CI130-BF130)+(CM130-CJ130)*(CJ130-BG130)+(CN130-CK130)*(CK130-BH130)),"")</f>
        <v/>
      </c>
      <c r="CR130" s="545" t="str">
        <f t="shared" ref="CR130:CR150" si="793">IF(ISNUMBER($AV130),BF130^2+BG130^2+BH130^2+CI130^2+CJ130^2+CK130^2-2*(BF130*CI130+BG130*CJ130+BH130*CK130)-CO130^2,"")</f>
        <v/>
      </c>
      <c r="CS130" s="550" t="str">
        <f t="shared" ref="CS130:CS150" si="794">IF(ISNUMBER($AV130),CQ130^2-(4*CP130*CR130),"")</f>
        <v/>
      </c>
      <c r="CT130" s="547" t="str">
        <f t="shared" ref="CT130:CT150" si="795">IF(ISNUMBER($AV130),(-CQ130+SQRT(CS130))/(CP130*2),"")</f>
        <v/>
      </c>
      <c r="CU130" s="548" t="str">
        <f t="shared" ref="CU130:CU150" si="796">IF(ISNUMBER($AV130),(-CQ130-SQRT(CS130))/(CP130*2),"")</f>
        <v/>
      </c>
      <c r="CV130" s="549" t="str">
        <f t="shared" ref="CV130:CV150" si="797">IF(ISNUMBER($AV130),CI130+($CT130*(CL130-CI130)),"")</f>
        <v/>
      </c>
      <c r="CW130" s="545" t="str">
        <f t="shared" ref="CW130:CW150" si="798">IF(ISNUMBER($AV130),CJ130+($CT130*(CM130-CJ130)),"")</f>
        <v/>
      </c>
      <c r="CX130" s="550" t="str">
        <f t="shared" ref="CX130:CX150" si="799">IF(ISNUMBER($AV130),CK130+($CT130*(CN130-CK130)),"")</f>
        <v/>
      </c>
      <c r="CY130" s="547" t="str">
        <f t="shared" ref="CY130:CY150" si="800">IF(ISNUMBER($AV130),CI130+($CU130*(CL130-CI130)),"")</f>
        <v/>
      </c>
      <c r="CZ130" s="545" t="str">
        <f t="shared" ref="CZ130:CZ150" si="801">IF(ISNUMBER($AV130),CJ130+($CU130*(CM130-CJ130)),"")</f>
        <v/>
      </c>
      <c r="DA130" s="548" t="str">
        <f t="shared" ref="DA130:DA150" si="802">IF(ISNUMBER($AV130),CK130+($CU130*(CN130-CK130)),"")</f>
        <v/>
      </c>
      <c r="DB130" s="549" t="str">
        <f t="shared" si="743"/>
        <v/>
      </c>
      <c r="DC130" s="545" t="str">
        <f t="shared" si="743"/>
        <v/>
      </c>
      <c r="DD130" s="546" t="str">
        <f t="shared" si="573"/>
        <v/>
      </c>
      <c r="DE130" s="547" t="str">
        <f t="shared" si="744"/>
        <v/>
      </c>
      <c r="DF130" s="545" t="str">
        <f t="shared" si="744"/>
        <v/>
      </c>
      <c r="DG130" s="546" t="str">
        <f t="shared" si="575"/>
        <v/>
      </c>
      <c r="DH130" s="552" t="str">
        <f t="shared" ref="DH130:DH150" si="803">IF(ISNUMBER($AV130),BD130,"")</f>
        <v/>
      </c>
      <c r="DI130" s="549" t="str">
        <f t="shared" ref="DI130:DI150" si="804">IF(ISNUMBER($AV130),DE130-DB130,"")</f>
        <v/>
      </c>
      <c r="DJ130" s="545" t="str">
        <f t="shared" ref="DJ130:DJ150" si="805">IF(ISNUMBER($AV130),DF130-DC130,"")</f>
        <v/>
      </c>
      <c r="DK130" s="546" t="str">
        <f t="shared" ref="DK130:DK150" si="806">IF(ISNUMBER($AV130),DG130-DD130,"")</f>
        <v/>
      </c>
      <c r="DL130" s="547" t="str">
        <f t="shared" ref="DL130:DL150" si="807">IF(ISNUMBER($AV130),CV130-DB130,"")</f>
        <v/>
      </c>
      <c r="DM130" s="553" t="str">
        <f t="shared" ref="DM130:DM150" si="808">IF(ISNUMBER($AV130),CW130-DC130,"")</f>
        <v/>
      </c>
      <c r="DN130" s="561" t="str">
        <f t="shared" ref="DN130:DN150" si="809">IF(ISNUMBER($AV130),CX130-DD130,"")</f>
        <v/>
      </c>
      <c r="DO130" s="547" t="str">
        <f t="shared" ref="DO130:DO150" si="810">IF(ISNUMBER($AV130),CY130-CV130,"")</f>
        <v/>
      </c>
      <c r="DP130" s="553" t="str">
        <f t="shared" ref="DP130:DP150" si="811">IF(ISNUMBER($AV130),CZ130-CW130,"")</f>
        <v/>
      </c>
      <c r="DQ130" s="554" t="str">
        <f t="shared" ref="DQ130:DQ150" si="812">IF(ISNUMBER($AV130),DA130-CX130,"")</f>
        <v/>
      </c>
      <c r="DR130" s="553" t="str">
        <f t="shared" ref="DR130:DR150" si="813">IF(ISNUMBER($AV130),SUMPRODUCT(DI130:DK130,DL130:DN130),"")</f>
        <v/>
      </c>
      <c r="DS130" s="545" t="str">
        <f t="shared" ref="DS130:DS150" si="814">IF(ISNUMBER($AV130),SUMPRODUCT(DO130:DQ130,DI130:DK130),"")</f>
        <v/>
      </c>
      <c r="DT130" s="545" t="str">
        <f t="shared" ref="DT130:DT150" si="815">IF(ISNUMBER($AV130),SUMPRODUCT(DI130:DK130,DI130:DK130),"")</f>
        <v/>
      </c>
      <c r="DU130" s="545" t="str">
        <f t="shared" ref="DU130:DU150" si="816">IF(ISNUMBER($AV130),SUMPRODUCT(DO130:DQ130,DO130:DQ130),"")</f>
        <v/>
      </c>
      <c r="DV130" s="545" t="str">
        <f t="shared" ref="DV130:DV150" si="817">IF(ISNUMBER($AV130),SUMPRODUCT(DL130:DN130,DO130:DQ130),"")</f>
        <v/>
      </c>
      <c r="DW130" s="545" t="str">
        <f t="shared" ref="DW130:DW150" si="818">IF(ISNUMBER($AV130),SUMPRODUCT(DL130:DN130,DL130:DN130),"")</f>
        <v/>
      </c>
      <c r="DX130" s="560" t="str">
        <f t="shared" ref="DX130:DX150" si="819">IF(ISNUMBER($AV130),DW130-DH130*DH130,"")</f>
        <v/>
      </c>
      <c r="DY130" s="547" t="str">
        <f t="shared" ref="DY130:DY150" si="820">IF(ISNUMBER($AV130),DT130*DU130-DS130*DS130,"")</f>
        <v/>
      </c>
      <c r="DZ130" s="545" t="str">
        <f t="shared" ref="DZ130:DZ150" si="821">IF(ISNUMBER($AV130),DT130*DV130-DS130*DR130,"")</f>
        <v/>
      </c>
      <c r="EA130" s="546" t="str">
        <f t="shared" ref="EA130:EA150" si="822">IF(ISNUMBER($AV130),DT130*DX130-DR130*DR130,"")</f>
        <v/>
      </c>
      <c r="EB130" s="548" t="str">
        <f t="shared" ref="EB130:EB150" si="823">IF(ISNUMBER($AV130),DZ130*DZ130-DY130*EA130,"")</f>
        <v/>
      </c>
      <c r="EC130" s="553" t="str">
        <f t="shared" ref="EC130:EC150" si="824">IF(ISNUMBER($AV130),(-DZ130+SQRT(DZ130^2-DY130*EA130))/DY130,"")</f>
        <v/>
      </c>
      <c r="ED130" s="545" t="str">
        <f t="shared" ref="ED130:ED150" si="825">IF(ISNUMBER($AV130),(-DZ130-SQRT(DZ130^2-DY130*EA130))/DY130,"")</f>
        <v/>
      </c>
      <c r="EE130" s="549" t="str">
        <f t="shared" ref="EE130:EE150" si="826">IF(ISNUMBER($AV130),CV130+DO130*$EC130,"")</f>
        <v/>
      </c>
      <c r="EF130" s="545" t="str">
        <f t="shared" ref="EF130:EF150" si="827">IF(ISNUMBER($AV130),CW130+DP130*$EC130,"")</f>
        <v/>
      </c>
      <c r="EG130" s="546" t="str">
        <f t="shared" ref="EG130:EG150" si="828">IF(ISNUMBER($AV130),CX130+DQ130*$EC130,"")</f>
        <v/>
      </c>
      <c r="EH130" s="547" t="str">
        <f t="shared" ref="EH130:EH150" si="829">IF(ISNUMBER($AV130),CV130+DO130*$ED130,"")</f>
        <v/>
      </c>
      <c r="EI130" s="545" t="str">
        <f t="shared" ref="EI130:EI150" si="830">IF(ISNUMBER($AV130),CW130+DP130*$ED130,"")</f>
        <v/>
      </c>
      <c r="EJ130" s="548" t="str">
        <f t="shared" ref="EJ130:EJ150" si="831">IF(ISNUMBER($AV130),CX130+DQ130*$ED130,"")</f>
        <v/>
      </c>
      <c r="EK130" s="562" t="str">
        <f t="shared" si="605"/>
        <v/>
      </c>
      <c r="EL130" s="563" t="str">
        <f t="shared" si="606"/>
        <v/>
      </c>
      <c r="EM130" s="549" t="str">
        <f t="shared" ref="EM130:EM150" si="832">IF(ISNUMBER($AV130),IF($EK130=TRUE,EE130,IF($EL130=TRUE,EH130,"")),"")</f>
        <v/>
      </c>
      <c r="EN130" s="545" t="str">
        <f t="shared" ref="EN130:EN150" si="833">IF(ISNUMBER($AV130),IF($EK130=TRUE,EF130,IF($EL130=TRUE,EI130,"")),"")</f>
        <v/>
      </c>
      <c r="EO130" s="546" t="str">
        <f t="shared" ref="EO130:EO150" si="834">IF(ISNUMBER($AV130),IF($EK130=TRUE,EG130,IF($EL130=TRUE,EJ130,"")),"")</f>
        <v/>
      </c>
      <c r="EP130" s="547" t="str">
        <f t="shared" ref="EP130:EP150" si="835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6">IF(ISNUMBER($AV130),SQRT(EM130^2+EN130^2),"")</f>
        <v/>
      </c>
      <c r="ER130" s="551" t="str">
        <f t="shared" ref="ER130:ER150" si="837">IF(ISNUMBER($AV130),EO130,"")</f>
        <v/>
      </c>
      <c r="ES130" s="544" t="str">
        <f t="shared" si="686"/>
        <v/>
      </c>
      <c r="ET130" s="545" t="str">
        <f t="shared" si="687"/>
        <v/>
      </c>
      <c r="EU130" s="546" t="str">
        <f t="shared" si="688"/>
        <v/>
      </c>
      <c r="EV130" s="178" t="str">
        <f t="shared" ref="EV130:EV150" si="838">IF(ISNUMBER($AV130),IF(($EV$1-EP130)&lt;0,(360+($EV$1-EP130)),($EV$1-EP130)),"")</f>
        <v/>
      </c>
      <c r="EW130" s="547" t="str">
        <f t="shared" ref="EW130:EW150" si="839">IF(ISNUMBER($AV130),(COS(RADIANS($EV130))*ES130)+(-SIN(RADIANS($EV130))*ET130),"")</f>
        <v/>
      </c>
      <c r="EX130" s="545" t="str">
        <f t="shared" ref="EX130:EX150" si="840">IF(ISNUMBER($AV130),(SIN(RADIANS($EV130))*ES130)+(COS(RADIANS($EV130))*ET130),"")</f>
        <v/>
      </c>
      <c r="EY130" s="548" t="str">
        <f t="shared" ref="EY130:EY150" si="841">IF(ISNUMBER($AV130),EU130,"")</f>
        <v/>
      </c>
      <c r="EZ130" s="555" t="str">
        <f t="shared" si="614"/>
        <v/>
      </c>
      <c r="FA130" s="553" t="str">
        <f t="shared" si="692"/>
        <v/>
      </c>
      <c r="FB130" s="545" t="str">
        <f t="shared" si="693"/>
        <v/>
      </c>
      <c r="FC130" s="548" t="str">
        <f t="shared" si="694"/>
        <v/>
      </c>
      <c r="FD130" s="549" t="str">
        <f t="shared" ref="FD130:FD150" si="842">IF(ISNUMBER($AV130),(COS(RADIANS($EV130))*FA130)+(-SIN(RADIANS($EV130))*FB130),"")</f>
        <v/>
      </c>
      <c r="FE130" s="545" t="str">
        <f t="shared" ref="FE130:FE150" si="843">IF(ISNUMBER($AV130),(SIN(RADIANS($EV130))*FA130)+(COS(RADIANS($EV130))*FB130),"")</f>
        <v/>
      </c>
      <c r="FF130" s="551" t="str">
        <f t="shared" ref="FF130:FF150" si="844">IF(ISNUMBER($AV130),FC130,"")</f>
        <v/>
      </c>
      <c r="FG130" s="177" t="str">
        <f t="shared" ref="FG130:FG150" si="845">IF(ISNUMBER($AV130),EW130-FD130,"")</f>
        <v/>
      </c>
      <c r="FH130" s="5" t="str">
        <f t="shared" ref="FH130:FH150" si="846">IF(ISNUMBER($AV130),EX130-FE130,"")</f>
        <v/>
      </c>
      <c r="FI130" s="10" t="str">
        <f t="shared" ref="FI130:FI150" si="847">IF(ISNUMBER($AV130),EY130-FF130,"")</f>
        <v/>
      </c>
      <c r="FJ130" s="290" t="str">
        <f t="shared" ref="FJ130:FJ150" si="848">IF(ISNUMBER($AV130),DEGREES(ACOS((2-SQRT((FG130)^2+(FH130)^2+(FI130)^2)^2)/2)),"")</f>
        <v/>
      </c>
      <c r="FK130" s="4" t="str">
        <f t="shared" ref="FK130:FK150" si="849">IF(ISNUMBER($AV130),SQRT(ES130^2+ET130^2),"")</f>
        <v/>
      </c>
      <c r="FL130" s="5" t="str">
        <f t="shared" ref="FL130:FL150" si="850">IF(ISNUMBER($AV130),SQRT(FA130^2+FB130^2),"")</f>
        <v/>
      </c>
      <c r="FM130" s="8" t="str">
        <f t="shared" ref="FM130:FM150" si="851">IF(ISNUMBER($AV130),SQRT(FG130^2+FH130^2),"")</f>
        <v/>
      </c>
      <c r="FN130" s="9" t="str">
        <f t="shared" ref="FN130:FN150" si="852">IF(ISNUMBER($AV130),DEGREES(ACOS((FK130^2+FL130^2-FM130^2)/(2*FK130*FL130))),"")</f>
        <v/>
      </c>
      <c r="FO130" s="10" t="str">
        <f t="shared" ref="FO130:FO150" si="853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54">IF(ISNUMBER($AV130),FN130*FO130,"")</f>
        <v/>
      </c>
      <c r="FQ130" s="177" t="str">
        <f t="shared" ref="FQ130:FQ150" si="855">IF(ISNUMBER($AV130),SIN(RADIANS(FN130)),"")</f>
        <v/>
      </c>
      <c r="FR130" s="10" t="str">
        <f t="shared" ref="FR130:FR150" si="856">IF(ISNUMBER($AV130),COS(RADIANS(FN130)),"")</f>
        <v/>
      </c>
      <c r="FS130" s="9" t="str">
        <f t="shared" ref="FS130:FS150" si="857">IF(ISNUMBER($AV130),FQ130/(FQ130+FR130),"")</f>
        <v/>
      </c>
      <c r="FT130" s="6" t="str">
        <f t="shared" ref="FT130:FT150" si="858">IF(ISNUMBER($AV130),FR130/(FQ130+FR130),"")</f>
        <v/>
      </c>
      <c r="FU130" s="4" t="str">
        <f t="shared" ref="FU130:FU150" si="859">IF(ISNUMBER($AV130),SQRT(EW130^2+EY130^2),"")</f>
        <v/>
      </c>
      <c r="FV130" s="5" t="str">
        <f t="shared" ref="FV130:FV150" si="860">IF(ISNUMBER($AV130),SQRT(FD130^2+FF130^2),"")</f>
        <v/>
      </c>
      <c r="FW130" s="8" t="str">
        <f t="shared" ref="FW130:FW150" si="861">IF(ISNUMBER($AV130),SQRT(FG130^2+FI130^2),"")</f>
        <v/>
      </c>
      <c r="FX130" s="9" t="str">
        <f t="shared" ref="FX130:FX150" si="862">IF(ISNUMBER($AV130),DEGREES(ACOS((FU130^2+FV130^2-FW130^2)/(2*FU130*FV130))),"")</f>
        <v/>
      </c>
      <c r="FY130" s="10" t="str">
        <f t="shared" ref="FY130:FY150" si="863">IF(ISNUMBER($AV130),IF(EU130&lt;FC130,1,-1),"")</f>
        <v/>
      </c>
      <c r="FZ130" s="288" t="str">
        <f t="shared" ref="FZ130:FZ150" si="864">IF(ISNUMBER($AV130),FX130*FY130,"")</f>
        <v/>
      </c>
      <c r="GA130" s="181" t="str">
        <f t="shared" ref="GA130:GA150" si="865">IF(ISNUMBER($AV130),DEGREES(FZ130*SIN(RADIANS(FU130))),"")</f>
        <v/>
      </c>
      <c r="GB130" s="4" t="str">
        <f t="shared" ref="GB130:GB150" si="866">IF(ISNUMBER($AV130),COS(RADIANS(FP130+90))*COS(RADIANS(FZ130)),"")</f>
        <v/>
      </c>
      <c r="GC130" s="5" t="str">
        <f t="shared" ref="GC130:GC150" si="867">IF(ISNUMBER($AV130),SIN(RADIANS(FP130+90))*COS(RADIANS(FZ130)),"")</f>
        <v/>
      </c>
      <c r="GD130" s="10" t="str">
        <f t="shared" ref="GD130:GD150" si="868">IF(ISNUMBER($AV130),-SIN(RADIANS(FZ130)),"")</f>
        <v/>
      </c>
      <c r="GE130" s="324" t="str">
        <f t="shared" ref="GE130:GE150" si="869">IF(ISNUMBER($AV130),SUM(ABS(GB130),ABS(GC130),ABS(GD130)),"")</f>
        <v/>
      </c>
      <c r="GF130" s="362" t="str">
        <f t="shared" ref="GF130:GF150" si="870">IF(ISNUMBER($AV130),1/GE130,"")</f>
        <v/>
      </c>
      <c r="GG130" s="317" t="str">
        <f t="shared" ref="GG130:GG150" si="871">IF(ISNUMBER($AV130),ABS(GB130)/(ABS($GB130)+ABS($GC130)+ABS($GD130)),"")</f>
        <v/>
      </c>
      <c r="GH130" s="318" t="str">
        <f t="shared" ref="GH130:GH150" si="872">IF(ISNUMBER($AV130),ABS(GC130)/(ABS($GB130)+ABS($GC130)+ABS($GD130)),"")</f>
        <v/>
      </c>
      <c r="GI130" s="319" t="str">
        <f t="shared" ref="GI130:GI150" si="873">IF(ISNUMBER($AV130),ABS(GD130)/(ABS($GB130)+ABS($GC130)+ABS($GD130)),"")</f>
        <v/>
      </c>
      <c r="GJ130" s="171" t="str">
        <f t="shared" ref="GJ130:GJ150" si="874">IF(ISNUMBER($AV130),AW130,"")</f>
        <v/>
      </c>
      <c r="GK130" s="178" t="str">
        <f t="shared" si="706"/>
        <v/>
      </c>
      <c r="GL130" s="178" t="str">
        <f t="shared" ref="GL130:GL150" si="875">IF(ISNUMBER($AV130),AY130,"")</f>
        <v/>
      </c>
      <c r="GM130" s="181" t="str">
        <f t="shared" ref="GM130:GM150" si="876">IF(ISNUMBER($AV130),AZ130,"")</f>
        <v/>
      </c>
      <c r="GN130" s="291" t="str">
        <f t="shared" ref="GN130:GN150" si="877">IF(ISNUMBER($AV130),BA130,"")</f>
        <v/>
      </c>
      <c r="GO130" s="4" t="str">
        <f t="shared" ref="GO130:GO150" si="878">IF(ISNUMBER($AV130),FP130,"")</f>
        <v/>
      </c>
      <c r="GP130" s="8" t="str">
        <f t="shared" ref="GP130:GP150" si="879">IF(ISNUMBER($AV130),FZ130,"")</f>
        <v/>
      </c>
      <c r="GQ130" s="181" t="str">
        <f t="shared" ref="GQ130:GQ150" si="880">IF(ISNUMBER($AV130),FJ130,"")</f>
        <v/>
      </c>
      <c r="GR130" s="417" t="str">
        <f t="shared" ref="GR130:GR150" si="881">IF(ISNUMBER($AV130),GS130+GU130+GY130,"")</f>
        <v/>
      </c>
      <c r="GS130" s="363" t="str">
        <f t="shared" ref="GS130:GS150" si="882">IF(ISNUMBER($AV130),GU130/GH130*GG130,"")</f>
        <v/>
      </c>
      <c r="GT130" s="364" t="str">
        <f t="shared" ref="GT130:GT150" si="883">IF(ISNUMBER($AV130),GS130/$GK130,"")</f>
        <v/>
      </c>
      <c r="GU130" s="365" t="str">
        <f t="shared" si="709"/>
        <v/>
      </c>
      <c r="GV130" s="364" t="str">
        <f t="shared" ref="GV130:GV150" si="884">IF(ISNUMBER($AV130),GW130*$GL130,"")</f>
        <v/>
      </c>
      <c r="GW130" s="366" t="str">
        <f t="shared" si="710"/>
        <v/>
      </c>
      <c r="GX130" s="367" t="str">
        <f t="shared" si="711"/>
        <v/>
      </c>
      <c r="GY130" s="365" t="str">
        <f t="shared" ref="GY130:GY150" si="885">IF(ISNUMBER($AV130),GU130/GH130*GI130,"")</f>
        <v/>
      </c>
      <c r="GZ130" s="366" t="str">
        <f t="shared" ref="GZ130:GZ150" si="886">IF(ISNUMBER($AV130),GY130/$GK130,"")</f>
        <v/>
      </c>
      <c r="HA130" s="363" t="str">
        <f t="shared" si="714"/>
        <v/>
      </c>
      <c r="HB130" s="5" t="str">
        <f t="shared" si="641"/>
        <v/>
      </c>
      <c r="HC130" s="364" t="str">
        <f t="shared" ref="HC130:HC150" si="887">IF(ISNUMBER($AV130),HA130*COS(RADIANS(HB130)),"")</f>
        <v/>
      </c>
      <c r="HD130" s="405" t="str">
        <f t="shared" ref="HD130:HD150" si="888">IF(ISNUMBER($AV130),HA130*SIN(RADIANS(HB130)),"")</f>
        <v/>
      </c>
      <c r="HE130" s="365" t="str">
        <f t="shared" si="715"/>
        <v/>
      </c>
      <c r="HF130" s="5" t="str">
        <f t="shared" si="716"/>
        <v/>
      </c>
      <c r="HG130" s="364" t="str">
        <f t="shared" ref="HG130:HG150" si="889">IF(ISNUMBER($AV130),HE130*COS(RADIANS(HF130)),"")</f>
        <v/>
      </c>
      <c r="HH130" s="370" t="str">
        <f t="shared" ref="HH130:HH150" si="890">IF(ISNUMBER($AV130),HE130*SIN(RADIANS(HF130)),"")</f>
        <v/>
      </c>
      <c r="HI130" s="335" t="str">
        <f t="shared" si="717"/>
        <v/>
      </c>
      <c r="HK130" s="323" t="str">
        <f t="shared" ref="HK130:HK150" si="891">IF(ISNUMBER(HL130),HK129+1,"")</f>
        <v/>
      </c>
      <c r="HL130" s="322" t="str">
        <f t="shared" ref="HL130:HL150" si="892">IFERROR(SMALL($GJ$9:$GJ$150,($HK129+1)),"")</f>
        <v/>
      </c>
      <c r="HM130" s="369" t="str">
        <f t="shared" ref="HM130:IA146" si="893">IF(ISNUMBER($HL130),VLOOKUP($HL130,$GJ$9:$HI$150,HM$1,FALSE),"")</f>
        <v/>
      </c>
      <c r="HN130" s="384" t="str">
        <f t="shared" si="893"/>
        <v/>
      </c>
      <c r="HO130" s="385" t="str">
        <f t="shared" si="893"/>
        <v/>
      </c>
      <c r="HP130" s="380" t="str">
        <f t="shared" si="893"/>
        <v/>
      </c>
      <c r="HQ130" s="384" t="str">
        <f t="shared" si="893"/>
        <v/>
      </c>
      <c r="HR130" s="395" t="str">
        <f t="shared" si="893"/>
        <v/>
      </c>
      <c r="HS130" s="379" t="str">
        <f t="shared" si="893"/>
        <v/>
      </c>
      <c r="HT130" s="374" t="str">
        <f t="shared" si="893"/>
        <v/>
      </c>
      <c r="HU130" s="375" t="str">
        <f t="shared" si="893"/>
        <v/>
      </c>
      <c r="HV130" s="376" t="str">
        <f t="shared" si="893"/>
        <v/>
      </c>
      <c r="HW130" s="374" t="str">
        <f t="shared" si="893"/>
        <v/>
      </c>
      <c r="HX130" s="375" t="str">
        <f t="shared" si="893"/>
        <v/>
      </c>
      <c r="HY130" s="376" t="str">
        <f t="shared" si="893"/>
        <v/>
      </c>
      <c r="HZ130" s="374" t="str">
        <f t="shared" si="893"/>
        <v/>
      </c>
      <c r="IA130" s="375" t="str">
        <f t="shared" si="893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6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5"/>
        <v/>
      </c>
      <c r="IK130" s="533" t="str">
        <f t="shared" si="718"/>
        <v/>
      </c>
      <c r="IL130" s="727" t="str">
        <f t="shared" si="651"/>
        <v/>
      </c>
      <c r="IM130" s="759"/>
      <c r="IN130" s="5" t="str">
        <f t="shared" si="652"/>
        <v/>
      </c>
      <c r="IO130" s="771"/>
      <c r="IP130" s="9" t="str">
        <f t="shared" si="653"/>
        <v/>
      </c>
      <c r="IQ130" s="5" t="str">
        <f t="shared" si="654"/>
        <v/>
      </c>
      <c r="IR130" s="5" t="str">
        <f t="shared" si="719"/>
        <v/>
      </c>
      <c r="IS130" s="5" t="str">
        <f t="shared" si="655"/>
        <v/>
      </c>
      <c r="IT130" s="727" t="str">
        <f t="shared" si="656"/>
        <v/>
      </c>
      <c r="IU130" s="9" t="str">
        <f t="shared" si="657"/>
        <v/>
      </c>
      <c r="IV130" s="5" t="str">
        <f t="shared" si="658"/>
        <v/>
      </c>
      <c r="IW130" s="5" t="str">
        <f t="shared" si="720"/>
        <v/>
      </c>
      <c r="IX130" s="5" t="str">
        <f t="shared" si="659"/>
        <v/>
      </c>
      <c r="IY130" s="762" t="str">
        <f t="shared" si="660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5"/>
        <v/>
      </c>
      <c r="N131" s="638" t="str">
        <f t="shared" si="666"/>
        <v/>
      </c>
      <c r="O131" s="639" t="str">
        <f t="shared" si="667"/>
        <v/>
      </c>
      <c r="P131" s="640" t="str">
        <f t="shared" si="668"/>
        <v/>
      </c>
      <c r="Q131" s="593" t="str">
        <f t="shared" si="749"/>
        <v/>
      </c>
      <c r="R131" s="639" t="str">
        <f t="shared" si="750"/>
        <v/>
      </c>
      <c r="S131" s="641" t="str">
        <f t="shared" si="751"/>
        <v/>
      </c>
      <c r="T131" s="642" t="str">
        <f t="shared" si="752"/>
        <v/>
      </c>
      <c r="U131" s="639" t="str">
        <f t="shared" si="753"/>
        <v/>
      </c>
      <c r="V131" s="643" t="str">
        <f t="shared" si="754"/>
        <v/>
      </c>
      <c r="W131" s="593" t="str">
        <f t="shared" si="755"/>
        <v/>
      </c>
      <c r="X131" s="639" t="str">
        <f t="shared" si="756"/>
        <v/>
      </c>
      <c r="Y131" s="644" t="str">
        <f t="shared" si="757"/>
        <v/>
      </c>
      <c r="Z131" s="638" t="str">
        <f t="shared" si="669"/>
        <v/>
      </c>
      <c r="AA131" s="639" t="str">
        <f t="shared" si="670"/>
        <v/>
      </c>
      <c r="AB131" s="639" t="str">
        <f t="shared" si="671"/>
        <v/>
      </c>
      <c r="AC131" s="643" t="str">
        <f t="shared" si="758"/>
        <v/>
      </c>
      <c r="AD131" s="645" t="str">
        <f t="shared" si="759"/>
        <v/>
      </c>
      <c r="AE131" s="639" t="str">
        <f t="shared" si="760"/>
        <v/>
      </c>
      <c r="AF131" s="640" t="str">
        <f t="shared" si="761"/>
        <v/>
      </c>
      <c r="AG131" s="604" t="str">
        <f t="shared" si="762"/>
        <v/>
      </c>
      <c r="AH131" s="605" t="str">
        <f t="shared" si="763"/>
        <v/>
      </c>
      <c r="AI131" s="593" t="str">
        <f t="shared" si="764"/>
        <v/>
      </c>
      <c r="AJ131" s="594" t="str">
        <f t="shared" si="765"/>
        <v/>
      </c>
      <c r="AK131" s="642" t="str">
        <f t="shared" si="766"/>
        <v/>
      </c>
      <c r="AL131" s="639" t="str">
        <f t="shared" si="767"/>
        <v/>
      </c>
      <c r="AM131" s="641" t="str">
        <f t="shared" si="768"/>
        <v/>
      </c>
      <c r="AN131" s="591" t="str">
        <f t="shared" si="769"/>
        <v/>
      </c>
      <c r="AO131" s="592" t="str">
        <f t="shared" si="748"/>
        <v/>
      </c>
      <c r="AP131" s="593" t="str">
        <f t="shared" si="770"/>
        <v/>
      </c>
      <c r="AQ131" s="594" t="str">
        <f t="shared" si="672"/>
        <v/>
      </c>
      <c r="AS131" s="555" t="str">
        <f t="shared" si="742"/>
        <v/>
      </c>
      <c r="AT131" s="556" t="str">
        <f t="shared" si="673"/>
        <v/>
      </c>
      <c r="AU131" s="469"/>
      <c r="AV131" s="168" t="str">
        <f t="shared" si="674"/>
        <v/>
      </c>
      <c r="AW131" s="557"/>
      <c r="AX131" s="49"/>
      <c r="AY131" s="242"/>
      <c r="AZ131" s="308" t="str">
        <f t="shared" si="771"/>
        <v/>
      </c>
      <c r="BA131" s="558" t="str">
        <f t="shared" si="772"/>
        <v/>
      </c>
      <c r="BB131" s="559" t="str">
        <f t="shared" si="524"/>
        <v/>
      </c>
      <c r="BC131" s="547"/>
      <c r="BD131" s="545" t="str">
        <f t="shared" si="773"/>
        <v/>
      </c>
      <c r="BE131" s="548" t="str">
        <f t="shared" si="676"/>
        <v/>
      </c>
      <c r="BF131" s="549" t="str">
        <f t="shared" si="677"/>
        <v/>
      </c>
      <c r="BG131" s="545" t="str">
        <f t="shared" si="678"/>
        <v/>
      </c>
      <c r="BH131" s="546" t="str">
        <f t="shared" si="679"/>
        <v/>
      </c>
      <c r="BI131" s="547" t="str">
        <f t="shared" si="774"/>
        <v/>
      </c>
      <c r="BJ131" s="545" t="str">
        <f t="shared" si="680"/>
        <v/>
      </c>
      <c r="BK131" s="550" t="str">
        <f t="shared" si="681"/>
        <v/>
      </c>
      <c r="BL131" s="553" t="str">
        <f t="shared" si="682"/>
        <v/>
      </c>
      <c r="BM131" s="545" t="str">
        <f t="shared" si="683"/>
        <v/>
      </c>
      <c r="BN131" s="548" t="str">
        <f t="shared" si="684"/>
        <v/>
      </c>
      <c r="BO131" s="549" t="str">
        <f t="shared" si="775"/>
        <v/>
      </c>
      <c r="BP131" s="545" t="str">
        <f t="shared" si="776"/>
        <v/>
      </c>
      <c r="BQ131" s="545" t="str">
        <f t="shared" si="777"/>
        <v/>
      </c>
      <c r="BR131" s="548" t="str">
        <f t="shared" si="778"/>
        <v/>
      </c>
      <c r="BS131" s="549" t="str">
        <f t="shared" si="740"/>
        <v/>
      </c>
      <c r="BT131" s="545" t="str">
        <f t="shared" si="740"/>
        <v/>
      </c>
      <c r="BU131" s="546" t="str">
        <f t="shared" si="527"/>
        <v/>
      </c>
      <c r="BV131" s="547" t="str">
        <f t="shared" si="528"/>
        <v/>
      </c>
      <c r="BW131" s="545" t="str">
        <f t="shared" si="529"/>
        <v/>
      </c>
      <c r="BX131" s="550" t="str">
        <f t="shared" si="530"/>
        <v/>
      </c>
      <c r="BY131" s="553" t="str">
        <f t="shared" si="531"/>
        <v/>
      </c>
      <c r="BZ131" s="545" t="str">
        <f t="shared" si="532"/>
        <v/>
      </c>
      <c r="CA131" s="548" t="str">
        <f t="shared" si="533"/>
        <v/>
      </c>
      <c r="CB131" s="549" t="str">
        <f t="shared" si="779"/>
        <v/>
      </c>
      <c r="CC131" s="545" t="str">
        <f t="shared" si="780"/>
        <v/>
      </c>
      <c r="CD131" s="545" t="str">
        <f t="shared" si="781"/>
        <v/>
      </c>
      <c r="CE131" s="548" t="str">
        <f t="shared" si="782"/>
        <v/>
      </c>
      <c r="CF131" s="549" t="str">
        <f t="shared" si="783"/>
        <v/>
      </c>
      <c r="CG131" s="545" t="str">
        <f t="shared" si="784"/>
        <v/>
      </c>
      <c r="CH131" s="545" t="str">
        <f t="shared" si="785"/>
        <v/>
      </c>
      <c r="CI131" s="549" t="str">
        <f t="shared" si="534"/>
        <v/>
      </c>
      <c r="CJ131" s="545" t="str">
        <f t="shared" si="786"/>
        <v/>
      </c>
      <c r="CK131" s="550" t="str">
        <f t="shared" si="787"/>
        <v/>
      </c>
      <c r="CL131" s="553" t="str">
        <f t="shared" si="788"/>
        <v/>
      </c>
      <c r="CM131" s="545" t="str">
        <f t="shared" si="789"/>
        <v/>
      </c>
      <c r="CN131" s="548" t="str">
        <f t="shared" si="790"/>
        <v/>
      </c>
      <c r="CO131" s="560" t="str">
        <f t="shared" si="685"/>
        <v/>
      </c>
      <c r="CP131" s="549" t="str">
        <f t="shared" si="791"/>
        <v/>
      </c>
      <c r="CQ131" s="545" t="str">
        <f t="shared" si="792"/>
        <v/>
      </c>
      <c r="CR131" s="545" t="str">
        <f t="shared" si="793"/>
        <v/>
      </c>
      <c r="CS131" s="550" t="str">
        <f t="shared" si="794"/>
        <v/>
      </c>
      <c r="CT131" s="547" t="str">
        <f t="shared" si="795"/>
        <v/>
      </c>
      <c r="CU131" s="548" t="str">
        <f t="shared" si="796"/>
        <v/>
      </c>
      <c r="CV131" s="549" t="str">
        <f t="shared" si="797"/>
        <v/>
      </c>
      <c r="CW131" s="545" t="str">
        <f t="shared" si="798"/>
        <v/>
      </c>
      <c r="CX131" s="550" t="str">
        <f t="shared" si="799"/>
        <v/>
      </c>
      <c r="CY131" s="547" t="str">
        <f t="shared" si="800"/>
        <v/>
      </c>
      <c r="CZ131" s="545" t="str">
        <f t="shared" si="801"/>
        <v/>
      </c>
      <c r="DA131" s="548" t="str">
        <f t="shared" si="802"/>
        <v/>
      </c>
      <c r="DB131" s="549" t="str">
        <f t="shared" si="743"/>
        <v/>
      </c>
      <c r="DC131" s="545" t="str">
        <f t="shared" si="743"/>
        <v/>
      </c>
      <c r="DD131" s="546" t="str">
        <f t="shared" si="573"/>
        <v/>
      </c>
      <c r="DE131" s="547" t="str">
        <f t="shared" si="744"/>
        <v/>
      </c>
      <c r="DF131" s="545" t="str">
        <f t="shared" si="744"/>
        <v/>
      </c>
      <c r="DG131" s="546" t="str">
        <f t="shared" si="575"/>
        <v/>
      </c>
      <c r="DH131" s="552" t="str">
        <f t="shared" si="803"/>
        <v/>
      </c>
      <c r="DI131" s="549" t="str">
        <f t="shared" si="804"/>
        <v/>
      </c>
      <c r="DJ131" s="545" t="str">
        <f t="shared" si="805"/>
        <v/>
      </c>
      <c r="DK131" s="546" t="str">
        <f t="shared" si="806"/>
        <v/>
      </c>
      <c r="DL131" s="547" t="str">
        <f t="shared" si="807"/>
        <v/>
      </c>
      <c r="DM131" s="553" t="str">
        <f t="shared" si="808"/>
        <v/>
      </c>
      <c r="DN131" s="561" t="str">
        <f t="shared" si="809"/>
        <v/>
      </c>
      <c r="DO131" s="547" t="str">
        <f t="shared" si="810"/>
        <v/>
      </c>
      <c r="DP131" s="553" t="str">
        <f t="shared" si="811"/>
        <v/>
      </c>
      <c r="DQ131" s="554" t="str">
        <f t="shared" si="812"/>
        <v/>
      </c>
      <c r="DR131" s="553" t="str">
        <f t="shared" si="813"/>
        <v/>
      </c>
      <c r="DS131" s="545" t="str">
        <f t="shared" si="814"/>
        <v/>
      </c>
      <c r="DT131" s="545" t="str">
        <f t="shared" si="815"/>
        <v/>
      </c>
      <c r="DU131" s="545" t="str">
        <f t="shared" si="816"/>
        <v/>
      </c>
      <c r="DV131" s="545" t="str">
        <f t="shared" si="817"/>
        <v/>
      </c>
      <c r="DW131" s="545" t="str">
        <f t="shared" si="818"/>
        <v/>
      </c>
      <c r="DX131" s="560" t="str">
        <f t="shared" si="819"/>
        <v/>
      </c>
      <c r="DY131" s="547" t="str">
        <f t="shared" si="820"/>
        <v/>
      </c>
      <c r="DZ131" s="545" t="str">
        <f t="shared" si="821"/>
        <v/>
      </c>
      <c r="EA131" s="546" t="str">
        <f t="shared" si="822"/>
        <v/>
      </c>
      <c r="EB131" s="548" t="str">
        <f t="shared" si="823"/>
        <v/>
      </c>
      <c r="EC131" s="553" t="str">
        <f t="shared" si="824"/>
        <v/>
      </c>
      <c r="ED131" s="545" t="str">
        <f t="shared" si="825"/>
        <v/>
      </c>
      <c r="EE131" s="549" t="str">
        <f t="shared" si="826"/>
        <v/>
      </c>
      <c r="EF131" s="545" t="str">
        <f t="shared" si="827"/>
        <v/>
      </c>
      <c r="EG131" s="546" t="str">
        <f t="shared" si="828"/>
        <v/>
      </c>
      <c r="EH131" s="547" t="str">
        <f t="shared" si="829"/>
        <v/>
      </c>
      <c r="EI131" s="545" t="str">
        <f t="shared" si="830"/>
        <v/>
      </c>
      <c r="EJ131" s="548" t="str">
        <f t="shared" si="831"/>
        <v/>
      </c>
      <c r="EK131" s="562" t="str">
        <f t="shared" si="605"/>
        <v/>
      </c>
      <c r="EL131" s="563" t="str">
        <f t="shared" si="606"/>
        <v/>
      </c>
      <c r="EM131" s="549" t="str">
        <f t="shared" si="832"/>
        <v/>
      </c>
      <c r="EN131" s="545" t="str">
        <f t="shared" si="833"/>
        <v/>
      </c>
      <c r="EO131" s="546" t="str">
        <f t="shared" si="834"/>
        <v/>
      </c>
      <c r="EP131" s="547" t="str">
        <f t="shared" si="835"/>
        <v/>
      </c>
      <c r="EQ131" s="545" t="str">
        <f t="shared" si="836"/>
        <v/>
      </c>
      <c r="ER131" s="551" t="str">
        <f t="shared" si="837"/>
        <v/>
      </c>
      <c r="ES131" s="544" t="str">
        <f t="shared" si="686"/>
        <v/>
      </c>
      <c r="ET131" s="545" t="str">
        <f t="shared" si="687"/>
        <v/>
      </c>
      <c r="EU131" s="546" t="str">
        <f t="shared" si="688"/>
        <v/>
      </c>
      <c r="EV131" s="178" t="str">
        <f t="shared" si="838"/>
        <v/>
      </c>
      <c r="EW131" s="547" t="str">
        <f t="shared" si="839"/>
        <v/>
      </c>
      <c r="EX131" s="545" t="str">
        <f t="shared" si="840"/>
        <v/>
      </c>
      <c r="EY131" s="548" t="str">
        <f t="shared" si="841"/>
        <v/>
      </c>
      <c r="EZ131" s="555" t="str">
        <f t="shared" si="614"/>
        <v/>
      </c>
      <c r="FA131" s="553" t="str">
        <f t="shared" si="692"/>
        <v/>
      </c>
      <c r="FB131" s="545" t="str">
        <f t="shared" si="693"/>
        <v/>
      </c>
      <c r="FC131" s="548" t="str">
        <f t="shared" si="694"/>
        <v/>
      </c>
      <c r="FD131" s="549" t="str">
        <f t="shared" si="842"/>
        <v/>
      </c>
      <c r="FE131" s="545" t="str">
        <f t="shared" si="843"/>
        <v/>
      </c>
      <c r="FF131" s="551" t="str">
        <f t="shared" si="844"/>
        <v/>
      </c>
      <c r="FG131" s="177" t="str">
        <f t="shared" si="845"/>
        <v/>
      </c>
      <c r="FH131" s="5" t="str">
        <f t="shared" si="846"/>
        <v/>
      </c>
      <c r="FI131" s="10" t="str">
        <f t="shared" si="847"/>
        <v/>
      </c>
      <c r="FJ131" s="290" t="str">
        <f t="shared" si="848"/>
        <v/>
      </c>
      <c r="FK131" s="4" t="str">
        <f t="shared" si="849"/>
        <v/>
      </c>
      <c r="FL131" s="5" t="str">
        <f t="shared" si="850"/>
        <v/>
      </c>
      <c r="FM131" s="8" t="str">
        <f t="shared" si="851"/>
        <v/>
      </c>
      <c r="FN131" s="9" t="str">
        <f t="shared" si="852"/>
        <v/>
      </c>
      <c r="FO131" s="10" t="str">
        <f t="shared" si="853"/>
        <v/>
      </c>
      <c r="FP131" s="288" t="str">
        <f t="shared" si="854"/>
        <v/>
      </c>
      <c r="FQ131" s="177" t="str">
        <f t="shared" si="855"/>
        <v/>
      </c>
      <c r="FR131" s="10" t="str">
        <f t="shared" si="856"/>
        <v/>
      </c>
      <c r="FS131" s="9" t="str">
        <f t="shared" si="857"/>
        <v/>
      </c>
      <c r="FT131" s="6" t="str">
        <f t="shared" si="858"/>
        <v/>
      </c>
      <c r="FU131" s="4" t="str">
        <f t="shared" si="859"/>
        <v/>
      </c>
      <c r="FV131" s="5" t="str">
        <f t="shared" si="860"/>
        <v/>
      </c>
      <c r="FW131" s="8" t="str">
        <f t="shared" si="861"/>
        <v/>
      </c>
      <c r="FX131" s="9" t="str">
        <f t="shared" si="862"/>
        <v/>
      </c>
      <c r="FY131" s="10" t="str">
        <f t="shared" si="863"/>
        <v/>
      </c>
      <c r="FZ131" s="288" t="str">
        <f t="shared" si="864"/>
        <v/>
      </c>
      <c r="GA131" s="181" t="str">
        <f t="shared" si="865"/>
        <v/>
      </c>
      <c r="GB131" s="4" t="str">
        <f t="shared" si="866"/>
        <v/>
      </c>
      <c r="GC131" s="5" t="str">
        <f t="shared" si="867"/>
        <v/>
      </c>
      <c r="GD131" s="10" t="str">
        <f t="shared" si="868"/>
        <v/>
      </c>
      <c r="GE131" s="324" t="str">
        <f t="shared" si="869"/>
        <v/>
      </c>
      <c r="GF131" s="362" t="str">
        <f t="shared" si="870"/>
        <v/>
      </c>
      <c r="GG131" s="317" t="str">
        <f t="shared" si="871"/>
        <v/>
      </c>
      <c r="GH131" s="318" t="str">
        <f t="shared" si="872"/>
        <v/>
      </c>
      <c r="GI131" s="319" t="str">
        <f t="shared" si="873"/>
        <v/>
      </c>
      <c r="GJ131" s="171" t="str">
        <f t="shared" si="874"/>
        <v/>
      </c>
      <c r="GK131" s="178" t="str">
        <f t="shared" si="706"/>
        <v/>
      </c>
      <c r="GL131" s="178" t="str">
        <f t="shared" si="875"/>
        <v/>
      </c>
      <c r="GM131" s="181" t="str">
        <f t="shared" si="876"/>
        <v/>
      </c>
      <c r="GN131" s="291" t="str">
        <f t="shared" si="877"/>
        <v/>
      </c>
      <c r="GO131" s="4" t="str">
        <f t="shared" si="878"/>
        <v/>
      </c>
      <c r="GP131" s="8" t="str">
        <f t="shared" si="879"/>
        <v/>
      </c>
      <c r="GQ131" s="181" t="str">
        <f t="shared" si="880"/>
        <v/>
      </c>
      <c r="GR131" s="417" t="str">
        <f t="shared" si="881"/>
        <v/>
      </c>
      <c r="GS131" s="363" t="str">
        <f t="shared" si="882"/>
        <v/>
      </c>
      <c r="GT131" s="364" t="str">
        <f t="shared" si="883"/>
        <v/>
      </c>
      <c r="GU131" s="365" t="str">
        <f t="shared" si="709"/>
        <v/>
      </c>
      <c r="GV131" s="364" t="str">
        <f t="shared" si="884"/>
        <v/>
      </c>
      <c r="GW131" s="366" t="str">
        <f t="shared" si="710"/>
        <v/>
      </c>
      <c r="GX131" s="367" t="str">
        <f t="shared" si="711"/>
        <v/>
      </c>
      <c r="GY131" s="365" t="str">
        <f t="shared" si="885"/>
        <v/>
      </c>
      <c r="GZ131" s="366" t="str">
        <f t="shared" si="886"/>
        <v/>
      </c>
      <c r="HA131" s="363" t="str">
        <f t="shared" si="714"/>
        <v/>
      </c>
      <c r="HB131" s="5" t="str">
        <f t="shared" si="641"/>
        <v/>
      </c>
      <c r="HC131" s="364" t="str">
        <f t="shared" si="887"/>
        <v/>
      </c>
      <c r="HD131" s="405" t="str">
        <f t="shared" si="888"/>
        <v/>
      </c>
      <c r="HE131" s="365" t="str">
        <f t="shared" si="715"/>
        <v/>
      </c>
      <c r="HF131" s="5" t="str">
        <f t="shared" si="716"/>
        <v/>
      </c>
      <c r="HG131" s="364" t="str">
        <f t="shared" si="889"/>
        <v/>
      </c>
      <c r="HH131" s="370" t="str">
        <f t="shared" si="890"/>
        <v/>
      </c>
      <c r="HI131" s="335" t="str">
        <f t="shared" si="717"/>
        <v/>
      </c>
      <c r="HK131" s="323" t="str">
        <f t="shared" si="891"/>
        <v/>
      </c>
      <c r="HL131" s="322" t="str">
        <f t="shared" si="892"/>
        <v/>
      </c>
      <c r="HM131" s="369" t="str">
        <f t="shared" si="893"/>
        <v/>
      </c>
      <c r="HN131" s="384" t="str">
        <f t="shared" si="893"/>
        <v/>
      </c>
      <c r="HO131" s="385" t="str">
        <f t="shared" si="893"/>
        <v/>
      </c>
      <c r="HP131" s="380" t="str">
        <f t="shared" si="893"/>
        <v/>
      </c>
      <c r="HQ131" s="384" t="str">
        <f t="shared" si="893"/>
        <v/>
      </c>
      <c r="HR131" s="395" t="str">
        <f t="shared" si="893"/>
        <v/>
      </c>
      <c r="HS131" s="379" t="str">
        <f t="shared" si="893"/>
        <v/>
      </c>
      <c r="HT131" s="374" t="str">
        <f t="shared" si="893"/>
        <v/>
      </c>
      <c r="HU131" s="375" t="str">
        <f t="shared" si="893"/>
        <v/>
      </c>
      <c r="HV131" s="376" t="str">
        <f t="shared" si="893"/>
        <v/>
      </c>
      <c r="HW131" s="374" t="str">
        <f t="shared" si="893"/>
        <v/>
      </c>
      <c r="HX131" s="375" t="str">
        <f t="shared" si="893"/>
        <v/>
      </c>
      <c r="HY131" s="376" t="str">
        <f t="shared" si="893"/>
        <v/>
      </c>
      <c r="HZ131" s="374" t="str">
        <f t="shared" si="893"/>
        <v/>
      </c>
      <c r="IA131" s="375" t="str">
        <f t="shared" si="893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6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5"/>
        <v/>
      </c>
      <c r="IK131" s="533" t="str">
        <f t="shared" si="718"/>
        <v/>
      </c>
      <c r="IL131" s="727" t="str">
        <f t="shared" si="651"/>
        <v/>
      </c>
      <c r="IM131" s="759"/>
      <c r="IN131" s="5" t="str">
        <f t="shared" si="652"/>
        <v/>
      </c>
      <c r="IO131" s="771"/>
      <c r="IP131" s="9" t="str">
        <f t="shared" si="653"/>
        <v/>
      </c>
      <c r="IQ131" s="5" t="str">
        <f t="shared" si="654"/>
        <v/>
      </c>
      <c r="IR131" s="5" t="str">
        <f t="shared" si="719"/>
        <v/>
      </c>
      <c r="IS131" s="5" t="str">
        <f t="shared" si="655"/>
        <v/>
      </c>
      <c r="IT131" s="727" t="str">
        <f t="shared" si="656"/>
        <v/>
      </c>
      <c r="IU131" s="9" t="str">
        <f t="shared" si="657"/>
        <v/>
      </c>
      <c r="IV131" s="5" t="str">
        <f t="shared" si="658"/>
        <v/>
      </c>
      <c r="IW131" s="5" t="str">
        <f t="shared" si="720"/>
        <v/>
      </c>
      <c r="IX131" s="5" t="str">
        <f t="shared" si="659"/>
        <v/>
      </c>
      <c r="IY131" s="762" t="str">
        <f t="shared" si="660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5"/>
        <v/>
      </c>
      <c r="N132" s="638" t="str">
        <f t="shared" si="666"/>
        <v/>
      </c>
      <c r="O132" s="639" t="str">
        <f t="shared" si="667"/>
        <v/>
      </c>
      <c r="P132" s="640" t="str">
        <f t="shared" si="668"/>
        <v/>
      </c>
      <c r="Q132" s="593" t="str">
        <f t="shared" si="749"/>
        <v/>
      </c>
      <c r="R132" s="639" t="str">
        <f t="shared" si="750"/>
        <v/>
      </c>
      <c r="S132" s="641" t="str">
        <f t="shared" si="751"/>
        <v/>
      </c>
      <c r="T132" s="642" t="str">
        <f t="shared" si="752"/>
        <v/>
      </c>
      <c r="U132" s="639" t="str">
        <f t="shared" si="753"/>
        <v/>
      </c>
      <c r="V132" s="643" t="str">
        <f t="shared" si="754"/>
        <v/>
      </c>
      <c r="W132" s="593" t="str">
        <f t="shared" si="755"/>
        <v/>
      </c>
      <c r="X132" s="639" t="str">
        <f t="shared" si="756"/>
        <v/>
      </c>
      <c r="Y132" s="644" t="str">
        <f t="shared" si="757"/>
        <v/>
      </c>
      <c r="Z132" s="638" t="str">
        <f t="shared" si="669"/>
        <v/>
      </c>
      <c r="AA132" s="639" t="str">
        <f t="shared" si="670"/>
        <v/>
      </c>
      <c r="AB132" s="639" t="str">
        <f t="shared" si="671"/>
        <v/>
      </c>
      <c r="AC132" s="643" t="str">
        <f t="shared" si="758"/>
        <v/>
      </c>
      <c r="AD132" s="645" t="str">
        <f t="shared" si="759"/>
        <v/>
      </c>
      <c r="AE132" s="639" t="str">
        <f t="shared" si="760"/>
        <v/>
      </c>
      <c r="AF132" s="640" t="str">
        <f t="shared" si="761"/>
        <v/>
      </c>
      <c r="AG132" s="604" t="str">
        <f t="shared" si="762"/>
        <v/>
      </c>
      <c r="AH132" s="605" t="str">
        <f t="shared" si="763"/>
        <v/>
      </c>
      <c r="AI132" s="593" t="str">
        <f t="shared" si="764"/>
        <v/>
      </c>
      <c r="AJ132" s="594" t="str">
        <f t="shared" si="765"/>
        <v/>
      </c>
      <c r="AK132" s="642" t="str">
        <f t="shared" si="766"/>
        <v/>
      </c>
      <c r="AL132" s="639" t="str">
        <f t="shared" si="767"/>
        <v/>
      </c>
      <c r="AM132" s="641" t="str">
        <f t="shared" si="768"/>
        <v/>
      </c>
      <c r="AN132" s="591" t="str">
        <f t="shared" si="769"/>
        <v/>
      </c>
      <c r="AO132" s="592" t="str">
        <f t="shared" si="748"/>
        <v/>
      </c>
      <c r="AP132" s="593" t="str">
        <f t="shared" si="770"/>
        <v/>
      </c>
      <c r="AQ132" s="594" t="str">
        <f t="shared" si="672"/>
        <v/>
      </c>
      <c r="AS132" s="555" t="str">
        <f t="shared" si="742"/>
        <v/>
      </c>
      <c r="AT132" s="556" t="str">
        <f t="shared" si="673"/>
        <v/>
      </c>
      <c r="AU132" s="469"/>
      <c r="AV132" s="168" t="str">
        <f t="shared" si="674"/>
        <v/>
      </c>
      <c r="AW132" s="557"/>
      <c r="AX132" s="49"/>
      <c r="AY132" s="242"/>
      <c r="AZ132" s="308" t="str">
        <f t="shared" si="771"/>
        <v/>
      </c>
      <c r="BA132" s="558" t="str">
        <f t="shared" si="772"/>
        <v/>
      </c>
      <c r="BB132" s="559" t="str">
        <f t="shared" si="524"/>
        <v/>
      </c>
      <c r="BC132" s="547"/>
      <c r="BD132" s="545" t="str">
        <f t="shared" si="773"/>
        <v/>
      </c>
      <c r="BE132" s="548" t="str">
        <f t="shared" si="676"/>
        <v/>
      </c>
      <c r="BF132" s="549" t="str">
        <f t="shared" si="677"/>
        <v/>
      </c>
      <c r="BG132" s="545" t="str">
        <f t="shared" si="678"/>
        <v/>
      </c>
      <c r="BH132" s="546" t="str">
        <f t="shared" si="679"/>
        <v/>
      </c>
      <c r="BI132" s="547" t="str">
        <f t="shared" si="774"/>
        <v/>
      </c>
      <c r="BJ132" s="545" t="str">
        <f t="shared" si="680"/>
        <v/>
      </c>
      <c r="BK132" s="550" t="str">
        <f t="shared" si="681"/>
        <v/>
      </c>
      <c r="BL132" s="553" t="str">
        <f t="shared" si="682"/>
        <v/>
      </c>
      <c r="BM132" s="545" t="str">
        <f t="shared" si="683"/>
        <v/>
      </c>
      <c r="BN132" s="548" t="str">
        <f t="shared" si="684"/>
        <v/>
      </c>
      <c r="BO132" s="549" t="str">
        <f t="shared" si="775"/>
        <v/>
      </c>
      <c r="BP132" s="545" t="str">
        <f t="shared" si="776"/>
        <v/>
      </c>
      <c r="BQ132" s="545" t="str">
        <f t="shared" si="777"/>
        <v/>
      </c>
      <c r="BR132" s="548" t="str">
        <f t="shared" si="778"/>
        <v/>
      </c>
      <c r="BS132" s="549" t="str">
        <f t="shared" si="740"/>
        <v/>
      </c>
      <c r="BT132" s="545" t="str">
        <f t="shared" si="740"/>
        <v/>
      </c>
      <c r="BU132" s="546" t="str">
        <f t="shared" si="527"/>
        <v/>
      </c>
      <c r="BV132" s="547" t="str">
        <f t="shared" si="528"/>
        <v/>
      </c>
      <c r="BW132" s="545" t="str">
        <f t="shared" si="529"/>
        <v/>
      </c>
      <c r="BX132" s="550" t="str">
        <f t="shared" si="530"/>
        <v/>
      </c>
      <c r="BY132" s="553" t="str">
        <f t="shared" si="531"/>
        <v/>
      </c>
      <c r="BZ132" s="545" t="str">
        <f t="shared" si="532"/>
        <v/>
      </c>
      <c r="CA132" s="548" t="str">
        <f t="shared" si="533"/>
        <v/>
      </c>
      <c r="CB132" s="549" t="str">
        <f t="shared" si="779"/>
        <v/>
      </c>
      <c r="CC132" s="545" t="str">
        <f t="shared" si="780"/>
        <v/>
      </c>
      <c r="CD132" s="545" t="str">
        <f t="shared" si="781"/>
        <v/>
      </c>
      <c r="CE132" s="548" t="str">
        <f t="shared" si="782"/>
        <v/>
      </c>
      <c r="CF132" s="549" t="str">
        <f t="shared" si="783"/>
        <v/>
      </c>
      <c r="CG132" s="545" t="str">
        <f t="shared" si="784"/>
        <v/>
      </c>
      <c r="CH132" s="545" t="str">
        <f t="shared" si="785"/>
        <v/>
      </c>
      <c r="CI132" s="549" t="str">
        <f t="shared" si="534"/>
        <v/>
      </c>
      <c r="CJ132" s="545" t="str">
        <f t="shared" si="786"/>
        <v/>
      </c>
      <c r="CK132" s="550" t="str">
        <f t="shared" si="787"/>
        <v/>
      </c>
      <c r="CL132" s="553" t="str">
        <f t="shared" si="788"/>
        <v/>
      </c>
      <c r="CM132" s="545" t="str">
        <f t="shared" si="789"/>
        <v/>
      </c>
      <c r="CN132" s="548" t="str">
        <f t="shared" si="790"/>
        <v/>
      </c>
      <c r="CO132" s="560" t="str">
        <f t="shared" si="685"/>
        <v/>
      </c>
      <c r="CP132" s="549" t="str">
        <f t="shared" si="791"/>
        <v/>
      </c>
      <c r="CQ132" s="545" t="str">
        <f t="shared" si="792"/>
        <v/>
      </c>
      <c r="CR132" s="545" t="str">
        <f t="shared" si="793"/>
        <v/>
      </c>
      <c r="CS132" s="550" t="str">
        <f t="shared" si="794"/>
        <v/>
      </c>
      <c r="CT132" s="547" t="str">
        <f t="shared" si="795"/>
        <v/>
      </c>
      <c r="CU132" s="548" t="str">
        <f t="shared" si="796"/>
        <v/>
      </c>
      <c r="CV132" s="549" t="str">
        <f t="shared" si="797"/>
        <v/>
      </c>
      <c r="CW132" s="545" t="str">
        <f t="shared" si="798"/>
        <v/>
      </c>
      <c r="CX132" s="550" t="str">
        <f t="shared" si="799"/>
        <v/>
      </c>
      <c r="CY132" s="547" t="str">
        <f t="shared" si="800"/>
        <v/>
      </c>
      <c r="CZ132" s="545" t="str">
        <f t="shared" si="801"/>
        <v/>
      </c>
      <c r="DA132" s="548" t="str">
        <f t="shared" si="802"/>
        <v/>
      </c>
      <c r="DB132" s="549" t="str">
        <f t="shared" si="743"/>
        <v/>
      </c>
      <c r="DC132" s="545" t="str">
        <f t="shared" si="743"/>
        <v/>
      </c>
      <c r="DD132" s="546" t="str">
        <f t="shared" si="573"/>
        <v/>
      </c>
      <c r="DE132" s="547" t="str">
        <f t="shared" si="744"/>
        <v/>
      </c>
      <c r="DF132" s="545" t="str">
        <f t="shared" si="744"/>
        <v/>
      </c>
      <c r="DG132" s="546" t="str">
        <f t="shared" si="575"/>
        <v/>
      </c>
      <c r="DH132" s="552" t="str">
        <f t="shared" si="803"/>
        <v/>
      </c>
      <c r="DI132" s="549" t="str">
        <f t="shared" si="804"/>
        <v/>
      </c>
      <c r="DJ132" s="545" t="str">
        <f t="shared" si="805"/>
        <v/>
      </c>
      <c r="DK132" s="546" t="str">
        <f t="shared" si="806"/>
        <v/>
      </c>
      <c r="DL132" s="547" t="str">
        <f t="shared" si="807"/>
        <v/>
      </c>
      <c r="DM132" s="553" t="str">
        <f t="shared" si="808"/>
        <v/>
      </c>
      <c r="DN132" s="561" t="str">
        <f t="shared" si="809"/>
        <v/>
      </c>
      <c r="DO132" s="547" t="str">
        <f t="shared" si="810"/>
        <v/>
      </c>
      <c r="DP132" s="553" t="str">
        <f t="shared" si="811"/>
        <v/>
      </c>
      <c r="DQ132" s="554" t="str">
        <f t="shared" si="812"/>
        <v/>
      </c>
      <c r="DR132" s="553" t="str">
        <f t="shared" si="813"/>
        <v/>
      </c>
      <c r="DS132" s="545" t="str">
        <f t="shared" si="814"/>
        <v/>
      </c>
      <c r="DT132" s="545" t="str">
        <f t="shared" si="815"/>
        <v/>
      </c>
      <c r="DU132" s="545" t="str">
        <f t="shared" si="816"/>
        <v/>
      </c>
      <c r="DV132" s="545" t="str">
        <f t="shared" si="817"/>
        <v/>
      </c>
      <c r="DW132" s="545" t="str">
        <f t="shared" si="818"/>
        <v/>
      </c>
      <c r="DX132" s="560" t="str">
        <f t="shared" si="819"/>
        <v/>
      </c>
      <c r="DY132" s="547" t="str">
        <f t="shared" si="820"/>
        <v/>
      </c>
      <c r="DZ132" s="545" t="str">
        <f t="shared" si="821"/>
        <v/>
      </c>
      <c r="EA132" s="546" t="str">
        <f t="shared" si="822"/>
        <v/>
      </c>
      <c r="EB132" s="548" t="str">
        <f t="shared" si="823"/>
        <v/>
      </c>
      <c r="EC132" s="553" t="str">
        <f t="shared" si="824"/>
        <v/>
      </c>
      <c r="ED132" s="545" t="str">
        <f t="shared" si="825"/>
        <v/>
      </c>
      <c r="EE132" s="549" t="str">
        <f t="shared" si="826"/>
        <v/>
      </c>
      <c r="EF132" s="545" t="str">
        <f t="shared" si="827"/>
        <v/>
      </c>
      <c r="EG132" s="546" t="str">
        <f t="shared" si="828"/>
        <v/>
      </c>
      <c r="EH132" s="547" t="str">
        <f t="shared" si="829"/>
        <v/>
      </c>
      <c r="EI132" s="545" t="str">
        <f t="shared" si="830"/>
        <v/>
      </c>
      <c r="EJ132" s="548" t="str">
        <f t="shared" si="831"/>
        <v/>
      </c>
      <c r="EK132" s="562" t="str">
        <f t="shared" si="605"/>
        <v/>
      </c>
      <c r="EL132" s="563" t="str">
        <f t="shared" si="606"/>
        <v/>
      </c>
      <c r="EM132" s="549" t="str">
        <f t="shared" si="832"/>
        <v/>
      </c>
      <c r="EN132" s="545" t="str">
        <f t="shared" si="833"/>
        <v/>
      </c>
      <c r="EO132" s="546" t="str">
        <f t="shared" si="834"/>
        <v/>
      </c>
      <c r="EP132" s="547" t="str">
        <f t="shared" si="835"/>
        <v/>
      </c>
      <c r="EQ132" s="545" t="str">
        <f t="shared" si="836"/>
        <v/>
      </c>
      <c r="ER132" s="551" t="str">
        <f t="shared" si="837"/>
        <v/>
      </c>
      <c r="ES132" s="544" t="str">
        <f t="shared" si="686"/>
        <v/>
      </c>
      <c r="ET132" s="545" t="str">
        <f t="shared" si="687"/>
        <v/>
      </c>
      <c r="EU132" s="546" t="str">
        <f t="shared" si="688"/>
        <v/>
      </c>
      <c r="EV132" s="178" t="str">
        <f t="shared" si="838"/>
        <v/>
      </c>
      <c r="EW132" s="547" t="str">
        <f t="shared" si="839"/>
        <v/>
      </c>
      <c r="EX132" s="545" t="str">
        <f t="shared" si="840"/>
        <v/>
      </c>
      <c r="EY132" s="548" t="str">
        <f t="shared" si="841"/>
        <v/>
      </c>
      <c r="EZ132" s="555" t="str">
        <f t="shared" si="614"/>
        <v/>
      </c>
      <c r="FA132" s="553" t="str">
        <f t="shared" si="692"/>
        <v/>
      </c>
      <c r="FB132" s="545" t="str">
        <f t="shared" si="693"/>
        <v/>
      </c>
      <c r="FC132" s="548" t="str">
        <f t="shared" si="694"/>
        <v/>
      </c>
      <c r="FD132" s="549" t="str">
        <f t="shared" si="842"/>
        <v/>
      </c>
      <c r="FE132" s="545" t="str">
        <f t="shared" si="843"/>
        <v/>
      </c>
      <c r="FF132" s="551" t="str">
        <f t="shared" si="844"/>
        <v/>
      </c>
      <c r="FG132" s="177" t="str">
        <f t="shared" si="845"/>
        <v/>
      </c>
      <c r="FH132" s="5" t="str">
        <f t="shared" si="846"/>
        <v/>
      </c>
      <c r="FI132" s="10" t="str">
        <f t="shared" si="847"/>
        <v/>
      </c>
      <c r="FJ132" s="290" t="str">
        <f t="shared" si="848"/>
        <v/>
      </c>
      <c r="FK132" s="4" t="str">
        <f t="shared" si="849"/>
        <v/>
      </c>
      <c r="FL132" s="5" t="str">
        <f t="shared" si="850"/>
        <v/>
      </c>
      <c r="FM132" s="8" t="str">
        <f t="shared" si="851"/>
        <v/>
      </c>
      <c r="FN132" s="9" t="str">
        <f t="shared" si="852"/>
        <v/>
      </c>
      <c r="FO132" s="10" t="str">
        <f t="shared" si="853"/>
        <v/>
      </c>
      <c r="FP132" s="288" t="str">
        <f t="shared" si="854"/>
        <v/>
      </c>
      <c r="FQ132" s="177" t="str">
        <f t="shared" si="855"/>
        <v/>
      </c>
      <c r="FR132" s="10" t="str">
        <f t="shared" si="856"/>
        <v/>
      </c>
      <c r="FS132" s="9" t="str">
        <f t="shared" si="857"/>
        <v/>
      </c>
      <c r="FT132" s="6" t="str">
        <f t="shared" si="858"/>
        <v/>
      </c>
      <c r="FU132" s="4" t="str">
        <f t="shared" si="859"/>
        <v/>
      </c>
      <c r="FV132" s="5" t="str">
        <f t="shared" si="860"/>
        <v/>
      </c>
      <c r="FW132" s="8" t="str">
        <f t="shared" si="861"/>
        <v/>
      </c>
      <c r="FX132" s="9" t="str">
        <f t="shared" si="862"/>
        <v/>
      </c>
      <c r="FY132" s="10" t="str">
        <f t="shared" si="863"/>
        <v/>
      </c>
      <c r="FZ132" s="288" t="str">
        <f t="shared" si="864"/>
        <v/>
      </c>
      <c r="GA132" s="181" t="str">
        <f t="shared" si="865"/>
        <v/>
      </c>
      <c r="GB132" s="4" t="str">
        <f t="shared" si="866"/>
        <v/>
      </c>
      <c r="GC132" s="5" t="str">
        <f t="shared" si="867"/>
        <v/>
      </c>
      <c r="GD132" s="10" t="str">
        <f t="shared" si="868"/>
        <v/>
      </c>
      <c r="GE132" s="324" t="str">
        <f t="shared" si="869"/>
        <v/>
      </c>
      <c r="GF132" s="362" t="str">
        <f t="shared" si="870"/>
        <v/>
      </c>
      <c r="GG132" s="317" t="str">
        <f t="shared" si="871"/>
        <v/>
      </c>
      <c r="GH132" s="318" t="str">
        <f t="shared" si="872"/>
        <v/>
      </c>
      <c r="GI132" s="319" t="str">
        <f t="shared" si="873"/>
        <v/>
      </c>
      <c r="GJ132" s="171" t="str">
        <f t="shared" si="874"/>
        <v/>
      </c>
      <c r="GK132" s="178" t="str">
        <f t="shared" si="706"/>
        <v/>
      </c>
      <c r="GL132" s="178" t="str">
        <f t="shared" si="875"/>
        <v/>
      </c>
      <c r="GM132" s="181" t="str">
        <f t="shared" si="876"/>
        <v/>
      </c>
      <c r="GN132" s="291" t="str">
        <f t="shared" si="877"/>
        <v/>
      </c>
      <c r="GO132" s="4" t="str">
        <f t="shared" si="878"/>
        <v/>
      </c>
      <c r="GP132" s="8" t="str">
        <f t="shared" si="879"/>
        <v/>
      </c>
      <c r="GQ132" s="181" t="str">
        <f t="shared" si="880"/>
        <v/>
      </c>
      <c r="GR132" s="417" t="str">
        <f t="shared" si="881"/>
        <v/>
      </c>
      <c r="GS132" s="363" t="str">
        <f t="shared" si="882"/>
        <v/>
      </c>
      <c r="GT132" s="364" t="str">
        <f t="shared" si="883"/>
        <v/>
      </c>
      <c r="GU132" s="365" t="str">
        <f t="shared" si="709"/>
        <v/>
      </c>
      <c r="GV132" s="364" t="str">
        <f t="shared" si="884"/>
        <v/>
      </c>
      <c r="GW132" s="366" t="str">
        <f t="shared" si="710"/>
        <v/>
      </c>
      <c r="GX132" s="367" t="str">
        <f t="shared" si="711"/>
        <v/>
      </c>
      <c r="GY132" s="365" t="str">
        <f t="shared" si="885"/>
        <v/>
      </c>
      <c r="GZ132" s="366" t="str">
        <f t="shared" si="886"/>
        <v/>
      </c>
      <c r="HA132" s="363" t="str">
        <f t="shared" si="714"/>
        <v/>
      </c>
      <c r="HB132" s="5" t="str">
        <f t="shared" si="641"/>
        <v/>
      </c>
      <c r="HC132" s="364" t="str">
        <f t="shared" si="887"/>
        <v/>
      </c>
      <c r="HD132" s="405" t="str">
        <f t="shared" si="888"/>
        <v/>
      </c>
      <c r="HE132" s="365" t="str">
        <f t="shared" si="715"/>
        <v/>
      </c>
      <c r="HF132" s="5" t="str">
        <f t="shared" si="716"/>
        <v/>
      </c>
      <c r="HG132" s="364" t="str">
        <f t="shared" si="889"/>
        <v/>
      </c>
      <c r="HH132" s="370" t="str">
        <f t="shared" si="890"/>
        <v/>
      </c>
      <c r="HI132" s="335" t="str">
        <f t="shared" si="717"/>
        <v/>
      </c>
      <c r="HK132" s="323" t="str">
        <f t="shared" si="891"/>
        <v/>
      </c>
      <c r="HL132" s="322" t="str">
        <f t="shared" si="892"/>
        <v/>
      </c>
      <c r="HM132" s="369" t="str">
        <f t="shared" si="893"/>
        <v/>
      </c>
      <c r="HN132" s="384" t="str">
        <f t="shared" si="893"/>
        <v/>
      </c>
      <c r="HO132" s="385" t="str">
        <f t="shared" si="893"/>
        <v/>
      </c>
      <c r="HP132" s="380" t="str">
        <f t="shared" si="893"/>
        <v/>
      </c>
      <c r="HQ132" s="384" t="str">
        <f t="shared" si="893"/>
        <v/>
      </c>
      <c r="HR132" s="395" t="str">
        <f t="shared" si="893"/>
        <v/>
      </c>
      <c r="HS132" s="379" t="str">
        <f t="shared" si="893"/>
        <v/>
      </c>
      <c r="HT132" s="374" t="str">
        <f t="shared" si="893"/>
        <v/>
      </c>
      <c r="HU132" s="375" t="str">
        <f t="shared" si="893"/>
        <v/>
      </c>
      <c r="HV132" s="376" t="str">
        <f t="shared" si="893"/>
        <v/>
      </c>
      <c r="HW132" s="374" t="str">
        <f t="shared" si="893"/>
        <v/>
      </c>
      <c r="HX132" s="375" t="str">
        <f t="shared" si="893"/>
        <v/>
      </c>
      <c r="HY132" s="376" t="str">
        <f t="shared" si="893"/>
        <v/>
      </c>
      <c r="HZ132" s="374" t="str">
        <f t="shared" si="893"/>
        <v/>
      </c>
      <c r="IA132" s="375" t="str">
        <f t="shared" si="893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6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5"/>
        <v/>
      </c>
      <c r="IK132" s="533" t="str">
        <f t="shared" si="718"/>
        <v/>
      </c>
      <c r="IL132" s="727" t="str">
        <f t="shared" si="651"/>
        <v/>
      </c>
      <c r="IM132" s="759"/>
      <c r="IN132" s="5" t="str">
        <f t="shared" si="652"/>
        <v/>
      </c>
      <c r="IO132" s="771"/>
      <c r="IP132" s="9" t="str">
        <f t="shared" si="653"/>
        <v/>
      </c>
      <c r="IQ132" s="5" t="str">
        <f t="shared" si="654"/>
        <v/>
      </c>
      <c r="IR132" s="5" t="str">
        <f t="shared" si="719"/>
        <v/>
      </c>
      <c r="IS132" s="5" t="str">
        <f t="shared" si="655"/>
        <v/>
      </c>
      <c r="IT132" s="727" t="str">
        <f t="shared" si="656"/>
        <v/>
      </c>
      <c r="IU132" s="9" t="str">
        <f t="shared" si="657"/>
        <v/>
      </c>
      <c r="IV132" s="5" t="str">
        <f t="shared" si="658"/>
        <v/>
      </c>
      <c r="IW132" s="5" t="str">
        <f t="shared" si="720"/>
        <v/>
      </c>
      <c r="IX132" s="5" t="str">
        <f t="shared" si="659"/>
        <v/>
      </c>
      <c r="IY132" s="762" t="str">
        <f t="shared" si="660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5"/>
        <v/>
      </c>
      <c r="N133" s="638" t="str">
        <f t="shared" si="666"/>
        <v/>
      </c>
      <c r="O133" s="639" t="str">
        <f t="shared" si="667"/>
        <v/>
      </c>
      <c r="P133" s="640" t="str">
        <f t="shared" si="668"/>
        <v/>
      </c>
      <c r="Q133" s="593" t="str">
        <f t="shared" si="749"/>
        <v/>
      </c>
      <c r="R133" s="639" t="str">
        <f t="shared" si="750"/>
        <v/>
      </c>
      <c r="S133" s="641" t="str">
        <f t="shared" si="751"/>
        <v/>
      </c>
      <c r="T133" s="642" t="str">
        <f t="shared" si="752"/>
        <v/>
      </c>
      <c r="U133" s="639" t="str">
        <f t="shared" si="753"/>
        <v/>
      </c>
      <c r="V133" s="643" t="str">
        <f t="shared" si="754"/>
        <v/>
      </c>
      <c r="W133" s="593" t="str">
        <f t="shared" si="755"/>
        <v/>
      </c>
      <c r="X133" s="639" t="str">
        <f t="shared" si="756"/>
        <v/>
      </c>
      <c r="Y133" s="644" t="str">
        <f t="shared" si="757"/>
        <v/>
      </c>
      <c r="Z133" s="638" t="str">
        <f t="shared" si="669"/>
        <v/>
      </c>
      <c r="AA133" s="639" t="str">
        <f t="shared" si="670"/>
        <v/>
      </c>
      <c r="AB133" s="639" t="str">
        <f t="shared" si="671"/>
        <v/>
      </c>
      <c r="AC133" s="643" t="str">
        <f t="shared" si="758"/>
        <v/>
      </c>
      <c r="AD133" s="645" t="str">
        <f t="shared" si="759"/>
        <v/>
      </c>
      <c r="AE133" s="639" t="str">
        <f t="shared" si="760"/>
        <v/>
      </c>
      <c r="AF133" s="640" t="str">
        <f t="shared" si="761"/>
        <v/>
      </c>
      <c r="AG133" s="604" t="str">
        <f t="shared" si="762"/>
        <v/>
      </c>
      <c r="AH133" s="605" t="str">
        <f t="shared" si="763"/>
        <v/>
      </c>
      <c r="AI133" s="593" t="str">
        <f t="shared" si="764"/>
        <v/>
      </c>
      <c r="AJ133" s="594" t="str">
        <f t="shared" si="765"/>
        <v/>
      </c>
      <c r="AK133" s="642" t="str">
        <f t="shared" si="766"/>
        <v/>
      </c>
      <c r="AL133" s="639" t="str">
        <f t="shared" si="767"/>
        <v/>
      </c>
      <c r="AM133" s="641" t="str">
        <f t="shared" si="768"/>
        <v/>
      </c>
      <c r="AN133" s="591" t="str">
        <f t="shared" si="769"/>
        <v/>
      </c>
      <c r="AO133" s="592" t="str">
        <f t="shared" si="748"/>
        <v/>
      </c>
      <c r="AP133" s="593" t="str">
        <f t="shared" si="770"/>
        <v/>
      </c>
      <c r="AQ133" s="594" t="str">
        <f t="shared" si="672"/>
        <v/>
      </c>
      <c r="AS133" s="555" t="str">
        <f t="shared" si="742"/>
        <v/>
      </c>
      <c r="AT133" s="556" t="str">
        <f t="shared" si="673"/>
        <v/>
      </c>
      <c r="AU133" s="469"/>
      <c r="AV133" s="168" t="str">
        <f t="shared" si="674"/>
        <v/>
      </c>
      <c r="AW133" s="557"/>
      <c r="AX133" s="49"/>
      <c r="AY133" s="242"/>
      <c r="AZ133" s="308" t="str">
        <f t="shared" si="771"/>
        <v/>
      </c>
      <c r="BA133" s="558" t="str">
        <f t="shared" si="772"/>
        <v/>
      </c>
      <c r="BB133" s="559" t="str">
        <f t="shared" si="524"/>
        <v/>
      </c>
      <c r="BC133" s="547"/>
      <c r="BD133" s="545" t="str">
        <f t="shared" si="773"/>
        <v/>
      </c>
      <c r="BE133" s="548" t="str">
        <f t="shared" si="676"/>
        <v/>
      </c>
      <c r="BF133" s="549" t="str">
        <f t="shared" si="677"/>
        <v/>
      </c>
      <c r="BG133" s="545" t="str">
        <f t="shared" si="678"/>
        <v/>
      </c>
      <c r="BH133" s="546" t="str">
        <f t="shared" si="679"/>
        <v/>
      </c>
      <c r="BI133" s="547" t="str">
        <f t="shared" si="774"/>
        <v/>
      </c>
      <c r="BJ133" s="545" t="str">
        <f t="shared" si="680"/>
        <v/>
      </c>
      <c r="BK133" s="550" t="str">
        <f t="shared" si="681"/>
        <v/>
      </c>
      <c r="BL133" s="553" t="str">
        <f t="shared" si="682"/>
        <v/>
      </c>
      <c r="BM133" s="545" t="str">
        <f t="shared" si="683"/>
        <v/>
      </c>
      <c r="BN133" s="548" t="str">
        <f t="shared" si="684"/>
        <v/>
      </c>
      <c r="BO133" s="549" t="str">
        <f t="shared" si="775"/>
        <v/>
      </c>
      <c r="BP133" s="545" t="str">
        <f t="shared" si="776"/>
        <v/>
      </c>
      <c r="BQ133" s="545" t="str">
        <f t="shared" si="777"/>
        <v/>
      </c>
      <c r="BR133" s="548" t="str">
        <f t="shared" si="778"/>
        <v/>
      </c>
      <c r="BS133" s="549" t="str">
        <f t="shared" si="740"/>
        <v/>
      </c>
      <c r="BT133" s="545" t="str">
        <f t="shared" si="740"/>
        <v/>
      </c>
      <c r="BU133" s="546" t="str">
        <f t="shared" si="527"/>
        <v/>
      </c>
      <c r="BV133" s="547" t="str">
        <f t="shared" si="528"/>
        <v/>
      </c>
      <c r="BW133" s="545" t="str">
        <f t="shared" si="529"/>
        <v/>
      </c>
      <c r="BX133" s="550" t="str">
        <f t="shared" si="530"/>
        <v/>
      </c>
      <c r="BY133" s="553" t="str">
        <f t="shared" si="531"/>
        <v/>
      </c>
      <c r="BZ133" s="545" t="str">
        <f t="shared" si="532"/>
        <v/>
      </c>
      <c r="CA133" s="548" t="str">
        <f t="shared" si="533"/>
        <v/>
      </c>
      <c r="CB133" s="549" t="str">
        <f t="shared" si="779"/>
        <v/>
      </c>
      <c r="CC133" s="545" t="str">
        <f t="shared" si="780"/>
        <v/>
      </c>
      <c r="CD133" s="545" t="str">
        <f t="shared" si="781"/>
        <v/>
      </c>
      <c r="CE133" s="548" t="str">
        <f t="shared" si="782"/>
        <v/>
      </c>
      <c r="CF133" s="549" t="str">
        <f t="shared" si="783"/>
        <v/>
      </c>
      <c r="CG133" s="545" t="str">
        <f t="shared" si="784"/>
        <v/>
      </c>
      <c r="CH133" s="545" t="str">
        <f t="shared" si="785"/>
        <v/>
      </c>
      <c r="CI133" s="549" t="str">
        <f t="shared" si="534"/>
        <v/>
      </c>
      <c r="CJ133" s="545" t="str">
        <f t="shared" si="786"/>
        <v/>
      </c>
      <c r="CK133" s="550" t="str">
        <f t="shared" si="787"/>
        <v/>
      </c>
      <c r="CL133" s="553" t="str">
        <f t="shared" si="788"/>
        <v/>
      </c>
      <c r="CM133" s="545" t="str">
        <f t="shared" si="789"/>
        <v/>
      </c>
      <c r="CN133" s="548" t="str">
        <f t="shared" si="790"/>
        <v/>
      </c>
      <c r="CO133" s="560" t="str">
        <f t="shared" si="685"/>
        <v/>
      </c>
      <c r="CP133" s="549" t="str">
        <f t="shared" si="791"/>
        <v/>
      </c>
      <c r="CQ133" s="545" t="str">
        <f t="shared" si="792"/>
        <v/>
      </c>
      <c r="CR133" s="545" t="str">
        <f t="shared" si="793"/>
        <v/>
      </c>
      <c r="CS133" s="550" t="str">
        <f t="shared" si="794"/>
        <v/>
      </c>
      <c r="CT133" s="547" t="str">
        <f t="shared" si="795"/>
        <v/>
      </c>
      <c r="CU133" s="548" t="str">
        <f t="shared" si="796"/>
        <v/>
      </c>
      <c r="CV133" s="549" t="str">
        <f t="shared" si="797"/>
        <v/>
      </c>
      <c r="CW133" s="545" t="str">
        <f t="shared" si="798"/>
        <v/>
      </c>
      <c r="CX133" s="550" t="str">
        <f t="shared" si="799"/>
        <v/>
      </c>
      <c r="CY133" s="547" t="str">
        <f t="shared" si="800"/>
        <v/>
      </c>
      <c r="CZ133" s="545" t="str">
        <f t="shared" si="801"/>
        <v/>
      </c>
      <c r="DA133" s="548" t="str">
        <f t="shared" si="802"/>
        <v/>
      </c>
      <c r="DB133" s="549" t="str">
        <f t="shared" si="743"/>
        <v/>
      </c>
      <c r="DC133" s="545" t="str">
        <f t="shared" si="743"/>
        <v/>
      </c>
      <c r="DD133" s="546" t="str">
        <f t="shared" si="573"/>
        <v/>
      </c>
      <c r="DE133" s="547" t="str">
        <f t="shared" si="744"/>
        <v/>
      </c>
      <c r="DF133" s="545" t="str">
        <f t="shared" si="744"/>
        <v/>
      </c>
      <c r="DG133" s="546" t="str">
        <f t="shared" si="575"/>
        <v/>
      </c>
      <c r="DH133" s="552" t="str">
        <f t="shared" si="803"/>
        <v/>
      </c>
      <c r="DI133" s="549" t="str">
        <f t="shared" si="804"/>
        <v/>
      </c>
      <c r="DJ133" s="545" t="str">
        <f t="shared" si="805"/>
        <v/>
      </c>
      <c r="DK133" s="546" t="str">
        <f t="shared" si="806"/>
        <v/>
      </c>
      <c r="DL133" s="547" t="str">
        <f t="shared" si="807"/>
        <v/>
      </c>
      <c r="DM133" s="553" t="str">
        <f t="shared" si="808"/>
        <v/>
      </c>
      <c r="DN133" s="561" t="str">
        <f t="shared" si="809"/>
        <v/>
      </c>
      <c r="DO133" s="547" t="str">
        <f t="shared" si="810"/>
        <v/>
      </c>
      <c r="DP133" s="553" t="str">
        <f t="shared" si="811"/>
        <v/>
      </c>
      <c r="DQ133" s="554" t="str">
        <f t="shared" si="812"/>
        <v/>
      </c>
      <c r="DR133" s="553" t="str">
        <f t="shared" si="813"/>
        <v/>
      </c>
      <c r="DS133" s="545" t="str">
        <f t="shared" si="814"/>
        <v/>
      </c>
      <c r="DT133" s="545" t="str">
        <f t="shared" si="815"/>
        <v/>
      </c>
      <c r="DU133" s="545" t="str">
        <f t="shared" si="816"/>
        <v/>
      </c>
      <c r="DV133" s="545" t="str">
        <f t="shared" si="817"/>
        <v/>
      </c>
      <c r="DW133" s="545" t="str">
        <f t="shared" si="818"/>
        <v/>
      </c>
      <c r="DX133" s="560" t="str">
        <f t="shared" si="819"/>
        <v/>
      </c>
      <c r="DY133" s="547" t="str">
        <f t="shared" si="820"/>
        <v/>
      </c>
      <c r="DZ133" s="545" t="str">
        <f t="shared" si="821"/>
        <v/>
      </c>
      <c r="EA133" s="546" t="str">
        <f t="shared" si="822"/>
        <v/>
      </c>
      <c r="EB133" s="548" t="str">
        <f t="shared" si="823"/>
        <v/>
      </c>
      <c r="EC133" s="553" t="str">
        <f t="shared" si="824"/>
        <v/>
      </c>
      <c r="ED133" s="545" t="str">
        <f t="shared" si="825"/>
        <v/>
      </c>
      <c r="EE133" s="549" t="str">
        <f t="shared" si="826"/>
        <v/>
      </c>
      <c r="EF133" s="545" t="str">
        <f t="shared" si="827"/>
        <v/>
      </c>
      <c r="EG133" s="546" t="str">
        <f t="shared" si="828"/>
        <v/>
      </c>
      <c r="EH133" s="547" t="str">
        <f t="shared" si="829"/>
        <v/>
      </c>
      <c r="EI133" s="545" t="str">
        <f t="shared" si="830"/>
        <v/>
      </c>
      <c r="EJ133" s="548" t="str">
        <f t="shared" si="831"/>
        <v/>
      </c>
      <c r="EK133" s="562" t="str">
        <f t="shared" si="605"/>
        <v/>
      </c>
      <c r="EL133" s="563" t="str">
        <f t="shared" si="606"/>
        <v/>
      </c>
      <c r="EM133" s="549" t="str">
        <f t="shared" si="832"/>
        <v/>
      </c>
      <c r="EN133" s="545" t="str">
        <f t="shared" si="833"/>
        <v/>
      </c>
      <c r="EO133" s="546" t="str">
        <f t="shared" si="834"/>
        <v/>
      </c>
      <c r="EP133" s="547" t="str">
        <f t="shared" si="835"/>
        <v/>
      </c>
      <c r="EQ133" s="545" t="str">
        <f t="shared" si="836"/>
        <v/>
      </c>
      <c r="ER133" s="551" t="str">
        <f t="shared" si="837"/>
        <v/>
      </c>
      <c r="ES133" s="544" t="str">
        <f t="shared" si="686"/>
        <v/>
      </c>
      <c r="ET133" s="545" t="str">
        <f t="shared" si="687"/>
        <v/>
      </c>
      <c r="EU133" s="546" t="str">
        <f t="shared" si="688"/>
        <v/>
      </c>
      <c r="EV133" s="178" t="str">
        <f t="shared" si="838"/>
        <v/>
      </c>
      <c r="EW133" s="547" t="str">
        <f t="shared" si="839"/>
        <v/>
      </c>
      <c r="EX133" s="545" t="str">
        <f t="shared" si="840"/>
        <v/>
      </c>
      <c r="EY133" s="548" t="str">
        <f t="shared" si="841"/>
        <v/>
      </c>
      <c r="EZ133" s="555" t="str">
        <f t="shared" si="614"/>
        <v/>
      </c>
      <c r="FA133" s="553" t="str">
        <f t="shared" si="692"/>
        <v/>
      </c>
      <c r="FB133" s="545" t="str">
        <f t="shared" si="693"/>
        <v/>
      </c>
      <c r="FC133" s="548" t="str">
        <f t="shared" si="694"/>
        <v/>
      </c>
      <c r="FD133" s="549" t="str">
        <f t="shared" si="842"/>
        <v/>
      </c>
      <c r="FE133" s="545" t="str">
        <f t="shared" si="843"/>
        <v/>
      </c>
      <c r="FF133" s="551" t="str">
        <f t="shared" si="844"/>
        <v/>
      </c>
      <c r="FG133" s="177" t="str">
        <f t="shared" si="845"/>
        <v/>
      </c>
      <c r="FH133" s="5" t="str">
        <f t="shared" si="846"/>
        <v/>
      </c>
      <c r="FI133" s="10" t="str">
        <f t="shared" si="847"/>
        <v/>
      </c>
      <c r="FJ133" s="290" t="str">
        <f t="shared" si="848"/>
        <v/>
      </c>
      <c r="FK133" s="4" t="str">
        <f t="shared" si="849"/>
        <v/>
      </c>
      <c r="FL133" s="5" t="str">
        <f t="shared" si="850"/>
        <v/>
      </c>
      <c r="FM133" s="8" t="str">
        <f t="shared" si="851"/>
        <v/>
      </c>
      <c r="FN133" s="9" t="str">
        <f t="shared" si="852"/>
        <v/>
      </c>
      <c r="FO133" s="10" t="str">
        <f t="shared" si="853"/>
        <v/>
      </c>
      <c r="FP133" s="288" t="str">
        <f t="shared" si="854"/>
        <v/>
      </c>
      <c r="FQ133" s="177" t="str">
        <f t="shared" si="855"/>
        <v/>
      </c>
      <c r="FR133" s="10" t="str">
        <f t="shared" si="856"/>
        <v/>
      </c>
      <c r="FS133" s="9" t="str">
        <f t="shared" si="857"/>
        <v/>
      </c>
      <c r="FT133" s="6" t="str">
        <f t="shared" si="858"/>
        <v/>
      </c>
      <c r="FU133" s="4" t="str">
        <f t="shared" si="859"/>
        <v/>
      </c>
      <c r="FV133" s="5" t="str">
        <f t="shared" si="860"/>
        <v/>
      </c>
      <c r="FW133" s="8" t="str">
        <f t="shared" si="861"/>
        <v/>
      </c>
      <c r="FX133" s="9" t="str">
        <f t="shared" si="862"/>
        <v/>
      </c>
      <c r="FY133" s="10" t="str">
        <f t="shared" si="863"/>
        <v/>
      </c>
      <c r="FZ133" s="288" t="str">
        <f t="shared" si="864"/>
        <v/>
      </c>
      <c r="GA133" s="181" t="str">
        <f t="shared" si="865"/>
        <v/>
      </c>
      <c r="GB133" s="4" t="str">
        <f t="shared" si="866"/>
        <v/>
      </c>
      <c r="GC133" s="5" t="str">
        <f t="shared" si="867"/>
        <v/>
      </c>
      <c r="GD133" s="10" t="str">
        <f t="shared" si="868"/>
        <v/>
      </c>
      <c r="GE133" s="324" t="str">
        <f t="shared" si="869"/>
        <v/>
      </c>
      <c r="GF133" s="362" t="str">
        <f t="shared" si="870"/>
        <v/>
      </c>
      <c r="GG133" s="317" t="str">
        <f t="shared" si="871"/>
        <v/>
      </c>
      <c r="GH133" s="318" t="str">
        <f t="shared" si="872"/>
        <v/>
      </c>
      <c r="GI133" s="319" t="str">
        <f t="shared" si="873"/>
        <v/>
      </c>
      <c r="GJ133" s="171" t="str">
        <f t="shared" si="874"/>
        <v/>
      </c>
      <c r="GK133" s="178" t="str">
        <f t="shared" si="706"/>
        <v/>
      </c>
      <c r="GL133" s="178" t="str">
        <f t="shared" si="875"/>
        <v/>
      </c>
      <c r="GM133" s="181" t="str">
        <f t="shared" si="876"/>
        <v/>
      </c>
      <c r="GN133" s="291" t="str">
        <f t="shared" si="877"/>
        <v/>
      </c>
      <c r="GO133" s="4" t="str">
        <f t="shared" si="878"/>
        <v/>
      </c>
      <c r="GP133" s="8" t="str">
        <f t="shared" si="879"/>
        <v/>
      </c>
      <c r="GQ133" s="181" t="str">
        <f t="shared" si="880"/>
        <v/>
      </c>
      <c r="GR133" s="417" t="str">
        <f t="shared" si="881"/>
        <v/>
      </c>
      <c r="GS133" s="363" t="str">
        <f t="shared" si="882"/>
        <v/>
      </c>
      <c r="GT133" s="364" t="str">
        <f t="shared" si="883"/>
        <v/>
      </c>
      <c r="GU133" s="365" t="str">
        <f t="shared" si="709"/>
        <v/>
      </c>
      <c r="GV133" s="364" t="str">
        <f t="shared" si="884"/>
        <v/>
      </c>
      <c r="GW133" s="366" t="str">
        <f t="shared" si="710"/>
        <v/>
      </c>
      <c r="GX133" s="367" t="str">
        <f t="shared" si="711"/>
        <v/>
      </c>
      <c r="GY133" s="365" t="str">
        <f t="shared" si="885"/>
        <v/>
      </c>
      <c r="GZ133" s="366" t="str">
        <f t="shared" si="886"/>
        <v/>
      </c>
      <c r="HA133" s="363" t="str">
        <f t="shared" si="714"/>
        <v/>
      </c>
      <c r="HB133" s="5" t="str">
        <f t="shared" si="641"/>
        <v/>
      </c>
      <c r="HC133" s="364" t="str">
        <f t="shared" si="887"/>
        <v/>
      </c>
      <c r="HD133" s="405" t="str">
        <f t="shared" si="888"/>
        <v/>
      </c>
      <c r="HE133" s="365" t="str">
        <f t="shared" si="715"/>
        <v/>
      </c>
      <c r="HF133" s="5" t="str">
        <f t="shared" si="716"/>
        <v/>
      </c>
      <c r="HG133" s="364" t="str">
        <f t="shared" si="889"/>
        <v/>
      </c>
      <c r="HH133" s="370" t="str">
        <f t="shared" si="890"/>
        <v/>
      </c>
      <c r="HI133" s="335" t="str">
        <f t="shared" si="717"/>
        <v/>
      </c>
      <c r="HK133" s="323" t="str">
        <f t="shared" si="891"/>
        <v/>
      </c>
      <c r="HL133" s="322" t="str">
        <f t="shared" si="892"/>
        <v/>
      </c>
      <c r="HM133" s="369" t="str">
        <f t="shared" si="893"/>
        <v/>
      </c>
      <c r="HN133" s="384" t="str">
        <f t="shared" si="893"/>
        <v/>
      </c>
      <c r="HO133" s="385" t="str">
        <f t="shared" si="893"/>
        <v/>
      </c>
      <c r="HP133" s="380" t="str">
        <f t="shared" si="893"/>
        <v/>
      </c>
      <c r="HQ133" s="384" t="str">
        <f t="shared" si="893"/>
        <v/>
      </c>
      <c r="HR133" s="395" t="str">
        <f t="shared" si="893"/>
        <v/>
      </c>
      <c r="HS133" s="379" t="str">
        <f t="shared" si="893"/>
        <v/>
      </c>
      <c r="HT133" s="374" t="str">
        <f t="shared" si="893"/>
        <v/>
      </c>
      <c r="HU133" s="375" t="str">
        <f t="shared" si="893"/>
        <v/>
      </c>
      <c r="HV133" s="376" t="str">
        <f t="shared" si="893"/>
        <v/>
      </c>
      <c r="HW133" s="374" t="str">
        <f t="shared" si="893"/>
        <v/>
      </c>
      <c r="HX133" s="375" t="str">
        <f t="shared" si="893"/>
        <v/>
      </c>
      <c r="HY133" s="376" t="str">
        <f t="shared" si="893"/>
        <v/>
      </c>
      <c r="HZ133" s="374" t="str">
        <f t="shared" si="893"/>
        <v/>
      </c>
      <c r="IA133" s="375" t="str">
        <f t="shared" si="893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6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5"/>
        <v/>
      </c>
      <c r="IK133" s="533" t="str">
        <f t="shared" si="718"/>
        <v/>
      </c>
      <c r="IL133" s="727" t="str">
        <f t="shared" si="651"/>
        <v/>
      </c>
      <c r="IM133" s="759"/>
      <c r="IN133" s="5" t="str">
        <f t="shared" si="652"/>
        <v/>
      </c>
      <c r="IO133" s="771"/>
      <c r="IP133" s="9" t="str">
        <f t="shared" si="653"/>
        <v/>
      </c>
      <c r="IQ133" s="5" t="str">
        <f t="shared" si="654"/>
        <v/>
      </c>
      <c r="IR133" s="5" t="str">
        <f t="shared" si="719"/>
        <v/>
      </c>
      <c r="IS133" s="5" t="str">
        <f t="shared" si="655"/>
        <v/>
      </c>
      <c r="IT133" s="727" t="str">
        <f t="shared" si="656"/>
        <v/>
      </c>
      <c r="IU133" s="9" t="str">
        <f t="shared" si="657"/>
        <v/>
      </c>
      <c r="IV133" s="5" t="str">
        <f t="shared" si="658"/>
        <v/>
      </c>
      <c r="IW133" s="5" t="str">
        <f t="shared" si="720"/>
        <v/>
      </c>
      <c r="IX133" s="5" t="str">
        <f t="shared" si="659"/>
        <v/>
      </c>
      <c r="IY133" s="762" t="str">
        <f t="shared" si="660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5"/>
        <v/>
      </c>
      <c r="N134" s="638" t="str">
        <f t="shared" si="666"/>
        <v/>
      </c>
      <c r="O134" s="639" t="str">
        <f t="shared" si="667"/>
        <v/>
      </c>
      <c r="P134" s="640" t="str">
        <f t="shared" si="668"/>
        <v/>
      </c>
      <c r="Q134" s="593" t="str">
        <f t="shared" si="749"/>
        <v/>
      </c>
      <c r="R134" s="639" t="str">
        <f t="shared" si="750"/>
        <v/>
      </c>
      <c r="S134" s="641" t="str">
        <f t="shared" si="751"/>
        <v/>
      </c>
      <c r="T134" s="642" t="str">
        <f t="shared" si="752"/>
        <v/>
      </c>
      <c r="U134" s="639" t="str">
        <f t="shared" si="753"/>
        <v/>
      </c>
      <c r="V134" s="643" t="str">
        <f t="shared" si="754"/>
        <v/>
      </c>
      <c r="W134" s="593" t="str">
        <f t="shared" si="755"/>
        <v/>
      </c>
      <c r="X134" s="639" t="str">
        <f t="shared" si="756"/>
        <v/>
      </c>
      <c r="Y134" s="644" t="str">
        <f t="shared" si="757"/>
        <v/>
      </c>
      <c r="Z134" s="638" t="str">
        <f t="shared" si="669"/>
        <v/>
      </c>
      <c r="AA134" s="639" t="str">
        <f t="shared" si="670"/>
        <v/>
      </c>
      <c r="AB134" s="639" t="str">
        <f t="shared" si="671"/>
        <v/>
      </c>
      <c r="AC134" s="643" t="str">
        <f t="shared" si="758"/>
        <v/>
      </c>
      <c r="AD134" s="645" t="str">
        <f t="shared" si="759"/>
        <v/>
      </c>
      <c r="AE134" s="639" t="str">
        <f t="shared" si="760"/>
        <v/>
      </c>
      <c r="AF134" s="640" t="str">
        <f t="shared" si="761"/>
        <v/>
      </c>
      <c r="AG134" s="604" t="str">
        <f t="shared" si="762"/>
        <v/>
      </c>
      <c r="AH134" s="605" t="str">
        <f t="shared" si="763"/>
        <v/>
      </c>
      <c r="AI134" s="593" t="str">
        <f t="shared" si="764"/>
        <v/>
      </c>
      <c r="AJ134" s="594" t="str">
        <f t="shared" si="765"/>
        <v/>
      </c>
      <c r="AK134" s="642" t="str">
        <f t="shared" si="766"/>
        <v/>
      </c>
      <c r="AL134" s="639" t="str">
        <f t="shared" si="767"/>
        <v/>
      </c>
      <c r="AM134" s="641" t="str">
        <f t="shared" si="768"/>
        <v/>
      </c>
      <c r="AN134" s="591" t="str">
        <f t="shared" si="769"/>
        <v/>
      </c>
      <c r="AO134" s="592" t="str">
        <f t="shared" si="748"/>
        <v/>
      </c>
      <c r="AP134" s="593" t="str">
        <f t="shared" si="770"/>
        <v/>
      </c>
      <c r="AQ134" s="594" t="str">
        <f t="shared" si="672"/>
        <v/>
      </c>
      <c r="AS134" s="555" t="str">
        <f t="shared" si="742"/>
        <v/>
      </c>
      <c r="AT134" s="556" t="str">
        <f t="shared" si="673"/>
        <v/>
      </c>
      <c r="AU134" s="469"/>
      <c r="AV134" s="168" t="str">
        <f t="shared" si="674"/>
        <v/>
      </c>
      <c r="AW134" s="557"/>
      <c r="AX134" s="49"/>
      <c r="AY134" s="242"/>
      <c r="AZ134" s="308" t="str">
        <f t="shared" si="771"/>
        <v/>
      </c>
      <c r="BA134" s="558" t="str">
        <f t="shared" si="772"/>
        <v/>
      </c>
      <c r="BB134" s="559" t="str">
        <f t="shared" si="524"/>
        <v/>
      </c>
      <c r="BC134" s="547"/>
      <c r="BD134" s="545" t="str">
        <f t="shared" si="773"/>
        <v/>
      </c>
      <c r="BE134" s="548" t="str">
        <f t="shared" si="676"/>
        <v/>
      </c>
      <c r="BF134" s="549" t="str">
        <f t="shared" si="677"/>
        <v/>
      </c>
      <c r="BG134" s="545" t="str">
        <f t="shared" si="678"/>
        <v/>
      </c>
      <c r="BH134" s="546" t="str">
        <f t="shared" si="679"/>
        <v/>
      </c>
      <c r="BI134" s="547" t="str">
        <f t="shared" si="774"/>
        <v/>
      </c>
      <c r="BJ134" s="545" t="str">
        <f t="shared" si="680"/>
        <v/>
      </c>
      <c r="BK134" s="550" t="str">
        <f t="shared" si="681"/>
        <v/>
      </c>
      <c r="BL134" s="553" t="str">
        <f t="shared" si="682"/>
        <v/>
      </c>
      <c r="BM134" s="545" t="str">
        <f t="shared" si="683"/>
        <v/>
      </c>
      <c r="BN134" s="548" t="str">
        <f t="shared" si="684"/>
        <v/>
      </c>
      <c r="BO134" s="549" t="str">
        <f t="shared" si="775"/>
        <v/>
      </c>
      <c r="BP134" s="545" t="str">
        <f t="shared" si="776"/>
        <v/>
      </c>
      <c r="BQ134" s="545" t="str">
        <f t="shared" si="777"/>
        <v/>
      </c>
      <c r="BR134" s="548" t="str">
        <f t="shared" si="778"/>
        <v/>
      </c>
      <c r="BS134" s="549" t="str">
        <f t="shared" si="740"/>
        <v/>
      </c>
      <c r="BT134" s="545" t="str">
        <f t="shared" si="740"/>
        <v/>
      </c>
      <c r="BU134" s="546" t="str">
        <f t="shared" si="527"/>
        <v/>
      </c>
      <c r="BV134" s="547" t="str">
        <f t="shared" si="528"/>
        <v/>
      </c>
      <c r="BW134" s="545" t="str">
        <f t="shared" si="529"/>
        <v/>
      </c>
      <c r="BX134" s="550" t="str">
        <f t="shared" si="530"/>
        <v/>
      </c>
      <c r="BY134" s="553" t="str">
        <f t="shared" si="531"/>
        <v/>
      </c>
      <c r="BZ134" s="545" t="str">
        <f t="shared" si="532"/>
        <v/>
      </c>
      <c r="CA134" s="548" t="str">
        <f t="shared" si="533"/>
        <v/>
      </c>
      <c r="CB134" s="549" t="str">
        <f t="shared" si="779"/>
        <v/>
      </c>
      <c r="CC134" s="545" t="str">
        <f t="shared" si="780"/>
        <v/>
      </c>
      <c r="CD134" s="545" t="str">
        <f t="shared" si="781"/>
        <v/>
      </c>
      <c r="CE134" s="548" t="str">
        <f t="shared" si="782"/>
        <v/>
      </c>
      <c r="CF134" s="549" t="str">
        <f t="shared" si="783"/>
        <v/>
      </c>
      <c r="CG134" s="545" t="str">
        <f t="shared" si="784"/>
        <v/>
      </c>
      <c r="CH134" s="545" t="str">
        <f t="shared" si="785"/>
        <v/>
      </c>
      <c r="CI134" s="549" t="str">
        <f t="shared" si="534"/>
        <v/>
      </c>
      <c r="CJ134" s="545" t="str">
        <f t="shared" si="786"/>
        <v/>
      </c>
      <c r="CK134" s="550" t="str">
        <f t="shared" si="787"/>
        <v/>
      </c>
      <c r="CL134" s="553" t="str">
        <f t="shared" si="788"/>
        <v/>
      </c>
      <c r="CM134" s="545" t="str">
        <f t="shared" si="789"/>
        <v/>
      </c>
      <c r="CN134" s="548" t="str">
        <f t="shared" si="790"/>
        <v/>
      </c>
      <c r="CO134" s="560" t="str">
        <f t="shared" si="685"/>
        <v/>
      </c>
      <c r="CP134" s="549" t="str">
        <f t="shared" si="791"/>
        <v/>
      </c>
      <c r="CQ134" s="545" t="str">
        <f t="shared" si="792"/>
        <v/>
      </c>
      <c r="CR134" s="545" t="str">
        <f t="shared" si="793"/>
        <v/>
      </c>
      <c r="CS134" s="550" t="str">
        <f t="shared" si="794"/>
        <v/>
      </c>
      <c r="CT134" s="547" t="str">
        <f t="shared" si="795"/>
        <v/>
      </c>
      <c r="CU134" s="548" t="str">
        <f t="shared" si="796"/>
        <v/>
      </c>
      <c r="CV134" s="549" t="str">
        <f t="shared" si="797"/>
        <v/>
      </c>
      <c r="CW134" s="545" t="str">
        <f t="shared" si="798"/>
        <v/>
      </c>
      <c r="CX134" s="550" t="str">
        <f t="shared" si="799"/>
        <v/>
      </c>
      <c r="CY134" s="547" t="str">
        <f t="shared" si="800"/>
        <v/>
      </c>
      <c r="CZ134" s="545" t="str">
        <f t="shared" si="801"/>
        <v/>
      </c>
      <c r="DA134" s="548" t="str">
        <f t="shared" si="802"/>
        <v/>
      </c>
      <c r="DB134" s="549" t="str">
        <f t="shared" si="743"/>
        <v/>
      </c>
      <c r="DC134" s="545" t="str">
        <f t="shared" si="743"/>
        <v/>
      </c>
      <c r="DD134" s="546" t="str">
        <f t="shared" si="573"/>
        <v/>
      </c>
      <c r="DE134" s="547" t="str">
        <f t="shared" si="744"/>
        <v/>
      </c>
      <c r="DF134" s="545" t="str">
        <f t="shared" si="744"/>
        <v/>
      </c>
      <c r="DG134" s="546" t="str">
        <f t="shared" si="575"/>
        <v/>
      </c>
      <c r="DH134" s="552" t="str">
        <f t="shared" si="803"/>
        <v/>
      </c>
      <c r="DI134" s="549" t="str">
        <f t="shared" si="804"/>
        <v/>
      </c>
      <c r="DJ134" s="545" t="str">
        <f t="shared" si="805"/>
        <v/>
      </c>
      <c r="DK134" s="546" t="str">
        <f t="shared" si="806"/>
        <v/>
      </c>
      <c r="DL134" s="547" t="str">
        <f t="shared" si="807"/>
        <v/>
      </c>
      <c r="DM134" s="553" t="str">
        <f t="shared" si="808"/>
        <v/>
      </c>
      <c r="DN134" s="561" t="str">
        <f t="shared" si="809"/>
        <v/>
      </c>
      <c r="DO134" s="547" t="str">
        <f t="shared" si="810"/>
        <v/>
      </c>
      <c r="DP134" s="553" t="str">
        <f t="shared" si="811"/>
        <v/>
      </c>
      <c r="DQ134" s="554" t="str">
        <f t="shared" si="812"/>
        <v/>
      </c>
      <c r="DR134" s="553" t="str">
        <f t="shared" si="813"/>
        <v/>
      </c>
      <c r="DS134" s="545" t="str">
        <f t="shared" si="814"/>
        <v/>
      </c>
      <c r="DT134" s="545" t="str">
        <f t="shared" si="815"/>
        <v/>
      </c>
      <c r="DU134" s="545" t="str">
        <f t="shared" si="816"/>
        <v/>
      </c>
      <c r="DV134" s="545" t="str">
        <f t="shared" si="817"/>
        <v/>
      </c>
      <c r="DW134" s="545" t="str">
        <f t="shared" si="818"/>
        <v/>
      </c>
      <c r="DX134" s="560" t="str">
        <f t="shared" si="819"/>
        <v/>
      </c>
      <c r="DY134" s="547" t="str">
        <f t="shared" si="820"/>
        <v/>
      </c>
      <c r="DZ134" s="545" t="str">
        <f t="shared" si="821"/>
        <v/>
      </c>
      <c r="EA134" s="546" t="str">
        <f t="shared" si="822"/>
        <v/>
      </c>
      <c r="EB134" s="548" t="str">
        <f t="shared" si="823"/>
        <v/>
      </c>
      <c r="EC134" s="553" t="str">
        <f t="shared" si="824"/>
        <v/>
      </c>
      <c r="ED134" s="545" t="str">
        <f t="shared" si="825"/>
        <v/>
      </c>
      <c r="EE134" s="549" t="str">
        <f t="shared" si="826"/>
        <v/>
      </c>
      <c r="EF134" s="545" t="str">
        <f t="shared" si="827"/>
        <v/>
      </c>
      <c r="EG134" s="546" t="str">
        <f t="shared" si="828"/>
        <v/>
      </c>
      <c r="EH134" s="547" t="str">
        <f t="shared" si="829"/>
        <v/>
      </c>
      <c r="EI134" s="545" t="str">
        <f t="shared" si="830"/>
        <v/>
      </c>
      <c r="EJ134" s="548" t="str">
        <f t="shared" si="831"/>
        <v/>
      </c>
      <c r="EK134" s="562" t="str">
        <f t="shared" si="605"/>
        <v/>
      </c>
      <c r="EL134" s="563" t="str">
        <f t="shared" si="606"/>
        <v/>
      </c>
      <c r="EM134" s="549" t="str">
        <f t="shared" si="832"/>
        <v/>
      </c>
      <c r="EN134" s="545" t="str">
        <f t="shared" si="833"/>
        <v/>
      </c>
      <c r="EO134" s="546" t="str">
        <f t="shared" si="834"/>
        <v/>
      </c>
      <c r="EP134" s="547" t="str">
        <f t="shared" si="835"/>
        <v/>
      </c>
      <c r="EQ134" s="545" t="str">
        <f t="shared" si="836"/>
        <v/>
      </c>
      <c r="ER134" s="551" t="str">
        <f t="shared" si="837"/>
        <v/>
      </c>
      <c r="ES134" s="544" t="str">
        <f t="shared" si="686"/>
        <v/>
      </c>
      <c r="ET134" s="545" t="str">
        <f t="shared" si="687"/>
        <v/>
      </c>
      <c r="EU134" s="546" t="str">
        <f t="shared" si="688"/>
        <v/>
      </c>
      <c r="EV134" s="178" t="str">
        <f t="shared" si="838"/>
        <v/>
      </c>
      <c r="EW134" s="547" t="str">
        <f t="shared" si="839"/>
        <v/>
      </c>
      <c r="EX134" s="545" t="str">
        <f t="shared" si="840"/>
        <v/>
      </c>
      <c r="EY134" s="548" t="str">
        <f t="shared" si="841"/>
        <v/>
      </c>
      <c r="EZ134" s="555" t="str">
        <f t="shared" si="614"/>
        <v/>
      </c>
      <c r="FA134" s="553" t="str">
        <f t="shared" si="692"/>
        <v/>
      </c>
      <c r="FB134" s="545" t="str">
        <f t="shared" si="693"/>
        <v/>
      </c>
      <c r="FC134" s="548" t="str">
        <f t="shared" si="694"/>
        <v/>
      </c>
      <c r="FD134" s="549" t="str">
        <f t="shared" si="842"/>
        <v/>
      </c>
      <c r="FE134" s="545" t="str">
        <f t="shared" si="843"/>
        <v/>
      </c>
      <c r="FF134" s="551" t="str">
        <f t="shared" si="844"/>
        <v/>
      </c>
      <c r="FG134" s="177" t="str">
        <f t="shared" si="845"/>
        <v/>
      </c>
      <c r="FH134" s="5" t="str">
        <f t="shared" si="846"/>
        <v/>
      </c>
      <c r="FI134" s="10" t="str">
        <f t="shared" si="847"/>
        <v/>
      </c>
      <c r="FJ134" s="290" t="str">
        <f t="shared" si="848"/>
        <v/>
      </c>
      <c r="FK134" s="4" t="str">
        <f t="shared" si="849"/>
        <v/>
      </c>
      <c r="FL134" s="5" t="str">
        <f t="shared" si="850"/>
        <v/>
      </c>
      <c r="FM134" s="8" t="str">
        <f t="shared" si="851"/>
        <v/>
      </c>
      <c r="FN134" s="9" t="str">
        <f t="shared" si="852"/>
        <v/>
      </c>
      <c r="FO134" s="10" t="str">
        <f t="shared" si="853"/>
        <v/>
      </c>
      <c r="FP134" s="288" t="str">
        <f t="shared" si="854"/>
        <v/>
      </c>
      <c r="FQ134" s="177" t="str">
        <f t="shared" si="855"/>
        <v/>
      </c>
      <c r="FR134" s="10" t="str">
        <f t="shared" si="856"/>
        <v/>
      </c>
      <c r="FS134" s="9" t="str">
        <f t="shared" si="857"/>
        <v/>
      </c>
      <c r="FT134" s="6" t="str">
        <f t="shared" si="858"/>
        <v/>
      </c>
      <c r="FU134" s="4" t="str">
        <f t="shared" si="859"/>
        <v/>
      </c>
      <c r="FV134" s="5" t="str">
        <f t="shared" si="860"/>
        <v/>
      </c>
      <c r="FW134" s="8" t="str">
        <f t="shared" si="861"/>
        <v/>
      </c>
      <c r="FX134" s="9" t="str">
        <f t="shared" si="862"/>
        <v/>
      </c>
      <c r="FY134" s="10" t="str">
        <f t="shared" si="863"/>
        <v/>
      </c>
      <c r="FZ134" s="288" t="str">
        <f t="shared" si="864"/>
        <v/>
      </c>
      <c r="GA134" s="181" t="str">
        <f t="shared" si="865"/>
        <v/>
      </c>
      <c r="GB134" s="4" t="str">
        <f t="shared" si="866"/>
        <v/>
      </c>
      <c r="GC134" s="5" t="str">
        <f t="shared" si="867"/>
        <v/>
      </c>
      <c r="GD134" s="10" t="str">
        <f t="shared" si="868"/>
        <v/>
      </c>
      <c r="GE134" s="324" t="str">
        <f t="shared" si="869"/>
        <v/>
      </c>
      <c r="GF134" s="362" t="str">
        <f t="shared" si="870"/>
        <v/>
      </c>
      <c r="GG134" s="317" t="str">
        <f t="shared" si="871"/>
        <v/>
      </c>
      <c r="GH134" s="318" t="str">
        <f t="shared" si="872"/>
        <v/>
      </c>
      <c r="GI134" s="319" t="str">
        <f t="shared" si="873"/>
        <v/>
      </c>
      <c r="GJ134" s="171" t="str">
        <f t="shared" si="874"/>
        <v/>
      </c>
      <c r="GK134" s="178" t="str">
        <f t="shared" si="706"/>
        <v/>
      </c>
      <c r="GL134" s="178" t="str">
        <f t="shared" si="875"/>
        <v/>
      </c>
      <c r="GM134" s="181" t="str">
        <f t="shared" si="876"/>
        <v/>
      </c>
      <c r="GN134" s="291" t="str">
        <f t="shared" si="877"/>
        <v/>
      </c>
      <c r="GO134" s="4" t="str">
        <f t="shared" si="878"/>
        <v/>
      </c>
      <c r="GP134" s="8" t="str">
        <f t="shared" si="879"/>
        <v/>
      </c>
      <c r="GQ134" s="181" t="str">
        <f t="shared" si="880"/>
        <v/>
      </c>
      <c r="GR134" s="417" t="str">
        <f t="shared" si="881"/>
        <v/>
      </c>
      <c r="GS134" s="363" t="str">
        <f t="shared" si="882"/>
        <v/>
      </c>
      <c r="GT134" s="364" t="str">
        <f t="shared" si="883"/>
        <v/>
      </c>
      <c r="GU134" s="365" t="str">
        <f t="shared" si="709"/>
        <v/>
      </c>
      <c r="GV134" s="364" t="str">
        <f t="shared" si="884"/>
        <v/>
      </c>
      <c r="GW134" s="366" t="str">
        <f t="shared" si="710"/>
        <v/>
      </c>
      <c r="GX134" s="367" t="str">
        <f t="shared" si="711"/>
        <v/>
      </c>
      <c r="GY134" s="365" t="str">
        <f t="shared" si="885"/>
        <v/>
      </c>
      <c r="GZ134" s="366" t="str">
        <f t="shared" si="886"/>
        <v/>
      </c>
      <c r="HA134" s="363" t="str">
        <f t="shared" si="714"/>
        <v/>
      </c>
      <c r="HB134" s="5" t="str">
        <f t="shared" si="641"/>
        <v/>
      </c>
      <c r="HC134" s="364" t="str">
        <f t="shared" si="887"/>
        <v/>
      </c>
      <c r="HD134" s="405" t="str">
        <f t="shared" si="888"/>
        <v/>
      </c>
      <c r="HE134" s="365" t="str">
        <f t="shared" si="715"/>
        <v/>
      </c>
      <c r="HF134" s="5" t="str">
        <f t="shared" si="716"/>
        <v/>
      </c>
      <c r="HG134" s="364" t="str">
        <f t="shared" si="889"/>
        <v/>
      </c>
      <c r="HH134" s="370" t="str">
        <f t="shared" si="890"/>
        <v/>
      </c>
      <c r="HI134" s="335" t="str">
        <f t="shared" si="717"/>
        <v/>
      </c>
      <c r="HK134" s="323" t="str">
        <f t="shared" si="891"/>
        <v/>
      </c>
      <c r="HL134" s="322" t="str">
        <f t="shared" si="892"/>
        <v/>
      </c>
      <c r="HM134" s="369" t="str">
        <f t="shared" si="893"/>
        <v/>
      </c>
      <c r="HN134" s="384" t="str">
        <f t="shared" si="893"/>
        <v/>
      </c>
      <c r="HO134" s="385" t="str">
        <f t="shared" si="893"/>
        <v/>
      </c>
      <c r="HP134" s="380" t="str">
        <f t="shared" si="893"/>
        <v/>
      </c>
      <c r="HQ134" s="384" t="str">
        <f t="shared" si="893"/>
        <v/>
      </c>
      <c r="HR134" s="395" t="str">
        <f t="shared" si="893"/>
        <v/>
      </c>
      <c r="HS134" s="379" t="str">
        <f t="shared" si="893"/>
        <v/>
      </c>
      <c r="HT134" s="374" t="str">
        <f t="shared" si="893"/>
        <v/>
      </c>
      <c r="HU134" s="375" t="str">
        <f t="shared" si="893"/>
        <v/>
      </c>
      <c r="HV134" s="376" t="str">
        <f t="shared" si="893"/>
        <v/>
      </c>
      <c r="HW134" s="374" t="str">
        <f t="shared" si="893"/>
        <v/>
      </c>
      <c r="HX134" s="375" t="str">
        <f t="shared" si="893"/>
        <v/>
      </c>
      <c r="HY134" s="376" t="str">
        <f t="shared" si="893"/>
        <v/>
      </c>
      <c r="HZ134" s="374" t="str">
        <f t="shared" si="893"/>
        <v/>
      </c>
      <c r="IA134" s="375" t="str">
        <f t="shared" si="893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6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5"/>
        <v/>
      </c>
      <c r="IK134" s="533" t="str">
        <f t="shared" si="718"/>
        <v/>
      </c>
      <c r="IL134" s="727" t="str">
        <f t="shared" si="651"/>
        <v/>
      </c>
      <c r="IM134" s="759"/>
      <c r="IN134" s="5" t="str">
        <f t="shared" si="652"/>
        <v/>
      </c>
      <c r="IO134" s="771"/>
      <c r="IP134" s="9" t="str">
        <f t="shared" si="653"/>
        <v/>
      </c>
      <c r="IQ134" s="5" t="str">
        <f t="shared" si="654"/>
        <v/>
      </c>
      <c r="IR134" s="5" t="str">
        <f t="shared" si="719"/>
        <v/>
      </c>
      <c r="IS134" s="5" t="str">
        <f t="shared" si="655"/>
        <v/>
      </c>
      <c r="IT134" s="727" t="str">
        <f t="shared" si="656"/>
        <v/>
      </c>
      <c r="IU134" s="9" t="str">
        <f t="shared" si="657"/>
        <v/>
      </c>
      <c r="IV134" s="5" t="str">
        <f t="shared" si="658"/>
        <v/>
      </c>
      <c r="IW134" s="5" t="str">
        <f t="shared" si="720"/>
        <v/>
      </c>
      <c r="IX134" s="5" t="str">
        <f t="shared" si="659"/>
        <v/>
      </c>
      <c r="IY134" s="762" t="str">
        <f t="shared" si="660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5"/>
        <v/>
      </c>
      <c r="N135" s="638" t="str">
        <f t="shared" si="666"/>
        <v/>
      </c>
      <c r="O135" s="639" t="str">
        <f t="shared" si="667"/>
        <v/>
      </c>
      <c r="P135" s="640" t="str">
        <f t="shared" si="668"/>
        <v/>
      </c>
      <c r="Q135" s="593" t="str">
        <f t="shared" si="749"/>
        <v/>
      </c>
      <c r="R135" s="639" t="str">
        <f t="shared" si="750"/>
        <v/>
      </c>
      <c r="S135" s="641" t="str">
        <f t="shared" si="751"/>
        <v/>
      </c>
      <c r="T135" s="642" t="str">
        <f t="shared" si="752"/>
        <v/>
      </c>
      <c r="U135" s="639" t="str">
        <f t="shared" si="753"/>
        <v/>
      </c>
      <c r="V135" s="643" t="str">
        <f t="shared" si="754"/>
        <v/>
      </c>
      <c r="W135" s="593" t="str">
        <f t="shared" si="755"/>
        <v/>
      </c>
      <c r="X135" s="639" t="str">
        <f t="shared" si="756"/>
        <v/>
      </c>
      <c r="Y135" s="644" t="str">
        <f t="shared" si="757"/>
        <v/>
      </c>
      <c r="Z135" s="638" t="str">
        <f t="shared" si="669"/>
        <v/>
      </c>
      <c r="AA135" s="639" t="str">
        <f t="shared" si="670"/>
        <v/>
      </c>
      <c r="AB135" s="639" t="str">
        <f t="shared" si="671"/>
        <v/>
      </c>
      <c r="AC135" s="643" t="str">
        <f t="shared" si="758"/>
        <v/>
      </c>
      <c r="AD135" s="645" t="str">
        <f t="shared" si="759"/>
        <v/>
      </c>
      <c r="AE135" s="639" t="str">
        <f t="shared" si="760"/>
        <v/>
      </c>
      <c r="AF135" s="640" t="str">
        <f t="shared" si="761"/>
        <v/>
      </c>
      <c r="AG135" s="604" t="str">
        <f t="shared" si="762"/>
        <v/>
      </c>
      <c r="AH135" s="605" t="str">
        <f t="shared" si="763"/>
        <v/>
      </c>
      <c r="AI135" s="593" t="str">
        <f t="shared" si="764"/>
        <v/>
      </c>
      <c r="AJ135" s="594" t="str">
        <f t="shared" si="765"/>
        <v/>
      </c>
      <c r="AK135" s="642" t="str">
        <f t="shared" si="766"/>
        <v/>
      </c>
      <c r="AL135" s="639" t="str">
        <f t="shared" si="767"/>
        <v/>
      </c>
      <c r="AM135" s="641" t="str">
        <f t="shared" si="768"/>
        <v/>
      </c>
      <c r="AN135" s="591" t="str">
        <f t="shared" si="769"/>
        <v/>
      </c>
      <c r="AO135" s="592" t="str">
        <f t="shared" si="748"/>
        <v/>
      </c>
      <c r="AP135" s="593" t="str">
        <f t="shared" si="770"/>
        <v/>
      </c>
      <c r="AQ135" s="594" t="str">
        <f t="shared" si="672"/>
        <v/>
      </c>
      <c r="AS135" s="555" t="str">
        <f t="shared" si="742"/>
        <v/>
      </c>
      <c r="AT135" s="556" t="str">
        <f t="shared" si="673"/>
        <v/>
      </c>
      <c r="AU135" s="469"/>
      <c r="AV135" s="168" t="str">
        <f t="shared" si="674"/>
        <v/>
      </c>
      <c r="AW135" s="557"/>
      <c r="AX135" s="49"/>
      <c r="AY135" s="242"/>
      <c r="AZ135" s="308" t="str">
        <f t="shared" si="771"/>
        <v/>
      </c>
      <c r="BA135" s="558" t="str">
        <f t="shared" si="772"/>
        <v/>
      </c>
      <c r="BB135" s="559" t="str">
        <f t="shared" si="524"/>
        <v/>
      </c>
      <c r="BC135" s="547"/>
      <c r="BD135" s="545" t="str">
        <f t="shared" si="773"/>
        <v/>
      </c>
      <c r="BE135" s="548" t="str">
        <f t="shared" si="676"/>
        <v/>
      </c>
      <c r="BF135" s="549" t="str">
        <f t="shared" si="677"/>
        <v/>
      </c>
      <c r="BG135" s="545" t="str">
        <f t="shared" si="678"/>
        <v/>
      </c>
      <c r="BH135" s="546" t="str">
        <f t="shared" si="679"/>
        <v/>
      </c>
      <c r="BI135" s="547" t="str">
        <f t="shared" si="774"/>
        <v/>
      </c>
      <c r="BJ135" s="545" t="str">
        <f t="shared" si="680"/>
        <v/>
      </c>
      <c r="BK135" s="550" t="str">
        <f t="shared" si="681"/>
        <v/>
      </c>
      <c r="BL135" s="553" t="str">
        <f t="shared" si="682"/>
        <v/>
      </c>
      <c r="BM135" s="545" t="str">
        <f t="shared" si="683"/>
        <v/>
      </c>
      <c r="BN135" s="548" t="str">
        <f t="shared" si="684"/>
        <v/>
      </c>
      <c r="BO135" s="549" t="str">
        <f t="shared" si="775"/>
        <v/>
      </c>
      <c r="BP135" s="545" t="str">
        <f t="shared" si="776"/>
        <v/>
      </c>
      <c r="BQ135" s="545" t="str">
        <f t="shared" si="777"/>
        <v/>
      </c>
      <c r="BR135" s="548" t="str">
        <f t="shared" si="778"/>
        <v/>
      </c>
      <c r="BS135" s="549" t="str">
        <f t="shared" si="740"/>
        <v/>
      </c>
      <c r="BT135" s="545" t="str">
        <f t="shared" si="740"/>
        <v/>
      </c>
      <c r="BU135" s="546" t="str">
        <f t="shared" si="527"/>
        <v/>
      </c>
      <c r="BV135" s="547" t="str">
        <f t="shared" si="528"/>
        <v/>
      </c>
      <c r="BW135" s="545" t="str">
        <f t="shared" si="529"/>
        <v/>
      </c>
      <c r="BX135" s="550" t="str">
        <f t="shared" si="530"/>
        <v/>
      </c>
      <c r="BY135" s="553" t="str">
        <f t="shared" si="531"/>
        <v/>
      </c>
      <c r="BZ135" s="545" t="str">
        <f t="shared" si="532"/>
        <v/>
      </c>
      <c r="CA135" s="548" t="str">
        <f t="shared" si="533"/>
        <v/>
      </c>
      <c r="CB135" s="549" t="str">
        <f t="shared" si="779"/>
        <v/>
      </c>
      <c r="CC135" s="545" t="str">
        <f t="shared" si="780"/>
        <v/>
      </c>
      <c r="CD135" s="545" t="str">
        <f t="shared" si="781"/>
        <v/>
      </c>
      <c r="CE135" s="548" t="str">
        <f t="shared" si="782"/>
        <v/>
      </c>
      <c r="CF135" s="549" t="str">
        <f t="shared" si="783"/>
        <v/>
      </c>
      <c r="CG135" s="545" t="str">
        <f t="shared" si="784"/>
        <v/>
      </c>
      <c r="CH135" s="545" t="str">
        <f t="shared" si="785"/>
        <v/>
      </c>
      <c r="CI135" s="549" t="str">
        <f t="shared" si="534"/>
        <v/>
      </c>
      <c r="CJ135" s="545" t="str">
        <f t="shared" si="786"/>
        <v/>
      </c>
      <c r="CK135" s="550" t="str">
        <f t="shared" si="787"/>
        <v/>
      </c>
      <c r="CL135" s="553" t="str">
        <f t="shared" si="788"/>
        <v/>
      </c>
      <c r="CM135" s="545" t="str">
        <f t="shared" si="789"/>
        <v/>
      </c>
      <c r="CN135" s="548" t="str">
        <f t="shared" si="790"/>
        <v/>
      </c>
      <c r="CO135" s="560" t="str">
        <f t="shared" si="685"/>
        <v/>
      </c>
      <c r="CP135" s="549" t="str">
        <f t="shared" si="791"/>
        <v/>
      </c>
      <c r="CQ135" s="545" t="str">
        <f t="shared" si="792"/>
        <v/>
      </c>
      <c r="CR135" s="545" t="str">
        <f t="shared" si="793"/>
        <v/>
      </c>
      <c r="CS135" s="550" t="str">
        <f t="shared" si="794"/>
        <v/>
      </c>
      <c r="CT135" s="547" t="str">
        <f t="shared" si="795"/>
        <v/>
      </c>
      <c r="CU135" s="548" t="str">
        <f t="shared" si="796"/>
        <v/>
      </c>
      <c r="CV135" s="549" t="str">
        <f t="shared" si="797"/>
        <v/>
      </c>
      <c r="CW135" s="545" t="str">
        <f t="shared" si="798"/>
        <v/>
      </c>
      <c r="CX135" s="550" t="str">
        <f t="shared" si="799"/>
        <v/>
      </c>
      <c r="CY135" s="547" t="str">
        <f t="shared" si="800"/>
        <v/>
      </c>
      <c r="CZ135" s="545" t="str">
        <f t="shared" si="801"/>
        <v/>
      </c>
      <c r="DA135" s="548" t="str">
        <f t="shared" si="802"/>
        <v/>
      </c>
      <c r="DB135" s="549" t="str">
        <f t="shared" si="743"/>
        <v/>
      </c>
      <c r="DC135" s="545" t="str">
        <f t="shared" si="743"/>
        <v/>
      </c>
      <c r="DD135" s="546" t="str">
        <f t="shared" si="573"/>
        <v/>
      </c>
      <c r="DE135" s="547" t="str">
        <f t="shared" si="744"/>
        <v/>
      </c>
      <c r="DF135" s="545" t="str">
        <f t="shared" si="744"/>
        <v/>
      </c>
      <c r="DG135" s="546" t="str">
        <f t="shared" si="575"/>
        <v/>
      </c>
      <c r="DH135" s="552" t="str">
        <f t="shared" si="803"/>
        <v/>
      </c>
      <c r="DI135" s="549" t="str">
        <f t="shared" si="804"/>
        <v/>
      </c>
      <c r="DJ135" s="545" t="str">
        <f t="shared" si="805"/>
        <v/>
      </c>
      <c r="DK135" s="546" t="str">
        <f t="shared" si="806"/>
        <v/>
      </c>
      <c r="DL135" s="547" t="str">
        <f t="shared" si="807"/>
        <v/>
      </c>
      <c r="DM135" s="553" t="str">
        <f t="shared" si="808"/>
        <v/>
      </c>
      <c r="DN135" s="561" t="str">
        <f t="shared" si="809"/>
        <v/>
      </c>
      <c r="DO135" s="547" t="str">
        <f t="shared" si="810"/>
        <v/>
      </c>
      <c r="DP135" s="553" t="str">
        <f t="shared" si="811"/>
        <v/>
      </c>
      <c r="DQ135" s="554" t="str">
        <f t="shared" si="812"/>
        <v/>
      </c>
      <c r="DR135" s="553" t="str">
        <f t="shared" si="813"/>
        <v/>
      </c>
      <c r="DS135" s="545" t="str">
        <f t="shared" si="814"/>
        <v/>
      </c>
      <c r="DT135" s="545" t="str">
        <f t="shared" si="815"/>
        <v/>
      </c>
      <c r="DU135" s="545" t="str">
        <f t="shared" si="816"/>
        <v/>
      </c>
      <c r="DV135" s="545" t="str">
        <f t="shared" si="817"/>
        <v/>
      </c>
      <c r="DW135" s="545" t="str">
        <f t="shared" si="818"/>
        <v/>
      </c>
      <c r="DX135" s="560" t="str">
        <f t="shared" si="819"/>
        <v/>
      </c>
      <c r="DY135" s="547" t="str">
        <f t="shared" si="820"/>
        <v/>
      </c>
      <c r="DZ135" s="545" t="str">
        <f t="shared" si="821"/>
        <v/>
      </c>
      <c r="EA135" s="546" t="str">
        <f t="shared" si="822"/>
        <v/>
      </c>
      <c r="EB135" s="548" t="str">
        <f t="shared" si="823"/>
        <v/>
      </c>
      <c r="EC135" s="553" t="str">
        <f t="shared" si="824"/>
        <v/>
      </c>
      <c r="ED135" s="545" t="str">
        <f t="shared" si="825"/>
        <v/>
      </c>
      <c r="EE135" s="549" t="str">
        <f t="shared" si="826"/>
        <v/>
      </c>
      <c r="EF135" s="545" t="str">
        <f t="shared" si="827"/>
        <v/>
      </c>
      <c r="EG135" s="546" t="str">
        <f t="shared" si="828"/>
        <v/>
      </c>
      <c r="EH135" s="547" t="str">
        <f t="shared" si="829"/>
        <v/>
      </c>
      <c r="EI135" s="545" t="str">
        <f t="shared" si="830"/>
        <v/>
      </c>
      <c r="EJ135" s="548" t="str">
        <f t="shared" si="831"/>
        <v/>
      </c>
      <c r="EK135" s="562" t="str">
        <f t="shared" si="605"/>
        <v/>
      </c>
      <c r="EL135" s="563" t="str">
        <f t="shared" si="606"/>
        <v/>
      </c>
      <c r="EM135" s="549" t="str">
        <f t="shared" si="832"/>
        <v/>
      </c>
      <c r="EN135" s="545" t="str">
        <f t="shared" si="833"/>
        <v/>
      </c>
      <c r="EO135" s="546" t="str">
        <f t="shared" si="834"/>
        <v/>
      </c>
      <c r="EP135" s="547" t="str">
        <f t="shared" si="835"/>
        <v/>
      </c>
      <c r="EQ135" s="545" t="str">
        <f t="shared" si="836"/>
        <v/>
      </c>
      <c r="ER135" s="551" t="str">
        <f t="shared" si="837"/>
        <v/>
      </c>
      <c r="ES135" s="544" t="str">
        <f t="shared" si="686"/>
        <v/>
      </c>
      <c r="ET135" s="545" t="str">
        <f t="shared" si="687"/>
        <v/>
      </c>
      <c r="EU135" s="546" t="str">
        <f t="shared" si="688"/>
        <v/>
      </c>
      <c r="EV135" s="178" t="str">
        <f t="shared" si="838"/>
        <v/>
      </c>
      <c r="EW135" s="547" t="str">
        <f t="shared" si="839"/>
        <v/>
      </c>
      <c r="EX135" s="545" t="str">
        <f t="shared" si="840"/>
        <v/>
      </c>
      <c r="EY135" s="548" t="str">
        <f t="shared" si="841"/>
        <v/>
      </c>
      <c r="EZ135" s="555" t="str">
        <f t="shared" si="614"/>
        <v/>
      </c>
      <c r="FA135" s="553" t="str">
        <f t="shared" si="692"/>
        <v/>
      </c>
      <c r="FB135" s="545" t="str">
        <f t="shared" si="693"/>
        <v/>
      </c>
      <c r="FC135" s="548" t="str">
        <f t="shared" si="694"/>
        <v/>
      </c>
      <c r="FD135" s="549" t="str">
        <f t="shared" si="842"/>
        <v/>
      </c>
      <c r="FE135" s="545" t="str">
        <f t="shared" si="843"/>
        <v/>
      </c>
      <c r="FF135" s="551" t="str">
        <f t="shared" si="844"/>
        <v/>
      </c>
      <c r="FG135" s="177" t="str">
        <f t="shared" si="845"/>
        <v/>
      </c>
      <c r="FH135" s="5" t="str">
        <f t="shared" si="846"/>
        <v/>
      </c>
      <c r="FI135" s="10" t="str">
        <f t="shared" si="847"/>
        <v/>
      </c>
      <c r="FJ135" s="290" t="str">
        <f t="shared" si="848"/>
        <v/>
      </c>
      <c r="FK135" s="4" t="str">
        <f t="shared" si="849"/>
        <v/>
      </c>
      <c r="FL135" s="5" t="str">
        <f t="shared" si="850"/>
        <v/>
      </c>
      <c r="FM135" s="8" t="str">
        <f t="shared" si="851"/>
        <v/>
      </c>
      <c r="FN135" s="9" t="str">
        <f t="shared" si="852"/>
        <v/>
      </c>
      <c r="FO135" s="10" t="str">
        <f t="shared" si="853"/>
        <v/>
      </c>
      <c r="FP135" s="288" t="str">
        <f t="shared" si="854"/>
        <v/>
      </c>
      <c r="FQ135" s="177" t="str">
        <f t="shared" si="855"/>
        <v/>
      </c>
      <c r="FR135" s="10" t="str">
        <f t="shared" si="856"/>
        <v/>
      </c>
      <c r="FS135" s="9" t="str">
        <f t="shared" si="857"/>
        <v/>
      </c>
      <c r="FT135" s="6" t="str">
        <f t="shared" si="858"/>
        <v/>
      </c>
      <c r="FU135" s="4" t="str">
        <f t="shared" si="859"/>
        <v/>
      </c>
      <c r="FV135" s="5" t="str">
        <f t="shared" si="860"/>
        <v/>
      </c>
      <c r="FW135" s="8" t="str">
        <f t="shared" si="861"/>
        <v/>
      </c>
      <c r="FX135" s="9" t="str">
        <f t="shared" si="862"/>
        <v/>
      </c>
      <c r="FY135" s="10" t="str">
        <f t="shared" si="863"/>
        <v/>
      </c>
      <c r="FZ135" s="288" t="str">
        <f t="shared" si="864"/>
        <v/>
      </c>
      <c r="GA135" s="181" t="str">
        <f t="shared" si="865"/>
        <v/>
      </c>
      <c r="GB135" s="4" t="str">
        <f t="shared" si="866"/>
        <v/>
      </c>
      <c r="GC135" s="5" t="str">
        <f t="shared" si="867"/>
        <v/>
      </c>
      <c r="GD135" s="10" t="str">
        <f t="shared" si="868"/>
        <v/>
      </c>
      <c r="GE135" s="324" t="str">
        <f t="shared" si="869"/>
        <v/>
      </c>
      <c r="GF135" s="362" t="str">
        <f t="shared" si="870"/>
        <v/>
      </c>
      <c r="GG135" s="317" t="str">
        <f t="shared" si="871"/>
        <v/>
      </c>
      <c r="GH135" s="318" t="str">
        <f t="shared" si="872"/>
        <v/>
      </c>
      <c r="GI135" s="319" t="str">
        <f t="shared" si="873"/>
        <v/>
      </c>
      <c r="GJ135" s="171" t="str">
        <f t="shared" si="874"/>
        <v/>
      </c>
      <c r="GK135" s="178" t="str">
        <f t="shared" si="706"/>
        <v/>
      </c>
      <c r="GL135" s="178" t="str">
        <f t="shared" si="875"/>
        <v/>
      </c>
      <c r="GM135" s="181" t="str">
        <f t="shared" si="876"/>
        <v/>
      </c>
      <c r="GN135" s="291" t="str">
        <f t="shared" si="877"/>
        <v/>
      </c>
      <c r="GO135" s="4" t="str">
        <f t="shared" si="878"/>
        <v/>
      </c>
      <c r="GP135" s="8" t="str">
        <f t="shared" si="879"/>
        <v/>
      </c>
      <c r="GQ135" s="181" t="str">
        <f t="shared" si="880"/>
        <v/>
      </c>
      <c r="GR135" s="417" t="str">
        <f t="shared" si="881"/>
        <v/>
      </c>
      <c r="GS135" s="363" t="str">
        <f t="shared" si="882"/>
        <v/>
      </c>
      <c r="GT135" s="364" t="str">
        <f t="shared" si="883"/>
        <v/>
      </c>
      <c r="GU135" s="365" t="str">
        <f t="shared" si="709"/>
        <v/>
      </c>
      <c r="GV135" s="364" t="str">
        <f t="shared" si="884"/>
        <v/>
      </c>
      <c r="GW135" s="366" t="str">
        <f t="shared" si="710"/>
        <v/>
      </c>
      <c r="GX135" s="367" t="str">
        <f t="shared" si="711"/>
        <v/>
      </c>
      <c r="GY135" s="365" t="str">
        <f t="shared" si="885"/>
        <v/>
      </c>
      <c r="GZ135" s="366" t="str">
        <f t="shared" si="886"/>
        <v/>
      </c>
      <c r="HA135" s="363" t="str">
        <f t="shared" si="714"/>
        <v/>
      </c>
      <c r="HB135" s="5" t="str">
        <f t="shared" si="641"/>
        <v/>
      </c>
      <c r="HC135" s="364" t="str">
        <f t="shared" si="887"/>
        <v/>
      </c>
      <c r="HD135" s="405" t="str">
        <f t="shared" si="888"/>
        <v/>
      </c>
      <c r="HE135" s="365" t="str">
        <f t="shared" si="715"/>
        <v/>
      </c>
      <c r="HF135" s="5" t="str">
        <f t="shared" si="716"/>
        <v/>
      </c>
      <c r="HG135" s="364" t="str">
        <f t="shared" si="889"/>
        <v/>
      </c>
      <c r="HH135" s="370" t="str">
        <f t="shared" si="890"/>
        <v/>
      </c>
      <c r="HI135" s="335" t="str">
        <f t="shared" si="717"/>
        <v/>
      </c>
      <c r="HK135" s="323" t="str">
        <f t="shared" si="891"/>
        <v/>
      </c>
      <c r="HL135" s="322" t="str">
        <f t="shared" si="892"/>
        <v/>
      </c>
      <c r="HM135" s="369" t="str">
        <f t="shared" si="893"/>
        <v/>
      </c>
      <c r="HN135" s="384" t="str">
        <f t="shared" si="893"/>
        <v/>
      </c>
      <c r="HO135" s="385" t="str">
        <f t="shared" si="893"/>
        <v/>
      </c>
      <c r="HP135" s="380" t="str">
        <f t="shared" si="893"/>
        <v/>
      </c>
      <c r="HQ135" s="384" t="str">
        <f t="shared" si="893"/>
        <v/>
      </c>
      <c r="HR135" s="395" t="str">
        <f t="shared" si="893"/>
        <v/>
      </c>
      <c r="HS135" s="379" t="str">
        <f t="shared" si="893"/>
        <v/>
      </c>
      <c r="HT135" s="374" t="str">
        <f t="shared" si="893"/>
        <v/>
      </c>
      <c r="HU135" s="375" t="str">
        <f t="shared" si="893"/>
        <v/>
      </c>
      <c r="HV135" s="376" t="str">
        <f t="shared" si="893"/>
        <v/>
      </c>
      <c r="HW135" s="374" t="str">
        <f t="shared" si="893"/>
        <v/>
      </c>
      <c r="HX135" s="375" t="str">
        <f t="shared" si="893"/>
        <v/>
      </c>
      <c r="HY135" s="376" t="str">
        <f t="shared" si="893"/>
        <v/>
      </c>
      <c r="HZ135" s="374" t="str">
        <f t="shared" si="893"/>
        <v/>
      </c>
      <c r="IA135" s="375" t="str">
        <f t="shared" si="893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6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5"/>
        <v/>
      </c>
      <c r="IK135" s="533" t="str">
        <f t="shared" si="718"/>
        <v/>
      </c>
      <c r="IL135" s="727" t="str">
        <f t="shared" si="651"/>
        <v/>
      </c>
      <c r="IM135" s="759"/>
      <c r="IN135" s="5" t="str">
        <f t="shared" si="652"/>
        <v/>
      </c>
      <c r="IO135" s="771"/>
      <c r="IP135" s="9" t="str">
        <f t="shared" si="653"/>
        <v/>
      </c>
      <c r="IQ135" s="5" t="str">
        <f t="shared" si="654"/>
        <v/>
      </c>
      <c r="IR135" s="5" t="str">
        <f t="shared" si="719"/>
        <v/>
      </c>
      <c r="IS135" s="5" t="str">
        <f t="shared" si="655"/>
        <v/>
      </c>
      <c r="IT135" s="727" t="str">
        <f t="shared" si="656"/>
        <v/>
      </c>
      <c r="IU135" s="9" t="str">
        <f t="shared" si="657"/>
        <v/>
      </c>
      <c r="IV135" s="5" t="str">
        <f t="shared" si="658"/>
        <v/>
      </c>
      <c r="IW135" s="5" t="str">
        <f t="shared" si="720"/>
        <v/>
      </c>
      <c r="IX135" s="5" t="str">
        <f t="shared" si="659"/>
        <v/>
      </c>
      <c r="IY135" s="762" t="str">
        <f t="shared" si="660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5"/>
        <v/>
      </c>
      <c r="N136" s="638" t="str">
        <f t="shared" si="666"/>
        <v/>
      </c>
      <c r="O136" s="639" t="str">
        <f t="shared" si="667"/>
        <v/>
      </c>
      <c r="P136" s="640" t="str">
        <f t="shared" si="668"/>
        <v/>
      </c>
      <c r="Q136" s="593" t="str">
        <f t="shared" si="749"/>
        <v/>
      </c>
      <c r="R136" s="639" t="str">
        <f t="shared" si="750"/>
        <v/>
      </c>
      <c r="S136" s="641" t="str">
        <f t="shared" si="751"/>
        <v/>
      </c>
      <c r="T136" s="642" t="str">
        <f t="shared" si="752"/>
        <v/>
      </c>
      <c r="U136" s="639" t="str">
        <f t="shared" si="753"/>
        <v/>
      </c>
      <c r="V136" s="643" t="str">
        <f t="shared" si="754"/>
        <v/>
      </c>
      <c r="W136" s="593" t="str">
        <f t="shared" si="755"/>
        <v/>
      </c>
      <c r="X136" s="639" t="str">
        <f t="shared" si="756"/>
        <v/>
      </c>
      <c r="Y136" s="644" t="str">
        <f t="shared" si="757"/>
        <v/>
      </c>
      <c r="Z136" s="638" t="str">
        <f t="shared" si="669"/>
        <v/>
      </c>
      <c r="AA136" s="639" t="str">
        <f t="shared" si="670"/>
        <v/>
      </c>
      <c r="AB136" s="639" t="str">
        <f t="shared" si="671"/>
        <v/>
      </c>
      <c r="AC136" s="643" t="str">
        <f t="shared" si="758"/>
        <v/>
      </c>
      <c r="AD136" s="645" t="str">
        <f t="shared" si="759"/>
        <v/>
      </c>
      <c r="AE136" s="639" t="str">
        <f t="shared" si="760"/>
        <v/>
      </c>
      <c r="AF136" s="640" t="str">
        <f t="shared" si="761"/>
        <v/>
      </c>
      <c r="AG136" s="604" t="str">
        <f t="shared" si="762"/>
        <v/>
      </c>
      <c r="AH136" s="605" t="str">
        <f t="shared" si="763"/>
        <v/>
      </c>
      <c r="AI136" s="593" t="str">
        <f t="shared" si="764"/>
        <v/>
      </c>
      <c r="AJ136" s="594" t="str">
        <f t="shared" si="765"/>
        <v/>
      </c>
      <c r="AK136" s="642" t="str">
        <f t="shared" si="766"/>
        <v/>
      </c>
      <c r="AL136" s="639" t="str">
        <f t="shared" si="767"/>
        <v/>
      </c>
      <c r="AM136" s="641" t="str">
        <f t="shared" si="768"/>
        <v/>
      </c>
      <c r="AN136" s="591" t="str">
        <f t="shared" si="769"/>
        <v/>
      </c>
      <c r="AO136" s="592" t="str">
        <f t="shared" si="748"/>
        <v/>
      </c>
      <c r="AP136" s="593" t="str">
        <f t="shared" si="770"/>
        <v/>
      </c>
      <c r="AQ136" s="594" t="str">
        <f t="shared" si="672"/>
        <v/>
      </c>
      <c r="AS136" s="555" t="str">
        <f t="shared" si="742"/>
        <v/>
      </c>
      <c r="AT136" s="556" t="str">
        <f t="shared" si="673"/>
        <v/>
      </c>
      <c r="AU136" s="469"/>
      <c r="AV136" s="168" t="str">
        <f t="shared" si="674"/>
        <v/>
      </c>
      <c r="AW136" s="557"/>
      <c r="AX136" s="49"/>
      <c r="AY136" s="242"/>
      <c r="AZ136" s="308" t="str">
        <f t="shared" si="771"/>
        <v/>
      </c>
      <c r="BA136" s="558" t="str">
        <f t="shared" si="772"/>
        <v/>
      </c>
      <c r="BB136" s="559" t="str">
        <f t="shared" si="524"/>
        <v/>
      </c>
      <c r="BC136" s="547"/>
      <c r="BD136" s="545" t="str">
        <f t="shared" si="773"/>
        <v/>
      </c>
      <c r="BE136" s="548" t="str">
        <f t="shared" si="676"/>
        <v/>
      </c>
      <c r="BF136" s="549" t="str">
        <f t="shared" si="677"/>
        <v/>
      </c>
      <c r="BG136" s="545" t="str">
        <f t="shared" si="678"/>
        <v/>
      </c>
      <c r="BH136" s="546" t="str">
        <f t="shared" si="679"/>
        <v/>
      </c>
      <c r="BI136" s="547" t="str">
        <f t="shared" si="774"/>
        <v/>
      </c>
      <c r="BJ136" s="545" t="str">
        <f t="shared" si="680"/>
        <v/>
      </c>
      <c r="BK136" s="550" t="str">
        <f t="shared" si="681"/>
        <v/>
      </c>
      <c r="BL136" s="553" t="str">
        <f t="shared" si="682"/>
        <v/>
      </c>
      <c r="BM136" s="545" t="str">
        <f t="shared" si="683"/>
        <v/>
      </c>
      <c r="BN136" s="548" t="str">
        <f t="shared" si="684"/>
        <v/>
      </c>
      <c r="BO136" s="549" t="str">
        <f t="shared" si="775"/>
        <v/>
      </c>
      <c r="BP136" s="545" t="str">
        <f t="shared" si="776"/>
        <v/>
      </c>
      <c r="BQ136" s="545" t="str">
        <f t="shared" si="777"/>
        <v/>
      </c>
      <c r="BR136" s="548" t="str">
        <f t="shared" si="778"/>
        <v/>
      </c>
      <c r="BS136" s="549" t="str">
        <f t="shared" si="740"/>
        <v/>
      </c>
      <c r="BT136" s="545" t="str">
        <f t="shared" si="740"/>
        <v/>
      </c>
      <c r="BU136" s="546" t="str">
        <f t="shared" si="527"/>
        <v/>
      </c>
      <c r="BV136" s="547" t="str">
        <f t="shared" si="528"/>
        <v/>
      </c>
      <c r="BW136" s="545" t="str">
        <f t="shared" si="529"/>
        <v/>
      </c>
      <c r="BX136" s="550" t="str">
        <f t="shared" si="530"/>
        <v/>
      </c>
      <c r="BY136" s="553" t="str">
        <f t="shared" si="531"/>
        <v/>
      </c>
      <c r="BZ136" s="545" t="str">
        <f t="shared" si="532"/>
        <v/>
      </c>
      <c r="CA136" s="548" t="str">
        <f t="shared" si="533"/>
        <v/>
      </c>
      <c r="CB136" s="549" t="str">
        <f t="shared" si="779"/>
        <v/>
      </c>
      <c r="CC136" s="545" t="str">
        <f t="shared" si="780"/>
        <v/>
      </c>
      <c r="CD136" s="545" t="str">
        <f t="shared" si="781"/>
        <v/>
      </c>
      <c r="CE136" s="548" t="str">
        <f t="shared" si="782"/>
        <v/>
      </c>
      <c r="CF136" s="549" t="str">
        <f t="shared" si="783"/>
        <v/>
      </c>
      <c r="CG136" s="545" t="str">
        <f t="shared" si="784"/>
        <v/>
      </c>
      <c r="CH136" s="545" t="str">
        <f t="shared" si="785"/>
        <v/>
      </c>
      <c r="CI136" s="549" t="str">
        <f t="shared" si="534"/>
        <v/>
      </c>
      <c r="CJ136" s="545" t="str">
        <f t="shared" si="786"/>
        <v/>
      </c>
      <c r="CK136" s="550" t="str">
        <f t="shared" si="787"/>
        <v/>
      </c>
      <c r="CL136" s="553" t="str">
        <f t="shared" si="788"/>
        <v/>
      </c>
      <c r="CM136" s="545" t="str">
        <f t="shared" si="789"/>
        <v/>
      </c>
      <c r="CN136" s="548" t="str">
        <f t="shared" si="790"/>
        <v/>
      </c>
      <c r="CO136" s="560" t="str">
        <f t="shared" si="685"/>
        <v/>
      </c>
      <c r="CP136" s="549" t="str">
        <f t="shared" si="791"/>
        <v/>
      </c>
      <c r="CQ136" s="545" t="str">
        <f t="shared" si="792"/>
        <v/>
      </c>
      <c r="CR136" s="545" t="str">
        <f t="shared" si="793"/>
        <v/>
      </c>
      <c r="CS136" s="550" t="str">
        <f t="shared" si="794"/>
        <v/>
      </c>
      <c r="CT136" s="547" t="str">
        <f t="shared" si="795"/>
        <v/>
      </c>
      <c r="CU136" s="548" t="str">
        <f t="shared" si="796"/>
        <v/>
      </c>
      <c r="CV136" s="549" t="str">
        <f t="shared" si="797"/>
        <v/>
      </c>
      <c r="CW136" s="545" t="str">
        <f t="shared" si="798"/>
        <v/>
      </c>
      <c r="CX136" s="550" t="str">
        <f t="shared" si="799"/>
        <v/>
      </c>
      <c r="CY136" s="547" t="str">
        <f t="shared" si="800"/>
        <v/>
      </c>
      <c r="CZ136" s="545" t="str">
        <f t="shared" si="801"/>
        <v/>
      </c>
      <c r="DA136" s="548" t="str">
        <f t="shared" si="802"/>
        <v/>
      </c>
      <c r="DB136" s="549" t="str">
        <f t="shared" si="743"/>
        <v/>
      </c>
      <c r="DC136" s="545" t="str">
        <f t="shared" si="743"/>
        <v/>
      </c>
      <c r="DD136" s="546" t="str">
        <f t="shared" si="573"/>
        <v/>
      </c>
      <c r="DE136" s="547" t="str">
        <f t="shared" si="744"/>
        <v/>
      </c>
      <c r="DF136" s="545" t="str">
        <f t="shared" si="744"/>
        <v/>
      </c>
      <c r="DG136" s="546" t="str">
        <f t="shared" si="575"/>
        <v/>
      </c>
      <c r="DH136" s="552" t="str">
        <f t="shared" si="803"/>
        <v/>
      </c>
      <c r="DI136" s="549" t="str">
        <f t="shared" si="804"/>
        <v/>
      </c>
      <c r="DJ136" s="545" t="str">
        <f t="shared" si="805"/>
        <v/>
      </c>
      <c r="DK136" s="546" t="str">
        <f t="shared" si="806"/>
        <v/>
      </c>
      <c r="DL136" s="547" t="str">
        <f t="shared" si="807"/>
        <v/>
      </c>
      <c r="DM136" s="553" t="str">
        <f t="shared" si="808"/>
        <v/>
      </c>
      <c r="DN136" s="561" t="str">
        <f t="shared" si="809"/>
        <v/>
      </c>
      <c r="DO136" s="547" t="str">
        <f t="shared" si="810"/>
        <v/>
      </c>
      <c r="DP136" s="553" t="str">
        <f t="shared" si="811"/>
        <v/>
      </c>
      <c r="DQ136" s="554" t="str">
        <f t="shared" si="812"/>
        <v/>
      </c>
      <c r="DR136" s="553" t="str">
        <f t="shared" si="813"/>
        <v/>
      </c>
      <c r="DS136" s="545" t="str">
        <f t="shared" si="814"/>
        <v/>
      </c>
      <c r="DT136" s="545" t="str">
        <f t="shared" si="815"/>
        <v/>
      </c>
      <c r="DU136" s="545" t="str">
        <f t="shared" si="816"/>
        <v/>
      </c>
      <c r="DV136" s="545" t="str">
        <f t="shared" si="817"/>
        <v/>
      </c>
      <c r="DW136" s="545" t="str">
        <f t="shared" si="818"/>
        <v/>
      </c>
      <c r="DX136" s="560" t="str">
        <f t="shared" si="819"/>
        <v/>
      </c>
      <c r="DY136" s="547" t="str">
        <f t="shared" si="820"/>
        <v/>
      </c>
      <c r="DZ136" s="545" t="str">
        <f t="shared" si="821"/>
        <v/>
      </c>
      <c r="EA136" s="546" t="str">
        <f t="shared" si="822"/>
        <v/>
      </c>
      <c r="EB136" s="548" t="str">
        <f t="shared" si="823"/>
        <v/>
      </c>
      <c r="EC136" s="553" t="str">
        <f t="shared" si="824"/>
        <v/>
      </c>
      <c r="ED136" s="545" t="str">
        <f t="shared" si="825"/>
        <v/>
      </c>
      <c r="EE136" s="549" t="str">
        <f t="shared" si="826"/>
        <v/>
      </c>
      <c r="EF136" s="545" t="str">
        <f t="shared" si="827"/>
        <v/>
      </c>
      <c r="EG136" s="546" t="str">
        <f t="shared" si="828"/>
        <v/>
      </c>
      <c r="EH136" s="547" t="str">
        <f t="shared" si="829"/>
        <v/>
      </c>
      <c r="EI136" s="545" t="str">
        <f t="shared" si="830"/>
        <v/>
      </c>
      <c r="EJ136" s="548" t="str">
        <f t="shared" si="831"/>
        <v/>
      </c>
      <c r="EK136" s="562" t="str">
        <f t="shared" si="605"/>
        <v/>
      </c>
      <c r="EL136" s="563" t="str">
        <f t="shared" si="606"/>
        <v/>
      </c>
      <c r="EM136" s="549" t="str">
        <f t="shared" si="832"/>
        <v/>
      </c>
      <c r="EN136" s="545" t="str">
        <f t="shared" si="833"/>
        <v/>
      </c>
      <c r="EO136" s="546" t="str">
        <f t="shared" si="834"/>
        <v/>
      </c>
      <c r="EP136" s="547" t="str">
        <f t="shared" si="835"/>
        <v/>
      </c>
      <c r="EQ136" s="545" t="str">
        <f t="shared" si="836"/>
        <v/>
      </c>
      <c r="ER136" s="551" t="str">
        <f t="shared" si="837"/>
        <v/>
      </c>
      <c r="ES136" s="544" t="str">
        <f t="shared" si="686"/>
        <v/>
      </c>
      <c r="ET136" s="545" t="str">
        <f t="shared" si="687"/>
        <v/>
      </c>
      <c r="EU136" s="546" t="str">
        <f t="shared" si="688"/>
        <v/>
      </c>
      <c r="EV136" s="178" t="str">
        <f t="shared" si="838"/>
        <v/>
      </c>
      <c r="EW136" s="547" t="str">
        <f t="shared" si="839"/>
        <v/>
      </c>
      <c r="EX136" s="545" t="str">
        <f t="shared" si="840"/>
        <v/>
      </c>
      <c r="EY136" s="548" t="str">
        <f t="shared" si="841"/>
        <v/>
      </c>
      <c r="EZ136" s="555" t="str">
        <f t="shared" si="614"/>
        <v/>
      </c>
      <c r="FA136" s="553" t="str">
        <f t="shared" si="692"/>
        <v/>
      </c>
      <c r="FB136" s="545" t="str">
        <f t="shared" si="693"/>
        <v/>
      </c>
      <c r="FC136" s="548" t="str">
        <f t="shared" si="694"/>
        <v/>
      </c>
      <c r="FD136" s="549" t="str">
        <f t="shared" si="842"/>
        <v/>
      </c>
      <c r="FE136" s="545" t="str">
        <f t="shared" si="843"/>
        <v/>
      </c>
      <c r="FF136" s="551" t="str">
        <f t="shared" si="844"/>
        <v/>
      </c>
      <c r="FG136" s="177" t="str">
        <f t="shared" si="845"/>
        <v/>
      </c>
      <c r="FH136" s="5" t="str">
        <f t="shared" si="846"/>
        <v/>
      </c>
      <c r="FI136" s="10" t="str">
        <f t="shared" si="847"/>
        <v/>
      </c>
      <c r="FJ136" s="290" t="str">
        <f t="shared" si="848"/>
        <v/>
      </c>
      <c r="FK136" s="4" t="str">
        <f t="shared" si="849"/>
        <v/>
      </c>
      <c r="FL136" s="5" t="str">
        <f t="shared" si="850"/>
        <v/>
      </c>
      <c r="FM136" s="8" t="str">
        <f t="shared" si="851"/>
        <v/>
      </c>
      <c r="FN136" s="9" t="str">
        <f t="shared" si="852"/>
        <v/>
      </c>
      <c r="FO136" s="10" t="str">
        <f t="shared" si="853"/>
        <v/>
      </c>
      <c r="FP136" s="288" t="str">
        <f t="shared" si="854"/>
        <v/>
      </c>
      <c r="FQ136" s="177" t="str">
        <f t="shared" si="855"/>
        <v/>
      </c>
      <c r="FR136" s="10" t="str">
        <f t="shared" si="856"/>
        <v/>
      </c>
      <c r="FS136" s="9" t="str">
        <f t="shared" si="857"/>
        <v/>
      </c>
      <c r="FT136" s="6" t="str">
        <f t="shared" si="858"/>
        <v/>
      </c>
      <c r="FU136" s="4" t="str">
        <f t="shared" si="859"/>
        <v/>
      </c>
      <c r="FV136" s="5" t="str">
        <f t="shared" si="860"/>
        <v/>
      </c>
      <c r="FW136" s="8" t="str">
        <f t="shared" si="861"/>
        <v/>
      </c>
      <c r="FX136" s="9" t="str">
        <f t="shared" si="862"/>
        <v/>
      </c>
      <c r="FY136" s="10" t="str">
        <f t="shared" si="863"/>
        <v/>
      </c>
      <c r="FZ136" s="288" t="str">
        <f t="shared" si="864"/>
        <v/>
      </c>
      <c r="GA136" s="181" t="str">
        <f t="shared" si="865"/>
        <v/>
      </c>
      <c r="GB136" s="4" t="str">
        <f t="shared" si="866"/>
        <v/>
      </c>
      <c r="GC136" s="5" t="str">
        <f t="shared" si="867"/>
        <v/>
      </c>
      <c r="GD136" s="10" t="str">
        <f t="shared" si="868"/>
        <v/>
      </c>
      <c r="GE136" s="324" t="str">
        <f t="shared" si="869"/>
        <v/>
      </c>
      <c r="GF136" s="362" t="str">
        <f t="shared" si="870"/>
        <v/>
      </c>
      <c r="GG136" s="317" t="str">
        <f t="shared" si="871"/>
        <v/>
      </c>
      <c r="GH136" s="318" t="str">
        <f t="shared" si="872"/>
        <v/>
      </c>
      <c r="GI136" s="319" t="str">
        <f t="shared" si="873"/>
        <v/>
      </c>
      <c r="GJ136" s="171" t="str">
        <f t="shared" si="874"/>
        <v/>
      </c>
      <c r="GK136" s="178" t="str">
        <f t="shared" si="706"/>
        <v/>
      </c>
      <c r="GL136" s="178" t="str">
        <f t="shared" si="875"/>
        <v/>
      </c>
      <c r="GM136" s="181" t="str">
        <f t="shared" si="876"/>
        <v/>
      </c>
      <c r="GN136" s="291" t="str">
        <f t="shared" si="877"/>
        <v/>
      </c>
      <c r="GO136" s="4" t="str">
        <f t="shared" si="878"/>
        <v/>
      </c>
      <c r="GP136" s="8" t="str">
        <f t="shared" si="879"/>
        <v/>
      </c>
      <c r="GQ136" s="181" t="str">
        <f t="shared" si="880"/>
        <v/>
      </c>
      <c r="GR136" s="417" t="str">
        <f t="shared" si="881"/>
        <v/>
      </c>
      <c r="GS136" s="363" t="str">
        <f t="shared" si="882"/>
        <v/>
      </c>
      <c r="GT136" s="364" t="str">
        <f t="shared" si="883"/>
        <v/>
      </c>
      <c r="GU136" s="365" t="str">
        <f t="shared" si="709"/>
        <v/>
      </c>
      <c r="GV136" s="364" t="str">
        <f t="shared" si="884"/>
        <v/>
      </c>
      <c r="GW136" s="366" t="str">
        <f t="shared" si="710"/>
        <v/>
      </c>
      <c r="GX136" s="367" t="str">
        <f t="shared" si="711"/>
        <v/>
      </c>
      <c r="GY136" s="365" t="str">
        <f t="shared" si="885"/>
        <v/>
      </c>
      <c r="GZ136" s="366" t="str">
        <f t="shared" si="886"/>
        <v/>
      </c>
      <c r="HA136" s="363" t="str">
        <f t="shared" si="714"/>
        <v/>
      </c>
      <c r="HB136" s="5" t="str">
        <f t="shared" si="641"/>
        <v/>
      </c>
      <c r="HC136" s="364" t="str">
        <f t="shared" si="887"/>
        <v/>
      </c>
      <c r="HD136" s="405" t="str">
        <f t="shared" si="888"/>
        <v/>
      </c>
      <c r="HE136" s="365" t="str">
        <f t="shared" si="715"/>
        <v/>
      </c>
      <c r="HF136" s="5" t="str">
        <f t="shared" si="716"/>
        <v/>
      </c>
      <c r="HG136" s="364" t="str">
        <f t="shared" si="889"/>
        <v/>
      </c>
      <c r="HH136" s="370" t="str">
        <f t="shared" si="890"/>
        <v/>
      </c>
      <c r="HI136" s="335" t="str">
        <f t="shared" si="717"/>
        <v/>
      </c>
      <c r="HK136" s="323" t="str">
        <f t="shared" si="891"/>
        <v/>
      </c>
      <c r="HL136" s="322" t="str">
        <f t="shared" si="892"/>
        <v/>
      </c>
      <c r="HM136" s="369" t="str">
        <f t="shared" si="893"/>
        <v/>
      </c>
      <c r="HN136" s="384" t="str">
        <f t="shared" si="893"/>
        <v/>
      </c>
      <c r="HO136" s="385" t="str">
        <f t="shared" si="893"/>
        <v/>
      </c>
      <c r="HP136" s="380" t="str">
        <f t="shared" si="893"/>
        <v/>
      </c>
      <c r="HQ136" s="384" t="str">
        <f t="shared" si="893"/>
        <v/>
      </c>
      <c r="HR136" s="395" t="str">
        <f t="shared" si="893"/>
        <v/>
      </c>
      <c r="HS136" s="379" t="str">
        <f t="shared" si="893"/>
        <v/>
      </c>
      <c r="HT136" s="374" t="str">
        <f t="shared" si="893"/>
        <v/>
      </c>
      <c r="HU136" s="375" t="str">
        <f t="shared" si="893"/>
        <v/>
      </c>
      <c r="HV136" s="376" t="str">
        <f t="shared" si="893"/>
        <v/>
      </c>
      <c r="HW136" s="374" t="str">
        <f t="shared" si="893"/>
        <v/>
      </c>
      <c r="HX136" s="375" t="str">
        <f t="shared" si="893"/>
        <v/>
      </c>
      <c r="HY136" s="376" t="str">
        <f t="shared" si="893"/>
        <v/>
      </c>
      <c r="HZ136" s="374" t="str">
        <f t="shared" si="893"/>
        <v/>
      </c>
      <c r="IA136" s="375" t="str">
        <f t="shared" si="893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6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5"/>
        <v/>
      </c>
      <c r="IK136" s="533" t="str">
        <f t="shared" si="718"/>
        <v/>
      </c>
      <c r="IL136" s="727" t="str">
        <f t="shared" si="651"/>
        <v/>
      </c>
      <c r="IM136" s="759"/>
      <c r="IN136" s="5" t="str">
        <f t="shared" si="652"/>
        <v/>
      </c>
      <c r="IO136" s="771"/>
      <c r="IP136" s="9" t="str">
        <f t="shared" si="653"/>
        <v/>
      </c>
      <c r="IQ136" s="5" t="str">
        <f t="shared" si="654"/>
        <v/>
      </c>
      <c r="IR136" s="5" t="str">
        <f t="shared" si="719"/>
        <v/>
      </c>
      <c r="IS136" s="5" t="str">
        <f t="shared" si="655"/>
        <v/>
      </c>
      <c r="IT136" s="727" t="str">
        <f t="shared" si="656"/>
        <v/>
      </c>
      <c r="IU136" s="9" t="str">
        <f t="shared" si="657"/>
        <v/>
      </c>
      <c r="IV136" s="5" t="str">
        <f t="shared" si="658"/>
        <v/>
      </c>
      <c r="IW136" s="5" t="str">
        <f t="shared" si="720"/>
        <v/>
      </c>
      <c r="IX136" s="5" t="str">
        <f t="shared" si="659"/>
        <v/>
      </c>
      <c r="IY136" s="762" t="str">
        <f t="shared" si="660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94">IF(J137="","",VALUE(J137))</f>
        <v/>
      </c>
      <c r="N137" s="638" t="str">
        <f t="shared" ref="N137:N150" si="895">IF(M137="","",B137)</f>
        <v/>
      </c>
      <c r="O137" s="639" t="str">
        <f t="shared" ref="O137:O150" si="896">IF(M137="","",C137)</f>
        <v/>
      </c>
      <c r="P137" s="640" t="str">
        <f t="shared" ref="P137:P150" si="897">IF(M137="","",D137)</f>
        <v/>
      </c>
      <c r="Q137" s="593" t="str">
        <f t="shared" si="749"/>
        <v/>
      </c>
      <c r="R137" s="639" t="str">
        <f t="shared" si="750"/>
        <v/>
      </c>
      <c r="S137" s="641" t="str">
        <f t="shared" si="751"/>
        <v/>
      </c>
      <c r="T137" s="642" t="str">
        <f t="shared" si="752"/>
        <v/>
      </c>
      <c r="U137" s="639" t="str">
        <f t="shared" si="753"/>
        <v/>
      </c>
      <c r="V137" s="643" t="str">
        <f t="shared" si="754"/>
        <v/>
      </c>
      <c r="W137" s="593" t="str">
        <f t="shared" si="755"/>
        <v/>
      </c>
      <c r="X137" s="639" t="str">
        <f t="shared" si="756"/>
        <v/>
      </c>
      <c r="Y137" s="644" t="str">
        <f t="shared" si="757"/>
        <v/>
      </c>
      <c r="Z137" s="638" t="str">
        <f t="shared" ref="Z137:Z150" si="898">IF(M137="","",-E137)</f>
        <v/>
      </c>
      <c r="AA137" s="639" t="str">
        <f t="shared" ref="AA137:AA150" si="899">IF(M137="","",-F137)</f>
        <v/>
      </c>
      <c r="AB137" s="639" t="str">
        <f t="shared" ref="AB137:AB150" si="900">IF(M137="","",-G137)</f>
        <v/>
      </c>
      <c r="AC137" s="643" t="str">
        <f t="shared" si="758"/>
        <v/>
      </c>
      <c r="AD137" s="645" t="str">
        <f t="shared" si="759"/>
        <v/>
      </c>
      <c r="AE137" s="639" t="str">
        <f t="shared" si="760"/>
        <v/>
      </c>
      <c r="AF137" s="640" t="str">
        <f t="shared" si="761"/>
        <v/>
      </c>
      <c r="AG137" s="604" t="str">
        <f t="shared" si="762"/>
        <v/>
      </c>
      <c r="AH137" s="605" t="str">
        <f t="shared" si="763"/>
        <v/>
      </c>
      <c r="AI137" s="593" t="str">
        <f t="shared" si="764"/>
        <v/>
      </c>
      <c r="AJ137" s="594" t="str">
        <f t="shared" si="765"/>
        <v/>
      </c>
      <c r="AK137" s="642" t="str">
        <f t="shared" si="766"/>
        <v/>
      </c>
      <c r="AL137" s="639" t="str">
        <f t="shared" si="767"/>
        <v/>
      </c>
      <c r="AM137" s="641" t="str">
        <f t="shared" si="768"/>
        <v/>
      </c>
      <c r="AN137" s="591" t="str">
        <f t="shared" si="769"/>
        <v/>
      </c>
      <c r="AO137" s="592" t="str">
        <f t="shared" si="748"/>
        <v/>
      </c>
      <c r="AP137" s="593" t="str">
        <f t="shared" si="770"/>
        <v/>
      </c>
      <c r="AQ137" s="594" t="str">
        <f t="shared" ref="AQ137:AQ150" si="901">IF(M137="","",DEGREES(ATAN(($AS$5*SIN(RADIANS(90)))/(($X137*2*PI())-($AS$5*COS(RADIANS(90)))))))</f>
        <v/>
      </c>
      <c r="AS137" s="555" t="str">
        <f t="shared" si="742"/>
        <v/>
      </c>
      <c r="AT137" s="556" t="str">
        <f t="shared" ref="AT137:AT150" si="902">IF(M137="","",Y137+(((AS137-$AS$9)*$AS$6)*-1))</f>
        <v/>
      </c>
      <c r="AU137" s="469"/>
      <c r="AV137" s="168" t="str">
        <f t="shared" ref="AV137:AV150" si="903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71"/>
        <v/>
      </c>
      <c r="BA137" s="558" t="str">
        <f t="shared" si="772"/>
        <v/>
      </c>
      <c r="BB137" s="559" t="str">
        <f t="shared" si="524"/>
        <v/>
      </c>
      <c r="BC137" s="547"/>
      <c r="BD137" s="545" t="str">
        <f t="shared" si="773"/>
        <v/>
      </c>
      <c r="BE137" s="548" t="str">
        <f t="shared" ref="BE137:BE150" si="904">IF(ISNUMBER(AV137),Y137+BB137,"")</f>
        <v/>
      </c>
      <c r="BF137" s="549" t="str">
        <f t="shared" ref="BF137:BF150" si="905">IF(ISNUMBER($AV137),N137,"")</f>
        <v/>
      </c>
      <c r="BG137" s="545" t="str">
        <f t="shared" ref="BG137:BG150" si="906">IF(ISNUMBER($AV137),O137,"")</f>
        <v/>
      </c>
      <c r="BH137" s="546" t="str">
        <f t="shared" ref="BH137:BH150" si="907">IF(ISNUMBER($AV137),P137,"")</f>
        <v/>
      </c>
      <c r="BI137" s="547" t="str">
        <f t="shared" si="774"/>
        <v/>
      </c>
      <c r="BJ137" s="545" t="str">
        <f t="shared" ref="BJ137:BJ150" si="908">IF(ISNUMBER($AV137),BG137+COS(RADIANS($AG137)),"")</f>
        <v/>
      </c>
      <c r="BK137" s="550" t="str">
        <f t="shared" ref="BK137:BK150" si="909">IF(ISNUMBER($AV137),BH137+SIN(RADIANS($AG137)),"")</f>
        <v/>
      </c>
      <c r="BL137" s="553" t="str">
        <f t="shared" ref="BL137:BL150" si="910">IF(ISNUMBER($AV137),BF137+SIN(RADIANS($AH137)),"")</f>
        <v/>
      </c>
      <c r="BM137" s="545" t="str">
        <f t="shared" ref="BM137:BM150" si="911">IF(ISNUMBER($AV137),BG137-SIN(RADIANS($AG137))*COS(RADIANS($AH137)),"")</f>
        <v/>
      </c>
      <c r="BN137" s="548" t="str">
        <f t="shared" ref="BN137:BN150" si="912">IF(ISNUMBER($AV137),BH137+COS(RADIANS($AG137))*COS(RADIANS($AH137)),"")</f>
        <v/>
      </c>
      <c r="BO137" s="549" t="str">
        <f t="shared" si="775"/>
        <v/>
      </c>
      <c r="BP137" s="545" t="str">
        <f t="shared" si="776"/>
        <v/>
      </c>
      <c r="BQ137" s="545" t="str">
        <f t="shared" si="777"/>
        <v/>
      </c>
      <c r="BR137" s="548" t="str">
        <f t="shared" si="778"/>
        <v/>
      </c>
      <c r="BS137" s="549" t="str">
        <f t="shared" si="740"/>
        <v/>
      </c>
      <c r="BT137" s="545" t="str">
        <f t="shared" si="740"/>
        <v/>
      </c>
      <c r="BU137" s="546" t="str">
        <f t="shared" si="527"/>
        <v/>
      </c>
      <c r="BV137" s="547" t="str">
        <f t="shared" si="528"/>
        <v/>
      </c>
      <c r="BW137" s="545" t="str">
        <f t="shared" si="529"/>
        <v/>
      </c>
      <c r="BX137" s="550" t="str">
        <f t="shared" si="530"/>
        <v/>
      </c>
      <c r="BY137" s="553" t="str">
        <f t="shared" si="531"/>
        <v/>
      </c>
      <c r="BZ137" s="545" t="str">
        <f t="shared" si="532"/>
        <v/>
      </c>
      <c r="CA137" s="548" t="str">
        <f t="shared" si="533"/>
        <v/>
      </c>
      <c r="CB137" s="549" t="str">
        <f t="shared" si="779"/>
        <v/>
      </c>
      <c r="CC137" s="545" t="str">
        <f t="shared" si="780"/>
        <v/>
      </c>
      <c r="CD137" s="545" t="str">
        <f t="shared" si="781"/>
        <v/>
      </c>
      <c r="CE137" s="548" t="str">
        <f t="shared" si="782"/>
        <v/>
      </c>
      <c r="CF137" s="549" t="str">
        <f t="shared" si="783"/>
        <v/>
      </c>
      <c r="CG137" s="545" t="str">
        <f t="shared" si="784"/>
        <v/>
      </c>
      <c r="CH137" s="545" t="str">
        <f t="shared" si="785"/>
        <v/>
      </c>
      <c r="CI137" s="549" t="str">
        <f t="shared" si="534"/>
        <v/>
      </c>
      <c r="CJ137" s="545" t="str">
        <f t="shared" si="786"/>
        <v/>
      </c>
      <c r="CK137" s="550" t="str">
        <f t="shared" si="787"/>
        <v/>
      </c>
      <c r="CL137" s="553" t="str">
        <f t="shared" si="788"/>
        <v/>
      </c>
      <c r="CM137" s="545" t="str">
        <f t="shared" si="789"/>
        <v/>
      </c>
      <c r="CN137" s="548" t="str">
        <f t="shared" si="790"/>
        <v/>
      </c>
      <c r="CO137" s="560" t="str">
        <f t="shared" ref="CO137:CO150" si="913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91"/>
        <v/>
      </c>
      <c r="CQ137" s="545" t="str">
        <f t="shared" si="792"/>
        <v/>
      </c>
      <c r="CR137" s="545" t="str">
        <f t="shared" si="793"/>
        <v/>
      </c>
      <c r="CS137" s="550" t="str">
        <f t="shared" si="794"/>
        <v/>
      </c>
      <c r="CT137" s="547" t="str">
        <f t="shared" si="795"/>
        <v/>
      </c>
      <c r="CU137" s="548" t="str">
        <f t="shared" si="796"/>
        <v/>
      </c>
      <c r="CV137" s="549" t="str">
        <f t="shared" si="797"/>
        <v/>
      </c>
      <c r="CW137" s="545" t="str">
        <f t="shared" si="798"/>
        <v/>
      </c>
      <c r="CX137" s="550" t="str">
        <f t="shared" si="799"/>
        <v/>
      </c>
      <c r="CY137" s="547" t="str">
        <f t="shared" si="800"/>
        <v/>
      </c>
      <c r="CZ137" s="545" t="str">
        <f t="shared" si="801"/>
        <v/>
      </c>
      <c r="DA137" s="548" t="str">
        <f t="shared" si="802"/>
        <v/>
      </c>
      <c r="DB137" s="549" t="str">
        <f t="shared" si="743"/>
        <v/>
      </c>
      <c r="DC137" s="545" t="str">
        <f t="shared" si="743"/>
        <v/>
      </c>
      <c r="DD137" s="546" t="str">
        <f t="shared" si="573"/>
        <v/>
      </c>
      <c r="DE137" s="547" t="str">
        <f t="shared" si="744"/>
        <v/>
      </c>
      <c r="DF137" s="545" t="str">
        <f t="shared" si="744"/>
        <v/>
      </c>
      <c r="DG137" s="546" t="str">
        <f t="shared" si="575"/>
        <v/>
      </c>
      <c r="DH137" s="552" t="str">
        <f t="shared" si="803"/>
        <v/>
      </c>
      <c r="DI137" s="549" t="str">
        <f t="shared" si="804"/>
        <v/>
      </c>
      <c r="DJ137" s="545" t="str">
        <f t="shared" si="805"/>
        <v/>
      </c>
      <c r="DK137" s="546" t="str">
        <f t="shared" si="806"/>
        <v/>
      </c>
      <c r="DL137" s="547" t="str">
        <f t="shared" si="807"/>
        <v/>
      </c>
      <c r="DM137" s="553" t="str">
        <f t="shared" si="808"/>
        <v/>
      </c>
      <c r="DN137" s="561" t="str">
        <f t="shared" si="809"/>
        <v/>
      </c>
      <c r="DO137" s="547" t="str">
        <f t="shared" si="810"/>
        <v/>
      </c>
      <c r="DP137" s="553" t="str">
        <f t="shared" si="811"/>
        <v/>
      </c>
      <c r="DQ137" s="554" t="str">
        <f t="shared" si="812"/>
        <v/>
      </c>
      <c r="DR137" s="553" t="str">
        <f t="shared" si="813"/>
        <v/>
      </c>
      <c r="DS137" s="545" t="str">
        <f t="shared" si="814"/>
        <v/>
      </c>
      <c r="DT137" s="545" t="str">
        <f t="shared" si="815"/>
        <v/>
      </c>
      <c r="DU137" s="545" t="str">
        <f t="shared" si="816"/>
        <v/>
      </c>
      <c r="DV137" s="545" t="str">
        <f t="shared" si="817"/>
        <v/>
      </c>
      <c r="DW137" s="545" t="str">
        <f t="shared" si="818"/>
        <v/>
      </c>
      <c r="DX137" s="560" t="str">
        <f t="shared" si="819"/>
        <v/>
      </c>
      <c r="DY137" s="547" t="str">
        <f t="shared" si="820"/>
        <v/>
      </c>
      <c r="DZ137" s="545" t="str">
        <f t="shared" si="821"/>
        <v/>
      </c>
      <c r="EA137" s="546" t="str">
        <f t="shared" si="822"/>
        <v/>
      </c>
      <c r="EB137" s="548" t="str">
        <f t="shared" si="823"/>
        <v/>
      </c>
      <c r="EC137" s="553" t="str">
        <f t="shared" si="824"/>
        <v/>
      </c>
      <c r="ED137" s="545" t="str">
        <f t="shared" si="825"/>
        <v/>
      </c>
      <c r="EE137" s="549" t="str">
        <f t="shared" si="826"/>
        <v/>
      </c>
      <c r="EF137" s="545" t="str">
        <f t="shared" si="827"/>
        <v/>
      </c>
      <c r="EG137" s="546" t="str">
        <f t="shared" si="828"/>
        <v/>
      </c>
      <c r="EH137" s="547" t="str">
        <f t="shared" si="829"/>
        <v/>
      </c>
      <c r="EI137" s="545" t="str">
        <f t="shared" si="830"/>
        <v/>
      </c>
      <c r="EJ137" s="548" t="str">
        <f t="shared" si="831"/>
        <v/>
      </c>
      <c r="EK137" s="562" t="str">
        <f t="shared" si="605"/>
        <v/>
      </c>
      <c r="EL137" s="563" t="str">
        <f t="shared" si="606"/>
        <v/>
      </c>
      <c r="EM137" s="549" t="str">
        <f t="shared" si="832"/>
        <v/>
      </c>
      <c r="EN137" s="545" t="str">
        <f t="shared" si="833"/>
        <v/>
      </c>
      <c r="EO137" s="546" t="str">
        <f t="shared" si="834"/>
        <v/>
      </c>
      <c r="EP137" s="547" t="str">
        <f t="shared" si="835"/>
        <v/>
      </c>
      <c r="EQ137" s="545" t="str">
        <f t="shared" si="836"/>
        <v/>
      </c>
      <c r="ER137" s="551" t="str">
        <f t="shared" si="837"/>
        <v/>
      </c>
      <c r="ES137" s="544" t="str">
        <f t="shared" ref="ES137:ES150" si="914">IF(ISNUMBER($AV137),AD137,"")</f>
        <v/>
      </c>
      <c r="ET137" s="545" t="str">
        <f t="shared" ref="ET137:ET150" si="915">IF(ISNUMBER($AV137),AE137,"")</f>
        <v/>
      </c>
      <c r="EU137" s="546" t="str">
        <f t="shared" ref="EU137:EU150" si="916">IF(ISNUMBER($AV137),AF137,"")</f>
        <v/>
      </c>
      <c r="EV137" s="178" t="str">
        <f t="shared" si="838"/>
        <v/>
      </c>
      <c r="EW137" s="547" t="str">
        <f t="shared" si="839"/>
        <v/>
      </c>
      <c r="EX137" s="545" t="str">
        <f t="shared" si="840"/>
        <v/>
      </c>
      <c r="EY137" s="548" t="str">
        <f t="shared" si="841"/>
        <v/>
      </c>
      <c r="EZ137" s="555" t="str">
        <f t="shared" si="614"/>
        <v/>
      </c>
      <c r="FA137" s="553" t="str">
        <f t="shared" si="692"/>
        <v/>
      </c>
      <c r="FB137" s="545" t="str">
        <f t="shared" si="693"/>
        <v/>
      </c>
      <c r="FC137" s="548" t="str">
        <f t="shared" si="694"/>
        <v/>
      </c>
      <c r="FD137" s="549" t="str">
        <f t="shared" si="842"/>
        <v/>
      </c>
      <c r="FE137" s="545" t="str">
        <f t="shared" si="843"/>
        <v/>
      </c>
      <c r="FF137" s="551" t="str">
        <f t="shared" si="844"/>
        <v/>
      </c>
      <c r="FG137" s="177" t="str">
        <f t="shared" si="845"/>
        <v/>
      </c>
      <c r="FH137" s="5" t="str">
        <f t="shared" si="846"/>
        <v/>
      </c>
      <c r="FI137" s="10" t="str">
        <f t="shared" si="847"/>
        <v/>
      </c>
      <c r="FJ137" s="290" t="str">
        <f t="shared" si="848"/>
        <v/>
      </c>
      <c r="FK137" s="4" t="str">
        <f t="shared" si="849"/>
        <v/>
      </c>
      <c r="FL137" s="5" t="str">
        <f t="shared" si="850"/>
        <v/>
      </c>
      <c r="FM137" s="8" t="str">
        <f t="shared" si="851"/>
        <v/>
      </c>
      <c r="FN137" s="9" t="str">
        <f t="shared" si="852"/>
        <v/>
      </c>
      <c r="FO137" s="10" t="str">
        <f t="shared" si="853"/>
        <v/>
      </c>
      <c r="FP137" s="288" t="str">
        <f t="shared" si="854"/>
        <v/>
      </c>
      <c r="FQ137" s="177" t="str">
        <f t="shared" si="855"/>
        <v/>
      </c>
      <c r="FR137" s="10" t="str">
        <f t="shared" si="856"/>
        <v/>
      </c>
      <c r="FS137" s="9" t="str">
        <f t="shared" si="857"/>
        <v/>
      </c>
      <c r="FT137" s="6" t="str">
        <f t="shared" si="858"/>
        <v/>
      </c>
      <c r="FU137" s="4" t="str">
        <f t="shared" si="859"/>
        <v/>
      </c>
      <c r="FV137" s="5" t="str">
        <f t="shared" si="860"/>
        <v/>
      </c>
      <c r="FW137" s="8" t="str">
        <f t="shared" si="861"/>
        <v/>
      </c>
      <c r="FX137" s="9" t="str">
        <f t="shared" si="862"/>
        <v/>
      </c>
      <c r="FY137" s="10" t="str">
        <f t="shared" si="863"/>
        <v/>
      </c>
      <c r="FZ137" s="288" t="str">
        <f t="shared" si="864"/>
        <v/>
      </c>
      <c r="GA137" s="181" t="str">
        <f t="shared" si="865"/>
        <v/>
      </c>
      <c r="GB137" s="4" t="str">
        <f t="shared" si="866"/>
        <v/>
      </c>
      <c r="GC137" s="5" t="str">
        <f t="shared" si="867"/>
        <v/>
      </c>
      <c r="GD137" s="10" t="str">
        <f t="shared" si="868"/>
        <v/>
      </c>
      <c r="GE137" s="324" t="str">
        <f t="shared" si="869"/>
        <v/>
      </c>
      <c r="GF137" s="362" t="str">
        <f t="shared" si="870"/>
        <v/>
      </c>
      <c r="GG137" s="317" t="str">
        <f t="shared" si="871"/>
        <v/>
      </c>
      <c r="GH137" s="318" t="str">
        <f t="shared" si="872"/>
        <v/>
      </c>
      <c r="GI137" s="319" t="str">
        <f t="shared" si="873"/>
        <v/>
      </c>
      <c r="GJ137" s="171" t="str">
        <f t="shared" si="874"/>
        <v/>
      </c>
      <c r="GK137" s="178" t="str">
        <f t="shared" si="706"/>
        <v/>
      </c>
      <c r="GL137" s="178" t="str">
        <f t="shared" si="875"/>
        <v/>
      </c>
      <c r="GM137" s="181" t="str">
        <f t="shared" si="876"/>
        <v/>
      </c>
      <c r="GN137" s="291" t="str">
        <f t="shared" si="877"/>
        <v/>
      </c>
      <c r="GO137" s="4" t="str">
        <f t="shared" si="878"/>
        <v/>
      </c>
      <c r="GP137" s="8" t="str">
        <f t="shared" si="879"/>
        <v/>
      </c>
      <c r="GQ137" s="181" t="str">
        <f t="shared" si="880"/>
        <v/>
      </c>
      <c r="GR137" s="417" t="str">
        <f t="shared" si="881"/>
        <v/>
      </c>
      <c r="GS137" s="363" t="str">
        <f t="shared" si="882"/>
        <v/>
      </c>
      <c r="GT137" s="364" t="str">
        <f t="shared" si="883"/>
        <v/>
      </c>
      <c r="GU137" s="365" t="str">
        <f t="shared" si="709"/>
        <v/>
      </c>
      <c r="GV137" s="364" t="str">
        <f t="shared" si="884"/>
        <v/>
      </c>
      <c r="GW137" s="366" t="str">
        <f t="shared" si="710"/>
        <v/>
      </c>
      <c r="GX137" s="367" t="str">
        <f t="shared" si="711"/>
        <v/>
      </c>
      <c r="GY137" s="365" t="str">
        <f t="shared" si="885"/>
        <v/>
      </c>
      <c r="GZ137" s="366" t="str">
        <f t="shared" si="886"/>
        <v/>
      </c>
      <c r="HA137" s="363" t="str">
        <f t="shared" si="714"/>
        <v/>
      </c>
      <c r="HB137" s="5" t="str">
        <f t="shared" si="641"/>
        <v/>
      </c>
      <c r="HC137" s="364" t="str">
        <f t="shared" si="887"/>
        <v/>
      </c>
      <c r="HD137" s="405" t="str">
        <f t="shared" si="888"/>
        <v/>
      </c>
      <c r="HE137" s="365" t="str">
        <f t="shared" si="715"/>
        <v/>
      </c>
      <c r="HF137" s="5" t="str">
        <f t="shared" si="716"/>
        <v/>
      </c>
      <c r="HG137" s="364" t="str">
        <f t="shared" si="889"/>
        <v/>
      </c>
      <c r="HH137" s="370" t="str">
        <f t="shared" si="890"/>
        <v/>
      </c>
      <c r="HI137" s="335" t="str">
        <f t="shared" ref="HI137:HI150" si="917">IF(ISNUMBER($AV137),$M137,"")</f>
        <v/>
      </c>
      <c r="HK137" s="323" t="str">
        <f t="shared" si="891"/>
        <v/>
      </c>
      <c r="HL137" s="322" t="str">
        <f t="shared" si="892"/>
        <v/>
      </c>
      <c r="HM137" s="369" t="str">
        <f t="shared" si="893"/>
        <v/>
      </c>
      <c r="HN137" s="384" t="str">
        <f t="shared" si="893"/>
        <v/>
      </c>
      <c r="HO137" s="385" t="str">
        <f t="shared" si="893"/>
        <v/>
      </c>
      <c r="HP137" s="380" t="str">
        <f t="shared" si="893"/>
        <v/>
      </c>
      <c r="HQ137" s="384" t="str">
        <f t="shared" si="893"/>
        <v/>
      </c>
      <c r="HR137" s="395" t="str">
        <f t="shared" si="893"/>
        <v/>
      </c>
      <c r="HS137" s="379" t="str">
        <f t="shared" si="893"/>
        <v/>
      </c>
      <c r="HT137" s="374" t="str">
        <f t="shared" si="893"/>
        <v/>
      </c>
      <c r="HU137" s="375" t="str">
        <f t="shared" si="893"/>
        <v/>
      </c>
      <c r="HV137" s="376" t="str">
        <f t="shared" si="893"/>
        <v/>
      </c>
      <c r="HW137" s="374" t="str">
        <f t="shared" si="893"/>
        <v/>
      </c>
      <c r="HX137" s="375" t="str">
        <f t="shared" si="893"/>
        <v/>
      </c>
      <c r="HY137" s="376" t="str">
        <f t="shared" si="893"/>
        <v/>
      </c>
      <c r="HZ137" s="374" t="str">
        <f t="shared" si="893"/>
        <v/>
      </c>
      <c r="IA137" s="375" t="str">
        <f t="shared" si="893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6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5"/>
        <v/>
      </c>
      <c r="IK137" s="533" t="str">
        <f t="shared" ref="IK137:IK150" si="918">IF(ISNUMBER($II137),INDEX($K$9:$K$150,MATCH($IG137,$M$9:$M$150,0)),"")</f>
        <v/>
      </c>
      <c r="IL137" s="727" t="str">
        <f t="shared" si="651"/>
        <v/>
      </c>
      <c r="IM137" s="759"/>
      <c r="IN137" s="5" t="str">
        <f t="shared" si="652"/>
        <v/>
      </c>
      <c r="IO137" s="771"/>
      <c r="IP137" s="9" t="str">
        <f t="shared" si="653"/>
        <v/>
      </c>
      <c r="IQ137" s="5" t="str">
        <f t="shared" si="654"/>
        <v/>
      </c>
      <c r="IR137" s="5" t="str">
        <f t="shared" ref="IR137:IR150" si="919">IF(ISNUMBER($II137),INDEX($H$9:$H$150,MATCH($II137,$M$9:$M$150,0)),"")</f>
        <v/>
      </c>
      <c r="IS137" s="5" t="str">
        <f t="shared" si="655"/>
        <v/>
      </c>
      <c r="IT137" s="727" t="str">
        <f t="shared" si="656"/>
        <v/>
      </c>
      <c r="IU137" s="9" t="str">
        <f t="shared" si="657"/>
        <v/>
      </c>
      <c r="IV137" s="5" t="str">
        <f t="shared" si="658"/>
        <v/>
      </c>
      <c r="IW137" s="5" t="str">
        <f t="shared" ref="IW137:IW150" si="920">IF(ISNUMBER($II137),$H137,"")</f>
        <v/>
      </c>
      <c r="IX137" s="5" t="str">
        <f t="shared" si="659"/>
        <v/>
      </c>
      <c r="IY137" s="762" t="str">
        <f t="shared" si="660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94"/>
        <v/>
      </c>
      <c r="N138" s="638" t="str">
        <f t="shared" si="895"/>
        <v/>
      </c>
      <c r="O138" s="639" t="str">
        <f t="shared" si="896"/>
        <v/>
      </c>
      <c r="P138" s="640" t="str">
        <f t="shared" si="897"/>
        <v/>
      </c>
      <c r="Q138" s="593" t="str">
        <f t="shared" si="749"/>
        <v/>
      </c>
      <c r="R138" s="639" t="str">
        <f t="shared" si="750"/>
        <v/>
      </c>
      <c r="S138" s="641" t="str">
        <f t="shared" si="751"/>
        <v/>
      </c>
      <c r="T138" s="642" t="str">
        <f t="shared" si="752"/>
        <v/>
      </c>
      <c r="U138" s="639" t="str">
        <f t="shared" si="753"/>
        <v/>
      </c>
      <c r="V138" s="643" t="str">
        <f t="shared" si="754"/>
        <v/>
      </c>
      <c r="W138" s="593" t="str">
        <f t="shared" si="755"/>
        <v/>
      </c>
      <c r="X138" s="639" t="str">
        <f t="shared" si="756"/>
        <v/>
      </c>
      <c r="Y138" s="644" t="str">
        <f t="shared" si="757"/>
        <v/>
      </c>
      <c r="Z138" s="638" t="str">
        <f t="shared" si="898"/>
        <v/>
      </c>
      <c r="AA138" s="639" t="str">
        <f t="shared" si="899"/>
        <v/>
      </c>
      <c r="AB138" s="639" t="str">
        <f t="shared" si="900"/>
        <v/>
      </c>
      <c r="AC138" s="643" t="str">
        <f t="shared" si="758"/>
        <v/>
      </c>
      <c r="AD138" s="645" t="str">
        <f t="shared" si="759"/>
        <v/>
      </c>
      <c r="AE138" s="639" t="str">
        <f t="shared" si="760"/>
        <v/>
      </c>
      <c r="AF138" s="640" t="str">
        <f t="shared" si="761"/>
        <v/>
      </c>
      <c r="AG138" s="604" t="str">
        <f t="shared" si="762"/>
        <v/>
      </c>
      <c r="AH138" s="605" t="str">
        <f t="shared" si="763"/>
        <v/>
      </c>
      <c r="AI138" s="593" t="str">
        <f t="shared" si="764"/>
        <v/>
      </c>
      <c r="AJ138" s="594" t="str">
        <f t="shared" si="765"/>
        <v/>
      </c>
      <c r="AK138" s="642" t="str">
        <f t="shared" si="766"/>
        <v/>
      </c>
      <c r="AL138" s="639" t="str">
        <f t="shared" si="767"/>
        <v/>
      </c>
      <c r="AM138" s="641" t="str">
        <f t="shared" si="768"/>
        <v/>
      </c>
      <c r="AN138" s="591" t="str">
        <f t="shared" si="769"/>
        <v/>
      </c>
      <c r="AO138" s="592" t="str">
        <f t="shared" si="748"/>
        <v/>
      </c>
      <c r="AP138" s="593" t="str">
        <f t="shared" si="770"/>
        <v/>
      </c>
      <c r="AQ138" s="594" t="str">
        <f t="shared" si="901"/>
        <v/>
      </c>
      <c r="AS138" s="555" t="str">
        <f t="shared" si="742"/>
        <v/>
      </c>
      <c r="AT138" s="556" t="str">
        <f t="shared" si="902"/>
        <v/>
      </c>
      <c r="AU138" s="469"/>
      <c r="AV138" s="168" t="str">
        <f t="shared" si="903"/>
        <v/>
      </c>
      <c r="AW138" s="557"/>
      <c r="AX138" s="49"/>
      <c r="AY138" s="242"/>
      <c r="AZ138" s="308" t="str">
        <f t="shared" si="771"/>
        <v/>
      </c>
      <c r="BA138" s="558" t="str">
        <f t="shared" si="772"/>
        <v/>
      </c>
      <c r="BB138" s="559" t="str">
        <f t="shared" si="524"/>
        <v/>
      </c>
      <c r="BC138" s="547"/>
      <c r="BD138" s="545" t="str">
        <f t="shared" si="773"/>
        <v/>
      </c>
      <c r="BE138" s="548" t="str">
        <f t="shared" si="904"/>
        <v/>
      </c>
      <c r="BF138" s="549" t="str">
        <f t="shared" si="905"/>
        <v/>
      </c>
      <c r="BG138" s="545" t="str">
        <f t="shared" si="906"/>
        <v/>
      </c>
      <c r="BH138" s="546" t="str">
        <f t="shared" si="907"/>
        <v/>
      </c>
      <c r="BI138" s="547" t="str">
        <f t="shared" si="774"/>
        <v/>
      </c>
      <c r="BJ138" s="545" t="str">
        <f t="shared" si="908"/>
        <v/>
      </c>
      <c r="BK138" s="550" t="str">
        <f t="shared" si="909"/>
        <v/>
      </c>
      <c r="BL138" s="553" t="str">
        <f t="shared" si="910"/>
        <v/>
      </c>
      <c r="BM138" s="545" t="str">
        <f t="shared" si="911"/>
        <v/>
      </c>
      <c r="BN138" s="548" t="str">
        <f t="shared" si="912"/>
        <v/>
      </c>
      <c r="BO138" s="549" t="str">
        <f t="shared" si="775"/>
        <v/>
      </c>
      <c r="BP138" s="545" t="str">
        <f t="shared" si="776"/>
        <v/>
      </c>
      <c r="BQ138" s="545" t="str">
        <f t="shared" si="777"/>
        <v/>
      </c>
      <c r="BR138" s="548" t="str">
        <f t="shared" si="778"/>
        <v/>
      </c>
      <c r="BS138" s="549" t="str">
        <f t="shared" si="740"/>
        <v/>
      </c>
      <c r="BT138" s="545" t="str">
        <f t="shared" si="740"/>
        <v/>
      </c>
      <c r="BU138" s="546" t="str">
        <f t="shared" si="527"/>
        <v/>
      </c>
      <c r="BV138" s="547" t="str">
        <f t="shared" si="528"/>
        <v/>
      </c>
      <c r="BW138" s="545" t="str">
        <f t="shared" si="529"/>
        <v/>
      </c>
      <c r="BX138" s="550" t="str">
        <f t="shared" si="530"/>
        <v/>
      </c>
      <c r="BY138" s="553" t="str">
        <f t="shared" si="531"/>
        <v/>
      </c>
      <c r="BZ138" s="545" t="str">
        <f t="shared" si="532"/>
        <v/>
      </c>
      <c r="CA138" s="548" t="str">
        <f t="shared" si="533"/>
        <v/>
      </c>
      <c r="CB138" s="549" t="str">
        <f t="shared" si="779"/>
        <v/>
      </c>
      <c r="CC138" s="545" t="str">
        <f t="shared" si="780"/>
        <v/>
      </c>
      <c r="CD138" s="545" t="str">
        <f t="shared" si="781"/>
        <v/>
      </c>
      <c r="CE138" s="548" t="str">
        <f t="shared" si="782"/>
        <v/>
      </c>
      <c r="CF138" s="549" t="str">
        <f t="shared" si="783"/>
        <v/>
      </c>
      <c r="CG138" s="545" t="str">
        <f t="shared" si="784"/>
        <v/>
      </c>
      <c r="CH138" s="545" t="str">
        <f t="shared" si="785"/>
        <v/>
      </c>
      <c r="CI138" s="549" t="str">
        <f t="shared" si="534"/>
        <v/>
      </c>
      <c r="CJ138" s="545" t="str">
        <f t="shared" si="786"/>
        <v/>
      </c>
      <c r="CK138" s="550" t="str">
        <f t="shared" si="787"/>
        <v/>
      </c>
      <c r="CL138" s="553" t="str">
        <f t="shared" si="788"/>
        <v/>
      </c>
      <c r="CM138" s="545" t="str">
        <f t="shared" si="789"/>
        <v/>
      </c>
      <c r="CN138" s="548" t="str">
        <f t="shared" si="790"/>
        <v/>
      </c>
      <c r="CO138" s="560" t="str">
        <f t="shared" si="913"/>
        <v/>
      </c>
      <c r="CP138" s="549" t="str">
        <f t="shared" si="791"/>
        <v/>
      </c>
      <c r="CQ138" s="545" t="str">
        <f t="shared" si="792"/>
        <v/>
      </c>
      <c r="CR138" s="545" t="str">
        <f t="shared" si="793"/>
        <v/>
      </c>
      <c r="CS138" s="550" t="str">
        <f t="shared" si="794"/>
        <v/>
      </c>
      <c r="CT138" s="547" t="str">
        <f t="shared" si="795"/>
        <v/>
      </c>
      <c r="CU138" s="548" t="str">
        <f t="shared" si="796"/>
        <v/>
      </c>
      <c r="CV138" s="549" t="str">
        <f t="shared" si="797"/>
        <v/>
      </c>
      <c r="CW138" s="545" t="str">
        <f t="shared" si="798"/>
        <v/>
      </c>
      <c r="CX138" s="550" t="str">
        <f t="shared" si="799"/>
        <v/>
      </c>
      <c r="CY138" s="547" t="str">
        <f t="shared" si="800"/>
        <v/>
      </c>
      <c r="CZ138" s="545" t="str">
        <f t="shared" si="801"/>
        <v/>
      </c>
      <c r="DA138" s="548" t="str">
        <f t="shared" si="802"/>
        <v/>
      </c>
      <c r="DB138" s="549" t="str">
        <f t="shared" si="743"/>
        <v/>
      </c>
      <c r="DC138" s="545" t="str">
        <f t="shared" si="743"/>
        <v/>
      </c>
      <c r="DD138" s="546" t="str">
        <f t="shared" si="573"/>
        <v/>
      </c>
      <c r="DE138" s="547" t="str">
        <f t="shared" si="744"/>
        <v/>
      </c>
      <c r="DF138" s="545" t="str">
        <f t="shared" si="744"/>
        <v/>
      </c>
      <c r="DG138" s="546" t="str">
        <f t="shared" si="575"/>
        <v/>
      </c>
      <c r="DH138" s="552" t="str">
        <f t="shared" si="803"/>
        <v/>
      </c>
      <c r="DI138" s="549" t="str">
        <f t="shared" si="804"/>
        <v/>
      </c>
      <c r="DJ138" s="545" t="str">
        <f t="shared" si="805"/>
        <v/>
      </c>
      <c r="DK138" s="546" t="str">
        <f t="shared" si="806"/>
        <v/>
      </c>
      <c r="DL138" s="547" t="str">
        <f t="shared" si="807"/>
        <v/>
      </c>
      <c r="DM138" s="553" t="str">
        <f t="shared" si="808"/>
        <v/>
      </c>
      <c r="DN138" s="561" t="str">
        <f t="shared" si="809"/>
        <v/>
      </c>
      <c r="DO138" s="547" t="str">
        <f t="shared" si="810"/>
        <v/>
      </c>
      <c r="DP138" s="553" t="str">
        <f t="shared" si="811"/>
        <v/>
      </c>
      <c r="DQ138" s="554" t="str">
        <f t="shared" si="812"/>
        <v/>
      </c>
      <c r="DR138" s="553" t="str">
        <f t="shared" si="813"/>
        <v/>
      </c>
      <c r="DS138" s="545" t="str">
        <f t="shared" si="814"/>
        <v/>
      </c>
      <c r="DT138" s="545" t="str">
        <f t="shared" si="815"/>
        <v/>
      </c>
      <c r="DU138" s="545" t="str">
        <f t="shared" si="816"/>
        <v/>
      </c>
      <c r="DV138" s="545" t="str">
        <f t="shared" si="817"/>
        <v/>
      </c>
      <c r="DW138" s="545" t="str">
        <f t="shared" si="818"/>
        <v/>
      </c>
      <c r="DX138" s="560" t="str">
        <f t="shared" si="819"/>
        <v/>
      </c>
      <c r="DY138" s="547" t="str">
        <f t="shared" si="820"/>
        <v/>
      </c>
      <c r="DZ138" s="545" t="str">
        <f t="shared" si="821"/>
        <v/>
      </c>
      <c r="EA138" s="546" t="str">
        <f t="shared" si="822"/>
        <v/>
      </c>
      <c r="EB138" s="548" t="str">
        <f t="shared" si="823"/>
        <v/>
      </c>
      <c r="EC138" s="553" t="str">
        <f t="shared" si="824"/>
        <v/>
      </c>
      <c r="ED138" s="545" t="str">
        <f t="shared" si="825"/>
        <v/>
      </c>
      <c r="EE138" s="549" t="str">
        <f t="shared" si="826"/>
        <v/>
      </c>
      <c r="EF138" s="545" t="str">
        <f t="shared" si="827"/>
        <v/>
      </c>
      <c r="EG138" s="546" t="str">
        <f t="shared" si="828"/>
        <v/>
      </c>
      <c r="EH138" s="547" t="str">
        <f t="shared" si="829"/>
        <v/>
      </c>
      <c r="EI138" s="545" t="str">
        <f t="shared" si="830"/>
        <v/>
      </c>
      <c r="EJ138" s="548" t="str">
        <f t="shared" si="831"/>
        <v/>
      </c>
      <c r="EK138" s="562" t="str">
        <f t="shared" si="605"/>
        <v/>
      </c>
      <c r="EL138" s="563" t="str">
        <f t="shared" si="606"/>
        <v/>
      </c>
      <c r="EM138" s="549" t="str">
        <f t="shared" si="832"/>
        <v/>
      </c>
      <c r="EN138" s="545" t="str">
        <f t="shared" si="833"/>
        <v/>
      </c>
      <c r="EO138" s="546" t="str">
        <f t="shared" si="834"/>
        <v/>
      </c>
      <c r="EP138" s="547" t="str">
        <f t="shared" si="835"/>
        <v/>
      </c>
      <c r="EQ138" s="545" t="str">
        <f t="shared" si="836"/>
        <v/>
      </c>
      <c r="ER138" s="551" t="str">
        <f t="shared" si="837"/>
        <v/>
      </c>
      <c r="ES138" s="544" t="str">
        <f t="shared" si="914"/>
        <v/>
      </c>
      <c r="ET138" s="545" t="str">
        <f t="shared" si="915"/>
        <v/>
      </c>
      <c r="EU138" s="546" t="str">
        <f t="shared" si="916"/>
        <v/>
      </c>
      <c r="EV138" s="178" t="str">
        <f t="shared" si="838"/>
        <v/>
      </c>
      <c r="EW138" s="547" t="str">
        <f t="shared" si="839"/>
        <v/>
      </c>
      <c r="EX138" s="545" t="str">
        <f t="shared" si="840"/>
        <v/>
      </c>
      <c r="EY138" s="548" t="str">
        <f t="shared" si="841"/>
        <v/>
      </c>
      <c r="EZ138" s="555" t="str">
        <f t="shared" si="614"/>
        <v/>
      </c>
      <c r="FA138" s="553" t="str">
        <f t="shared" si="692"/>
        <v/>
      </c>
      <c r="FB138" s="545" t="str">
        <f t="shared" si="693"/>
        <v/>
      </c>
      <c r="FC138" s="548" t="str">
        <f t="shared" si="694"/>
        <v/>
      </c>
      <c r="FD138" s="549" t="str">
        <f t="shared" si="842"/>
        <v/>
      </c>
      <c r="FE138" s="545" t="str">
        <f t="shared" si="843"/>
        <v/>
      </c>
      <c r="FF138" s="551" t="str">
        <f t="shared" si="844"/>
        <v/>
      </c>
      <c r="FG138" s="177" t="str">
        <f t="shared" si="845"/>
        <v/>
      </c>
      <c r="FH138" s="5" t="str">
        <f t="shared" si="846"/>
        <v/>
      </c>
      <c r="FI138" s="10" t="str">
        <f t="shared" si="847"/>
        <v/>
      </c>
      <c r="FJ138" s="290" t="str">
        <f t="shared" si="848"/>
        <v/>
      </c>
      <c r="FK138" s="4" t="str">
        <f t="shared" si="849"/>
        <v/>
      </c>
      <c r="FL138" s="5" t="str">
        <f t="shared" si="850"/>
        <v/>
      </c>
      <c r="FM138" s="8" t="str">
        <f t="shared" si="851"/>
        <v/>
      </c>
      <c r="FN138" s="9" t="str">
        <f t="shared" si="852"/>
        <v/>
      </c>
      <c r="FO138" s="10" t="str">
        <f t="shared" si="853"/>
        <v/>
      </c>
      <c r="FP138" s="288" t="str">
        <f t="shared" si="854"/>
        <v/>
      </c>
      <c r="FQ138" s="177" t="str">
        <f t="shared" si="855"/>
        <v/>
      </c>
      <c r="FR138" s="10" t="str">
        <f t="shared" si="856"/>
        <v/>
      </c>
      <c r="FS138" s="9" t="str">
        <f t="shared" si="857"/>
        <v/>
      </c>
      <c r="FT138" s="6" t="str">
        <f t="shared" si="858"/>
        <v/>
      </c>
      <c r="FU138" s="4" t="str">
        <f t="shared" si="859"/>
        <v/>
      </c>
      <c r="FV138" s="5" t="str">
        <f t="shared" si="860"/>
        <v/>
      </c>
      <c r="FW138" s="8" t="str">
        <f t="shared" si="861"/>
        <v/>
      </c>
      <c r="FX138" s="9" t="str">
        <f t="shared" si="862"/>
        <v/>
      </c>
      <c r="FY138" s="10" t="str">
        <f t="shared" si="863"/>
        <v/>
      </c>
      <c r="FZ138" s="288" t="str">
        <f t="shared" si="864"/>
        <v/>
      </c>
      <c r="GA138" s="181" t="str">
        <f t="shared" si="865"/>
        <v/>
      </c>
      <c r="GB138" s="4" t="str">
        <f t="shared" si="866"/>
        <v/>
      </c>
      <c r="GC138" s="5" t="str">
        <f t="shared" si="867"/>
        <v/>
      </c>
      <c r="GD138" s="10" t="str">
        <f t="shared" si="868"/>
        <v/>
      </c>
      <c r="GE138" s="324" t="str">
        <f t="shared" si="869"/>
        <v/>
      </c>
      <c r="GF138" s="362" t="str">
        <f t="shared" si="870"/>
        <v/>
      </c>
      <c r="GG138" s="317" t="str">
        <f t="shared" si="871"/>
        <v/>
      </c>
      <c r="GH138" s="318" t="str">
        <f t="shared" si="872"/>
        <v/>
      </c>
      <c r="GI138" s="319" t="str">
        <f t="shared" si="873"/>
        <v/>
      </c>
      <c r="GJ138" s="171" t="str">
        <f t="shared" si="874"/>
        <v/>
      </c>
      <c r="GK138" s="178" t="str">
        <f t="shared" si="706"/>
        <v/>
      </c>
      <c r="GL138" s="178" t="str">
        <f t="shared" si="875"/>
        <v/>
      </c>
      <c r="GM138" s="181" t="str">
        <f t="shared" si="876"/>
        <v/>
      </c>
      <c r="GN138" s="291" t="str">
        <f t="shared" si="877"/>
        <v/>
      </c>
      <c r="GO138" s="4" t="str">
        <f t="shared" si="878"/>
        <v/>
      </c>
      <c r="GP138" s="8" t="str">
        <f t="shared" si="879"/>
        <v/>
      </c>
      <c r="GQ138" s="181" t="str">
        <f t="shared" si="880"/>
        <v/>
      </c>
      <c r="GR138" s="417" t="str">
        <f t="shared" si="881"/>
        <v/>
      </c>
      <c r="GS138" s="363" t="str">
        <f t="shared" si="882"/>
        <v/>
      </c>
      <c r="GT138" s="364" t="str">
        <f t="shared" si="883"/>
        <v/>
      </c>
      <c r="GU138" s="365" t="str">
        <f t="shared" si="709"/>
        <v/>
      </c>
      <c r="GV138" s="364" t="str">
        <f t="shared" si="884"/>
        <v/>
      </c>
      <c r="GW138" s="366" t="str">
        <f t="shared" si="710"/>
        <v/>
      </c>
      <c r="GX138" s="367" t="str">
        <f t="shared" si="711"/>
        <v/>
      </c>
      <c r="GY138" s="365" t="str">
        <f t="shared" si="885"/>
        <v/>
      </c>
      <c r="GZ138" s="366" t="str">
        <f t="shared" si="886"/>
        <v/>
      </c>
      <c r="HA138" s="363" t="str">
        <f t="shared" si="714"/>
        <v/>
      </c>
      <c r="HB138" s="5" t="str">
        <f t="shared" si="641"/>
        <v/>
      </c>
      <c r="HC138" s="364" t="str">
        <f t="shared" si="887"/>
        <v/>
      </c>
      <c r="HD138" s="405" t="str">
        <f t="shared" si="888"/>
        <v/>
      </c>
      <c r="HE138" s="365" t="str">
        <f t="shared" si="715"/>
        <v/>
      </c>
      <c r="HF138" s="5" t="str">
        <f t="shared" si="716"/>
        <v/>
      </c>
      <c r="HG138" s="364" t="str">
        <f t="shared" si="889"/>
        <v/>
      </c>
      <c r="HH138" s="370" t="str">
        <f t="shared" si="890"/>
        <v/>
      </c>
      <c r="HI138" s="335" t="str">
        <f t="shared" si="917"/>
        <v/>
      </c>
      <c r="HK138" s="323" t="str">
        <f t="shared" si="891"/>
        <v/>
      </c>
      <c r="HL138" s="322" t="str">
        <f t="shared" si="892"/>
        <v/>
      </c>
      <c r="HM138" s="369" t="str">
        <f t="shared" si="893"/>
        <v/>
      </c>
      <c r="HN138" s="384" t="str">
        <f t="shared" si="893"/>
        <v/>
      </c>
      <c r="HO138" s="385" t="str">
        <f t="shared" si="893"/>
        <v/>
      </c>
      <c r="HP138" s="380" t="str">
        <f t="shared" si="893"/>
        <v/>
      </c>
      <c r="HQ138" s="384" t="str">
        <f t="shared" si="893"/>
        <v/>
      </c>
      <c r="HR138" s="395" t="str">
        <f t="shared" si="893"/>
        <v/>
      </c>
      <c r="HS138" s="379" t="str">
        <f t="shared" si="893"/>
        <v/>
      </c>
      <c r="HT138" s="374" t="str">
        <f t="shared" si="893"/>
        <v/>
      </c>
      <c r="HU138" s="375" t="str">
        <f t="shared" si="893"/>
        <v/>
      </c>
      <c r="HV138" s="376" t="str">
        <f t="shared" si="893"/>
        <v/>
      </c>
      <c r="HW138" s="374" t="str">
        <f t="shared" si="893"/>
        <v/>
      </c>
      <c r="HX138" s="375" t="str">
        <f t="shared" si="893"/>
        <v/>
      </c>
      <c r="HY138" s="376" t="str">
        <f t="shared" si="893"/>
        <v/>
      </c>
      <c r="HZ138" s="374" t="str">
        <f t="shared" si="893"/>
        <v/>
      </c>
      <c r="IA138" s="375" t="str">
        <f t="shared" si="893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6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21">IF(ISNUMBER($II138),INDEX($K$9:$K$150,MATCH($II138,$M$9:$M$150,0)),$K138)</f>
        <v/>
      </c>
      <c r="IK138" s="533" t="str">
        <f t="shared" si="918"/>
        <v/>
      </c>
      <c r="IL138" s="727" t="str">
        <f t="shared" si="651"/>
        <v/>
      </c>
      <c r="IM138" s="759"/>
      <c r="IN138" s="5" t="str">
        <f t="shared" si="652"/>
        <v/>
      </c>
      <c r="IO138" s="771"/>
      <c r="IP138" s="9" t="str">
        <f t="shared" si="653"/>
        <v/>
      </c>
      <c r="IQ138" s="5" t="str">
        <f t="shared" si="654"/>
        <v/>
      </c>
      <c r="IR138" s="5" t="str">
        <f t="shared" si="919"/>
        <v/>
      </c>
      <c r="IS138" s="5" t="str">
        <f t="shared" si="655"/>
        <v/>
      </c>
      <c r="IT138" s="727" t="str">
        <f t="shared" si="656"/>
        <v/>
      </c>
      <c r="IU138" s="9" t="str">
        <f t="shared" si="657"/>
        <v/>
      </c>
      <c r="IV138" s="5" t="str">
        <f t="shared" si="658"/>
        <v/>
      </c>
      <c r="IW138" s="5" t="str">
        <f t="shared" si="920"/>
        <v/>
      </c>
      <c r="IX138" s="5" t="str">
        <f t="shared" si="659"/>
        <v/>
      </c>
      <c r="IY138" s="762" t="str">
        <f t="shared" si="660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94"/>
        <v/>
      </c>
      <c r="N139" s="638" t="str">
        <f t="shared" si="895"/>
        <v/>
      </c>
      <c r="O139" s="639" t="str">
        <f t="shared" si="896"/>
        <v/>
      </c>
      <c r="P139" s="640" t="str">
        <f t="shared" si="897"/>
        <v/>
      </c>
      <c r="Q139" s="593" t="str">
        <f t="shared" si="749"/>
        <v/>
      </c>
      <c r="R139" s="639" t="str">
        <f t="shared" si="750"/>
        <v/>
      </c>
      <c r="S139" s="641" t="str">
        <f t="shared" si="751"/>
        <v/>
      </c>
      <c r="T139" s="642" t="str">
        <f t="shared" si="752"/>
        <v/>
      </c>
      <c r="U139" s="639" t="str">
        <f t="shared" si="753"/>
        <v/>
      </c>
      <c r="V139" s="643" t="str">
        <f t="shared" si="754"/>
        <v/>
      </c>
      <c r="W139" s="593" t="str">
        <f t="shared" si="755"/>
        <v/>
      </c>
      <c r="X139" s="639" t="str">
        <f t="shared" si="756"/>
        <v/>
      </c>
      <c r="Y139" s="644" t="str">
        <f t="shared" si="757"/>
        <v/>
      </c>
      <c r="Z139" s="638" t="str">
        <f t="shared" si="898"/>
        <v/>
      </c>
      <c r="AA139" s="639" t="str">
        <f t="shared" si="899"/>
        <v/>
      </c>
      <c r="AB139" s="639" t="str">
        <f t="shared" si="900"/>
        <v/>
      </c>
      <c r="AC139" s="643" t="str">
        <f t="shared" si="758"/>
        <v/>
      </c>
      <c r="AD139" s="645" t="str">
        <f t="shared" si="759"/>
        <v/>
      </c>
      <c r="AE139" s="639" t="str">
        <f t="shared" si="760"/>
        <v/>
      </c>
      <c r="AF139" s="640" t="str">
        <f t="shared" si="761"/>
        <v/>
      </c>
      <c r="AG139" s="604" t="str">
        <f t="shared" si="762"/>
        <v/>
      </c>
      <c r="AH139" s="605" t="str">
        <f t="shared" si="763"/>
        <v/>
      </c>
      <c r="AI139" s="593" t="str">
        <f t="shared" si="764"/>
        <v/>
      </c>
      <c r="AJ139" s="594" t="str">
        <f t="shared" si="765"/>
        <v/>
      </c>
      <c r="AK139" s="642" t="str">
        <f t="shared" si="766"/>
        <v/>
      </c>
      <c r="AL139" s="639" t="str">
        <f t="shared" si="767"/>
        <v/>
      </c>
      <c r="AM139" s="641" t="str">
        <f t="shared" si="768"/>
        <v/>
      </c>
      <c r="AN139" s="591" t="str">
        <f t="shared" si="769"/>
        <v/>
      </c>
      <c r="AO139" s="592" t="str">
        <f t="shared" si="748"/>
        <v/>
      </c>
      <c r="AP139" s="593" t="str">
        <f t="shared" si="770"/>
        <v/>
      </c>
      <c r="AQ139" s="594" t="str">
        <f t="shared" si="901"/>
        <v/>
      </c>
      <c r="AS139" s="555" t="str">
        <f t="shared" ref="AS139:AS150" si="922">IF(G139="","",IF(AND(W139&lt;(AS138+180),W139&gt;(AS138-180)),W139,IF(W139&gt;(AS138+180),W139-360,IF(W139&lt;(AS138-180),W139+360,"Error"))))</f>
        <v/>
      </c>
      <c r="AT139" s="556" t="str">
        <f t="shared" si="902"/>
        <v/>
      </c>
      <c r="AU139" s="469"/>
      <c r="AV139" s="168" t="str">
        <f t="shared" si="903"/>
        <v/>
      </c>
      <c r="AW139" s="557"/>
      <c r="AX139" s="49"/>
      <c r="AY139" s="242"/>
      <c r="AZ139" s="308" t="str">
        <f t="shared" si="771"/>
        <v/>
      </c>
      <c r="BA139" s="558" t="str">
        <f t="shared" si="772"/>
        <v/>
      </c>
      <c r="BB139" s="559" t="str">
        <f t="shared" si="524"/>
        <v/>
      </c>
      <c r="BC139" s="547"/>
      <c r="BD139" s="545" t="str">
        <f t="shared" si="773"/>
        <v/>
      </c>
      <c r="BE139" s="548" t="str">
        <f t="shared" si="904"/>
        <v/>
      </c>
      <c r="BF139" s="549" t="str">
        <f t="shared" si="905"/>
        <v/>
      </c>
      <c r="BG139" s="545" t="str">
        <f t="shared" si="906"/>
        <v/>
      </c>
      <c r="BH139" s="546" t="str">
        <f t="shared" si="907"/>
        <v/>
      </c>
      <c r="BI139" s="547" t="str">
        <f t="shared" si="774"/>
        <v/>
      </c>
      <c r="BJ139" s="545" t="str">
        <f t="shared" si="908"/>
        <v/>
      </c>
      <c r="BK139" s="550" t="str">
        <f t="shared" si="909"/>
        <v/>
      </c>
      <c r="BL139" s="553" t="str">
        <f t="shared" si="910"/>
        <v/>
      </c>
      <c r="BM139" s="545" t="str">
        <f t="shared" si="911"/>
        <v/>
      </c>
      <c r="BN139" s="548" t="str">
        <f t="shared" si="912"/>
        <v/>
      </c>
      <c r="BO139" s="549" t="str">
        <f t="shared" si="775"/>
        <v/>
      </c>
      <c r="BP139" s="545" t="str">
        <f t="shared" si="776"/>
        <v/>
      </c>
      <c r="BQ139" s="545" t="str">
        <f t="shared" si="777"/>
        <v/>
      </c>
      <c r="BR139" s="548" t="str">
        <f t="shared" si="778"/>
        <v/>
      </c>
      <c r="BS139" s="549" t="str">
        <f t="shared" si="740"/>
        <v/>
      </c>
      <c r="BT139" s="545" t="str">
        <f t="shared" si="740"/>
        <v/>
      </c>
      <c r="BU139" s="546" t="str">
        <f t="shared" si="527"/>
        <v/>
      </c>
      <c r="BV139" s="547" t="str">
        <f t="shared" si="528"/>
        <v/>
      </c>
      <c r="BW139" s="545" t="str">
        <f t="shared" si="529"/>
        <v/>
      </c>
      <c r="BX139" s="550" t="str">
        <f t="shared" si="530"/>
        <v/>
      </c>
      <c r="BY139" s="553" t="str">
        <f t="shared" si="531"/>
        <v/>
      </c>
      <c r="BZ139" s="545" t="str">
        <f t="shared" si="532"/>
        <v/>
      </c>
      <c r="CA139" s="548" t="str">
        <f t="shared" si="533"/>
        <v/>
      </c>
      <c r="CB139" s="549" t="str">
        <f t="shared" si="779"/>
        <v/>
      </c>
      <c r="CC139" s="545" t="str">
        <f t="shared" si="780"/>
        <v/>
      </c>
      <c r="CD139" s="545" t="str">
        <f t="shared" si="781"/>
        <v/>
      </c>
      <c r="CE139" s="548" t="str">
        <f t="shared" si="782"/>
        <v/>
      </c>
      <c r="CF139" s="549" t="str">
        <f t="shared" si="783"/>
        <v/>
      </c>
      <c r="CG139" s="545" t="str">
        <f t="shared" si="784"/>
        <v/>
      </c>
      <c r="CH139" s="545" t="str">
        <f t="shared" si="785"/>
        <v/>
      </c>
      <c r="CI139" s="549" t="str">
        <f t="shared" si="534"/>
        <v/>
      </c>
      <c r="CJ139" s="545" t="str">
        <f t="shared" si="786"/>
        <v/>
      </c>
      <c r="CK139" s="550" t="str">
        <f t="shared" si="787"/>
        <v/>
      </c>
      <c r="CL139" s="553" t="str">
        <f t="shared" si="788"/>
        <v/>
      </c>
      <c r="CM139" s="545" t="str">
        <f t="shared" si="789"/>
        <v/>
      </c>
      <c r="CN139" s="548" t="str">
        <f t="shared" si="790"/>
        <v/>
      </c>
      <c r="CO139" s="560" t="str">
        <f t="shared" si="913"/>
        <v/>
      </c>
      <c r="CP139" s="549" t="str">
        <f t="shared" si="791"/>
        <v/>
      </c>
      <c r="CQ139" s="545" t="str">
        <f t="shared" si="792"/>
        <v/>
      </c>
      <c r="CR139" s="545" t="str">
        <f t="shared" si="793"/>
        <v/>
      </c>
      <c r="CS139" s="550" t="str">
        <f t="shared" si="794"/>
        <v/>
      </c>
      <c r="CT139" s="547" t="str">
        <f t="shared" si="795"/>
        <v/>
      </c>
      <c r="CU139" s="548" t="str">
        <f t="shared" si="796"/>
        <v/>
      </c>
      <c r="CV139" s="549" t="str">
        <f t="shared" si="797"/>
        <v/>
      </c>
      <c r="CW139" s="545" t="str">
        <f t="shared" si="798"/>
        <v/>
      </c>
      <c r="CX139" s="550" t="str">
        <f t="shared" si="799"/>
        <v/>
      </c>
      <c r="CY139" s="547" t="str">
        <f t="shared" si="800"/>
        <v/>
      </c>
      <c r="CZ139" s="545" t="str">
        <f t="shared" si="801"/>
        <v/>
      </c>
      <c r="DA139" s="548" t="str">
        <f t="shared" si="802"/>
        <v/>
      </c>
      <c r="DB139" s="549" t="str">
        <f t="shared" si="743"/>
        <v/>
      </c>
      <c r="DC139" s="545" t="str">
        <f t="shared" si="743"/>
        <v/>
      </c>
      <c r="DD139" s="546" t="str">
        <f t="shared" si="573"/>
        <v/>
      </c>
      <c r="DE139" s="547" t="str">
        <f t="shared" si="744"/>
        <v/>
      </c>
      <c r="DF139" s="545" t="str">
        <f t="shared" si="744"/>
        <v/>
      </c>
      <c r="DG139" s="546" t="str">
        <f t="shared" si="575"/>
        <v/>
      </c>
      <c r="DH139" s="552" t="str">
        <f t="shared" si="803"/>
        <v/>
      </c>
      <c r="DI139" s="549" t="str">
        <f t="shared" si="804"/>
        <v/>
      </c>
      <c r="DJ139" s="545" t="str">
        <f t="shared" si="805"/>
        <v/>
      </c>
      <c r="DK139" s="546" t="str">
        <f t="shared" si="806"/>
        <v/>
      </c>
      <c r="DL139" s="547" t="str">
        <f t="shared" si="807"/>
        <v/>
      </c>
      <c r="DM139" s="553" t="str">
        <f t="shared" si="808"/>
        <v/>
      </c>
      <c r="DN139" s="561" t="str">
        <f t="shared" si="809"/>
        <v/>
      </c>
      <c r="DO139" s="547" t="str">
        <f t="shared" si="810"/>
        <v/>
      </c>
      <c r="DP139" s="553" t="str">
        <f t="shared" si="811"/>
        <v/>
      </c>
      <c r="DQ139" s="554" t="str">
        <f t="shared" si="812"/>
        <v/>
      </c>
      <c r="DR139" s="553" t="str">
        <f t="shared" si="813"/>
        <v/>
      </c>
      <c r="DS139" s="545" t="str">
        <f t="shared" si="814"/>
        <v/>
      </c>
      <c r="DT139" s="545" t="str">
        <f t="shared" si="815"/>
        <v/>
      </c>
      <c r="DU139" s="545" t="str">
        <f t="shared" si="816"/>
        <v/>
      </c>
      <c r="DV139" s="545" t="str">
        <f t="shared" si="817"/>
        <v/>
      </c>
      <c r="DW139" s="545" t="str">
        <f t="shared" si="818"/>
        <v/>
      </c>
      <c r="DX139" s="560" t="str">
        <f t="shared" si="819"/>
        <v/>
      </c>
      <c r="DY139" s="547" t="str">
        <f t="shared" si="820"/>
        <v/>
      </c>
      <c r="DZ139" s="545" t="str">
        <f t="shared" si="821"/>
        <v/>
      </c>
      <c r="EA139" s="546" t="str">
        <f t="shared" si="822"/>
        <v/>
      </c>
      <c r="EB139" s="548" t="str">
        <f t="shared" si="823"/>
        <v/>
      </c>
      <c r="EC139" s="553" t="str">
        <f t="shared" si="824"/>
        <v/>
      </c>
      <c r="ED139" s="545" t="str">
        <f t="shared" si="825"/>
        <v/>
      </c>
      <c r="EE139" s="549" t="str">
        <f t="shared" si="826"/>
        <v/>
      </c>
      <c r="EF139" s="545" t="str">
        <f t="shared" si="827"/>
        <v/>
      </c>
      <c r="EG139" s="546" t="str">
        <f t="shared" si="828"/>
        <v/>
      </c>
      <c r="EH139" s="547" t="str">
        <f t="shared" si="829"/>
        <v/>
      </c>
      <c r="EI139" s="545" t="str">
        <f t="shared" si="830"/>
        <v/>
      </c>
      <c r="EJ139" s="548" t="str">
        <f t="shared" si="831"/>
        <v/>
      </c>
      <c r="EK139" s="562" t="str">
        <f t="shared" si="605"/>
        <v/>
      </c>
      <c r="EL139" s="563" t="str">
        <f t="shared" si="606"/>
        <v/>
      </c>
      <c r="EM139" s="549" t="str">
        <f t="shared" si="832"/>
        <v/>
      </c>
      <c r="EN139" s="545" t="str">
        <f t="shared" si="833"/>
        <v/>
      </c>
      <c r="EO139" s="546" t="str">
        <f t="shared" si="834"/>
        <v/>
      </c>
      <c r="EP139" s="547" t="str">
        <f t="shared" si="835"/>
        <v/>
      </c>
      <c r="EQ139" s="545" t="str">
        <f t="shared" si="836"/>
        <v/>
      </c>
      <c r="ER139" s="551" t="str">
        <f t="shared" si="837"/>
        <v/>
      </c>
      <c r="ES139" s="544" t="str">
        <f t="shared" si="914"/>
        <v/>
      </c>
      <c r="ET139" s="545" t="str">
        <f t="shared" si="915"/>
        <v/>
      </c>
      <c r="EU139" s="546" t="str">
        <f t="shared" si="916"/>
        <v/>
      </c>
      <c r="EV139" s="178" t="str">
        <f t="shared" si="838"/>
        <v/>
      </c>
      <c r="EW139" s="547" t="str">
        <f t="shared" si="839"/>
        <v/>
      </c>
      <c r="EX139" s="545" t="str">
        <f t="shared" si="840"/>
        <v/>
      </c>
      <c r="EY139" s="548" t="str">
        <f t="shared" si="841"/>
        <v/>
      </c>
      <c r="EZ139" s="555" t="str">
        <f t="shared" si="614"/>
        <v/>
      </c>
      <c r="FA139" s="553" t="str">
        <f t="shared" si="692"/>
        <v/>
      </c>
      <c r="FB139" s="545" t="str">
        <f t="shared" si="693"/>
        <v/>
      </c>
      <c r="FC139" s="548" t="str">
        <f t="shared" si="694"/>
        <v/>
      </c>
      <c r="FD139" s="549" t="str">
        <f t="shared" si="842"/>
        <v/>
      </c>
      <c r="FE139" s="545" t="str">
        <f t="shared" si="843"/>
        <v/>
      </c>
      <c r="FF139" s="551" t="str">
        <f t="shared" si="844"/>
        <v/>
      </c>
      <c r="FG139" s="177" t="str">
        <f t="shared" si="845"/>
        <v/>
      </c>
      <c r="FH139" s="5" t="str">
        <f t="shared" si="846"/>
        <v/>
      </c>
      <c r="FI139" s="10" t="str">
        <f t="shared" si="847"/>
        <v/>
      </c>
      <c r="FJ139" s="290" t="str">
        <f t="shared" si="848"/>
        <v/>
      </c>
      <c r="FK139" s="4" t="str">
        <f t="shared" si="849"/>
        <v/>
      </c>
      <c r="FL139" s="5" t="str">
        <f t="shared" si="850"/>
        <v/>
      </c>
      <c r="FM139" s="8" t="str">
        <f t="shared" si="851"/>
        <v/>
      </c>
      <c r="FN139" s="9" t="str">
        <f t="shared" si="852"/>
        <v/>
      </c>
      <c r="FO139" s="10" t="str">
        <f t="shared" si="853"/>
        <v/>
      </c>
      <c r="FP139" s="288" t="str">
        <f t="shared" si="854"/>
        <v/>
      </c>
      <c r="FQ139" s="177" t="str">
        <f t="shared" si="855"/>
        <v/>
      </c>
      <c r="FR139" s="10" t="str">
        <f t="shared" si="856"/>
        <v/>
      </c>
      <c r="FS139" s="9" t="str">
        <f t="shared" si="857"/>
        <v/>
      </c>
      <c r="FT139" s="6" t="str">
        <f t="shared" si="858"/>
        <v/>
      </c>
      <c r="FU139" s="4" t="str">
        <f t="shared" si="859"/>
        <v/>
      </c>
      <c r="FV139" s="5" t="str">
        <f t="shared" si="860"/>
        <v/>
      </c>
      <c r="FW139" s="8" t="str">
        <f t="shared" si="861"/>
        <v/>
      </c>
      <c r="FX139" s="9" t="str">
        <f t="shared" si="862"/>
        <v/>
      </c>
      <c r="FY139" s="10" t="str">
        <f t="shared" si="863"/>
        <v/>
      </c>
      <c r="FZ139" s="288" t="str">
        <f t="shared" si="864"/>
        <v/>
      </c>
      <c r="GA139" s="181" t="str">
        <f t="shared" si="865"/>
        <v/>
      </c>
      <c r="GB139" s="4" t="str">
        <f t="shared" si="866"/>
        <v/>
      </c>
      <c r="GC139" s="5" t="str">
        <f t="shared" si="867"/>
        <v/>
      </c>
      <c r="GD139" s="10" t="str">
        <f t="shared" si="868"/>
        <v/>
      </c>
      <c r="GE139" s="324" t="str">
        <f t="shared" si="869"/>
        <v/>
      </c>
      <c r="GF139" s="362" t="str">
        <f t="shared" si="870"/>
        <v/>
      </c>
      <c r="GG139" s="317" t="str">
        <f t="shared" si="871"/>
        <v/>
      </c>
      <c r="GH139" s="318" t="str">
        <f t="shared" si="872"/>
        <v/>
      </c>
      <c r="GI139" s="319" t="str">
        <f t="shared" si="873"/>
        <v/>
      </c>
      <c r="GJ139" s="171" t="str">
        <f t="shared" si="874"/>
        <v/>
      </c>
      <c r="GK139" s="178" t="str">
        <f t="shared" si="706"/>
        <v/>
      </c>
      <c r="GL139" s="178" t="str">
        <f t="shared" si="875"/>
        <v/>
      </c>
      <c r="GM139" s="181" t="str">
        <f t="shared" si="876"/>
        <v/>
      </c>
      <c r="GN139" s="291" t="str">
        <f t="shared" si="877"/>
        <v/>
      </c>
      <c r="GO139" s="4" t="str">
        <f t="shared" si="878"/>
        <v/>
      </c>
      <c r="GP139" s="8" t="str">
        <f t="shared" si="879"/>
        <v/>
      </c>
      <c r="GQ139" s="181" t="str">
        <f t="shared" si="880"/>
        <v/>
      </c>
      <c r="GR139" s="417" t="str">
        <f t="shared" si="881"/>
        <v/>
      </c>
      <c r="GS139" s="363" t="str">
        <f t="shared" si="882"/>
        <v/>
      </c>
      <c r="GT139" s="364" t="str">
        <f t="shared" si="883"/>
        <v/>
      </c>
      <c r="GU139" s="365" t="str">
        <f t="shared" si="709"/>
        <v/>
      </c>
      <c r="GV139" s="364" t="str">
        <f t="shared" si="884"/>
        <v/>
      </c>
      <c r="GW139" s="366" t="str">
        <f t="shared" si="710"/>
        <v/>
      </c>
      <c r="GX139" s="367" t="str">
        <f t="shared" si="711"/>
        <v/>
      </c>
      <c r="GY139" s="365" t="str">
        <f t="shared" si="885"/>
        <v/>
      </c>
      <c r="GZ139" s="366" t="str">
        <f t="shared" si="886"/>
        <v/>
      </c>
      <c r="HA139" s="363" t="str">
        <f t="shared" si="714"/>
        <v/>
      </c>
      <c r="HB139" s="5" t="str">
        <f t="shared" si="641"/>
        <v/>
      </c>
      <c r="HC139" s="364" t="str">
        <f t="shared" si="887"/>
        <v/>
      </c>
      <c r="HD139" s="405" t="str">
        <f t="shared" si="888"/>
        <v/>
      </c>
      <c r="HE139" s="365" t="str">
        <f t="shared" si="715"/>
        <v/>
      </c>
      <c r="HF139" s="5" t="str">
        <f t="shared" si="716"/>
        <v/>
      </c>
      <c r="HG139" s="364" t="str">
        <f t="shared" si="889"/>
        <v/>
      </c>
      <c r="HH139" s="370" t="str">
        <f t="shared" si="890"/>
        <v/>
      </c>
      <c r="HI139" s="335" t="str">
        <f t="shared" si="917"/>
        <v/>
      </c>
      <c r="HK139" s="323" t="str">
        <f t="shared" si="891"/>
        <v/>
      </c>
      <c r="HL139" s="322" t="str">
        <f t="shared" si="892"/>
        <v/>
      </c>
      <c r="HM139" s="369" t="str">
        <f t="shared" si="893"/>
        <v/>
      </c>
      <c r="HN139" s="384" t="str">
        <f t="shared" si="893"/>
        <v/>
      </c>
      <c r="HO139" s="385" t="str">
        <f t="shared" si="893"/>
        <v/>
      </c>
      <c r="HP139" s="380" t="str">
        <f t="shared" si="893"/>
        <v/>
      </c>
      <c r="HQ139" s="384" t="str">
        <f t="shared" si="893"/>
        <v/>
      </c>
      <c r="HR139" s="395" t="str">
        <f t="shared" si="893"/>
        <v/>
      </c>
      <c r="HS139" s="379" t="str">
        <f t="shared" si="893"/>
        <v/>
      </c>
      <c r="HT139" s="374" t="str">
        <f t="shared" si="893"/>
        <v/>
      </c>
      <c r="HU139" s="375" t="str">
        <f t="shared" si="893"/>
        <v/>
      </c>
      <c r="HV139" s="376" t="str">
        <f t="shared" si="893"/>
        <v/>
      </c>
      <c r="HW139" s="374" t="str">
        <f t="shared" si="893"/>
        <v/>
      </c>
      <c r="HX139" s="375" t="str">
        <f t="shared" si="893"/>
        <v/>
      </c>
      <c r="HY139" s="376" t="str">
        <f t="shared" si="893"/>
        <v/>
      </c>
      <c r="HZ139" s="374" t="str">
        <f t="shared" si="893"/>
        <v/>
      </c>
      <c r="IA139" s="375" t="str">
        <f t="shared" si="893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23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21"/>
        <v/>
      </c>
      <c r="IK139" s="533" t="str">
        <f t="shared" si="918"/>
        <v/>
      </c>
      <c r="IL139" s="727" t="str">
        <f t="shared" si="651"/>
        <v/>
      </c>
      <c r="IM139" s="759"/>
      <c r="IN139" s="5" t="str">
        <f t="shared" si="652"/>
        <v/>
      </c>
      <c r="IO139" s="771"/>
      <c r="IP139" s="9" t="str">
        <f t="shared" si="653"/>
        <v/>
      </c>
      <c r="IQ139" s="5" t="str">
        <f t="shared" si="654"/>
        <v/>
      </c>
      <c r="IR139" s="5" t="str">
        <f t="shared" si="919"/>
        <v/>
      </c>
      <c r="IS139" s="5" t="str">
        <f t="shared" si="655"/>
        <v/>
      </c>
      <c r="IT139" s="727" t="str">
        <f t="shared" si="656"/>
        <v/>
      </c>
      <c r="IU139" s="9" t="str">
        <f t="shared" si="657"/>
        <v/>
      </c>
      <c r="IV139" s="5" t="str">
        <f t="shared" si="658"/>
        <v/>
      </c>
      <c r="IW139" s="5" t="str">
        <f t="shared" si="920"/>
        <v/>
      </c>
      <c r="IX139" s="5" t="str">
        <f t="shared" si="659"/>
        <v/>
      </c>
      <c r="IY139" s="762" t="str">
        <f t="shared" si="660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94"/>
        <v/>
      </c>
      <c r="N140" s="638" t="str">
        <f t="shared" si="895"/>
        <v/>
      </c>
      <c r="O140" s="639" t="str">
        <f t="shared" si="896"/>
        <v/>
      </c>
      <c r="P140" s="640" t="str">
        <f t="shared" si="897"/>
        <v/>
      </c>
      <c r="Q140" s="593" t="str">
        <f t="shared" si="749"/>
        <v/>
      </c>
      <c r="R140" s="639" t="str">
        <f t="shared" si="750"/>
        <v/>
      </c>
      <c r="S140" s="641" t="str">
        <f t="shared" si="751"/>
        <v/>
      </c>
      <c r="T140" s="642" t="str">
        <f t="shared" si="752"/>
        <v/>
      </c>
      <c r="U140" s="639" t="str">
        <f t="shared" si="753"/>
        <v/>
      </c>
      <c r="V140" s="643" t="str">
        <f t="shared" si="754"/>
        <v/>
      </c>
      <c r="W140" s="593" t="str">
        <f t="shared" si="755"/>
        <v/>
      </c>
      <c r="X140" s="639" t="str">
        <f t="shared" si="756"/>
        <v/>
      </c>
      <c r="Y140" s="644" t="str">
        <f t="shared" si="757"/>
        <v/>
      </c>
      <c r="Z140" s="638" t="str">
        <f t="shared" si="898"/>
        <v/>
      </c>
      <c r="AA140" s="639" t="str">
        <f t="shared" si="899"/>
        <v/>
      </c>
      <c r="AB140" s="639" t="str">
        <f t="shared" si="900"/>
        <v/>
      </c>
      <c r="AC140" s="643" t="str">
        <f t="shared" si="758"/>
        <v/>
      </c>
      <c r="AD140" s="645" t="str">
        <f t="shared" si="759"/>
        <v/>
      </c>
      <c r="AE140" s="639" t="str">
        <f t="shared" si="760"/>
        <v/>
      </c>
      <c r="AF140" s="640" t="str">
        <f t="shared" si="761"/>
        <v/>
      </c>
      <c r="AG140" s="604" t="str">
        <f t="shared" si="762"/>
        <v/>
      </c>
      <c r="AH140" s="605" t="str">
        <f t="shared" si="763"/>
        <v/>
      </c>
      <c r="AI140" s="593" t="str">
        <f t="shared" si="764"/>
        <v/>
      </c>
      <c r="AJ140" s="594" t="str">
        <f t="shared" si="765"/>
        <v/>
      </c>
      <c r="AK140" s="642" t="str">
        <f t="shared" si="766"/>
        <v/>
      </c>
      <c r="AL140" s="639" t="str">
        <f t="shared" si="767"/>
        <v/>
      </c>
      <c r="AM140" s="641" t="str">
        <f t="shared" si="768"/>
        <v/>
      </c>
      <c r="AN140" s="591" t="str">
        <f t="shared" si="769"/>
        <v/>
      </c>
      <c r="AO140" s="592" t="str">
        <f t="shared" si="748"/>
        <v/>
      </c>
      <c r="AP140" s="593" t="str">
        <f t="shared" si="770"/>
        <v/>
      </c>
      <c r="AQ140" s="594" t="str">
        <f t="shared" si="901"/>
        <v/>
      </c>
      <c r="AS140" s="555" t="str">
        <f t="shared" si="922"/>
        <v/>
      </c>
      <c r="AT140" s="556" t="str">
        <f t="shared" si="902"/>
        <v/>
      </c>
      <c r="AU140" s="469"/>
      <c r="AV140" s="168" t="str">
        <f t="shared" si="903"/>
        <v/>
      </c>
      <c r="AW140" s="557"/>
      <c r="AX140" s="49"/>
      <c r="AY140" s="242"/>
      <c r="AZ140" s="308" t="str">
        <f t="shared" si="771"/>
        <v/>
      </c>
      <c r="BA140" s="558" t="str">
        <f t="shared" si="772"/>
        <v/>
      </c>
      <c r="BB140" s="559" t="str">
        <f t="shared" si="524"/>
        <v/>
      </c>
      <c r="BC140" s="547"/>
      <c r="BD140" s="545" t="str">
        <f t="shared" si="773"/>
        <v/>
      </c>
      <c r="BE140" s="548" t="str">
        <f t="shared" si="904"/>
        <v/>
      </c>
      <c r="BF140" s="549" t="str">
        <f t="shared" si="905"/>
        <v/>
      </c>
      <c r="BG140" s="545" t="str">
        <f t="shared" si="906"/>
        <v/>
      </c>
      <c r="BH140" s="546" t="str">
        <f t="shared" si="907"/>
        <v/>
      </c>
      <c r="BI140" s="547" t="str">
        <f t="shared" si="774"/>
        <v/>
      </c>
      <c r="BJ140" s="545" t="str">
        <f t="shared" si="908"/>
        <v/>
      </c>
      <c r="BK140" s="550" t="str">
        <f t="shared" si="909"/>
        <v/>
      </c>
      <c r="BL140" s="553" t="str">
        <f t="shared" si="910"/>
        <v/>
      </c>
      <c r="BM140" s="545" t="str">
        <f t="shared" si="911"/>
        <v/>
      </c>
      <c r="BN140" s="548" t="str">
        <f t="shared" si="912"/>
        <v/>
      </c>
      <c r="BO140" s="549" t="str">
        <f t="shared" si="775"/>
        <v/>
      </c>
      <c r="BP140" s="545" t="str">
        <f t="shared" si="776"/>
        <v/>
      </c>
      <c r="BQ140" s="545" t="str">
        <f t="shared" si="777"/>
        <v/>
      </c>
      <c r="BR140" s="548" t="str">
        <f t="shared" si="778"/>
        <v/>
      </c>
      <c r="BS140" s="549" t="str">
        <f t="shared" si="740"/>
        <v/>
      </c>
      <c r="BT140" s="545" t="str">
        <f t="shared" si="740"/>
        <v/>
      </c>
      <c r="BU140" s="546" t="str">
        <f t="shared" si="527"/>
        <v/>
      </c>
      <c r="BV140" s="547" t="str">
        <f t="shared" si="528"/>
        <v/>
      </c>
      <c r="BW140" s="545" t="str">
        <f t="shared" si="529"/>
        <v/>
      </c>
      <c r="BX140" s="550" t="str">
        <f t="shared" si="530"/>
        <v/>
      </c>
      <c r="BY140" s="553" t="str">
        <f t="shared" si="531"/>
        <v/>
      </c>
      <c r="BZ140" s="545" t="str">
        <f t="shared" si="532"/>
        <v/>
      </c>
      <c r="CA140" s="548" t="str">
        <f t="shared" si="533"/>
        <v/>
      </c>
      <c r="CB140" s="549" t="str">
        <f t="shared" si="779"/>
        <v/>
      </c>
      <c r="CC140" s="545" t="str">
        <f t="shared" si="780"/>
        <v/>
      </c>
      <c r="CD140" s="545" t="str">
        <f t="shared" si="781"/>
        <v/>
      </c>
      <c r="CE140" s="548" t="str">
        <f t="shared" si="782"/>
        <v/>
      </c>
      <c r="CF140" s="549" t="str">
        <f t="shared" si="783"/>
        <v/>
      </c>
      <c r="CG140" s="545" t="str">
        <f t="shared" si="784"/>
        <v/>
      </c>
      <c r="CH140" s="545" t="str">
        <f t="shared" si="785"/>
        <v/>
      </c>
      <c r="CI140" s="549" t="str">
        <f t="shared" si="534"/>
        <v/>
      </c>
      <c r="CJ140" s="545" t="str">
        <f t="shared" si="786"/>
        <v/>
      </c>
      <c r="CK140" s="550" t="str">
        <f t="shared" si="787"/>
        <v/>
      </c>
      <c r="CL140" s="553" t="str">
        <f t="shared" si="788"/>
        <v/>
      </c>
      <c r="CM140" s="545" t="str">
        <f t="shared" si="789"/>
        <v/>
      </c>
      <c r="CN140" s="548" t="str">
        <f t="shared" si="790"/>
        <v/>
      </c>
      <c r="CO140" s="560" t="str">
        <f t="shared" si="913"/>
        <v/>
      </c>
      <c r="CP140" s="549" t="str">
        <f t="shared" si="791"/>
        <v/>
      </c>
      <c r="CQ140" s="545" t="str">
        <f t="shared" si="792"/>
        <v/>
      </c>
      <c r="CR140" s="545" t="str">
        <f t="shared" si="793"/>
        <v/>
      </c>
      <c r="CS140" s="550" t="str">
        <f t="shared" si="794"/>
        <v/>
      </c>
      <c r="CT140" s="547" t="str">
        <f t="shared" si="795"/>
        <v/>
      </c>
      <c r="CU140" s="548" t="str">
        <f t="shared" si="796"/>
        <v/>
      </c>
      <c r="CV140" s="549" t="str">
        <f t="shared" si="797"/>
        <v/>
      </c>
      <c r="CW140" s="545" t="str">
        <f t="shared" si="798"/>
        <v/>
      </c>
      <c r="CX140" s="550" t="str">
        <f t="shared" si="799"/>
        <v/>
      </c>
      <c r="CY140" s="547" t="str">
        <f t="shared" si="800"/>
        <v/>
      </c>
      <c r="CZ140" s="545" t="str">
        <f t="shared" si="801"/>
        <v/>
      </c>
      <c r="DA140" s="548" t="str">
        <f t="shared" si="802"/>
        <v/>
      </c>
      <c r="DB140" s="549" t="str">
        <f t="shared" si="743"/>
        <v/>
      </c>
      <c r="DC140" s="545" t="str">
        <f t="shared" si="743"/>
        <v/>
      </c>
      <c r="DD140" s="546" t="str">
        <f t="shared" si="573"/>
        <v/>
      </c>
      <c r="DE140" s="547" t="str">
        <f t="shared" si="744"/>
        <v/>
      </c>
      <c r="DF140" s="545" t="str">
        <f t="shared" si="744"/>
        <v/>
      </c>
      <c r="DG140" s="546" t="str">
        <f t="shared" si="575"/>
        <v/>
      </c>
      <c r="DH140" s="552" t="str">
        <f t="shared" si="803"/>
        <v/>
      </c>
      <c r="DI140" s="549" t="str">
        <f t="shared" si="804"/>
        <v/>
      </c>
      <c r="DJ140" s="545" t="str">
        <f t="shared" si="805"/>
        <v/>
      </c>
      <c r="DK140" s="546" t="str">
        <f t="shared" si="806"/>
        <v/>
      </c>
      <c r="DL140" s="547" t="str">
        <f t="shared" si="807"/>
        <v/>
      </c>
      <c r="DM140" s="553" t="str">
        <f t="shared" si="808"/>
        <v/>
      </c>
      <c r="DN140" s="561" t="str">
        <f t="shared" si="809"/>
        <v/>
      </c>
      <c r="DO140" s="547" t="str">
        <f t="shared" si="810"/>
        <v/>
      </c>
      <c r="DP140" s="553" t="str">
        <f t="shared" si="811"/>
        <v/>
      </c>
      <c r="DQ140" s="554" t="str">
        <f t="shared" si="812"/>
        <v/>
      </c>
      <c r="DR140" s="553" t="str">
        <f t="shared" si="813"/>
        <v/>
      </c>
      <c r="DS140" s="545" t="str">
        <f t="shared" si="814"/>
        <v/>
      </c>
      <c r="DT140" s="545" t="str">
        <f t="shared" si="815"/>
        <v/>
      </c>
      <c r="DU140" s="545" t="str">
        <f t="shared" si="816"/>
        <v/>
      </c>
      <c r="DV140" s="545" t="str">
        <f t="shared" si="817"/>
        <v/>
      </c>
      <c r="DW140" s="545" t="str">
        <f t="shared" si="818"/>
        <v/>
      </c>
      <c r="DX140" s="560" t="str">
        <f t="shared" si="819"/>
        <v/>
      </c>
      <c r="DY140" s="547" t="str">
        <f t="shared" si="820"/>
        <v/>
      </c>
      <c r="DZ140" s="545" t="str">
        <f t="shared" si="821"/>
        <v/>
      </c>
      <c r="EA140" s="546" t="str">
        <f t="shared" si="822"/>
        <v/>
      </c>
      <c r="EB140" s="548" t="str">
        <f t="shared" si="823"/>
        <v/>
      </c>
      <c r="EC140" s="553" t="str">
        <f t="shared" si="824"/>
        <v/>
      </c>
      <c r="ED140" s="545" t="str">
        <f t="shared" si="825"/>
        <v/>
      </c>
      <c r="EE140" s="549" t="str">
        <f t="shared" si="826"/>
        <v/>
      </c>
      <c r="EF140" s="545" t="str">
        <f t="shared" si="827"/>
        <v/>
      </c>
      <c r="EG140" s="546" t="str">
        <f t="shared" si="828"/>
        <v/>
      </c>
      <c r="EH140" s="547" t="str">
        <f t="shared" si="829"/>
        <v/>
      </c>
      <c r="EI140" s="545" t="str">
        <f t="shared" si="830"/>
        <v/>
      </c>
      <c r="EJ140" s="548" t="str">
        <f t="shared" si="831"/>
        <v/>
      </c>
      <c r="EK140" s="562" t="str">
        <f t="shared" si="605"/>
        <v/>
      </c>
      <c r="EL140" s="563" t="str">
        <f t="shared" si="606"/>
        <v/>
      </c>
      <c r="EM140" s="549" t="str">
        <f t="shared" si="832"/>
        <v/>
      </c>
      <c r="EN140" s="545" t="str">
        <f t="shared" si="833"/>
        <v/>
      </c>
      <c r="EO140" s="546" t="str">
        <f t="shared" si="834"/>
        <v/>
      </c>
      <c r="EP140" s="547" t="str">
        <f t="shared" si="835"/>
        <v/>
      </c>
      <c r="EQ140" s="545" t="str">
        <f t="shared" si="836"/>
        <v/>
      </c>
      <c r="ER140" s="551" t="str">
        <f t="shared" si="837"/>
        <v/>
      </c>
      <c r="ES140" s="544" t="str">
        <f t="shared" si="914"/>
        <v/>
      </c>
      <c r="ET140" s="545" t="str">
        <f t="shared" si="915"/>
        <v/>
      </c>
      <c r="EU140" s="546" t="str">
        <f t="shared" si="916"/>
        <v/>
      </c>
      <c r="EV140" s="178" t="str">
        <f t="shared" si="838"/>
        <v/>
      </c>
      <c r="EW140" s="547" t="str">
        <f t="shared" si="839"/>
        <v/>
      </c>
      <c r="EX140" s="545" t="str">
        <f t="shared" si="840"/>
        <v/>
      </c>
      <c r="EY140" s="548" t="str">
        <f t="shared" si="841"/>
        <v/>
      </c>
      <c r="EZ140" s="555" t="str">
        <f t="shared" si="614"/>
        <v/>
      </c>
      <c r="FA140" s="553" t="str">
        <f t="shared" si="692"/>
        <v/>
      </c>
      <c r="FB140" s="545" t="str">
        <f t="shared" si="693"/>
        <v/>
      </c>
      <c r="FC140" s="548" t="str">
        <f t="shared" si="694"/>
        <v/>
      </c>
      <c r="FD140" s="549" t="str">
        <f t="shared" si="842"/>
        <v/>
      </c>
      <c r="FE140" s="545" t="str">
        <f t="shared" si="843"/>
        <v/>
      </c>
      <c r="FF140" s="551" t="str">
        <f t="shared" si="844"/>
        <v/>
      </c>
      <c r="FG140" s="177" t="str">
        <f t="shared" si="845"/>
        <v/>
      </c>
      <c r="FH140" s="5" t="str">
        <f t="shared" si="846"/>
        <v/>
      </c>
      <c r="FI140" s="10" t="str">
        <f t="shared" si="847"/>
        <v/>
      </c>
      <c r="FJ140" s="290" t="str">
        <f t="shared" si="848"/>
        <v/>
      </c>
      <c r="FK140" s="4" t="str">
        <f t="shared" si="849"/>
        <v/>
      </c>
      <c r="FL140" s="5" t="str">
        <f t="shared" si="850"/>
        <v/>
      </c>
      <c r="FM140" s="8" t="str">
        <f t="shared" si="851"/>
        <v/>
      </c>
      <c r="FN140" s="9" t="str">
        <f t="shared" si="852"/>
        <v/>
      </c>
      <c r="FO140" s="10" t="str">
        <f t="shared" si="853"/>
        <v/>
      </c>
      <c r="FP140" s="288" t="str">
        <f t="shared" si="854"/>
        <v/>
      </c>
      <c r="FQ140" s="177" t="str">
        <f t="shared" si="855"/>
        <v/>
      </c>
      <c r="FR140" s="10" t="str">
        <f t="shared" si="856"/>
        <v/>
      </c>
      <c r="FS140" s="9" t="str">
        <f t="shared" si="857"/>
        <v/>
      </c>
      <c r="FT140" s="6" t="str">
        <f t="shared" si="858"/>
        <v/>
      </c>
      <c r="FU140" s="4" t="str">
        <f t="shared" si="859"/>
        <v/>
      </c>
      <c r="FV140" s="5" t="str">
        <f t="shared" si="860"/>
        <v/>
      </c>
      <c r="FW140" s="8" t="str">
        <f t="shared" si="861"/>
        <v/>
      </c>
      <c r="FX140" s="9" t="str">
        <f t="shared" si="862"/>
        <v/>
      </c>
      <c r="FY140" s="10" t="str">
        <f t="shared" si="863"/>
        <v/>
      </c>
      <c r="FZ140" s="288" t="str">
        <f t="shared" si="864"/>
        <v/>
      </c>
      <c r="GA140" s="181" t="str">
        <f t="shared" si="865"/>
        <v/>
      </c>
      <c r="GB140" s="4" t="str">
        <f t="shared" si="866"/>
        <v/>
      </c>
      <c r="GC140" s="5" t="str">
        <f t="shared" si="867"/>
        <v/>
      </c>
      <c r="GD140" s="10" t="str">
        <f t="shared" si="868"/>
        <v/>
      </c>
      <c r="GE140" s="324" t="str">
        <f t="shared" si="869"/>
        <v/>
      </c>
      <c r="GF140" s="362" t="str">
        <f t="shared" si="870"/>
        <v/>
      </c>
      <c r="GG140" s="317" t="str">
        <f t="shared" si="871"/>
        <v/>
      </c>
      <c r="GH140" s="318" t="str">
        <f t="shared" si="872"/>
        <v/>
      </c>
      <c r="GI140" s="319" t="str">
        <f t="shared" si="873"/>
        <v/>
      </c>
      <c r="GJ140" s="171" t="str">
        <f t="shared" si="874"/>
        <v/>
      </c>
      <c r="GK140" s="178" t="str">
        <f t="shared" si="706"/>
        <v/>
      </c>
      <c r="GL140" s="178" t="str">
        <f t="shared" si="875"/>
        <v/>
      </c>
      <c r="GM140" s="181" t="str">
        <f t="shared" si="876"/>
        <v/>
      </c>
      <c r="GN140" s="291" t="str">
        <f t="shared" si="877"/>
        <v/>
      </c>
      <c r="GO140" s="4" t="str">
        <f t="shared" si="878"/>
        <v/>
      </c>
      <c r="GP140" s="8" t="str">
        <f t="shared" si="879"/>
        <v/>
      </c>
      <c r="GQ140" s="181" t="str">
        <f t="shared" si="880"/>
        <v/>
      </c>
      <c r="GR140" s="417" t="str">
        <f t="shared" si="881"/>
        <v/>
      </c>
      <c r="GS140" s="363" t="str">
        <f t="shared" si="882"/>
        <v/>
      </c>
      <c r="GT140" s="364" t="str">
        <f t="shared" si="883"/>
        <v/>
      </c>
      <c r="GU140" s="365" t="str">
        <f t="shared" si="709"/>
        <v/>
      </c>
      <c r="GV140" s="364" t="str">
        <f t="shared" si="884"/>
        <v/>
      </c>
      <c r="GW140" s="366" t="str">
        <f t="shared" si="710"/>
        <v/>
      </c>
      <c r="GX140" s="367" t="str">
        <f t="shared" si="711"/>
        <v/>
      </c>
      <c r="GY140" s="365" t="str">
        <f t="shared" si="885"/>
        <v/>
      </c>
      <c r="GZ140" s="366" t="str">
        <f t="shared" si="886"/>
        <v/>
      </c>
      <c r="HA140" s="363" t="str">
        <f t="shared" si="714"/>
        <v/>
      </c>
      <c r="HB140" s="5" t="str">
        <f t="shared" si="641"/>
        <v/>
      </c>
      <c r="HC140" s="364" t="str">
        <f t="shared" si="887"/>
        <v/>
      </c>
      <c r="HD140" s="405" t="str">
        <f t="shared" si="888"/>
        <v/>
      </c>
      <c r="HE140" s="365" t="str">
        <f t="shared" si="715"/>
        <v/>
      </c>
      <c r="HF140" s="5" t="str">
        <f t="shared" si="716"/>
        <v/>
      </c>
      <c r="HG140" s="364" t="str">
        <f t="shared" si="889"/>
        <v/>
      </c>
      <c r="HH140" s="370" t="str">
        <f t="shared" si="890"/>
        <v/>
      </c>
      <c r="HI140" s="335" t="str">
        <f t="shared" si="917"/>
        <v/>
      </c>
      <c r="HK140" s="323" t="str">
        <f t="shared" si="891"/>
        <v/>
      </c>
      <c r="HL140" s="322" t="str">
        <f t="shared" si="892"/>
        <v/>
      </c>
      <c r="HM140" s="369" t="str">
        <f t="shared" si="893"/>
        <v/>
      </c>
      <c r="HN140" s="384" t="str">
        <f t="shared" si="893"/>
        <v/>
      </c>
      <c r="HO140" s="385" t="str">
        <f t="shared" si="893"/>
        <v/>
      </c>
      <c r="HP140" s="380" t="str">
        <f t="shared" si="893"/>
        <v/>
      </c>
      <c r="HQ140" s="384" t="str">
        <f t="shared" si="893"/>
        <v/>
      </c>
      <c r="HR140" s="395" t="str">
        <f t="shared" si="893"/>
        <v/>
      </c>
      <c r="HS140" s="379" t="str">
        <f t="shared" si="893"/>
        <v/>
      </c>
      <c r="HT140" s="374" t="str">
        <f t="shared" si="893"/>
        <v/>
      </c>
      <c r="HU140" s="375" t="str">
        <f t="shared" si="893"/>
        <v/>
      </c>
      <c r="HV140" s="376" t="str">
        <f t="shared" si="893"/>
        <v/>
      </c>
      <c r="HW140" s="374" t="str">
        <f t="shared" si="893"/>
        <v/>
      </c>
      <c r="HX140" s="375" t="str">
        <f t="shared" si="893"/>
        <v/>
      </c>
      <c r="HY140" s="376" t="str">
        <f t="shared" si="893"/>
        <v/>
      </c>
      <c r="HZ140" s="374" t="str">
        <f t="shared" si="893"/>
        <v/>
      </c>
      <c r="IA140" s="375" t="str">
        <f t="shared" si="893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23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21"/>
        <v/>
      </c>
      <c r="IK140" s="533" t="str">
        <f t="shared" si="918"/>
        <v/>
      </c>
      <c r="IL140" s="727" t="str">
        <f t="shared" si="651"/>
        <v/>
      </c>
      <c r="IM140" s="759"/>
      <c r="IN140" s="5" t="str">
        <f t="shared" si="652"/>
        <v/>
      </c>
      <c r="IO140" s="771"/>
      <c r="IP140" s="9" t="str">
        <f t="shared" si="653"/>
        <v/>
      </c>
      <c r="IQ140" s="5" t="str">
        <f t="shared" si="654"/>
        <v/>
      </c>
      <c r="IR140" s="5" t="str">
        <f t="shared" si="919"/>
        <v/>
      </c>
      <c r="IS140" s="5" t="str">
        <f t="shared" si="655"/>
        <v/>
      </c>
      <c r="IT140" s="727" t="str">
        <f t="shared" si="656"/>
        <v/>
      </c>
      <c r="IU140" s="9" t="str">
        <f t="shared" si="657"/>
        <v/>
      </c>
      <c r="IV140" s="5" t="str">
        <f t="shared" si="658"/>
        <v/>
      </c>
      <c r="IW140" s="5" t="str">
        <f t="shared" si="920"/>
        <v/>
      </c>
      <c r="IX140" s="5" t="str">
        <f t="shared" si="659"/>
        <v/>
      </c>
      <c r="IY140" s="762" t="str">
        <f t="shared" si="660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94"/>
        <v/>
      </c>
      <c r="N141" s="638" t="str">
        <f t="shared" si="895"/>
        <v/>
      </c>
      <c r="O141" s="639" t="str">
        <f t="shared" si="896"/>
        <v/>
      </c>
      <c r="P141" s="640" t="str">
        <f t="shared" si="897"/>
        <v/>
      </c>
      <c r="Q141" s="593" t="str">
        <f t="shared" si="749"/>
        <v/>
      </c>
      <c r="R141" s="639" t="str">
        <f t="shared" si="750"/>
        <v/>
      </c>
      <c r="S141" s="641" t="str">
        <f t="shared" si="751"/>
        <v/>
      </c>
      <c r="T141" s="642" t="str">
        <f t="shared" si="752"/>
        <v/>
      </c>
      <c r="U141" s="639" t="str">
        <f t="shared" si="753"/>
        <v/>
      </c>
      <c r="V141" s="643" t="str">
        <f t="shared" si="754"/>
        <v/>
      </c>
      <c r="W141" s="593" t="str">
        <f t="shared" si="755"/>
        <v/>
      </c>
      <c r="X141" s="639" t="str">
        <f t="shared" si="756"/>
        <v/>
      </c>
      <c r="Y141" s="644" t="str">
        <f t="shared" si="757"/>
        <v/>
      </c>
      <c r="Z141" s="638" t="str">
        <f t="shared" si="898"/>
        <v/>
      </c>
      <c r="AA141" s="639" t="str">
        <f t="shared" si="899"/>
        <v/>
      </c>
      <c r="AB141" s="639" t="str">
        <f t="shared" si="900"/>
        <v/>
      </c>
      <c r="AC141" s="643" t="str">
        <f t="shared" si="758"/>
        <v/>
      </c>
      <c r="AD141" s="645" t="str">
        <f t="shared" si="759"/>
        <v/>
      </c>
      <c r="AE141" s="639" t="str">
        <f t="shared" si="760"/>
        <v/>
      </c>
      <c r="AF141" s="640" t="str">
        <f t="shared" si="761"/>
        <v/>
      </c>
      <c r="AG141" s="604" t="str">
        <f t="shared" si="762"/>
        <v/>
      </c>
      <c r="AH141" s="605" t="str">
        <f t="shared" si="763"/>
        <v/>
      </c>
      <c r="AI141" s="593" t="str">
        <f t="shared" si="764"/>
        <v/>
      </c>
      <c r="AJ141" s="594" t="str">
        <f t="shared" si="765"/>
        <v/>
      </c>
      <c r="AK141" s="642" t="str">
        <f t="shared" si="766"/>
        <v/>
      </c>
      <c r="AL141" s="639" t="str">
        <f t="shared" si="767"/>
        <v/>
      </c>
      <c r="AM141" s="641" t="str">
        <f t="shared" si="768"/>
        <v/>
      </c>
      <c r="AN141" s="591" t="str">
        <f t="shared" si="769"/>
        <v/>
      </c>
      <c r="AO141" s="592" t="str">
        <f t="shared" si="748"/>
        <v/>
      </c>
      <c r="AP141" s="593" t="str">
        <f t="shared" si="770"/>
        <v/>
      </c>
      <c r="AQ141" s="594" t="str">
        <f t="shared" si="901"/>
        <v/>
      </c>
      <c r="AS141" s="555" t="str">
        <f t="shared" si="922"/>
        <v/>
      </c>
      <c r="AT141" s="556" t="str">
        <f t="shared" si="902"/>
        <v/>
      </c>
      <c r="AU141" s="469"/>
      <c r="AV141" s="168" t="str">
        <f t="shared" si="903"/>
        <v/>
      </c>
      <c r="AW141" s="557"/>
      <c r="AX141" s="49"/>
      <c r="AY141" s="242"/>
      <c r="AZ141" s="308" t="str">
        <f t="shared" si="771"/>
        <v/>
      </c>
      <c r="BA141" s="558" t="str">
        <f t="shared" si="772"/>
        <v/>
      </c>
      <c r="BB141" s="559" t="str">
        <f t="shared" si="524"/>
        <v/>
      </c>
      <c r="BC141" s="547"/>
      <c r="BD141" s="545" t="str">
        <f t="shared" si="773"/>
        <v/>
      </c>
      <c r="BE141" s="548" t="str">
        <f t="shared" si="904"/>
        <v/>
      </c>
      <c r="BF141" s="549" t="str">
        <f t="shared" si="905"/>
        <v/>
      </c>
      <c r="BG141" s="545" t="str">
        <f t="shared" si="906"/>
        <v/>
      </c>
      <c r="BH141" s="546" t="str">
        <f t="shared" si="907"/>
        <v/>
      </c>
      <c r="BI141" s="547" t="str">
        <f t="shared" si="774"/>
        <v/>
      </c>
      <c r="BJ141" s="545" t="str">
        <f t="shared" si="908"/>
        <v/>
      </c>
      <c r="BK141" s="550" t="str">
        <f t="shared" si="909"/>
        <v/>
      </c>
      <c r="BL141" s="553" t="str">
        <f t="shared" si="910"/>
        <v/>
      </c>
      <c r="BM141" s="545" t="str">
        <f t="shared" si="911"/>
        <v/>
      </c>
      <c r="BN141" s="548" t="str">
        <f t="shared" si="912"/>
        <v/>
      </c>
      <c r="BO141" s="549" t="str">
        <f t="shared" si="775"/>
        <v/>
      </c>
      <c r="BP141" s="545" t="str">
        <f t="shared" si="776"/>
        <v/>
      </c>
      <c r="BQ141" s="545" t="str">
        <f t="shared" si="777"/>
        <v/>
      </c>
      <c r="BR141" s="548" t="str">
        <f t="shared" si="778"/>
        <v/>
      </c>
      <c r="BS141" s="549" t="str">
        <f t="shared" si="740"/>
        <v/>
      </c>
      <c r="BT141" s="545" t="str">
        <f t="shared" si="740"/>
        <v/>
      </c>
      <c r="BU141" s="546" t="str">
        <f t="shared" si="527"/>
        <v/>
      </c>
      <c r="BV141" s="547" t="str">
        <f t="shared" si="528"/>
        <v/>
      </c>
      <c r="BW141" s="545" t="str">
        <f t="shared" si="529"/>
        <v/>
      </c>
      <c r="BX141" s="550" t="str">
        <f t="shared" si="530"/>
        <v/>
      </c>
      <c r="BY141" s="553" t="str">
        <f t="shared" si="531"/>
        <v/>
      </c>
      <c r="BZ141" s="545" t="str">
        <f t="shared" si="532"/>
        <v/>
      </c>
      <c r="CA141" s="548" t="str">
        <f t="shared" si="533"/>
        <v/>
      </c>
      <c r="CB141" s="549" t="str">
        <f t="shared" si="779"/>
        <v/>
      </c>
      <c r="CC141" s="545" t="str">
        <f t="shared" si="780"/>
        <v/>
      </c>
      <c r="CD141" s="545" t="str">
        <f t="shared" si="781"/>
        <v/>
      </c>
      <c r="CE141" s="548" t="str">
        <f t="shared" si="782"/>
        <v/>
      </c>
      <c r="CF141" s="549" t="str">
        <f t="shared" si="783"/>
        <v/>
      </c>
      <c r="CG141" s="545" t="str">
        <f t="shared" si="784"/>
        <v/>
      </c>
      <c r="CH141" s="545" t="str">
        <f t="shared" si="785"/>
        <v/>
      </c>
      <c r="CI141" s="549" t="str">
        <f t="shared" si="534"/>
        <v/>
      </c>
      <c r="CJ141" s="545" t="str">
        <f t="shared" si="786"/>
        <v/>
      </c>
      <c r="CK141" s="550" t="str">
        <f t="shared" si="787"/>
        <v/>
      </c>
      <c r="CL141" s="553" t="str">
        <f t="shared" si="788"/>
        <v/>
      </c>
      <c r="CM141" s="545" t="str">
        <f t="shared" si="789"/>
        <v/>
      </c>
      <c r="CN141" s="548" t="str">
        <f t="shared" si="790"/>
        <v/>
      </c>
      <c r="CO141" s="560" t="str">
        <f t="shared" si="913"/>
        <v/>
      </c>
      <c r="CP141" s="549" t="str">
        <f t="shared" si="791"/>
        <v/>
      </c>
      <c r="CQ141" s="545" t="str">
        <f t="shared" si="792"/>
        <v/>
      </c>
      <c r="CR141" s="545" t="str">
        <f t="shared" si="793"/>
        <v/>
      </c>
      <c r="CS141" s="550" t="str">
        <f t="shared" si="794"/>
        <v/>
      </c>
      <c r="CT141" s="547" t="str">
        <f t="shared" si="795"/>
        <v/>
      </c>
      <c r="CU141" s="548" t="str">
        <f t="shared" si="796"/>
        <v/>
      </c>
      <c r="CV141" s="549" t="str">
        <f t="shared" si="797"/>
        <v/>
      </c>
      <c r="CW141" s="545" t="str">
        <f t="shared" si="798"/>
        <v/>
      </c>
      <c r="CX141" s="550" t="str">
        <f t="shared" si="799"/>
        <v/>
      </c>
      <c r="CY141" s="547" t="str">
        <f t="shared" si="800"/>
        <v/>
      </c>
      <c r="CZ141" s="545" t="str">
        <f t="shared" si="801"/>
        <v/>
      </c>
      <c r="DA141" s="548" t="str">
        <f t="shared" si="802"/>
        <v/>
      </c>
      <c r="DB141" s="549" t="str">
        <f t="shared" si="743"/>
        <v/>
      </c>
      <c r="DC141" s="545" t="str">
        <f t="shared" si="743"/>
        <v/>
      </c>
      <c r="DD141" s="546" t="str">
        <f t="shared" si="573"/>
        <v/>
      </c>
      <c r="DE141" s="547" t="str">
        <f t="shared" si="744"/>
        <v/>
      </c>
      <c r="DF141" s="545" t="str">
        <f t="shared" si="744"/>
        <v/>
      </c>
      <c r="DG141" s="546" t="str">
        <f t="shared" si="575"/>
        <v/>
      </c>
      <c r="DH141" s="552" t="str">
        <f t="shared" si="803"/>
        <v/>
      </c>
      <c r="DI141" s="549" t="str">
        <f t="shared" si="804"/>
        <v/>
      </c>
      <c r="DJ141" s="545" t="str">
        <f t="shared" si="805"/>
        <v/>
      </c>
      <c r="DK141" s="546" t="str">
        <f t="shared" si="806"/>
        <v/>
      </c>
      <c r="DL141" s="547" t="str">
        <f t="shared" si="807"/>
        <v/>
      </c>
      <c r="DM141" s="553" t="str">
        <f t="shared" si="808"/>
        <v/>
      </c>
      <c r="DN141" s="561" t="str">
        <f t="shared" si="809"/>
        <v/>
      </c>
      <c r="DO141" s="547" t="str">
        <f t="shared" si="810"/>
        <v/>
      </c>
      <c r="DP141" s="553" t="str">
        <f t="shared" si="811"/>
        <v/>
      </c>
      <c r="DQ141" s="554" t="str">
        <f t="shared" si="812"/>
        <v/>
      </c>
      <c r="DR141" s="553" t="str">
        <f t="shared" si="813"/>
        <v/>
      </c>
      <c r="DS141" s="545" t="str">
        <f t="shared" si="814"/>
        <v/>
      </c>
      <c r="DT141" s="545" t="str">
        <f t="shared" si="815"/>
        <v/>
      </c>
      <c r="DU141" s="545" t="str">
        <f t="shared" si="816"/>
        <v/>
      </c>
      <c r="DV141" s="545" t="str">
        <f t="shared" si="817"/>
        <v/>
      </c>
      <c r="DW141" s="545" t="str">
        <f t="shared" si="818"/>
        <v/>
      </c>
      <c r="DX141" s="560" t="str">
        <f t="shared" si="819"/>
        <v/>
      </c>
      <c r="DY141" s="547" t="str">
        <f t="shared" si="820"/>
        <v/>
      </c>
      <c r="DZ141" s="545" t="str">
        <f t="shared" si="821"/>
        <v/>
      </c>
      <c r="EA141" s="546" t="str">
        <f t="shared" si="822"/>
        <v/>
      </c>
      <c r="EB141" s="548" t="str">
        <f t="shared" si="823"/>
        <v/>
      </c>
      <c r="EC141" s="553" t="str">
        <f t="shared" si="824"/>
        <v/>
      </c>
      <c r="ED141" s="545" t="str">
        <f t="shared" si="825"/>
        <v/>
      </c>
      <c r="EE141" s="549" t="str">
        <f t="shared" si="826"/>
        <v/>
      </c>
      <c r="EF141" s="545" t="str">
        <f t="shared" si="827"/>
        <v/>
      </c>
      <c r="EG141" s="546" t="str">
        <f t="shared" si="828"/>
        <v/>
      </c>
      <c r="EH141" s="547" t="str">
        <f t="shared" si="829"/>
        <v/>
      </c>
      <c r="EI141" s="545" t="str">
        <f t="shared" si="830"/>
        <v/>
      </c>
      <c r="EJ141" s="548" t="str">
        <f t="shared" si="831"/>
        <v/>
      </c>
      <c r="EK141" s="562" t="str">
        <f t="shared" si="605"/>
        <v/>
      </c>
      <c r="EL141" s="563" t="str">
        <f t="shared" si="606"/>
        <v/>
      </c>
      <c r="EM141" s="549" t="str">
        <f t="shared" si="832"/>
        <v/>
      </c>
      <c r="EN141" s="545" t="str">
        <f t="shared" si="833"/>
        <v/>
      </c>
      <c r="EO141" s="546" t="str">
        <f t="shared" si="834"/>
        <v/>
      </c>
      <c r="EP141" s="547" t="str">
        <f t="shared" si="835"/>
        <v/>
      </c>
      <c r="EQ141" s="545" t="str">
        <f t="shared" si="836"/>
        <v/>
      </c>
      <c r="ER141" s="551" t="str">
        <f t="shared" si="837"/>
        <v/>
      </c>
      <c r="ES141" s="544" t="str">
        <f t="shared" si="914"/>
        <v/>
      </c>
      <c r="ET141" s="545" t="str">
        <f t="shared" si="915"/>
        <v/>
      </c>
      <c r="EU141" s="546" t="str">
        <f t="shared" si="916"/>
        <v/>
      </c>
      <c r="EV141" s="178" t="str">
        <f t="shared" si="838"/>
        <v/>
      </c>
      <c r="EW141" s="547" t="str">
        <f t="shared" si="839"/>
        <v/>
      </c>
      <c r="EX141" s="545" t="str">
        <f t="shared" si="840"/>
        <v/>
      </c>
      <c r="EY141" s="548" t="str">
        <f t="shared" si="841"/>
        <v/>
      </c>
      <c r="EZ141" s="555" t="str">
        <f t="shared" si="614"/>
        <v/>
      </c>
      <c r="FA141" s="553" t="str">
        <f t="shared" si="692"/>
        <v/>
      </c>
      <c r="FB141" s="545" t="str">
        <f t="shared" si="693"/>
        <v/>
      </c>
      <c r="FC141" s="548" t="str">
        <f t="shared" si="694"/>
        <v/>
      </c>
      <c r="FD141" s="549" t="str">
        <f t="shared" si="842"/>
        <v/>
      </c>
      <c r="FE141" s="545" t="str">
        <f t="shared" si="843"/>
        <v/>
      </c>
      <c r="FF141" s="551" t="str">
        <f t="shared" si="844"/>
        <v/>
      </c>
      <c r="FG141" s="177" t="str">
        <f t="shared" si="845"/>
        <v/>
      </c>
      <c r="FH141" s="5" t="str">
        <f t="shared" si="846"/>
        <v/>
      </c>
      <c r="FI141" s="10" t="str">
        <f t="shared" si="847"/>
        <v/>
      </c>
      <c r="FJ141" s="290" t="str">
        <f t="shared" si="848"/>
        <v/>
      </c>
      <c r="FK141" s="4" t="str">
        <f t="shared" si="849"/>
        <v/>
      </c>
      <c r="FL141" s="5" t="str">
        <f t="shared" si="850"/>
        <v/>
      </c>
      <c r="FM141" s="8" t="str">
        <f t="shared" si="851"/>
        <v/>
      </c>
      <c r="FN141" s="9" t="str">
        <f t="shared" si="852"/>
        <v/>
      </c>
      <c r="FO141" s="10" t="str">
        <f t="shared" si="853"/>
        <v/>
      </c>
      <c r="FP141" s="288" t="str">
        <f t="shared" si="854"/>
        <v/>
      </c>
      <c r="FQ141" s="177" t="str">
        <f t="shared" si="855"/>
        <v/>
      </c>
      <c r="FR141" s="10" t="str">
        <f t="shared" si="856"/>
        <v/>
      </c>
      <c r="FS141" s="9" t="str">
        <f t="shared" si="857"/>
        <v/>
      </c>
      <c r="FT141" s="6" t="str">
        <f t="shared" si="858"/>
        <v/>
      </c>
      <c r="FU141" s="4" t="str">
        <f t="shared" si="859"/>
        <v/>
      </c>
      <c r="FV141" s="5" t="str">
        <f t="shared" si="860"/>
        <v/>
      </c>
      <c r="FW141" s="8" t="str">
        <f t="shared" si="861"/>
        <v/>
      </c>
      <c r="FX141" s="9" t="str">
        <f t="shared" si="862"/>
        <v/>
      </c>
      <c r="FY141" s="10" t="str">
        <f t="shared" si="863"/>
        <v/>
      </c>
      <c r="FZ141" s="288" t="str">
        <f t="shared" si="864"/>
        <v/>
      </c>
      <c r="GA141" s="181" t="str">
        <f t="shared" si="865"/>
        <v/>
      </c>
      <c r="GB141" s="4" t="str">
        <f t="shared" si="866"/>
        <v/>
      </c>
      <c r="GC141" s="5" t="str">
        <f t="shared" si="867"/>
        <v/>
      </c>
      <c r="GD141" s="10" t="str">
        <f t="shared" si="868"/>
        <v/>
      </c>
      <c r="GE141" s="324" t="str">
        <f t="shared" si="869"/>
        <v/>
      </c>
      <c r="GF141" s="362" t="str">
        <f t="shared" si="870"/>
        <v/>
      </c>
      <c r="GG141" s="317" t="str">
        <f t="shared" si="871"/>
        <v/>
      </c>
      <c r="GH141" s="318" t="str">
        <f t="shared" si="872"/>
        <v/>
      </c>
      <c r="GI141" s="319" t="str">
        <f t="shared" si="873"/>
        <v/>
      </c>
      <c r="GJ141" s="171" t="str">
        <f t="shared" si="874"/>
        <v/>
      </c>
      <c r="GK141" s="178" t="str">
        <f t="shared" si="706"/>
        <v/>
      </c>
      <c r="GL141" s="178" t="str">
        <f t="shared" si="875"/>
        <v/>
      </c>
      <c r="GM141" s="181" t="str">
        <f t="shared" si="876"/>
        <v/>
      </c>
      <c r="GN141" s="291" t="str">
        <f t="shared" si="877"/>
        <v/>
      </c>
      <c r="GO141" s="4" t="str">
        <f t="shared" si="878"/>
        <v/>
      </c>
      <c r="GP141" s="8" t="str">
        <f t="shared" si="879"/>
        <v/>
      </c>
      <c r="GQ141" s="181" t="str">
        <f t="shared" si="880"/>
        <v/>
      </c>
      <c r="GR141" s="417" t="str">
        <f t="shared" si="881"/>
        <v/>
      </c>
      <c r="GS141" s="363" t="str">
        <f t="shared" si="882"/>
        <v/>
      </c>
      <c r="GT141" s="364" t="str">
        <f t="shared" si="883"/>
        <v/>
      </c>
      <c r="GU141" s="365" t="str">
        <f t="shared" si="709"/>
        <v/>
      </c>
      <c r="GV141" s="364" t="str">
        <f t="shared" si="884"/>
        <v/>
      </c>
      <c r="GW141" s="366" t="str">
        <f t="shared" si="710"/>
        <v/>
      </c>
      <c r="GX141" s="367" t="str">
        <f t="shared" si="711"/>
        <v/>
      </c>
      <c r="GY141" s="365" t="str">
        <f t="shared" si="885"/>
        <v/>
      </c>
      <c r="GZ141" s="366" t="str">
        <f t="shared" si="886"/>
        <v/>
      </c>
      <c r="HA141" s="363" t="str">
        <f t="shared" si="714"/>
        <v/>
      </c>
      <c r="HB141" s="5" t="str">
        <f t="shared" si="641"/>
        <v/>
      </c>
      <c r="HC141" s="364" t="str">
        <f t="shared" si="887"/>
        <v/>
      </c>
      <c r="HD141" s="405" t="str">
        <f t="shared" si="888"/>
        <v/>
      </c>
      <c r="HE141" s="365" t="str">
        <f t="shared" si="715"/>
        <v/>
      </c>
      <c r="HF141" s="5" t="str">
        <f t="shared" si="716"/>
        <v/>
      </c>
      <c r="HG141" s="364" t="str">
        <f t="shared" si="889"/>
        <v/>
      </c>
      <c r="HH141" s="370" t="str">
        <f t="shared" si="890"/>
        <v/>
      </c>
      <c r="HI141" s="335" t="str">
        <f t="shared" si="917"/>
        <v/>
      </c>
      <c r="HK141" s="323" t="str">
        <f t="shared" si="891"/>
        <v/>
      </c>
      <c r="HL141" s="322" t="str">
        <f t="shared" si="892"/>
        <v/>
      </c>
      <c r="HM141" s="369" t="str">
        <f t="shared" si="893"/>
        <v/>
      </c>
      <c r="HN141" s="384" t="str">
        <f t="shared" si="893"/>
        <v/>
      </c>
      <c r="HO141" s="385" t="str">
        <f t="shared" si="893"/>
        <v/>
      </c>
      <c r="HP141" s="380" t="str">
        <f t="shared" si="893"/>
        <v/>
      </c>
      <c r="HQ141" s="384" t="str">
        <f t="shared" si="893"/>
        <v/>
      </c>
      <c r="HR141" s="395" t="str">
        <f t="shared" si="893"/>
        <v/>
      </c>
      <c r="HS141" s="379" t="str">
        <f t="shared" si="893"/>
        <v/>
      </c>
      <c r="HT141" s="374" t="str">
        <f t="shared" si="893"/>
        <v/>
      </c>
      <c r="HU141" s="375" t="str">
        <f t="shared" si="893"/>
        <v/>
      </c>
      <c r="HV141" s="376" t="str">
        <f t="shared" si="893"/>
        <v/>
      </c>
      <c r="HW141" s="374" t="str">
        <f t="shared" si="893"/>
        <v/>
      </c>
      <c r="HX141" s="375" t="str">
        <f t="shared" si="893"/>
        <v/>
      </c>
      <c r="HY141" s="376" t="str">
        <f t="shared" si="893"/>
        <v/>
      </c>
      <c r="HZ141" s="374" t="str">
        <f t="shared" si="893"/>
        <v/>
      </c>
      <c r="IA141" s="375" t="str">
        <f t="shared" si="893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23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21"/>
        <v/>
      </c>
      <c r="IK141" s="533" t="str">
        <f t="shared" si="918"/>
        <v/>
      </c>
      <c r="IL141" s="727" t="str">
        <f t="shared" si="651"/>
        <v/>
      </c>
      <c r="IM141" s="759"/>
      <c r="IN141" s="5" t="str">
        <f t="shared" si="652"/>
        <v/>
      </c>
      <c r="IO141" s="771"/>
      <c r="IP141" s="9" t="str">
        <f t="shared" si="653"/>
        <v/>
      </c>
      <c r="IQ141" s="5" t="str">
        <f t="shared" si="654"/>
        <v/>
      </c>
      <c r="IR141" s="5" t="str">
        <f t="shared" si="919"/>
        <v/>
      </c>
      <c r="IS141" s="5" t="str">
        <f t="shared" si="655"/>
        <v/>
      </c>
      <c r="IT141" s="727" t="str">
        <f t="shared" si="656"/>
        <v/>
      </c>
      <c r="IU141" s="9" t="str">
        <f t="shared" si="657"/>
        <v/>
      </c>
      <c r="IV141" s="5" t="str">
        <f t="shared" si="658"/>
        <v/>
      </c>
      <c r="IW141" s="5" t="str">
        <f t="shared" si="920"/>
        <v/>
      </c>
      <c r="IX141" s="5" t="str">
        <f t="shared" si="659"/>
        <v/>
      </c>
      <c r="IY141" s="762" t="str">
        <f t="shared" si="660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94"/>
        <v/>
      </c>
      <c r="N142" s="638" t="str">
        <f t="shared" si="895"/>
        <v/>
      </c>
      <c r="O142" s="639" t="str">
        <f t="shared" si="896"/>
        <v/>
      </c>
      <c r="P142" s="640" t="str">
        <f t="shared" si="897"/>
        <v/>
      </c>
      <c r="Q142" s="593" t="str">
        <f t="shared" si="749"/>
        <v/>
      </c>
      <c r="R142" s="639" t="str">
        <f t="shared" si="750"/>
        <v/>
      </c>
      <c r="S142" s="641" t="str">
        <f t="shared" si="751"/>
        <v/>
      </c>
      <c r="T142" s="642" t="str">
        <f t="shared" si="752"/>
        <v/>
      </c>
      <c r="U142" s="639" t="str">
        <f t="shared" si="753"/>
        <v/>
      </c>
      <c r="V142" s="643" t="str">
        <f t="shared" si="754"/>
        <v/>
      </c>
      <c r="W142" s="593" t="str">
        <f t="shared" si="755"/>
        <v/>
      </c>
      <c r="X142" s="639" t="str">
        <f t="shared" si="756"/>
        <v/>
      </c>
      <c r="Y142" s="644" t="str">
        <f t="shared" si="757"/>
        <v/>
      </c>
      <c r="Z142" s="638" t="str">
        <f t="shared" si="898"/>
        <v/>
      </c>
      <c r="AA142" s="639" t="str">
        <f t="shared" si="899"/>
        <v/>
      </c>
      <c r="AB142" s="639" t="str">
        <f t="shared" si="900"/>
        <v/>
      </c>
      <c r="AC142" s="643" t="str">
        <f t="shared" si="758"/>
        <v/>
      </c>
      <c r="AD142" s="645" t="str">
        <f t="shared" si="759"/>
        <v/>
      </c>
      <c r="AE142" s="639" t="str">
        <f t="shared" si="760"/>
        <v/>
      </c>
      <c r="AF142" s="640" t="str">
        <f t="shared" si="761"/>
        <v/>
      </c>
      <c r="AG142" s="604" t="str">
        <f t="shared" si="762"/>
        <v/>
      </c>
      <c r="AH142" s="605" t="str">
        <f t="shared" si="763"/>
        <v/>
      </c>
      <c r="AI142" s="593" t="str">
        <f t="shared" si="764"/>
        <v/>
      </c>
      <c r="AJ142" s="594" t="str">
        <f t="shared" si="765"/>
        <v/>
      </c>
      <c r="AK142" s="642" t="str">
        <f t="shared" si="766"/>
        <v/>
      </c>
      <c r="AL142" s="639" t="str">
        <f t="shared" si="767"/>
        <v/>
      </c>
      <c r="AM142" s="641" t="str">
        <f t="shared" si="768"/>
        <v/>
      </c>
      <c r="AN142" s="591" t="str">
        <f t="shared" si="769"/>
        <v/>
      </c>
      <c r="AO142" s="592" t="str">
        <f t="shared" si="748"/>
        <v/>
      </c>
      <c r="AP142" s="593" t="str">
        <f t="shared" si="770"/>
        <v/>
      </c>
      <c r="AQ142" s="594" t="str">
        <f t="shared" si="901"/>
        <v/>
      </c>
      <c r="AS142" s="555" t="str">
        <f t="shared" si="922"/>
        <v/>
      </c>
      <c r="AT142" s="556" t="str">
        <f t="shared" si="902"/>
        <v/>
      </c>
      <c r="AU142" s="469"/>
      <c r="AV142" s="168" t="str">
        <f t="shared" si="903"/>
        <v/>
      </c>
      <c r="AW142" s="557"/>
      <c r="AX142" s="49"/>
      <c r="AY142" s="242"/>
      <c r="AZ142" s="308" t="str">
        <f t="shared" si="771"/>
        <v/>
      </c>
      <c r="BA142" s="558" t="str">
        <f t="shared" si="772"/>
        <v/>
      </c>
      <c r="BB142" s="559" t="str">
        <f t="shared" si="524"/>
        <v/>
      </c>
      <c r="BC142" s="547"/>
      <c r="BD142" s="545" t="str">
        <f t="shared" si="773"/>
        <v/>
      </c>
      <c r="BE142" s="548" t="str">
        <f t="shared" si="904"/>
        <v/>
      </c>
      <c r="BF142" s="549" t="str">
        <f t="shared" si="905"/>
        <v/>
      </c>
      <c r="BG142" s="545" t="str">
        <f t="shared" si="906"/>
        <v/>
      </c>
      <c r="BH142" s="546" t="str">
        <f t="shared" si="907"/>
        <v/>
      </c>
      <c r="BI142" s="547" t="str">
        <f t="shared" si="774"/>
        <v/>
      </c>
      <c r="BJ142" s="545" t="str">
        <f t="shared" si="908"/>
        <v/>
      </c>
      <c r="BK142" s="550" t="str">
        <f t="shared" si="909"/>
        <v/>
      </c>
      <c r="BL142" s="553" t="str">
        <f t="shared" si="910"/>
        <v/>
      </c>
      <c r="BM142" s="545" t="str">
        <f t="shared" si="911"/>
        <v/>
      </c>
      <c r="BN142" s="548" t="str">
        <f t="shared" si="912"/>
        <v/>
      </c>
      <c r="BO142" s="549" t="str">
        <f t="shared" si="775"/>
        <v/>
      </c>
      <c r="BP142" s="545" t="str">
        <f t="shared" si="776"/>
        <v/>
      </c>
      <c r="BQ142" s="545" t="str">
        <f t="shared" si="777"/>
        <v/>
      </c>
      <c r="BR142" s="548" t="str">
        <f t="shared" si="778"/>
        <v/>
      </c>
      <c r="BS142" s="549" t="str">
        <f t="shared" si="740"/>
        <v/>
      </c>
      <c r="BT142" s="545" t="str">
        <f t="shared" si="740"/>
        <v/>
      </c>
      <c r="BU142" s="546" t="str">
        <f t="shared" si="527"/>
        <v/>
      </c>
      <c r="BV142" s="547" t="str">
        <f t="shared" si="528"/>
        <v/>
      </c>
      <c r="BW142" s="545" t="str">
        <f t="shared" si="529"/>
        <v/>
      </c>
      <c r="BX142" s="550" t="str">
        <f t="shared" si="530"/>
        <v/>
      </c>
      <c r="BY142" s="553" t="str">
        <f t="shared" si="531"/>
        <v/>
      </c>
      <c r="BZ142" s="545" t="str">
        <f t="shared" si="532"/>
        <v/>
      </c>
      <c r="CA142" s="548" t="str">
        <f t="shared" si="533"/>
        <v/>
      </c>
      <c r="CB142" s="549" t="str">
        <f t="shared" si="779"/>
        <v/>
      </c>
      <c r="CC142" s="545" t="str">
        <f t="shared" si="780"/>
        <v/>
      </c>
      <c r="CD142" s="545" t="str">
        <f t="shared" si="781"/>
        <v/>
      </c>
      <c r="CE142" s="548" t="str">
        <f t="shared" si="782"/>
        <v/>
      </c>
      <c r="CF142" s="549" t="str">
        <f t="shared" si="783"/>
        <v/>
      </c>
      <c r="CG142" s="545" t="str">
        <f t="shared" si="784"/>
        <v/>
      </c>
      <c r="CH142" s="545" t="str">
        <f t="shared" si="785"/>
        <v/>
      </c>
      <c r="CI142" s="549" t="str">
        <f t="shared" si="534"/>
        <v/>
      </c>
      <c r="CJ142" s="545" t="str">
        <f t="shared" si="786"/>
        <v/>
      </c>
      <c r="CK142" s="550" t="str">
        <f t="shared" si="787"/>
        <v/>
      </c>
      <c r="CL142" s="553" t="str">
        <f t="shared" si="788"/>
        <v/>
      </c>
      <c r="CM142" s="545" t="str">
        <f t="shared" si="789"/>
        <v/>
      </c>
      <c r="CN142" s="548" t="str">
        <f t="shared" si="790"/>
        <v/>
      </c>
      <c r="CO142" s="560" t="str">
        <f t="shared" si="913"/>
        <v/>
      </c>
      <c r="CP142" s="549" t="str">
        <f t="shared" si="791"/>
        <v/>
      </c>
      <c r="CQ142" s="545" t="str">
        <f t="shared" si="792"/>
        <v/>
      </c>
      <c r="CR142" s="545" t="str">
        <f t="shared" si="793"/>
        <v/>
      </c>
      <c r="CS142" s="550" t="str">
        <f t="shared" si="794"/>
        <v/>
      </c>
      <c r="CT142" s="547" t="str">
        <f t="shared" si="795"/>
        <v/>
      </c>
      <c r="CU142" s="548" t="str">
        <f t="shared" si="796"/>
        <v/>
      </c>
      <c r="CV142" s="549" t="str">
        <f t="shared" si="797"/>
        <v/>
      </c>
      <c r="CW142" s="545" t="str">
        <f t="shared" si="798"/>
        <v/>
      </c>
      <c r="CX142" s="550" t="str">
        <f t="shared" si="799"/>
        <v/>
      </c>
      <c r="CY142" s="547" t="str">
        <f t="shared" si="800"/>
        <v/>
      </c>
      <c r="CZ142" s="545" t="str">
        <f t="shared" si="801"/>
        <v/>
      </c>
      <c r="DA142" s="548" t="str">
        <f t="shared" si="802"/>
        <v/>
      </c>
      <c r="DB142" s="549" t="str">
        <f t="shared" si="743"/>
        <v/>
      </c>
      <c r="DC142" s="545" t="str">
        <f t="shared" si="743"/>
        <v/>
      </c>
      <c r="DD142" s="546" t="str">
        <f t="shared" si="573"/>
        <v/>
      </c>
      <c r="DE142" s="547" t="str">
        <f t="shared" si="744"/>
        <v/>
      </c>
      <c r="DF142" s="545" t="str">
        <f t="shared" si="744"/>
        <v/>
      </c>
      <c r="DG142" s="546" t="str">
        <f t="shared" si="575"/>
        <v/>
      </c>
      <c r="DH142" s="552" t="str">
        <f t="shared" si="803"/>
        <v/>
      </c>
      <c r="DI142" s="549" t="str">
        <f t="shared" si="804"/>
        <v/>
      </c>
      <c r="DJ142" s="545" t="str">
        <f t="shared" si="805"/>
        <v/>
      </c>
      <c r="DK142" s="546" t="str">
        <f t="shared" si="806"/>
        <v/>
      </c>
      <c r="DL142" s="547" t="str">
        <f t="shared" si="807"/>
        <v/>
      </c>
      <c r="DM142" s="553" t="str">
        <f t="shared" si="808"/>
        <v/>
      </c>
      <c r="DN142" s="561" t="str">
        <f t="shared" si="809"/>
        <v/>
      </c>
      <c r="DO142" s="547" t="str">
        <f t="shared" si="810"/>
        <v/>
      </c>
      <c r="DP142" s="553" t="str">
        <f t="shared" si="811"/>
        <v/>
      </c>
      <c r="DQ142" s="554" t="str">
        <f t="shared" si="812"/>
        <v/>
      </c>
      <c r="DR142" s="553" t="str">
        <f t="shared" si="813"/>
        <v/>
      </c>
      <c r="DS142" s="545" t="str">
        <f t="shared" si="814"/>
        <v/>
      </c>
      <c r="DT142" s="545" t="str">
        <f t="shared" si="815"/>
        <v/>
      </c>
      <c r="DU142" s="545" t="str">
        <f t="shared" si="816"/>
        <v/>
      </c>
      <c r="DV142" s="545" t="str">
        <f t="shared" si="817"/>
        <v/>
      </c>
      <c r="DW142" s="545" t="str">
        <f t="shared" si="818"/>
        <v/>
      </c>
      <c r="DX142" s="560" t="str">
        <f t="shared" si="819"/>
        <v/>
      </c>
      <c r="DY142" s="547" t="str">
        <f t="shared" si="820"/>
        <v/>
      </c>
      <c r="DZ142" s="545" t="str">
        <f t="shared" si="821"/>
        <v/>
      </c>
      <c r="EA142" s="546" t="str">
        <f t="shared" si="822"/>
        <v/>
      </c>
      <c r="EB142" s="548" t="str">
        <f t="shared" si="823"/>
        <v/>
      </c>
      <c r="EC142" s="553" t="str">
        <f t="shared" si="824"/>
        <v/>
      </c>
      <c r="ED142" s="545" t="str">
        <f t="shared" si="825"/>
        <v/>
      </c>
      <c r="EE142" s="549" t="str">
        <f t="shared" si="826"/>
        <v/>
      </c>
      <c r="EF142" s="545" t="str">
        <f t="shared" si="827"/>
        <v/>
      </c>
      <c r="EG142" s="546" t="str">
        <f t="shared" si="828"/>
        <v/>
      </c>
      <c r="EH142" s="547" t="str">
        <f t="shared" si="829"/>
        <v/>
      </c>
      <c r="EI142" s="545" t="str">
        <f t="shared" si="830"/>
        <v/>
      </c>
      <c r="EJ142" s="548" t="str">
        <f t="shared" si="831"/>
        <v/>
      </c>
      <c r="EK142" s="562" t="str">
        <f t="shared" si="605"/>
        <v/>
      </c>
      <c r="EL142" s="563" t="str">
        <f t="shared" si="606"/>
        <v/>
      </c>
      <c r="EM142" s="549" t="str">
        <f t="shared" si="832"/>
        <v/>
      </c>
      <c r="EN142" s="545" t="str">
        <f t="shared" si="833"/>
        <v/>
      </c>
      <c r="EO142" s="546" t="str">
        <f t="shared" si="834"/>
        <v/>
      </c>
      <c r="EP142" s="547" t="str">
        <f t="shared" si="835"/>
        <v/>
      </c>
      <c r="EQ142" s="545" t="str">
        <f t="shared" si="836"/>
        <v/>
      </c>
      <c r="ER142" s="551" t="str">
        <f t="shared" si="837"/>
        <v/>
      </c>
      <c r="ES142" s="544" t="str">
        <f t="shared" si="914"/>
        <v/>
      </c>
      <c r="ET142" s="545" t="str">
        <f t="shared" si="915"/>
        <v/>
      </c>
      <c r="EU142" s="546" t="str">
        <f t="shared" si="916"/>
        <v/>
      </c>
      <c r="EV142" s="178" t="str">
        <f t="shared" si="838"/>
        <v/>
      </c>
      <c r="EW142" s="547" t="str">
        <f t="shared" si="839"/>
        <v/>
      </c>
      <c r="EX142" s="545" t="str">
        <f t="shared" si="840"/>
        <v/>
      </c>
      <c r="EY142" s="548" t="str">
        <f t="shared" si="841"/>
        <v/>
      </c>
      <c r="EZ142" s="555" t="str">
        <f t="shared" si="614"/>
        <v/>
      </c>
      <c r="FA142" s="553" t="str">
        <f t="shared" si="692"/>
        <v/>
      </c>
      <c r="FB142" s="545" t="str">
        <f t="shared" si="693"/>
        <v/>
      </c>
      <c r="FC142" s="548" t="str">
        <f t="shared" si="694"/>
        <v/>
      </c>
      <c r="FD142" s="549" t="str">
        <f t="shared" si="842"/>
        <v/>
      </c>
      <c r="FE142" s="545" t="str">
        <f t="shared" si="843"/>
        <v/>
      </c>
      <c r="FF142" s="551" t="str">
        <f t="shared" si="844"/>
        <v/>
      </c>
      <c r="FG142" s="177" t="str">
        <f t="shared" si="845"/>
        <v/>
      </c>
      <c r="FH142" s="5" t="str">
        <f t="shared" si="846"/>
        <v/>
      </c>
      <c r="FI142" s="10" t="str">
        <f t="shared" si="847"/>
        <v/>
      </c>
      <c r="FJ142" s="290" t="str">
        <f t="shared" si="848"/>
        <v/>
      </c>
      <c r="FK142" s="4" t="str">
        <f t="shared" si="849"/>
        <v/>
      </c>
      <c r="FL142" s="5" t="str">
        <f t="shared" si="850"/>
        <v/>
      </c>
      <c r="FM142" s="8" t="str">
        <f t="shared" si="851"/>
        <v/>
      </c>
      <c r="FN142" s="9" t="str">
        <f t="shared" si="852"/>
        <v/>
      </c>
      <c r="FO142" s="10" t="str">
        <f t="shared" si="853"/>
        <v/>
      </c>
      <c r="FP142" s="288" t="str">
        <f t="shared" si="854"/>
        <v/>
      </c>
      <c r="FQ142" s="177" t="str">
        <f t="shared" si="855"/>
        <v/>
      </c>
      <c r="FR142" s="10" t="str">
        <f t="shared" si="856"/>
        <v/>
      </c>
      <c r="FS142" s="9" t="str">
        <f t="shared" si="857"/>
        <v/>
      </c>
      <c r="FT142" s="6" t="str">
        <f t="shared" si="858"/>
        <v/>
      </c>
      <c r="FU142" s="4" t="str">
        <f t="shared" si="859"/>
        <v/>
      </c>
      <c r="FV142" s="5" t="str">
        <f t="shared" si="860"/>
        <v/>
      </c>
      <c r="FW142" s="8" t="str">
        <f t="shared" si="861"/>
        <v/>
      </c>
      <c r="FX142" s="9" t="str">
        <f t="shared" si="862"/>
        <v/>
      </c>
      <c r="FY142" s="10" t="str">
        <f t="shared" si="863"/>
        <v/>
      </c>
      <c r="FZ142" s="288" t="str">
        <f t="shared" si="864"/>
        <v/>
      </c>
      <c r="GA142" s="181" t="str">
        <f t="shared" si="865"/>
        <v/>
      </c>
      <c r="GB142" s="4" t="str">
        <f t="shared" si="866"/>
        <v/>
      </c>
      <c r="GC142" s="5" t="str">
        <f t="shared" si="867"/>
        <v/>
      </c>
      <c r="GD142" s="10" t="str">
        <f t="shared" si="868"/>
        <v/>
      </c>
      <c r="GE142" s="324" t="str">
        <f t="shared" si="869"/>
        <v/>
      </c>
      <c r="GF142" s="362" t="str">
        <f t="shared" si="870"/>
        <v/>
      </c>
      <c r="GG142" s="317" t="str">
        <f t="shared" si="871"/>
        <v/>
      </c>
      <c r="GH142" s="318" t="str">
        <f t="shared" si="872"/>
        <v/>
      </c>
      <c r="GI142" s="319" t="str">
        <f t="shared" si="873"/>
        <v/>
      </c>
      <c r="GJ142" s="171" t="str">
        <f t="shared" si="874"/>
        <v/>
      </c>
      <c r="GK142" s="178" t="str">
        <f t="shared" si="706"/>
        <v/>
      </c>
      <c r="GL142" s="178" t="str">
        <f t="shared" si="875"/>
        <v/>
      </c>
      <c r="GM142" s="181" t="str">
        <f t="shared" si="876"/>
        <v/>
      </c>
      <c r="GN142" s="291" t="str">
        <f t="shared" si="877"/>
        <v/>
      </c>
      <c r="GO142" s="4" t="str">
        <f t="shared" si="878"/>
        <v/>
      </c>
      <c r="GP142" s="8" t="str">
        <f t="shared" si="879"/>
        <v/>
      </c>
      <c r="GQ142" s="181" t="str">
        <f t="shared" si="880"/>
        <v/>
      </c>
      <c r="GR142" s="417" t="str">
        <f t="shared" si="881"/>
        <v/>
      </c>
      <c r="GS142" s="363" t="str">
        <f t="shared" si="882"/>
        <v/>
      </c>
      <c r="GT142" s="364" t="str">
        <f t="shared" si="883"/>
        <v/>
      </c>
      <c r="GU142" s="365" t="str">
        <f t="shared" si="709"/>
        <v/>
      </c>
      <c r="GV142" s="364" t="str">
        <f t="shared" si="884"/>
        <v/>
      </c>
      <c r="GW142" s="366" t="str">
        <f t="shared" si="710"/>
        <v/>
      </c>
      <c r="GX142" s="367" t="str">
        <f t="shared" si="711"/>
        <v/>
      </c>
      <c r="GY142" s="365" t="str">
        <f t="shared" si="885"/>
        <v/>
      </c>
      <c r="GZ142" s="366" t="str">
        <f t="shared" si="886"/>
        <v/>
      </c>
      <c r="HA142" s="363" t="str">
        <f t="shared" si="714"/>
        <v/>
      </c>
      <c r="HB142" s="5" t="str">
        <f t="shared" si="641"/>
        <v/>
      </c>
      <c r="HC142" s="364" t="str">
        <f t="shared" si="887"/>
        <v/>
      </c>
      <c r="HD142" s="405" t="str">
        <f t="shared" si="888"/>
        <v/>
      </c>
      <c r="HE142" s="365" t="str">
        <f t="shared" si="715"/>
        <v/>
      </c>
      <c r="HF142" s="5" t="str">
        <f t="shared" si="716"/>
        <v/>
      </c>
      <c r="HG142" s="364" t="str">
        <f t="shared" si="889"/>
        <v/>
      </c>
      <c r="HH142" s="370" t="str">
        <f t="shared" si="890"/>
        <v/>
      </c>
      <c r="HI142" s="335" t="str">
        <f t="shared" si="917"/>
        <v/>
      </c>
      <c r="HK142" s="323" t="str">
        <f t="shared" si="891"/>
        <v/>
      </c>
      <c r="HL142" s="322" t="str">
        <f t="shared" si="892"/>
        <v/>
      </c>
      <c r="HM142" s="369" t="str">
        <f t="shared" si="893"/>
        <v/>
      </c>
      <c r="HN142" s="384" t="str">
        <f t="shared" si="893"/>
        <v/>
      </c>
      <c r="HO142" s="385" t="str">
        <f t="shared" si="893"/>
        <v/>
      </c>
      <c r="HP142" s="380" t="str">
        <f t="shared" si="893"/>
        <v/>
      </c>
      <c r="HQ142" s="384" t="str">
        <f t="shared" si="893"/>
        <v/>
      </c>
      <c r="HR142" s="395" t="str">
        <f t="shared" si="893"/>
        <v/>
      </c>
      <c r="HS142" s="379" t="str">
        <f t="shared" si="893"/>
        <v/>
      </c>
      <c r="HT142" s="374" t="str">
        <f t="shared" si="893"/>
        <v/>
      </c>
      <c r="HU142" s="375" t="str">
        <f t="shared" si="893"/>
        <v/>
      </c>
      <c r="HV142" s="376" t="str">
        <f t="shared" si="893"/>
        <v/>
      </c>
      <c r="HW142" s="374" t="str">
        <f t="shared" si="893"/>
        <v/>
      </c>
      <c r="HX142" s="375" t="str">
        <f t="shared" si="893"/>
        <v/>
      </c>
      <c r="HY142" s="376" t="str">
        <f t="shared" si="893"/>
        <v/>
      </c>
      <c r="HZ142" s="374" t="str">
        <f t="shared" si="893"/>
        <v/>
      </c>
      <c r="IA142" s="375" t="str">
        <f t="shared" si="893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23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21"/>
        <v/>
      </c>
      <c r="IK142" s="533" t="str">
        <f t="shared" si="918"/>
        <v/>
      </c>
      <c r="IL142" s="727" t="str">
        <f t="shared" si="651"/>
        <v/>
      </c>
      <c r="IM142" s="759"/>
      <c r="IN142" s="5" t="str">
        <f t="shared" si="652"/>
        <v/>
      </c>
      <c r="IO142" s="771"/>
      <c r="IP142" s="9" t="str">
        <f t="shared" si="653"/>
        <v/>
      </c>
      <c r="IQ142" s="5" t="str">
        <f t="shared" si="654"/>
        <v/>
      </c>
      <c r="IR142" s="5" t="str">
        <f t="shared" si="919"/>
        <v/>
      </c>
      <c r="IS142" s="5" t="str">
        <f t="shared" si="655"/>
        <v/>
      </c>
      <c r="IT142" s="727" t="str">
        <f t="shared" si="656"/>
        <v/>
      </c>
      <c r="IU142" s="9" t="str">
        <f t="shared" si="657"/>
        <v/>
      </c>
      <c r="IV142" s="5" t="str">
        <f t="shared" si="658"/>
        <v/>
      </c>
      <c r="IW142" s="5" t="str">
        <f t="shared" si="920"/>
        <v/>
      </c>
      <c r="IX142" s="5" t="str">
        <f t="shared" si="659"/>
        <v/>
      </c>
      <c r="IY142" s="762" t="str">
        <f t="shared" si="660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94"/>
        <v/>
      </c>
      <c r="N143" s="638" t="str">
        <f t="shared" si="895"/>
        <v/>
      </c>
      <c r="O143" s="639" t="str">
        <f t="shared" si="896"/>
        <v/>
      </c>
      <c r="P143" s="640" t="str">
        <f t="shared" si="897"/>
        <v/>
      </c>
      <c r="Q143" s="593" t="str">
        <f t="shared" si="749"/>
        <v/>
      </c>
      <c r="R143" s="639" t="str">
        <f t="shared" si="750"/>
        <v/>
      </c>
      <c r="S143" s="641" t="str">
        <f t="shared" si="751"/>
        <v/>
      </c>
      <c r="T143" s="642" t="str">
        <f t="shared" si="752"/>
        <v/>
      </c>
      <c r="U143" s="639" t="str">
        <f t="shared" si="753"/>
        <v/>
      </c>
      <c r="V143" s="643" t="str">
        <f t="shared" si="754"/>
        <v/>
      </c>
      <c r="W143" s="593" t="str">
        <f t="shared" si="755"/>
        <v/>
      </c>
      <c r="X143" s="639" t="str">
        <f t="shared" si="756"/>
        <v/>
      </c>
      <c r="Y143" s="644" t="str">
        <f t="shared" si="757"/>
        <v/>
      </c>
      <c r="Z143" s="638" t="str">
        <f t="shared" si="898"/>
        <v/>
      </c>
      <c r="AA143" s="639" t="str">
        <f t="shared" si="899"/>
        <v/>
      </c>
      <c r="AB143" s="639" t="str">
        <f t="shared" si="900"/>
        <v/>
      </c>
      <c r="AC143" s="643" t="str">
        <f t="shared" si="758"/>
        <v/>
      </c>
      <c r="AD143" s="645" t="str">
        <f t="shared" si="759"/>
        <v/>
      </c>
      <c r="AE143" s="639" t="str">
        <f t="shared" si="760"/>
        <v/>
      </c>
      <c r="AF143" s="640" t="str">
        <f t="shared" si="761"/>
        <v/>
      </c>
      <c r="AG143" s="604" t="str">
        <f t="shared" si="762"/>
        <v/>
      </c>
      <c r="AH143" s="605" t="str">
        <f t="shared" si="763"/>
        <v/>
      </c>
      <c r="AI143" s="593" t="str">
        <f t="shared" si="764"/>
        <v/>
      </c>
      <c r="AJ143" s="594" t="str">
        <f t="shared" si="765"/>
        <v/>
      </c>
      <c r="AK143" s="642" t="str">
        <f t="shared" si="766"/>
        <v/>
      </c>
      <c r="AL143" s="639" t="str">
        <f t="shared" si="767"/>
        <v/>
      </c>
      <c r="AM143" s="641" t="str">
        <f t="shared" si="768"/>
        <v/>
      </c>
      <c r="AN143" s="591" t="str">
        <f t="shared" si="769"/>
        <v/>
      </c>
      <c r="AO143" s="592" t="str">
        <f t="shared" si="748"/>
        <v/>
      </c>
      <c r="AP143" s="593" t="str">
        <f t="shared" si="770"/>
        <v/>
      </c>
      <c r="AQ143" s="594" t="str">
        <f t="shared" si="901"/>
        <v/>
      </c>
      <c r="AS143" s="555" t="str">
        <f t="shared" si="922"/>
        <v/>
      </c>
      <c r="AT143" s="556" t="str">
        <f t="shared" si="902"/>
        <v/>
      </c>
      <c r="AU143" s="469"/>
      <c r="AV143" s="168" t="str">
        <f t="shared" si="903"/>
        <v/>
      </c>
      <c r="AW143" s="557"/>
      <c r="AX143" s="49"/>
      <c r="AY143" s="242"/>
      <c r="AZ143" s="308" t="str">
        <f t="shared" si="771"/>
        <v/>
      </c>
      <c r="BA143" s="558" t="str">
        <f t="shared" si="772"/>
        <v/>
      </c>
      <c r="BB143" s="559" t="str">
        <f t="shared" si="524"/>
        <v/>
      </c>
      <c r="BC143" s="547"/>
      <c r="BD143" s="545" t="str">
        <f t="shared" si="773"/>
        <v/>
      </c>
      <c r="BE143" s="548" t="str">
        <f t="shared" si="904"/>
        <v/>
      </c>
      <c r="BF143" s="549" t="str">
        <f t="shared" si="905"/>
        <v/>
      </c>
      <c r="BG143" s="545" t="str">
        <f t="shared" si="906"/>
        <v/>
      </c>
      <c r="BH143" s="546" t="str">
        <f t="shared" si="907"/>
        <v/>
      </c>
      <c r="BI143" s="547" t="str">
        <f t="shared" si="774"/>
        <v/>
      </c>
      <c r="BJ143" s="545" t="str">
        <f t="shared" si="908"/>
        <v/>
      </c>
      <c r="BK143" s="550" t="str">
        <f t="shared" si="909"/>
        <v/>
      </c>
      <c r="BL143" s="553" t="str">
        <f t="shared" si="910"/>
        <v/>
      </c>
      <c r="BM143" s="545" t="str">
        <f t="shared" si="911"/>
        <v/>
      </c>
      <c r="BN143" s="548" t="str">
        <f t="shared" si="912"/>
        <v/>
      </c>
      <c r="BO143" s="549" t="str">
        <f t="shared" si="775"/>
        <v/>
      </c>
      <c r="BP143" s="545" t="str">
        <f t="shared" si="776"/>
        <v/>
      </c>
      <c r="BQ143" s="545" t="str">
        <f t="shared" si="777"/>
        <v/>
      </c>
      <c r="BR143" s="548" t="str">
        <f t="shared" si="778"/>
        <v/>
      </c>
      <c r="BS143" s="549" t="str">
        <f t="shared" si="740"/>
        <v/>
      </c>
      <c r="BT143" s="545" t="str">
        <f t="shared" si="740"/>
        <v/>
      </c>
      <c r="BU143" s="546" t="str">
        <f t="shared" si="527"/>
        <v/>
      </c>
      <c r="BV143" s="547" t="str">
        <f t="shared" si="528"/>
        <v/>
      </c>
      <c r="BW143" s="545" t="str">
        <f t="shared" si="529"/>
        <v/>
      </c>
      <c r="BX143" s="550" t="str">
        <f t="shared" si="530"/>
        <v/>
      </c>
      <c r="BY143" s="553" t="str">
        <f t="shared" si="531"/>
        <v/>
      </c>
      <c r="BZ143" s="545" t="str">
        <f t="shared" si="532"/>
        <v/>
      </c>
      <c r="CA143" s="548" t="str">
        <f t="shared" si="533"/>
        <v/>
      </c>
      <c r="CB143" s="549" t="str">
        <f t="shared" si="779"/>
        <v/>
      </c>
      <c r="CC143" s="545" t="str">
        <f t="shared" si="780"/>
        <v/>
      </c>
      <c r="CD143" s="545" t="str">
        <f t="shared" si="781"/>
        <v/>
      </c>
      <c r="CE143" s="548" t="str">
        <f t="shared" si="782"/>
        <v/>
      </c>
      <c r="CF143" s="549" t="str">
        <f t="shared" si="783"/>
        <v/>
      </c>
      <c r="CG143" s="545" t="str">
        <f t="shared" si="784"/>
        <v/>
      </c>
      <c r="CH143" s="545" t="str">
        <f t="shared" si="785"/>
        <v/>
      </c>
      <c r="CI143" s="549" t="str">
        <f t="shared" si="534"/>
        <v/>
      </c>
      <c r="CJ143" s="545" t="str">
        <f t="shared" si="786"/>
        <v/>
      </c>
      <c r="CK143" s="550" t="str">
        <f t="shared" si="787"/>
        <v/>
      </c>
      <c r="CL143" s="553" t="str">
        <f t="shared" si="788"/>
        <v/>
      </c>
      <c r="CM143" s="545" t="str">
        <f t="shared" si="789"/>
        <v/>
      </c>
      <c r="CN143" s="548" t="str">
        <f t="shared" si="790"/>
        <v/>
      </c>
      <c r="CO143" s="560" t="str">
        <f t="shared" si="913"/>
        <v/>
      </c>
      <c r="CP143" s="549" t="str">
        <f t="shared" si="791"/>
        <v/>
      </c>
      <c r="CQ143" s="545" t="str">
        <f t="shared" si="792"/>
        <v/>
      </c>
      <c r="CR143" s="545" t="str">
        <f t="shared" si="793"/>
        <v/>
      </c>
      <c r="CS143" s="550" t="str">
        <f t="shared" si="794"/>
        <v/>
      </c>
      <c r="CT143" s="547" t="str">
        <f t="shared" si="795"/>
        <v/>
      </c>
      <c r="CU143" s="548" t="str">
        <f t="shared" si="796"/>
        <v/>
      </c>
      <c r="CV143" s="549" t="str">
        <f t="shared" si="797"/>
        <v/>
      </c>
      <c r="CW143" s="545" t="str">
        <f t="shared" si="798"/>
        <v/>
      </c>
      <c r="CX143" s="550" t="str">
        <f t="shared" si="799"/>
        <v/>
      </c>
      <c r="CY143" s="547" t="str">
        <f t="shared" si="800"/>
        <v/>
      </c>
      <c r="CZ143" s="545" t="str">
        <f t="shared" si="801"/>
        <v/>
      </c>
      <c r="DA143" s="548" t="str">
        <f t="shared" si="802"/>
        <v/>
      </c>
      <c r="DB143" s="549" t="str">
        <f t="shared" si="743"/>
        <v/>
      </c>
      <c r="DC143" s="545" t="str">
        <f t="shared" si="743"/>
        <v/>
      </c>
      <c r="DD143" s="546" t="str">
        <f t="shared" si="573"/>
        <v/>
      </c>
      <c r="DE143" s="547" t="str">
        <f t="shared" si="744"/>
        <v/>
      </c>
      <c r="DF143" s="545" t="str">
        <f t="shared" si="744"/>
        <v/>
      </c>
      <c r="DG143" s="546" t="str">
        <f t="shared" si="575"/>
        <v/>
      </c>
      <c r="DH143" s="552" t="str">
        <f t="shared" si="803"/>
        <v/>
      </c>
      <c r="DI143" s="549" t="str">
        <f t="shared" si="804"/>
        <v/>
      </c>
      <c r="DJ143" s="545" t="str">
        <f t="shared" si="805"/>
        <v/>
      </c>
      <c r="DK143" s="546" t="str">
        <f t="shared" si="806"/>
        <v/>
      </c>
      <c r="DL143" s="547" t="str">
        <f t="shared" si="807"/>
        <v/>
      </c>
      <c r="DM143" s="553" t="str">
        <f t="shared" si="808"/>
        <v/>
      </c>
      <c r="DN143" s="561" t="str">
        <f t="shared" si="809"/>
        <v/>
      </c>
      <c r="DO143" s="547" t="str">
        <f t="shared" si="810"/>
        <v/>
      </c>
      <c r="DP143" s="553" t="str">
        <f t="shared" si="811"/>
        <v/>
      </c>
      <c r="DQ143" s="554" t="str">
        <f t="shared" si="812"/>
        <v/>
      </c>
      <c r="DR143" s="553" t="str">
        <f t="shared" si="813"/>
        <v/>
      </c>
      <c r="DS143" s="545" t="str">
        <f t="shared" si="814"/>
        <v/>
      </c>
      <c r="DT143" s="545" t="str">
        <f t="shared" si="815"/>
        <v/>
      </c>
      <c r="DU143" s="545" t="str">
        <f t="shared" si="816"/>
        <v/>
      </c>
      <c r="DV143" s="545" t="str">
        <f t="shared" si="817"/>
        <v/>
      </c>
      <c r="DW143" s="545" t="str">
        <f t="shared" si="818"/>
        <v/>
      </c>
      <c r="DX143" s="560" t="str">
        <f t="shared" si="819"/>
        <v/>
      </c>
      <c r="DY143" s="547" t="str">
        <f t="shared" si="820"/>
        <v/>
      </c>
      <c r="DZ143" s="545" t="str">
        <f t="shared" si="821"/>
        <v/>
      </c>
      <c r="EA143" s="546" t="str">
        <f t="shared" si="822"/>
        <v/>
      </c>
      <c r="EB143" s="548" t="str">
        <f t="shared" si="823"/>
        <v/>
      </c>
      <c r="EC143" s="553" t="str">
        <f t="shared" si="824"/>
        <v/>
      </c>
      <c r="ED143" s="545" t="str">
        <f t="shared" si="825"/>
        <v/>
      </c>
      <c r="EE143" s="549" t="str">
        <f t="shared" si="826"/>
        <v/>
      </c>
      <c r="EF143" s="545" t="str">
        <f t="shared" si="827"/>
        <v/>
      </c>
      <c r="EG143" s="546" t="str">
        <f t="shared" si="828"/>
        <v/>
      </c>
      <c r="EH143" s="547" t="str">
        <f t="shared" si="829"/>
        <v/>
      </c>
      <c r="EI143" s="545" t="str">
        <f t="shared" si="830"/>
        <v/>
      </c>
      <c r="EJ143" s="548" t="str">
        <f t="shared" si="831"/>
        <v/>
      </c>
      <c r="EK143" s="562" t="str">
        <f t="shared" si="605"/>
        <v/>
      </c>
      <c r="EL143" s="563" t="str">
        <f t="shared" si="606"/>
        <v/>
      </c>
      <c r="EM143" s="549" t="str">
        <f t="shared" si="832"/>
        <v/>
      </c>
      <c r="EN143" s="545" t="str">
        <f t="shared" si="833"/>
        <v/>
      </c>
      <c r="EO143" s="546" t="str">
        <f t="shared" si="834"/>
        <v/>
      </c>
      <c r="EP143" s="547" t="str">
        <f t="shared" si="835"/>
        <v/>
      </c>
      <c r="EQ143" s="545" t="str">
        <f t="shared" si="836"/>
        <v/>
      </c>
      <c r="ER143" s="551" t="str">
        <f t="shared" si="837"/>
        <v/>
      </c>
      <c r="ES143" s="544" t="str">
        <f t="shared" si="914"/>
        <v/>
      </c>
      <c r="ET143" s="545" t="str">
        <f t="shared" si="915"/>
        <v/>
      </c>
      <c r="EU143" s="546" t="str">
        <f t="shared" si="916"/>
        <v/>
      </c>
      <c r="EV143" s="178" t="str">
        <f t="shared" si="838"/>
        <v/>
      </c>
      <c r="EW143" s="547" t="str">
        <f t="shared" si="839"/>
        <v/>
      </c>
      <c r="EX143" s="545" t="str">
        <f t="shared" si="840"/>
        <v/>
      </c>
      <c r="EY143" s="548" t="str">
        <f t="shared" si="841"/>
        <v/>
      </c>
      <c r="EZ143" s="555" t="str">
        <f t="shared" si="614"/>
        <v/>
      </c>
      <c r="FA143" s="553" t="str">
        <f t="shared" si="692"/>
        <v/>
      </c>
      <c r="FB143" s="545" t="str">
        <f t="shared" si="693"/>
        <v/>
      </c>
      <c r="FC143" s="548" t="str">
        <f t="shared" si="694"/>
        <v/>
      </c>
      <c r="FD143" s="549" t="str">
        <f t="shared" si="842"/>
        <v/>
      </c>
      <c r="FE143" s="545" t="str">
        <f t="shared" si="843"/>
        <v/>
      </c>
      <c r="FF143" s="551" t="str">
        <f t="shared" si="844"/>
        <v/>
      </c>
      <c r="FG143" s="177" t="str">
        <f t="shared" si="845"/>
        <v/>
      </c>
      <c r="FH143" s="5" t="str">
        <f t="shared" si="846"/>
        <v/>
      </c>
      <c r="FI143" s="10" t="str">
        <f t="shared" si="847"/>
        <v/>
      </c>
      <c r="FJ143" s="290" t="str">
        <f t="shared" si="848"/>
        <v/>
      </c>
      <c r="FK143" s="4" t="str">
        <f t="shared" si="849"/>
        <v/>
      </c>
      <c r="FL143" s="5" t="str">
        <f t="shared" si="850"/>
        <v/>
      </c>
      <c r="FM143" s="8" t="str">
        <f t="shared" si="851"/>
        <v/>
      </c>
      <c r="FN143" s="9" t="str">
        <f t="shared" si="852"/>
        <v/>
      </c>
      <c r="FO143" s="10" t="str">
        <f t="shared" si="853"/>
        <v/>
      </c>
      <c r="FP143" s="288" t="str">
        <f t="shared" si="854"/>
        <v/>
      </c>
      <c r="FQ143" s="177" t="str">
        <f t="shared" si="855"/>
        <v/>
      </c>
      <c r="FR143" s="10" t="str">
        <f t="shared" si="856"/>
        <v/>
      </c>
      <c r="FS143" s="9" t="str">
        <f t="shared" si="857"/>
        <v/>
      </c>
      <c r="FT143" s="6" t="str">
        <f t="shared" si="858"/>
        <v/>
      </c>
      <c r="FU143" s="4" t="str">
        <f t="shared" si="859"/>
        <v/>
      </c>
      <c r="FV143" s="5" t="str">
        <f t="shared" si="860"/>
        <v/>
      </c>
      <c r="FW143" s="8" t="str">
        <f t="shared" si="861"/>
        <v/>
      </c>
      <c r="FX143" s="9" t="str">
        <f t="shared" si="862"/>
        <v/>
      </c>
      <c r="FY143" s="10" t="str">
        <f t="shared" si="863"/>
        <v/>
      </c>
      <c r="FZ143" s="288" t="str">
        <f t="shared" si="864"/>
        <v/>
      </c>
      <c r="GA143" s="181" t="str">
        <f t="shared" si="865"/>
        <v/>
      </c>
      <c r="GB143" s="4" t="str">
        <f t="shared" si="866"/>
        <v/>
      </c>
      <c r="GC143" s="5" t="str">
        <f t="shared" si="867"/>
        <v/>
      </c>
      <c r="GD143" s="10" t="str">
        <f t="shared" si="868"/>
        <v/>
      </c>
      <c r="GE143" s="324" t="str">
        <f t="shared" si="869"/>
        <v/>
      </c>
      <c r="GF143" s="362" t="str">
        <f t="shared" si="870"/>
        <v/>
      </c>
      <c r="GG143" s="317" t="str">
        <f t="shared" si="871"/>
        <v/>
      </c>
      <c r="GH143" s="318" t="str">
        <f t="shared" si="872"/>
        <v/>
      </c>
      <c r="GI143" s="319" t="str">
        <f t="shared" si="873"/>
        <v/>
      </c>
      <c r="GJ143" s="171" t="str">
        <f t="shared" si="874"/>
        <v/>
      </c>
      <c r="GK143" s="178" t="str">
        <f t="shared" si="706"/>
        <v/>
      </c>
      <c r="GL143" s="178" t="str">
        <f t="shared" si="875"/>
        <v/>
      </c>
      <c r="GM143" s="181" t="str">
        <f t="shared" si="876"/>
        <v/>
      </c>
      <c r="GN143" s="291" t="str">
        <f t="shared" si="877"/>
        <v/>
      </c>
      <c r="GO143" s="4" t="str">
        <f t="shared" si="878"/>
        <v/>
      </c>
      <c r="GP143" s="8" t="str">
        <f t="shared" si="879"/>
        <v/>
      </c>
      <c r="GQ143" s="181" t="str">
        <f t="shared" si="880"/>
        <v/>
      </c>
      <c r="GR143" s="417" t="str">
        <f t="shared" si="881"/>
        <v/>
      </c>
      <c r="GS143" s="363" t="str">
        <f t="shared" si="882"/>
        <v/>
      </c>
      <c r="GT143" s="364" t="str">
        <f t="shared" si="883"/>
        <v/>
      </c>
      <c r="GU143" s="365" t="str">
        <f t="shared" si="709"/>
        <v/>
      </c>
      <c r="GV143" s="364" t="str">
        <f t="shared" si="884"/>
        <v/>
      </c>
      <c r="GW143" s="366" t="str">
        <f t="shared" si="710"/>
        <v/>
      </c>
      <c r="GX143" s="367" t="str">
        <f t="shared" si="711"/>
        <v/>
      </c>
      <c r="GY143" s="365" t="str">
        <f t="shared" si="885"/>
        <v/>
      </c>
      <c r="GZ143" s="366" t="str">
        <f t="shared" si="886"/>
        <v/>
      </c>
      <c r="HA143" s="363" t="str">
        <f t="shared" si="714"/>
        <v/>
      </c>
      <c r="HB143" s="5" t="str">
        <f t="shared" si="641"/>
        <v/>
      </c>
      <c r="HC143" s="364" t="str">
        <f t="shared" si="887"/>
        <v/>
      </c>
      <c r="HD143" s="405" t="str">
        <f t="shared" si="888"/>
        <v/>
      </c>
      <c r="HE143" s="365" t="str">
        <f t="shared" si="715"/>
        <v/>
      </c>
      <c r="HF143" s="5" t="str">
        <f t="shared" si="716"/>
        <v/>
      </c>
      <c r="HG143" s="364" t="str">
        <f t="shared" si="889"/>
        <v/>
      </c>
      <c r="HH143" s="370" t="str">
        <f t="shared" si="890"/>
        <v/>
      </c>
      <c r="HI143" s="335" t="str">
        <f t="shared" si="917"/>
        <v/>
      </c>
      <c r="HK143" s="323" t="str">
        <f t="shared" si="891"/>
        <v/>
      </c>
      <c r="HL143" s="322" t="str">
        <f t="shared" si="892"/>
        <v/>
      </c>
      <c r="HM143" s="369" t="str">
        <f t="shared" si="893"/>
        <v/>
      </c>
      <c r="HN143" s="384" t="str">
        <f t="shared" si="893"/>
        <v/>
      </c>
      <c r="HO143" s="385" t="str">
        <f t="shared" si="893"/>
        <v/>
      </c>
      <c r="HP143" s="380" t="str">
        <f t="shared" si="893"/>
        <v/>
      </c>
      <c r="HQ143" s="384" t="str">
        <f t="shared" si="893"/>
        <v/>
      </c>
      <c r="HR143" s="395" t="str">
        <f t="shared" si="893"/>
        <v/>
      </c>
      <c r="HS143" s="379" t="str">
        <f t="shared" si="893"/>
        <v/>
      </c>
      <c r="HT143" s="374" t="str">
        <f t="shared" si="893"/>
        <v/>
      </c>
      <c r="HU143" s="375" t="str">
        <f t="shared" si="893"/>
        <v/>
      </c>
      <c r="HV143" s="376" t="str">
        <f t="shared" si="893"/>
        <v/>
      </c>
      <c r="HW143" s="374" t="str">
        <f t="shared" si="893"/>
        <v/>
      </c>
      <c r="HX143" s="375" t="str">
        <f t="shared" si="893"/>
        <v/>
      </c>
      <c r="HY143" s="376" t="str">
        <f t="shared" si="893"/>
        <v/>
      </c>
      <c r="HZ143" s="374" t="str">
        <f t="shared" si="893"/>
        <v/>
      </c>
      <c r="IA143" s="375" t="str">
        <f t="shared" si="893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23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21"/>
        <v/>
      </c>
      <c r="IK143" s="533" t="str">
        <f t="shared" si="918"/>
        <v/>
      </c>
      <c r="IL143" s="727" t="str">
        <f t="shared" si="651"/>
        <v/>
      </c>
      <c r="IM143" s="759"/>
      <c r="IN143" s="5" t="str">
        <f t="shared" si="652"/>
        <v/>
      </c>
      <c r="IO143" s="771"/>
      <c r="IP143" s="9" t="str">
        <f t="shared" si="653"/>
        <v/>
      </c>
      <c r="IQ143" s="5" t="str">
        <f t="shared" si="654"/>
        <v/>
      </c>
      <c r="IR143" s="5" t="str">
        <f t="shared" si="919"/>
        <v/>
      </c>
      <c r="IS143" s="5" t="str">
        <f t="shared" si="655"/>
        <v/>
      </c>
      <c r="IT143" s="727" t="str">
        <f t="shared" si="656"/>
        <v/>
      </c>
      <c r="IU143" s="9" t="str">
        <f t="shared" si="657"/>
        <v/>
      </c>
      <c r="IV143" s="5" t="str">
        <f t="shared" si="658"/>
        <v/>
      </c>
      <c r="IW143" s="5" t="str">
        <f t="shared" si="920"/>
        <v/>
      </c>
      <c r="IX143" s="5" t="str">
        <f t="shared" si="659"/>
        <v/>
      </c>
      <c r="IY143" s="762" t="str">
        <f t="shared" si="660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94"/>
        <v/>
      </c>
      <c r="N144" s="638" t="str">
        <f t="shared" si="895"/>
        <v/>
      </c>
      <c r="O144" s="639" t="str">
        <f t="shared" si="896"/>
        <v/>
      </c>
      <c r="P144" s="640" t="str">
        <f t="shared" si="897"/>
        <v/>
      </c>
      <c r="Q144" s="593" t="str">
        <f t="shared" si="749"/>
        <v/>
      </c>
      <c r="R144" s="639" t="str">
        <f t="shared" si="750"/>
        <v/>
      </c>
      <c r="S144" s="641" t="str">
        <f t="shared" si="751"/>
        <v/>
      </c>
      <c r="T144" s="642" t="str">
        <f t="shared" si="752"/>
        <v/>
      </c>
      <c r="U144" s="639" t="str">
        <f t="shared" si="753"/>
        <v/>
      </c>
      <c r="V144" s="643" t="str">
        <f t="shared" si="754"/>
        <v/>
      </c>
      <c r="W144" s="593" t="str">
        <f t="shared" si="755"/>
        <v/>
      </c>
      <c r="X144" s="639" t="str">
        <f t="shared" si="756"/>
        <v/>
      </c>
      <c r="Y144" s="644" t="str">
        <f t="shared" si="757"/>
        <v/>
      </c>
      <c r="Z144" s="638" t="str">
        <f t="shared" si="898"/>
        <v/>
      </c>
      <c r="AA144" s="639" t="str">
        <f t="shared" si="899"/>
        <v/>
      </c>
      <c r="AB144" s="639" t="str">
        <f t="shared" si="900"/>
        <v/>
      </c>
      <c r="AC144" s="643" t="str">
        <f t="shared" si="758"/>
        <v/>
      </c>
      <c r="AD144" s="645" t="str">
        <f t="shared" si="759"/>
        <v/>
      </c>
      <c r="AE144" s="639" t="str">
        <f t="shared" si="760"/>
        <v/>
      </c>
      <c r="AF144" s="640" t="str">
        <f t="shared" si="761"/>
        <v/>
      </c>
      <c r="AG144" s="604" t="str">
        <f t="shared" si="762"/>
        <v/>
      </c>
      <c r="AH144" s="605" t="str">
        <f t="shared" si="763"/>
        <v/>
      </c>
      <c r="AI144" s="593" t="str">
        <f t="shared" si="764"/>
        <v/>
      </c>
      <c r="AJ144" s="594" t="str">
        <f t="shared" si="765"/>
        <v/>
      </c>
      <c r="AK144" s="642" t="str">
        <f t="shared" si="766"/>
        <v/>
      </c>
      <c r="AL144" s="639" t="str">
        <f t="shared" si="767"/>
        <v/>
      </c>
      <c r="AM144" s="641" t="str">
        <f t="shared" si="768"/>
        <v/>
      </c>
      <c r="AN144" s="591" t="str">
        <f t="shared" si="769"/>
        <v/>
      </c>
      <c r="AO144" s="592" t="str">
        <f t="shared" si="748"/>
        <v/>
      </c>
      <c r="AP144" s="593" t="str">
        <f t="shared" si="770"/>
        <v/>
      </c>
      <c r="AQ144" s="594" t="str">
        <f t="shared" si="901"/>
        <v/>
      </c>
      <c r="AS144" s="555" t="str">
        <f t="shared" si="922"/>
        <v/>
      </c>
      <c r="AT144" s="556" t="str">
        <f t="shared" si="902"/>
        <v/>
      </c>
      <c r="AU144" s="469"/>
      <c r="AV144" s="168" t="str">
        <f t="shared" si="903"/>
        <v/>
      </c>
      <c r="AW144" s="557"/>
      <c r="AX144" s="49"/>
      <c r="AY144" s="242"/>
      <c r="AZ144" s="308" t="str">
        <f t="shared" si="771"/>
        <v/>
      </c>
      <c r="BA144" s="558" t="str">
        <f t="shared" si="772"/>
        <v/>
      </c>
      <c r="BB144" s="559" t="str">
        <f t="shared" si="524"/>
        <v/>
      </c>
      <c r="BC144" s="547"/>
      <c r="BD144" s="545" t="str">
        <f t="shared" si="773"/>
        <v/>
      </c>
      <c r="BE144" s="548" t="str">
        <f t="shared" si="904"/>
        <v/>
      </c>
      <c r="BF144" s="549" t="str">
        <f t="shared" si="905"/>
        <v/>
      </c>
      <c r="BG144" s="545" t="str">
        <f t="shared" si="906"/>
        <v/>
      </c>
      <c r="BH144" s="546" t="str">
        <f t="shared" si="907"/>
        <v/>
      </c>
      <c r="BI144" s="547" t="str">
        <f t="shared" si="774"/>
        <v/>
      </c>
      <c r="BJ144" s="545" t="str">
        <f t="shared" si="908"/>
        <v/>
      </c>
      <c r="BK144" s="550" t="str">
        <f t="shared" si="909"/>
        <v/>
      </c>
      <c r="BL144" s="553" t="str">
        <f t="shared" si="910"/>
        <v/>
      </c>
      <c r="BM144" s="545" t="str">
        <f t="shared" si="911"/>
        <v/>
      </c>
      <c r="BN144" s="548" t="str">
        <f t="shared" si="912"/>
        <v/>
      </c>
      <c r="BO144" s="549" t="str">
        <f t="shared" si="775"/>
        <v/>
      </c>
      <c r="BP144" s="545" t="str">
        <f t="shared" si="776"/>
        <v/>
      </c>
      <c r="BQ144" s="545" t="str">
        <f t="shared" si="777"/>
        <v/>
      </c>
      <c r="BR144" s="548" t="str">
        <f t="shared" si="778"/>
        <v/>
      </c>
      <c r="BS144" s="549" t="str">
        <f t="shared" si="740"/>
        <v/>
      </c>
      <c r="BT144" s="545" t="str">
        <f t="shared" si="740"/>
        <v/>
      </c>
      <c r="BU144" s="546" t="str">
        <f t="shared" si="527"/>
        <v/>
      </c>
      <c r="BV144" s="547" t="str">
        <f t="shared" si="528"/>
        <v/>
      </c>
      <c r="BW144" s="545" t="str">
        <f t="shared" si="529"/>
        <v/>
      </c>
      <c r="BX144" s="550" t="str">
        <f t="shared" si="530"/>
        <v/>
      </c>
      <c r="BY144" s="553" t="str">
        <f t="shared" si="531"/>
        <v/>
      </c>
      <c r="BZ144" s="545" t="str">
        <f t="shared" si="532"/>
        <v/>
      </c>
      <c r="CA144" s="548" t="str">
        <f t="shared" si="533"/>
        <v/>
      </c>
      <c r="CB144" s="549" t="str">
        <f t="shared" si="779"/>
        <v/>
      </c>
      <c r="CC144" s="545" t="str">
        <f t="shared" si="780"/>
        <v/>
      </c>
      <c r="CD144" s="545" t="str">
        <f t="shared" si="781"/>
        <v/>
      </c>
      <c r="CE144" s="548" t="str">
        <f t="shared" si="782"/>
        <v/>
      </c>
      <c r="CF144" s="549" t="str">
        <f t="shared" si="783"/>
        <v/>
      </c>
      <c r="CG144" s="545" t="str">
        <f t="shared" si="784"/>
        <v/>
      </c>
      <c r="CH144" s="545" t="str">
        <f t="shared" si="785"/>
        <v/>
      </c>
      <c r="CI144" s="549" t="str">
        <f t="shared" si="534"/>
        <v/>
      </c>
      <c r="CJ144" s="545" t="str">
        <f t="shared" si="786"/>
        <v/>
      </c>
      <c r="CK144" s="550" t="str">
        <f t="shared" si="787"/>
        <v/>
      </c>
      <c r="CL144" s="553" t="str">
        <f t="shared" si="788"/>
        <v/>
      </c>
      <c r="CM144" s="545" t="str">
        <f t="shared" si="789"/>
        <v/>
      </c>
      <c r="CN144" s="548" t="str">
        <f t="shared" si="790"/>
        <v/>
      </c>
      <c r="CO144" s="560" t="str">
        <f t="shared" si="913"/>
        <v/>
      </c>
      <c r="CP144" s="549" t="str">
        <f t="shared" si="791"/>
        <v/>
      </c>
      <c r="CQ144" s="545" t="str">
        <f t="shared" si="792"/>
        <v/>
      </c>
      <c r="CR144" s="545" t="str">
        <f t="shared" si="793"/>
        <v/>
      </c>
      <c r="CS144" s="550" t="str">
        <f t="shared" si="794"/>
        <v/>
      </c>
      <c r="CT144" s="547" t="str">
        <f t="shared" si="795"/>
        <v/>
      </c>
      <c r="CU144" s="548" t="str">
        <f t="shared" si="796"/>
        <v/>
      </c>
      <c r="CV144" s="549" t="str">
        <f t="shared" si="797"/>
        <v/>
      </c>
      <c r="CW144" s="545" t="str">
        <f t="shared" si="798"/>
        <v/>
      </c>
      <c r="CX144" s="550" t="str">
        <f t="shared" si="799"/>
        <v/>
      </c>
      <c r="CY144" s="547" t="str">
        <f t="shared" si="800"/>
        <v/>
      </c>
      <c r="CZ144" s="545" t="str">
        <f t="shared" si="801"/>
        <v/>
      </c>
      <c r="DA144" s="548" t="str">
        <f t="shared" si="802"/>
        <v/>
      </c>
      <c r="DB144" s="549" t="str">
        <f t="shared" si="743"/>
        <v/>
      </c>
      <c r="DC144" s="545" t="str">
        <f t="shared" si="743"/>
        <v/>
      </c>
      <c r="DD144" s="546" t="str">
        <f t="shared" si="573"/>
        <v/>
      </c>
      <c r="DE144" s="547" t="str">
        <f t="shared" si="744"/>
        <v/>
      </c>
      <c r="DF144" s="545" t="str">
        <f t="shared" si="744"/>
        <v/>
      </c>
      <c r="DG144" s="546" t="str">
        <f t="shared" si="575"/>
        <v/>
      </c>
      <c r="DH144" s="552" t="str">
        <f t="shared" si="803"/>
        <v/>
      </c>
      <c r="DI144" s="549" t="str">
        <f t="shared" si="804"/>
        <v/>
      </c>
      <c r="DJ144" s="545" t="str">
        <f t="shared" si="805"/>
        <v/>
      </c>
      <c r="DK144" s="546" t="str">
        <f t="shared" si="806"/>
        <v/>
      </c>
      <c r="DL144" s="547" t="str">
        <f t="shared" si="807"/>
        <v/>
      </c>
      <c r="DM144" s="553" t="str">
        <f t="shared" si="808"/>
        <v/>
      </c>
      <c r="DN144" s="561" t="str">
        <f t="shared" si="809"/>
        <v/>
      </c>
      <c r="DO144" s="547" t="str">
        <f t="shared" si="810"/>
        <v/>
      </c>
      <c r="DP144" s="553" t="str">
        <f t="shared" si="811"/>
        <v/>
      </c>
      <c r="DQ144" s="554" t="str">
        <f t="shared" si="812"/>
        <v/>
      </c>
      <c r="DR144" s="553" t="str">
        <f t="shared" si="813"/>
        <v/>
      </c>
      <c r="DS144" s="545" t="str">
        <f t="shared" si="814"/>
        <v/>
      </c>
      <c r="DT144" s="545" t="str">
        <f t="shared" si="815"/>
        <v/>
      </c>
      <c r="DU144" s="545" t="str">
        <f t="shared" si="816"/>
        <v/>
      </c>
      <c r="DV144" s="545" t="str">
        <f t="shared" si="817"/>
        <v/>
      </c>
      <c r="DW144" s="545" t="str">
        <f t="shared" si="818"/>
        <v/>
      </c>
      <c r="DX144" s="560" t="str">
        <f t="shared" si="819"/>
        <v/>
      </c>
      <c r="DY144" s="547" t="str">
        <f t="shared" si="820"/>
        <v/>
      </c>
      <c r="DZ144" s="545" t="str">
        <f t="shared" si="821"/>
        <v/>
      </c>
      <c r="EA144" s="546" t="str">
        <f t="shared" si="822"/>
        <v/>
      </c>
      <c r="EB144" s="548" t="str">
        <f t="shared" si="823"/>
        <v/>
      </c>
      <c r="EC144" s="553" t="str">
        <f t="shared" si="824"/>
        <v/>
      </c>
      <c r="ED144" s="545" t="str">
        <f t="shared" si="825"/>
        <v/>
      </c>
      <c r="EE144" s="549" t="str">
        <f t="shared" si="826"/>
        <v/>
      </c>
      <c r="EF144" s="545" t="str">
        <f t="shared" si="827"/>
        <v/>
      </c>
      <c r="EG144" s="546" t="str">
        <f t="shared" si="828"/>
        <v/>
      </c>
      <c r="EH144" s="547" t="str">
        <f t="shared" si="829"/>
        <v/>
      </c>
      <c r="EI144" s="545" t="str">
        <f t="shared" si="830"/>
        <v/>
      </c>
      <c r="EJ144" s="548" t="str">
        <f t="shared" si="831"/>
        <v/>
      </c>
      <c r="EK144" s="562" t="str">
        <f t="shared" si="605"/>
        <v/>
      </c>
      <c r="EL144" s="563" t="str">
        <f t="shared" si="606"/>
        <v/>
      </c>
      <c r="EM144" s="549" t="str">
        <f t="shared" si="832"/>
        <v/>
      </c>
      <c r="EN144" s="545" t="str">
        <f t="shared" si="833"/>
        <v/>
      </c>
      <c r="EO144" s="546" t="str">
        <f t="shared" si="834"/>
        <v/>
      </c>
      <c r="EP144" s="547" t="str">
        <f t="shared" si="835"/>
        <v/>
      </c>
      <c r="EQ144" s="545" t="str">
        <f t="shared" si="836"/>
        <v/>
      </c>
      <c r="ER144" s="551" t="str">
        <f t="shared" si="837"/>
        <v/>
      </c>
      <c r="ES144" s="544" t="str">
        <f t="shared" si="914"/>
        <v/>
      </c>
      <c r="ET144" s="545" t="str">
        <f t="shared" si="915"/>
        <v/>
      </c>
      <c r="EU144" s="546" t="str">
        <f t="shared" si="916"/>
        <v/>
      </c>
      <c r="EV144" s="178" t="str">
        <f t="shared" si="838"/>
        <v/>
      </c>
      <c r="EW144" s="547" t="str">
        <f t="shared" si="839"/>
        <v/>
      </c>
      <c r="EX144" s="545" t="str">
        <f t="shared" si="840"/>
        <v/>
      </c>
      <c r="EY144" s="548" t="str">
        <f t="shared" si="841"/>
        <v/>
      </c>
      <c r="EZ144" s="555" t="str">
        <f t="shared" si="614"/>
        <v/>
      </c>
      <c r="FA144" s="553" t="str">
        <f t="shared" si="692"/>
        <v/>
      </c>
      <c r="FB144" s="545" t="str">
        <f t="shared" si="693"/>
        <v/>
      </c>
      <c r="FC144" s="548" t="str">
        <f t="shared" si="694"/>
        <v/>
      </c>
      <c r="FD144" s="549" t="str">
        <f t="shared" si="842"/>
        <v/>
      </c>
      <c r="FE144" s="545" t="str">
        <f t="shared" si="843"/>
        <v/>
      </c>
      <c r="FF144" s="551" t="str">
        <f t="shared" si="844"/>
        <v/>
      </c>
      <c r="FG144" s="177" t="str">
        <f t="shared" si="845"/>
        <v/>
      </c>
      <c r="FH144" s="5" t="str">
        <f t="shared" si="846"/>
        <v/>
      </c>
      <c r="FI144" s="10" t="str">
        <f t="shared" si="847"/>
        <v/>
      </c>
      <c r="FJ144" s="290" t="str">
        <f t="shared" si="848"/>
        <v/>
      </c>
      <c r="FK144" s="4" t="str">
        <f t="shared" si="849"/>
        <v/>
      </c>
      <c r="FL144" s="5" t="str">
        <f t="shared" si="850"/>
        <v/>
      </c>
      <c r="FM144" s="8" t="str">
        <f t="shared" si="851"/>
        <v/>
      </c>
      <c r="FN144" s="9" t="str">
        <f t="shared" si="852"/>
        <v/>
      </c>
      <c r="FO144" s="10" t="str">
        <f t="shared" si="853"/>
        <v/>
      </c>
      <c r="FP144" s="288" t="str">
        <f t="shared" si="854"/>
        <v/>
      </c>
      <c r="FQ144" s="177" t="str">
        <f t="shared" si="855"/>
        <v/>
      </c>
      <c r="FR144" s="10" t="str">
        <f t="shared" si="856"/>
        <v/>
      </c>
      <c r="FS144" s="9" t="str">
        <f t="shared" si="857"/>
        <v/>
      </c>
      <c r="FT144" s="6" t="str">
        <f t="shared" si="858"/>
        <v/>
      </c>
      <c r="FU144" s="4" t="str">
        <f t="shared" si="859"/>
        <v/>
      </c>
      <c r="FV144" s="5" t="str">
        <f t="shared" si="860"/>
        <v/>
      </c>
      <c r="FW144" s="8" t="str">
        <f t="shared" si="861"/>
        <v/>
      </c>
      <c r="FX144" s="9" t="str">
        <f t="shared" si="862"/>
        <v/>
      </c>
      <c r="FY144" s="10" t="str">
        <f t="shared" si="863"/>
        <v/>
      </c>
      <c r="FZ144" s="288" t="str">
        <f t="shared" si="864"/>
        <v/>
      </c>
      <c r="GA144" s="181" t="str">
        <f t="shared" si="865"/>
        <v/>
      </c>
      <c r="GB144" s="4" t="str">
        <f t="shared" si="866"/>
        <v/>
      </c>
      <c r="GC144" s="5" t="str">
        <f t="shared" si="867"/>
        <v/>
      </c>
      <c r="GD144" s="10" t="str">
        <f t="shared" si="868"/>
        <v/>
      </c>
      <c r="GE144" s="324" t="str">
        <f t="shared" si="869"/>
        <v/>
      </c>
      <c r="GF144" s="362" t="str">
        <f t="shared" si="870"/>
        <v/>
      </c>
      <c r="GG144" s="317" t="str">
        <f t="shared" si="871"/>
        <v/>
      </c>
      <c r="GH144" s="318" t="str">
        <f t="shared" si="872"/>
        <v/>
      </c>
      <c r="GI144" s="319" t="str">
        <f t="shared" si="873"/>
        <v/>
      </c>
      <c r="GJ144" s="171" t="str">
        <f t="shared" si="874"/>
        <v/>
      </c>
      <c r="GK144" s="178" t="str">
        <f t="shared" si="706"/>
        <v/>
      </c>
      <c r="GL144" s="178" t="str">
        <f t="shared" si="875"/>
        <v/>
      </c>
      <c r="GM144" s="181" t="str">
        <f t="shared" si="876"/>
        <v/>
      </c>
      <c r="GN144" s="291" t="str">
        <f t="shared" si="877"/>
        <v/>
      </c>
      <c r="GO144" s="4" t="str">
        <f t="shared" si="878"/>
        <v/>
      </c>
      <c r="GP144" s="8" t="str">
        <f t="shared" si="879"/>
        <v/>
      </c>
      <c r="GQ144" s="181" t="str">
        <f t="shared" si="880"/>
        <v/>
      </c>
      <c r="GR144" s="417" t="str">
        <f t="shared" si="881"/>
        <v/>
      </c>
      <c r="GS144" s="363" t="str">
        <f t="shared" si="882"/>
        <v/>
      </c>
      <c r="GT144" s="364" t="str">
        <f t="shared" si="883"/>
        <v/>
      </c>
      <c r="GU144" s="365" t="str">
        <f t="shared" si="709"/>
        <v/>
      </c>
      <c r="GV144" s="364" t="str">
        <f t="shared" si="884"/>
        <v/>
      </c>
      <c r="GW144" s="366" t="str">
        <f t="shared" si="710"/>
        <v/>
      </c>
      <c r="GX144" s="367" t="str">
        <f t="shared" si="711"/>
        <v/>
      </c>
      <c r="GY144" s="365" t="str">
        <f t="shared" si="885"/>
        <v/>
      </c>
      <c r="GZ144" s="366" t="str">
        <f t="shared" si="886"/>
        <v/>
      </c>
      <c r="HA144" s="363" t="str">
        <f t="shared" si="714"/>
        <v/>
      </c>
      <c r="HB144" s="5" t="str">
        <f t="shared" si="641"/>
        <v/>
      </c>
      <c r="HC144" s="364" t="str">
        <f t="shared" si="887"/>
        <v/>
      </c>
      <c r="HD144" s="405" t="str">
        <f t="shared" si="888"/>
        <v/>
      </c>
      <c r="HE144" s="365" t="str">
        <f t="shared" si="715"/>
        <v/>
      </c>
      <c r="HF144" s="5" t="str">
        <f t="shared" si="716"/>
        <v/>
      </c>
      <c r="HG144" s="364" t="str">
        <f t="shared" si="889"/>
        <v/>
      </c>
      <c r="HH144" s="370" t="str">
        <f t="shared" si="890"/>
        <v/>
      </c>
      <c r="HI144" s="335" t="str">
        <f t="shared" si="917"/>
        <v/>
      </c>
      <c r="HK144" s="323" t="str">
        <f t="shared" si="891"/>
        <v/>
      </c>
      <c r="HL144" s="322" t="str">
        <f t="shared" si="892"/>
        <v/>
      </c>
      <c r="HM144" s="369" t="str">
        <f t="shared" si="893"/>
        <v/>
      </c>
      <c r="HN144" s="384" t="str">
        <f t="shared" si="893"/>
        <v/>
      </c>
      <c r="HO144" s="385" t="str">
        <f t="shared" si="893"/>
        <v/>
      </c>
      <c r="HP144" s="380" t="str">
        <f t="shared" si="893"/>
        <v/>
      </c>
      <c r="HQ144" s="384" t="str">
        <f t="shared" si="893"/>
        <v/>
      </c>
      <c r="HR144" s="395" t="str">
        <f t="shared" si="893"/>
        <v/>
      </c>
      <c r="HS144" s="379" t="str">
        <f t="shared" si="893"/>
        <v/>
      </c>
      <c r="HT144" s="374" t="str">
        <f t="shared" si="893"/>
        <v/>
      </c>
      <c r="HU144" s="375" t="str">
        <f t="shared" si="893"/>
        <v/>
      </c>
      <c r="HV144" s="376" t="str">
        <f t="shared" si="893"/>
        <v/>
      </c>
      <c r="HW144" s="374" t="str">
        <f t="shared" si="893"/>
        <v/>
      </c>
      <c r="HX144" s="375" t="str">
        <f t="shared" si="893"/>
        <v/>
      </c>
      <c r="HY144" s="376" t="str">
        <f t="shared" si="893"/>
        <v/>
      </c>
      <c r="HZ144" s="374" t="str">
        <f t="shared" si="893"/>
        <v/>
      </c>
      <c r="IA144" s="375" t="str">
        <f t="shared" si="893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23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21"/>
        <v/>
      </c>
      <c r="IK144" s="533" t="str">
        <f t="shared" si="918"/>
        <v/>
      </c>
      <c r="IL144" s="727" t="str">
        <f t="shared" si="651"/>
        <v/>
      </c>
      <c r="IM144" s="759"/>
      <c r="IN144" s="5" t="str">
        <f t="shared" si="652"/>
        <v/>
      </c>
      <c r="IO144" s="771"/>
      <c r="IP144" s="9" t="str">
        <f t="shared" si="653"/>
        <v/>
      </c>
      <c r="IQ144" s="5" t="str">
        <f t="shared" si="654"/>
        <v/>
      </c>
      <c r="IR144" s="5" t="str">
        <f t="shared" si="919"/>
        <v/>
      </c>
      <c r="IS144" s="5" t="str">
        <f t="shared" si="655"/>
        <v/>
      </c>
      <c r="IT144" s="727" t="str">
        <f t="shared" si="656"/>
        <v/>
      </c>
      <c r="IU144" s="9" t="str">
        <f t="shared" si="657"/>
        <v/>
      </c>
      <c r="IV144" s="5" t="str">
        <f t="shared" si="658"/>
        <v/>
      </c>
      <c r="IW144" s="5" t="str">
        <f t="shared" si="920"/>
        <v/>
      </c>
      <c r="IX144" s="5" t="str">
        <f t="shared" si="659"/>
        <v/>
      </c>
      <c r="IY144" s="762" t="str">
        <f t="shared" si="660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94"/>
        <v/>
      </c>
      <c r="N145" s="638" t="str">
        <f t="shared" si="895"/>
        <v/>
      </c>
      <c r="O145" s="639" t="str">
        <f t="shared" si="896"/>
        <v/>
      </c>
      <c r="P145" s="640" t="str">
        <f t="shared" si="897"/>
        <v/>
      </c>
      <c r="Q145" s="593" t="str">
        <f t="shared" si="749"/>
        <v/>
      </c>
      <c r="R145" s="639" t="str">
        <f t="shared" si="750"/>
        <v/>
      </c>
      <c r="S145" s="641" t="str">
        <f t="shared" si="751"/>
        <v/>
      </c>
      <c r="T145" s="642" t="str">
        <f t="shared" si="752"/>
        <v/>
      </c>
      <c r="U145" s="639" t="str">
        <f t="shared" si="753"/>
        <v/>
      </c>
      <c r="V145" s="643" t="str">
        <f t="shared" si="754"/>
        <v/>
      </c>
      <c r="W145" s="593" t="str">
        <f t="shared" si="755"/>
        <v/>
      </c>
      <c r="X145" s="639" t="str">
        <f t="shared" si="756"/>
        <v/>
      </c>
      <c r="Y145" s="644" t="str">
        <f t="shared" si="757"/>
        <v/>
      </c>
      <c r="Z145" s="638" t="str">
        <f t="shared" si="898"/>
        <v/>
      </c>
      <c r="AA145" s="639" t="str">
        <f t="shared" si="899"/>
        <v/>
      </c>
      <c r="AB145" s="639" t="str">
        <f t="shared" si="900"/>
        <v/>
      </c>
      <c r="AC145" s="643" t="str">
        <f t="shared" si="758"/>
        <v/>
      </c>
      <c r="AD145" s="645" t="str">
        <f t="shared" si="759"/>
        <v/>
      </c>
      <c r="AE145" s="639" t="str">
        <f t="shared" si="760"/>
        <v/>
      </c>
      <c r="AF145" s="640" t="str">
        <f t="shared" si="761"/>
        <v/>
      </c>
      <c r="AG145" s="604" t="str">
        <f t="shared" si="762"/>
        <v/>
      </c>
      <c r="AH145" s="605" t="str">
        <f t="shared" si="763"/>
        <v/>
      </c>
      <c r="AI145" s="593" t="str">
        <f t="shared" si="764"/>
        <v/>
      </c>
      <c r="AJ145" s="594" t="str">
        <f t="shared" si="765"/>
        <v/>
      </c>
      <c r="AK145" s="642" t="str">
        <f t="shared" si="766"/>
        <v/>
      </c>
      <c r="AL145" s="639" t="str">
        <f t="shared" si="767"/>
        <v/>
      </c>
      <c r="AM145" s="641" t="str">
        <f t="shared" si="768"/>
        <v/>
      </c>
      <c r="AN145" s="591" t="str">
        <f t="shared" si="769"/>
        <v/>
      </c>
      <c r="AO145" s="592" t="str">
        <f t="shared" si="748"/>
        <v/>
      </c>
      <c r="AP145" s="593" t="str">
        <f t="shared" si="770"/>
        <v/>
      </c>
      <c r="AQ145" s="594" t="str">
        <f t="shared" si="901"/>
        <v/>
      </c>
      <c r="AS145" s="555" t="str">
        <f t="shared" si="922"/>
        <v/>
      </c>
      <c r="AT145" s="556" t="str">
        <f t="shared" si="902"/>
        <v/>
      </c>
      <c r="AU145" s="469"/>
      <c r="AV145" s="168" t="str">
        <f t="shared" si="903"/>
        <v/>
      </c>
      <c r="AW145" s="557"/>
      <c r="AX145" s="49"/>
      <c r="AY145" s="242"/>
      <c r="AZ145" s="308" t="str">
        <f t="shared" si="771"/>
        <v/>
      </c>
      <c r="BA145" s="558" t="str">
        <f t="shared" si="772"/>
        <v/>
      </c>
      <c r="BB145" s="559" t="str">
        <f t="shared" si="524"/>
        <v/>
      </c>
      <c r="BC145" s="547"/>
      <c r="BD145" s="545" t="str">
        <f t="shared" si="773"/>
        <v/>
      </c>
      <c r="BE145" s="548" t="str">
        <f t="shared" si="904"/>
        <v/>
      </c>
      <c r="BF145" s="549" t="str">
        <f t="shared" si="905"/>
        <v/>
      </c>
      <c r="BG145" s="545" t="str">
        <f t="shared" si="906"/>
        <v/>
      </c>
      <c r="BH145" s="546" t="str">
        <f t="shared" si="907"/>
        <v/>
      </c>
      <c r="BI145" s="547" t="str">
        <f t="shared" si="774"/>
        <v/>
      </c>
      <c r="BJ145" s="545" t="str">
        <f t="shared" si="908"/>
        <v/>
      </c>
      <c r="BK145" s="550" t="str">
        <f t="shared" si="909"/>
        <v/>
      </c>
      <c r="BL145" s="553" t="str">
        <f t="shared" si="910"/>
        <v/>
      </c>
      <c r="BM145" s="545" t="str">
        <f t="shared" si="911"/>
        <v/>
      </c>
      <c r="BN145" s="548" t="str">
        <f t="shared" si="912"/>
        <v/>
      </c>
      <c r="BO145" s="549" t="str">
        <f t="shared" si="775"/>
        <v/>
      </c>
      <c r="BP145" s="545" t="str">
        <f t="shared" si="776"/>
        <v/>
      </c>
      <c r="BQ145" s="545" t="str">
        <f t="shared" si="777"/>
        <v/>
      </c>
      <c r="BR145" s="548" t="str">
        <f t="shared" si="778"/>
        <v/>
      </c>
      <c r="BS145" s="549" t="str">
        <f t="shared" si="740"/>
        <v/>
      </c>
      <c r="BT145" s="545" t="str">
        <f t="shared" si="740"/>
        <v/>
      </c>
      <c r="BU145" s="546" t="str">
        <f t="shared" si="527"/>
        <v/>
      </c>
      <c r="BV145" s="547" t="str">
        <f t="shared" si="528"/>
        <v/>
      </c>
      <c r="BW145" s="545" t="str">
        <f t="shared" si="529"/>
        <v/>
      </c>
      <c r="BX145" s="550" t="str">
        <f t="shared" si="530"/>
        <v/>
      </c>
      <c r="BY145" s="553" t="str">
        <f t="shared" si="531"/>
        <v/>
      </c>
      <c r="BZ145" s="545" t="str">
        <f t="shared" si="532"/>
        <v/>
      </c>
      <c r="CA145" s="548" t="str">
        <f t="shared" si="533"/>
        <v/>
      </c>
      <c r="CB145" s="549" t="str">
        <f t="shared" si="779"/>
        <v/>
      </c>
      <c r="CC145" s="545" t="str">
        <f t="shared" si="780"/>
        <v/>
      </c>
      <c r="CD145" s="545" t="str">
        <f t="shared" si="781"/>
        <v/>
      </c>
      <c r="CE145" s="548" t="str">
        <f t="shared" si="782"/>
        <v/>
      </c>
      <c r="CF145" s="549" t="str">
        <f t="shared" si="783"/>
        <v/>
      </c>
      <c r="CG145" s="545" t="str">
        <f t="shared" si="784"/>
        <v/>
      </c>
      <c r="CH145" s="545" t="str">
        <f t="shared" si="785"/>
        <v/>
      </c>
      <c r="CI145" s="549" t="str">
        <f t="shared" si="534"/>
        <v/>
      </c>
      <c r="CJ145" s="545" t="str">
        <f t="shared" si="786"/>
        <v/>
      </c>
      <c r="CK145" s="550" t="str">
        <f t="shared" si="787"/>
        <v/>
      </c>
      <c r="CL145" s="553" t="str">
        <f t="shared" si="788"/>
        <v/>
      </c>
      <c r="CM145" s="545" t="str">
        <f t="shared" si="789"/>
        <v/>
      </c>
      <c r="CN145" s="548" t="str">
        <f t="shared" si="790"/>
        <v/>
      </c>
      <c r="CO145" s="560" t="str">
        <f t="shared" si="913"/>
        <v/>
      </c>
      <c r="CP145" s="549" t="str">
        <f t="shared" si="791"/>
        <v/>
      </c>
      <c r="CQ145" s="545" t="str">
        <f t="shared" si="792"/>
        <v/>
      </c>
      <c r="CR145" s="545" t="str">
        <f t="shared" si="793"/>
        <v/>
      </c>
      <c r="CS145" s="550" t="str">
        <f t="shared" si="794"/>
        <v/>
      </c>
      <c r="CT145" s="547" t="str">
        <f t="shared" si="795"/>
        <v/>
      </c>
      <c r="CU145" s="548" t="str">
        <f t="shared" si="796"/>
        <v/>
      </c>
      <c r="CV145" s="549" t="str">
        <f t="shared" si="797"/>
        <v/>
      </c>
      <c r="CW145" s="545" t="str">
        <f t="shared" si="798"/>
        <v/>
      </c>
      <c r="CX145" s="550" t="str">
        <f t="shared" si="799"/>
        <v/>
      </c>
      <c r="CY145" s="547" t="str">
        <f t="shared" si="800"/>
        <v/>
      </c>
      <c r="CZ145" s="545" t="str">
        <f t="shared" si="801"/>
        <v/>
      </c>
      <c r="DA145" s="548" t="str">
        <f t="shared" si="802"/>
        <v/>
      </c>
      <c r="DB145" s="549" t="str">
        <f t="shared" si="743"/>
        <v/>
      </c>
      <c r="DC145" s="545" t="str">
        <f t="shared" si="743"/>
        <v/>
      </c>
      <c r="DD145" s="546" t="str">
        <f t="shared" si="573"/>
        <v/>
      </c>
      <c r="DE145" s="547" t="str">
        <f t="shared" si="744"/>
        <v/>
      </c>
      <c r="DF145" s="545" t="str">
        <f t="shared" si="744"/>
        <v/>
      </c>
      <c r="DG145" s="546" t="str">
        <f t="shared" si="575"/>
        <v/>
      </c>
      <c r="DH145" s="552" t="str">
        <f t="shared" si="803"/>
        <v/>
      </c>
      <c r="DI145" s="549" t="str">
        <f t="shared" si="804"/>
        <v/>
      </c>
      <c r="DJ145" s="545" t="str">
        <f t="shared" si="805"/>
        <v/>
      </c>
      <c r="DK145" s="546" t="str">
        <f t="shared" si="806"/>
        <v/>
      </c>
      <c r="DL145" s="547" t="str">
        <f t="shared" si="807"/>
        <v/>
      </c>
      <c r="DM145" s="553" t="str">
        <f t="shared" si="808"/>
        <v/>
      </c>
      <c r="DN145" s="561" t="str">
        <f t="shared" si="809"/>
        <v/>
      </c>
      <c r="DO145" s="547" t="str">
        <f t="shared" si="810"/>
        <v/>
      </c>
      <c r="DP145" s="553" t="str">
        <f t="shared" si="811"/>
        <v/>
      </c>
      <c r="DQ145" s="554" t="str">
        <f t="shared" si="812"/>
        <v/>
      </c>
      <c r="DR145" s="553" t="str">
        <f t="shared" si="813"/>
        <v/>
      </c>
      <c r="DS145" s="545" t="str">
        <f t="shared" si="814"/>
        <v/>
      </c>
      <c r="DT145" s="545" t="str">
        <f t="shared" si="815"/>
        <v/>
      </c>
      <c r="DU145" s="545" t="str">
        <f t="shared" si="816"/>
        <v/>
      </c>
      <c r="DV145" s="545" t="str">
        <f t="shared" si="817"/>
        <v/>
      </c>
      <c r="DW145" s="545" t="str">
        <f t="shared" si="818"/>
        <v/>
      </c>
      <c r="DX145" s="560" t="str">
        <f t="shared" si="819"/>
        <v/>
      </c>
      <c r="DY145" s="547" t="str">
        <f t="shared" si="820"/>
        <v/>
      </c>
      <c r="DZ145" s="545" t="str">
        <f t="shared" si="821"/>
        <v/>
      </c>
      <c r="EA145" s="546" t="str">
        <f t="shared" si="822"/>
        <v/>
      </c>
      <c r="EB145" s="548" t="str">
        <f t="shared" si="823"/>
        <v/>
      </c>
      <c r="EC145" s="553" t="str">
        <f t="shared" si="824"/>
        <v/>
      </c>
      <c r="ED145" s="545" t="str">
        <f t="shared" si="825"/>
        <v/>
      </c>
      <c r="EE145" s="549" t="str">
        <f t="shared" si="826"/>
        <v/>
      </c>
      <c r="EF145" s="545" t="str">
        <f t="shared" si="827"/>
        <v/>
      </c>
      <c r="EG145" s="546" t="str">
        <f t="shared" si="828"/>
        <v/>
      </c>
      <c r="EH145" s="547" t="str">
        <f t="shared" si="829"/>
        <v/>
      </c>
      <c r="EI145" s="545" t="str">
        <f t="shared" si="830"/>
        <v/>
      </c>
      <c r="EJ145" s="548" t="str">
        <f t="shared" si="831"/>
        <v/>
      </c>
      <c r="EK145" s="562" t="str">
        <f t="shared" si="605"/>
        <v/>
      </c>
      <c r="EL145" s="563" t="str">
        <f t="shared" si="606"/>
        <v/>
      </c>
      <c r="EM145" s="549" t="str">
        <f t="shared" si="832"/>
        <v/>
      </c>
      <c r="EN145" s="545" t="str">
        <f t="shared" si="833"/>
        <v/>
      </c>
      <c r="EO145" s="546" t="str">
        <f t="shared" si="834"/>
        <v/>
      </c>
      <c r="EP145" s="547" t="str">
        <f t="shared" si="835"/>
        <v/>
      </c>
      <c r="EQ145" s="545" t="str">
        <f t="shared" si="836"/>
        <v/>
      </c>
      <c r="ER145" s="551" t="str">
        <f t="shared" si="837"/>
        <v/>
      </c>
      <c r="ES145" s="544" t="str">
        <f t="shared" si="914"/>
        <v/>
      </c>
      <c r="ET145" s="545" t="str">
        <f t="shared" si="915"/>
        <v/>
      </c>
      <c r="EU145" s="546" t="str">
        <f t="shared" si="916"/>
        <v/>
      </c>
      <c r="EV145" s="178" t="str">
        <f t="shared" si="838"/>
        <v/>
      </c>
      <c r="EW145" s="547" t="str">
        <f t="shared" si="839"/>
        <v/>
      </c>
      <c r="EX145" s="545" t="str">
        <f t="shared" si="840"/>
        <v/>
      </c>
      <c r="EY145" s="548" t="str">
        <f t="shared" si="841"/>
        <v/>
      </c>
      <c r="EZ145" s="555" t="str">
        <f t="shared" si="614"/>
        <v/>
      </c>
      <c r="FA145" s="553" t="str">
        <f t="shared" si="692"/>
        <v/>
      </c>
      <c r="FB145" s="545" t="str">
        <f t="shared" si="693"/>
        <v/>
      </c>
      <c r="FC145" s="548" t="str">
        <f t="shared" si="694"/>
        <v/>
      </c>
      <c r="FD145" s="549" t="str">
        <f t="shared" si="842"/>
        <v/>
      </c>
      <c r="FE145" s="545" t="str">
        <f t="shared" si="843"/>
        <v/>
      </c>
      <c r="FF145" s="551" t="str">
        <f t="shared" si="844"/>
        <v/>
      </c>
      <c r="FG145" s="177" t="str">
        <f t="shared" si="845"/>
        <v/>
      </c>
      <c r="FH145" s="5" t="str">
        <f t="shared" si="846"/>
        <v/>
      </c>
      <c r="FI145" s="10" t="str">
        <f t="shared" si="847"/>
        <v/>
      </c>
      <c r="FJ145" s="290" t="str">
        <f t="shared" si="848"/>
        <v/>
      </c>
      <c r="FK145" s="4" t="str">
        <f t="shared" si="849"/>
        <v/>
      </c>
      <c r="FL145" s="5" t="str">
        <f t="shared" si="850"/>
        <v/>
      </c>
      <c r="FM145" s="8" t="str">
        <f t="shared" si="851"/>
        <v/>
      </c>
      <c r="FN145" s="9" t="str">
        <f t="shared" si="852"/>
        <v/>
      </c>
      <c r="FO145" s="10" t="str">
        <f t="shared" si="853"/>
        <v/>
      </c>
      <c r="FP145" s="288" t="str">
        <f t="shared" si="854"/>
        <v/>
      </c>
      <c r="FQ145" s="177" t="str">
        <f t="shared" si="855"/>
        <v/>
      </c>
      <c r="FR145" s="10" t="str">
        <f t="shared" si="856"/>
        <v/>
      </c>
      <c r="FS145" s="9" t="str">
        <f t="shared" si="857"/>
        <v/>
      </c>
      <c r="FT145" s="6" t="str">
        <f t="shared" si="858"/>
        <v/>
      </c>
      <c r="FU145" s="4" t="str">
        <f t="shared" si="859"/>
        <v/>
      </c>
      <c r="FV145" s="5" t="str">
        <f t="shared" si="860"/>
        <v/>
      </c>
      <c r="FW145" s="8" t="str">
        <f t="shared" si="861"/>
        <v/>
      </c>
      <c r="FX145" s="9" t="str">
        <f t="shared" si="862"/>
        <v/>
      </c>
      <c r="FY145" s="10" t="str">
        <f t="shared" si="863"/>
        <v/>
      </c>
      <c r="FZ145" s="288" t="str">
        <f t="shared" si="864"/>
        <v/>
      </c>
      <c r="GA145" s="181" t="str">
        <f t="shared" si="865"/>
        <v/>
      </c>
      <c r="GB145" s="4" t="str">
        <f t="shared" si="866"/>
        <v/>
      </c>
      <c r="GC145" s="5" t="str">
        <f t="shared" si="867"/>
        <v/>
      </c>
      <c r="GD145" s="10" t="str">
        <f t="shared" si="868"/>
        <v/>
      </c>
      <c r="GE145" s="324" t="str">
        <f t="shared" si="869"/>
        <v/>
      </c>
      <c r="GF145" s="362" t="str">
        <f t="shared" si="870"/>
        <v/>
      </c>
      <c r="GG145" s="317" t="str">
        <f t="shared" si="871"/>
        <v/>
      </c>
      <c r="GH145" s="318" t="str">
        <f t="shared" si="872"/>
        <v/>
      </c>
      <c r="GI145" s="319" t="str">
        <f t="shared" si="873"/>
        <v/>
      </c>
      <c r="GJ145" s="171" t="str">
        <f t="shared" si="874"/>
        <v/>
      </c>
      <c r="GK145" s="178" t="str">
        <f t="shared" si="706"/>
        <v/>
      </c>
      <c r="GL145" s="178" t="str">
        <f t="shared" si="875"/>
        <v/>
      </c>
      <c r="GM145" s="181" t="str">
        <f t="shared" si="876"/>
        <v/>
      </c>
      <c r="GN145" s="291" t="str">
        <f t="shared" si="877"/>
        <v/>
      </c>
      <c r="GO145" s="4" t="str">
        <f t="shared" si="878"/>
        <v/>
      </c>
      <c r="GP145" s="8" t="str">
        <f t="shared" si="879"/>
        <v/>
      </c>
      <c r="GQ145" s="181" t="str">
        <f t="shared" si="880"/>
        <v/>
      </c>
      <c r="GR145" s="417" t="str">
        <f t="shared" si="881"/>
        <v/>
      </c>
      <c r="GS145" s="363" t="str">
        <f t="shared" si="882"/>
        <v/>
      </c>
      <c r="GT145" s="364" t="str">
        <f t="shared" si="883"/>
        <v/>
      </c>
      <c r="GU145" s="365" t="str">
        <f t="shared" si="709"/>
        <v/>
      </c>
      <c r="GV145" s="364" t="str">
        <f t="shared" si="884"/>
        <v/>
      </c>
      <c r="GW145" s="366" t="str">
        <f t="shared" si="710"/>
        <v/>
      </c>
      <c r="GX145" s="367" t="str">
        <f t="shared" si="711"/>
        <v/>
      </c>
      <c r="GY145" s="365" t="str">
        <f t="shared" si="885"/>
        <v/>
      </c>
      <c r="GZ145" s="366" t="str">
        <f t="shared" si="886"/>
        <v/>
      </c>
      <c r="HA145" s="363" t="str">
        <f t="shared" si="714"/>
        <v/>
      </c>
      <c r="HB145" s="5" t="str">
        <f t="shared" si="641"/>
        <v/>
      </c>
      <c r="HC145" s="364" t="str">
        <f t="shared" si="887"/>
        <v/>
      </c>
      <c r="HD145" s="405" t="str">
        <f t="shared" si="888"/>
        <v/>
      </c>
      <c r="HE145" s="365" t="str">
        <f t="shared" si="715"/>
        <v/>
      </c>
      <c r="HF145" s="5" t="str">
        <f t="shared" si="716"/>
        <v/>
      </c>
      <c r="HG145" s="364" t="str">
        <f t="shared" si="889"/>
        <v/>
      </c>
      <c r="HH145" s="370" t="str">
        <f t="shared" si="890"/>
        <v/>
      </c>
      <c r="HI145" s="335" t="str">
        <f t="shared" si="917"/>
        <v/>
      </c>
      <c r="HK145" s="323" t="str">
        <f t="shared" si="891"/>
        <v/>
      </c>
      <c r="HL145" s="322" t="str">
        <f t="shared" si="892"/>
        <v/>
      </c>
      <c r="HM145" s="369" t="str">
        <f t="shared" si="893"/>
        <v/>
      </c>
      <c r="HN145" s="384" t="str">
        <f t="shared" si="893"/>
        <v/>
      </c>
      <c r="HO145" s="385" t="str">
        <f t="shared" si="893"/>
        <v/>
      </c>
      <c r="HP145" s="380" t="str">
        <f t="shared" si="893"/>
        <v/>
      </c>
      <c r="HQ145" s="384" t="str">
        <f t="shared" si="893"/>
        <v/>
      </c>
      <c r="HR145" s="395" t="str">
        <f t="shared" si="893"/>
        <v/>
      </c>
      <c r="HS145" s="379" t="str">
        <f t="shared" si="893"/>
        <v/>
      </c>
      <c r="HT145" s="374" t="str">
        <f t="shared" si="893"/>
        <v/>
      </c>
      <c r="HU145" s="375" t="str">
        <f t="shared" si="893"/>
        <v/>
      </c>
      <c r="HV145" s="376" t="str">
        <f t="shared" si="893"/>
        <v/>
      </c>
      <c r="HW145" s="374" t="str">
        <f t="shared" si="893"/>
        <v/>
      </c>
      <c r="HX145" s="375" t="str">
        <f t="shared" si="893"/>
        <v/>
      </c>
      <c r="HY145" s="376" t="str">
        <f t="shared" si="893"/>
        <v/>
      </c>
      <c r="HZ145" s="374" t="str">
        <f t="shared" si="893"/>
        <v/>
      </c>
      <c r="IA145" s="375" t="str">
        <f t="shared" si="893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23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21"/>
        <v/>
      </c>
      <c r="IK145" s="533" t="str">
        <f t="shared" si="918"/>
        <v/>
      </c>
      <c r="IL145" s="727" t="str">
        <f t="shared" ref="IL145:IL150" si="924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25">IF(ISNUMBER($II145),(($IO145*12)/60)/$AS$3,"")</f>
        <v/>
      </c>
      <c r="IO145" s="771"/>
      <c r="IP145" s="9" t="str">
        <f t="shared" ref="IP145:IP150" si="926">IF(ISNUMBER($II145),(INDEX($X$9:$X$150,MATCH($II145,$M$9:$M$150,0))*-1),"")</f>
        <v/>
      </c>
      <c r="IQ145" s="5" t="str">
        <f t="shared" ref="IQ145:IQ150" si="927">IF(ISNUMBER($II145),INDEX($Y$9:$Y$150,MATCH($II145,$M$9:$M$150,0)),"")</f>
        <v/>
      </c>
      <c r="IR145" s="5" t="str">
        <f t="shared" si="919"/>
        <v/>
      </c>
      <c r="IS145" s="5" t="str">
        <f t="shared" ref="IS145:IS150" si="928">IF(ISNUMBER($II145),$IR145*COS(RADIANS(INDEX($AO$9:$AO$150,MATCH($II145,$M$9:$M$150,0)))),"")</f>
        <v/>
      </c>
      <c r="IT145" s="727" t="str">
        <f t="shared" ref="IT145:IT150" si="929">IF(ISNUMBER($II145),(-1*INDEX($AN$9:$AN$150,MATCH($II145,$M$9:$M$150,0))),"")</f>
        <v/>
      </c>
      <c r="IU145" s="9" t="str">
        <f t="shared" ref="IU145:IU150" si="930">IF(ISNUMBER($II145),-$X145,"")</f>
        <v/>
      </c>
      <c r="IV145" s="5" t="str">
        <f t="shared" ref="IV145:IV150" si="931">IF(ISNUMBER($II145),$Y145,"")</f>
        <v/>
      </c>
      <c r="IW145" s="5" t="str">
        <f t="shared" si="920"/>
        <v/>
      </c>
      <c r="IX145" s="5" t="str">
        <f t="shared" ref="IX145:IX150" si="932">IF(ISNUMBER($II145),$IW145*COS(RADIANS($AO145)),"")</f>
        <v/>
      </c>
      <c r="IY145" s="762" t="str">
        <f t="shared" ref="IY145:IY150" si="933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94"/>
        <v/>
      </c>
      <c r="N146" s="638" t="str">
        <f t="shared" si="895"/>
        <v/>
      </c>
      <c r="O146" s="639" t="str">
        <f t="shared" si="896"/>
        <v/>
      </c>
      <c r="P146" s="640" t="str">
        <f t="shared" si="897"/>
        <v/>
      </c>
      <c r="Q146" s="593" t="str">
        <f t="shared" si="749"/>
        <v/>
      </c>
      <c r="R146" s="639" t="str">
        <f t="shared" si="750"/>
        <v/>
      </c>
      <c r="S146" s="641" t="str">
        <f t="shared" si="751"/>
        <v/>
      </c>
      <c r="T146" s="642" t="str">
        <f t="shared" si="752"/>
        <v/>
      </c>
      <c r="U146" s="639" t="str">
        <f t="shared" si="753"/>
        <v/>
      </c>
      <c r="V146" s="643" t="str">
        <f t="shared" si="754"/>
        <v/>
      </c>
      <c r="W146" s="593" t="str">
        <f t="shared" si="755"/>
        <v/>
      </c>
      <c r="X146" s="639" t="str">
        <f t="shared" si="756"/>
        <v/>
      </c>
      <c r="Y146" s="644" t="str">
        <f t="shared" si="757"/>
        <v/>
      </c>
      <c r="Z146" s="638" t="str">
        <f t="shared" si="898"/>
        <v/>
      </c>
      <c r="AA146" s="639" t="str">
        <f t="shared" si="899"/>
        <v/>
      </c>
      <c r="AB146" s="639" t="str">
        <f t="shared" si="900"/>
        <v/>
      </c>
      <c r="AC146" s="643" t="str">
        <f t="shared" si="758"/>
        <v/>
      </c>
      <c r="AD146" s="645" t="str">
        <f t="shared" si="759"/>
        <v/>
      </c>
      <c r="AE146" s="639" t="str">
        <f t="shared" si="760"/>
        <v/>
      </c>
      <c r="AF146" s="640" t="str">
        <f t="shared" si="761"/>
        <v/>
      </c>
      <c r="AG146" s="604" t="str">
        <f t="shared" si="762"/>
        <v/>
      </c>
      <c r="AH146" s="605" t="str">
        <f t="shared" si="763"/>
        <v/>
      </c>
      <c r="AI146" s="593" t="str">
        <f t="shared" si="764"/>
        <v/>
      </c>
      <c r="AJ146" s="594" t="str">
        <f t="shared" si="765"/>
        <v/>
      </c>
      <c r="AK146" s="642" t="str">
        <f t="shared" si="766"/>
        <v/>
      </c>
      <c r="AL146" s="639" t="str">
        <f t="shared" si="767"/>
        <v/>
      </c>
      <c r="AM146" s="641" t="str">
        <f t="shared" si="768"/>
        <v/>
      </c>
      <c r="AN146" s="591" t="str">
        <f t="shared" si="769"/>
        <v/>
      </c>
      <c r="AO146" s="592" t="str">
        <f t="shared" si="748"/>
        <v/>
      </c>
      <c r="AP146" s="593" t="str">
        <f t="shared" si="770"/>
        <v/>
      </c>
      <c r="AQ146" s="594" t="str">
        <f t="shared" si="901"/>
        <v/>
      </c>
      <c r="AS146" s="555" t="str">
        <f t="shared" si="922"/>
        <v/>
      </c>
      <c r="AT146" s="556" t="str">
        <f t="shared" si="902"/>
        <v/>
      </c>
      <c r="AU146" s="469"/>
      <c r="AV146" s="168" t="str">
        <f t="shared" si="903"/>
        <v/>
      </c>
      <c r="AW146" s="557"/>
      <c r="AX146" s="49"/>
      <c r="AY146" s="242"/>
      <c r="AZ146" s="308" t="str">
        <f t="shared" si="771"/>
        <v/>
      </c>
      <c r="BA146" s="558" t="str">
        <f t="shared" si="772"/>
        <v/>
      </c>
      <c r="BB146" s="559" t="str">
        <f t="shared" si="524"/>
        <v/>
      </c>
      <c r="BC146" s="547"/>
      <c r="BD146" s="545" t="str">
        <f t="shared" si="773"/>
        <v/>
      </c>
      <c r="BE146" s="548" t="str">
        <f t="shared" si="904"/>
        <v/>
      </c>
      <c r="BF146" s="549" t="str">
        <f t="shared" si="905"/>
        <v/>
      </c>
      <c r="BG146" s="545" t="str">
        <f t="shared" si="906"/>
        <v/>
      </c>
      <c r="BH146" s="546" t="str">
        <f t="shared" si="907"/>
        <v/>
      </c>
      <c r="BI146" s="547" t="str">
        <f t="shared" si="774"/>
        <v/>
      </c>
      <c r="BJ146" s="545" t="str">
        <f t="shared" si="908"/>
        <v/>
      </c>
      <c r="BK146" s="550" t="str">
        <f t="shared" si="909"/>
        <v/>
      </c>
      <c r="BL146" s="553" t="str">
        <f t="shared" si="910"/>
        <v/>
      </c>
      <c r="BM146" s="545" t="str">
        <f t="shared" si="911"/>
        <v/>
      </c>
      <c r="BN146" s="548" t="str">
        <f t="shared" si="912"/>
        <v/>
      </c>
      <c r="BO146" s="549" t="str">
        <f t="shared" si="775"/>
        <v/>
      </c>
      <c r="BP146" s="545" t="str">
        <f t="shared" si="776"/>
        <v/>
      </c>
      <c r="BQ146" s="545" t="str">
        <f t="shared" si="777"/>
        <v/>
      </c>
      <c r="BR146" s="548" t="str">
        <f t="shared" si="778"/>
        <v/>
      </c>
      <c r="BS146" s="549" t="str">
        <f t="shared" si="740"/>
        <v/>
      </c>
      <c r="BT146" s="545" t="str">
        <f t="shared" si="740"/>
        <v/>
      </c>
      <c r="BU146" s="546" t="str">
        <f t="shared" si="527"/>
        <v/>
      </c>
      <c r="BV146" s="547" t="str">
        <f t="shared" si="528"/>
        <v/>
      </c>
      <c r="BW146" s="545" t="str">
        <f t="shared" si="529"/>
        <v/>
      </c>
      <c r="BX146" s="550" t="str">
        <f t="shared" si="530"/>
        <v/>
      </c>
      <c r="BY146" s="553" t="str">
        <f t="shared" si="531"/>
        <v/>
      </c>
      <c r="BZ146" s="545" t="str">
        <f t="shared" si="532"/>
        <v/>
      </c>
      <c r="CA146" s="548" t="str">
        <f t="shared" si="533"/>
        <v/>
      </c>
      <c r="CB146" s="549" t="str">
        <f t="shared" si="779"/>
        <v/>
      </c>
      <c r="CC146" s="545" t="str">
        <f t="shared" si="780"/>
        <v/>
      </c>
      <c r="CD146" s="545" t="str">
        <f t="shared" si="781"/>
        <v/>
      </c>
      <c r="CE146" s="548" t="str">
        <f t="shared" si="782"/>
        <v/>
      </c>
      <c r="CF146" s="549" t="str">
        <f t="shared" si="783"/>
        <v/>
      </c>
      <c r="CG146" s="545" t="str">
        <f t="shared" si="784"/>
        <v/>
      </c>
      <c r="CH146" s="545" t="str">
        <f t="shared" si="785"/>
        <v/>
      </c>
      <c r="CI146" s="549" t="str">
        <f t="shared" si="534"/>
        <v/>
      </c>
      <c r="CJ146" s="545" t="str">
        <f t="shared" si="786"/>
        <v/>
      </c>
      <c r="CK146" s="550" t="str">
        <f t="shared" si="787"/>
        <v/>
      </c>
      <c r="CL146" s="553" t="str">
        <f t="shared" si="788"/>
        <v/>
      </c>
      <c r="CM146" s="545" t="str">
        <f t="shared" si="789"/>
        <v/>
      </c>
      <c r="CN146" s="548" t="str">
        <f t="shared" si="790"/>
        <v/>
      </c>
      <c r="CO146" s="560" t="str">
        <f t="shared" si="913"/>
        <v/>
      </c>
      <c r="CP146" s="549" t="str">
        <f t="shared" si="791"/>
        <v/>
      </c>
      <c r="CQ146" s="545" t="str">
        <f t="shared" si="792"/>
        <v/>
      </c>
      <c r="CR146" s="545" t="str">
        <f t="shared" si="793"/>
        <v/>
      </c>
      <c r="CS146" s="550" t="str">
        <f t="shared" si="794"/>
        <v/>
      </c>
      <c r="CT146" s="547" t="str">
        <f t="shared" si="795"/>
        <v/>
      </c>
      <c r="CU146" s="548" t="str">
        <f t="shared" si="796"/>
        <v/>
      </c>
      <c r="CV146" s="549" t="str">
        <f t="shared" si="797"/>
        <v/>
      </c>
      <c r="CW146" s="545" t="str">
        <f t="shared" si="798"/>
        <v/>
      </c>
      <c r="CX146" s="550" t="str">
        <f t="shared" si="799"/>
        <v/>
      </c>
      <c r="CY146" s="547" t="str">
        <f t="shared" si="800"/>
        <v/>
      </c>
      <c r="CZ146" s="545" t="str">
        <f t="shared" si="801"/>
        <v/>
      </c>
      <c r="DA146" s="548" t="str">
        <f t="shared" si="802"/>
        <v/>
      </c>
      <c r="DB146" s="549" t="str">
        <f t="shared" si="743"/>
        <v/>
      </c>
      <c r="DC146" s="545" t="str">
        <f t="shared" si="743"/>
        <v/>
      </c>
      <c r="DD146" s="546" t="str">
        <f t="shared" si="573"/>
        <v/>
      </c>
      <c r="DE146" s="547" t="str">
        <f t="shared" si="744"/>
        <v/>
      </c>
      <c r="DF146" s="545" t="str">
        <f t="shared" si="744"/>
        <v/>
      </c>
      <c r="DG146" s="546" t="str">
        <f t="shared" si="575"/>
        <v/>
      </c>
      <c r="DH146" s="552" t="str">
        <f t="shared" si="803"/>
        <v/>
      </c>
      <c r="DI146" s="549" t="str">
        <f t="shared" si="804"/>
        <v/>
      </c>
      <c r="DJ146" s="545" t="str">
        <f t="shared" si="805"/>
        <v/>
      </c>
      <c r="DK146" s="546" t="str">
        <f t="shared" si="806"/>
        <v/>
      </c>
      <c r="DL146" s="547" t="str">
        <f t="shared" si="807"/>
        <v/>
      </c>
      <c r="DM146" s="553" t="str">
        <f t="shared" si="808"/>
        <v/>
      </c>
      <c r="DN146" s="561" t="str">
        <f t="shared" si="809"/>
        <v/>
      </c>
      <c r="DO146" s="547" t="str">
        <f t="shared" si="810"/>
        <v/>
      </c>
      <c r="DP146" s="553" t="str">
        <f t="shared" si="811"/>
        <v/>
      </c>
      <c r="DQ146" s="554" t="str">
        <f t="shared" si="812"/>
        <v/>
      </c>
      <c r="DR146" s="553" t="str">
        <f t="shared" si="813"/>
        <v/>
      </c>
      <c r="DS146" s="545" t="str">
        <f t="shared" si="814"/>
        <v/>
      </c>
      <c r="DT146" s="545" t="str">
        <f t="shared" si="815"/>
        <v/>
      </c>
      <c r="DU146" s="545" t="str">
        <f t="shared" si="816"/>
        <v/>
      </c>
      <c r="DV146" s="545" t="str">
        <f t="shared" si="817"/>
        <v/>
      </c>
      <c r="DW146" s="545" t="str">
        <f t="shared" si="818"/>
        <v/>
      </c>
      <c r="DX146" s="560" t="str">
        <f t="shared" si="819"/>
        <v/>
      </c>
      <c r="DY146" s="547" t="str">
        <f t="shared" si="820"/>
        <v/>
      </c>
      <c r="DZ146" s="545" t="str">
        <f t="shared" si="821"/>
        <v/>
      </c>
      <c r="EA146" s="546" t="str">
        <f t="shared" si="822"/>
        <v/>
      </c>
      <c r="EB146" s="548" t="str">
        <f t="shared" si="823"/>
        <v/>
      </c>
      <c r="EC146" s="553" t="str">
        <f t="shared" si="824"/>
        <v/>
      </c>
      <c r="ED146" s="545" t="str">
        <f t="shared" si="825"/>
        <v/>
      </c>
      <c r="EE146" s="549" t="str">
        <f t="shared" si="826"/>
        <v/>
      </c>
      <c r="EF146" s="545" t="str">
        <f t="shared" si="827"/>
        <v/>
      </c>
      <c r="EG146" s="546" t="str">
        <f t="shared" si="828"/>
        <v/>
      </c>
      <c r="EH146" s="547" t="str">
        <f t="shared" si="829"/>
        <v/>
      </c>
      <c r="EI146" s="545" t="str">
        <f t="shared" si="830"/>
        <v/>
      </c>
      <c r="EJ146" s="548" t="str">
        <f t="shared" si="831"/>
        <v/>
      </c>
      <c r="EK146" s="562" t="str">
        <f t="shared" si="605"/>
        <v/>
      </c>
      <c r="EL146" s="563" t="str">
        <f t="shared" si="606"/>
        <v/>
      </c>
      <c r="EM146" s="549" t="str">
        <f t="shared" si="832"/>
        <v/>
      </c>
      <c r="EN146" s="545" t="str">
        <f t="shared" si="833"/>
        <v/>
      </c>
      <c r="EO146" s="546" t="str">
        <f t="shared" si="834"/>
        <v/>
      </c>
      <c r="EP146" s="547" t="str">
        <f t="shared" si="835"/>
        <v/>
      </c>
      <c r="EQ146" s="545" t="str">
        <f t="shared" si="836"/>
        <v/>
      </c>
      <c r="ER146" s="551" t="str">
        <f t="shared" si="837"/>
        <v/>
      </c>
      <c r="ES146" s="544" t="str">
        <f t="shared" si="914"/>
        <v/>
      </c>
      <c r="ET146" s="545" t="str">
        <f t="shared" si="915"/>
        <v/>
      </c>
      <c r="EU146" s="546" t="str">
        <f t="shared" si="916"/>
        <v/>
      </c>
      <c r="EV146" s="178" t="str">
        <f t="shared" si="838"/>
        <v/>
      </c>
      <c r="EW146" s="547" t="str">
        <f t="shared" si="839"/>
        <v/>
      </c>
      <c r="EX146" s="545" t="str">
        <f t="shared" si="840"/>
        <v/>
      </c>
      <c r="EY146" s="548" t="str">
        <f t="shared" si="841"/>
        <v/>
      </c>
      <c r="EZ146" s="555" t="str">
        <f t="shared" si="614"/>
        <v/>
      </c>
      <c r="FA146" s="553" t="str">
        <f t="shared" si="692"/>
        <v/>
      </c>
      <c r="FB146" s="545" t="str">
        <f t="shared" si="693"/>
        <v/>
      </c>
      <c r="FC146" s="548" t="str">
        <f t="shared" si="694"/>
        <v/>
      </c>
      <c r="FD146" s="549" t="str">
        <f t="shared" si="842"/>
        <v/>
      </c>
      <c r="FE146" s="545" t="str">
        <f t="shared" si="843"/>
        <v/>
      </c>
      <c r="FF146" s="551" t="str">
        <f t="shared" si="844"/>
        <v/>
      </c>
      <c r="FG146" s="177" t="str">
        <f t="shared" si="845"/>
        <v/>
      </c>
      <c r="FH146" s="5" t="str">
        <f t="shared" si="846"/>
        <v/>
      </c>
      <c r="FI146" s="10" t="str">
        <f t="shared" si="847"/>
        <v/>
      </c>
      <c r="FJ146" s="290" t="str">
        <f t="shared" si="848"/>
        <v/>
      </c>
      <c r="FK146" s="4" t="str">
        <f t="shared" si="849"/>
        <v/>
      </c>
      <c r="FL146" s="5" t="str">
        <f t="shared" si="850"/>
        <v/>
      </c>
      <c r="FM146" s="8" t="str">
        <f t="shared" si="851"/>
        <v/>
      </c>
      <c r="FN146" s="9" t="str">
        <f t="shared" si="852"/>
        <v/>
      </c>
      <c r="FO146" s="10" t="str">
        <f t="shared" si="853"/>
        <v/>
      </c>
      <c r="FP146" s="288" t="str">
        <f t="shared" si="854"/>
        <v/>
      </c>
      <c r="FQ146" s="177" t="str">
        <f t="shared" si="855"/>
        <v/>
      </c>
      <c r="FR146" s="10" t="str">
        <f t="shared" si="856"/>
        <v/>
      </c>
      <c r="FS146" s="9" t="str">
        <f t="shared" si="857"/>
        <v/>
      </c>
      <c r="FT146" s="6" t="str">
        <f t="shared" si="858"/>
        <v/>
      </c>
      <c r="FU146" s="4" t="str">
        <f t="shared" si="859"/>
        <v/>
      </c>
      <c r="FV146" s="5" t="str">
        <f t="shared" si="860"/>
        <v/>
      </c>
      <c r="FW146" s="8" t="str">
        <f t="shared" si="861"/>
        <v/>
      </c>
      <c r="FX146" s="9" t="str">
        <f t="shared" si="862"/>
        <v/>
      </c>
      <c r="FY146" s="10" t="str">
        <f t="shared" si="863"/>
        <v/>
      </c>
      <c r="FZ146" s="288" t="str">
        <f t="shared" si="864"/>
        <v/>
      </c>
      <c r="GA146" s="181" t="str">
        <f t="shared" si="865"/>
        <v/>
      </c>
      <c r="GB146" s="4" t="str">
        <f t="shared" si="866"/>
        <v/>
      </c>
      <c r="GC146" s="5" t="str">
        <f t="shared" si="867"/>
        <v/>
      </c>
      <c r="GD146" s="10" t="str">
        <f t="shared" si="868"/>
        <v/>
      </c>
      <c r="GE146" s="324" t="str">
        <f t="shared" si="869"/>
        <v/>
      </c>
      <c r="GF146" s="362" t="str">
        <f t="shared" si="870"/>
        <v/>
      </c>
      <c r="GG146" s="317" t="str">
        <f t="shared" si="871"/>
        <v/>
      </c>
      <c r="GH146" s="318" t="str">
        <f t="shared" si="872"/>
        <v/>
      </c>
      <c r="GI146" s="319" t="str">
        <f t="shared" si="873"/>
        <v/>
      </c>
      <c r="GJ146" s="171" t="str">
        <f t="shared" si="874"/>
        <v/>
      </c>
      <c r="GK146" s="178" t="str">
        <f t="shared" si="706"/>
        <v/>
      </c>
      <c r="GL146" s="178" t="str">
        <f t="shared" si="875"/>
        <v/>
      </c>
      <c r="GM146" s="181" t="str">
        <f t="shared" si="876"/>
        <v/>
      </c>
      <c r="GN146" s="291" t="str">
        <f t="shared" si="877"/>
        <v/>
      </c>
      <c r="GO146" s="4" t="str">
        <f t="shared" si="878"/>
        <v/>
      </c>
      <c r="GP146" s="8" t="str">
        <f t="shared" si="879"/>
        <v/>
      </c>
      <c r="GQ146" s="181" t="str">
        <f t="shared" si="880"/>
        <v/>
      </c>
      <c r="GR146" s="417" t="str">
        <f t="shared" si="881"/>
        <v/>
      </c>
      <c r="GS146" s="363" t="str">
        <f t="shared" si="882"/>
        <v/>
      </c>
      <c r="GT146" s="364" t="str">
        <f t="shared" si="883"/>
        <v/>
      </c>
      <c r="GU146" s="365" t="str">
        <f t="shared" si="709"/>
        <v/>
      </c>
      <c r="GV146" s="364" t="str">
        <f t="shared" si="884"/>
        <v/>
      </c>
      <c r="GW146" s="366" t="str">
        <f t="shared" si="710"/>
        <v/>
      </c>
      <c r="GX146" s="367" t="str">
        <f t="shared" si="711"/>
        <v/>
      </c>
      <c r="GY146" s="365" t="str">
        <f t="shared" si="885"/>
        <v/>
      </c>
      <c r="GZ146" s="366" t="str">
        <f t="shared" si="886"/>
        <v/>
      </c>
      <c r="HA146" s="363" t="str">
        <f t="shared" si="714"/>
        <v/>
      </c>
      <c r="HB146" s="5" t="str">
        <f t="shared" si="641"/>
        <v/>
      </c>
      <c r="HC146" s="364" t="str">
        <f t="shared" si="887"/>
        <v/>
      </c>
      <c r="HD146" s="405" t="str">
        <f t="shared" si="888"/>
        <v/>
      </c>
      <c r="HE146" s="365" t="str">
        <f t="shared" si="715"/>
        <v/>
      </c>
      <c r="HF146" s="5" t="str">
        <f t="shared" si="716"/>
        <v/>
      </c>
      <c r="HG146" s="364" t="str">
        <f t="shared" si="889"/>
        <v/>
      </c>
      <c r="HH146" s="370" t="str">
        <f t="shared" si="890"/>
        <v/>
      </c>
      <c r="HI146" s="335" t="str">
        <f t="shared" si="917"/>
        <v/>
      </c>
      <c r="HK146" s="323" t="str">
        <f t="shared" si="891"/>
        <v/>
      </c>
      <c r="HL146" s="322" t="str">
        <f t="shared" si="892"/>
        <v/>
      </c>
      <c r="HM146" s="369" t="str">
        <f t="shared" si="893"/>
        <v/>
      </c>
      <c r="HN146" s="384" t="str">
        <f t="shared" si="893"/>
        <v/>
      </c>
      <c r="HO146" s="385" t="str">
        <f t="shared" si="893"/>
        <v/>
      </c>
      <c r="HP146" s="380" t="str">
        <f t="shared" si="893"/>
        <v/>
      </c>
      <c r="HQ146" s="384" t="str">
        <f t="shared" si="893"/>
        <v/>
      </c>
      <c r="HR146" s="395" t="str">
        <f t="shared" si="893"/>
        <v/>
      </c>
      <c r="HS146" s="379" t="str">
        <f t="shared" si="893"/>
        <v/>
      </c>
      <c r="HT146" s="374" t="str">
        <f t="shared" si="893"/>
        <v/>
      </c>
      <c r="HU146" s="375" t="str">
        <f t="shared" si="893"/>
        <v/>
      </c>
      <c r="HV146" s="376" t="str">
        <f t="shared" si="893"/>
        <v/>
      </c>
      <c r="HW146" s="374" t="str">
        <f t="shared" si="893"/>
        <v/>
      </c>
      <c r="HX146" s="375" t="str">
        <f t="shared" si="893"/>
        <v/>
      </c>
      <c r="HY146" s="376" t="str">
        <f t="shared" si="893"/>
        <v/>
      </c>
      <c r="HZ146" s="374" t="str">
        <f t="shared" si="893"/>
        <v/>
      </c>
      <c r="IA146" s="375" t="str">
        <f t="shared" si="893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23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21"/>
        <v/>
      </c>
      <c r="IK146" s="533" t="str">
        <f t="shared" si="918"/>
        <v/>
      </c>
      <c r="IL146" s="727" t="str">
        <f t="shared" si="924"/>
        <v/>
      </c>
      <c r="IM146" s="759"/>
      <c r="IN146" s="5" t="str">
        <f t="shared" si="925"/>
        <v/>
      </c>
      <c r="IO146" s="771"/>
      <c r="IP146" s="9" t="str">
        <f t="shared" si="926"/>
        <v/>
      </c>
      <c r="IQ146" s="5" t="str">
        <f t="shared" si="927"/>
        <v/>
      </c>
      <c r="IR146" s="5" t="str">
        <f t="shared" si="919"/>
        <v/>
      </c>
      <c r="IS146" s="5" t="str">
        <f t="shared" si="928"/>
        <v/>
      </c>
      <c r="IT146" s="727" t="str">
        <f t="shared" si="929"/>
        <v/>
      </c>
      <c r="IU146" s="9" t="str">
        <f t="shared" si="930"/>
        <v/>
      </c>
      <c r="IV146" s="5" t="str">
        <f t="shared" si="931"/>
        <v/>
      </c>
      <c r="IW146" s="5" t="str">
        <f t="shared" si="920"/>
        <v/>
      </c>
      <c r="IX146" s="5" t="str">
        <f t="shared" si="932"/>
        <v/>
      </c>
      <c r="IY146" s="762" t="str">
        <f t="shared" si="933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94"/>
        <v/>
      </c>
      <c r="N147" s="638" t="str">
        <f t="shared" si="895"/>
        <v/>
      </c>
      <c r="O147" s="639" t="str">
        <f t="shared" si="896"/>
        <v/>
      </c>
      <c r="P147" s="640" t="str">
        <f t="shared" si="897"/>
        <v/>
      </c>
      <c r="Q147" s="593" t="str">
        <f t="shared" si="749"/>
        <v/>
      </c>
      <c r="R147" s="639" t="str">
        <f t="shared" si="750"/>
        <v/>
      </c>
      <c r="S147" s="641" t="str">
        <f t="shared" si="751"/>
        <v/>
      </c>
      <c r="T147" s="642" t="str">
        <f t="shared" si="752"/>
        <v/>
      </c>
      <c r="U147" s="639" t="str">
        <f t="shared" si="753"/>
        <v/>
      </c>
      <c r="V147" s="643" t="str">
        <f t="shared" si="754"/>
        <v/>
      </c>
      <c r="W147" s="593" t="str">
        <f t="shared" si="755"/>
        <v/>
      </c>
      <c r="X147" s="639" t="str">
        <f t="shared" si="756"/>
        <v/>
      </c>
      <c r="Y147" s="644" t="str">
        <f t="shared" si="757"/>
        <v/>
      </c>
      <c r="Z147" s="638" t="str">
        <f t="shared" si="898"/>
        <v/>
      </c>
      <c r="AA147" s="639" t="str">
        <f t="shared" si="899"/>
        <v/>
      </c>
      <c r="AB147" s="639" t="str">
        <f t="shared" si="900"/>
        <v/>
      </c>
      <c r="AC147" s="643" t="str">
        <f t="shared" si="758"/>
        <v/>
      </c>
      <c r="AD147" s="645" t="str">
        <f t="shared" si="759"/>
        <v/>
      </c>
      <c r="AE147" s="639" t="str">
        <f t="shared" si="760"/>
        <v/>
      </c>
      <c r="AF147" s="640" t="str">
        <f t="shared" si="761"/>
        <v/>
      </c>
      <c r="AG147" s="604" t="str">
        <f t="shared" si="762"/>
        <v/>
      </c>
      <c r="AH147" s="605" t="str">
        <f t="shared" si="763"/>
        <v/>
      </c>
      <c r="AI147" s="593" t="str">
        <f t="shared" si="764"/>
        <v/>
      </c>
      <c r="AJ147" s="594" t="str">
        <f t="shared" si="765"/>
        <v/>
      </c>
      <c r="AK147" s="642" t="str">
        <f t="shared" si="766"/>
        <v/>
      </c>
      <c r="AL147" s="639" t="str">
        <f t="shared" si="767"/>
        <v/>
      </c>
      <c r="AM147" s="641" t="str">
        <f t="shared" si="768"/>
        <v/>
      </c>
      <c r="AN147" s="591" t="str">
        <f t="shared" si="769"/>
        <v/>
      </c>
      <c r="AO147" s="592" t="str">
        <f t="shared" si="748"/>
        <v/>
      </c>
      <c r="AP147" s="593" t="str">
        <f t="shared" si="770"/>
        <v/>
      </c>
      <c r="AQ147" s="594" t="str">
        <f t="shared" si="901"/>
        <v/>
      </c>
      <c r="AS147" s="555" t="str">
        <f t="shared" si="922"/>
        <v/>
      </c>
      <c r="AT147" s="556" t="str">
        <f t="shared" si="902"/>
        <v/>
      </c>
      <c r="AU147" s="469"/>
      <c r="AV147" s="168" t="str">
        <f t="shared" si="903"/>
        <v/>
      </c>
      <c r="AW147" s="557"/>
      <c r="AX147" s="49"/>
      <c r="AY147" s="242"/>
      <c r="AZ147" s="308" t="str">
        <f t="shared" si="771"/>
        <v/>
      </c>
      <c r="BA147" s="558" t="str">
        <f t="shared" si="772"/>
        <v/>
      </c>
      <c r="BB147" s="559" t="str">
        <f t="shared" si="524"/>
        <v/>
      </c>
      <c r="BC147" s="547"/>
      <c r="BD147" s="545" t="str">
        <f t="shared" si="773"/>
        <v/>
      </c>
      <c r="BE147" s="548" t="str">
        <f t="shared" si="904"/>
        <v/>
      </c>
      <c r="BF147" s="549" t="str">
        <f t="shared" si="905"/>
        <v/>
      </c>
      <c r="BG147" s="545" t="str">
        <f t="shared" si="906"/>
        <v/>
      </c>
      <c r="BH147" s="546" t="str">
        <f t="shared" si="907"/>
        <v/>
      </c>
      <c r="BI147" s="547" t="str">
        <f t="shared" si="774"/>
        <v/>
      </c>
      <c r="BJ147" s="545" t="str">
        <f t="shared" si="908"/>
        <v/>
      </c>
      <c r="BK147" s="550" t="str">
        <f t="shared" si="909"/>
        <v/>
      </c>
      <c r="BL147" s="553" t="str">
        <f t="shared" si="910"/>
        <v/>
      </c>
      <c r="BM147" s="545" t="str">
        <f t="shared" si="911"/>
        <v/>
      </c>
      <c r="BN147" s="548" t="str">
        <f t="shared" si="912"/>
        <v/>
      </c>
      <c r="BO147" s="549" t="str">
        <f t="shared" si="775"/>
        <v/>
      </c>
      <c r="BP147" s="545" t="str">
        <f t="shared" si="776"/>
        <v/>
      </c>
      <c r="BQ147" s="545" t="str">
        <f t="shared" si="777"/>
        <v/>
      </c>
      <c r="BR147" s="548" t="str">
        <f t="shared" si="778"/>
        <v/>
      </c>
      <c r="BS147" s="549" t="str">
        <f t="shared" si="740"/>
        <v/>
      </c>
      <c r="BT147" s="545" t="str">
        <f t="shared" si="740"/>
        <v/>
      </c>
      <c r="BU147" s="546" t="str">
        <f t="shared" si="527"/>
        <v/>
      </c>
      <c r="BV147" s="547" t="str">
        <f t="shared" si="528"/>
        <v/>
      </c>
      <c r="BW147" s="545" t="str">
        <f t="shared" si="529"/>
        <v/>
      </c>
      <c r="BX147" s="550" t="str">
        <f t="shared" si="530"/>
        <v/>
      </c>
      <c r="BY147" s="553" t="str">
        <f t="shared" si="531"/>
        <v/>
      </c>
      <c r="BZ147" s="545" t="str">
        <f t="shared" si="532"/>
        <v/>
      </c>
      <c r="CA147" s="548" t="str">
        <f t="shared" si="533"/>
        <v/>
      </c>
      <c r="CB147" s="549" t="str">
        <f t="shared" si="779"/>
        <v/>
      </c>
      <c r="CC147" s="545" t="str">
        <f t="shared" si="780"/>
        <v/>
      </c>
      <c r="CD147" s="545" t="str">
        <f t="shared" si="781"/>
        <v/>
      </c>
      <c r="CE147" s="548" t="str">
        <f t="shared" si="782"/>
        <v/>
      </c>
      <c r="CF147" s="549" t="str">
        <f t="shared" si="783"/>
        <v/>
      </c>
      <c r="CG147" s="545" t="str">
        <f t="shared" si="784"/>
        <v/>
      </c>
      <c r="CH147" s="545" t="str">
        <f t="shared" si="785"/>
        <v/>
      </c>
      <c r="CI147" s="549" t="str">
        <f t="shared" si="534"/>
        <v/>
      </c>
      <c r="CJ147" s="545" t="str">
        <f t="shared" si="786"/>
        <v/>
      </c>
      <c r="CK147" s="550" t="str">
        <f t="shared" si="787"/>
        <v/>
      </c>
      <c r="CL147" s="553" t="str">
        <f t="shared" si="788"/>
        <v/>
      </c>
      <c r="CM147" s="545" t="str">
        <f t="shared" si="789"/>
        <v/>
      </c>
      <c r="CN147" s="548" t="str">
        <f t="shared" si="790"/>
        <v/>
      </c>
      <c r="CO147" s="560" t="str">
        <f t="shared" si="913"/>
        <v/>
      </c>
      <c r="CP147" s="549" t="str">
        <f t="shared" si="791"/>
        <v/>
      </c>
      <c r="CQ147" s="545" t="str">
        <f t="shared" si="792"/>
        <v/>
      </c>
      <c r="CR147" s="545" t="str">
        <f t="shared" si="793"/>
        <v/>
      </c>
      <c r="CS147" s="550" t="str">
        <f t="shared" si="794"/>
        <v/>
      </c>
      <c r="CT147" s="547" t="str">
        <f t="shared" si="795"/>
        <v/>
      </c>
      <c r="CU147" s="548" t="str">
        <f t="shared" si="796"/>
        <v/>
      </c>
      <c r="CV147" s="549" t="str">
        <f t="shared" si="797"/>
        <v/>
      </c>
      <c r="CW147" s="545" t="str">
        <f t="shared" si="798"/>
        <v/>
      </c>
      <c r="CX147" s="550" t="str">
        <f t="shared" si="799"/>
        <v/>
      </c>
      <c r="CY147" s="547" t="str">
        <f t="shared" si="800"/>
        <v/>
      </c>
      <c r="CZ147" s="545" t="str">
        <f t="shared" si="801"/>
        <v/>
      </c>
      <c r="DA147" s="548" t="str">
        <f t="shared" si="802"/>
        <v/>
      </c>
      <c r="DB147" s="549" t="str">
        <f t="shared" si="743"/>
        <v/>
      </c>
      <c r="DC147" s="545" t="str">
        <f t="shared" si="743"/>
        <v/>
      </c>
      <c r="DD147" s="546" t="str">
        <f t="shared" si="573"/>
        <v/>
      </c>
      <c r="DE147" s="547" t="str">
        <f t="shared" si="744"/>
        <v/>
      </c>
      <c r="DF147" s="545" t="str">
        <f t="shared" si="744"/>
        <v/>
      </c>
      <c r="DG147" s="546" t="str">
        <f t="shared" si="575"/>
        <v/>
      </c>
      <c r="DH147" s="552" t="str">
        <f t="shared" si="803"/>
        <v/>
      </c>
      <c r="DI147" s="549" t="str">
        <f t="shared" si="804"/>
        <v/>
      </c>
      <c r="DJ147" s="545" t="str">
        <f t="shared" si="805"/>
        <v/>
      </c>
      <c r="DK147" s="546" t="str">
        <f t="shared" si="806"/>
        <v/>
      </c>
      <c r="DL147" s="547" t="str">
        <f t="shared" si="807"/>
        <v/>
      </c>
      <c r="DM147" s="553" t="str">
        <f t="shared" si="808"/>
        <v/>
      </c>
      <c r="DN147" s="561" t="str">
        <f t="shared" si="809"/>
        <v/>
      </c>
      <c r="DO147" s="547" t="str">
        <f t="shared" si="810"/>
        <v/>
      </c>
      <c r="DP147" s="553" t="str">
        <f t="shared" si="811"/>
        <v/>
      </c>
      <c r="DQ147" s="554" t="str">
        <f t="shared" si="812"/>
        <v/>
      </c>
      <c r="DR147" s="553" t="str">
        <f t="shared" si="813"/>
        <v/>
      </c>
      <c r="DS147" s="545" t="str">
        <f t="shared" si="814"/>
        <v/>
      </c>
      <c r="DT147" s="545" t="str">
        <f t="shared" si="815"/>
        <v/>
      </c>
      <c r="DU147" s="545" t="str">
        <f t="shared" si="816"/>
        <v/>
      </c>
      <c r="DV147" s="545" t="str">
        <f t="shared" si="817"/>
        <v/>
      </c>
      <c r="DW147" s="545" t="str">
        <f t="shared" si="818"/>
        <v/>
      </c>
      <c r="DX147" s="560" t="str">
        <f t="shared" si="819"/>
        <v/>
      </c>
      <c r="DY147" s="547" t="str">
        <f t="shared" si="820"/>
        <v/>
      </c>
      <c r="DZ147" s="545" t="str">
        <f t="shared" si="821"/>
        <v/>
      </c>
      <c r="EA147" s="546" t="str">
        <f t="shared" si="822"/>
        <v/>
      </c>
      <c r="EB147" s="548" t="str">
        <f t="shared" si="823"/>
        <v/>
      </c>
      <c r="EC147" s="553" t="str">
        <f t="shared" si="824"/>
        <v/>
      </c>
      <c r="ED147" s="545" t="str">
        <f t="shared" si="825"/>
        <v/>
      </c>
      <c r="EE147" s="549" t="str">
        <f t="shared" si="826"/>
        <v/>
      </c>
      <c r="EF147" s="545" t="str">
        <f t="shared" si="827"/>
        <v/>
      </c>
      <c r="EG147" s="546" t="str">
        <f t="shared" si="828"/>
        <v/>
      </c>
      <c r="EH147" s="547" t="str">
        <f t="shared" si="829"/>
        <v/>
      </c>
      <c r="EI147" s="545" t="str">
        <f t="shared" si="830"/>
        <v/>
      </c>
      <c r="EJ147" s="548" t="str">
        <f t="shared" si="831"/>
        <v/>
      </c>
      <c r="EK147" s="562" t="str">
        <f t="shared" si="605"/>
        <v/>
      </c>
      <c r="EL147" s="563" t="str">
        <f t="shared" si="606"/>
        <v/>
      </c>
      <c r="EM147" s="549" t="str">
        <f t="shared" si="832"/>
        <v/>
      </c>
      <c r="EN147" s="545" t="str">
        <f t="shared" si="833"/>
        <v/>
      </c>
      <c r="EO147" s="546" t="str">
        <f t="shared" si="834"/>
        <v/>
      </c>
      <c r="EP147" s="547" t="str">
        <f t="shared" si="835"/>
        <v/>
      </c>
      <c r="EQ147" s="545" t="str">
        <f t="shared" si="836"/>
        <v/>
      </c>
      <c r="ER147" s="551" t="str">
        <f t="shared" si="837"/>
        <v/>
      </c>
      <c r="ES147" s="544" t="str">
        <f t="shared" si="914"/>
        <v/>
      </c>
      <c r="ET147" s="545" t="str">
        <f t="shared" si="915"/>
        <v/>
      </c>
      <c r="EU147" s="546" t="str">
        <f t="shared" si="916"/>
        <v/>
      </c>
      <c r="EV147" s="178" t="str">
        <f t="shared" si="838"/>
        <v/>
      </c>
      <c r="EW147" s="547" t="str">
        <f t="shared" si="839"/>
        <v/>
      </c>
      <c r="EX147" s="545" t="str">
        <f t="shared" si="840"/>
        <v/>
      </c>
      <c r="EY147" s="548" t="str">
        <f t="shared" si="841"/>
        <v/>
      </c>
      <c r="EZ147" s="555" t="str">
        <f t="shared" si="614"/>
        <v/>
      </c>
      <c r="FA147" s="553" t="str">
        <f t="shared" si="692"/>
        <v/>
      </c>
      <c r="FB147" s="545" t="str">
        <f t="shared" si="693"/>
        <v/>
      </c>
      <c r="FC147" s="548" t="str">
        <f t="shared" si="694"/>
        <v/>
      </c>
      <c r="FD147" s="549" t="str">
        <f t="shared" si="842"/>
        <v/>
      </c>
      <c r="FE147" s="545" t="str">
        <f t="shared" si="843"/>
        <v/>
      </c>
      <c r="FF147" s="551" t="str">
        <f t="shared" si="844"/>
        <v/>
      </c>
      <c r="FG147" s="177" t="str">
        <f t="shared" si="845"/>
        <v/>
      </c>
      <c r="FH147" s="5" t="str">
        <f t="shared" si="846"/>
        <v/>
      </c>
      <c r="FI147" s="10" t="str">
        <f t="shared" si="847"/>
        <v/>
      </c>
      <c r="FJ147" s="290" t="str">
        <f t="shared" si="848"/>
        <v/>
      </c>
      <c r="FK147" s="4" t="str">
        <f t="shared" si="849"/>
        <v/>
      </c>
      <c r="FL147" s="5" t="str">
        <f t="shared" si="850"/>
        <v/>
      </c>
      <c r="FM147" s="8" t="str">
        <f t="shared" si="851"/>
        <v/>
      </c>
      <c r="FN147" s="9" t="str">
        <f t="shared" si="852"/>
        <v/>
      </c>
      <c r="FO147" s="10" t="str">
        <f t="shared" si="853"/>
        <v/>
      </c>
      <c r="FP147" s="288" t="str">
        <f t="shared" si="854"/>
        <v/>
      </c>
      <c r="FQ147" s="177" t="str">
        <f t="shared" si="855"/>
        <v/>
      </c>
      <c r="FR147" s="10" t="str">
        <f t="shared" si="856"/>
        <v/>
      </c>
      <c r="FS147" s="9" t="str">
        <f t="shared" si="857"/>
        <v/>
      </c>
      <c r="FT147" s="6" t="str">
        <f t="shared" si="858"/>
        <v/>
      </c>
      <c r="FU147" s="4" t="str">
        <f t="shared" si="859"/>
        <v/>
      </c>
      <c r="FV147" s="5" t="str">
        <f t="shared" si="860"/>
        <v/>
      </c>
      <c r="FW147" s="8" t="str">
        <f t="shared" si="861"/>
        <v/>
      </c>
      <c r="FX147" s="9" t="str">
        <f t="shared" si="862"/>
        <v/>
      </c>
      <c r="FY147" s="10" t="str">
        <f t="shared" si="863"/>
        <v/>
      </c>
      <c r="FZ147" s="288" t="str">
        <f t="shared" si="864"/>
        <v/>
      </c>
      <c r="GA147" s="181" t="str">
        <f t="shared" si="865"/>
        <v/>
      </c>
      <c r="GB147" s="4" t="str">
        <f t="shared" si="866"/>
        <v/>
      </c>
      <c r="GC147" s="5" t="str">
        <f t="shared" si="867"/>
        <v/>
      </c>
      <c r="GD147" s="10" t="str">
        <f t="shared" si="868"/>
        <v/>
      </c>
      <c r="GE147" s="324" t="str">
        <f t="shared" si="869"/>
        <v/>
      </c>
      <c r="GF147" s="362" t="str">
        <f t="shared" si="870"/>
        <v/>
      </c>
      <c r="GG147" s="317" t="str">
        <f t="shared" si="871"/>
        <v/>
      </c>
      <c r="GH147" s="318" t="str">
        <f t="shared" si="872"/>
        <v/>
      </c>
      <c r="GI147" s="319" t="str">
        <f t="shared" si="873"/>
        <v/>
      </c>
      <c r="GJ147" s="171" t="str">
        <f t="shared" si="874"/>
        <v/>
      </c>
      <c r="GK147" s="178" t="str">
        <f t="shared" si="706"/>
        <v/>
      </c>
      <c r="GL147" s="178" t="str">
        <f t="shared" si="875"/>
        <v/>
      </c>
      <c r="GM147" s="181" t="str">
        <f t="shared" si="876"/>
        <v/>
      </c>
      <c r="GN147" s="291" t="str">
        <f t="shared" si="877"/>
        <v/>
      </c>
      <c r="GO147" s="4" t="str">
        <f t="shared" si="878"/>
        <v/>
      </c>
      <c r="GP147" s="8" t="str">
        <f t="shared" si="879"/>
        <v/>
      </c>
      <c r="GQ147" s="181" t="str">
        <f t="shared" si="880"/>
        <v/>
      </c>
      <c r="GR147" s="417" t="str">
        <f t="shared" si="881"/>
        <v/>
      </c>
      <c r="GS147" s="363" t="str">
        <f t="shared" si="882"/>
        <v/>
      </c>
      <c r="GT147" s="364" t="str">
        <f t="shared" si="883"/>
        <v/>
      </c>
      <c r="GU147" s="365" t="str">
        <f t="shared" si="709"/>
        <v/>
      </c>
      <c r="GV147" s="364" t="str">
        <f t="shared" si="884"/>
        <v/>
      </c>
      <c r="GW147" s="366" t="str">
        <f t="shared" si="710"/>
        <v/>
      </c>
      <c r="GX147" s="367" t="str">
        <f t="shared" si="711"/>
        <v/>
      </c>
      <c r="GY147" s="365" t="str">
        <f t="shared" si="885"/>
        <v/>
      </c>
      <c r="GZ147" s="366" t="str">
        <f t="shared" si="886"/>
        <v/>
      </c>
      <c r="HA147" s="363" t="str">
        <f t="shared" si="714"/>
        <v/>
      </c>
      <c r="HB147" s="5" t="str">
        <f t="shared" si="641"/>
        <v/>
      </c>
      <c r="HC147" s="364" t="str">
        <f t="shared" si="887"/>
        <v/>
      </c>
      <c r="HD147" s="405" t="str">
        <f t="shared" si="888"/>
        <v/>
      </c>
      <c r="HE147" s="365" t="str">
        <f t="shared" si="715"/>
        <v/>
      </c>
      <c r="HF147" s="5" t="str">
        <f t="shared" si="716"/>
        <v/>
      </c>
      <c r="HG147" s="364" t="str">
        <f t="shared" si="889"/>
        <v/>
      </c>
      <c r="HH147" s="370" t="str">
        <f t="shared" si="890"/>
        <v/>
      </c>
      <c r="HI147" s="335" t="str">
        <f t="shared" si="917"/>
        <v/>
      </c>
      <c r="HK147" s="323" t="str">
        <f t="shared" si="891"/>
        <v/>
      </c>
      <c r="HL147" s="322" t="str">
        <f t="shared" si="892"/>
        <v/>
      </c>
      <c r="HM147" s="369" t="str">
        <f t="shared" ref="HM147:IA150" si="934">IF(ISNUMBER($HL147),VLOOKUP($HL147,$GJ$9:$HI$150,HM$1,FALSE),"")</f>
        <v/>
      </c>
      <c r="HN147" s="384" t="str">
        <f t="shared" si="934"/>
        <v/>
      </c>
      <c r="HO147" s="385" t="str">
        <f t="shared" si="934"/>
        <v/>
      </c>
      <c r="HP147" s="380" t="str">
        <f t="shared" si="934"/>
        <v/>
      </c>
      <c r="HQ147" s="384" t="str">
        <f t="shared" si="934"/>
        <v/>
      </c>
      <c r="HR147" s="395" t="str">
        <f t="shared" si="934"/>
        <v/>
      </c>
      <c r="HS147" s="379" t="str">
        <f t="shared" si="934"/>
        <v/>
      </c>
      <c r="HT147" s="374" t="str">
        <f t="shared" si="934"/>
        <v/>
      </c>
      <c r="HU147" s="375" t="str">
        <f t="shared" si="934"/>
        <v/>
      </c>
      <c r="HV147" s="376" t="str">
        <f t="shared" si="934"/>
        <v/>
      </c>
      <c r="HW147" s="374" t="str">
        <f t="shared" si="934"/>
        <v/>
      </c>
      <c r="HX147" s="375" t="str">
        <f t="shared" si="934"/>
        <v/>
      </c>
      <c r="HY147" s="376" t="str">
        <f t="shared" si="934"/>
        <v/>
      </c>
      <c r="HZ147" s="374" t="str">
        <f t="shared" si="934"/>
        <v/>
      </c>
      <c r="IA147" s="375" t="str">
        <f t="shared" si="934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23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21"/>
        <v/>
      </c>
      <c r="IK147" s="533" t="str">
        <f t="shared" si="918"/>
        <v/>
      </c>
      <c r="IL147" s="727" t="str">
        <f t="shared" si="924"/>
        <v/>
      </c>
      <c r="IM147" s="759"/>
      <c r="IN147" s="5" t="str">
        <f t="shared" si="925"/>
        <v/>
      </c>
      <c r="IO147" s="771"/>
      <c r="IP147" s="9" t="str">
        <f t="shared" si="926"/>
        <v/>
      </c>
      <c r="IQ147" s="5" t="str">
        <f t="shared" si="927"/>
        <v/>
      </c>
      <c r="IR147" s="5" t="str">
        <f t="shared" si="919"/>
        <v/>
      </c>
      <c r="IS147" s="5" t="str">
        <f t="shared" si="928"/>
        <v/>
      </c>
      <c r="IT147" s="727" t="str">
        <f t="shared" si="929"/>
        <v/>
      </c>
      <c r="IU147" s="9" t="str">
        <f t="shared" si="930"/>
        <v/>
      </c>
      <c r="IV147" s="5" t="str">
        <f t="shared" si="931"/>
        <v/>
      </c>
      <c r="IW147" s="5" t="str">
        <f t="shared" si="920"/>
        <v/>
      </c>
      <c r="IX147" s="5" t="str">
        <f t="shared" si="932"/>
        <v/>
      </c>
      <c r="IY147" s="762" t="str">
        <f t="shared" si="933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94"/>
        <v/>
      </c>
      <c r="N148" s="638" t="str">
        <f t="shared" si="895"/>
        <v/>
      </c>
      <c r="O148" s="639" t="str">
        <f t="shared" si="896"/>
        <v/>
      </c>
      <c r="P148" s="640" t="str">
        <f t="shared" si="897"/>
        <v/>
      </c>
      <c r="Q148" s="593" t="str">
        <f t="shared" si="749"/>
        <v/>
      </c>
      <c r="R148" s="639" t="str">
        <f t="shared" si="750"/>
        <v/>
      </c>
      <c r="S148" s="641" t="str">
        <f t="shared" si="751"/>
        <v/>
      </c>
      <c r="T148" s="642" t="str">
        <f t="shared" si="752"/>
        <v/>
      </c>
      <c r="U148" s="639" t="str">
        <f t="shared" si="753"/>
        <v/>
      </c>
      <c r="V148" s="643" t="str">
        <f t="shared" si="754"/>
        <v/>
      </c>
      <c r="W148" s="593" t="str">
        <f t="shared" si="755"/>
        <v/>
      </c>
      <c r="X148" s="639" t="str">
        <f t="shared" si="756"/>
        <v/>
      </c>
      <c r="Y148" s="644" t="str">
        <f t="shared" si="757"/>
        <v/>
      </c>
      <c r="Z148" s="638" t="str">
        <f t="shared" si="898"/>
        <v/>
      </c>
      <c r="AA148" s="639" t="str">
        <f t="shared" si="899"/>
        <v/>
      </c>
      <c r="AB148" s="639" t="str">
        <f t="shared" si="900"/>
        <v/>
      </c>
      <c r="AC148" s="643" t="str">
        <f t="shared" si="758"/>
        <v/>
      </c>
      <c r="AD148" s="645" t="str">
        <f t="shared" si="759"/>
        <v/>
      </c>
      <c r="AE148" s="639" t="str">
        <f t="shared" si="760"/>
        <v/>
      </c>
      <c r="AF148" s="640" t="str">
        <f t="shared" si="761"/>
        <v/>
      </c>
      <c r="AG148" s="604" t="str">
        <f t="shared" si="762"/>
        <v/>
      </c>
      <c r="AH148" s="605" t="str">
        <f t="shared" si="763"/>
        <v/>
      </c>
      <c r="AI148" s="593" t="str">
        <f t="shared" si="764"/>
        <v/>
      </c>
      <c r="AJ148" s="594" t="str">
        <f t="shared" si="765"/>
        <v/>
      </c>
      <c r="AK148" s="642" t="str">
        <f t="shared" si="766"/>
        <v/>
      </c>
      <c r="AL148" s="639" t="str">
        <f t="shared" si="767"/>
        <v/>
      </c>
      <c r="AM148" s="641" t="str">
        <f t="shared" si="768"/>
        <v/>
      </c>
      <c r="AN148" s="591" t="str">
        <f t="shared" si="769"/>
        <v/>
      </c>
      <c r="AO148" s="592" t="str">
        <f t="shared" si="748"/>
        <v/>
      </c>
      <c r="AP148" s="593" t="str">
        <f t="shared" si="770"/>
        <v/>
      </c>
      <c r="AQ148" s="594" t="str">
        <f t="shared" si="901"/>
        <v/>
      </c>
      <c r="AS148" s="555" t="str">
        <f t="shared" si="922"/>
        <v/>
      </c>
      <c r="AT148" s="556" t="str">
        <f t="shared" si="902"/>
        <v/>
      </c>
      <c r="AU148" s="469"/>
      <c r="AV148" s="168" t="str">
        <f t="shared" si="903"/>
        <v/>
      </c>
      <c r="AW148" s="557"/>
      <c r="AX148" s="49"/>
      <c r="AY148" s="242"/>
      <c r="AZ148" s="308" t="str">
        <f t="shared" si="771"/>
        <v/>
      </c>
      <c r="BA148" s="558" t="str">
        <f t="shared" si="772"/>
        <v/>
      </c>
      <c r="BB148" s="559" t="str">
        <f t="shared" si="524"/>
        <v/>
      </c>
      <c r="BC148" s="547"/>
      <c r="BD148" s="545" t="str">
        <f t="shared" si="773"/>
        <v/>
      </c>
      <c r="BE148" s="548" t="str">
        <f t="shared" si="904"/>
        <v/>
      </c>
      <c r="BF148" s="549" t="str">
        <f t="shared" si="905"/>
        <v/>
      </c>
      <c r="BG148" s="545" t="str">
        <f t="shared" si="906"/>
        <v/>
      </c>
      <c r="BH148" s="546" t="str">
        <f t="shared" si="907"/>
        <v/>
      </c>
      <c r="BI148" s="547" t="str">
        <f t="shared" si="774"/>
        <v/>
      </c>
      <c r="BJ148" s="545" t="str">
        <f t="shared" si="908"/>
        <v/>
      </c>
      <c r="BK148" s="550" t="str">
        <f t="shared" si="909"/>
        <v/>
      </c>
      <c r="BL148" s="553" t="str">
        <f t="shared" si="910"/>
        <v/>
      </c>
      <c r="BM148" s="545" t="str">
        <f t="shared" si="911"/>
        <v/>
      </c>
      <c r="BN148" s="548" t="str">
        <f t="shared" si="912"/>
        <v/>
      </c>
      <c r="BO148" s="549" t="str">
        <f t="shared" si="775"/>
        <v/>
      </c>
      <c r="BP148" s="545" t="str">
        <f t="shared" si="776"/>
        <v/>
      </c>
      <c r="BQ148" s="545" t="str">
        <f t="shared" si="777"/>
        <v/>
      </c>
      <c r="BR148" s="548" t="str">
        <f t="shared" si="778"/>
        <v/>
      </c>
      <c r="BS148" s="549" t="str">
        <f t="shared" si="740"/>
        <v/>
      </c>
      <c r="BT148" s="545" t="str">
        <f t="shared" si="740"/>
        <v/>
      </c>
      <c r="BU148" s="546" t="str">
        <f t="shared" si="527"/>
        <v/>
      </c>
      <c r="BV148" s="547" t="str">
        <f t="shared" si="528"/>
        <v/>
      </c>
      <c r="BW148" s="545" t="str">
        <f t="shared" si="529"/>
        <v/>
      </c>
      <c r="BX148" s="550" t="str">
        <f t="shared" si="530"/>
        <v/>
      </c>
      <c r="BY148" s="553" t="str">
        <f t="shared" si="531"/>
        <v/>
      </c>
      <c r="BZ148" s="545" t="str">
        <f t="shared" si="532"/>
        <v/>
      </c>
      <c r="CA148" s="548" t="str">
        <f t="shared" si="533"/>
        <v/>
      </c>
      <c r="CB148" s="549" t="str">
        <f t="shared" si="779"/>
        <v/>
      </c>
      <c r="CC148" s="545" t="str">
        <f t="shared" si="780"/>
        <v/>
      </c>
      <c r="CD148" s="545" t="str">
        <f t="shared" si="781"/>
        <v/>
      </c>
      <c r="CE148" s="548" t="str">
        <f t="shared" si="782"/>
        <v/>
      </c>
      <c r="CF148" s="549" t="str">
        <f t="shared" si="783"/>
        <v/>
      </c>
      <c r="CG148" s="545" t="str">
        <f t="shared" si="784"/>
        <v/>
      </c>
      <c r="CH148" s="545" t="str">
        <f t="shared" si="785"/>
        <v/>
      </c>
      <c r="CI148" s="549" t="str">
        <f t="shared" si="534"/>
        <v/>
      </c>
      <c r="CJ148" s="545" t="str">
        <f t="shared" si="786"/>
        <v/>
      </c>
      <c r="CK148" s="550" t="str">
        <f t="shared" si="787"/>
        <v/>
      </c>
      <c r="CL148" s="553" t="str">
        <f t="shared" si="788"/>
        <v/>
      </c>
      <c r="CM148" s="545" t="str">
        <f t="shared" si="789"/>
        <v/>
      </c>
      <c r="CN148" s="548" t="str">
        <f t="shared" si="790"/>
        <v/>
      </c>
      <c r="CO148" s="560" t="str">
        <f t="shared" si="913"/>
        <v/>
      </c>
      <c r="CP148" s="549" t="str">
        <f t="shared" si="791"/>
        <v/>
      </c>
      <c r="CQ148" s="545" t="str">
        <f t="shared" si="792"/>
        <v/>
      </c>
      <c r="CR148" s="545" t="str">
        <f t="shared" si="793"/>
        <v/>
      </c>
      <c r="CS148" s="550" t="str">
        <f t="shared" si="794"/>
        <v/>
      </c>
      <c r="CT148" s="547" t="str">
        <f t="shared" si="795"/>
        <v/>
      </c>
      <c r="CU148" s="548" t="str">
        <f t="shared" si="796"/>
        <v/>
      </c>
      <c r="CV148" s="549" t="str">
        <f t="shared" si="797"/>
        <v/>
      </c>
      <c r="CW148" s="545" t="str">
        <f t="shared" si="798"/>
        <v/>
      </c>
      <c r="CX148" s="550" t="str">
        <f t="shared" si="799"/>
        <v/>
      </c>
      <c r="CY148" s="547" t="str">
        <f t="shared" si="800"/>
        <v/>
      </c>
      <c r="CZ148" s="545" t="str">
        <f t="shared" si="801"/>
        <v/>
      </c>
      <c r="DA148" s="548" t="str">
        <f t="shared" si="802"/>
        <v/>
      </c>
      <c r="DB148" s="549" t="str">
        <f t="shared" si="743"/>
        <v/>
      </c>
      <c r="DC148" s="545" t="str">
        <f t="shared" si="743"/>
        <v/>
      </c>
      <c r="DD148" s="546" t="str">
        <f t="shared" si="573"/>
        <v/>
      </c>
      <c r="DE148" s="547" t="str">
        <f t="shared" si="744"/>
        <v/>
      </c>
      <c r="DF148" s="545" t="str">
        <f t="shared" si="744"/>
        <v/>
      </c>
      <c r="DG148" s="546" t="str">
        <f t="shared" si="575"/>
        <v/>
      </c>
      <c r="DH148" s="552" t="str">
        <f t="shared" si="803"/>
        <v/>
      </c>
      <c r="DI148" s="549" t="str">
        <f t="shared" si="804"/>
        <v/>
      </c>
      <c r="DJ148" s="545" t="str">
        <f t="shared" si="805"/>
        <v/>
      </c>
      <c r="DK148" s="546" t="str">
        <f t="shared" si="806"/>
        <v/>
      </c>
      <c r="DL148" s="547" t="str">
        <f t="shared" si="807"/>
        <v/>
      </c>
      <c r="DM148" s="553" t="str">
        <f t="shared" si="808"/>
        <v/>
      </c>
      <c r="DN148" s="561" t="str">
        <f t="shared" si="809"/>
        <v/>
      </c>
      <c r="DO148" s="547" t="str">
        <f t="shared" si="810"/>
        <v/>
      </c>
      <c r="DP148" s="553" t="str">
        <f t="shared" si="811"/>
        <v/>
      </c>
      <c r="DQ148" s="554" t="str">
        <f t="shared" si="812"/>
        <v/>
      </c>
      <c r="DR148" s="553" t="str">
        <f t="shared" si="813"/>
        <v/>
      </c>
      <c r="DS148" s="545" t="str">
        <f t="shared" si="814"/>
        <v/>
      </c>
      <c r="DT148" s="545" t="str">
        <f t="shared" si="815"/>
        <v/>
      </c>
      <c r="DU148" s="545" t="str">
        <f t="shared" si="816"/>
        <v/>
      </c>
      <c r="DV148" s="545" t="str">
        <f t="shared" si="817"/>
        <v/>
      </c>
      <c r="DW148" s="545" t="str">
        <f t="shared" si="818"/>
        <v/>
      </c>
      <c r="DX148" s="560" t="str">
        <f t="shared" si="819"/>
        <v/>
      </c>
      <c r="DY148" s="547" t="str">
        <f t="shared" si="820"/>
        <v/>
      </c>
      <c r="DZ148" s="545" t="str">
        <f t="shared" si="821"/>
        <v/>
      </c>
      <c r="EA148" s="546" t="str">
        <f t="shared" si="822"/>
        <v/>
      </c>
      <c r="EB148" s="548" t="str">
        <f t="shared" si="823"/>
        <v/>
      </c>
      <c r="EC148" s="553" t="str">
        <f t="shared" si="824"/>
        <v/>
      </c>
      <c r="ED148" s="545" t="str">
        <f t="shared" si="825"/>
        <v/>
      </c>
      <c r="EE148" s="549" t="str">
        <f t="shared" si="826"/>
        <v/>
      </c>
      <c r="EF148" s="545" t="str">
        <f t="shared" si="827"/>
        <v/>
      </c>
      <c r="EG148" s="546" t="str">
        <f t="shared" si="828"/>
        <v/>
      </c>
      <c r="EH148" s="547" t="str">
        <f t="shared" si="829"/>
        <v/>
      </c>
      <c r="EI148" s="545" t="str">
        <f t="shared" si="830"/>
        <v/>
      </c>
      <c r="EJ148" s="548" t="str">
        <f t="shared" si="831"/>
        <v/>
      </c>
      <c r="EK148" s="562" t="str">
        <f t="shared" si="605"/>
        <v/>
      </c>
      <c r="EL148" s="563" t="str">
        <f t="shared" si="606"/>
        <v/>
      </c>
      <c r="EM148" s="549" t="str">
        <f t="shared" si="832"/>
        <v/>
      </c>
      <c r="EN148" s="545" t="str">
        <f t="shared" si="833"/>
        <v/>
      </c>
      <c r="EO148" s="546" t="str">
        <f t="shared" si="834"/>
        <v/>
      </c>
      <c r="EP148" s="547" t="str">
        <f t="shared" si="835"/>
        <v/>
      </c>
      <c r="EQ148" s="545" t="str">
        <f t="shared" si="836"/>
        <v/>
      </c>
      <c r="ER148" s="551" t="str">
        <f t="shared" si="837"/>
        <v/>
      </c>
      <c r="ES148" s="544" t="str">
        <f t="shared" si="914"/>
        <v/>
      </c>
      <c r="ET148" s="545" t="str">
        <f t="shared" si="915"/>
        <v/>
      </c>
      <c r="EU148" s="546" t="str">
        <f t="shared" si="916"/>
        <v/>
      </c>
      <c r="EV148" s="178" t="str">
        <f t="shared" si="838"/>
        <v/>
      </c>
      <c r="EW148" s="547" t="str">
        <f t="shared" si="839"/>
        <v/>
      </c>
      <c r="EX148" s="545" t="str">
        <f t="shared" si="840"/>
        <v/>
      </c>
      <c r="EY148" s="548" t="str">
        <f t="shared" si="841"/>
        <v/>
      </c>
      <c r="EZ148" s="555" t="str">
        <f t="shared" si="614"/>
        <v/>
      </c>
      <c r="FA148" s="553" t="str">
        <f t="shared" si="692"/>
        <v/>
      </c>
      <c r="FB148" s="545" t="str">
        <f t="shared" si="693"/>
        <v/>
      </c>
      <c r="FC148" s="548" t="str">
        <f t="shared" si="694"/>
        <v/>
      </c>
      <c r="FD148" s="549" t="str">
        <f t="shared" si="842"/>
        <v/>
      </c>
      <c r="FE148" s="545" t="str">
        <f t="shared" si="843"/>
        <v/>
      </c>
      <c r="FF148" s="551" t="str">
        <f t="shared" si="844"/>
        <v/>
      </c>
      <c r="FG148" s="177" t="str">
        <f t="shared" si="845"/>
        <v/>
      </c>
      <c r="FH148" s="5" t="str">
        <f t="shared" si="846"/>
        <v/>
      </c>
      <c r="FI148" s="10" t="str">
        <f t="shared" si="847"/>
        <v/>
      </c>
      <c r="FJ148" s="290" t="str">
        <f t="shared" si="848"/>
        <v/>
      </c>
      <c r="FK148" s="4" t="str">
        <f t="shared" si="849"/>
        <v/>
      </c>
      <c r="FL148" s="5" t="str">
        <f t="shared" si="850"/>
        <v/>
      </c>
      <c r="FM148" s="8" t="str">
        <f t="shared" si="851"/>
        <v/>
      </c>
      <c r="FN148" s="9" t="str">
        <f t="shared" si="852"/>
        <v/>
      </c>
      <c r="FO148" s="10" t="str">
        <f t="shared" si="853"/>
        <v/>
      </c>
      <c r="FP148" s="288" t="str">
        <f t="shared" si="854"/>
        <v/>
      </c>
      <c r="FQ148" s="177" t="str">
        <f t="shared" si="855"/>
        <v/>
      </c>
      <c r="FR148" s="10" t="str">
        <f t="shared" si="856"/>
        <v/>
      </c>
      <c r="FS148" s="9" t="str">
        <f t="shared" si="857"/>
        <v/>
      </c>
      <c r="FT148" s="6" t="str">
        <f t="shared" si="858"/>
        <v/>
      </c>
      <c r="FU148" s="4" t="str">
        <f t="shared" si="859"/>
        <v/>
      </c>
      <c r="FV148" s="5" t="str">
        <f t="shared" si="860"/>
        <v/>
      </c>
      <c r="FW148" s="8" t="str">
        <f t="shared" si="861"/>
        <v/>
      </c>
      <c r="FX148" s="9" t="str">
        <f t="shared" si="862"/>
        <v/>
      </c>
      <c r="FY148" s="10" t="str">
        <f t="shared" si="863"/>
        <v/>
      </c>
      <c r="FZ148" s="288" t="str">
        <f t="shared" si="864"/>
        <v/>
      </c>
      <c r="GA148" s="181" t="str">
        <f t="shared" si="865"/>
        <v/>
      </c>
      <c r="GB148" s="4" t="str">
        <f t="shared" si="866"/>
        <v/>
      </c>
      <c r="GC148" s="5" t="str">
        <f t="shared" si="867"/>
        <v/>
      </c>
      <c r="GD148" s="10" t="str">
        <f t="shared" si="868"/>
        <v/>
      </c>
      <c r="GE148" s="324" t="str">
        <f t="shared" si="869"/>
        <v/>
      </c>
      <c r="GF148" s="362" t="str">
        <f t="shared" si="870"/>
        <v/>
      </c>
      <c r="GG148" s="317" t="str">
        <f t="shared" si="871"/>
        <v/>
      </c>
      <c r="GH148" s="318" t="str">
        <f t="shared" si="872"/>
        <v/>
      </c>
      <c r="GI148" s="319" t="str">
        <f t="shared" si="873"/>
        <v/>
      </c>
      <c r="GJ148" s="171" t="str">
        <f t="shared" si="874"/>
        <v/>
      </c>
      <c r="GK148" s="178" t="str">
        <f t="shared" si="706"/>
        <v/>
      </c>
      <c r="GL148" s="178" t="str">
        <f t="shared" si="875"/>
        <v/>
      </c>
      <c r="GM148" s="181" t="str">
        <f t="shared" si="876"/>
        <v/>
      </c>
      <c r="GN148" s="291" t="str">
        <f t="shared" si="877"/>
        <v/>
      </c>
      <c r="GO148" s="4" t="str">
        <f t="shared" si="878"/>
        <v/>
      </c>
      <c r="GP148" s="8" t="str">
        <f t="shared" si="879"/>
        <v/>
      </c>
      <c r="GQ148" s="181" t="str">
        <f t="shared" si="880"/>
        <v/>
      </c>
      <c r="GR148" s="417" t="str">
        <f t="shared" si="881"/>
        <v/>
      </c>
      <c r="GS148" s="363" t="str">
        <f t="shared" si="882"/>
        <v/>
      </c>
      <c r="GT148" s="364" t="str">
        <f t="shared" si="883"/>
        <v/>
      </c>
      <c r="GU148" s="365" t="str">
        <f t="shared" si="709"/>
        <v/>
      </c>
      <c r="GV148" s="364" t="str">
        <f t="shared" si="884"/>
        <v/>
      </c>
      <c r="GW148" s="366" t="str">
        <f t="shared" si="710"/>
        <v/>
      </c>
      <c r="GX148" s="367" t="str">
        <f t="shared" si="711"/>
        <v/>
      </c>
      <c r="GY148" s="365" t="str">
        <f t="shared" si="885"/>
        <v/>
      </c>
      <c r="GZ148" s="366" t="str">
        <f t="shared" si="886"/>
        <v/>
      </c>
      <c r="HA148" s="363" t="str">
        <f t="shared" si="714"/>
        <v/>
      </c>
      <c r="HB148" s="5" t="str">
        <f t="shared" si="641"/>
        <v/>
      </c>
      <c r="HC148" s="364" t="str">
        <f t="shared" si="887"/>
        <v/>
      </c>
      <c r="HD148" s="405" t="str">
        <f t="shared" si="888"/>
        <v/>
      </c>
      <c r="HE148" s="365" t="str">
        <f t="shared" si="715"/>
        <v/>
      </c>
      <c r="HF148" s="5" t="str">
        <f t="shared" si="716"/>
        <v/>
      </c>
      <c r="HG148" s="364" t="str">
        <f t="shared" si="889"/>
        <v/>
      </c>
      <c r="HH148" s="370" t="str">
        <f t="shared" si="890"/>
        <v/>
      </c>
      <c r="HI148" s="335" t="str">
        <f t="shared" si="917"/>
        <v/>
      </c>
      <c r="HK148" s="323" t="str">
        <f t="shared" si="891"/>
        <v/>
      </c>
      <c r="HL148" s="322" t="str">
        <f t="shared" si="892"/>
        <v/>
      </c>
      <c r="HM148" s="369" t="str">
        <f t="shared" si="934"/>
        <v/>
      </c>
      <c r="HN148" s="384" t="str">
        <f t="shared" si="934"/>
        <v/>
      </c>
      <c r="HO148" s="385" t="str">
        <f t="shared" si="934"/>
        <v/>
      </c>
      <c r="HP148" s="380" t="str">
        <f t="shared" si="934"/>
        <v/>
      </c>
      <c r="HQ148" s="384" t="str">
        <f t="shared" si="934"/>
        <v/>
      </c>
      <c r="HR148" s="395" t="str">
        <f t="shared" si="934"/>
        <v/>
      </c>
      <c r="HS148" s="379" t="str">
        <f t="shared" si="934"/>
        <v/>
      </c>
      <c r="HT148" s="374" t="str">
        <f t="shared" si="934"/>
        <v/>
      </c>
      <c r="HU148" s="375" t="str">
        <f t="shared" si="934"/>
        <v/>
      </c>
      <c r="HV148" s="376" t="str">
        <f t="shared" si="934"/>
        <v/>
      </c>
      <c r="HW148" s="374" t="str">
        <f t="shared" si="934"/>
        <v/>
      </c>
      <c r="HX148" s="375" t="str">
        <f t="shared" si="934"/>
        <v/>
      </c>
      <c r="HY148" s="376" t="str">
        <f t="shared" si="934"/>
        <v/>
      </c>
      <c r="HZ148" s="374" t="str">
        <f t="shared" si="934"/>
        <v/>
      </c>
      <c r="IA148" s="375" t="str">
        <f t="shared" si="934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23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21"/>
        <v/>
      </c>
      <c r="IK148" s="533" t="str">
        <f t="shared" si="918"/>
        <v/>
      </c>
      <c r="IL148" s="727" t="str">
        <f t="shared" si="924"/>
        <v/>
      </c>
      <c r="IM148" s="759"/>
      <c r="IN148" s="5" t="str">
        <f t="shared" si="925"/>
        <v/>
      </c>
      <c r="IO148" s="771"/>
      <c r="IP148" s="9" t="str">
        <f t="shared" si="926"/>
        <v/>
      </c>
      <c r="IQ148" s="5" t="str">
        <f t="shared" si="927"/>
        <v/>
      </c>
      <c r="IR148" s="5" t="str">
        <f t="shared" si="919"/>
        <v/>
      </c>
      <c r="IS148" s="5" t="str">
        <f t="shared" si="928"/>
        <v/>
      </c>
      <c r="IT148" s="727" t="str">
        <f t="shared" si="929"/>
        <v/>
      </c>
      <c r="IU148" s="9" t="str">
        <f t="shared" si="930"/>
        <v/>
      </c>
      <c r="IV148" s="5" t="str">
        <f t="shared" si="931"/>
        <v/>
      </c>
      <c r="IW148" s="5" t="str">
        <f t="shared" si="920"/>
        <v/>
      </c>
      <c r="IX148" s="5" t="str">
        <f t="shared" si="932"/>
        <v/>
      </c>
      <c r="IY148" s="762" t="str">
        <f t="shared" si="933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94"/>
        <v/>
      </c>
      <c r="N149" s="638" t="str">
        <f t="shared" si="895"/>
        <v/>
      </c>
      <c r="O149" s="639" t="str">
        <f t="shared" si="896"/>
        <v/>
      </c>
      <c r="P149" s="640" t="str">
        <f t="shared" si="897"/>
        <v/>
      </c>
      <c r="Q149" s="593" t="str">
        <f t="shared" si="749"/>
        <v/>
      </c>
      <c r="R149" s="639" t="str">
        <f t="shared" si="750"/>
        <v/>
      </c>
      <c r="S149" s="641" t="str">
        <f t="shared" si="751"/>
        <v/>
      </c>
      <c r="T149" s="642" t="str">
        <f t="shared" si="752"/>
        <v/>
      </c>
      <c r="U149" s="639" t="str">
        <f t="shared" si="753"/>
        <v/>
      </c>
      <c r="V149" s="643" t="str">
        <f t="shared" si="754"/>
        <v/>
      </c>
      <c r="W149" s="593" t="str">
        <f t="shared" si="755"/>
        <v/>
      </c>
      <c r="X149" s="639" t="str">
        <f t="shared" si="756"/>
        <v/>
      </c>
      <c r="Y149" s="644" t="str">
        <f t="shared" si="757"/>
        <v/>
      </c>
      <c r="Z149" s="638" t="str">
        <f t="shared" si="898"/>
        <v/>
      </c>
      <c r="AA149" s="639" t="str">
        <f t="shared" si="899"/>
        <v/>
      </c>
      <c r="AB149" s="639" t="str">
        <f t="shared" si="900"/>
        <v/>
      </c>
      <c r="AC149" s="643" t="str">
        <f t="shared" si="758"/>
        <v/>
      </c>
      <c r="AD149" s="645" t="str">
        <f t="shared" si="759"/>
        <v/>
      </c>
      <c r="AE149" s="639" t="str">
        <f t="shared" si="760"/>
        <v/>
      </c>
      <c r="AF149" s="640" t="str">
        <f t="shared" si="761"/>
        <v/>
      </c>
      <c r="AG149" s="604" t="str">
        <f t="shared" si="762"/>
        <v/>
      </c>
      <c r="AH149" s="605" t="str">
        <f t="shared" si="763"/>
        <v/>
      </c>
      <c r="AI149" s="593" t="str">
        <f t="shared" si="764"/>
        <v/>
      </c>
      <c r="AJ149" s="594" t="str">
        <f t="shared" si="765"/>
        <v/>
      </c>
      <c r="AK149" s="642" t="str">
        <f t="shared" si="766"/>
        <v/>
      </c>
      <c r="AL149" s="639" t="str">
        <f t="shared" si="767"/>
        <v/>
      </c>
      <c r="AM149" s="641" t="str">
        <f t="shared" si="768"/>
        <v/>
      </c>
      <c r="AN149" s="591" t="str">
        <f t="shared" si="769"/>
        <v/>
      </c>
      <c r="AO149" s="592" t="str">
        <f t="shared" si="748"/>
        <v/>
      </c>
      <c r="AP149" s="593" t="str">
        <f t="shared" si="770"/>
        <v/>
      </c>
      <c r="AQ149" s="594" t="str">
        <f t="shared" si="901"/>
        <v/>
      </c>
      <c r="AS149" s="555" t="str">
        <f t="shared" si="922"/>
        <v/>
      </c>
      <c r="AT149" s="556" t="str">
        <f t="shared" si="902"/>
        <v/>
      </c>
      <c r="AU149" s="469"/>
      <c r="AV149" s="168" t="str">
        <f t="shared" si="903"/>
        <v/>
      </c>
      <c r="AW149" s="557"/>
      <c r="AX149" s="49"/>
      <c r="AY149" s="242"/>
      <c r="AZ149" s="308" t="str">
        <f t="shared" si="771"/>
        <v/>
      </c>
      <c r="BA149" s="558" t="str">
        <f t="shared" si="772"/>
        <v/>
      </c>
      <c r="BB149" s="559" t="str">
        <f t="shared" si="524"/>
        <v/>
      </c>
      <c r="BC149" s="547"/>
      <c r="BD149" s="545" t="str">
        <f t="shared" si="773"/>
        <v/>
      </c>
      <c r="BE149" s="548" t="str">
        <f t="shared" si="904"/>
        <v/>
      </c>
      <c r="BF149" s="549" t="str">
        <f t="shared" si="905"/>
        <v/>
      </c>
      <c r="BG149" s="545" t="str">
        <f t="shared" si="906"/>
        <v/>
      </c>
      <c r="BH149" s="546" t="str">
        <f t="shared" si="907"/>
        <v/>
      </c>
      <c r="BI149" s="547" t="str">
        <f t="shared" si="774"/>
        <v/>
      </c>
      <c r="BJ149" s="545" t="str">
        <f t="shared" si="908"/>
        <v/>
      </c>
      <c r="BK149" s="550" t="str">
        <f t="shared" si="909"/>
        <v/>
      </c>
      <c r="BL149" s="553" t="str">
        <f t="shared" si="910"/>
        <v/>
      </c>
      <c r="BM149" s="545" t="str">
        <f t="shared" si="911"/>
        <v/>
      </c>
      <c r="BN149" s="548" t="str">
        <f t="shared" si="912"/>
        <v/>
      </c>
      <c r="BO149" s="549" t="str">
        <f t="shared" si="775"/>
        <v/>
      </c>
      <c r="BP149" s="545" t="str">
        <f t="shared" si="776"/>
        <v/>
      </c>
      <c r="BQ149" s="545" t="str">
        <f t="shared" si="777"/>
        <v/>
      </c>
      <c r="BR149" s="548" t="str">
        <f t="shared" si="778"/>
        <v/>
      </c>
      <c r="BS149" s="549" t="str">
        <f t="shared" si="740"/>
        <v/>
      </c>
      <c r="BT149" s="545" t="str">
        <f t="shared" si="740"/>
        <v/>
      </c>
      <c r="BU149" s="546" t="str">
        <f t="shared" si="527"/>
        <v/>
      </c>
      <c r="BV149" s="547" t="str">
        <f t="shared" si="528"/>
        <v/>
      </c>
      <c r="BW149" s="545" t="str">
        <f t="shared" si="529"/>
        <v/>
      </c>
      <c r="BX149" s="550" t="str">
        <f t="shared" si="530"/>
        <v/>
      </c>
      <c r="BY149" s="553" t="str">
        <f t="shared" si="531"/>
        <v/>
      </c>
      <c r="BZ149" s="545" t="str">
        <f t="shared" si="532"/>
        <v/>
      </c>
      <c r="CA149" s="548" t="str">
        <f t="shared" si="533"/>
        <v/>
      </c>
      <c r="CB149" s="549" t="str">
        <f t="shared" si="779"/>
        <v/>
      </c>
      <c r="CC149" s="545" t="str">
        <f t="shared" si="780"/>
        <v/>
      </c>
      <c r="CD149" s="545" t="str">
        <f t="shared" si="781"/>
        <v/>
      </c>
      <c r="CE149" s="548" t="str">
        <f t="shared" si="782"/>
        <v/>
      </c>
      <c r="CF149" s="549" t="str">
        <f t="shared" si="783"/>
        <v/>
      </c>
      <c r="CG149" s="545" t="str">
        <f t="shared" si="784"/>
        <v/>
      </c>
      <c r="CH149" s="545" t="str">
        <f t="shared" si="785"/>
        <v/>
      </c>
      <c r="CI149" s="549" t="str">
        <f t="shared" si="534"/>
        <v/>
      </c>
      <c r="CJ149" s="545" t="str">
        <f t="shared" si="786"/>
        <v/>
      </c>
      <c r="CK149" s="550" t="str">
        <f t="shared" si="787"/>
        <v/>
      </c>
      <c r="CL149" s="553" t="str">
        <f t="shared" si="788"/>
        <v/>
      </c>
      <c r="CM149" s="545" t="str">
        <f t="shared" si="789"/>
        <v/>
      </c>
      <c r="CN149" s="548" t="str">
        <f t="shared" si="790"/>
        <v/>
      </c>
      <c r="CO149" s="560" t="str">
        <f t="shared" si="913"/>
        <v/>
      </c>
      <c r="CP149" s="549" t="str">
        <f t="shared" si="791"/>
        <v/>
      </c>
      <c r="CQ149" s="545" t="str">
        <f t="shared" si="792"/>
        <v/>
      </c>
      <c r="CR149" s="545" t="str">
        <f t="shared" si="793"/>
        <v/>
      </c>
      <c r="CS149" s="550" t="str">
        <f t="shared" si="794"/>
        <v/>
      </c>
      <c r="CT149" s="547" t="str">
        <f t="shared" si="795"/>
        <v/>
      </c>
      <c r="CU149" s="548" t="str">
        <f t="shared" si="796"/>
        <v/>
      </c>
      <c r="CV149" s="549" t="str">
        <f t="shared" si="797"/>
        <v/>
      </c>
      <c r="CW149" s="545" t="str">
        <f t="shared" si="798"/>
        <v/>
      </c>
      <c r="CX149" s="550" t="str">
        <f t="shared" si="799"/>
        <v/>
      </c>
      <c r="CY149" s="547" t="str">
        <f t="shared" si="800"/>
        <v/>
      </c>
      <c r="CZ149" s="545" t="str">
        <f t="shared" si="801"/>
        <v/>
      </c>
      <c r="DA149" s="548" t="str">
        <f t="shared" si="802"/>
        <v/>
      </c>
      <c r="DB149" s="549" t="str">
        <f t="shared" si="743"/>
        <v/>
      </c>
      <c r="DC149" s="545" t="str">
        <f t="shared" si="743"/>
        <v/>
      </c>
      <c r="DD149" s="546" t="str">
        <f t="shared" si="573"/>
        <v/>
      </c>
      <c r="DE149" s="547" t="str">
        <f t="shared" si="744"/>
        <v/>
      </c>
      <c r="DF149" s="545" t="str">
        <f t="shared" si="744"/>
        <v/>
      </c>
      <c r="DG149" s="546" t="str">
        <f t="shared" si="575"/>
        <v/>
      </c>
      <c r="DH149" s="552" t="str">
        <f t="shared" si="803"/>
        <v/>
      </c>
      <c r="DI149" s="549" t="str">
        <f t="shared" si="804"/>
        <v/>
      </c>
      <c r="DJ149" s="545" t="str">
        <f t="shared" si="805"/>
        <v/>
      </c>
      <c r="DK149" s="546" t="str">
        <f t="shared" si="806"/>
        <v/>
      </c>
      <c r="DL149" s="547" t="str">
        <f t="shared" si="807"/>
        <v/>
      </c>
      <c r="DM149" s="553" t="str">
        <f t="shared" si="808"/>
        <v/>
      </c>
      <c r="DN149" s="561" t="str">
        <f t="shared" si="809"/>
        <v/>
      </c>
      <c r="DO149" s="547" t="str">
        <f t="shared" si="810"/>
        <v/>
      </c>
      <c r="DP149" s="553" t="str">
        <f t="shared" si="811"/>
        <v/>
      </c>
      <c r="DQ149" s="554" t="str">
        <f t="shared" si="812"/>
        <v/>
      </c>
      <c r="DR149" s="553" t="str">
        <f t="shared" si="813"/>
        <v/>
      </c>
      <c r="DS149" s="545" t="str">
        <f t="shared" si="814"/>
        <v/>
      </c>
      <c r="DT149" s="545" t="str">
        <f t="shared" si="815"/>
        <v/>
      </c>
      <c r="DU149" s="545" t="str">
        <f t="shared" si="816"/>
        <v/>
      </c>
      <c r="DV149" s="545" t="str">
        <f t="shared" si="817"/>
        <v/>
      </c>
      <c r="DW149" s="545" t="str">
        <f t="shared" si="818"/>
        <v/>
      </c>
      <c r="DX149" s="560" t="str">
        <f t="shared" si="819"/>
        <v/>
      </c>
      <c r="DY149" s="547" t="str">
        <f t="shared" si="820"/>
        <v/>
      </c>
      <c r="DZ149" s="545" t="str">
        <f t="shared" si="821"/>
        <v/>
      </c>
      <c r="EA149" s="546" t="str">
        <f t="shared" si="822"/>
        <v/>
      </c>
      <c r="EB149" s="548" t="str">
        <f t="shared" si="823"/>
        <v/>
      </c>
      <c r="EC149" s="553" t="str">
        <f t="shared" si="824"/>
        <v/>
      </c>
      <c r="ED149" s="545" t="str">
        <f t="shared" si="825"/>
        <v/>
      </c>
      <c r="EE149" s="549" t="str">
        <f t="shared" si="826"/>
        <v/>
      </c>
      <c r="EF149" s="545" t="str">
        <f t="shared" si="827"/>
        <v/>
      </c>
      <c r="EG149" s="546" t="str">
        <f t="shared" si="828"/>
        <v/>
      </c>
      <c r="EH149" s="547" t="str">
        <f t="shared" si="829"/>
        <v/>
      </c>
      <c r="EI149" s="545" t="str">
        <f t="shared" si="830"/>
        <v/>
      </c>
      <c r="EJ149" s="548" t="str">
        <f t="shared" si="831"/>
        <v/>
      </c>
      <c r="EK149" s="562" t="str">
        <f t="shared" si="605"/>
        <v/>
      </c>
      <c r="EL149" s="563" t="str">
        <f t="shared" si="606"/>
        <v/>
      </c>
      <c r="EM149" s="549" t="str">
        <f t="shared" si="832"/>
        <v/>
      </c>
      <c r="EN149" s="545" t="str">
        <f t="shared" si="833"/>
        <v/>
      </c>
      <c r="EO149" s="546" t="str">
        <f t="shared" si="834"/>
        <v/>
      </c>
      <c r="EP149" s="547" t="str">
        <f t="shared" si="835"/>
        <v/>
      </c>
      <c r="EQ149" s="545" t="str">
        <f t="shared" si="836"/>
        <v/>
      </c>
      <c r="ER149" s="551" t="str">
        <f t="shared" si="837"/>
        <v/>
      </c>
      <c r="ES149" s="544" t="str">
        <f t="shared" si="914"/>
        <v/>
      </c>
      <c r="ET149" s="545" t="str">
        <f t="shared" si="915"/>
        <v/>
      </c>
      <c r="EU149" s="546" t="str">
        <f t="shared" si="916"/>
        <v/>
      </c>
      <c r="EV149" s="178" t="str">
        <f t="shared" si="838"/>
        <v/>
      </c>
      <c r="EW149" s="547" t="str">
        <f t="shared" si="839"/>
        <v/>
      </c>
      <c r="EX149" s="545" t="str">
        <f t="shared" si="840"/>
        <v/>
      </c>
      <c r="EY149" s="548" t="str">
        <f t="shared" si="841"/>
        <v/>
      </c>
      <c r="EZ149" s="555" t="str">
        <f t="shared" si="614"/>
        <v/>
      </c>
      <c r="FA149" s="553" t="str">
        <f t="shared" si="692"/>
        <v/>
      </c>
      <c r="FB149" s="545" t="str">
        <f t="shared" si="693"/>
        <v/>
      </c>
      <c r="FC149" s="548" t="str">
        <f t="shared" si="694"/>
        <v/>
      </c>
      <c r="FD149" s="549" t="str">
        <f t="shared" si="842"/>
        <v/>
      </c>
      <c r="FE149" s="545" t="str">
        <f t="shared" si="843"/>
        <v/>
      </c>
      <c r="FF149" s="551" t="str">
        <f t="shared" si="844"/>
        <v/>
      </c>
      <c r="FG149" s="177" t="str">
        <f t="shared" si="845"/>
        <v/>
      </c>
      <c r="FH149" s="5" t="str">
        <f t="shared" si="846"/>
        <v/>
      </c>
      <c r="FI149" s="10" t="str">
        <f t="shared" si="847"/>
        <v/>
      </c>
      <c r="FJ149" s="290" t="str">
        <f t="shared" si="848"/>
        <v/>
      </c>
      <c r="FK149" s="4" t="str">
        <f t="shared" si="849"/>
        <v/>
      </c>
      <c r="FL149" s="5" t="str">
        <f t="shared" si="850"/>
        <v/>
      </c>
      <c r="FM149" s="8" t="str">
        <f t="shared" si="851"/>
        <v/>
      </c>
      <c r="FN149" s="9" t="str">
        <f t="shared" si="852"/>
        <v/>
      </c>
      <c r="FO149" s="10" t="str">
        <f t="shared" si="853"/>
        <v/>
      </c>
      <c r="FP149" s="288" t="str">
        <f t="shared" si="854"/>
        <v/>
      </c>
      <c r="FQ149" s="177" t="str">
        <f t="shared" si="855"/>
        <v/>
      </c>
      <c r="FR149" s="10" t="str">
        <f t="shared" si="856"/>
        <v/>
      </c>
      <c r="FS149" s="9" t="str">
        <f t="shared" si="857"/>
        <v/>
      </c>
      <c r="FT149" s="6" t="str">
        <f t="shared" si="858"/>
        <v/>
      </c>
      <c r="FU149" s="4" t="str">
        <f t="shared" si="859"/>
        <v/>
      </c>
      <c r="FV149" s="5" t="str">
        <f t="shared" si="860"/>
        <v/>
      </c>
      <c r="FW149" s="8" t="str">
        <f t="shared" si="861"/>
        <v/>
      </c>
      <c r="FX149" s="9" t="str">
        <f t="shared" si="862"/>
        <v/>
      </c>
      <c r="FY149" s="10" t="str">
        <f t="shared" si="863"/>
        <v/>
      </c>
      <c r="FZ149" s="288" t="str">
        <f t="shared" si="864"/>
        <v/>
      </c>
      <c r="GA149" s="181" t="str">
        <f t="shared" si="865"/>
        <v/>
      </c>
      <c r="GB149" s="4" t="str">
        <f t="shared" si="866"/>
        <v/>
      </c>
      <c r="GC149" s="5" t="str">
        <f t="shared" si="867"/>
        <v/>
      </c>
      <c r="GD149" s="10" t="str">
        <f t="shared" si="868"/>
        <v/>
      </c>
      <c r="GE149" s="324" t="str">
        <f t="shared" si="869"/>
        <v/>
      </c>
      <c r="GF149" s="362" t="str">
        <f t="shared" si="870"/>
        <v/>
      </c>
      <c r="GG149" s="317" t="str">
        <f t="shared" si="871"/>
        <v/>
      </c>
      <c r="GH149" s="318" t="str">
        <f t="shared" si="872"/>
        <v/>
      </c>
      <c r="GI149" s="319" t="str">
        <f t="shared" si="873"/>
        <v/>
      </c>
      <c r="GJ149" s="171" t="str">
        <f t="shared" si="874"/>
        <v/>
      </c>
      <c r="GK149" s="178" t="str">
        <f t="shared" si="706"/>
        <v/>
      </c>
      <c r="GL149" s="178" t="str">
        <f t="shared" si="875"/>
        <v/>
      </c>
      <c r="GM149" s="181" t="str">
        <f t="shared" si="876"/>
        <v/>
      </c>
      <c r="GN149" s="291" t="str">
        <f t="shared" si="877"/>
        <v/>
      </c>
      <c r="GO149" s="4" t="str">
        <f t="shared" si="878"/>
        <v/>
      </c>
      <c r="GP149" s="8" t="str">
        <f t="shared" si="879"/>
        <v/>
      </c>
      <c r="GQ149" s="181" t="str">
        <f t="shared" si="880"/>
        <v/>
      </c>
      <c r="GR149" s="417" t="str">
        <f t="shared" si="881"/>
        <v/>
      </c>
      <c r="GS149" s="363" t="str">
        <f t="shared" si="882"/>
        <v/>
      </c>
      <c r="GT149" s="364" t="str">
        <f t="shared" si="883"/>
        <v/>
      </c>
      <c r="GU149" s="365" t="str">
        <f t="shared" si="709"/>
        <v/>
      </c>
      <c r="GV149" s="364" t="str">
        <f t="shared" si="884"/>
        <v/>
      </c>
      <c r="GW149" s="366" t="str">
        <f t="shared" si="710"/>
        <v/>
      </c>
      <c r="GX149" s="367" t="str">
        <f t="shared" si="711"/>
        <v/>
      </c>
      <c r="GY149" s="365" t="str">
        <f t="shared" si="885"/>
        <v/>
      </c>
      <c r="GZ149" s="366" t="str">
        <f t="shared" si="886"/>
        <v/>
      </c>
      <c r="HA149" s="363" t="str">
        <f t="shared" si="714"/>
        <v/>
      </c>
      <c r="HB149" s="5" t="str">
        <f t="shared" si="641"/>
        <v/>
      </c>
      <c r="HC149" s="364" t="str">
        <f t="shared" si="887"/>
        <v/>
      </c>
      <c r="HD149" s="405" t="str">
        <f t="shared" si="888"/>
        <v/>
      </c>
      <c r="HE149" s="365" t="str">
        <f t="shared" si="715"/>
        <v/>
      </c>
      <c r="HF149" s="5" t="str">
        <f t="shared" si="716"/>
        <v/>
      </c>
      <c r="HG149" s="364" t="str">
        <f t="shared" si="889"/>
        <v/>
      </c>
      <c r="HH149" s="370" t="str">
        <f t="shared" si="890"/>
        <v/>
      </c>
      <c r="HI149" s="335" t="str">
        <f t="shared" si="917"/>
        <v/>
      </c>
      <c r="HK149" s="323" t="str">
        <f t="shared" si="891"/>
        <v/>
      </c>
      <c r="HL149" s="322" t="str">
        <f t="shared" si="892"/>
        <v/>
      </c>
      <c r="HM149" s="369" t="str">
        <f t="shared" si="934"/>
        <v/>
      </c>
      <c r="HN149" s="384" t="str">
        <f t="shared" si="934"/>
        <v/>
      </c>
      <c r="HO149" s="385" t="str">
        <f t="shared" si="934"/>
        <v/>
      </c>
      <c r="HP149" s="380" t="str">
        <f t="shared" si="934"/>
        <v/>
      </c>
      <c r="HQ149" s="384" t="str">
        <f t="shared" si="934"/>
        <v/>
      </c>
      <c r="HR149" s="395" t="str">
        <f t="shared" si="934"/>
        <v/>
      </c>
      <c r="HS149" s="379" t="str">
        <f t="shared" si="934"/>
        <v/>
      </c>
      <c r="HT149" s="374" t="str">
        <f t="shared" si="934"/>
        <v/>
      </c>
      <c r="HU149" s="375" t="str">
        <f t="shared" si="934"/>
        <v/>
      </c>
      <c r="HV149" s="376" t="str">
        <f t="shared" si="934"/>
        <v/>
      </c>
      <c r="HW149" s="374" t="str">
        <f t="shared" si="934"/>
        <v/>
      </c>
      <c r="HX149" s="375" t="str">
        <f t="shared" si="934"/>
        <v/>
      </c>
      <c r="HY149" s="376" t="str">
        <f t="shared" si="934"/>
        <v/>
      </c>
      <c r="HZ149" s="374" t="str">
        <f t="shared" si="934"/>
        <v/>
      </c>
      <c r="IA149" s="375" t="str">
        <f t="shared" si="934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23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21"/>
        <v/>
      </c>
      <c r="IK149" s="533" t="str">
        <f t="shared" si="918"/>
        <v/>
      </c>
      <c r="IL149" s="727" t="str">
        <f t="shared" si="924"/>
        <v/>
      </c>
      <c r="IM149" s="759"/>
      <c r="IN149" s="5" t="str">
        <f t="shared" si="925"/>
        <v/>
      </c>
      <c r="IO149" s="771"/>
      <c r="IP149" s="9" t="str">
        <f t="shared" si="926"/>
        <v/>
      </c>
      <c r="IQ149" s="5" t="str">
        <f t="shared" si="927"/>
        <v/>
      </c>
      <c r="IR149" s="5" t="str">
        <f t="shared" si="919"/>
        <v/>
      </c>
      <c r="IS149" s="5" t="str">
        <f t="shared" si="928"/>
        <v/>
      </c>
      <c r="IT149" s="727" t="str">
        <f t="shared" si="929"/>
        <v/>
      </c>
      <c r="IU149" s="9" t="str">
        <f t="shared" si="930"/>
        <v/>
      </c>
      <c r="IV149" s="5" t="str">
        <f t="shared" si="931"/>
        <v/>
      </c>
      <c r="IW149" s="5" t="str">
        <f t="shared" si="920"/>
        <v/>
      </c>
      <c r="IX149" s="5" t="str">
        <f t="shared" si="932"/>
        <v/>
      </c>
      <c r="IY149" s="762" t="str">
        <f t="shared" si="933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94"/>
        <v/>
      </c>
      <c r="N150" s="646" t="str">
        <f t="shared" si="895"/>
        <v/>
      </c>
      <c r="O150" s="647" t="str">
        <f t="shared" si="896"/>
        <v/>
      </c>
      <c r="P150" s="648" t="str">
        <f t="shared" si="897"/>
        <v/>
      </c>
      <c r="Q150" s="597" t="str">
        <f t="shared" si="749"/>
        <v/>
      </c>
      <c r="R150" s="647" t="str">
        <f t="shared" si="750"/>
        <v/>
      </c>
      <c r="S150" s="649" t="str">
        <f t="shared" si="751"/>
        <v/>
      </c>
      <c r="T150" s="650" t="str">
        <f t="shared" si="752"/>
        <v/>
      </c>
      <c r="U150" s="647" t="str">
        <f t="shared" si="753"/>
        <v/>
      </c>
      <c r="V150" s="651" t="str">
        <f t="shared" si="754"/>
        <v/>
      </c>
      <c r="W150" s="597" t="str">
        <f t="shared" si="755"/>
        <v/>
      </c>
      <c r="X150" s="647" t="str">
        <f t="shared" si="756"/>
        <v/>
      </c>
      <c r="Y150" s="652" t="str">
        <f t="shared" si="757"/>
        <v/>
      </c>
      <c r="Z150" s="646" t="str">
        <f t="shared" si="898"/>
        <v/>
      </c>
      <c r="AA150" s="647" t="str">
        <f t="shared" si="899"/>
        <v/>
      </c>
      <c r="AB150" s="647" t="str">
        <f t="shared" si="900"/>
        <v/>
      </c>
      <c r="AC150" s="651" t="str">
        <f t="shared" si="758"/>
        <v/>
      </c>
      <c r="AD150" s="653" t="str">
        <f t="shared" si="759"/>
        <v/>
      </c>
      <c r="AE150" s="647" t="str">
        <f t="shared" si="760"/>
        <v/>
      </c>
      <c r="AF150" s="648" t="str">
        <f t="shared" si="761"/>
        <v/>
      </c>
      <c r="AG150" s="606" t="str">
        <f t="shared" si="762"/>
        <v/>
      </c>
      <c r="AH150" s="607" t="str">
        <f t="shared" si="763"/>
        <v/>
      </c>
      <c r="AI150" s="597" t="str">
        <f t="shared" si="764"/>
        <v/>
      </c>
      <c r="AJ150" s="598" t="str">
        <f t="shared" si="765"/>
        <v/>
      </c>
      <c r="AK150" s="650" t="str">
        <f t="shared" si="766"/>
        <v/>
      </c>
      <c r="AL150" s="647" t="str">
        <f t="shared" si="767"/>
        <v/>
      </c>
      <c r="AM150" s="649" t="str">
        <f t="shared" si="768"/>
        <v/>
      </c>
      <c r="AN150" s="595" t="str">
        <f t="shared" si="769"/>
        <v/>
      </c>
      <c r="AO150" s="596" t="str">
        <f t="shared" si="748"/>
        <v/>
      </c>
      <c r="AP150" s="597" t="str">
        <f t="shared" si="770"/>
        <v/>
      </c>
      <c r="AQ150" s="598" t="str">
        <f t="shared" si="901"/>
        <v/>
      </c>
      <c r="AS150" s="183" t="str">
        <f t="shared" si="922"/>
        <v/>
      </c>
      <c r="AT150" s="74" t="str">
        <f t="shared" si="902"/>
        <v/>
      </c>
      <c r="AU150" s="469"/>
      <c r="AV150" s="168" t="str">
        <f t="shared" si="903"/>
        <v/>
      </c>
      <c r="AW150" s="421"/>
      <c r="AX150" s="54"/>
      <c r="AY150" s="422"/>
      <c r="AZ150" s="308" t="str">
        <f t="shared" si="771"/>
        <v/>
      </c>
      <c r="BA150" s="309" t="str">
        <f t="shared" si="772"/>
        <v/>
      </c>
      <c r="BB150" s="423" t="str">
        <f t="shared" si="524"/>
        <v/>
      </c>
      <c r="BC150" s="17"/>
      <c r="BD150" s="13" t="str">
        <f t="shared" si="773"/>
        <v/>
      </c>
      <c r="BE150" s="14" t="str">
        <f t="shared" si="904"/>
        <v/>
      </c>
      <c r="BF150" s="12" t="str">
        <f t="shared" si="905"/>
        <v/>
      </c>
      <c r="BG150" s="13" t="str">
        <f t="shared" si="906"/>
        <v/>
      </c>
      <c r="BH150" s="18" t="str">
        <f t="shared" si="907"/>
        <v/>
      </c>
      <c r="BI150" s="17" t="str">
        <f t="shared" si="774"/>
        <v/>
      </c>
      <c r="BJ150" s="13" t="str">
        <f t="shared" si="908"/>
        <v/>
      </c>
      <c r="BK150" s="16" t="str">
        <f t="shared" si="909"/>
        <v/>
      </c>
      <c r="BL150" s="225" t="str">
        <f t="shared" si="910"/>
        <v/>
      </c>
      <c r="BM150" s="13" t="str">
        <f t="shared" si="911"/>
        <v/>
      </c>
      <c r="BN150" s="14" t="str">
        <f t="shared" si="912"/>
        <v/>
      </c>
      <c r="BO150" s="12" t="str">
        <f t="shared" si="775"/>
        <v/>
      </c>
      <c r="BP150" s="13" t="str">
        <f t="shared" si="776"/>
        <v/>
      </c>
      <c r="BQ150" s="13" t="str">
        <f t="shared" si="777"/>
        <v/>
      </c>
      <c r="BR150" s="14" t="str">
        <f t="shared" si="778"/>
        <v/>
      </c>
      <c r="BS150" s="12" t="str">
        <f t="shared" si="740"/>
        <v/>
      </c>
      <c r="BT150" s="13" t="str">
        <f t="shared" si="740"/>
        <v/>
      </c>
      <c r="BU150" s="18" t="str">
        <f t="shared" si="527"/>
        <v/>
      </c>
      <c r="BV150" s="17" t="str">
        <f t="shared" si="528"/>
        <v/>
      </c>
      <c r="BW150" s="13" t="str">
        <f t="shared" si="529"/>
        <v/>
      </c>
      <c r="BX150" s="16" t="str">
        <f t="shared" si="530"/>
        <v/>
      </c>
      <c r="BY150" s="225" t="str">
        <f t="shared" si="531"/>
        <v/>
      </c>
      <c r="BZ150" s="13" t="str">
        <f t="shared" si="532"/>
        <v/>
      </c>
      <c r="CA150" s="14" t="str">
        <f t="shared" si="533"/>
        <v/>
      </c>
      <c r="CB150" s="12" t="str">
        <f t="shared" si="779"/>
        <v/>
      </c>
      <c r="CC150" s="13" t="str">
        <f t="shared" si="780"/>
        <v/>
      </c>
      <c r="CD150" s="13" t="str">
        <f t="shared" si="781"/>
        <v/>
      </c>
      <c r="CE150" s="14" t="str">
        <f t="shared" si="782"/>
        <v/>
      </c>
      <c r="CF150" s="12" t="str">
        <f t="shared" si="783"/>
        <v/>
      </c>
      <c r="CG150" s="13" t="str">
        <f t="shared" si="784"/>
        <v/>
      </c>
      <c r="CH150" s="13" t="str">
        <f t="shared" si="785"/>
        <v/>
      </c>
      <c r="CI150" s="12" t="str">
        <f t="shared" si="534"/>
        <v/>
      </c>
      <c r="CJ150" s="13" t="str">
        <f t="shared" si="786"/>
        <v/>
      </c>
      <c r="CK150" s="16" t="str">
        <f t="shared" si="787"/>
        <v/>
      </c>
      <c r="CL150" s="225" t="str">
        <f t="shared" si="788"/>
        <v/>
      </c>
      <c r="CM150" s="13" t="str">
        <f t="shared" si="789"/>
        <v/>
      </c>
      <c r="CN150" s="14" t="str">
        <f t="shared" si="790"/>
        <v/>
      </c>
      <c r="CO150" s="238" t="str">
        <f t="shared" si="913"/>
        <v/>
      </c>
      <c r="CP150" s="12" t="str">
        <f t="shared" si="791"/>
        <v/>
      </c>
      <c r="CQ150" s="13" t="str">
        <f t="shared" si="792"/>
        <v/>
      </c>
      <c r="CR150" s="13" t="str">
        <f t="shared" si="793"/>
        <v/>
      </c>
      <c r="CS150" s="16" t="str">
        <f t="shared" si="794"/>
        <v/>
      </c>
      <c r="CT150" s="17" t="str">
        <f t="shared" si="795"/>
        <v/>
      </c>
      <c r="CU150" s="14" t="str">
        <f t="shared" si="796"/>
        <v/>
      </c>
      <c r="CV150" s="12" t="str">
        <f t="shared" si="797"/>
        <v/>
      </c>
      <c r="CW150" s="13" t="str">
        <f t="shared" si="798"/>
        <v/>
      </c>
      <c r="CX150" s="16" t="str">
        <f t="shared" si="799"/>
        <v/>
      </c>
      <c r="CY150" s="17" t="str">
        <f t="shared" si="800"/>
        <v/>
      </c>
      <c r="CZ150" s="13" t="str">
        <f t="shared" si="801"/>
        <v/>
      </c>
      <c r="DA150" s="14" t="str">
        <f t="shared" si="802"/>
        <v/>
      </c>
      <c r="DB150" s="12" t="str">
        <f t="shared" si="743"/>
        <v/>
      </c>
      <c r="DC150" s="13" t="str">
        <f t="shared" si="743"/>
        <v/>
      </c>
      <c r="DD150" s="18" t="str">
        <f t="shared" si="573"/>
        <v/>
      </c>
      <c r="DE150" s="17" t="str">
        <f t="shared" si="744"/>
        <v/>
      </c>
      <c r="DF150" s="13" t="str">
        <f t="shared" si="744"/>
        <v/>
      </c>
      <c r="DG150" s="18" t="str">
        <f t="shared" si="575"/>
        <v/>
      </c>
      <c r="DH150" s="229" t="str">
        <f t="shared" si="803"/>
        <v/>
      </c>
      <c r="DI150" s="12" t="str">
        <f t="shared" si="804"/>
        <v/>
      </c>
      <c r="DJ150" s="13" t="str">
        <f t="shared" si="805"/>
        <v/>
      </c>
      <c r="DK150" s="18" t="str">
        <f t="shared" si="806"/>
        <v/>
      </c>
      <c r="DL150" s="17" t="str">
        <f t="shared" si="807"/>
        <v/>
      </c>
      <c r="DM150" s="225" t="str">
        <f t="shared" si="808"/>
        <v/>
      </c>
      <c r="DN150" s="256" t="str">
        <f t="shared" si="809"/>
        <v/>
      </c>
      <c r="DO150" s="17" t="str">
        <f t="shared" si="810"/>
        <v/>
      </c>
      <c r="DP150" s="225" t="str">
        <f t="shared" si="811"/>
        <v/>
      </c>
      <c r="DQ150" s="19" t="str">
        <f t="shared" si="812"/>
        <v/>
      </c>
      <c r="DR150" s="225" t="str">
        <f t="shared" si="813"/>
        <v/>
      </c>
      <c r="DS150" s="13" t="str">
        <f t="shared" si="814"/>
        <v/>
      </c>
      <c r="DT150" s="13" t="str">
        <f t="shared" si="815"/>
        <v/>
      </c>
      <c r="DU150" s="13" t="str">
        <f t="shared" si="816"/>
        <v/>
      </c>
      <c r="DV150" s="13" t="str">
        <f t="shared" si="817"/>
        <v/>
      </c>
      <c r="DW150" s="13" t="str">
        <f t="shared" si="818"/>
        <v/>
      </c>
      <c r="DX150" s="238" t="str">
        <f t="shared" si="819"/>
        <v/>
      </c>
      <c r="DY150" s="17" t="str">
        <f t="shared" si="820"/>
        <v/>
      </c>
      <c r="DZ150" s="13" t="str">
        <f t="shared" si="821"/>
        <v/>
      </c>
      <c r="EA150" s="18" t="str">
        <f t="shared" si="822"/>
        <v/>
      </c>
      <c r="EB150" s="14" t="str">
        <f t="shared" si="823"/>
        <v/>
      </c>
      <c r="EC150" s="225" t="str">
        <f t="shared" si="824"/>
        <v/>
      </c>
      <c r="ED150" s="13" t="str">
        <f t="shared" si="825"/>
        <v/>
      </c>
      <c r="EE150" s="12" t="str">
        <f t="shared" si="826"/>
        <v/>
      </c>
      <c r="EF150" s="13" t="str">
        <f t="shared" si="827"/>
        <v/>
      </c>
      <c r="EG150" s="18" t="str">
        <f t="shared" si="828"/>
        <v/>
      </c>
      <c r="EH150" s="17" t="str">
        <f t="shared" si="829"/>
        <v/>
      </c>
      <c r="EI150" s="13" t="str">
        <f t="shared" si="830"/>
        <v/>
      </c>
      <c r="EJ150" s="14" t="str">
        <f t="shared" si="831"/>
        <v/>
      </c>
      <c r="EK150" s="257" t="str">
        <f t="shared" si="605"/>
        <v/>
      </c>
      <c r="EL150" s="258" t="str">
        <f t="shared" si="606"/>
        <v/>
      </c>
      <c r="EM150" s="12" t="str">
        <f t="shared" si="832"/>
        <v/>
      </c>
      <c r="EN150" s="13" t="str">
        <f t="shared" si="833"/>
        <v/>
      </c>
      <c r="EO150" s="18" t="str">
        <f t="shared" si="834"/>
        <v/>
      </c>
      <c r="EP150" s="17" t="str">
        <f t="shared" si="835"/>
        <v/>
      </c>
      <c r="EQ150" s="13" t="str">
        <f t="shared" si="836"/>
        <v/>
      </c>
      <c r="ER150" s="15" t="str">
        <f t="shared" si="837"/>
        <v/>
      </c>
      <c r="ES150" s="266" t="str">
        <f t="shared" si="914"/>
        <v/>
      </c>
      <c r="ET150" s="267" t="str">
        <f t="shared" si="915"/>
        <v/>
      </c>
      <c r="EU150" s="268" t="str">
        <f t="shared" si="916"/>
        <v/>
      </c>
      <c r="EV150" s="178" t="str">
        <f t="shared" si="838"/>
        <v/>
      </c>
      <c r="EW150" s="269" t="str">
        <f t="shared" si="839"/>
        <v/>
      </c>
      <c r="EX150" s="267" t="str">
        <f t="shared" si="840"/>
        <v/>
      </c>
      <c r="EY150" s="270" t="str">
        <f t="shared" si="841"/>
        <v/>
      </c>
      <c r="EZ150" s="271" t="str">
        <f t="shared" si="614"/>
        <v/>
      </c>
      <c r="FA150" s="272" t="str">
        <f t="shared" si="692"/>
        <v/>
      </c>
      <c r="FB150" s="267" t="str">
        <f t="shared" si="693"/>
        <v/>
      </c>
      <c r="FC150" s="270" t="str">
        <f t="shared" si="694"/>
        <v/>
      </c>
      <c r="FD150" s="281" t="str">
        <f t="shared" si="842"/>
        <v/>
      </c>
      <c r="FE150" s="267" t="str">
        <f t="shared" si="843"/>
        <v/>
      </c>
      <c r="FF150" s="273" t="str">
        <f t="shared" si="844"/>
        <v/>
      </c>
      <c r="FG150" s="177" t="str">
        <f t="shared" si="845"/>
        <v/>
      </c>
      <c r="FH150" s="5" t="str">
        <f t="shared" si="846"/>
        <v/>
      </c>
      <c r="FI150" s="10" t="str">
        <f t="shared" si="847"/>
        <v/>
      </c>
      <c r="FJ150" s="290" t="str">
        <f t="shared" si="848"/>
        <v/>
      </c>
      <c r="FK150" s="4" t="str">
        <f t="shared" si="849"/>
        <v/>
      </c>
      <c r="FL150" s="5" t="str">
        <f t="shared" si="850"/>
        <v/>
      </c>
      <c r="FM150" s="8" t="str">
        <f t="shared" si="851"/>
        <v/>
      </c>
      <c r="FN150" s="9" t="str">
        <f t="shared" si="852"/>
        <v/>
      </c>
      <c r="FO150" s="10" t="str">
        <f t="shared" si="853"/>
        <v/>
      </c>
      <c r="FP150" s="288" t="str">
        <f t="shared" si="854"/>
        <v/>
      </c>
      <c r="FQ150" s="177" t="str">
        <f t="shared" si="855"/>
        <v/>
      </c>
      <c r="FR150" s="10" t="str">
        <f t="shared" si="856"/>
        <v/>
      </c>
      <c r="FS150" s="9" t="str">
        <f t="shared" si="857"/>
        <v/>
      </c>
      <c r="FT150" s="6" t="str">
        <f t="shared" si="858"/>
        <v/>
      </c>
      <c r="FU150" s="4" t="str">
        <f t="shared" si="859"/>
        <v/>
      </c>
      <c r="FV150" s="5" t="str">
        <f t="shared" si="860"/>
        <v/>
      </c>
      <c r="FW150" s="8" t="str">
        <f t="shared" si="861"/>
        <v/>
      </c>
      <c r="FX150" s="9" t="str">
        <f t="shared" si="862"/>
        <v/>
      </c>
      <c r="FY150" s="10" t="str">
        <f t="shared" si="863"/>
        <v/>
      </c>
      <c r="FZ150" s="288" t="str">
        <f t="shared" si="864"/>
        <v/>
      </c>
      <c r="GA150" s="181" t="str">
        <f t="shared" si="865"/>
        <v/>
      </c>
      <c r="GB150" s="4" t="str">
        <f t="shared" si="866"/>
        <v/>
      </c>
      <c r="GC150" s="5" t="str">
        <f t="shared" si="867"/>
        <v/>
      </c>
      <c r="GD150" s="10" t="str">
        <f t="shared" si="868"/>
        <v/>
      </c>
      <c r="GE150" s="324" t="str">
        <f t="shared" si="869"/>
        <v/>
      </c>
      <c r="GF150" s="362" t="str">
        <f t="shared" si="870"/>
        <v/>
      </c>
      <c r="GG150" s="317" t="str">
        <f t="shared" si="871"/>
        <v/>
      </c>
      <c r="GH150" s="318" t="str">
        <f t="shared" si="872"/>
        <v/>
      </c>
      <c r="GI150" s="319" t="str">
        <f t="shared" si="873"/>
        <v/>
      </c>
      <c r="GJ150" s="171" t="str">
        <f t="shared" si="874"/>
        <v/>
      </c>
      <c r="GK150" s="178" t="str">
        <f t="shared" si="706"/>
        <v/>
      </c>
      <c r="GL150" s="178" t="str">
        <f t="shared" si="875"/>
        <v/>
      </c>
      <c r="GM150" s="181" t="str">
        <f t="shared" si="876"/>
        <v/>
      </c>
      <c r="GN150" s="291" t="str">
        <f t="shared" si="877"/>
        <v/>
      </c>
      <c r="GO150" s="4" t="str">
        <f t="shared" si="878"/>
        <v/>
      </c>
      <c r="GP150" s="8" t="str">
        <f t="shared" si="879"/>
        <v/>
      </c>
      <c r="GQ150" s="181" t="str">
        <f t="shared" si="880"/>
        <v/>
      </c>
      <c r="GR150" s="417" t="str">
        <f t="shared" si="881"/>
        <v/>
      </c>
      <c r="GS150" s="363" t="str">
        <f t="shared" si="882"/>
        <v/>
      </c>
      <c r="GT150" s="364" t="str">
        <f t="shared" si="883"/>
        <v/>
      </c>
      <c r="GU150" s="365" t="str">
        <f t="shared" si="709"/>
        <v/>
      </c>
      <c r="GV150" s="364" t="str">
        <f t="shared" si="884"/>
        <v/>
      </c>
      <c r="GW150" s="366" t="str">
        <f t="shared" si="710"/>
        <v/>
      </c>
      <c r="GX150" s="367" t="str">
        <f t="shared" si="711"/>
        <v/>
      </c>
      <c r="GY150" s="365" t="str">
        <f t="shared" si="885"/>
        <v/>
      </c>
      <c r="GZ150" s="366" t="str">
        <f t="shared" si="886"/>
        <v/>
      </c>
      <c r="HA150" s="363" t="str">
        <f t="shared" si="714"/>
        <v/>
      </c>
      <c r="HB150" s="5" t="str">
        <f t="shared" si="641"/>
        <v/>
      </c>
      <c r="HC150" s="364" t="str">
        <f t="shared" si="887"/>
        <v/>
      </c>
      <c r="HD150" s="405" t="str">
        <f t="shared" si="888"/>
        <v/>
      </c>
      <c r="HE150" s="365" t="str">
        <f t="shared" si="715"/>
        <v/>
      </c>
      <c r="HF150" s="5" t="str">
        <f t="shared" si="716"/>
        <v/>
      </c>
      <c r="HG150" s="364" t="str">
        <f t="shared" si="889"/>
        <v/>
      </c>
      <c r="HH150" s="370" t="str">
        <f t="shared" si="890"/>
        <v/>
      </c>
      <c r="HI150" s="335" t="str">
        <f t="shared" si="917"/>
        <v/>
      </c>
      <c r="HK150" s="323" t="str">
        <f t="shared" si="891"/>
        <v/>
      </c>
      <c r="HL150" s="322" t="str">
        <f t="shared" si="892"/>
        <v/>
      </c>
      <c r="HM150" s="369" t="str">
        <f t="shared" si="934"/>
        <v/>
      </c>
      <c r="HN150" s="384" t="str">
        <f t="shared" si="934"/>
        <v/>
      </c>
      <c r="HO150" s="385" t="str">
        <f t="shared" si="934"/>
        <v/>
      </c>
      <c r="HP150" s="380" t="str">
        <f t="shared" si="934"/>
        <v/>
      </c>
      <c r="HQ150" s="384" t="str">
        <f t="shared" si="934"/>
        <v/>
      </c>
      <c r="HR150" s="395" t="str">
        <f t="shared" si="934"/>
        <v/>
      </c>
      <c r="HS150" s="379" t="str">
        <f t="shared" si="934"/>
        <v/>
      </c>
      <c r="HT150" s="374" t="str">
        <f t="shared" si="934"/>
        <v/>
      </c>
      <c r="HU150" s="375" t="str">
        <f t="shared" si="934"/>
        <v/>
      </c>
      <c r="HV150" s="376" t="str">
        <f t="shared" si="934"/>
        <v/>
      </c>
      <c r="HW150" s="374" t="str">
        <f t="shared" si="934"/>
        <v/>
      </c>
      <c r="HX150" s="375" t="str">
        <f t="shared" si="934"/>
        <v/>
      </c>
      <c r="HY150" s="376" t="str">
        <f t="shared" si="934"/>
        <v/>
      </c>
      <c r="HZ150" s="374" t="str">
        <f t="shared" si="934"/>
        <v/>
      </c>
      <c r="IA150" s="375" t="str">
        <f t="shared" si="934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23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21"/>
        <v/>
      </c>
      <c r="IK150" s="841" t="str">
        <f t="shared" si="918"/>
        <v/>
      </c>
      <c r="IL150" s="728" t="str">
        <f t="shared" si="924"/>
        <v/>
      </c>
      <c r="IM150" s="760"/>
      <c r="IN150" s="179" t="str">
        <f t="shared" si="925"/>
        <v/>
      </c>
      <c r="IO150" s="772"/>
      <c r="IP150" s="768" t="str">
        <f t="shared" si="926"/>
        <v/>
      </c>
      <c r="IQ150" s="179" t="str">
        <f t="shared" si="927"/>
        <v/>
      </c>
      <c r="IR150" s="179" t="str">
        <f t="shared" si="919"/>
        <v/>
      </c>
      <c r="IS150" s="179" t="str">
        <f t="shared" si="928"/>
        <v/>
      </c>
      <c r="IT150" s="728" t="str">
        <f t="shared" si="929"/>
        <v/>
      </c>
      <c r="IU150" s="768" t="str">
        <f t="shared" si="930"/>
        <v/>
      </c>
      <c r="IV150" s="179" t="str">
        <f t="shared" si="931"/>
        <v/>
      </c>
      <c r="IW150" s="179" t="str">
        <f t="shared" si="920"/>
        <v/>
      </c>
      <c r="IX150" s="179" t="str">
        <f t="shared" si="932"/>
        <v/>
      </c>
      <c r="IY150" s="763" t="str">
        <f t="shared" si="933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35">E9*-1</f>
        <v>0.90630781366099955</v>
      </c>
      <c r="F154" s="170">
        <f t="shared" si="935"/>
        <v>0.10938162473876802</v>
      </c>
      <c r="G154" s="170">
        <f t="shared" si="935"/>
        <v>-0.40821784266066358</v>
      </c>
      <c r="H154" s="139"/>
      <c r="I154" s="86"/>
      <c r="J154" s="79">
        <f>J9</f>
        <v>1.101</v>
      </c>
    </row>
    <row r="155" spans="1:259" x14ac:dyDescent="0.25">
      <c r="E155" s="170">
        <f t="shared" si="935"/>
        <v>0.93969263802333458</v>
      </c>
      <c r="F155" s="170">
        <f t="shared" si="935"/>
        <v>8.8521302156295584E-2</v>
      </c>
      <c r="G155" s="170">
        <f t="shared" si="935"/>
        <v>-0.33036604714967344</v>
      </c>
      <c r="H155" s="139"/>
      <c r="I155" s="86"/>
      <c r="J155" s="79">
        <f t="shared" ref="J155:J218" si="936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35"/>
        <v>0.93969263802333458</v>
      </c>
      <c r="F156" s="170">
        <f t="shared" si="935"/>
        <v>8.8521302156295611E-2</v>
      </c>
      <c r="G156" s="170">
        <f t="shared" si="935"/>
        <v>-0.33036604714967333</v>
      </c>
      <c r="H156" s="139"/>
      <c r="I156" s="86"/>
      <c r="J156" s="79">
        <f t="shared" si="936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35"/>
        <v>0.93969263802333458</v>
      </c>
      <c r="F157" s="170">
        <f t="shared" si="935"/>
        <v>8.8521302156295611E-2</v>
      </c>
      <c r="G157" s="170">
        <f t="shared" si="935"/>
        <v>-0.33036604714967344</v>
      </c>
      <c r="H157" s="139"/>
      <c r="I157" s="86"/>
      <c r="J157" s="79">
        <f t="shared" si="936"/>
        <v>1.1100000000000001</v>
      </c>
      <c r="M157" t="s">
        <v>152</v>
      </c>
      <c r="N157" s="210">
        <v>0.48099999999999998</v>
      </c>
      <c r="O157" s="166">
        <f t="shared" ref="O157:O163" si="937">N157+$N$152</f>
        <v>0.48099999999999998</v>
      </c>
      <c r="P157" s="166">
        <f t="shared" ref="P157:P163" si="938">N157+$N$153</f>
        <v>0.49099999999999999</v>
      </c>
    </row>
    <row r="158" spans="1:259" x14ac:dyDescent="0.25">
      <c r="E158" s="170">
        <f t="shared" si="935"/>
        <v>0.93969263802333458</v>
      </c>
      <c r="F158" s="170">
        <f t="shared" si="935"/>
        <v>5.3503723084143327E-2</v>
      </c>
      <c r="G158" s="170">
        <f t="shared" si="935"/>
        <v>-0.33780926224850877</v>
      </c>
      <c r="H158" s="139"/>
      <c r="I158" s="86"/>
      <c r="J158" s="79">
        <f t="shared" si="936"/>
        <v>1.115</v>
      </c>
      <c r="M158" t="s">
        <v>153</v>
      </c>
      <c r="N158" s="210">
        <v>0.52900000000000003</v>
      </c>
      <c r="O158" s="166">
        <f t="shared" si="937"/>
        <v>0.52900000000000003</v>
      </c>
      <c r="P158" s="166">
        <f t="shared" si="938"/>
        <v>0.53900000000000003</v>
      </c>
    </row>
    <row r="159" spans="1:259" x14ac:dyDescent="0.25">
      <c r="E159" s="170">
        <f t="shared" si="935"/>
        <v>0.93939740856403853</v>
      </c>
      <c r="F159" s="170">
        <f t="shared" si="935"/>
        <v>-4.8810469971324079E-2</v>
      </c>
      <c r="G159" s="170">
        <f t="shared" si="935"/>
        <v>-0.33933765898341928</v>
      </c>
      <c r="H159" s="139"/>
      <c r="I159" s="86"/>
      <c r="J159" s="79">
        <f t="shared" si="936"/>
        <v>1.121</v>
      </c>
      <c r="M159" t="s">
        <v>154</v>
      </c>
      <c r="N159" s="210">
        <v>0.57699999999999996</v>
      </c>
      <c r="O159" s="166">
        <f t="shared" si="937"/>
        <v>0.57699999999999996</v>
      </c>
      <c r="P159" s="166">
        <f t="shared" si="938"/>
        <v>0.58699999999999997</v>
      </c>
    </row>
    <row r="160" spans="1:259" x14ac:dyDescent="0.25">
      <c r="E160" s="170">
        <f t="shared" si="935"/>
        <v>0.93610828259230305</v>
      </c>
      <c r="F160" s="170">
        <f t="shared" si="935"/>
        <v>-0.15935850774474852</v>
      </c>
      <c r="G160" s="170">
        <f t="shared" si="935"/>
        <v>-0.31353811454344116</v>
      </c>
      <c r="H160" s="139"/>
      <c r="I160" s="86"/>
      <c r="J160" s="79">
        <f t="shared" si="936"/>
        <v>1.127</v>
      </c>
      <c r="M160" t="s">
        <v>155</v>
      </c>
      <c r="N160" s="210">
        <v>0.625</v>
      </c>
      <c r="O160" s="166">
        <f t="shared" si="937"/>
        <v>0.625</v>
      </c>
      <c r="P160" s="166">
        <f t="shared" si="938"/>
        <v>0.63500000000000001</v>
      </c>
    </row>
    <row r="161" spans="5:16" x14ac:dyDescent="0.25">
      <c r="E161" s="170">
        <f t="shared" si="935"/>
        <v>0.92906024964294986</v>
      </c>
      <c r="F161" s="170">
        <f t="shared" si="935"/>
        <v>-0.25857796795303728</v>
      </c>
      <c r="G161" s="170">
        <f t="shared" si="935"/>
        <v>-0.2645458127104981</v>
      </c>
      <c r="H161" s="139"/>
      <c r="I161" s="86"/>
      <c r="J161" s="79">
        <f t="shared" si="936"/>
        <v>1.133</v>
      </c>
      <c r="M161" t="s">
        <v>156</v>
      </c>
      <c r="N161" s="210">
        <v>0.66500000000000004</v>
      </c>
      <c r="O161" s="166">
        <f t="shared" si="937"/>
        <v>0.66500000000000004</v>
      </c>
      <c r="P161" s="166">
        <f t="shared" si="938"/>
        <v>0.67500000000000004</v>
      </c>
    </row>
    <row r="162" spans="5:16" x14ac:dyDescent="0.25">
      <c r="E162" s="170">
        <f t="shared" si="935"/>
        <v>0.89259818101381216</v>
      </c>
      <c r="F162" s="170">
        <f t="shared" si="935"/>
        <v>-0.37496715853112661</v>
      </c>
      <c r="G162" s="170">
        <f t="shared" si="935"/>
        <v>-0.2503360087441015</v>
      </c>
      <c r="H162" s="139"/>
      <c r="I162" s="86"/>
      <c r="J162" s="79">
        <f t="shared" si="936"/>
        <v>1.139</v>
      </c>
      <c r="M162" t="s">
        <v>157</v>
      </c>
      <c r="N162" s="210">
        <v>0.70799999999999996</v>
      </c>
      <c r="O162" s="166">
        <f t="shared" si="937"/>
        <v>0.70799999999999996</v>
      </c>
      <c r="P162" s="166">
        <f t="shared" si="938"/>
        <v>0.71799999999999997</v>
      </c>
    </row>
    <row r="163" spans="5:16" x14ac:dyDescent="0.25">
      <c r="E163" s="170">
        <f t="shared" si="935"/>
        <v>0.85905746131502714</v>
      </c>
      <c r="F163" s="170">
        <f t="shared" si="935"/>
        <v>-0.47123229536851791</v>
      </c>
      <c r="G163" s="170">
        <f t="shared" si="935"/>
        <v>-0.19990098038953844</v>
      </c>
      <c r="H163" s="139"/>
      <c r="I163" s="86"/>
      <c r="J163" s="79">
        <f t="shared" si="936"/>
        <v>1.145</v>
      </c>
      <c r="M163" t="s">
        <v>158</v>
      </c>
      <c r="N163" s="210">
        <v>0.75</v>
      </c>
      <c r="O163" s="166">
        <f t="shared" si="937"/>
        <v>0.75</v>
      </c>
      <c r="P163" s="166">
        <f t="shared" si="938"/>
        <v>0.76</v>
      </c>
    </row>
    <row r="164" spans="5:16" x14ac:dyDescent="0.25">
      <c r="E164" s="170">
        <f t="shared" si="935"/>
        <v>0.81575892333620881</v>
      </c>
      <c r="F164" s="170">
        <f t="shared" si="935"/>
        <v>-0.56040145140089526</v>
      </c>
      <c r="G164" s="170">
        <f t="shared" si="935"/>
        <v>-0.14313487438468453</v>
      </c>
      <c r="H164" s="139"/>
      <c r="I164" s="86"/>
      <c r="J164" s="79">
        <f t="shared" si="936"/>
        <v>1.151</v>
      </c>
    </row>
    <row r="165" spans="5:16" x14ac:dyDescent="0.25">
      <c r="E165" s="170">
        <f t="shared" si="935"/>
        <v>0.78101870865938761</v>
      </c>
      <c r="F165" s="170">
        <f t="shared" si="935"/>
        <v>-0.62112210868069628</v>
      </c>
      <c r="G165" s="170">
        <f t="shared" si="935"/>
        <v>-6.4939224141254373E-2</v>
      </c>
      <c r="H165" s="139"/>
      <c r="I165" s="86"/>
      <c r="J165" s="79">
        <f t="shared" si="936"/>
        <v>1.157</v>
      </c>
    </row>
    <row r="166" spans="5:16" x14ac:dyDescent="0.25">
      <c r="E166" s="170">
        <f t="shared" si="935"/>
        <v>0.74358922993511456</v>
      </c>
      <c r="F166" s="170">
        <f t="shared" si="935"/>
        <v>-0.66639464357346168</v>
      </c>
      <c r="G166" s="170">
        <f t="shared" si="935"/>
        <v>-5.4710475606618764E-2</v>
      </c>
      <c r="H166" s="139"/>
      <c r="I166" s="86"/>
      <c r="J166" s="79">
        <f t="shared" si="936"/>
        <v>1.163</v>
      </c>
    </row>
    <row r="167" spans="5:16" x14ac:dyDescent="0.25">
      <c r="E167" s="170">
        <f t="shared" si="935"/>
        <v>0.72537444039686494</v>
      </c>
      <c r="F167" s="170">
        <f t="shared" si="935"/>
        <v>-0.68835450257764275</v>
      </c>
      <c r="G167" s="170">
        <f t="shared" si="935"/>
        <v>-1.457809318607852E-7</v>
      </c>
      <c r="H167" s="139"/>
      <c r="I167" s="86"/>
      <c r="J167" s="79">
        <f t="shared" si="936"/>
        <v>1.169</v>
      </c>
    </row>
    <row r="168" spans="5:16" x14ac:dyDescent="0.25">
      <c r="E168" s="170">
        <f t="shared" si="935"/>
        <v>-2.145496675588866E-2</v>
      </c>
      <c r="F168" s="170">
        <f t="shared" si="935"/>
        <v>-7.0025112452268432E-2</v>
      </c>
      <c r="G168" s="170">
        <f t="shared" si="935"/>
        <v>-0.99731447799956807</v>
      </c>
      <c r="H168" s="139"/>
      <c r="I168" s="86"/>
      <c r="J168" s="79">
        <f t="shared" si="936"/>
        <v>1.2210000000000001</v>
      </c>
    </row>
    <row r="169" spans="5:16" x14ac:dyDescent="0.25">
      <c r="E169" s="170">
        <f t="shared" si="935"/>
        <v>-7.2983987119499869E-2</v>
      </c>
      <c r="F169" s="170">
        <f t="shared" si="935"/>
        <v>-0.23419870659661671</v>
      </c>
      <c r="G169" s="170">
        <f t="shared" si="935"/>
        <v>-0.96944535867299542</v>
      </c>
      <c r="H169" s="139"/>
      <c r="I169" s="86"/>
      <c r="J169" s="79">
        <f t="shared" si="936"/>
        <v>1.2270000000000001</v>
      </c>
    </row>
    <row r="170" spans="5:16" x14ac:dyDescent="0.25">
      <c r="E170" s="170">
        <f t="shared" si="935"/>
        <v>-0.12274374961941174</v>
      </c>
      <c r="F170" s="170">
        <f t="shared" si="935"/>
        <v>-0.3877739338913791</v>
      </c>
      <c r="G170" s="170">
        <f t="shared" si="935"/>
        <v>-0.91354548224145449</v>
      </c>
      <c r="H170" s="139"/>
      <c r="I170" s="86"/>
      <c r="J170" s="79">
        <f t="shared" si="936"/>
        <v>1.2330000000000001</v>
      </c>
    </row>
    <row r="171" spans="5:16" x14ac:dyDescent="0.25">
      <c r="E171" s="170">
        <f t="shared" si="935"/>
        <v>-0.17262184248242679</v>
      </c>
      <c r="F171" s="170">
        <f t="shared" si="935"/>
        <v>-0.53035952616624571</v>
      </c>
      <c r="G171" s="170">
        <f t="shared" si="935"/>
        <v>-0.83001233274132002</v>
      </c>
      <c r="H171" s="139"/>
      <c r="I171" s="86"/>
      <c r="J171" s="79">
        <f t="shared" si="936"/>
        <v>1.2390000000000001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35"/>
        <v>-0.2188185238522764</v>
      </c>
      <c r="F172" s="170">
        <f t="shared" si="935"/>
        <v>-0.65531431355216985</v>
      </c>
      <c r="G172" s="170">
        <f t="shared" si="935"/>
        <v>-0.72296722199056807</v>
      </c>
      <c r="H172" s="139"/>
      <c r="I172" s="86"/>
      <c r="J172" s="79">
        <f t="shared" si="936"/>
        <v>1.2450000000000001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35"/>
        <v>-0.25629157900836536</v>
      </c>
      <c r="F173" s="170">
        <f t="shared" si="935"/>
        <v>-0.76080904054826848</v>
      </c>
      <c r="G173" s="170">
        <f t="shared" si="935"/>
        <v>-0.59622498299670579</v>
      </c>
      <c r="H173" s="139"/>
      <c r="I173" s="86"/>
      <c r="J173" s="79">
        <f t="shared" si="936"/>
        <v>1.2509999999999999</v>
      </c>
      <c r="O173" t="str">
        <f>IF($J24="","",IFERROR(INDEX(Settings!$AK$14:$AK$32,MATCH((((ROUND($H24,6)*2)*1000000)+ROUND($I24,6)),Settings!$AI$14:$AI$32,0)),"Undefined"))</f>
        <v>CPS-32106r1</v>
      </c>
    </row>
    <row r="174" spans="5:16" x14ac:dyDescent="0.25">
      <c r="E174" s="170">
        <f t="shared" ref="E174:G193" si="939">E29*-1</f>
        <v>-0.28609608943913867</v>
      </c>
      <c r="F174" s="170">
        <f t="shared" si="939"/>
        <v>-0.84214629608583824</v>
      </c>
      <c r="G174" s="170">
        <f t="shared" si="939"/>
        <v>-0.45709806781098533</v>
      </c>
      <c r="H174" s="139"/>
      <c r="I174" s="86"/>
      <c r="J174" s="79">
        <f t="shared" si="936"/>
        <v>1.2569999999999999</v>
      </c>
    </row>
    <row r="175" spans="5:16" x14ac:dyDescent="0.25">
      <c r="E175" s="170">
        <f t="shared" si="939"/>
        <v>-0.28609291441338697</v>
      </c>
      <c r="F175" s="170">
        <f t="shared" si="939"/>
        <v>-0.85996774572681467</v>
      </c>
      <c r="G175" s="170">
        <f t="shared" si="939"/>
        <v>-0.42261841019055846</v>
      </c>
      <c r="H175" s="139"/>
      <c r="I175" s="86"/>
      <c r="J175" s="79">
        <f t="shared" si="936"/>
        <v>1.2629999999999999</v>
      </c>
    </row>
    <row r="176" spans="5:16" x14ac:dyDescent="0.25">
      <c r="E176" s="170">
        <f t="shared" si="939"/>
        <v>0.46157817470970963</v>
      </c>
      <c r="F176" s="170">
        <f t="shared" si="939"/>
        <v>-0.82159872802864986</v>
      </c>
      <c r="G176" s="170">
        <f t="shared" si="939"/>
        <v>-0.33454613842242703</v>
      </c>
      <c r="H176" s="139"/>
      <c r="I176" s="86"/>
      <c r="J176" s="79">
        <f t="shared" si="936"/>
        <v>2.1139999999999999</v>
      </c>
    </row>
    <row r="177" spans="5:10" x14ac:dyDescent="0.25">
      <c r="E177" s="170">
        <f t="shared" si="939"/>
        <v>0.38306921945179306</v>
      </c>
      <c r="F177" s="170">
        <f t="shared" si="939"/>
        <v>-0.85820798404649346</v>
      </c>
      <c r="G177" s="170">
        <f t="shared" si="939"/>
        <v>-0.34166801024890786</v>
      </c>
      <c r="H177" s="139"/>
      <c r="I177" s="86"/>
      <c r="J177" s="79">
        <f t="shared" si="936"/>
        <v>2.12</v>
      </c>
    </row>
    <row r="178" spans="5:10" x14ac:dyDescent="0.25">
      <c r="E178" s="170">
        <f t="shared" si="939"/>
        <v>0.26807811307199214</v>
      </c>
      <c r="F178" s="170">
        <f t="shared" si="939"/>
        <v>-0.90879280180528532</v>
      </c>
      <c r="G178" s="170">
        <f t="shared" si="939"/>
        <v>-0.31973390292344622</v>
      </c>
      <c r="H178" s="139"/>
      <c r="I178" s="86"/>
      <c r="J178" s="79">
        <f t="shared" si="936"/>
        <v>2.1259999999999999</v>
      </c>
    </row>
    <row r="179" spans="5:10" x14ac:dyDescent="0.25">
      <c r="E179" s="170">
        <f t="shared" si="939"/>
        <v>0.1727419213989986</v>
      </c>
      <c r="F179" s="170">
        <f t="shared" si="939"/>
        <v>-0.94609325835545666</v>
      </c>
      <c r="G179" s="170">
        <f t="shared" si="939"/>
        <v>-0.27398499062127013</v>
      </c>
      <c r="H179" s="139"/>
      <c r="I179" s="86"/>
      <c r="J179" s="79">
        <f t="shared" si="936"/>
        <v>2.1320000000000001</v>
      </c>
    </row>
    <row r="180" spans="5:10" x14ac:dyDescent="0.25">
      <c r="E180" s="170">
        <f t="shared" si="939"/>
        <v>6.1076267254086242E-2</v>
      </c>
      <c r="F180" s="170">
        <f t="shared" si="939"/>
        <v>-0.96619882403468105</v>
      </c>
      <c r="G180" s="170">
        <f t="shared" si="939"/>
        <v>-0.25045862335385255</v>
      </c>
      <c r="H180" s="139"/>
      <c r="I180" s="86"/>
      <c r="J180" s="79">
        <f t="shared" si="936"/>
        <v>2.1379999999999999</v>
      </c>
    </row>
    <row r="181" spans="5:10" x14ac:dyDescent="0.25">
      <c r="E181" s="170">
        <f t="shared" si="939"/>
        <v>-5.455646593490919E-2</v>
      </c>
      <c r="F181" s="170">
        <f t="shared" si="939"/>
        <v>-0.97509111895475598</v>
      </c>
      <c r="G181" s="170">
        <f t="shared" si="939"/>
        <v>-0.21499046899863983</v>
      </c>
      <c r="H181" s="139"/>
      <c r="I181" s="86"/>
      <c r="J181" s="79">
        <f t="shared" si="936"/>
        <v>2.1440000000000001</v>
      </c>
    </row>
    <row r="182" spans="5:10" x14ac:dyDescent="0.25">
      <c r="E182" s="170">
        <f t="shared" si="939"/>
        <v>-0.1572268693315873</v>
      </c>
      <c r="F182" s="170">
        <f t="shared" si="939"/>
        <v>-0.9745866574869182</v>
      </c>
      <c r="G182" s="170">
        <f t="shared" si="939"/>
        <v>-0.15956365064971595</v>
      </c>
      <c r="H182" s="139"/>
      <c r="I182" s="86"/>
      <c r="J182" s="79">
        <f t="shared" si="936"/>
        <v>2.15</v>
      </c>
    </row>
    <row r="183" spans="5:10" x14ac:dyDescent="0.25">
      <c r="E183" s="170">
        <f t="shared" si="939"/>
        <v>-0.22991177563809914</v>
      </c>
      <c r="F183" s="170">
        <f t="shared" si="939"/>
        <v>-0.96978664268637083</v>
      </c>
      <c r="G183" s="170">
        <f t="shared" si="939"/>
        <v>-8.1574769935524233E-2</v>
      </c>
      <c r="H183" s="139"/>
      <c r="I183" s="86"/>
      <c r="J183" s="79">
        <f t="shared" si="936"/>
        <v>2.1560000000000001</v>
      </c>
    </row>
    <row r="184" spans="5:10" x14ac:dyDescent="0.25">
      <c r="E184" s="170">
        <f t="shared" si="939"/>
        <v>-0.28971029315139718</v>
      </c>
      <c r="F184" s="170">
        <f t="shared" si="939"/>
        <v>-0.95555027333428155</v>
      </c>
      <c r="G184" s="170">
        <f t="shared" si="939"/>
        <v>-5.4695714392550415E-2</v>
      </c>
      <c r="H184" s="139"/>
      <c r="I184" s="86"/>
      <c r="J184" s="79">
        <f t="shared" si="936"/>
        <v>2.1619999999999999</v>
      </c>
    </row>
    <row r="185" spans="5:10" x14ac:dyDescent="0.25">
      <c r="E185" s="170">
        <f t="shared" si="939"/>
        <v>-0.31730526578407953</v>
      </c>
      <c r="F185" s="170">
        <f t="shared" si="939"/>
        <v>-0.94832345131061346</v>
      </c>
      <c r="G185" s="170">
        <f t="shared" si="939"/>
        <v>-1.4578093196799048E-7</v>
      </c>
      <c r="H185" s="139"/>
      <c r="I185" s="86"/>
      <c r="J185" s="79">
        <f t="shared" si="936"/>
        <v>2.1680000000000001</v>
      </c>
    </row>
    <row r="186" spans="5:10" x14ac:dyDescent="0.25">
      <c r="E186" s="170">
        <f t="shared" si="939"/>
        <v>-4.4980953306641654E-2</v>
      </c>
      <c r="F186" s="170">
        <f t="shared" si="939"/>
        <v>-5.8748564136167454E-3</v>
      </c>
      <c r="G186" s="170">
        <f t="shared" si="939"/>
        <v>-0.99897057008790069</v>
      </c>
      <c r="H186" s="139"/>
      <c r="I186" s="86"/>
      <c r="J186" s="79">
        <f t="shared" si="936"/>
        <v>2.2200000000000002</v>
      </c>
    </row>
    <row r="187" spans="5:10" x14ac:dyDescent="0.25">
      <c r="E187" s="170">
        <f t="shared" si="939"/>
        <v>-0.21467631895730332</v>
      </c>
      <c r="F187" s="170">
        <f t="shared" si="939"/>
        <v>-2.7571203247073482E-2</v>
      </c>
      <c r="G187" s="170">
        <f t="shared" si="939"/>
        <v>-0.97629601393760224</v>
      </c>
      <c r="H187" s="139"/>
      <c r="I187" s="86"/>
      <c r="J187" s="79">
        <f t="shared" si="936"/>
        <v>2.226</v>
      </c>
    </row>
    <row r="188" spans="5:10" x14ac:dyDescent="0.25">
      <c r="E188" s="170">
        <f t="shared" si="939"/>
        <v>-0.37806514233182231</v>
      </c>
      <c r="F188" s="170">
        <f t="shared" si="939"/>
        <v>-4.7763376253231155E-2</v>
      </c>
      <c r="G188" s="170">
        <f t="shared" si="939"/>
        <v>-0.92454605512246457</v>
      </c>
      <c r="H188" s="139"/>
      <c r="I188" s="86"/>
      <c r="J188" s="79">
        <f t="shared" si="936"/>
        <v>2.2320000000000002</v>
      </c>
    </row>
    <row r="189" spans="5:10" x14ac:dyDescent="0.25">
      <c r="E189" s="170">
        <f t="shared" si="939"/>
        <v>-0.52906867695763404</v>
      </c>
      <c r="F189" s="170">
        <f t="shared" si="939"/>
        <v>-6.3587636256549451E-2</v>
      </c>
      <c r="G189" s="170">
        <f t="shared" si="939"/>
        <v>-0.84619320936627918</v>
      </c>
      <c r="H189" s="139"/>
      <c r="I189" s="86"/>
      <c r="J189" s="79">
        <f t="shared" si="936"/>
        <v>2.238</v>
      </c>
    </row>
    <row r="190" spans="5:10" x14ac:dyDescent="0.25">
      <c r="E190" s="170">
        <f t="shared" si="939"/>
        <v>-0.66618097350346073</v>
      </c>
      <c r="F190" s="170">
        <f t="shared" si="939"/>
        <v>-7.5330315305517259E-2</v>
      </c>
      <c r="G190" s="170">
        <f t="shared" si="939"/>
        <v>-0.74197591210089342</v>
      </c>
      <c r="H190" s="139"/>
      <c r="I190" s="86"/>
      <c r="J190" s="79">
        <f t="shared" si="936"/>
        <v>2.2440000000000002</v>
      </c>
    </row>
    <row r="191" spans="5:10" x14ac:dyDescent="0.25">
      <c r="E191" s="170">
        <f t="shared" si="939"/>
        <v>-0.78104184078434058</v>
      </c>
      <c r="F191" s="170">
        <f t="shared" si="939"/>
        <v>-8.685949932202891E-2</v>
      </c>
      <c r="G191" s="170">
        <f t="shared" si="939"/>
        <v>-0.61840849793783992</v>
      </c>
      <c r="H191" s="139"/>
      <c r="I191" s="86"/>
      <c r="J191" s="79">
        <f t="shared" si="936"/>
        <v>2.25</v>
      </c>
    </row>
    <row r="192" spans="5:10" x14ac:dyDescent="0.25">
      <c r="E192" s="170">
        <f t="shared" si="939"/>
        <v>-0.87199067579555944</v>
      </c>
      <c r="F192" s="170">
        <f t="shared" si="939"/>
        <v>-9.4960642864749589E-2</v>
      </c>
      <c r="G192" s="170">
        <f t="shared" si="939"/>
        <v>-0.48022363293815207</v>
      </c>
      <c r="H192" s="139"/>
      <c r="I192" s="86"/>
      <c r="J192" s="79">
        <f t="shared" si="936"/>
        <v>2.2559999999999998</v>
      </c>
    </row>
    <row r="193" spans="5:10" x14ac:dyDescent="0.25">
      <c r="E193" s="170">
        <f t="shared" si="939"/>
        <v>-0.90030308682524773</v>
      </c>
      <c r="F193" s="170">
        <f t="shared" si="939"/>
        <v>-0.10415388240932703</v>
      </c>
      <c r="G193" s="170">
        <f t="shared" si="939"/>
        <v>-0.42261841019055796</v>
      </c>
      <c r="H193" s="139"/>
      <c r="I193" s="86"/>
      <c r="J193" s="79">
        <f t="shared" si="936"/>
        <v>2.262</v>
      </c>
    </row>
    <row r="194" spans="5:10" x14ac:dyDescent="0.25">
      <c r="E194" s="170">
        <f t="shared" ref="E194:G213" si="940">E49*-1</f>
        <v>-0.46647363486210169</v>
      </c>
      <c r="F194" s="170">
        <f t="shared" si="940"/>
        <v>-0.8205246022327658</v>
      </c>
      <c r="G194" s="170">
        <f t="shared" si="940"/>
        <v>-0.33036604714967321</v>
      </c>
      <c r="H194" s="139"/>
      <c r="I194" s="86"/>
      <c r="J194" s="79">
        <f t="shared" si="936"/>
        <v>3.1030000000000002</v>
      </c>
    </row>
    <row r="195" spans="5:10" x14ac:dyDescent="0.25">
      <c r="E195" s="170">
        <f t="shared" si="940"/>
        <v>-0.46647363486210203</v>
      </c>
      <c r="F195" s="170">
        <f t="shared" si="940"/>
        <v>-0.82052460223276569</v>
      </c>
      <c r="G195" s="170">
        <f t="shared" si="940"/>
        <v>-0.33036604714967344</v>
      </c>
      <c r="H195" s="139"/>
      <c r="I195" s="86"/>
      <c r="J195" s="79">
        <f t="shared" si="936"/>
        <v>3.1059999999999999</v>
      </c>
    </row>
    <row r="196" spans="5:10" x14ac:dyDescent="0.25">
      <c r="E196" s="170">
        <f t="shared" si="940"/>
        <v>-0.46647363486210203</v>
      </c>
      <c r="F196" s="170">
        <f t="shared" si="940"/>
        <v>-0.82052460223276569</v>
      </c>
      <c r="G196" s="170">
        <f t="shared" si="940"/>
        <v>-0.33036604714967344</v>
      </c>
      <c r="H196" s="139"/>
      <c r="I196" s="86"/>
      <c r="J196" s="79">
        <f t="shared" si="936"/>
        <v>3.109</v>
      </c>
    </row>
    <row r="197" spans="5:10" x14ac:dyDescent="0.25">
      <c r="E197" s="170">
        <f t="shared" si="940"/>
        <v>-0.46647363486210175</v>
      </c>
      <c r="F197" s="170">
        <f t="shared" si="940"/>
        <v>-0.8205246022327658</v>
      </c>
      <c r="G197" s="170">
        <f t="shared" si="940"/>
        <v>-0.33036604714967333</v>
      </c>
      <c r="H197" s="139"/>
      <c r="I197" s="86"/>
      <c r="J197" s="79">
        <f t="shared" si="936"/>
        <v>3.113</v>
      </c>
    </row>
    <row r="198" spans="5:10" x14ac:dyDescent="0.25">
      <c r="E198" s="170">
        <f t="shared" si="940"/>
        <v>-0.54387558662958935</v>
      </c>
      <c r="F198" s="170">
        <f t="shared" si="940"/>
        <v>-0.76632710382343583</v>
      </c>
      <c r="G198" s="170">
        <f t="shared" si="940"/>
        <v>-0.34196800466404054</v>
      </c>
      <c r="H198" s="139"/>
      <c r="I198" s="86"/>
      <c r="J198" s="79">
        <f t="shared" si="936"/>
        <v>3.1190000000000002</v>
      </c>
    </row>
    <row r="199" spans="5:10" x14ac:dyDescent="0.25">
      <c r="E199" s="170">
        <f t="shared" si="940"/>
        <v>-0.63874642151513483</v>
      </c>
      <c r="F199" s="170">
        <f t="shared" si="940"/>
        <v>-0.69740781252659889</v>
      </c>
      <c r="G199" s="170">
        <f t="shared" si="940"/>
        <v>-0.32500054158181674</v>
      </c>
      <c r="H199" s="139"/>
      <c r="I199" s="86"/>
      <c r="J199" s="79">
        <f t="shared" si="936"/>
        <v>3.125</v>
      </c>
    </row>
    <row r="200" spans="5:10" x14ac:dyDescent="0.25">
      <c r="E200" s="170">
        <f t="shared" si="940"/>
        <v>-0.72080431307773618</v>
      </c>
      <c r="F200" s="170">
        <f t="shared" si="940"/>
        <v>-0.6327713658511932</v>
      </c>
      <c r="G200" s="170">
        <f t="shared" si="940"/>
        <v>-0.28291613741062616</v>
      </c>
      <c r="H200" s="139"/>
      <c r="I200" s="86"/>
      <c r="J200" s="79">
        <f t="shared" si="936"/>
        <v>3.1309999999999998</v>
      </c>
    </row>
    <row r="201" spans="5:10" x14ac:dyDescent="0.25">
      <c r="E201" s="170">
        <f t="shared" si="940"/>
        <v>-0.79573934744121411</v>
      </c>
      <c r="F201" s="170">
        <f t="shared" si="940"/>
        <v>-0.54541470110974799</v>
      </c>
      <c r="G201" s="170">
        <f t="shared" si="940"/>
        <v>-0.26329013416228642</v>
      </c>
      <c r="H201" s="139"/>
      <c r="I201" s="86"/>
      <c r="J201" s="79">
        <f t="shared" si="936"/>
        <v>3.137</v>
      </c>
    </row>
    <row r="202" spans="5:10" x14ac:dyDescent="0.25">
      <c r="E202" s="170">
        <f t="shared" si="940"/>
        <v>-0.86039383615314957</v>
      </c>
      <c r="F202" s="170">
        <f t="shared" si="940"/>
        <v>-0.4601565460288034</v>
      </c>
      <c r="G202" s="170">
        <f t="shared" si="940"/>
        <v>-0.21903972209740655</v>
      </c>
      <c r="H202" s="139"/>
      <c r="I202" s="86"/>
      <c r="J202" s="79">
        <f t="shared" si="936"/>
        <v>3.1429999999999998</v>
      </c>
    </row>
    <row r="203" spans="5:10" x14ac:dyDescent="0.25">
      <c r="E203" s="170">
        <f t="shared" si="940"/>
        <v>-0.91394602211845144</v>
      </c>
      <c r="F203" s="170">
        <f t="shared" si="940"/>
        <v>-0.36998024850270705</v>
      </c>
      <c r="G203" s="170">
        <f t="shared" si="940"/>
        <v>-0.16678514433766092</v>
      </c>
      <c r="H203" s="139"/>
      <c r="I203" s="86"/>
      <c r="J203" s="79">
        <f t="shared" si="936"/>
        <v>3.149</v>
      </c>
    </row>
    <row r="204" spans="5:10" x14ac:dyDescent="0.25">
      <c r="E204" s="170">
        <f t="shared" si="940"/>
        <v>-0.94831613924730529</v>
      </c>
      <c r="F204" s="170">
        <f t="shared" si="940"/>
        <v>-0.3036381847185074</v>
      </c>
      <c r="G204" s="170">
        <f t="shared" si="940"/>
        <v>-9.2197358009519073E-2</v>
      </c>
      <c r="H204" s="139"/>
      <c r="I204" s="86"/>
      <c r="J204" s="79">
        <f t="shared" si="936"/>
        <v>3.1549999999999998</v>
      </c>
    </row>
    <row r="205" spans="5:10" x14ac:dyDescent="0.25">
      <c r="E205" s="170">
        <f t="shared" si="940"/>
        <v>-0.96883361691615077</v>
      </c>
      <c r="F205" s="170">
        <f t="shared" si="940"/>
        <v>-0.24272396789293629</v>
      </c>
      <c r="G205" s="170">
        <f t="shared" si="940"/>
        <v>-4.9462087940947794E-2</v>
      </c>
      <c r="H205" s="139"/>
      <c r="I205" s="86"/>
      <c r="J205" s="79">
        <f t="shared" si="936"/>
        <v>3.161</v>
      </c>
    </row>
    <row r="206" spans="5:10" x14ac:dyDescent="0.25">
      <c r="E206" s="170">
        <f t="shared" si="940"/>
        <v>-0.97992480258789694</v>
      </c>
      <c r="F206" s="170">
        <f t="shared" si="940"/>
        <v>-0.19936745289301905</v>
      </c>
      <c r="G206" s="170">
        <f t="shared" si="940"/>
        <v>-1.4578093205264883E-7</v>
      </c>
      <c r="H206" s="139"/>
      <c r="I206" s="86"/>
      <c r="J206" s="79">
        <f t="shared" si="936"/>
        <v>3.1669999999999998</v>
      </c>
    </row>
    <row r="207" spans="5:10" x14ac:dyDescent="0.25">
      <c r="E207" s="170">
        <f t="shared" si="940"/>
        <v>-1.0466547512595794E-2</v>
      </c>
      <c r="F207" s="170">
        <f t="shared" si="940"/>
        <v>1.3965592924232823E-2</v>
      </c>
      <c r="G207" s="170">
        <f t="shared" si="940"/>
        <v>-0.99984769520034478</v>
      </c>
      <c r="H207" s="139"/>
      <c r="I207" s="86"/>
      <c r="J207" s="79">
        <f t="shared" si="936"/>
        <v>3.2189999999999999</v>
      </c>
    </row>
    <row r="208" spans="5:10" x14ac:dyDescent="0.25">
      <c r="E208" s="170">
        <f t="shared" si="940"/>
        <v>-0.11355211794552451</v>
      </c>
      <c r="F208" s="170">
        <f t="shared" si="940"/>
        <v>0.15120513506219646</v>
      </c>
      <c r="G208" s="170">
        <f t="shared" si="940"/>
        <v>-0.98195871789037492</v>
      </c>
      <c r="H208" s="139"/>
      <c r="I208" s="86"/>
      <c r="J208" s="79">
        <f t="shared" si="936"/>
        <v>3.2250000000000001</v>
      </c>
    </row>
    <row r="209" spans="5:10" x14ac:dyDescent="0.25">
      <c r="E209" s="170">
        <f t="shared" si="940"/>
        <v>-0.21341011193131049</v>
      </c>
      <c r="F209" s="170">
        <f t="shared" si="940"/>
        <v>0.2838257283557522</v>
      </c>
      <c r="G209" s="170">
        <f t="shared" si="940"/>
        <v>-0.93482569500885693</v>
      </c>
      <c r="H209" s="139"/>
      <c r="I209" s="86"/>
      <c r="J209" s="79">
        <f t="shared" si="936"/>
        <v>3.2309999999999999</v>
      </c>
    </row>
    <row r="210" spans="5:10" x14ac:dyDescent="0.25">
      <c r="E210" s="170">
        <f t="shared" si="940"/>
        <v>-0.30325297405246515</v>
      </c>
      <c r="F210" s="170">
        <f t="shared" si="940"/>
        <v>0.40698004420788186</v>
      </c>
      <c r="G210" s="170">
        <f t="shared" si="940"/>
        <v>-0.86162919945002181</v>
      </c>
      <c r="H210" s="139"/>
      <c r="I210" s="86"/>
      <c r="J210" s="79">
        <f t="shared" si="936"/>
        <v>3.2370000000000001</v>
      </c>
    </row>
    <row r="211" spans="5:10" x14ac:dyDescent="0.25">
      <c r="E211" s="170">
        <f t="shared" si="940"/>
        <v>-0.38441885804118803</v>
      </c>
      <c r="F211" s="170">
        <f t="shared" si="940"/>
        <v>0.52180594787748025</v>
      </c>
      <c r="G211" s="170">
        <f t="shared" si="940"/>
        <v>-0.76153837351901943</v>
      </c>
      <c r="H211" s="139"/>
      <c r="I211" s="86"/>
      <c r="J211" s="79">
        <f t="shared" si="936"/>
        <v>3.2429999999999999</v>
      </c>
    </row>
    <row r="212" spans="5:10" x14ac:dyDescent="0.25">
      <c r="E212" s="170">
        <f t="shared" si="940"/>
        <v>-0.45501962403789092</v>
      </c>
      <c r="F212" s="170">
        <f t="shared" si="940"/>
        <v>0.61904490139471224</v>
      </c>
      <c r="G212" s="170">
        <f t="shared" si="940"/>
        <v>-0.64010979667368595</v>
      </c>
      <c r="H212" s="139"/>
      <c r="I212" s="86"/>
      <c r="J212" s="79">
        <f t="shared" si="936"/>
        <v>3.2490000000000001</v>
      </c>
    </row>
    <row r="213" spans="5:10" x14ac:dyDescent="0.25">
      <c r="E213" s="170">
        <f t="shared" si="940"/>
        <v>-0.50996740783921379</v>
      </c>
      <c r="F213" s="170">
        <f t="shared" si="940"/>
        <v>0.69669576479506767</v>
      </c>
      <c r="G213" s="170">
        <f t="shared" si="940"/>
        <v>-0.504527753704758</v>
      </c>
      <c r="H213" s="139"/>
      <c r="I213" s="86"/>
      <c r="J213" s="79">
        <f t="shared" si="936"/>
        <v>3.2549999999999999</v>
      </c>
    </row>
    <row r="214" spans="5:10" x14ac:dyDescent="0.25">
      <c r="E214" s="170">
        <f t="shared" ref="E214:G233" si="941">E69*-1</f>
        <v>-0.54037695948266029</v>
      </c>
      <c r="F214" s="170">
        <f t="shared" si="941"/>
        <v>0.7275894591239489</v>
      </c>
      <c r="G214" s="170">
        <f t="shared" si="941"/>
        <v>-0.42261841019055807</v>
      </c>
      <c r="H214" s="139"/>
      <c r="I214" s="86"/>
      <c r="J214" s="79">
        <f t="shared" si="936"/>
        <v>3.2610000000000001</v>
      </c>
    </row>
    <row r="215" spans="5:10" x14ac:dyDescent="0.25">
      <c r="E215" s="170">
        <f t="shared" si="941"/>
        <v>-0.94078812562050074</v>
      </c>
      <c r="F215" s="170">
        <f t="shared" si="941"/>
        <v>7.5999852514097563E-2</v>
      </c>
      <c r="G215" s="170">
        <f t="shared" si="941"/>
        <v>-0.33036604714967349</v>
      </c>
      <c r="H215" s="139"/>
      <c r="I215" s="86"/>
      <c r="J215" s="79">
        <f t="shared" si="936"/>
        <v>4.1120000000000001</v>
      </c>
    </row>
    <row r="216" spans="5:10" x14ac:dyDescent="0.25">
      <c r="E216" s="170">
        <f t="shared" si="941"/>
        <v>-0.92541652547080078</v>
      </c>
      <c r="F216" s="170">
        <f t="shared" si="941"/>
        <v>0.16317631059931642</v>
      </c>
      <c r="G216" s="170">
        <f t="shared" si="941"/>
        <v>-0.34202009596622596</v>
      </c>
      <c r="H216" s="139"/>
      <c r="I216" s="86"/>
      <c r="J216" s="79">
        <f t="shared" si="936"/>
        <v>4.1180000000000003</v>
      </c>
    </row>
    <row r="217" spans="5:10" x14ac:dyDescent="0.25">
      <c r="E217" s="170">
        <f t="shared" si="941"/>
        <v>-0.90587511641395202</v>
      </c>
      <c r="F217" s="170">
        <f t="shared" si="941"/>
        <v>0.26577391916451532</v>
      </c>
      <c r="G217" s="170">
        <f t="shared" si="941"/>
        <v>-0.32977946775677602</v>
      </c>
      <c r="H217" s="139"/>
      <c r="I217" s="86"/>
      <c r="J217" s="79">
        <f t="shared" si="936"/>
        <v>4.1239999999999997</v>
      </c>
    </row>
    <row r="218" spans="5:10" x14ac:dyDescent="0.25">
      <c r="E218" s="170">
        <f t="shared" si="941"/>
        <v>-0.88223126121456341</v>
      </c>
      <c r="F218" s="170">
        <f t="shared" si="941"/>
        <v>0.3695989867727858</v>
      </c>
      <c r="G218" s="170">
        <f t="shared" si="941"/>
        <v>-0.29165834586428518</v>
      </c>
      <c r="H218" s="139"/>
      <c r="I218" s="86"/>
      <c r="J218" s="79">
        <f t="shared" si="936"/>
        <v>4.13</v>
      </c>
    </row>
    <row r="219" spans="5:10" x14ac:dyDescent="0.25">
      <c r="E219" s="170">
        <f t="shared" si="941"/>
        <v>-0.8426682629528367</v>
      </c>
      <c r="F219" s="170">
        <f t="shared" si="941"/>
        <v>0.47111292769344976</v>
      </c>
      <c r="G219" s="170">
        <f t="shared" si="941"/>
        <v>-0.26069677399644858</v>
      </c>
      <c r="H219" s="139"/>
      <c r="I219" s="86"/>
      <c r="J219" s="79">
        <f t="shared" ref="J219:J282" si="942">J74</f>
        <v>4.1360000000000001</v>
      </c>
    </row>
    <row r="220" spans="5:10" x14ac:dyDescent="0.25">
      <c r="E220" s="170">
        <f t="shared" si="941"/>
        <v>-0.78424175090354764</v>
      </c>
      <c r="F220" s="170">
        <f t="shared" si="941"/>
        <v>0.57483648215269434</v>
      </c>
      <c r="G220" s="170">
        <f t="shared" si="941"/>
        <v>-0.23351208732323289</v>
      </c>
      <c r="H220" s="139"/>
      <c r="I220" s="86"/>
      <c r="J220" s="79">
        <f t="shared" si="942"/>
        <v>4.1420000000000003</v>
      </c>
    </row>
    <row r="221" spans="5:10" x14ac:dyDescent="0.25">
      <c r="E221" s="170">
        <f t="shared" si="941"/>
        <v>-0.73486812866054607</v>
      </c>
      <c r="F221" s="170">
        <f t="shared" si="941"/>
        <v>0.65570178069974872</v>
      </c>
      <c r="G221" s="170">
        <f t="shared" si="941"/>
        <v>-0.17327437279103258</v>
      </c>
      <c r="H221" s="139"/>
      <c r="I221" s="86"/>
      <c r="J221" s="79">
        <f t="shared" si="942"/>
        <v>4.1479999999999997</v>
      </c>
    </row>
    <row r="222" spans="5:10" x14ac:dyDescent="0.25">
      <c r="E222" s="170">
        <f t="shared" si="941"/>
        <v>-0.67751932618280164</v>
      </c>
      <c r="F222" s="170">
        <f t="shared" si="941"/>
        <v>0.72730896740900364</v>
      </c>
      <c r="G222" s="170">
        <f t="shared" si="941"/>
        <v>-0.10949533586071755</v>
      </c>
      <c r="H222" s="139"/>
      <c r="I222" s="86"/>
      <c r="J222" s="79">
        <f t="shared" si="942"/>
        <v>4.1539999999999999</v>
      </c>
    </row>
    <row r="223" spans="5:10" x14ac:dyDescent="0.25">
      <c r="E223" s="170">
        <f t="shared" si="941"/>
        <v>-0.62966244140417893</v>
      </c>
      <c r="F223" s="170">
        <f t="shared" si="941"/>
        <v>0.77523307050774803</v>
      </c>
      <c r="G223" s="170">
        <f t="shared" si="941"/>
        <v>-5.0387461496469083E-2</v>
      </c>
      <c r="H223" s="139"/>
      <c r="I223" s="86"/>
      <c r="J223" s="79">
        <f t="shared" si="942"/>
        <v>4.16</v>
      </c>
    </row>
    <row r="224" spans="5:10" x14ac:dyDescent="0.25">
      <c r="E224" s="170">
        <f t="shared" si="941"/>
        <v>-0.59482252341373143</v>
      </c>
      <c r="F224" s="170">
        <f t="shared" si="941"/>
        <v>0.80385705547671837</v>
      </c>
      <c r="G224" s="170">
        <f t="shared" si="941"/>
        <v>-1.4578093192829312E-7</v>
      </c>
      <c r="H224" s="139"/>
      <c r="I224" s="86"/>
      <c r="J224" s="79">
        <f t="shared" si="942"/>
        <v>4.1660000000000004</v>
      </c>
    </row>
    <row r="225" spans="5:10" x14ac:dyDescent="0.25">
      <c r="E225" s="170">
        <f t="shared" si="941"/>
        <v>6.9252041633873676E-2</v>
      </c>
      <c r="F225" s="170">
        <f t="shared" si="941"/>
        <v>0.14410462029199472</v>
      </c>
      <c r="G225" s="170">
        <f t="shared" si="941"/>
        <v>-0.9871362687795644</v>
      </c>
      <c r="H225" s="139"/>
      <c r="I225" s="86"/>
      <c r="J225" s="79">
        <f t="shared" si="942"/>
        <v>4.2240000000000002</v>
      </c>
    </row>
    <row r="226" spans="5:10" x14ac:dyDescent="0.25">
      <c r="E226" s="170">
        <f t="shared" si="941"/>
        <v>0.14552163648922953</v>
      </c>
      <c r="F226" s="170">
        <f t="shared" si="941"/>
        <v>0.29307844847630865</v>
      </c>
      <c r="G226" s="170">
        <f t="shared" si="941"/>
        <v>-0.94494892790680307</v>
      </c>
      <c r="H226" s="139"/>
      <c r="I226" s="86"/>
      <c r="J226" s="79">
        <f t="shared" si="942"/>
        <v>4.2300000000000004</v>
      </c>
    </row>
    <row r="227" spans="5:10" x14ac:dyDescent="0.25">
      <c r="E227" s="170">
        <f t="shared" si="941"/>
        <v>0.22055113274763466</v>
      </c>
      <c r="F227" s="170">
        <f t="shared" si="941"/>
        <v>0.43173777197879576</v>
      </c>
      <c r="G227" s="170">
        <f t="shared" si="941"/>
        <v>-0.87461974256846087</v>
      </c>
      <c r="H227" s="139"/>
      <c r="I227" s="86"/>
      <c r="J227" s="79">
        <f t="shared" si="942"/>
        <v>4.2359999999999998</v>
      </c>
    </row>
    <row r="228" spans="5:10" x14ac:dyDescent="0.25">
      <c r="E228" s="170">
        <f t="shared" si="941"/>
        <v>0.29149833043264067</v>
      </c>
      <c r="F228" s="170">
        <f t="shared" si="941"/>
        <v>0.55467194293431221</v>
      </c>
      <c r="G228" s="170">
        <f t="shared" si="941"/>
        <v>-0.77933802619688597</v>
      </c>
      <c r="H228" s="139"/>
      <c r="I228" s="86"/>
      <c r="J228" s="79">
        <f t="shared" si="942"/>
        <v>4.242</v>
      </c>
    </row>
    <row r="229" spans="5:10" x14ac:dyDescent="0.25">
      <c r="E229" s="170">
        <f t="shared" si="941"/>
        <v>0.35572026248460603</v>
      </c>
      <c r="F229" s="170">
        <f t="shared" si="941"/>
        <v>0.66040108277963794</v>
      </c>
      <c r="G229" s="170">
        <f t="shared" si="941"/>
        <v>-0.6613119571891658</v>
      </c>
      <c r="H229" s="139"/>
      <c r="I229" s="86"/>
      <c r="J229" s="79">
        <f t="shared" si="942"/>
        <v>4.2480000000000002</v>
      </c>
    </row>
    <row r="230" spans="5:10" x14ac:dyDescent="0.25">
      <c r="E230" s="170">
        <f t="shared" si="941"/>
        <v>0.40578951133784696</v>
      </c>
      <c r="F230" s="170">
        <f t="shared" si="941"/>
        <v>0.74571285862430503</v>
      </c>
      <c r="G230" s="170">
        <f t="shared" si="941"/>
        <v>-0.52843845901917352</v>
      </c>
      <c r="H230" s="139"/>
      <c r="I230" s="86"/>
      <c r="J230" s="79">
        <f t="shared" si="942"/>
        <v>4.2539999999999996</v>
      </c>
    </row>
    <row r="231" spans="5:10" x14ac:dyDescent="0.25">
      <c r="E231" s="170">
        <f t="shared" si="941"/>
        <v>0.43564932290424635</v>
      </c>
      <c r="F231" s="170">
        <f t="shared" si="941"/>
        <v>0.79473476507642316</v>
      </c>
      <c r="G231" s="170">
        <f t="shared" si="941"/>
        <v>-0.42261841019055724</v>
      </c>
      <c r="H231" s="139"/>
      <c r="I231" s="86"/>
      <c r="J231" s="79">
        <f t="shared" si="942"/>
        <v>4.26</v>
      </c>
    </row>
    <row r="232" spans="5:10" x14ac:dyDescent="0.25">
      <c r="E232" s="170">
        <f t="shared" si="941"/>
        <v>-0.47735857875335574</v>
      </c>
      <c r="F232" s="170">
        <f t="shared" si="941"/>
        <v>0.81424017475268085</v>
      </c>
      <c r="G232" s="170">
        <f t="shared" si="941"/>
        <v>-0.33036604714967344</v>
      </c>
      <c r="H232" s="139"/>
      <c r="I232" s="86"/>
      <c r="J232" s="79">
        <f t="shared" si="942"/>
        <v>5.1020000000000003</v>
      </c>
    </row>
    <row r="233" spans="5:10" x14ac:dyDescent="0.25">
      <c r="E233" s="170">
        <f t="shared" si="941"/>
        <v>-0.47735857875335586</v>
      </c>
      <c r="F233" s="170">
        <f t="shared" si="941"/>
        <v>0.81424017475268073</v>
      </c>
      <c r="G233" s="170">
        <f t="shared" si="941"/>
        <v>-0.33036604714967338</v>
      </c>
      <c r="H233" s="139"/>
      <c r="I233" s="86"/>
      <c r="J233" s="79">
        <f t="shared" si="942"/>
        <v>5.1050000000000004</v>
      </c>
    </row>
    <row r="234" spans="5:10" x14ac:dyDescent="0.25">
      <c r="E234" s="170">
        <f t="shared" ref="E234:G253" si="943">E89*-1</f>
        <v>-0.4773585787533558</v>
      </c>
      <c r="F234" s="170">
        <f t="shared" si="943"/>
        <v>0.81424017475268085</v>
      </c>
      <c r="G234" s="170">
        <f t="shared" si="943"/>
        <v>-0.33036604714967338</v>
      </c>
      <c r="H234" s="139"/>
      <c r="I234" s="86"/>
      <c r="J234" s="79">
        <f t="shared" si="942"/>
        <v>5.1079999999999997</v>
      </c>
    </row>
    <row r="235" spans="5:10" x14ac:dyDescent="0.25">
      <c r="E235" s="170">
        <f t="shared" si="943"/>
        <v>-0.47735857875335602</v>
      </c>
      <c r="F235" s="170">
        <f t="shared" si="943"/>
        <v>0.81424017475268062</v>
      </c>
      <c r="G235" s="170">
        <f t="shared" si="943"/>
        <v>-0.33036604714967327</v>
      </c>
      <c r="H235" s="139"/>
      <c r="I235" s="86"/>
      <c r="J235" s="79">
        <f t="shared" si="942"/>
        <v>5.1109999999999998</v>
      </c>
    </row>
    <row r="236" spans="5:10" x14ac:dyDescent="0.25">
      <c r="E236" s="170">
        <f t="shared" si="943"/>
        <v>-0.41335388526507</v>
      </c>
      <c r="F236" s="170">
        <f t="shared" si="943"/>
        <v>0.8440860309028313</v>
      </c>
      <c r="G236" s="170">
        <f t="shared" si="943"/>
        <v>-0.34155136944678738</v>
      </c>
      <c r="H236" s="139"/>
      <c r="I236" s="86"/>
      <c r="J236" s="79">
        <f t="shared" si="942"/>
        <v>5.117</v>
      </c>
    </row>
    <row r="237" spans="5:10" x14ac:dyDescent="0.25">
      <c r="E237" s="170">
        <f t="shared" si="943"/>
        <v>-0.31896463782915063</v>
      </c>
      <c r="F237" s="170">
        <f t="shared" si="943"/>
        <v>0.88705500547873084</v>
      </c>
      <c r="G237" s="170">
        <f t="shared" si="943"/>
        <v>-0.3337588606608784</v>
      </c>
      <c r="H237" s="139"/>
      <c r="I237" s="86"/>
      <c r="J237" s="79">
        <f t="shared" si="942"/>
        <v>5.1230000000000002</v>
      </c>
    </row>
    <row r="238" spans="5:10" x14ac:dyDescent="0.25">
      <c r="E238" s="170">
        <f t="shared" si="943"/>
        <v>-0.21881375105612053</v>
      </c>
      <c r="F238" s="170">
        <f t="shared" si="943"/>
        <v>0.92867792961948392</v>
      </c>
      <c r="G238" s="170">
        <f t="shared" si="943"/>
        <v>-0.29946259430255912</v>
      </c>
      <c r="H238" s="139"/>
      <c r="I238" s="86"/>
      <c r="J238" s="79">
        <f t="shared" si="942"/>
        <v>5.1289999999999996</v>
      </c>
    </row>
    <row r="239" spans="5:10" x14ac:dyDescent="0.25">
      <c r="E239" s="170">
        <f t="shared" si="943"/>
        <v>-0.11159116222525779</v>
      </c>
      <c r="F239" s="170">
        <f t="shared" si="943"/>
        <v>0.95567435957516367</v>
      </c>
      <c r="G239" s="170">
        <f t="shared" si="943"/>
        <v>-0.27245904456232906</v>
      </c>
      <c r="H239" s="139"/>
      <c r="I239" s="86"/>
      <c r="J239" s="79">
        <f t="shared" si="942"/>
        <v>5.1349999999999998</v>
      </c>
    </row>
    <row r="240" spans="5:10" x14ac:dyDescent="0.25">
      <c r="E240" s="170">
        <f t="shared" si="943"/>
        <v>-1.9450982470756162E-3</v>
      </c>
      <c r="F240" s="170">
        <f t="shared" si="943"/>
        <v>0.9718809879533894</v>
      </c>
      <c r="G240" s="170">
        <f t="shared" si="943"/>
        <v>-0.23546456601270863</v>
      </c>
      <c r="H240" s="139"/>
      <c r="I240" s="86"/>
      <c r="J240" s="79">
        <f t="shared" si="942"/>
        <v>5.141</v>
      </c>
    </row>
    <row r="241" spans="5:10" x14ac:dyDescent="0.25">
      <c r="E241" s="170">
        <f t="shared" si="943"/>
        <v>9.4427182075964483E-2</v>
      </c>
      <c r="F241" s="170">
        <f t="shared" si="943"/>
        <v>0.97930534137028202</v>
      </c>
      <c r="G241" s="170">
        <f t="shared" si="943"/>
        <v>-0.17900993170443952</v>
      </c>
      <c r="H241" s="139"/>
      <c r="I241" s="86"/>
      <c r="J241" s="79">
        <f t="shared" si="942"/>
        <v>5.1470000000000002</v>
      </c>
    </row>
    <row r="242" spans="5:10" x14ac:dyDescent="0.25">
      <c r="E242" s="170">
        <f t="shared" si="943"/>
        <v>0.18802106823703568</v>
      </c>
      <c r="F242" s="170">
        <f t="shared" si="943"/>
        <v>0.9750531395614539</v>
      </c>
      <c r="G242" s="170">
        <f t="shared" si="943"/>
        <v>-0.11798073118249434</v>
      </c>
      <c r="H242" s="139"/>
      <c r="I242" s="86"/>
      <c r="J242" s="79">
        <f t="shared" si="942"/>
        <v>5.1529999999999996</v>
      </c>
    </row>
    <row r="243" spans="5:10" x14ac:dyDescent="0.25">
      <c r="E243" s="170">
        <f t="shared" si="943"/>
        <v>0.25806986510726887</v>
      </c>
      <c r="F243" s="170">
        <f t="shared" si="943"/>
        <v>0.96504346714568978</v>
      </c>
      <c r="G243" s="170">
        <f t="shared" si="943"/>
        <v>-4.5728013765550295E-2</v>
      </c>
      <c r="H243" s="139"/>
      <c r="I243" s="86"/>
      <c r="J243" s="79">
        <f t="shared" si="942"/>
        <v>5.1589999999999998</v>
      </c>
    </row>
    <row r="244" spans="5:10" x14ac:dyDescent="0.25">
      <c r="E244" s="170">
        <f t="shared" si="943"/>
        <v>0.31730483563420903</v>
      </c>
      <c r="F244" s="170">
        <f t="shared" si="943"/>
        <v>0.94832359523694576</v>
      </c>
      <c r="G244" s="170">
        <f t="shared" si="943"/>
        <v>-1.4578093221941204E-7</v>
      </c>
      <c r="H244" s="139"/>
      <c r="I244" s="86"/>
      <c r="J244" s="79">
        <f t="shared" si="942"/>
        <v>5.165</v>
      </c>
    </row>
    <row r="245" spans="5:10" x14ac:dyDescent="0.25">
      <c r="E245" s="170">
        <f t="shared" si="943"/>
        <v>0.12894477746676375</v>
      </c>
      <c r="F245" s="170">
        <f t="shared" si="943"/>
        <v>2.0256513223989515E-2</v>
      </c>
      <c r="G245" s="170">
        <f t="shared" si="943"/>
        <v>-0.99144486384067432</v>
      </c>
      <c r="H245" s="139"/>
      <c r="I245" s="86"/>
      <c r="J245" s="79">
        <f t="shared" si="942"/>
        <v>5.2229999999999999</v>
      </c>
    </row>
    <row r="246" spans="5:10" x14ac:dyDescent="0.25">
      <c r="E246" s="170">
        <f t="shared" si="943"/>
        <v>0.29753787075290378</v>
      </c>
      <c r="F246" s="170">
        <f t="shared" si="943"/>
        <v>4.3533527645128439E-2</v>
      </c>
      <c r="G246" s="170">
        <f t="shared" si="943"/>
        <v>-0.95371696400902883</v>
      </c>
      <c r="H246" s="139"/>
      <c r="I246" s="86"/>
      <c r="J246" s="79">
        <f t="shared" si="942"/>
        <v>5.2290000000000001</v>
      </c>
    </row>
    <row r="247" spans="5:10" x14ac:dyDescent="0.25">
      <c r="E247" s="170">
        <f t="shared" si="943"/>
        <v>0.4544417553736162</v>
      </c>
      <c r="F247" s="170">
        <f t="shared" si="943"/>
        <v>6.1984261916879613E-2</v>
      </c>
      <c r="G247" s="170">
        <f t="shared" si="943"/>
        <v>-0.88861726420746867</v>
      </c>
      <c r="H247" s="139"/>
      <c r="I247" s="86"/>
      <c r="J247" s="79">
        <f t="shared" si="942"/>
        <v>5.2350000000000003</v>
      </c>
    </row>
    <row r="248" spans="5:10" x14ac:dyDescent="0.25">
      <c r="E248" s="170">
        <f t="shared" si="943"/>
        <v>0.5998376681005968</v>
      </c>
      <c r="F248" s="170">
        <f t="shared" si="943"/>
        <v>7.5728272998668286E-2</v>
      </c>
      <c r="G248" s="170">
        <f t="shared" si="943"/>
        <v>-0.79652997470043629</v>
      </c>
      <c r="H248" s="139"/>
      <c r="I248" s="86"/>
      <c r="J248" s="79">
        <f t="shared" si="942"/>
        <v>5.2409999999999997</v>
      </c>
    </row>
    <row r="249" spans="5:10" x14ac:dyDescent="0.25">
      <c r="E249" s="170">
        <f t="shared" si="943"/>
        <v>0.72642913887947969</v>
      </c>
      <c r="F249" s="170">
        <f t="shared" si="943"/>
        <v>8.4727946452607991E-2</v>
      </c>
      <c r="G249" s="170">
        <f t="shared" si="943"/>
        <v>-0.68199844668205933</v>
      </c>
      <c r="H249" s="139"/>
      <c r="I249" s="86"/>
      <c r="J249" s="79">
        <f t="shared" si="942"/>
        <v>5.2469999999999999</v>
      </c>
    </row>
    <row r="250" spans="5:10" x14ac:dyDescent="0.25">
      <c r="E250" s="170">
        <f t="shared" si="943"/>
        <v>0.82959267628352695</v>
      </c>
      <c r="F250" s="170">
        <f t="shared" si="943"/>
        <v>9.3524409418378848E-2</v>
      </c>
      <c r="G250" s="170">
        <f t="shared" si="943"/>
        <v>-0.55048085915831702</v>
      </c>
      <c r="H250" s="139"/>
      <c r="I250" s="86"/>
      <c r="J250" s="79">
        <f t="shared" si="942"/>
        <v>5.2530000000000001</v>
      </c>
    </row>
    <row r="251" spans="5:10" x14ac:dyDescent="0.25">
      <c r="E251" s="170">
        <f t="shared" si="943"/>
        <v>0.90089748509070677</v>
      </c>
      <c r="F251" s="170">
        <f t="shared" si="943"/>
        <v>9.8880739910484156E-2</v>
      </c>
      <c r="G251" s="170">
        <f t="shared" si="943"/>
        <v>-0.42261841019055829</v>
      </c>
      <c r="H251" s="139"/>
      <c r="I251" s="86"/>
      <c r="J251" s="79">
        <f t="shared" si="942"/>
        <v>5.2590000000000003</v>
      </c>
    </row>
    <row r="252" spans="5:10" x14ac:dyDescent="0.25">
      <c r="E252" s="170">
        <f t="shared" si="943"/>
        <v>0.50970029871628131</v>
      </c>
      <c r="F252" s="170">
        <f t="shared" si="943"/>
        <v>0.79025690840509333</v>
      </c>
      <c r="G252" s="170">
        <f t="shared" si="943"/>
        <v>-0.34014647463491021</v>
      </c>
      <c r="H252" s="139"/>
      <c r="I252" s="86"/>
      <c r="J252" s="79">
        <f t="shared" si="942"/>
        <v>6.1159999999999997</v>
      </c>
    </row>
    <row r="253" spans="5:10" x14ac:dyDescent="0.25">
      <c r="E253" s="170">
        <f t="shared" si="943"/>
        <v>0.59402766081741776</v>
      </c>
      <c r="F253" s="170">
        <f t="shared" si="943"/>
        <v>0.73051413972219792</v>
      </c>
      <c r="G253" s="170">
        <f t="shared" si="943"/>
        <v>-0.33686826779874085</v>
      </c>
      <c r="H253" s="139"/>
      <c r="I253" s="86"/>
      <c r="J253" s="79">
        <f t="shared" si="942"/>
        <v>6.1219999999999999</v>
      </c>
    </row>
    <row r="254" spans="5:10" x14ac:dyDescent="0.25">
      <c r="E254" s="170">
        <f t="shared" ref="E254:G273" si="944">E109*-1</f>
        <v>0.68110373178065764</v>
      </c>
      <c r="F254" s="170">
        <f t="shared" si="944"/>
        <v>0.66473159281096028</v>
      </c>
      <c r="G254" s="170">
        <f t="shared" si="944"/>
        <v>-0.30696842846368699</v>
      </c>
      <c r="H254" s="139"/>
      <c r="I254" s="86"/>
      <c r="J254" s="79">
        <f t="shared" si="942"/>
        <v>6.1280000000000001</v>
      </c>
    </row>
    <row r="255" spans="5:10" x14ac:dyDescent="0.25">
      <c r="E255" s="170">
        <f t="shared" si="944"/>
        <v>0.75848987657285538</v>
      </c>
      <c r="F255" s="170">
        <f t="shared" si="944"/>
        <v>0.59367551404392349</v>
      </c>
      <c r="G255" s="170">
        <f t="shared" si="944"/>
        <v>-0.26877963308475988</v>
      </c>
      <c r="H255" s="139"/>
      <c r="I255" s="86"/>
      <c r="J255" s="79">
        <f t="shared" si="942"/>
        <v>6.1340000000000003</v>
      </c>
    </row>
    <row r="256" spans="5:10" x14ac:dyDescent="0.25">
      <c r="E256" s="170">
        <f t="shared" si="944"/>
        <v>0.82836138495853084</v>
      </c>
      <c r="F256" s="170">
        <f t="shared" si="944"/>
        <v>0.50752111542057832</v>
      </c>
      <c r="G256" s="170">
        <f t="shared" si="944"/>
        <v>-0.23714917944584354</v>
      </c>
      <c r="H256" s="139"/>
      <c r="I256" s="86"/>
      <c r="J256" s="79">
        <f t="shared" si="942"/>
        <v>6.14</v>
      </c>
    </row>
    <row r="257" spans="5:10" x14ac:dyDescent="0.25">
      <c r="E257" s="170">
        <f t="shared" si="944"/>
        <v>0.88902460828054741</v>
      </c>
      <c r="F257" s="170">
        <f t="shared" si="944"/>
        <v>0.41409151289073148</v>
      </c>
      <c r="G257" s="170">
        <f t="shared" si="944"/>
        <v>-0.19535471538584506</v>
      </c>
      <c r="H257" s="139"/>
      <c r="I257" s="86"/>
      <c r="J257" s="79">
        <f t="shared" si="942"/>
        <v>6.1459999999999999</v>
      </c>
    </row>
    <row r="258" spans="5:10" x14ac:dyDescent="0.25">
      <c r="E258" s="170">
        <f t="shared" si="944"/>
        <v>0.93486509645921234</v>
      </c>
      <c r="F258" s="170">
        <f t="shared" si="944"/>
        <v>0.32838131840812734</v>
      </c>
      <c r="G258" s="170">
        <f t="shared" si="944"/>
        <v>-0.13488128536920105</v>
      </c>
      <c r="H258" s="139"/>
      <c r="I258" s="86"/>
      <c r="J258" s="79">
        <f t="shared" si="942"/>
        <v>6.1520000000000001</v>
      </c>
    </row>
    <row r="259" spans="5:10" x14ac:dyDescent="0.25">
      <c r="E259" s="170">
        <f t="shared" si="944"/>
        <v>0.96419910242341389</v>
      </c>
      <c r="F259" s="170">
        <f t="shared" si="944"/>
        <v>0.25978287374420683</v>
      </c>
      <c r="G259" s="170">
        <f t="shared" si="944"/>
        <v>-5.3225458148188548E-2</v>
      </c>
      <c r="H259" s="139"/>
      <c r="I259" s="86"/>
      <c r="J259" s="79">
        <f t="shared" si="942"/>
        <v>6.1580000000000004</v>
      </c>
    </row>
    <row r="260" spans="5:10" x14ac:dyDescent="0.25">
      <c r="E260" s="170">
        <f t="shared" si="944"/>
        <v>0.97992471215675436</v>
      </c>
      <c r="F260" s="170">
        <f t="shared" si="944"/>
        <v>0.1993678973768869</v>
      </c>
      <c r="G260" s="170">
        <f t="shared" si="944"/>
        <v>-1.4578093184201008E-7</v>
      </c>
      <c r="H260" s="139"/>
      <c r="I260" s="86"/>
      <c r="J260" s="79">
        <f t="shared" si="942"/>
        <v>6.1639999999999997</v>
      </c>
    </row>
    <row r="261" spans="5:10" x14ac:dyDescent="0.25">
      <c r="E261" s="170">
        <f t="shared" si="944"/>
        <v>6.3947888908281889E-2</v>
      </c>
      <c r="F261" s="170">
        <f t="shared" si="944"/>
        <v>-8.0479625266298052E-2</v>
      </c>
      <c r="G261" s="170">
        <f t="shared" si="944"/>
        <v>-0.99470281864543364</v>
      </c>
      <c r="H261" s="139"/>
      <c r="I261" s="86"/>
      <c r="J261" s="79">
        <f t="shared" si="942"/>
        <v>6.2220000000000004</v>
      </c>
    </row>
    <row r="262" spans="5:10" x14ac:dyDescent="0.25">
      <c r="E262" s="170">
        <f t="shared" si="944"/>
        <v>0.16771833504577685</v>
      </c>
      <c r="F262" s="170">
        <f t="shared" si="944"/>
        <v>-0.21449259230902196</v>
      </c>
      <c r="G262" s="170">
        <f t="shared" si="944"/>
        <v>-0.96221800437012628</v>
      </c>
      <c r="H262" s="139"/>
      <c r="I262" s="86"/>
      <c r="J262" s="79">
        <f t="shared" si="942"/>
        <v>6.2279999999999998</v>
      </c>
    </row>
    <row r="263" spans="5:10" x14ac:dyDescent="0.25">
      <c r="E263" s="170">
        <f t="shared" si="944"/>
        <v>0.26465986401272323</v>
      </c>
      <c r="F263" s="170">
        <f t="shared" si="944"/>
        <v>-0.34353356082465264</v>
      </c>
      <c r="G263" s="170">
        <f t="shared" si="944"/>
        <v>-0.90107704940693145</v>
      </c>
      <c r="H263" s="139"/>
      <c r="I263" s="86"/>
      <c r="J263" s="79">
        <f t="shared" si="942"/>
        <v>6.234</v>
      </c>
    </row>
    <row r="264" spans="5:10" x14ac:dyDescent="0.25">
      <c r="E264" s="170">
        <f t="shared" si="944"/>
        <v>0.35029849710168753</v>
      </c>
      <c r="F264" s="170">
        <f t="shared" si="944"/>
        <v>-0.46314878939231713</v>
      </c>
      <c r="G264" s="170">
        <f t="shared" si="944"/>
        <v>-0.81411557030481263</v>
      </c>
      <c r="H264" s="139"/>
      <c r="I264" s="86"/>
      <c r="J264" s="79">
        <f t="shared" si="942"/>
        <v>6.24</v>
      </c>
    </row>
    <row r="265" spans="5:10" x14ac:dyDescent="0.25">
      <c r="E265" s="170">
        <f t="shared" si="944"/>
        <v>0.42367489250345564</v>
      </c>
      <c r="F265" s="170">
        <f t="shared" si="944"/>
        <v>-0.57073230447659207</v>
      </c>
      <c r="G265" s="170">
        <f t="shared" si="944"/>
        <v>-0.70339478395068011</v>
      </c>
      <c r="H265" s="139"/>
      <c r="I265" s="86"/>
      <c r="J265" s="79">
        <f t="shared" si="942"/>
        <v>6.2460000000000004</v>
      </c>
    </row>
    <row r="266" spans="5:10" x14ac:dyDescent="0.25">
      <c r="E266" s="170">
        <f t="shared" si="944"/>
        <v>0.48612108220253686</v>
      </c>
      <c r="F266" s="170">
        <f t="shared" si="944"/>
        <v>-0.65931497394084171</v>
      </c>
      <c r="G266" s="170">
        <f t="shared" si="944"/>
        <v>-0.57357654988294426</v>
      </c>
      <c r="H266" s="139"/>
      <c r="I266" s="86"/>
      <c r="J266" s="79">
        <f t="shared" si="942"/>
        <v>6.2519999999999998</v>
      </c>
    </row>
    <row r="267" spans="5:10" x14ac:dyDescent="0.25">
      <c r="E267" s="170">
        <f t="shared" si="944"/>
        <v>0.53319634124159732</v>
      </c>
      <c r="F267" s="170">
        <f t="shared" si="944"/>
        <v>-0.72732622728349627</v>
      </c>
      <c r="G267" s="170">
        <f t="shared" si="944"/>
        <v>-0.43208589515526896</v>
      </c>
      <c r="H267" s="139"/>
      <c r="I267" s="86"/>
      <c r="J267" s="79">
        <f t="shared" si="942"/>
        <v>6.258</v>
      </c>
    </row>
    <row r="268" spans="5:10" x14ac:dyDescent="0.25">
      <c r="E268" s="170">
        <f t="shared" si="944"/>
        <v>0</v>
      </c>
      <c r="F268" s="170">
        <f t="shared" si="944"/>
        <v>0</v>
      </c>
      <c r="G268" s="170">
        <f t="shared" si="944"/>
        <v>0</v>
      </c>
      <c r="H268" s="139"/>
      <c r="I268" s="86"/>
      <c r="J268" s="79">
        <f t="shared" si="942"/>
        <v>0</v>
      </c>
    </row>
    <row r="269" spans="5:10" x14ac:dyDescent="0.25">
      <c r="E269" s="170">
        <f t="shared" si="944"/>
        <v>0</v>
      </c>
      <c r="F269" s="170">
        <f t="shared" si="944"/>
        <v>0</v>
      </c>
      <c r="G269" s="170">
        <f t="shared" si="944"/>
        <v>0</v>
      </c>
      <c r="H269" s="139"/>
      <c r="I269" s="86"/>
      <c r="J269" s="79">
        <f t="shared" si="942"/>
        <v>0</v>
      </c>
    </row>
    <row r="270" spans="5:10" x14ac:dyDescent="0.25">
      <c r="E270" s="170">
        <f t="shared" si="944"/>
        <v>0</v>
      </c>
      <c r="F270" s="170">
        <f t="shared" si="944"/>
        <v>0</v>
      </c>
      <c r="G270" s="170">
        <f t="shared" si="944"/>
        <v>0</v>
      </c>
      <c r="H270" s="139"/>
      <c r="I270" s="86"/>
      <c r="J270" s="79">
        <f t="shared" si="942"/>
        <v>0</v>
      </c>
    </row>
    <row r="271" spans="5:10" x14ac:dyDescent="0.25">
      <c r="E271" s="170">
        <f t="shared" si="944"/>
        <v>0</v>
      </c>
      <c r="F271" s="170">
        <f t="shared" si="944"/>
        <v>0</v>
      </c>
      <c r="G271" s="170">
        <f t="shared" si="944"/>
        <v>0</v>
      </c>
      <c r="H271" s="139"/>
      <c r="I271" s="86"/>
      <c r="J271" s="79">
        <f t="shared" si="942"/>
        <v>0</v>
      </c>
    </row>
    <row r="272" spans="5:10" x14ac:dyDescent="0.25">
      <c r="E272" s="170">
        <f t="shared" si="944"/>
        <v>0</v>
      </c>
      <c r="F272" s="170">
        <f t="shared" si="944"/>
        <v>0</v>
      </c>
      <c r="G272" s="170">
        <f t="shared" si="944"/>
        <v>0</v>
      </c>
      <c r="H272" s="139"/>
      <c r="I272" s="86"/>
      <c r="J272" s="79">
        <f t="shared" si="942"/>
        <v>0</v>
      </c>
    </row>
    <row r="273" spans="5:10" x14ac:dyDescent="0.25">
      <c r="E273" s="170">
        <f t="shared" si="944"/>
        <v>0</v>
      </c>
      <c r="F273" s="170">
        <f t="shared" si="944"/>
        <v>0</v>
      </c>
      <c r="G273" s="170">
        <f t="shared" si="944"/>
        <v>0</v>
      </c>
      <c r="H273" s="139"/>
      <c r="I273" s="86"/>
      <c r="J273" s="79">
        <f t="shared" si="942"/>
        <v>0</v>
      </c>
    </row>
    <row r="274" spans="5:10" x14ac:dyDescent="0.25">
      <c r="E274" s="170">
        <f t="shared" ref="E274:G293" si="945">E129*-1</f>
        <v>0</v>
      </c>
      <c r="F274" s="170">
        <f t="shared" si="945"/>
        <v>0</v>
      </c>
      <c r="G274" s="170">
        <f t="shared" si="945"/>
        <v>0</v>
      </c>
      <c r="H274" s="139"/>
      <c r="I274" s="86"/>
      <c r="J274" s="79">
        <f t="shared" si="942"/>
        <v>0</v>
      </c>
    </row>
    <row r="275" spans="5:10" x14ac:dyDescent="0.25">
      <c r="E275" s="170">
        <f t="shared" si="945"/>
        <v>0</v>
      </c>
      <c r="F275" s="170">
        <f t="shared" si="945"/>
        <v>0</v>
      </c>
      <c r="G275" s="170">
        <f t="shared" si="945"/>
        <v>0</v>
      </c>
      <c r="H275" s="139"/>
      <c r="I275" s="86"/>
      <c r="J275" s="79">
        <f t="shared" si="942"/>
        <v>0</v>
      </c>
    </row>
    <row r="276" spans="5:10" x14ac:dyDescent="0.25">
      <c r="E276" s="170">
        <f t="shared" si="945"/>
        <v>0</v>
      </c>
      <c r="F276" s="170">
        <f t="shared" si="945"/>
        <v>0</v>
      </c>
      <c r="G276" s="170">
        <f t="shared" si="945"/>
        <v>0</v>
      </c>
      <c r="H276" s="139"/>
      <c r="I276" s="86"/>
      <c r="J276" s="79">
        <f t="shared" si="942"/>
        <v>0</v>
      </c>
    </row>
    <row r="277" spans="5:10" x14ac:dyDescent="0.25">
      <c r="E277" s="170">
        <f t="shared" si="945"/>
        <v>0</v>
      </c>
      <c r="F277" s="170">
        <f t="shared" si="945"/>
        <v>0</v>
      </c>
      <c r="G277" s="170">
        <f t="shared" si="945"/>
        <v>0</v>
      </c>
      <c r="H277" s="139"/>
      <c r="I277" s="86"/>
      <c r="J277" s="79">
        <f t="shared" si="942"/>
        <v>0</v>
      </c>
    </row>
    <row r="278" spans="5:10" x14ac:dyDescent="0.25">
      <c r="E278" s="170">
        <f t="shared" si="945"/>
        <v>0</v>
      </c>
      <c r="F278" s="170">
        <f t="shared" si="945"/>
        <v>0</v>
      </c>
      <c r="G278" s="170">
        <f t="shared" si="945"/>
        <v>0</v>
      </c>
      <c r="H278" s="139"/>
      <c r="I278" s="86"/>
      <c r="J278" s="79">
        <f t="shared" si="942"/>
        <v>0</v>
      </c>
    </row>
    <row r="279" spans="5:10" x14ac:dyDescent="0.25">
      <c r="E279" s="170">
        <f t="shared" si="945"/>
        <v>0</v>
      </c>
      <c r="F279" s="170">
        <f t="shared" si="945"/>
        <v>0</v>
      </c>
      <c r="G279" s="170">
        <f t="shared" si="945"/>
        <v>0</v>
      </c>
      <c r="H279" s="139"/>
      <c r="I279" s="86"/>
      <c r="J279" s="79">
        <f t="shared" si="942"/>
        <v>0</v>
      </c>
    </row>
    <row r="280" spans="5:10" x14ac:dyDescent="0.25">
      <c r="E280" s="170">
        <f t="shared" si="945"/>
        <v>0</v>
      </c>
      <c r="F280" s="170">
        <f t="shared" si="945"/>
        <v>0</v>
      </c>
      <c r="G280" s="170">
        <f t="shared" si="945"/>
        <v>0</v>
      </c>
      <c r="H280" s="139"/>
      <c r="I280" s="86"/>
      <c r="J280" s="79">
        <f t="shared" si="942"/>
        <v>0</v>
      </c>
    </row>
    <row r="281" spans="5:10" x14ac:dyDescent="0.25">
      <c r="E281" s="170">
        <f t="shared" si="945"/>
        <v>0</v>
      </c>
      <c r="F281" s="170">
        <f t="shared" si="945"/>
        <v>0</v>
      </c>
      <c r="G281" s="170">
        <f t="shared" si="945"/>
        <v>0</v>
      </c>
      <c r="H281" s="139"/>
      <c r="I281" s="86"/>
      <c r="J281" s="79">
        <f t="shared" si="942"/>
        <v>0</v>
      </c>
    </row>
    <row r="282" spans="5:10" x14ac:dyDescent="0.25">
      <c r="E282" s="170">
        <f t="shared" si="945"/>
        <v>0</v>
      </c>
      <c r="F282" s="170">
        <f t="shared" si="945"/>
        <v>0</v>
      </c>
      <c r="G282" s="170">
        <f t="shared" si="945"/>
        <v>0</v>
      </c>
      <c r="H282" s="139"/>
      <c r="I282" s="86"/>
      <c r="J282" s="79">
        <f t="shared" si="942"/>
        <v>0</v>
      </c>
    </row>
    <row r="283" spans="5:10" x14ac:dyDescent="0.25">
      <c r="E283" s="170">
        <f t="shared" si="945"/>
        <v>0</v>
      </c>
      <c r="F283" s="170">
        <f t="shared" si="945"/>
        <v>0</v>
      </c>
      <c r="G283" s="170">
        <f t="shared" si="945"/>
        <v>0</v>
      </c>
      <c r="H283" s="139"/>
      <c r="I283" s="86"/>
      <c r="J283" s="79">
        <f t="shared" ref="J283:J295" si="946">J138</f>
        <v>0</v>
      </c>
    </row>
    <row r="284" spans="5:10" x14ac:dyDescent="0.25">
      <c r="E284" s="170">
        <f t="shared" si="945"/>
        <v>0</v>
      </c>
      <c r="F284" s="170">
        <f t="shared" si="945"/>
        <v>0</v>
      </c>
      <c r="G284" s="170">
        <f t="shared" si="945"/>
        <v>0</v>
      </c>
      <c r="H284" s="139"/>
      <c r="I284" s="86"/>
      <c r="J284" s="79">
        <f t="shared" si="946"/>
        <v>0</v>
      </c>
    </row>
    <row r="285" spans="5:10" x14ac:dyDescent="0.25">
      <c r="E285" s="170">
        <f t="shared" si="945"/>
        <v>0</v>
      </c>
      <c r="F285" s="170">
        <f t="shared" si="945"/>
        <v>0</v>
      </c>
      <c r="G285" s="170">
        <f t="shared" si="945"/>
        <v>0</v>
      </c>
      <c r="H285" s="139"/>
      <c r="I285" s="86"/>
      <c r="J285" s="79">
        <f t="shared" si="946"/>
        <v>0</v>
      </c>
    </row>
    <row r="286" spans="5:10" x14ac:dyDescent="0.25">
      <c r="E286" s="170">
        <f t="shared" si="945"/>
        <v>0</v>
      </c>
      <c r="F286" s="170">
        <f t="shared" si="945"/>
        <v>0</v>
      </c>
      <c r="G286" s="170">
        <f t="shared" si="945"/>
        <v>0</v>
      </c>
      <c r="H286" s="139"/>
      <c r="I286" s="86"/>
      <c r="J286" s="79">
        <f t="shared" si="946"/>
        <v>0</v>
      </c>
    </row>
    <row r="287" spans="5:10" x14ac:dyDescent="0.25">
      <c r="E287" s="170">
        <f t="shared" si="945"/>
        <v>0</v>
      </c>
      <c r="F287" s="170">
        <f t="shared" si="945"/>
        <v>0</v>
      </c>
      <c r="G287" s="170">
        <f t="shared" si="945"/>
        <v>0</v>
      </c>
      <c r="H287" s="139"/>
      <c r="I287" s="86"/>
      <c r="J287" s="79">
        <f t="shared" si="946"/>
        <v>0</v>
      </c>
    </row>
    <row r="288" spans="5:10" x14ac:dyDescent="0.25">
      <c r="E288" s="170">
        <f t="shared" si="945"/>
        <v>0</v>
      </c>
      <c r="F288" s="170">
        <f t="shared" si="945"/>
        <v>0</v>
      </c>
      <c r="G288" s="170">
        <f t="shared" si="945"/>
        <v>0</v>
      </c>
      <c r="H288" s="139"/>
      <c r="I288" s="86"/>
      <c r="J288" s="79">
        <f t="shared" si="946"/>
        <v>0</v>
      </c>
    </row>
    <row r="289" spans="5:10" x14ac:dyDescent="0.25">
      <c r="E289" s="170">
        <f t="shared" si="945"/>
        <v>0</v>
      </c>
      <c r="F289" s="170">
        <f t="shared" si="945"/>
        <v>0</v>
      </c>
      <c r="G289" s="170">
        <f t="shared" si="945"/>
        <v>0</v>
      </c>
      <c r="H289" s="139"/>
      <c r="I289" s="86"/>
      <c r="J289" s="79">
        <f t="shared" si="946"/>
        <v>0</v>
      </c>
    </row>
    <row r="290" spans="5:10" x14ac:dyDescent="0.25">
      <c r="E290" s="170">
        <f t="shared" si="945"/>
        <v>0</v>
      </c>
      <c r="F290" s="170">
        <f t="shared" si="945"/>
        <v>0</v>
      </c>
      <c r="G290" s="170">
        <f t="shared" si="945"/>
        <v>0</v>
      </c>
      <c r="H290" s="139"/>
      <c r="I290" s="86"/>
      <c r="J290" s="79">
        <f t="shared" si="946"/>
        <v>0</v>
      </c>
    </row>
    <row r="291" spans="5:10" x14ac:dyDescent="0.25">
      <c r="E291" s="170">
        <f t="shared" si="945"/>
        <v>0</v>
      </c>
      <c r="F291" s="170">
        <f t="shared" si="945"/>
        <v>0</v>
      </c>
      <c r="G291" s="170">
        <f t="shared" si="945"/>
        <v>0</v>
      </c>
      <c r="H291" s="139"/>
      <c r="I291" s="86"/>
      <c r="J291" s="79">
        <f t="shared" si="946"/>
        <v>0</v>
      </c>
    </row>
    <row r="292" spans="5:10" x14ac:dyDescent="0.25">
      <c r="E292" s="170">
        <f t="shared" si="945"/>
        <v>0</v>
      </c>
      <c r="F292" s="170">
        <f t="shared" si="945"/>
        <v>0</v>
      </c>
      <c r="G292" s="170">
        <f t="shared" si="945"/>
        <v>0</v>
      </c>
      <c r="H292" s="139"/>
      <c r="I292" s="86"/>
      <c r="J292" s="79">
        <f t="shared" si="946"/>
        <v>0</v>
      </c>
    </row>
    <row r="293" spans="5:10" x14ac:dyDescent="0.25">
      <c r="E293" s="170">
        <f t="shared" si="945"/>
        <v>0</v>
      </c>
      <c r="F293" s="170">
        <f t="shared" si="945"/>
        <v>0</v>
      </c>
      <c r="G293" s="170">
        <f t="shared" si="945"/>
        <v>0</v>
      </c>
      <c r="H293" s="139"/>
      <c r="I293" s="86"/>
      <c r="J293" s="79">
        <f t="shared" si="946"/>
        <v>0</v>
      </c>
    </row>
    <row r="294" spans="5:10" x14ac:dyDescent="0.25">
      <c r="E294" s="170">
        <f t="shared" ref="E294:G295" si="947">E149*-1</f>
        <v>0</v>
      </c>
      <c r="F294" s="170">
        <f t="shared" si="947"/>
        <v>0</v>
      </c>
      <c r="G294" s="170">
        <f t="shared" si="947"/>
        <v>0</v>
      </c>
      <c r="H294" s="139"/>
      <c r="I294" s="86"/>
      <c r="J294" s="79">
        <f t="shared" si="946"/>
        <v>0</v>
      </c>
    </row>
    <row r="295" spans="5:10" x14ac:dyDescent="0.25">
      <c r="E295" s="170">
        <f t="shared" si="947"/>
        <v>0</v>
      </c>
      <c r="F295" s="170">
        <f t="shared" si="947"/>
        <v>0</v>
      </c>
      <c r="G295" s="170">
        <f t="shared" si="947"/>
        <v>0</v>
      </c>
      <c r="H295" s="139"/>
      <c r="I295" s="86"/>
      <c r="J295" s="79">
        <f t="shared" si="946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B869F2E-1274-43E4-997C-DB7D726BE796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C431DE66-0BD0-45BD-A20B-21880986E31B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3" t="str">
        <f>CONCATENATE(Settings!$C$19," ",Settings!$B$28)</f>
        <v>14.75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M1" s="107" t="s">
        <v>319</v>
      </c>
      <c r="N1" s="1310" t="s">
        <v>321</v>
      </c>
      <c r="O1" s="131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6" t="str">
        <f>Settings!B28</f>
        <v xml:space="preserve"> Job# --- Assy# --- Post Braze --- yy.mm.dd</v>
      </c>
      <c r="C2" s="1307"/>
      <c r="D2" s="1307"/>
      <c r="E2" s="1307"/>
      <c r="F2" s="1307"/>
      <c r="G2" s="1307"/>
      <c r="H2" s="1307"/>
      <c r="I2" s="1307"/>
      <c r="J2" s="1307"/>
      <c r="K2" s="1308"/>
      <c r="L2" s="992" t="str" cm="1">
        <f t="array" ref="L2">IF(OR($K$9:$K$150="Undefined"),"Undefined Element","")</f>
        <v/>
      </c>
      <c r="M2" s="1303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300" t="str">
        <f>M2</f>
        <v>CS-Name</v>
      </c>
      <c r="AW2" s="1279"/>
      <c r="AX2" s="1279"/>
      <c r="AY2" s="1279"/>
      <c r="AZ2" s="1279"/>
      <c r="BA2" s="1279"/>
      <c r="BB2" s="1279"/>
      <c r="BC2" s="1280"/>
      <c r="BF2" s="1272" t="s">
        <v>322</v>
      </c>
      <c r="BG2" s="1273"/>
      <c r="BH2" s="1273"/>
      <c r="BI2" s="1273"/>
      <c r="BJ2" s="1273"/>
      <c r="BK2" s="1274"/>
      <c r="BM2" s="1262" t="s">
        <v>279</v>
      </c>
      <c r="BN2" s="984"/>
      <c r="BO2" s="984"/>
      <c r="BP2" s="985"/>
      <c r="BR2" s="1262" t="s">
        <v>279</v>
      </c>
      <c r="BS2" s="984"/>
      <c r="BT2" s="984"/>
      <c r="BU2" s="98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9"/>
      <c r="C3" s="1000"/>
      <c r="D3" s="1000"/>
      <c r="E3" s="1000"/>
      <c r="F3" s="1000"/>
      <c r="G3" s="1000"/>
      <c r="H3" s="1000"/>
      <c r="I3" s="1000"/>
      <c r="J3" s="1000"/>
      <c r="K3" s="1001"/>
      <c r="L3" s="992"/>
      <c r="M3" s="1304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101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102"/>
      <c r="AS3" s="466">
        <v>100</v>
      </c>
      <c r="AT3" s="463" t="s">
        <v>45</v>
      </c>
      <c r="AV3" s="1301"/>
      <c r="AW3" s="1281"/>
      <c r="AX3" s="1281"/>
      <c r="AY3" s="1281"/>
      <c r="AZ3" s="1281"/>
      <c r="BA3" s="1281"/>
      <c r="BB3" s="1281"/>
      <c r="BC3" s="1282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0" t="s">
        <v>316</v>
      </c>
      <c r="C4" s="874"/>
      <c r="D4" s="874"/>
      <c r="E4" s="874"/>
      <c r="F4" s="874"/>
      <c r="G4" s="874"/>
      <c r="H4" s="874"/>
      <c r="I4" s="874"/>
      <c r="J4" s="874"/>
      <c r="K4" s="1309"/>
      <c r="L4" s="992"/>
      <c r="M4" s="1304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Q4</f>
        <v>Polar XY; Cartesian Z</v>
      </c>
      <c r="X4" s="997"/>
      <c r="Y4" s="998"/>
      <c r="Z4" s="1311" t="s">
        <v>3</v>
      </c>
      <c r="AA4" s="1286"/>
      <c r="AB4" s="1286"/>
      <c r="AC4" s="1286"/>
      <c r="AD4" s="1286"/>
      <c r="AE4" s="1286"/>
      <c r="AF4" s="1286"/>
      <c r="AG4" s="1285" t="s">
        <v>31</v>
      </c>
      <c r="AH4" s="1286"/>
      <c r="AI4" s="1286"/>
      <c r="AJ4" s="1287"/>
      <c r="AK4" s="1265" t="s">
        <v>32</v>
      </c>
      <c r="AL4" s="1266"/>
      <c r="AM4" s="1266"/>
      <c r="AN4" s="1266"/>
      <c r="AO4" s="1266"/>
      <c r="AP4" s="1266"/>
      <c r="AQ4" s="1267"/>
      <c r="AS4" s="467">
        <v>125</v>
      </c>
      <c r="AT4" s="464" t="s">
        <v>46</v>
      </c>
      <c r="AV4" s="1301"/>
      <c r="AW4" s="1283"/>
      <c r="AX4" s="1283"/>
      <c r="AY4" s="1283"/>
      <c r="AZ4" s="1284"/>
      <c r="BA4" s="1283" t="str">
        <f>Z2</f>
        <v>PDC Orientation</v>
      </c>
      <c r="BB4" s="1283"/>
      <c r="BC4" s="1284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9" t="str">
        <f>CONCATENATE(B7," ; ",E7," ; ",H8)</f>
        <v>Absolute-Point ; Incremental-Vector Point ; Radius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304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&amp; Z; Z Axis")</f>
        <v>Relative to 's θ &amp; Z; Z Axis</v>
      </c>
      <c r="U5" s="1022"/>
      <c r="V5" s="1073"/>
      <c r="W5" s="1022" t="str">
        <f>CONCATENATE("Relative to ",M8,"'s θ &amp; Z; Z Axis")</f>
        <v>Relative to 's θ &amp; Z;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301"/>
      <c r="AW5" s="1030" t="str">
        <f>W4</f>
        <v>Polar XY; Cartesian Z</v>
      </c>
      <c r="AX5" s="997"/>
      <c r="AY5" s="997"/>
      <c r="AZ5" s="1238" t="s">
        <v>104</v>
      </c>
      <c r="BA5" s="997" t="str">
        <f>AK4</f>
        <v>Polar Z Projection → XZ Plane</v>
      </c>
      <c r="BB5" s="997"/>
      <c r="BC5" s="1106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/>
      </c>
      <c r="M6" s="1304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Q6</f>
        <v>Projected XY</v>
      </c>
      <c r="X6" s="1019"/>
      <c r="Y6" s="1067" t="str">
        <f>S6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30" t="str">
        <f>AD6</f>
        <v>Unit Vector</v>
      </c>
      <c r="AL6" s="997"/>
      <c r="AM6" s="1106"/>
      <c r="AN6" s="34" t="s">
        <v>15</v>
      </c>
      <c r="AO6" s="35" t="s">
        <v>16</v>
      </c>
      <c r="AP6" s="737" t="s">
        <v>17</v>
      </c>
      <c r="AQ6" s="1312" t="s">
        <v>108</v>
      </c>
      <c r="AS6" s="172">
        <f>(AS5/360)</f>
        <v>6.9444444444444447E-4</v>
      </c>
      <c r="AT6" s="465" t="s">
        <v>48</v>
      </c>
      <c r="AV6" s="1301"/>
      <c r="AW6" s="1046" t="str">
        <f>W5</f>
        <v>Relative to 's θ &amp; Z; Z Axis</v>
      </c>
      <c r="AX6" s="1022"/>
      <c r="AY6" s="1022"/>
      <c r="AZ6" s="1297"/>
      <c r="BA6" s="1022" t="str">
        <f>AK5</f>
        <v>Vector Along X Axis</v>
      </c>
      <c r="BB6" s="1022"/>
      <c r="BC6" s="1047"/>
      <c r="BD6" s="468"/>
      <c r="BF6" s="461">
        <f>SUM(AZ9:AZ150)</f>
        <v>0</v>
      </c>
      <c r="BG6" s="1290" t="s">
        <v>318</v>
      </c>
      <c r="BH6" s="1290"/>
      <c r="BI6" s="1290"/>
      <c r="BJ6" s="1290"/>
      <c r="BK6" s="1290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3" t="s">
        <v>40</v>
      </c>
      <c r="C7" s="1024"/>
      <c r="D7" s="1025"/>
      <c r="E7" s="1026" t="s">
        <v>41</v>
      </c>
      <c r="F7" s="1024"/>
      <c r="G7" s="1027"/>
      <c r="H7" s="897" t="s">
        <v>314</v>
      </c>
      <c r="I7" s="917"/>
      <c r="J7" s="898"/>
      <c r="K7" s="539"/>
      <c r="L7" s="992"/>
      <c r="M7" s="1305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Q7</f>
        <v>&lt; θ°</v>
      </c>
      <c r="X7" s="27" t="str">
        <f>R7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3"/>
      <c r="AS7" s="1288" t="s">
        <v>54</v>
      </c>
      <c r="AT7" s="1263" t="s">
        <v>53</v>
      </c>
      <c r="AV7" s="1301"/>
      <c r="AW7" s="1296" t="str">
        <f>$W$6</f>
        <v>Projected XY</v>
      </c>
      <c r="AX7" s="1019"/>
      <c r="AY7" s="1298" t="str">
        <f>$Y$6</f>
        <v>Z</v>
      </c>
      <c r="AZ7" s="1297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0"/>
      <c r="BH7" s="1290"/>
      <c r="BI7" s="1290"/>
      <c r="BJ7" s="1290"/>
      <c r="BK7" s="1290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1261" t="s">
        <v>364</v>
      </c>
      <c r="JC7" s="981"/>
      <c r="JD7" s="981"/>
      <c r="JE7" s="98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2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9"/>
      <c r="AT8" s="1264"/>
      <c r="AV8" s="1302"/>
      <c r="AW8" s="46" t="str">
        <f>$W$7</f>
        <v>&lt; θ°</v>
      </c>
      <c r="AX8" s="27" t="str">
        <f>$X$7</f>
        <v>r</v>
      </c>
      <c r="AY8" s="1299"/>
      <c r="AZ8" s="1239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4" t="str">
        <f>$W$6</f>
        <v>Projected XY</v>
      </c>
      <c r="AX152" s="1295"/>
      <c r="AY152" s="1277" t="str">
        <f>$Y$6</f>
        <v>Z</v>
      </c>
      <c r="AZ152" s="1275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8"/>
      <c r="AZ153" s="1276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5" t="s">
        <v>42</v>
      </c>
      <c r="C157" s="1006"/>
      <c r="D157" s="1006"/>
      <c r="E157" s="1006"/>
      <c r="F157" s="1006"/>
      <c r="G157" s="1006"/>
      <c r="H157" s="1006"/>
      <c r="I157" s="1006"/>
      <c r="J157" s="1006"/>
      <c r="K157" s="1007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8"/>
      <c r="C158" s="1009"/>
      <c r="D158" s="1009"/>
      <c r="E158" s="1009"/>
      <c r="F158" s="1009"/>
      <c r="G158" s="1009"/>
      <c r="H158" s="1009"/>
      <c r="I158" s="1009"/>
      <c r="J158" s="1009"/>
      <c r="K158" s="1010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1"/>
      <c r="C159" s="1012"/>
      <c r="D159" s="1012"/>
      <c r="E159" s="1012"/>
      <c r="F159" s="1012"/>
      <c r="G159" s="1012"/>
      <c r="H159" s="1012"/>
      <c r="I159" s="1012"/>
      <c r="J159" s="1012"/>
      <c r="K159" s="1013"/>
      <c r="AQ159" s="166"/>
      <c r="BD159" s="468"/>
    </row>
    <row r="160" spans="1:259" ht="15" customHeight="1" x14ac:dyDescent="0.25">
      <c r="B160" s="999" t="str">
        <f>CONCATENATE(B162," ; ",E162," ; ",H163)</f>
        <v>Absolute-Point ; Incremental-Vector Point ; Radius</v>
      </c>
      <c r="C160" s="1000"/>
      <c r="D160" s="1000"/>
      <c r="E160" s="1000"/>
      <c r="F160" s="1000"/>
      <c r="G160" s="1000"/>
      <c r="H160" s="1000"/>
      <c r="I160" s="1000"/>
      <c r="J160" s="1000"/>
      <c r="K160" s="1001"/>
      <c r="AQ160" s="166"/>
      <c r="BD160" s="468"/>
    </row>
    <row r="161" spans="2:56" ht="15" customHeight="1" x14ac:dyDescent="0.25">
      <c r="B161" s="1002"/>
      <c r="C161" s="1003"/>
      <c r="D161" s="1003"/>
      <c r="E161" s="1003"/>
      <c r="F161" s="1003"/>
      <c r="G161" s="1003"/>
      <c r="H161" s="1003"/>
      <c r="I161" s="1003"/>
      <c r="J161" s="1003"/>
      <c r="K161" s="1004"/>
      <c r="AQ161" s="166"/>
      <c r="BD161" s="468"/>
    </row>
    <row r="162" spans="2:56" ht="15" customHeight="1" x14ac:dyDescent="0.25">
      <c r="B162" s="1023" t="s">
        <v>40</v>
      </c>
      <c r="C162" s="1024"/>
      <c r="D162" s="1025"/>
      <c r="E162" s="1026" t="s">
        <v>41</v>
      </c>
      <c r="F162" s="1024"/>
      <c r="G162" s="1027"/>
      <c r="H162" s="897" t="s">
        <v>314</v>
      </c>
      <c r="I162" s="917"/>
      <c r="J162" s="898"/>
      <c r="K162" s="539"/>
      <c r="M162" s="1192" t="s">
        <v>313</v>
      </c>
      <c r="N162" s="1291"/>
      <c r="O162" s="1268" t="s">
        <v>292</v>
      </c>
      <c r="P162" s="1269"/>
      <c r="Q162" s="1270"/>
      <c r="R162" s="1271" t="s">
        <v>41</v>
      </c>
      <c r="S162" s="1269"/>
      <c r="T162" s="1270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2"/>
      <c r="N163" s="12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1.163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1.169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1.2270000000000001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1.2330000000000001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1.2390000000000001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1.2450000000000001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1.2509999999999999</v>
      </c>
      <c r="N183" s="869" t="str">
        <f>Assy.Model!K28</f>
        <v>Inactive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1.2569999999999999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1.2629999999999999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2.1139999999999999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2.1259999999999999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2.1320000000000001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2.1379999999999999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2.1440000000000001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2.15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2.1560000000000001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2.1619999999999999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2.1680000000000001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2.2200000000000002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2.226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2.2320000000000002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2.238</v>
      </c>
      <c r="N199" s="869" t="str">
        <f>Assy.Model!K44</f>
        <v>Inactive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2.2440000000000002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2.25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2.2559999999999998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2.262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3.1030000000000002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3.1059999999999999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3.109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3.113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3.1190000000000002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3.125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3.1309999999999998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3.137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3.1429999999999998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3.149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3.1549999999999998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3.161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3.1669999999999998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3.2189999999999999</v>
      </c>
      <c r="N217" s="869" t="str">
        <f>Assy.Model!K62</f>
        <v>Inactive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3.2250000000000001</v>
      </c>
      <c r="N218" s="869" t="str">
        <f>Assy.Model!K63</f>
        <v>Inactive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3.2309999999999999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3.2370000000000001</v>
      </c>
      <c r="N220" s="869" t="str">
        <f>Assy.Model!K65</f>
        <v>Inactive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3.2429999999999999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3.2490000000000001</v>
      </c>
      <c r="N222" s="869" t="str">
        <f>Assy.Model!K67</f>
        <v>Inactive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3.2549999999999999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3.2610000000000001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4.1120000000000001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4.1180000000000003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4.1239999999999997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4.13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4.1360000000000001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4.1420000000000003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4.1479999999999997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4.1539999999999999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4.16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4.1660000000000004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4.2240000000000002</v>
      </c>
      <c r="N235" s="869" t="str">
        <f>Assy.Model!K80</f>
        <v>Inactive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4.2300000000000004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4.2359999999999998</v>
      </c>
      <c r="N237" s="869" t="str">
        <f>Assy.Model!K82</f>
        <v>Inactive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4.242</v>
      </c>
      <c r="N238" s="869" t="str">
        <f>Assy.Model!K83</f>
        <v>Inactive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4.2480000000000002</v>
      </c>
      <c r="N239" s="869" t="str">
        <f>Assy.Model!K84</f>
        <v>Inactive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4.2539999999999996</v>
      </c>
      <c r="N240" s="869" t="str">
        <f>Assy.Model!K85</f>
        <v>Inactive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4.26</v>
      </c>
      <c r="N241" s="869" t="str">
        <f>Assy.Model!K86</f>
        <v>Inactive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5.1020000000000003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5.1050000000000004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5.1079999999999997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5.1109999999999998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5.117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5.1230000000000002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5.1289999999999996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5.1349999999999998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5.141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5.1470000000000002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5.1529999999999996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5.1589999999999998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5.165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5.2229999999999999</v>
      </c>
      <c r="N255" s="869" t="str">
        <f>Assy.Model!K100</f>
        <v>Inactive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5.2290000000000001</v>
      </c>
      <c r="N256" s="869" t="str">
        <f>Assy.Model!K101</f>
        <v>Inactive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5.2350000000000003</v>
      </c>
      <c r="N257" s="869" t="str">
        <f>Assy.Model!K102</f>
        <v>Inactive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5.2409999999999997</v>
      </c>
      <c r="N258" s="869" t="str">
        <f>Assy.Model!K103</f>
        <v>Inactive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5.2469999999999999</v>
      </c>
      <c r="N259" s="869" t="str">
        <f>Assy.Model!K104</f>
        <v>Inactive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5.2530000000000001</v>
      </c>
      <c r="N260" s="869" t="str">
        <f>Assy.Model!K105</f>
        <v>Inactive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5.2590000000000003</v>
      </c>
      <c r="N261" s="869" t="str">
        <f>Assy.Model!K106</f>
        <v>Inactive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6.1159999999999997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6.1219999999999999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6.1280000000000001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6.1340000000000003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6.14</v>
      </c>
      <c r="N266" s="869">
        <f>Assy.Model!K111</f>
        <v>1613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6.1459999999999999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6.1520000000000001</v>
      </c>
      <c r="N268" s="869">
        <f>Assy.Model!K113</f>
        <v>1613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6.1580000000000004</v>
      </c>
      <c r="N269" s="869">
        <f>Assy.Model!K114</f>
        <v>1613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6.1639999999999997</v>
      </c>
      <c r="N270" s="869">
        <f>Assy.Model!K115</f>
        <v>1613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6.2220000000000004</v>
      </c>
      <c r="N271" s="869" t="str">
        <f>Assy.Model!K116</f>
        <v>Inactive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6.2279999999999998</v>
      </c>
      <c r="N272" s="869" t="str">
        <f>Assy.Model!K117</f>
        <v>Inactive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6.234</v>
      </c>
      <c r="N273" s="869" t="str">
        <f>Assy.Model!K118</f>
        <v>Inactive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6.24</v>
      </c>
      <c r="N274" s="869" t="str">
        <f>Assy.Model!K119</f>
        <v>Inactive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6.2460000000000004</v>
      </c>
      <c r="N275" s="869" t="str">
        <f>Assy.Model!K120</f>
        <v>Inactive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6.2519999999999998</v>
      </c>
      <c r="N276" s="869" t="str">
        <f>Assy.Model!K121</f>
        <v>Inactive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6.258</v>
      </c>
      <c r="N277" s="869" t="str">
        <f>Assy.Model!K122</f>
        <v>Inactive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2023-04-05T13:28:21Z</dcterms:modified>
</cp:coreProperties>
</file>