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7\"/>
    </mc:Choice>
  </mc:AlternateContent>
  <xr:revisionPtr revIDLastSave="0" documentId="13_ncr:1_{AED16AA6-5692-4265-B5BE-C2F5602788A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N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W110" i="1"/>
  <c r="IK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45" i="1"/>
  <c r="IF37" i="1"/>
  <c r="IF106" i="1"/>
  <c r="IF69" i="1"/>
  <c r="IF88" i="1"/>
  <c r="IF103" i="1"/>
  <c r="IF13" i="1"/>
  <c r="IF92" i="1"/>
  <c r="IF131" i="1"/>
  <c r="IF123" i="1"/>
  <c r="IF141" i="1"/>
  <c r="IF124" i="1"/>
  <c r="IF146" i="1"/>
  <c r="IF11" i="1"/>
  <c r="IF134" i="1"/>
  <c r="IF84" i="1"/>
  <c r="IF12" i="1"/>
  <c r="IF50" i="1"/>
  <c r="IF71" i="1"/>
  <c r="IF133" i="1"/>
  <c r="IF149" i="1"/>
  <c r="IF87" i="1"/>
  <c r="IF104" i="1"/>
  <c r="IF130" i="1"/>
  <c r="IF132" i="1"/>
  <c r="IF119" i="1"/>
  <c r="IF32" i="1"/>
  <c r="IF125" i="1"/>
  <c r="IF55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IP109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6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9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8" i="1" s="1"/>
  <c r="P101" i="1"/>
  <c r="S101" i="1" s="1"/>
  <c r="Y101" i="1" s="1"/>
  <c r="IQ108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9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Q110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15" i="1" l="1"/>
  <c r="IV108" i="1"/>
  <c r="AD86" i="1"/>
  <c r="AH86" i="1" s="1"/>
  <c r="IV68" i="1"/>
  <c r="IQ74" i="1"/>
  <c r="IQ114" i="1"/>
  <c r="IV107" i="1"/>
  <c r="IQ52" i="1"/>
  <c r="IQ57" i="1"/>
  <c r="IQ98" i="1"/>
  <c r="IV89" i="1"/>
  <c r="IQ59" i="1"/>
  <c r="IV56" i="1"/>
  <c r="Q98" i="1"/>
  <c r="IQ78" i="1"/>
  <c r="IV72" i="1"/>
  <c r="R90" i="1"/>
  <c r="X90" i="1" s="1"/>
  <c r="IU90" i="1" s="1"/>
  <c r="IE90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IP74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9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6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IP57" i="1"/>
  <c r="AQ110" i="1"/>
  <c r="IU110" i="1"/>
  <c r="IE110" i="1" s="1"/>
  <c r="AQ109" i="1"/>
  <c r="IU109" i="1"/>
  <c r="IE109" i="1" s="1"/>
  <c r="IP59" i="1"/>
  <c r="IU56" i="1"/>
  <c r="IE56" i="1" s="1"/>
  <c r="AQ103" i="1"/>
  <c r="IP110" i="1"/>
  <c r="AQ73" i="1"/>
  <c r="IU73" i="1"/>
  <c r="IE73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9" i="1" s="1"/>
  <c r="W122" i="1"/>
  <c r="W131" i="1"/>
  <c r="W110" i="1"/>
  <c r="W127" i="1"/>
  <c r="W97" i="1"/>
  <c r="W112" i="1"/>
  <c r="W103" i="1"/>
  <c r="IL110" i="1" s="1"/>
  <c r="W101" i="1"/>
  <c r="IL108" i="1" s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IL56" i="1" s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57" i="1"/>
  <c r="IL90" i="1"/>
  <c r="IL107" i="1"/>
  <c r="IL89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IT89" i="1" s="1"/>
  <c r="U80" i="1"/>
  <c r="AL80" i="1"/>
  <c r="AN80" i="1" s="1"/>
  <c r="IT9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9" i="1" l="1"/>
  <c r="IY90" i="1"/>
  <c r="IS98" i="1"/>
  <c r="IX89" i="1"/>
  <c r="IT114" i="1"/>
  <c r="IY107" i="1"/>
  <c r="IT78" i="1"/>
  <c r="IY72" i="1"/>
  <c r="IT115" i="1"/>
  <c r="IY108" i="1"/>
  <c r="IT98" i="1"/>
  <c r="IY89" i="1"/>
  <c r="IF89" i="1" s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IS109" i="1" s="1"/>
  <c r="AP102" i="1"/>
  <c r="AO101" i="1"/>
  <c r="IS108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S110" i="1" s="1"/>
  <c r="AP103" i="1"/>
  <c r="AP91" i="1"/>
  <c r="AO91" i="1"/>
  <c r="AP125" i="1"/>
  <c r="AO125" i="1"/>
  <c r="AP115" i="1"/>
  <c r="AO115" i="1"/>
  <c r="IX115" i="1" s="1"/>
  <c r="IF115" i="1" s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IS89" i="1" s="1"/>
  <c r="AP79" i="1"/>
  <c r="AP80" i="1"/>
  <c r="AO80" i="1"/>
  <c r="IS90" i="1" s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T56" i="1"/>
  <c r="IF107" i="1"/>
  <c r="IT60" i="1"/>
  <c r="IY57" i="1"/>
  <c r="IF57" i="1" s="1"/>
  <c r="IS78" i="1"/>
  <c r="IX72" i="1"/>
  <c r="IF72" i="1" s="1"/>
  <c r="IS114" i="1"/>
  <c r="IX107" i="1"/>
  <c r="IS52" i="1"/>
  <c r="IS57" i="1"/>
  <c r="IS99" i="1"/>
  <c r="IX90" i="1"/>
  <c r="IS115" i="1"/>
  <c r="IX108" i="1"/>
  <c r="IF108" i="1" s="1"/>
  <c r="IF90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<sst xmlns="http://schemas.openxmlformats.org/spreadsheetml/2006/main" count="734" uniqueCount="391">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</sst>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80.999999999999091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90.000000000000014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-9.890029828329952E-2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-0.69050208255428114</v>
      </c>
      <c r="E9" s="705">
        <v>-0.95371696400905348</v>
      </c>
      <c r="F9" s="703">
        <v>-7.7828366019961542E-2</v>
      </c>
      <c r="G9" s="706">
        <v>0.29045946017304541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-0.69050208255428114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-0.69050208255428114</v>
      </c>
      <c r="T9" s="627">
        <f>IF(M9="","",X9*COS(RADIANS(W9)))</f>
        <v>0.34330103539592277</v>
      </c>
      <c r="U9" s="624">
        <f>IF(M9="","",X9*SIN(RADIANS(W9)))</f>
        <v>-8.4118946616768852E-17</v>
      </c>
      <c r="V9" s="628">
        <f>IF(M9="","",Y9)</f>
        <v>-0.69050208255428114</v>
      </c>
      <c r="W9" s="583">
        <f t="shared" ref="W9:W14" si="5">IF(M9="","",IF(Q9-$Q$8&lt;0,360+Q9-$Q$8,Q9-$Q$8))</f>
        <v>360</v>
      </c>
      <c r="X9" s="629">
        <f>IF(M9="","",R9)</f>
        <v>0.34330103539592277</v>
      </c>
      <c r="Y9" s="630">
        <f>IF(M9="","",S9)</f>
        <v>-0.69050208255428114</v>
      </c>
      <c r="Z9" s="623">
        <f t="shared" ref="Z9:Z40" si="6">IF(M9="","",-E9)</f>
        <v>0.95371696400905348</v>
      </c>
      <c r="AA9" s="624">
        <f t="shared" ref="AA9:AA40" si="7">IF(M9="","",-F9)</f>
        <v>7.7828366019961542E-2</v>
      </c>
      <c r="AB9" s="624">
        <f t="shared" ref="AB9:AB40" si="8">IF(M9="","",-G9)</f>
        <v>-0.29045946017304541</v>
      </c>
      <c r="AC9" s="628">
        <f>IF(M9="","",SQRT(Z9^2+AA9^2+AB9^2))</f>
        <v>1</v>
      </c>
      <c r="AD9" s="631">
        <f>IF(M9="","",Z9*(1/SQRT(Z9^2+AA9^2+AB9^2)))</f>
        <v>0.95371696400905348</v>
      </c>
      <c r="AE9" s="624">
        <f>IF(M9="","",AA9*(1/SQRT(Z9^2+AA9^2+AB9^2)))</f>
        <v>7.7828366019961542E-2</v>
      </c>
      <c r="AF9" s="625">
        <f>IF(M9="","",AB9*(1/SQRT(Z9^2+AA9^2+AB9^2)))</f>
        <v>-0.29045946017304541</v>
      </c>
      <c r="AG9" s="599">
        <f>IF(M9="","",DEGREES(ATAN2(-AF9,AE9)))</f>
        <v>14.999997834268264</v>
      </c>
      <c r="AH9" s="600">
        <f>IF(M9="","",DEGREES(ACOS(AD9)))</f>
        <v>17.499997473312952</v>
      </c>
      <c r="AI9" s="583">
        <f>IF(M9="","",DEGREES(-ACOS(-AF9)))</f>
        <v>-73.114534769632428</v>
      </c>
      <c r="AJ9" s="601">
        <f>IF(M9="","",DEGREES(ATAN2(-AE9,AD9)))</f>
        <v>94.665301948782698</v>
      </c>
      <c r="AK9" s="627">
        <f>IF(M9="","",(COS(RADIANS((90-$Q$8)-W9))*AD9)+(-SIN(RADIANS((90-$Q$8)-W9))*AE9))</f>
        <v>0.95371696400905348</v>
      </c>
      <c r="AL9" s="624">
        <f>IF(M9="","",(SIN(RADIANS((90-$Q$8)-W9))*AD9)+(COS(RADIANS((90-$Q$8)-W9))*AE9))</f>
        <v>7.7828366019961778E-2</v>
      </c>
      <c r="AM9" s="626">
        <f>IF(M9="","",AF9)</f>
        <v>-0.29045946017304541</v>
      </c>
      <c r="AN9" s="581">
        <f>IF(M9="","",DEGREES(ATAN2(-AM9,AL9)))</f>
        <v>14.99999783426831</v>
      </c>
      <c r="AO9" s="582">
        <f>IF(ROUND(IF(M9="",0,DEGREES(ACOS(AK9))),4)=90,0,IF(M9="","",DEGREES(ACOS(AK9))))</f>
        <v>17.499997473312952</v>
      </c>
      <c r="AP9" s="781">
        <f>IF(M9="","",DEGREES(ATAN2(AK9,AL9)))</f>
        <v>4.6653019487827185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360</v>
      </c>
      <c r="AT9" s="71">
        <f t="shared" ref="AT9:AT40" si="10">IF(M9="","",Y9+(((AS9-$AS$9)*$AS$6)*-1))</f>
        <v>-0.69050208255428114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81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1.1084033429444824</v>
      </c>
      <c r="D10" s="709">
        <v>-0.48550146427241625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1.1084033429444824</v>
      </c>
      <c r="P10" s="633">
        <f t="shared" si="4"/>
        <v>-0.48550146427241625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1.1084033429444824</v>
      </c>
      <c r="S10" s="634">
        <f t="shared" ref="S10:S105" si="80">IF(M10="","",P10)</f>
        <v>-0.48550146427241625</v>
      </c>
      <c r="T10" s="635">
        <f t="shared" ref="T10:T105" si="81">IF(M10="","",X10*COS(RADIANS(W10)))</f>
        <v>1.1084033429444824</v>
      </c>
      <c r="U10" s="629">
        <f t="shared" ref="U10:U105" si="82">IF(M10="","",X10*SIN(RADIANS(W10)))</f>
        <v>-2.7159172860479637E-16</v>
      </c>
      <c r="V10" s="636">
        <f>IF(M10="","",Y10)</f>
        <v>-0.48550146427241625</v>
      </c>
      <c r="W10" s="585">
        <f t="shared" si="5"/>
        <v>360</v>
      </c>
      <c r="X10" s="629">
        <f t="shared" ref="X10:X105" si="83">IF(M10="","",R10)</f>
        <v>1.1084033429444824</v>
      </c>
      <c r="Y10" s="630">
        <f>IF(M10="","",S10)</f>
        <v>-0.48550146427241625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6.698727920820742E-2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14.999997834268315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3.9671296450865845</v>
      </c>
      <c r="AQ10" s="586">
        <f t="shared" si="9"/>
        <v>2.0558835099537154</v>
      </c>
      <c r="AS10" s="52">
        <f>IF($M10="","",IF(AND($W10&lt;($AS$9+180),$W10&gt;($AS$9-180)),$W10,IF($W10&gt;($AS$9+180),$W10-360,IF($W10&lt;($AS$9-180),$W10+360,"Error"))))</f>
        <v>360</v>
      </c>
      <c r="AT10" s="72">
        <f t="shared" si="10"/>
        <v>-0.48550146427241625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-6.9576753588636708E-16</v>
      </c>
      <c r="C11" s="708">
        <v>1.8533055895696582</v>
      </c>
      <c r="D11" s="709">
        <v>-0.28590086227700057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-6.9576753588636708E-16</v>
      </c>
      <c r="O11" s="629">
        <f t="shared" si="3"/>
        <v>1.8533055895696582</v>
      </c>
      <c r="P11" s="633">
        <f t="shared" si="4"/>
        <v>-0.28590086227700057</v>
      </c>
      <c r="Q11" s="585">
        <f t="shared" ref="Q11:Q73" si="113">IF(M11="","",IF(DEGREES(ATAN2(N11,O11))&lt;0,DEGREES(ATAN2(N11,O11))+360,IF(DEGREES(ATAN2(N11,O11))&gt;360,DEGREES(ATAN2(N11,O11))-360,DEGREES(ATAN2(N11,O11)))))</f>
        <v>90.000000000000014</v>
      </c>
      <c r="R11" s="629">
        <f t="shared" si="79"/>
        <v>1.8533055895696582</v>
      </c>
      <c r="S11" s="634">
        <f t="shared" si="80"/>
        <v>-0.28590086227700057</v>
      </c>
      <c r="T11" s="635">
        <f t="shared" si="81"/>
        <v>1.8533055895696582</v>
      </c>
      <c r="U11" s="629">
        <f t="shared" si="82"/>
        <v>0</v>
      </c>
      <c r="V11" s="636">
        <f t="shared" ref="V11:V105" si="114">IF(M11="","",Y11)</f>
        <v>-0.28590086227700057</v>
      </c>
      <c r="W11" s="585">
        <f t="shared" si="5"/>
        <v>0</v>
      </c>
      <c r="X11" s="629">
        <f>IF(M11="","",R11)</f>
        <v>1.8533055895696582</v>
      </c>
      <c r="Y11" s="630">
        <f>IF(M11="","",S11)</f>
        <v>-0.28590086227700057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6.6987279208206976E-2</v>
      </c>
      <c r="AM11" s="634">
        <f t="shared" si="92"/>
        <v>-0.24999996726497564</v>
      </c>
      <c r="AN11" s="581">
        <f>IF(M11="","",DEGREES(ATAN2(-AM11,AL11)))</f>
        <v>14.999997834268219</v>
      </c>
      <c r="AO11" s="582">
        <f>IF(ROUND(IF(M11="",0,DEGREES(ACOS(AK11))),4)=90,0,IF(M11="","",DEGREES(ACOS(AK11))))</f>
        <v>14.999997834268255</v>
      </c>
      <c r="AP11" s="585">
        <f t="shared" si="95"/>
        <v>3.9671296450865583</v>
      </c>
      <c r="AQ11" s="586">
        <f t="shared" si="9"/>
        <v>1.2298978020055551</v>
      </c>
      <c r="AS11" s="52">
        <f t="shared" ref="AS11:AS42" si="116">IF(G11="","",IF(AND(W11&lt;(AS10+180),W11&gt;(AS10-180)),W11,IF(W11&gt;(AS10+180),W11-360,IF(W11&lt;(AS10-180),W11+360,"Error"))))</f>
        <v>360</v>
      </c>
      <c r="AT11" s="72">
        <f t="shared" si="10"/>
        <v>-0.28590086227700057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-6.9149902339626666E-16</v>
      </c>
      <c r="C12" s="708">
        <v>2.5987078377028388</v>
      </c>
      <c r="D12" s="709">
        <v>-9.890029828329952E-2</v>
      </c>
      <c r="E12" s="710">
        <v>-0.96592583607220739</v>
      </c>
      <c r="F12" s="708">
        <v>-4.0488207353615094E-2</v>
      </c>
      <c r="G12" s="711">
        <v>0.2556325180283171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-6.9149902339626666E-16</v>
      </c>
      <c r="O12" s="629">
        <f t="shared" si="3"/>
        <v>2.5987078377028388</v>
      </c>
      <c r="P12" s="633">
        <f t="shared" si="4"/>
        <v>-9.890029828329952E-2</v>
      </c>
      <c r="Q12" s="585">
        <f>IF(M12="","",IF(DEGREES(ATAN2(N12,O12))&lt;0,DEGREES(ATAN2(N12,O12))+360,IF(DEGREES(ATAN2(N12,O12))&gt;360,DEGREES(ATAN2(N12,O12))-360,DEGREES(ATAN2(N12,O12)))))</f>
        <v>90.000000000000014</v>
      </c>
      <c r="R12" s="629">
        <f t="shared" si="79"/>
        <v>2.5987078377028388</v>
      </c>
      <c r="S12" s="634">
        <f t="shared" si="80"/>
        <v>-9.890029828329952E-2</v>
      </c>
      <c r="T12" s="635">
        <f>IF(M12="","",X12*COS(RADIANS(W12)))</f>
        <v>2.5987078377028388</v>
      </c>
      <c r="U12" s="629">
        <f t="shared" si="82"/>
        <v>0</v>
      </c>
      <c r="V12" s="636">
        <f t="shared" si="114"/>
        <v>-9.890029828329952E-2</v>
      </c>
      <c r="W12" s="585">
        <f>IF(M12="","",IF(Q12-$Q$8&lt;0,360+Q12-$Q$8,Q12-$Q$8))</f>
        <v>0</v>
      </c>
      <c r="X12" s="629">
        <f t="shared" si="83"/>
        <v>2.5987078377028388</v>
      </c>
      <c r="Y12" s="630">
        <f>IF(M12="","",S12)</f>
        <v>-9.890029828329952E-2</v>
      </c>
      <c r="Z12" s="632">
        <f t="shared" si="6"/>
        <v>0.96592583607220739</v>
      </c>
      <c r="AA12" s="629">
        <f t="shared" si="7"/>
        <v>4.0488207353615094E-2</v>
      </c>
      <c r="AB12" s="629">
        <f t="shared" si="8"/>
        <v>-0.2556325180283171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4.0488207353615094E-2</v>
      </c>
      <c r="AF12" s="633">
        <f t="shared" si="86"/>
        <v>-0.2556325180283171</v>
      </c>
      <c r="AG12" s="602">
        <f t="shared" si="87"/>
        <v>8.9999987005609654</v>
      </c>
      <c r="AH12" s="603">
        <f t="shared" si="88"/>
        <v>14.999997834268255</v>
      </c>
      <c r="AI12" s="585">
        <f t="shared" si="89"/>
        <v>-75.188931961768461</v>
      </c>
      <c r="AJ12" s="586">
        <f t="shared" si="90"/>
        <v>92.400232109692112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4.0488207353614851E-2</v>
      </c>
      <c r="AM12" s="634">
        <f t="shared" si="92"/>
        <v>-0.2556325180283171</v>
      </c>
      <c r="AN12" s="581">
        <f>IF(M12="","",DEGREES(ATAN2(-AM12,AL12)))</f>
        <v>8.9999987005609121</v>
      </c>
      <c r="AO12" s="582">
        <f t="shared" si="94"/>
        <v>14.999997834268255</v>
      </c>
      <c r="AP12" s="585">
        <f t="shared" si="95"/>
        <v>2.4002321096921104</v>
      </c>
      <c r="AQ12" s="586">
        <f t="shared" si="9"/>
        <v>0.87718537717170963</v>
      </c>
      <c r="AS12" s="52">
        <f t="shared" si="116"/>
        <v>360</v>
      </c>
      <c r="AT12" s="72">
        <f>IF(M12="","",Y12+(((AS12-$AS$9)*$AS$6)*-1))</f>
        <v>-9.890029828329952E-2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1.4135909559050745E-2</v>
      </c>
      <c r="C13" s="708">
        <v>3.3746805719071333</v>
      </c>
      <c r="D13" s="709">
        <v>-0.12210036825471079</v>
      </c>
      <c r="E13" s="710">
        <v>-0.96503120569306666</v>
      </c>
      <c r="F13" s="708">
        <v>8.6271707881404175E-2</v>
      </c>
      <c r="G13" s="711">
        <v>0.24753174434365366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1.117</v>
      </c>
      <c r="N13" s="632">
        <f t="shared" si="2"/>
        <v>1.4135909559050745E-2</v>
      </c>
      <c r="O13" s="629">
        <f t="shared" si="3"/>
        <v>3.3746805719071333</v>
      </c>
      <c r="P13" s="633">
        <f t="shared" si="4"/>
        <v>-0.12210036825471079</v>
      </c>
      <c r="Q13" s="585">
        <f t="shared" si="113"/>
        <v>89.760000034651696</v>
      </c>
      <c r="R13" s="629">
        <f t="shared" si="79"/>
        <v>3.3747101781258961</v>
      </c>
      <c r="S13" s="634">
        <f t="shared" si="80"/>
        <v>-0.12210036825471079</v>
      </c>
      <c r="T13" s="635">
        <f>IF(M13="","",X13*COS(RADIANS(W13)))</f>
        <v>3.3746805719071329</v>
      </c>
      <c r="U13" s="629">
        <f t="shared" si="82"/>
        <v>-1.4135909559052744E-2</v>
      </c>
      <c r="V13" s="636">
        <f t="shared" si="114"/>
        <v>-0.12210036825471079</v>
      </c>
      <c r="W13" s="585">
        <f t="shared" si="5"/>
        <v>359.76000003465168</v>
      </c>
      <c r="X13" s="629">
        <f t="shared" si="83"/>
        <v>3.3747101781258961</v>
      </c>
      <c r="Y13" s="630">
        <f>IF(M13="","",S13)</f>
        <v>-0.12210036825471079</v>
      </c>
      <c r="Z13" s="632">
        <f t="shared" si="6"/>
        <v>0.96503120569306666</v>
      </c>
      <c r="AA13" s="629">
        <f t="shared" si="7"/>
        <v>-8.6271707881404175E-2</v>
      </c>
      <c r="AB13" s="629">
        <f t="shared" si="8"/>
        <v>-0.24753174434365366</v>
      </c>
      <c r="AC13" s="636">
        <f t="shared" si="84"/>
        <v>1</v>
      </c>
      <c r="AD13" s="637">
        <f>IF(M13="","",Z13*(1/SQRT(Z13^2+AA13^2+AB13^2)))</f>
        <v>0.96503120569306666</v>
      </c>
      <c r="AE13" s="629">
        <f t="shared" si="85"/>
        <v>-8.6271707881404175E-2</v>
      </c>
      <c r="AF13" s="633">
        <f t="shared" si="86"/>
        <v>-0.24753174434365366</v>
      </c>
      <c r="AG13" s="602">
        <f>IF(M13="","",DEGREES(ATAN2(-AF13,AE13)))</f>
        <v>-19.214869037496641</v>
      </c>
      <c r="AH13" s="603">
        <f t="shared" si="88"/>
        <v>15.196784848563098</v>
      </c>
      <c r="AI13" s="585">
        <f t="shared" si="89"/>
        <v>-75.668498536188096</v>
      </c>
      <c r="AJ13" s="586">
        <f t="shared" si="90"/>
        <v>84.891461139306244</v>
      </c>
      <c r="AK13" s="635">
        <f t="shared" si="211"/>
        <v>0.9653841124827659</v>
      </c>
      <c r="AL13" s="629">
        <f t="shared" si="91"/>
        <v>-8.222865016556366E-2</v>
      </c>
      <c r="AM13" s="634">
        <f t="shared" si="92"/>
        <v>-0.24753174434365366</v>
      </c>
      <c r="AN13" s="581">
        <f t="shared" si="93"/>
        <v>-18.376196401015857</v>
      </c>
      <c r="AO13" s="582">
        <f t="shared" si="94"/>
        <v>15.119456634930479</v>
      </c>
      <c r="AP13" s="585">
        <f t="shared" si="95"/>
        <v>-4.8685388953454218</v>
      </c>
      <c r="AQ13" s="586">
        <f t="shared" si="9"/>
        <v>0.67550126831491508</v>
      </c>
      <c r="AS13" s="52">
        <f t="shared" si="116"/>
        <v>359.76000003465168</v>
      </c>
      <c r="AT13" s="72">
        <f t="shared" si="10"/>
        <v>-0.1219337016121078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5.4052099768507424E-2</v>
      </c>
      <c r="C14" s="708">
        <v>4.0908552619330569</v>
      </c>
      <c r="D14" s="709">
        <v>-0.42170127185103662</v>
      </c>
      <c r="E14" s="710">
        <v>-0.96154602723490246</v>
      </c>
      <c r="F14" s="708">
        <v>0.20412945349400721</v>
      </c>
      <c r="G14" s="711">
        <v>0.1837400438799725</v>
      </c>
      <c r="H14" s="710">
        <v>0.314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5.4052099768507424E-2</v>
      </c>
      <c r="O14" s="629">
        <f t="shared" si="3"/>
        <v>4.0908552619330569</v>
      </c>
      <c r="P14" s="633">
        <f t="shared" si="4"/>
        <v>-0.42170127185103662</v>
      </c>
      <c r="Q14" s="585">
        <f t="shared" si="113"/>
        <v>89.24300010929727</v>
      </c>
      <c r="R14" s="629">
        <f t="shared" si="79"/>
        <v>4.0912123390964155</v>
      </c>
      <c r="S14" s="634">
        <f t="shared" si="80"/>
        <v>-0.42170127185103662</v>
      </c>
      <c r="T14" s="635">
        <f t="shared" si="81"/>
        <v>4.0908552619330569</v>
      </c>
      <c r="U14" s="629">
        <f t="shared" si="82"/>
        <v>-5.4052099768505918E-2</v>
      </c>
      <c r="V14" s="636">
        <f t="shared" si="114"/>
        <v>-0.42170127185103662</v>
      </c>
      <c r="W14" s="585">
        <f t="shared" si="5"/>
        <v>359.24300010929727</v>
      </c>
      <c r="X14" s="629">
        <f t="shared" si="83"/>
        <v>4.0912123390964155</v>
      </c>
      <c r="Y14" s="630">
        <f t="shared" ref="Y14:Y75" si="223">IF(M14="","",S14)</f>
        <v>-0.42170127185103662</v>
      </c>
      <c r="Z14" s="632">
        <f t="shared" si="6"/>
        <v>0.96154602723490246</v>
      </c>
      <c r="AA14" s="629">
        <f t="shared" si="7"/>
        <v>-0.20412945349400721</v>
      </c>
      <c r="AB14" s="629">
        <f t="shared" si="8"/>
        <v>-0.1837400438799725</v>
      </c>
      <c r="AC14" s="636">
        <f t="shared" si="84"/>
        <v>1</v>
      </c>
      <c r="AD14" s="637">
        <f>IF(M14="","",Z14*(1/SQRT(Z14^2+AA14^2+AB14^2)))</f>
        <v>0.96154602723490246</v>
      </c>
      <c r="AE14" s="629">
        <f t="shared" si="85"/>
        <v>-0.20412945349400721</v>
      </c>
      <c r="AF14" s="633">
        <f t="shared" si="86"/>
        <v>-0.1837400438799725</v>
      </c>
      <c r="AG14" s="602">
        <f t="shared" si="87"/>
        <v>-48.009137937874733</v>
      </c>
      <c r="AH14" s="603">
        <f t="shared" si="88"/>
        <v>15.940790337652629</v>
      </c>
      <c r="AI14" s="585">
        <f t="shared" si="89"/>
        <v>-79.41231692454798</v>
      </c>
      <c r="AJ14" s="586">
        <f t="shared" si="90"/>
        <v>78.014451096510456</v>
      </c>
      <c r="AK14" s="635">
        <f>IF(M14="","",(COS(RADIANS((90-$Q$8)-W14))*AD14)+(-SIN(RADIANS((90-$Q$8)-W14))*AE14))</f>
        <v>0.96415901296432693</v>
      </c>
      <c r="AL14" s="629">
        <f t="shared" si="91"/>
        <v>-0.19140792563172618</v>
      </c>
      <c r="AM14" s="634">
        <f t="shared" si="92"/>
        <v>-0.1837400438799725</v>
      </c>
      <c r="AN14" s="581">
        <f t="shared" si="93"/>
        <v>-46.170940885708276</v>
      </c>
      <c r="AO14" s="582">
        <f t="shared" si="94"/>
        <v>15.386269953480946</v>
      </c>
      <c r="AP14" s="585">
        <f>IF(M14="","",DEGREES(ATAN2(AK14,AL14)))</f>
        <v>-11.228549012786825</v>
      </c>
      <c r="AQ14" s="586">
        <f t="shared" si="9"/>
        <v>0.55720763727245115</v>
      </c>
      <c r="AS14" s="52">
        <f t="shared" si="116"/>
        <v>359.24300010929727</v>
      </c>
      <c r="AT14" s="72">
        <f t="shared" si="10"/>
        <v>-0.42117557748249307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0.10721310471051232</v>
      </c>
      <c r="C15" s="708">
        <v>4.6883884404582545</v>
      </c>
      <c r="D15" s="709">
        <v>-0.91980277412516709</v>
      </c>
      <c r="E15" s="710">
        <v>-0.95725198753705976</v>
      </c>
      <c r="F15" s="708">
        <v>0.25193643759238193</v>
      </c>
      <c r="G15" s="711">
        <v>0.14211496673330598</v>
      </c>
      <c r="H15" s="710">
        <v>0.314</v>
      </c>
      <c r="I15" s="708">
        <v>0.52</v>
      </c>
      <c r="J15" s="570">
        <v>1.1319999999999999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1.1319999999999999</v>
      </c>
      <c r="N15" s="632">
        <f t="shared" si="2"/>
        <v>0.10721310471051232</v>
      </c>
      <c r="O15" s="629">
        <f t="shared" si="3"/>
        <v>4.6883884404582545</v>
      </c>
      <c r="P15" s="633">
        <f t="shared" si="4"/>
        <v>-0.91980277412516709</v>
      </c>
      <c r="Q15" s="585">
        <f t="shared" si="113"/>
        <v>88.690000189140562</v>
      </c>
      <c r="R15" s="629">
        <f t="shared" si="79"/>
        <v>4.6896141438762582</v>
      </c>
      <c r="S15" s="634">
        <f t="shared" si="80"/>
        <v>-0.91980277412516709</v>
      </c>
      <c r="T15" s="635">
        <f t="shared" si="81"/>
        <v>4.6883884404582545</v>
      </c>
      <c r="U15" s="629">
        <f t="shared" si="82"/>
        <v>-0.10721310471051115</v>
      </c>
      <c r="V15" s="636">
        <f t="shared" si="114"/>
        <v>-0.91980277412516709</v>
      </c>
      <c r="W15" s="585">
        <f t="shared" ref="W15:W78" si="224">IF(M15="","",IF(Q15-$Q$8&lt;0,360+Q15-$Q$8,Q15-$Q$8))</f>
        <v>358.69000018914056</v>
      </c>
      <c r="X15" s="629">
        <f>IF(M15="","",R15)</f>
        <v>4.6896141438762582</v>
      </c>
      <c r="Y15" s="630">
        <f>IF(M15="","",S15)</f>
        <v>-0.91980277412516709</v>
      </c>
      <c r="Z15" s="632">
        <f t="shared" si="6"/>
        <v>0.95725198753705976</v>
      </c>
      <c r="AA15" s="629">
        <f t="shared" si="7"/>
        <v>-0.25193643759238193</v>
      </c>
      <c r="AB15" s="629">
        <f t="shared" si="8"/>
        <v>-0.14211496673330598</v>
      </c>
      <c r="AC15" s="636">
        <f t="shared" si="84"/>
        <v>1</v>
      </c>
      <c r="AD15" s="637">
        <f t="shared" si="115"/>
        <v>0.95725198753705976</v>
      </c>
      <c r="AE15" s="629">
        <f t="shared" si="85"/>
        <v>-0.25193643759238193</v>
      </c>
      <c r="AF15" s="633">
        <f t="shared" si="86"/>
        <v>-0.14211496673330598</v>
      </c>
      <c r="AG15" s="602">
        <f t="shared" si="87"/>
        <v>-60.573065257255109</v>
      </c>
      <c r="AH15" s="603">
        <f t="shared" si="88"/>
        <v>16.813377568851383</v>
      </c>
      <c r="AI15" s="585">
        <f t="shared" si="89"/>
        <v>-81.829751207412457</v>
      </c>
      <c r="AJ15" s="586">
        <f t="shared" si="90"/>
        <v>75.254868685437287</v>
      </c>
      <c r="AK15" s="635">
        <f t="shared" si="211"/>
        <v>0.96276151984361624</v>
      </c>
      <c r="AL15" s="629">
        <f t="shared" si="91"/>
        <v>-0.2299860694450897</v>
      </c>
      <c r="AM15" s="634">
        <f t="shared" si="92"/>
        <v>-0.14211496673330598</v>
      </c>
      <c r="AN15" s="581">
        <f>IF(M15="","",DEGREES(ATAN2(-AM15,AL15)))</f>
        <v>-58.286895744551998</v>
      </c>
      <c r="AO15" s="582">
        <f t="shared" si="94"/>
        <v>15.685219693076622</v>
      </c>
      <c r="AP15" s="585">
        <f t="shared" si="95"/>
        <v>-13.435131503703282</v>
      </c>
      <c r="AQ15" s="586">
        <f t="shared" si="9"/>
        <v>0.48611076771451317</v>
      </c>
      <c r="AS15" s="52">
        <f t="shared" si="116"/>
        <v>358.69000018914056</v>
      </c>
      <c r="AT15" s="72">
        <f t="shared" si="10"/>
        <v>-0.9188930520342925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81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0.16183816029648584</v>
      </c>
      <c r="C16" s="708">
        <v>5.1583774466636285</v>
      </c>
      <c r="D16" s="709">
        <v>-1.5403046455588107</v>
      </c>
      <c r="E16" s="710">
        <v>-0.94788791774139114</v>
      </c>
      <c r="F16" s="708">
        <v>0.29950357976564762</v>
      </c>
      <c r="G16" s="711">
        <v>0.10865588390626633</v>
      </c>
      <c r="H16" s="710">
        <v>0.314</v>
      </c>
      <c r="I16" s="708">
        <v>0.52</v>
      </c>
      <c r="J16" s="570">
        <v>1.141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1.141</v>
      </c>
      <c r="N16" s="632">
        <f t="shared" si="2"/>
        <v>0.16183816029648584</v>
      </c>
      <c r="O16" s="629">
        <f t="shared" si="3"/>
        <v>5.1583774466636285</v>
      </c>
      <c r="P16" s="633">
        <f t="shared" si="4"/>
        <v>-1.5403046455588107</v>
      </c>
      <c r="Q16" s="585">
        <f>IF(M16="","",IF(DEGREES(ATAN2(N16,O16))&lt;0,DEGREES(ATAN2(N16,O16))+360,IF(DEGREES(ATAN2(N16,O16))&gt;360,DEGREES(ATAN2(N16,O16))-360,DEGREES(ATAN2(N16,O16)))))</f>
        <v>88.203000259454654</v>
      </c>
      <c r="R16" s="629">
        <f t="shared" si="79"/>
        <v>5.1609155653213437</v>
      </c>
      <c r="S16" s="634">
        <f t="shared" si="80"/>
        <v>-1.5403046455588107</v>
      </c>
      <c r="T16" s="635">
        <f t="shared" si="81"/>
        <v>5.1583774466636276</v>
      </c>
      <c r="U16" s="629">
        <f t="shared" si="82"/>
        <v>-0.1618381602964872</v>
      </c>
      <c r="V16" s="636">
        <f t="shared" si="114"/>
        <v>-1.5403046455588107</v>
      </c>
      <c r="W16" s="585">
        <f>IF(M16="","",IF(Q16-$Q$8&lt;0,360+Q16-$Q$8,Q16-$Q$8))</f>
        <v>358.20300025945465</v>
      </c>
      <c r="X16" s="629">
        <f t="shared" si="83"/>
        <v>5.1609155653213437</v>
      </c>
      <c r="Y16" s="630">
        <f t="shared" si="223"/>
        <v>-1.5403046455588107</v>
      </c>
      <c r="Z16" s="632">
        <f t="shared" si="6"/>
        <v>0.94788791774139114</v>
      </c>
      <c r="AA16" s="629">
        <f t="shared" si="7"/>
        <v>-0.29950357976564762</v>
      </c>
      <c r="AB16" s="629">
        <f t="shared" si="8"/>
        <v>-0.10865588390626633</v>
      </c>
      <c r="AC16" s="636">
        <f t="shared" si="84"/>
        <v>1</v>
      </c>
      <c r="AD16" s="637">
        <f t="shared" si="115"/>
        <v>0.94788791774139114</v>
      </c>
      <c r="AE16" s="629">
        <f t="shared" si="85"/>
        <v>-0.29950357976564762</v>
      </c>
      <c r="AF16" s="633">
        <f t="shared" si="86"/>
        <v>-0.10865588390626633</v>
      </c>
      <c r="AG16" s="602">
        <f t="shared" si="87"/>
        <v>-70.059907155462383</v>
      </c>
      <c r="AH16" s="603">
        <f t="shared" si="88"/>
        <v>18.578520442761672</v>
      </c>
      <c r="AI16" s="585">
        <f t="shared" si="89"/>
        <v>-83.762161031349493</v>
      </c>
      <c r="AJ16" s="586">
        <f t="shared" si="90"/>
        <v>72.465057742985508</v>
      </c>
      <c r="AK16" s="635">
        <f t="shared" si="211"/>
        <v>0.95681370925241227</v>
      </c>
      <c r="AL16" s="629">
        <f t="shared" si="91"/>
        <v>-0.26963201716262886</v>
      </c>
      <c r="AM16" s="634">
        <f t="shared" si="92"/>
        <v>-0.10865588390626633</v>
      </c>
      <c r="AN16" s="581">
        <f t="shared" si="93"/>
        <v>-68.051628995074694</v>
      </c>
      <c r="AO16" s="582">
        <f t="shared" si="94"/>
        <v>16.899975324785377</v>
      </c>
      <c r="AP16" s="585">
        <f t="shared" si="95"/>
        <v>-15.737942516469136</v>
      </c>
      <c r="AQ16" s="586">
        <f t="shared" si="9"/>
        <v>0.44172035697481671</v>
      </c>
      <c r="AS16" s="52">
        <f t="shared" si="116"/>
        <v>358.20300025945465</v>
      </c>
      <c r="AT16" s="72">
        <f t="shared" si="10"/>
        <v>-1.5390567290723209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1.141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0.20893661562408664</v>
      </c>
      <c r="C17" s="708">
        <v>5.5013504161536249</v>
      </c>
      <c r="D17" s="709">
        <v>-2.2397067549555727</v>
      </c>
      <c r="E17" s="710">
        <v>-0.93870253981885954</v>
      </c>
      <c r="F17" s="708">
        <v>0.33740597133257422</v>
      </c>
      <c r="G17" s="711">
        <v>7.0673561157936146E-2</v>
      </c>
      <c r="H17" s="710">
        <v>0.314</v>
      </c>
      <c r="I17" s="708">
        <v>0.52</v>
      </c>
      <c r="J17" s="570">
        <v>1.1499999999999999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1.1499999999999999</v>
      </c>
      <c r="N17" s="632">
        <f t="shared" si="2"/>
        <v>0.20893661562408664</v>
      </c>
      <c r="O17" s="629">
        <f t="shared" si="3"/>
        <v>5.5013504161536249</v>
      </c>
      <c r="P17" s="633">
        <f t="shared" si="4"/>
        <v>-2.2397067549555727</v>
      </c>
      <c r="Q17" s="585">
        <f>IF(M17="","",IF(DEGREES(ATAN2(N17,O17))&lt;0,DEGREES(ATAN2(N17,O17))+360,IF(DEGREES(ATAN2(N17,O17))&gt;360,DEGREES(ATAN2(N17,O17))-360,DEGREES(ATAN2(N17,O17)))))</f>
        <v>87.825000314031101</v>
      </c>
      <c r="R17" s="629">
        <f>IF(M17="","",SQRT(N17^2+O17^2))</f>
        <v>5.5053166040348769</v>
      </c>
      <c r="S17" s="634">
        <f>IF(M17="","",P17)</f>
        <v>-2.2397067549555727</v>
      </c>
      <c r="T17" s="635">
        <f>IF(M17="","",X17*COS(RADIANS(W17)))</f>
        <v>5.5013504161536249</v>
      </c>
      <c r="U17" s="629">
        <f>IF(M17="","",X17*SIN(RADIANS(W17)))</f>
        <v>-0.20893661562408483</v>
      </c>
      <c r="V17" s="636">
        <f>IF(M17="","",Y17)</f>
        <v>-2.2397067549555727</v>
      </c>
      <c r="W17" s="585">
        <f t="shared" si="224"/>
        <v>357.82500031403112</v>
      </c>
      <c r="X17" s="629">
        <f>IF(M17="","",R17)</f>
        <v>5.5053166040348769</v>
      </c>
      <c r="Y17" s="630">
        <f t="shared" si="223"/>
        <v>-2.2397067549555727</v>
      </c>
      <c r="Z17" s="632">
        <f t="shared" si="6"/>
        <v>0.93870253981885954</v>
      </c>
      <c r="AA17" s="629">
        <f t="shared" si="7"/>
        <v>-0.33740597133257422</v>
      </c>
      <c r="AB17" s="629">
        <f t="shared" si="8"/>
        <v>-7.0673561157936146E-2</v>
      </c>
      <c r="AC17" s="636">
        <f>IF(M17="","",SQRT(Z17^2+AA17^2+AB17^2))</f>
        <v>1</v>
      </c>
      <c r="AD17" s="637">
        <f>IF(M17="","",Z17*(1/SQRT(Z17^2+AA17^2+AB17^2)))</f>
        <v>0.93870253981885954</v>
      </c>
      <c r="AE17" s="629">
        <f>IF(M17="","",AA17*(1/SQRT(Z17^2+AA17^2+AB17^2)))</f>
        <v>-0.33740597133257422</v>
      </c>
      <c r="AF17" s="633">
        <f>IF(M17="","",AB17*(1/SQRT(Z17^2+AA17^2+AB17^2)))</f>
        <v>-7.0673561157936146E-2</v>
      </c>
      <c r="AG17" s="602">
        <f>IF(M17="","",DEGREES(ATAN2(-AF17,AE17)))</f>
        <v>-78.169774625575016</v>
      </c>
      <c r="AH17" s="603">
        <f>IF(M17="","",DEGREES(ACOS(AD17)))</f>
        <v>20.165205845359718</v>
      </c>
      <c r="AI17" s="585">
        <f>IF(M17="","",DEGREES(-ACOS(-AF17)))</f>
        <v>-85.947324751022848</v>
      </c>
      <c r="AJ17" s="586">
        <f>IF(M17="","",DEGREES(ATAN2(-AE17,AD17)))</f>
        <v>70.229601762102845</v>
      </c>
      <c r="AK17" s="635">
        <f>IF(M17="","",(COS(RADIANS((90-$Q$8)-W17))*AD17)+(-SIN(RADIANS((90-$Q$8)-W17))*AE17))</f>
        <v>0.9508314319256489</v>
      </c>
      <c r="AL17" s="629">
        <f>IF(M17="","",(SIN(RADIANS((90-$Q$8)-W17))*AD17)+(COS(RADIANS((90-$Q$8)-W17))*AE17))</f>
        <v>-0.30153745342075755</v>
      </c>
      <c r="AM17" s="634">
        <f>IF(M17="","",AF17)</f>
        <v>-7.0673561157936146E-2</v>
      </c>
      <c r="AN17" s="581">
        <f>IF(M17="","",DEGREES(ATAN2(-AM17,AL17)))</f>
        <v>-76.80925951062062</v>
      </c>
      <c r="AO17" s="582">
        <f t="shared" si="94"/>
        <v>18.041686906752091</v>
      </c>
      <c r="AP17" s="585">
        <f>IF(M17="","",DEGREES(ATAN2(AK17,AL17)))</f>
        <v>-17.59539855192828</v>
      </c>
      <c r="AQ17" s="586">
        <f t="shared" si="9"/>
        <v>0.41408825393011017</v>
      </c>
      <c r="AS17" s="52">
        <f t="shared" si="116"/>
        <v>357.82500031403112</v>
      </c>
      <c r="AT17" s="72">
        <f t="shared" si="10"/>
        <v>-2.2381963385069832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0.24244448832412122</v>
      </c>
      <c r="C18" s="708">
        <v>5.7224837538572269</v>
      </c>
      <c r="D18" s="709">
        <v>-2.9871090091207724</v>
      </c>
      <c r="E18" s="710">
        <v>-0.91771564748421142</v>
      </c>
      <c r="F18" s="708">
        <v>0.39482439042585199</v>
      </c>
      <c r="G18" s="711">
        <v>4.3722889743123328E-2</v>
      </c>
      <c r="H18" s="710">
        <v>0.314</v>
      </c>
      <c r="I18" s="708">
        <v>0.52</v>
      </c>
      <c r="J18" s="570">
        <v>1.159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1.159</v>
      </c>
      <c r="N18" s="632">
        <f t="shared" si="2"/>
        <v>0.24244448832412122</v>
      </c>
      <c r="O18" s="629">
        <f t="shared" si="3"/>
        <v>5.7224837538572269</v>
      </c>
      <c r="P18" s="633">
        <f t="shared" si="4"/>
        <v>-2.9871090091207724</v>
      </c>
      <c r="Q18" s="585">
        <f t="shared" si="113"/>
        <v>87.574000350271021</v>
      </c>
      <c r="R18" s="629">
        <f>IF(M18="","",SQRT(N18^2+O18^2))</f>
        <v>5.7276172744937002</v>
      </c>
      <c r="S18" s="634">
        <f>IF(M18="","",P18)</f>
        <v>-2.9871090091207724</v>
      </c>
      <c r="T18" s="635">
        <f>IF(M18="","",X18*COS(RADIANS(W18)))</f>
        <v>5.7224837538572269</v>
      </c>
      <c r="U18" s="629">
        <f>IF(M18="","",X18*SIN(RADIANS(W18)))</f>
        <v>-0.24244448832411855</v>
      </c>
      <c r="V18" s="636">
        <f>IF(M18="","",Y18)</f>
        <v>-2.9871090091207724</v>
      </c>
      <c r="W18" s="585">
        <f t="shared" si="224"/>
        <v>357.57400035027104</v>
      </c>
      <c r="X18" s="629">
        <f>IF(M18="","",R18)</f>
        <v>5.7276172744937002</v>
      </c>
      <c r="Y18" s="630">
        <f t="shared" si="223"/>
        <v>-2.9871090091207724</v>
      </c>
      <c r="Z18" s="632">
        <f t="shared" si="6"/>
        <v>0.91771564748421142</v>
      </c>
      <c r="AA18" s="629">
        <f t="shared" si="7"/>
        <v>-0.39482439042585199</v>
      </c>
      <c r="AB18" s="629">
        <f t="shared" si="8"/>
        <v>-4.3722889743123328E-2</v>
      </c>
      <c r="AC18" s="636">
        <f>IF(M18="","",SQRT(Z18^2+AA18^2+AB18^2))</f>
        <v>1</v>
      </c>
      <c r="AD18" s="637">
        <f>IF(M18="","",Z18*(1/SQRT(Z18^2+AA18^2+AB18^2)))</f>
        <v>0.91771564748421142</v>
      </c>
      <c r="AE18" s="629">
        <f>IF(M18="","",AA18*(1/SQRT(Z18^2+AA18^2+AB18^2)))</f>
        <v>-0.39482439042585199</v>
      </c>
      <c r="AF18" s="633">
        <f>IF(M18="","",AB18*(1/SQRT(Z18^2+AA18^2+AB18^2)))</f>
        <v>-4.3722889743123328E-2</v>
      </c>
      <c r="AG18" s="602">
        <f>IF(M18="","",DEGREES(ATAN2(-AF18,AE18)))</f>
        <v>-83.68080763493144</v>
      </c>
      <c r="AH18" s="603">
        <f>IF(M18="","",DEGREES(ACOS(AD18)))</f>
        <v>23.405622674067661</v>
      </c>
      <c r="AI18" s="585">
        <f>IF(M18="","",DEGREES(-ACOS(-AF18)))</f>
        <v>-87.494064087486919</v>
      </c>
      <c r="AJ18" s="586">
        <f>IF(M18="","",DEGREES(ATAN2(-AE18,AD18)))</f>
        <v>66.721406943423929</v>
      </c>
      <c r="AK18" s="635">
        <f>IF(M18="","",(COS(RADIANS((90-$Q$8)-W18))*AD18)+(-SIN(RADIANS((90-$Q$8)-W18))*AE18))</f>
        <v>0.9336056556216612</v>
      </c>
      <c r="AL18" s="629">
        <f>IF(M18="","",(SIN(RADIANS((90-$Q$8)-W18))*AD18)+(COS(RADIANS((90-$Q$8)-W18))*AE18))</f>
        <v>-0.35562450520704991</v>
      </c>
      <c r="AM18" s="634">
        <f>IF(M18="","",AF18)</f>
        <v>-4.3722889743123328E-2</v>
      </c>
      <c r="AN18" s="581">
        <f>IF(M18="","",DEGREES(ATAN2(-AM18,AL18)))</f>
        <v>-82.990843445139845</v>
      </c>
      <c r="AO18" s="582">
        <f t="shared" si="94"/>
        <v>20.995966003843414</v>
      </c>
      <c r="AP18" s="585">
        <f>IF(M18="","",DEGREES(ATAN2(AK18,AL18)))</f>
        <v>-20.852593406847127</v>
      </c>
      <c r="AQ18" s="586">
        <f t="shared" si="9"/>
        <v>0.39801715998588505</v>
      </c>
      <c r="AS18" s="52">
        <f t="shared" si="116"/>
        <v>357.57400035027104</v>
      </c>
      <c r="AT18" s="72">
        <f t="shared" si="10"/>
        <v>-2.985424287141794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0.25918616482521234</v>
      </c>
      <c r="C19" s="708">
        <v>5.8266557717759948</v>
      </c>
      <c r="D19" s="709">
        <v>-3.7599113398926014</v>
      </c>
      <c r="E19" s="710">
        <v>-0.87986395033504761</v>
      </c>
      <c r="F19" s="708">
        <v>0.47496605546091281</v>
      </c>
      <c r="G19" s="711">
        <v>1.5705892547257506E-2</v>
      </c>
      <c r="H19" s="710">
        <v>0.314</v>
      </c>
      <c r="I19" s="708">
        <v>0.52</v>
      </c>
      <c r="J19" s="570">
        <v>1.1679999999999999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1.1679999999999999</v>
      </c>
      <c r="N19" s="632">
        <f t="shared" si="2"/>
        <v>0.25918616482521234</v>
      </c>
      <c r="O19" s="629">
        <f t="shared" si="3"/>
        <v>5.8266557717759948</v>
      </c>
      <c r="P19" s="633">
        <f t="shared" si="4"/>
        <v>-3.7599113398926014</v>
      </c>
      <c r="Q19" s="585">
        <f t="shared" si="113"/>
        <v>87.45300036774124</v>
      </c>
      <c r="R19" s="629">
        <f>IF(M19="","",SQRT(N19^2+O19^2))</f>
        <v>5.8324175905714535</v>
      </c>
      <c r="S19" s="634">
        <f>IF(M19="","",P19)</f>
        <v>-3.7599113398926014</v>
      </c>
      <c r="T19" s="635">
        <f>IF(M19="","",X19*COS(RADIANS(W19)))</f>
        <v>5.8266557717759948</v>
      </c>
      <c r="U19" s="629">
        <f>IF(M19="","",X19*SIN(RADIANS(W19)))</f>
        <v>-0.25918616482521389</v>
      </c>
      <c r="V19" s="636">
        <f>IF(M19="","",Y19)</f>
        <v>-3.7599113398926014</v>
      </c>
      <c r="W19" s="585">
        <f t="shared" si="224"/>
        <v>357.45300036774125</v>
      </c>
      <c r="X19" s="629">
        <f>IF(M19="","",R19)</f>
        <v>5.8324175905714535</v>
      </c>
      <c r="Y19" s="630">
        <f t="shared" si="223"/>
        <v>-3.7599113398926014</v>
      </c>
      <c r="Z19" s="632">
        <f t="shared" si="6"/>
        <v>0.87986395033504761</v>
      </c>
      <c r="AA19" s="629">
        <f t="shared" si="7"/>
        <v>-0.47496605546091281</v>
      </c>
      <c r="AB19" s="629">
        <f t="shared" si="8"/>
        <v>-1.5705892547257506E-2</v>
      </c>
      <c r="AC19" s="636">
        <f>IF(M19="","",SQRT(Z19^2+AA19^2+AB19^2))</f>
        <v>1</v>
      </c>
      <c r="AD19" s="637">
        <f>IF(M19="","",Z19*(1/SQRT(Z19^2+AA19^2+AB19^2)))</f>
        <v>0.87986395033504761</v>
      </c>
      <c r="AE19" s="629">
        <f>IF(M19="","",AA19*(1/SQRT(Z19^2+AA19^2+AB19^2)))</f>
        <v>-0.47496605546091281</v>
      </c>
      <c r="AF19" s="633">
        <f>IF(M19="","",AB19*(1/SQRT(Z19^2+AA19^2+AB19^2)))</f>
        <v>-1.5705892547257506E-2</v>
      </c>
      <c r="AG19" s="602">
        <f>IF(M19="","",DEGREES(ATAN2(-AF19,AE19)))</f>
        <v>-88.106067647401971</v>
      </c>
      <c r="AH19" s="603">
        <f>IF(M19="","",DEGREES(ACOS(AD19)))</f>
        <v>28.374043810447226</v>
      </c>
      <c r="AI19" s="585">
        <f>IF(M19="","",DEGREES(-ACOS(-AF19)))</f>
        <v>-89.100081643067455</v>
      </c>
      <c r="AJ19" s="586">
        <f>IF(M19="","",DEGREES(ATAN2(-AE19,AD19)))</f>
        <v>61.639045167485975</v>
      </c>
      <c r="AK19" s="635">
        <f>IF(M19="","",(COS(RADIANS((90-$Q$8)-W19))*AD19)+(-SIN(RADIANS((90-$Q$8)-W19))*AE19))</f>
        <v>0.9001017011232284</v>
      </c>
      <c r="AL19" s="629">
        <f>IF(M19="","",(SIN(RADIANS((90-$Q$8)-W19))*AD19)+(COS(RADIANS((90-$Q$8)-W19))*AE19))</f>
        <v>-0.43539666118881115</v>
      </c>
      <c r="AM19" s="634">
        <f>IF(M19="","",AF19)</f>
        <v>-1.5705892547257506E-2</v>
      </c>
      <c r="AN19" s="581">
        <f>IF(M19="","",DEGREES(ATAN2(-AM19,AL19)))</f>
        <v>-87.934087643172859</v>
      </c>
      <c r="AO19" s="582">
        <f t="shared" si="94"/>
        <v>25.828561383136581</v>
      </c>
      <c r="AP19" s="585">
        <f>IF(M19="","",DEGREES(ATAN2(AK19,AL19)))</f>
        <v>-25.813955200255254</v>
      </c>
      <c r="AQ19" s="586">
        <f t="shared" si="9"/>
        <v>0.39086557703561314</v>
      </c>
      <c r="AS19" s="52">
        <f t="shared" si="116"/>
        <v>357.45300036774125</v>
      </c>
      <c r="AT19" s="72">
        <f t="shared" si="10"/>
        <v>-3.7581425901479775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1.1679999999999999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0.26636691431645215</v>
      </c>
      <c r="C20" s="708">
        <v>5.8703776646301131</v>
      </c>
      <c r="D20" s="709">
        <v>-4.5382136872524814</v>
      </c>
      <c r="E20" s="710">
        <v>-0.84247124739708457</v>
      </c>
      <c r="F20" s="708">
        <v>0.53874130833748735</v>
      </c>
      <c r="G20" s="711">
        <v>1.1339743340131304E-7</v>
      </c>
      <c r="H20" s="710">
        <v>0.314</v>
      </c>
      <c r="I20" s="708">
        <v>0.52</v>
      </c>
      <c r="J20" s="570">
        <v>1.177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250</v>
      </c>
      <c r="M20" s="168">
        <f t="shared" si="1"/>
        <v>1.177</v>
      </c>
      <c r="N20" s="632">
        <f t="shared" si="2"/>
        <v>0.26636691431645215</v>
      </c>
      <c r="O20" s="629">
        <f t="shared" si="3"/>
        <v>5.8703776646301131</v>
      </c>
      <c r="P20" s="633">
        <f t="shared" si="4"/>
        <v>-4.5382136872524814</v>
      </c>
      <c r="Q20" s="585">
        <f t="shared" si="113"/>
        <v>87.402000375104734</v>
      </c>
      <c r="R20" s="629">
        <f>IF(M20="","",SQRT(N20^2+O20^2))</f>
        <v>5.8764177232758534</v>
      </c>
      <c r="S20" s="634">
        <f>IF(M20="","",P20)</f>
        <v>-4.5382136872524814</v>
      </c>
      <c r="T20" s="635">
        <f>IF(M20="","",X20*COS(RADIANS(W20)))</f>
        <v>5.8703776646301131</v>
      </c>
      <c r="U20" s="629">
        <f>IF(M20="","",X20*SIN(RADIANS(W20)))</f>
        <v>-0.26636691431644932</v>
      </c>
      <c r="V20" s="636">
        <f>IF(M20="","",Y20)</f>
        <v>-4.5382136872524814</v>
      </c>
      <c r="W20" s="585">
        <f t="shared" si="224"/>
        <v>357.40200037510476</v>
      </c>
      <c r="X20" s="629">
        <f>IF(M20="","",R20)</f>
        <v>5.8764177232758534</v>
      </c>
      <c r="Y20" s="630">
        <f t="shared" si="223"/>
        <v>-4.5382136872524814</v>
      </c>
      <c r="Z20" s="632">
        <f t="shared" si="6"/>
        <v>0.84247124739708457</v>
      </c>
      <c r="AA20" s="629">
        <f t="shared" si="7"/>
        <v>-0.53874130833748735</v>
      </c>
      <c r="AB20" s="629">
        <f t="shared" si="8"/>
        <v>-1.1339743340131304E-7</v>
      </c>
      <c r="AC20" s="636">
        <f>IF(M20="","",SQRT(Z20^2+AA20^2+AB20^2))</f>
        <v>1</v>
      </c>
      <c r="AD20" s="637">
        <f>IF(M20="","",Z20*(1/SQRT(Z20^2+AA20^2+AB20^2)))</f>
        <v>0.84247124739708457</v>
      </c>
      <c r="AE20" s="629">
        <f>IF(M20="","",AA20*(1/SQRT(Z20^2+AA20^2+AB20^2)))</f>
        <v>-0.53874130833748735</v>
      </c>
      <c r="AF20" s="633">
        <f>IF(M20="","",AB20*(1/SQRT(Z20^2+AA20^2+AB20^2)))</f>
        <v>-1.1339743340131304E-7</v>
      </c>
      <c r="AG20" s="602">
        <f>IF(M20="","",DEGREES(ATAN2(-AF20,AE20)))</f>
        <v>-89.999987940047959</v>
      </c>
      <c r="AH20" s="603">
        <f>IF(M20="","",DEGREES(ACOS(AD20)))</f>
        <v>32.597995293431737</v>
      </c>
      <c r="AI20" s="585">
        <f>IF(M20="","",DEGREES(-ACOS(-AF20)))</f>
        <v>-89.999993502805651</v>
      </c>
      <c r="AJ20" s="586">
        <f>IF(M20="","",DEGREES(ATAN2(-AE20,AD20)))</f>
        <v>57.402004706568839</v>
      </c>
      <c r="AK20" s="635">
        <f>IF(M20="","",(COS(RADIANS((90-$Q$8)-W20))*AD20)+(-SIN(RADIANS((90-$Q$8)-W20))*AE20))</f>
        <v>0.8660254415835853</v>
      </c>
      <c r="AL20" s="629">
        <f>IF(M20="","",(SIN(RADIANS((90-$Q$8)-W20))*AD20)+(COS(RADIANS((90-$Q$8)-W20))*AE20))</f>
        <v>-0.49999993452993879</v>
      </c>
      <c r="AM20" s="634">
        <f>IF(M20="","",AF20)</f>
        <v>-1.1339743340131304E-7</v>
      </c>
      <c r="AN20" s="581">
        <f>IF(M20="","",DEGREES(ATAN2(-AM20,AL20)))</f>
        <v>-89.999987005609626</v>
      </c>
      <c r="AO20" s="582">
        <f t="shared" si="94"/>
        <v>29.999995668536574</v>
      </c>
      <c r="AP20" s="585">
        <f>IF(M20="","",DEGREES(ATAN2(AK20,AL20)))</f>
        <v>-29.999995668535924</v>
      </c>
      <c r="AQ20" s="586">
        <f t="shared" si="9"/>
        <v>0.38793903054567208</v>
      </c>
      <c r="AS20" s="52">
        <f t="shared" si="116"/>
        <v>357.40200037510476</v>
      </c>
      <c r="AT20" s="72">
        <f t="shared" si="10"/>
        <v>-4.5364095208463038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1.177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0.99194431771548164</v>
      </c>
      <c r="C21" s="708">
        <v>1.551155813975396</v>
      </c>
      <c r="D21" s="709">
        <v>-0.28690086529300984</v>
      </c>
      <c r="E21" s="710">
        <v>-0.1394382046340516</v>
      </c>
      <c r="F21" s="708">
        <v>-0.21804647737738739</v>
      </c>
      <c r="G21" s="711">
        <v>0.96592583607218263</v>
      </c>
      <c r="H21" s="710">
        <v>0.25700000000000001</v>
      </c>
      <c r="I21" s="708">
        <v>0.41499999999999992</v>
      </c>
      <c r="J21" s="570">
        <v>1.2070000000000001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1.2070000000000001</v>
      </c>
      <c r="N21" s="632">
        <f t="shared" si="2"/>
        <v>0.99194431771548164</v>
      </c>
      <c r="O21" s="629">
        <f t="shared" si="3"/>
        <v>1.551155813975396</v>
      </c>
      <c r="P21" s="633">
        <f t="shared" si="4"/>
        <v>-0.28690086529300984</v>
      </c>
      <c r="Q21" s="585">
        <f t="shared" si="113"/>
        <v>57.401604706625967</v>
      </c>
      <c r="R21" s="629">
        <f>IF(M21="","",SQRT(N21^2+O21^2))</f>
        <v>1.8412055530759477</v>
      </c>
      <c r="S21" s="634">
        <f>IF(M21="","",P21)</f>
        <v>-0.28690086529300984</v>
      </c>
      <c r="T21" s="635">
        <f>IF(M21="","",X21*COS(RADIANS(W21)))</f>
        <v>1.5511558139753956</v>
      </c>
      <c r="U21" s="629">
        <f>IF(M21="","",X21*SIN(RADIANS(W21)))</f>
        <v>-0.99194431771548275</v>
      </c>
      <c r="V21" s="636">
        <f>IF(M21="","",Y21)</f>
        <v>-0.28690086529300984</v>
      </c>
      <c r="W21" s="585">
        <f t="shared" si="224"/>
        <v>327.40160470662596</v>
      </c>
      <c r="X21" s="629">
        <f>IF(M21="","",R21)</f>
        <v>1.8412055530759477</v>
      </c>
      <c r="Y21" s="630">
        <f t="shared" si="223"/>
        <v>-0.28690086529300984</v>
      </c>
      <c r="Z21" s="632">
        <f t="shared" si="6"/>
        <v>0.1394382046340516</v>
      </c>
      <c r="AA21" s="629">
        <f t="shared" si="7"/>
        <v>0.21804647737738739</v>
      </c>
      <c r="AB21" s="629">
        <f t="shared" si="8"/>
        <v>-0.96592583607218263</v>
      </c>
      <c r="AC21" s="636">
        <f>IF(M21="","",SQRT(Z21^2+AA21^2+AB21^2))</f>
        <v>1</v>
      </c>
      <c r="AD21" s="637">
        <f>IF(M21="","",Z21*(1/SQRT(Z21^2+AA21^2+AB21^2)))</f>
        <v>0.1394382046340516</v>
      </c>
      <c r="AE21" s="629">
        <f>IF(M21="","",AA21*(1/SQRT(Z21^2+AA21^2+AB21^2)))</f>
        <v>0.21804647737738739</v>
      </c>
      <c r="AF21" s="633">
        <f>IF(M21="","",AB21*(1/SQRT(Z21^2+AA21^2+AB21^2)))</f>
        <v>-0.96592583607218263</v>
      </c>
      <c r="AG21" s="602">
        <f>IF(M21="","",DEGREES(ATAN2(-AF21,AE21)))</f>
        <v>12.720641469490362</v>
      </c>
      <c r="AH21" s="603">
        <f>IF(M21="","",DEGREES(ACOS(AD21)))</f>
        <v>81.984661115443032</v>
      </c>
      <c r="AI21" s="585">
        <f>IF(M21="","",DEGREES(-ACOS(-AF21)))</f>
        <v>-14.999997834273739</v>
      </c>
      <c r="AJ21" s="586">
        <f>IF(M21="","",DEGREES(ATAN2(-AE21,AD21)))</f>
        <v>147.40155450014973</v>
      </c>
      <c r="AK21" s="635">
        <f>IF(M21="","",(COS(RADIANS((90-$Q$8)-W21))*AD21)+(-SIN(RADIANS((90-$Q$8)-W21))*AE21))</f>
        <v>2.2679489664056973E-7</v>
      </c>
      <c r="AL21" s="629">
        <f>IF(M21="","",(SIN(RADIANS((90-$Q$8)-W21))*AD21)+(COS(RADIANS((90-$Q$8)-W21))*AE21))</f>
        <v>0.25881900859133922</v>
      </c>
      <c r="AM21" s="634">
        <f>IF(M21="","",AF21)</f>
        <v>-0.96592583607218263</v>
      </c>
      <c r="AN21" s="581">
        <f>IF(M21="","",DEGREES(ATAN2(-AM21,AL21)))</f>
        <v>14.999997834268262</v>
      </c>
      <c r="AO21" s="582">
        <f>IF(ROUND(IF(M21="",0,DEGREES(ACOS(AK21))),4)=90,0,IF(M21="","",DEGREES(ACOS(AK21))))</f>
        <v>0</v>
      </c>
      <c r="AP21" s="585">
        <f>IF(M21="","",DEGREES(ATAN2(AK21,AL21)))</f>
        <v>89.999949793523811</v>
      </c>
      <c r="AQ21" s="586">
        <f t="shared" si="9"/>
        <v>1.237977938445435</v>
      </c>
      <c r="AS21" s="52">
        <f t="shared" si="116"/>
        <v>327.40160470662596</v>
      </c>
      <c r="AT21" s="72">
        <f t="shared" si="10"/>
        <v>-0.26426309078372234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1.2070000000000001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1.107</v>
      </c>
      <c r="II21" s="734" cm="1">
        <f t="array" ref="II21">IFERROR(ROUND(VALUE(IF($IH21&lt;1,$IH21+LARGE((IF($M$9:$M$150="",0,$M$9:$M$150)-MOD(IF($M$9:$M$150="",0,$M$9:$M$150),1)),1),$IH21)),4),"")</f>
        <v>1.107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32.59839529337404</v>
      </c>
      <c r="IM21" s="759">
        <v>4.1166023273474101E-2</v>
      </c>
      <c r="IN21" s="5">
        <f t="shared" si="226"/>
        <v>0.5</v>
      </c>
      <c r="IO21" s="771">
        <v>250</v>
      </c>
      <c r="IP21" s="9">
        <f t="shared" si="227"/>
        <v>-1.8533055895696582</v>
      </c>
      <c r="IQ21" s="5">
        <f t="shared" si="228"/>
        <v>-0.28590086227700057</v>
      </c>
      <c r="IR21" s="5">
        <f t="shared" si="71"/>
        <v>0.314</v>
      </c>
      <c r="IS21" s="5">
        <f t="shared" si="229"/>
        <v>0.30330071252667312</v>
      </c>
      <c r="IT21" s="727">
        <f t="shared" si="230"/>
        <v>-14.999997834268219</v>
      </c>
      <c r="IU21" s="9">
        <f t="shared" si="231"/>
        <v>-1.8412055530759477</v>
      </c>
      <c r="IV21" s="5">
        <f t="shared" si="232"/>
        <v>-0.28690086529300984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-14.999997834268262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0.99569039064979703</v>
      </c>
      <c r="C22" s="708">
        <v>2.3924872231980676</v>
      </c>
      <c r="D22" s="709">
        <v>-8.7700264503997039E-2</v>
      </c>
      <c r="E22" s="710">
        <v>-6.0106638933604316E-2</v>
      </c>
      <c r="F22" s="708">
        <v>-0.1444261984552368</v>
      </c>
      <c r="G22" s="711">
        <v>0.98768834414296591</v>
      </c>
      <c r="H22" s="710">
        <v>0.25700000000000001</v>
      </c>
      <c r="I22" s="708">
        <v>0.41499999999999992</v>
      </c>
      <c r="J22" s="570">
        <v>1.2110000000000001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CPS-32193r1</v>
      </c>
      <c r="L22" s="1313" t="str">
        <f>IF($L21=$JH$22,$JH$30,IF($L21=$JI$22,$JI$30,""))</f>
        <v/>
      </c>
      <c r="M22" s="168">
        <f t="shared" si="1"/>
        <v>1.2110000000000001</v>
      </c>
      <c r="N22" s="632">
        <f t="shared" si="2"/>
        <v>0.99569039064979703</v>
      </c>
      <c r="O22" s="629">
        <f t="shared" si="3"/>
        <v>2.3924872231980676</v>
      </c>
      <c r="P22" s="633">
        <f t="shared" si="4"/>
        <v>-8.7700264503997039E-2</v>
      </c>
      <c r="Q22" s="585">
        <f t="shared" si="113"/>
        <v>67.404203262429405</v>
      </c>
      <c r="R22" s="629">
        <f t="shared" si="79"/>
        <v>2.5914078156859728</v>
      </c>
      <c r="S22" s="634">
        <f t="shared" si="80"/>
        <v>-8.7700264503997039E-2</v>
      </c>
      <c r="T22" s="635">
        <f t="shared" si="81"/>
        <v>2.3924872231980676</v>
      </c>
      <c r="U22" s="629">
        <f t="shared" si="82"/>
        <v>-0.99569039064979636</v>
      </c>
      <c r="V22" s="636">
        <f t="shared" si="114"/>
        <v>-8.7700264503997039E-2</v>
      </c>
      <c r="W22" s="585">
        <f t="shared" si="224"/>
        <v>337.40420326242941</v>
      </c>
      <c r="X22" s="629">
        <f t="shared" si="83"/>
        <v>2.5914078156859728</v>
      </c>
      <c r="Y22" s="630">
        <f t="shared" si="223"/>
        <v>-8.7700264503997039E-2</v>
      </c>
      <c r="Z22" s="632">
        <f t="shared" si="6"/>
        <v>6.0106638933604316E-2</v>
      </c>
      <c r="AA22" s="629">
        <f t="shared" si="7"/>
        <v>0.1444261984552368</v>
      </c>
      <c r="AB22" s="629">
        <f t="shared" si="8"/>
        <v>-0.98768834414296591</v>
      </c>
      <c r="AC22" s="636">
        <f t="shared" si="84"/>
        <v>1</v>
      </c>
      <c r="AD22" s="637">
        <f t="shared" si="115"/>
        <v>6.0106638933604316E-2</v>
      </c>
      <c r="AE22" s="629">
        <f t="shared" si="85"/>
        <v>0.1444261984552368</v>
      </c>
      <c r="AF22" s="633">
        <f t="shared" si="86"/>
        <v>-0.98768834414296591</v>
      </c>
      <c r="AG22" s="602">
        <f t="shared" si="87"/>
        <v>8.3192007763079374</v>
      </c>
      <c r="AH22" s="603">
        <f t="shared" si="88"/>
        <v>86.554066224279651</v>
      </c>
      <c r="AI22" s="585">
        <f t="shared" si="89"/>
        <v>-8.9999987005702629</v>
      </c>
      <c r="AJ22" s="586">
        <f t="shared" si="90"/>
        <v>157.40412019638472</v>
      </c>
      <c r="AK22" s="635">
        <f t="shared" si="211"/>
        <v>2.267948967932254E-7</v>
      </c>
      <c r="AL22" s="629">
        <f t="shared" si="91"/>
        <v>0.1564344426399592</v>
      </c>
      <c r="AM22" s="634">
        <f t="shared" si="92"/>
        <v>-0.98768834414296591</v>
      </c>
      <c r="AN22" s="581">
        <f t="shared" si="93"/>
        <v>8.9999987005609547</v>
      </c>
      <c r="AO22" s="582">
        <f t="shared" si="94"/>
        <v>0</v>
      </c>
      <c r="AP22" s="585">
        <f t="shared" si="95"/>
        <v>89.999916933955333</v>
      </c>
      <c r="AQ22" s="586">
        <f t="shared" si="9"/>
        <v>0.87965602950992894</v>
      </c>
      <c r="AS22" s="52">
        <f t="shared" si="116"/>
        <v>337.40420326242941</v>
      </c>
      <c r="AT22" s="72">
        <f t="shared" si="10"/>
        <v>-7.2008738991795232E-2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1.111</v>
      </c>
      <c r="II22" s="734" cm="1">
        <f t="array" ref="II22">IFERROR(ROUND(VALUE(IF($IH22&lt;1,$IH22+LARGE((IF($M$9:$M$150="",0,$M$9:$M$150)-MOD(IF($M$9:$M$150="",0,$M$9:$M$150),1)),1),$IH22)),4),"")</f>
        <v>1.111</v>
      </c>
      <c r="IJ22" s="533">
        <f t="shared" si="112"/>
        <v>1613</v>
      </c>
      <c r="IK22" s="533" t="str">
        <f t="shared" si="66"/>
        <v>CPS-32193r1</v>
      </c>
      <c r="IL22" s="727">
        <f t="shared" si="225"/>
        <v>22.595796737570595</v>
      </c>
      <c r="IM22" s="759">
        <v>3.3667179595024299E-2</v>
      </c>
      <c r="IN22" s="5">
        <f t="shared" si="226"/>
        <v>0.54</v>
      </c>
      <c r="IO22" s="771">
        <v>270</v>
      </c>
      <c r="IP22" s="9">
        <f t="shared" si="227"/>
        <v>-2.5987078377028388</v>
      </c>
      <c r="IQ22" s="5">
        <f t="shared" si="228"/>
        <v>-9.890029828329952E-2</v>
      </c>
      <c r="IR22" s="5">
        <f t="shared" si="71"/>
        <v>0.314</v>
      </c>
      <c r="IS22" s="5">
        <f t="shared" si="229"/>
        <v>0.30330071252667312</v>
      </c>
      <c r="IT22" s="727">
        <f t="shared" si="230"/>
        <v>-8.9999987005609121</v>
      </c>
      <c r="IU22" s="9">
        <f t="shared" si="231"/>
        <v>-2.5914078156859728</v>
      </c>
      <c r="IV22" s="5">
        <f t="shared" si="232"/>
        <v>-8.7700264503997039E-2</v>
      </c>
      <c r="IW22" s="5">
        <f t="shared" si="76"/>
        <v>0.25700000000000001</v>
      </c>
      <c r="IX22" s="5">
        <f t="shared" si="233"/>
        <v>0.25700000000000001</v>
      </c>
      <c r="IY22" s="762">
        <f t="shared" si="234"/>
        <v>-8.9999987005609547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2.1331369222301459</v>
      </c>
      <c r="C23" s="708">
        <v>3.5756672663461577</v>
      </c>
      <c r="D23" s="709">
        <v>-0.46940141571466998</v>
      </c>
      <c r="E23" s="710">
        <v>-0.72730298762745149</v>
      </c>
      <c r="F23" s="708">
        <v>0.66247696322665317</v>
      </c>
      <c r="G23" s="711">
        <v>0.17931714190833806</v>
      </c>
      <c r="H23" s="710">
        <v>0.314</v>
      </c>
      <c r="I23" s="708">
        <v>0.52</v>
      </c>
      <c r="J23" s="570">
        <v>2.1240000000000001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2.1240000000000001</v>
      </c>
      <c r="N23" s="632">
        <f t="shared" si="2"/>
        <v>2.1331369222301459</v>
      </c>
      <c r="O23" s="629">
        <f t="shared" si="3"/>
        <v>3.5756672663461577</v>
      </c>
      <c r="P23" s="633">
        <f t="shared" si="4"/>
        <v>-0.46940141571466998</v>
      </c>
      <c r="Q23" s="585">
        <f t="shared" si="113"/>
        <v>59.180952472150814</v>
      </c>
      <c r="R23" s="629">
        <f t="shared" si="79"/>
        <v>4.1636125574554725</v>
      </c>
      <c r="S23" s="634">
        <f t="shared" si="80"/>
        <v>-0.46940141571466998</v>
      </c>
      <c r="T23" s="635">
        <f t="shared" si="81"/>
        <v>3.5756672663461573</v>
      </c>
      <c r="U23" s="629">
        <f t="shared" si="82"/>
        <v>-2.1331369222301459</v>
      </c>
      <c r="V23" s="636">
        <f t="shared" si="114"/>
        <v>-0.46940141571466998</v>
      </c>
      <c r="W23" s="585">
        <f t="shared" si="224"/>
        <v>329.18095247215081</v>
      </c>
      <c r="X23" s="629">
        <f t="shared" si="83"/>
        <v>4.1636125574554725</v>
      </c>
      <c r="Y23" s="630">
        <f t="shared" si="223"/>
        <v>-0.46940141571466998</v>
      </c>
      <c r="Z23" s="632">
        <f t="shared" si="6"/>
        <v>0.72730298762745149</v>
      </c>
      <c r="AA23" s="629">
        <f t="shared" si="7"/>
        <v>-0.66247696322665317</v>
      </c>
      <c r="AB23" s="629">
        <f t="shared" si="8"/>
        <v>-0.17931714190833806</v>
      </c>
      <c r="AC23" s="636">
        <f t="shared" si="84"/>
        <v>1</v>
      </c>
      <c r="AD23" s="637">
        <f t="shared" si="115"/>
        <v>0.72730298762745149</v>
      </c>
      <c r="AE23" s="629">
        <f t="shared" si="85"/>
        <v>-0.66247696322665317</v>
      </c>
      <c r="AF23" s="633">
        <f t="shared" si="86"/>
        <v>-0.17931714190833806</v>
      </c>
      <c r="AG23" s="602">
        <f t="shared" si="87"/>
        <v>-74.854288282817606</v>
      </c>
      <c r="AH23" s="603">
        <f t="shared" si="88"/>
        <v>43.339232060268827</v>
      </c>
      <c r="AI23" s="585">
        <f t="shared" si="89"/>
        <v>-79.670012211472965</v>
      </c>
      <c r="AJ23" s="586">
        <f t="shared" si="90"/>
        <v>47.670615127610745</v>
      </c>
      <c r="AK23" s="635">
        <f t="shared" si="211"/>
        <v>0.96400601654776896</v>
      </c>
      <c r="AL23" s="629">
        <f t="shared" si="91"/>
        <v>-0.19631037333143603</v>
      </c>
      <c r="AM23" s="634">
        <f t="shared" si="92"/>
        <v>-0.17931714190833806</v>
      </c>
      <c r="AN23" s="581">
        <f t="shared" si="93"/>
        <v>-47.590270925091396</v>
      </c>
      <c r="AO23" s="582">
        <f t="shared" si="94"/>
        <v>15.419274312984417</v>
      </c>
      <c r="AP23" s="585">
        <f t="shared" si="95"/>
        <v>-11.510337344540078</v>
      </c>
      <c r="AQ23" s="586">
        <f t="shared" si="9"/>
        <v>0.54751906120460903</v>
      </c>
      <c r="AS23" s="52">
        <f t="shared" si="116"/>
        <v>329.18095247215081</v>
      </c>
      <c r="AT23" s="72">
        <f t="shared" si="10"/>
        <v>-0.44799929937588584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2.1240000000000001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14</v>
      </c>
      <c r="JC23" s="199"/>
      <c r="JD23" s="199"/>
      <c r="JE23" s="871"/>
      <c r="JF23" s="796" t="str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>
        <v>12</v>
      </c>
      <c r="JH23" s="800" t="str" cm="1">
        <f t="array" ref="JH23:JI24">IF(_xlfn.ANCHORARRAY($JF$23)="","",_xlfn.MINIFS($IO$9:$IO$150,$IK$9:$IK$150,_xlfn.ANCHORARRAY($JA$23),$IE$9:$IE$150,_xlfn.ANCHORARRAY($JH$22),$II$9:$II$150,"&lt;&gt;"&amp;"",$IF$9:$IF$150,"&lt;&gt;"&amp;"Gage"))</f>
        <v/>
      </c>
      <c r="JI23" s="801">
        <v>0</v>
      </c>
    </row>
    <row r="24" spans="1:269" ht="15" customHeight="1" x14ac:dyDescent="0.25">
      <c r="A24" s="79"/>
      <c r="B24" s="707">
        <v>2.4717276468788216</v>
      </c>
      <c r="C24" s="708">
        <v>4.0542633523083804</v>
      </c>
      <c r="D24" s="709">
        <v>-0.98370296684814851</v>
      </c>
      <c r="E24" s="710">
        <v>-0.70034198006781234</v>
      </c>
      <c r="F24" s="708">
        <v>0.70048019793991567</v>
      </c>
      <c r="G24" s="711">
        <v>0.13729021541520195</v>
      </c>
      <c r="H24" s="710">
        <v>0.314</v>
      </c>
      <c r="I24" s="708">
        <v>0.52</v>
      </c>
      <c r="J24" s="570">
        <v>2.133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2.133</v>
      </c>
      <c r="N24" s="632">
        <f t="shared" si="2"/>
        <v>2.4717276468788216</v>
      </c>
      <c r="O24" s="629">
        <f t="shared" si="3"/>
        <v>4.0542633523083804</v>
      </c>
      <c r="P24" s="633">
        <f t="shared" si="4"/>
        <v>-0.98370296684814851</v>
      </c>
      <c r="Q24" s="585">
        <f t="shared" si="113"/>
        <v>58.630952551560981</v>
      </c>
      <c r="R24" s="629">
        <f t="shared" si="79"/>
        <v>4.748314320915993</v>
      </c>
      <c r="S24" s="634">
        <f t="shared" si="80"/>
        <v>-0.98370296684814851</v>
      </c>
      <c r="T24" s="635">
        <f t="shared" si="81"/>
        <v>4.0542633523083822</v>
      </c>
      <c r="U24" s="629">
        <f t="shared" si="82"/>
        <v>-2.4717276468788194</v>
      </c>
      <c r="V24" s="636">
        <f t="shared" si="114"/>
        <v>-0.98370296684814851</v>
      </c>
      <c r="W24" s="585">
        <f t="shared" si="224"/>
        <v>328.63095255156099</v>
      </c>
      <c r="X24" s="629">
        <f t="shared" si="83"/>
        <v>4.748314320915993</v>
      </c>
      <c r="Y24" s="630">
        <f t="shared" si="223"/>
        <v>-0.98370296684814851</v>
      </c>
      <c r="Z24" s="632">
        <f t="shared" si="6"/>
        <v>0.70034198006781234</v>
      </c>
      <c r="AA24" s="629">
        <f t="shared" si="7"/>
        <v>-0.70048019793991567</v>
      </c>
      <c r="AB24" s="629">
        <f t="shared" si="8"/>
        <v>-0.13729021541520195</v>
      </c>
      <c r="AC24" s="636">
        <f t="shared" si="84"/>
        <v>1</v>
      </c>
      <c r="AD24" s="637">
        <f t="shared" si="115"/>
        <v>0.70034198006781234</v>
      </c>
      <c r="AE24" s="629">
        <f t="shared" si="85"/>
        <v>-0.70048019793991567</v>
      </c>
      <c r="AF24" s="633">
        <f t="shared" si="86"/>
        <v>-0.13729021541520195</v>
      </c>
      <c r="AG24" s="602">
        <f t="shared" si="87"/>
        <v>-78.910911930018244</v>
      </c>
      <c r="AH24" s="603">
        <f t="shared" si="88"/>
        <v>45.545552447485818</v>
      </c>
      <c r="AI24" s="585">
        <f t="shared" si="89"/>
        <v>-82.108927120905207</v>
      </c>
      <c r="AJ24" s="586">
        <f t="shared" si="90"/>
        <v>44.994346676670723</v>
      </c>
      <c r="AK24" s="635">
        <f>IF(M24="","",(COS(RADIANS((90-$Q$8)-W24))*AD24)+(-SIN(RADIANS((90-$Q$8)-W24))*AE24))</f>
        <v>0.96260836715828746</v>
      </c>
      <c r="AL24" s="629">
        <f t="shared" si="91"/>
        <v>-0.23353057236281327</v>
      </c>
      <c r="AM24" s="634">
        <f t="shared" si="92"/>
        <v>-0.13729021541520195</v>
      </c>
      <c r="AN24" s="581">
        <f t="shared" si="93"/>
        <v>-59.549168628136336</v>
      </c>
      <c r="AO24" s="582">
        <f t="shared" si="94"/>
        <v>15.717644703697786</v>
      </c>
      <c r="AP24" s="585">
        <f t="shared" si="95"/>
        <v>-13.636605874890288</v>
      </c>
      <c r="AQ24" s="586">
        <f t="shared" si="9"/>
        <v>0.4801015943171254</v>
      </c>
      <c r="AS24" s="52">
        <f t="shared" si="116"/>
        <v>328.63095255156099</v>
      </c>
      <c r="AT24" s="72">
        <f t="shared" si="10"/>
        <v>-0.96191890612006592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2.133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9</v>
      </c>
      <c r="JC24" s="5"/>
      <c r="JD24" s="5"/>
      <c r="JE24" s="10"/>
      <c r="JF24" s="247">
        <v>9</v>
      </c>
      <c r="JG24" s="803" t="str">
        <v/>
      </c>
      <c r="JH24" s="787">
        <v>250</v>
      </c>
      <c r="JI24" s="803" t="str">
        <v/>
      </c>
    </row>
    <row r="25" spans="1:269" ht="15" customHeight="1" x14ac:dyDescent="0.25">
      <c r="A25" s="79"/>
      <c r="B25" s="707">
        <v>2.7465014176993359</v>
      </c>
      <c r="C25" s="708">
        <v>4.4218867655705507</v>
      </c>
      <c r="D25" s="709">
        <v>-1.6148048702514888</v>
      </c>
      <c r="E25" s="710">
        <v>-0.6690868834843976</v>
      </c>
      <c r="F25" s="708">
        <v>0.73595518802928805</v>
      </c>
      <c r="G25" s="711">
        <v>0.10340552964861996</v>
      </c>
      <c r="H25" s="710">
        <v>0.314</v>
      </c>
      <c r="I25" s="708">
        <v>0.52</v>
      </c>
      <c r="J25" s="570">
        <v>2.1419999999999999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2.1419999999999999</v>
      </c>
      <c r="N25" s="632">
        <f t="shared" si="2"/>
        <v>2.7465014176993359</v>
      </c>
      <c r="O25" s="629">
        <f t="shared" si="3"/>
        <v>4.4218867655705507</v>
      </c>
      <c r="P25" s="633">
        <f t="shared" si="4"/>
        <v>-1.6148048702514888</v>
      </c>
      <c r="Q25" s="585">
        <f t="shared" si="113"/>
        <v>58.154952620286871</v>
      </c>
      <c r="R25" s="629">
        <f>IF(M25="","",SQRT(N25^2+O25^2))</f>
        <v>5.2054156995337513</v>
      </c>
      <c r="S25" s="634">
        <f>IF(M25="","",P25)</f>
        <v>-1.6148048702514888</v>
      </c>
      <c r="T25" s="635">
        <f>IF(M25="","",X25*COS(RADIANS(W25)))</f>
        <v>4.4218867655705498</v>
      </c>
      <c r="U25" s="629">
        <f>IF(M25="","",X25*SIN(RADIANS(W25)))</f>
        <v>-2.7465014176993372</v>
      </c>
      <c r="V25" s="636">
        <f>IF(M25="","",Y25)</f>
        <v>-1.6148048702514888</v>
      </c>
      <c r="W25" s="585">
        <f t="shared" si="224"/>
        <v>328.15495262028685</v>
      </c>
      <c r="X25" s="629">
        <f>IF(M25="","",R25)</f>
        <v>5.2054156995337513</v>
      </c>
      <c r="Y25" s="630">
        <f t="shared" si="223"/>
        <v>-1.6148048702514888</v>
      </c>
      <c r="Z25" s="632">
        <f t="shared" si="6"/>
        <v>0.6690868834843976</v>
      </c>
      <c r="AA25" s="629">
        <f t="shared" si="7"/>
        <v>-0.73595518802928805</v>
      </c>
      <c r="AB25" s="629">
        <f t="shared" si="8"/>
        <v>-0.10340552964861996</v>
      </c>
      <c r="AC25" s="636">
        <f>IF(M25="","",SQRT(Z25^2+AA25^2+AB25^2))</f>
        <v>1</v>
      </c>
      <c r="AD25" s="637">
        <f>IF(M25="","",Z25*(1/SQRT(Z25^2+AA25^2+AB25^2)))</f>
        <v>0.6690868834843976</v>
      </c>
      <c r="AE25" s="629">
        <f>IF(M25="","",AA25*(1/SQRT(Z25^2+AA25^2+AB25^2)))</f>
        <v>-0.73595518802928805</v>
      </c>
      <c r="AF25" s="633">
        <f>IF(M25="","",AB25*(1/SQRT(Z25^2+AA25^2+AB25^2)))</f>
        <v>-0.10340552964861996</v>
      </c>
      <c r="AG25" s="602">
        <f>IF(M25="","",DEGREES(ATAN2(-AF25,AE25)))</f>
        <v>-82.002002275934672</v>
      </c>
      <c r="AH25" s="603">
        <f>IF(M25="","",DEGREES(ACOS(AD25)))</f>
        <v>48.003370903946028</v>
      </c>
      <c r="AI25" s="585">
        <f>IF(M25="","",DEGREES(-ACOS(-AF25)))</f>
        <v>-84.064689931635741</v>
      </c>
      <c r="AJ25" s="586">
        <f>IF(M25="","",DEGREES(ATAN2(-AE25,AD25)))</f>
        <v>42.27525383950433</v>
      </c>
      <c r="AK25" s="635">
        <f>IF(M25="","",(COS(RADIANS((90-$Q$8)-W25))*AD25)+(-SIN(RADIANS((90-$Q$8)-W25))*AE25))</f>
        <v>0.95668217292005631</v>
      </c>
      <c r="AL25" s="629">
        <f>IF(M25="","",(SIN(RADIANS((90-$Q$8)-W25))*AD25)+(COS(RADIANS((90-$Q$8)-W25))*AE25))</f>
        <v>-0.27215164238903261</v>
      </c>
      <c r="AM25" s="634">
        <f>IF(M25="","",AF25)</f>
        <v>-0.10340552964861996</v>
      </c>
      <c r="AN25" s="581">
        <f>IF(M25="","",DEGREES(ATAN2(-AM25,AL25)))</f>
        <v>-69.195433970234063</v>
      </c>
      <c r="AO25" s="582">
        <f>IF(ROUND(IF(M25="",0,DEGREES(ACOS(AK25))),4)=90,0,IF(M25="","",DEGREES(ACOS(AK25))))</f>
        <v>16.925881162980669</v>
      </c>
      <c r="AP25" s="585">
        <f>IF(M25="","",DEGREES(ATAN2(AK25,AL25)))</f>
        <v>-15.879698780782537</v>
      </c>
      <c r="AQ25" s="586">
        <f t="shared" si="9"/>
        <v>0.43794431920982646</v>
      </c>
      <c r="AS25" s="52">
        <f t="shared" si="116"/>
        <v>328.15495262028685</v>
      </c>
      <c r="AT25" s="72">
        <f t="shared" si="10"/>
        <v>-1.592690254015577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2.1419999999999999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2.950698338874898</v>
      </c>
      <c r="C26" s="708">
        <v>4.6839890031476505</v>
      </c>
      <c r="D26" s="709">
        <v>-2.3208069995539105</v>
      </c>
      <c r="E26" s="710">
        <v>-0.64288802167156711</v>
      </c>
      <c r="F26" s="708">
        <v>0.76317452976168709</v>
      </c>
      <c r="G26" s="711">
        <v>6.5265831138863528E-2</v>
      </c>
      <c r="H26" s="710">
        <v>0.314</v>
      </c>
      <c r="I26" s="708">
        <v>0.52</v>
      </c>
      <c r="J26" s="570">
        <v>2.1509999999999998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2.1509999999999998</v>
      </c>
      <c r="N26" s="632">
        <f t="shared" si="2"/>
        <v>2.950698338874898</v>
      </c>
      <c r="O26" s="629">
        <f t="shared" si="3"/>
        <v>4.6839890031476505</v>
      </c>
      <c r="P26" s="633">
        <f t="shared" si="4"/>
        <v>-2.3208069995539105</v>
      </c>
      <c r="Q26" s="585">
        <f t="shared" si="113"/>
        <v>57.790952672841968</v>
      </c>
      <c r="R26" s="629">
        <f>IF(M26="","",SQRT(N26^2+O26^2))</f>
        <v>5.5359166963247564</v>
      </c>
      <c r="S26" s="634">
        <f>IF(M26="","",P26)</f>
        <v>-2.3208069995539105</v>
      </c>
      <c r="T26" s="635">
        <f>IF(M26="","",X26*COS(RADIANS(W26)))</f>
        <v>4.6839890031476505</v>
      </c>
      <c r="U26" s="629">
        <f>IF(M26="","",X26*SIN(RADIANS(W26)))</f>
        <v>-2.950698338874898</v>
      </c>
      <c r="V26" s="636">
        <f>IF(M26="","",Y26)</f>
        <v>-2.3208069995539105</v>
      </c>
      <c r="W26" s="585">
        <f t="shared" si="224"/>
        <v>327.79095267284197</v>
      </c>
      <c r="X26" s="629">
        <f>IF(M26="","",R26)</f>
        <v>5.5359166963247564</v>
      </c>
      <c r="Y26" s="630">
        <f t="shared" si="223"/>
        <v>-2.3208069995539105</v>
      </c>
      <c r="Z26" s="632">
        <f t="shared" si="6"/>
        <v>0.64288802167156711</v>
      </c>
      <c r="AA26" s="629">
        <f t="shared" si="7"/>
        <v>-0.76317452976168709</v>
      </c>
      <c r="AB26" s="629">
        <f t="shared" si="8"/>
        <v>-6.5265831138863528E-2</v>
      </c>
      <c r="AC26" s="636">
        <f>IF(M26="","",SQRT(Z26^2+AA26^2+AB26^2))</f>
        <v>1</v>
      </c>
      <c r="AD26" s="637">
        <f>IF(M26="","",Z26*(1/SQRT(Z26^2+AA26^2+AB26^2)))</f>
        <v>0.64288802167156711</v>
      </c>
      <c r="AE26" s="629">
        <f>IF(M26="","",AA26*(1/SQRT(Z26^2+AA26^2+AB26^2)))</f>
        <v>-0.76317452976168709</v>
      </c>
      <c r="AF26" s="633">
        <f>IF(M26="","",AB26*(1/SQRT(Z26^2+AA26^2+AB26^2)))</f>
        <v>-6.5265831138863528E-2</v>
      </c>
      <c r="AG26" s="602">
        <f>IF(M26="","",DEGREES(ATAN2(-AF26,AE26)))</f>
        <v>-85.112021989622164</v>
      </c>
      <c r="AH26" s="603">
        <f>IF(M26="","",DEGREES(ACOS(AD26)))</f>
        <v>49.992489339948882</v>
      </c>
      <c r="AI26" s="585">
        <f>IF(M26="","",DEGREES(-ACOS(-AF26)))</f>
        <v>-86.257883444779381</v>
      </c>
      <c r="AJ26" s="586">
        <f>IF(M26="","",DEGREES(ATAN2(-AE26,AD26)))</f>
        <v>40.110338601692497</v>
      </c>
      <c r="AK26" s="635">
        <f>IF(M26="","",(COS(RADIANS((90-$Q$8)-W26))*AD26)+(-SIN(RADIANS((90-$Q$8)-W26))*AE26))</f>
        <v>0.9507329191746301</v>
      </c>
      <c r="AL26" s="629">
        <f>IF(M26="","",(SIN(RADIANS((90-$Q$8)-W26))*AD26)+(COS(RADIANS((90-$Q$8)-W26))*AE26))</f>
        <v>-0.30306317440995634</v>
      </c>
      <c r="AM26" s="634">
        <f>IF(M26="","",AF26)</f>
        <v>-6.5265831138863528E-2</v>
      </c>
      <c r="AN26" s="581">
        <f>IF(M26="","",DEGREES(ATAN2(-AM26,AL26)))</f>
        <v>-77.846741132511198</v>
      </c>
      <c r="AO26" s="582">
        <f t="shared" si="94"/>
        <v>18.05990276077128</v>
      </c>
      <c r="AP26" s="585">
        <f>IF(M26="","",DEGREES(ATAN2(AK26,AL26)))</f>
        <v>-17.680614071149478</v>
      </c>
      <c r="AQ26" s="586">
        <f t="shared" si="9"/>
        <v>0.41179943675535391</v>
      </c>
      <c r="AS26" s="52">
        <f t="shared" si="116"/>
        <v>327.79095267284197</v>
      </c>
      <c r="AT26" s="72">
        <f t="shared" si="10"/>
        <v>-2.2984396055767173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2.1509999999999998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3.0821779543478049</v>
      </c>
      <c r="C27" s="708">
        <v>4.8481186194247696</v>
      </c>
      <c r="D27" s="709">
        <v>-3.0721092654815445</v>
      </c>
      <c r="E27" s="710">
        <v>-0.58353060522474653</v>
      </c>
      <c r="F27" s="708">
        <v>0.8108696612084153</v>
      </c>
      <c r="G27" s="711">
        <v>4.4524434839654674E-2</v>
      </c>
      <c r="H27" s="710">
        <v>0.314</v>
      </c>
      <c r="I27" s="708">
        <v>0.52</v>
      </c>
      <c r="J27" s="570">
        <v>2.16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2.16</v>
      </c>
      <c r="N27" s="632">
        <f t="shared" si="2"/>
        <v>3.0821779543478049</v>
      </c>
      <c r="O27" s="629">
        <f t="shared" si="3"/>
        <v>4.8481186194247696</v>
      </c>
      <c r="P27" s="633">
        <f t="shared" si="4"/>
        <v>-3.0721092654815445</v>
      </c>
      <c r="Q27" s="585">
        <f t="shared" si="113"/>
        <v>57.553952707060532</v>
      </c>
      <c r="R27" s="629">
        <f t="shared" si="79"/>
        <v>5.7449173266706595</v>
      </c>
      <c r="S27" s="634">
        <f t="shared" si="80"/>
        <v>-3.0721092654815445</v>
      </c>
      <c r="T27" s="635">
        <f t="shared" si="81"/>
        <v>4.8481186194247696</v>
      </c>
      <c r="U27" s="629">
        <f t="shared" si="82"/>
        <v>-3.0821779543478049</v>
      </c>
      <c r="V27" s="636">
        <f t="shared" si="114"/>
        <v>-3.0721092654815445</v>
      </c>
      <c r="W27" s="585">
        <f t="shared" si="224"/>
        <v>327.55395270706055</v>
      </c>
      <c r="X27" s="629">
        <f t="shared" si="83"/>
        <v>5.7449173266706595</v>
      </c>
      <c r="Y27" s="630">
        <f t="shared" si="223"/>
        <v>-3.0721092654815445</v>
      </c>
      <c r="Z27" s="632">
        <f t="shared" si="6"/>
        <v>0.58353060522474653</v>
      </c>
      <c r="AA27" s="629">
        <f t="shared" si="7"/>
        <v>-0.8108696612084153</v>
      </c>
      <c r="AB27" s="629">
        <f t="shared" si="8"/>
        <v>-4.4524434839654674E-2</v>
      </c>
      <c r="AC27" s="636">
        <f t="shared" si="84"/>
        <v>1</v>
      </c>
      <c r="AD27" s="637">
        <f t="shared" si="115"/>
        <v>0.58353060522474653</v>
      </c>
      <c r="AE27" s="629">
        <f t="shared" si="85"/>
        <v>-0.8108696612084153</v>
      </c>
      <c r="AF27" s="633">
        <f t="shared" si="86"/>
        <v>-4.4524434839654674E-2</v>
      </c>
      <c r="AG27" s="602">
        <f t="shared" si="87"/>
        <v>-86.857074459300861</v>
      </c>
      <c r="AH27" s="603">
        <f t="shared" si="88"/>
        <v>54.300748301982388</v>
      </c>
      <c r="AI27" s="585">
        <f t="shared" si="89"/>
        <v>-87.448094163959141</v>
      </c>
      <c r="AJ27" s="586">
        <f t="shared" si="90"/>
        <v>35.740131239133042</v>
      </c>
      <c r="AK27" s="635">
        <f t="shared" si="211"/>
        <v>0.9274755201583087</v>
      </c>
      <c r="AL27" s="629">
        <f t="shared" si="91"/>
        <v>-0.37122329427082573</v>
      </c>
      <c r="AM27" s="634">
        <f t="shared" si="92"/>
        <v>-4.4524434839654674E-2</v>
      </c>
      <c r="AN27" s="581">
        <f t="shared" si="93"/>
        <v>-83.160628806236289</v>
      </c>
      <c r="AO27" s="582">
        <f t="shared" si="94"/>
        <v>21.955346909391373</v>
      </c>
      <c r="AP27" s="585">
        <f t="shared" si="95"/>
        <v>-21.813821467927493</v>
      </c>
      <c r="AQ27" s="586">
        <f t="shared" si="9"/>
        <v>0.39681862278794783</v>
      </c>
      <c r="AS27" s="52">
        <f t="shared" si="116"/>
        <v>327.55395270706055</v>
      </c>
      <c r="AT27" s="72">
        <f t="shared" si="10"/>
        <v>-3.0495772881947811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2.16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3.1406441074851346</v>
      </c>
      <c r="C28" s="708">
        <v>4.9199554578958464</v>
      </c>
      <c r="D28" s="709">
        <v>-3.8465116010789875</v>
      </c>
      <c r="E28" s="710">
        <v>-0.5242947823517593</v>
      </c>
      <c r="F28" s="708">
        <v>0.85148971180451083</v>
      </c>
      <c r="G28" s="711">
        <v>8.9583419108902485E-3</v>
      </c>
      <c r="H28" s="710">
        <v>0.314</v>
      </c>
      <c r="I28" s="708">
        <v>0.52</v>
      </c>
      <c r="J28" s="570">
        <v>2.169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2.169</v>
      </c>
      <c r="N28" s="632">
        <f t="shared" si="2"/>
        <v>3.1406441074851346</v>
      </c>
      <c r="O28" s="629">
        <f t="shared" si="3"/>
        <v>4.9199554578958464</v>
      </c>
      <c r="P28" s="633">
        <f t="shared" si="4"/>
        <v>-3.8465116010789875</v>
      </c>
      <c r="Q28" s="585">
        <f t="shared" si="113"/>
        <v>57.447952722365017</v>
      </c>
      <c r="R28" s="629">
        <f t="shared" si="79"/>
        <v>5.836917604143494</v>
      </c>
      <c r="S28" s="634">
        <f t="shared" si="80"/>
        <v>-3.8465116010789875</v>
      </c>
      <c r="T28" s="635">
        <f t="shared" si="81"/>
        <v>4.9199554578958455</v>
      </c>
      <c r="U28" s="629">
        <f t="shared" si="82"/>
        <v>-3.1406441074851355</v>
      </c>
      <c r="V28" s="636">
        <f t="shared" si="114"/>
        <v>-3.8465116010789875</v>
      </c>
      <c r="W28" s="585">
        <f t="shared" si="224"/>
        <v>327.44795272236502</v>
      </c>
      <c r="X28" s="629">
        <f t="shared" si="83"/>
        <v>5.836917604143494</v>
      </c>
      <c r="Y28" s="630">
        <f t="shared" si="223"/>
        <v>-3.8465116010789875</v>
      </c>
      <c r="Z28" s="632">
        <f t="shared" si="6"/>
        <v>0.5242947823517593</v>
      </c>
      <c r="AA28" s="629">
        <f t="shared" si="7"/>
        <v>-0.85148971180451083</v>
      </c>
      <c r="AB28" s="629">
        <f t="shared" si="8"/>
        <v>-8.9583419108902485E-3</v>
      </c>
      <c r="AC28" s="636">
        <f t="shared" si="84"/>
        <v>1</v>
      </c>
      <c r="AD28" s="637">
        <f t="shared" si="115"/>
        <v>0.5242947823517593</v>
      </c>
      <c r="AE28" s="629">
        <f t="shared" si="85"/>
        <v>-0.85148971180451083</v>
      </c>
      <c r="AF28" s="633">
        <f t="shared" si="86"/>
        <v>-8.9583419108902485E-3</v>
      </c>
      <c r="AG28" s="602">
        <f t="shared" si="87"/>
        <v>-89.39722554547852</v>
      </c>
      <c r="AH28" s="603">
        <f t="shared" si="88"/>
        <v>58.379219527604405</v>
      </c>
      <c r="AI28" s="585">
        <f t="shared" si="89"/>
        <v>-89.486717951605655</v>
      </c>
      <c r="AJ28" s="586">
        <f t="shared" si="90"/>
        <v>31.622196101378762</v>
      </c>
      <c r="AK28" s="635">
        <f t="shared" si="211"/>
        <v>0.90008690857849372</v>
      </c>
      <c r="AL28" s="629">
        <f t="shared" si="91"/>
        <v>-0.43561830209004965</v>
      </c>
      <c r="AM28" s="634">
        <f t="shared" si="92"/>
        <v>-8.9583419108902485E-3</v>
      </c>
      <c r="AN28" s="581">
        <f t="shared" si="93"/>
        <v>-88.821897878857229</v>
      </c>
      <c r="AO28" s="582">
        <f t="shared" si="94"/>
        <v>25.830506666277326</v>
      </c>
      <c r="AP28" s="585">
        <f t="shared" si="95"/>
        <v>-25.825756620986251</v>
      </c>
      <c r="AQ28" s="586">
        <f t="shared" si="9"/>
        <v>0.39056424574850618</v>
      </c>
      <c r="AS28" s="52">
        <f t="shared" si="116"/>
        <v>327.44795272236502</v>
      </c>
      <c r="AT28" s="72">
        <f t="shared" si="10"/>
        <v>-3.823906012691741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2.169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3.1658734637597514</v>
      </c>
      <c r="C29" s="708">
        <v>4.9507100975407967</v>
      </c>
      <c r="D29" s="709">
        <v>-4.625113949343671</v>
      </c>
      <c r="E29" s="710">
        <v>-0.46023010975766604</v>
      </c>
      <c r="F29" s="708">
        <v>0.88779966550592593</v>
      </c>
      <c r="G29" s="711">
        <v>1.1339743282923342E-7</v>
      </c>
      <c r="H29" s="710">
        <v>0.314</v>
      </c>
      <c r="I29" s="708">
        <v>0.52</v>
      </c>
      <c r="J29" s="570">
        <v>2.1779999999999999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2.1779999999999999</v>
      </c>
      <c r="N29" s="632">
        <f t="shared" si="2"/>
        <v>3.1658734637597514</v>
      </c>
      <c r="O29" s="629">
        <f t="shared" si="3"/>
        <v>4.9507100975407967</v>
      </c>
      <c r="P29" s="633">
        <f t="shared" si="4"/>
        <v>-4.625113949343671</v>
      </c>
      <c r="Q29" s="585">
        <f t="shared" si="113"/>
        <v>57.401952729006609</v>
      </c>
      <c r="R29" s="629">
        <f>IF(M29="","",SQRT(N29^2+O29^2))</f>
        <v>5.8764177232758534</v>
      </c>
      <c r="S29" s="634">
        <f>IF(M29="","",P29)</f>
        <v>-4.625113949343671</v>
      </c>
      <c r="T29" s="635">
        <f>IF(M29="","",X29*COS(RADIANS(W29)))</f>
        <v>4.9507100975407958</v>
      </c>
      <c r="U29" s="629">
        <f>IF(M29="","",X29*SIN(RADIANS(W29)))</f>
        <v>-3.1658734637597514</v>
      </c>
      <c r="V29" s="636">
        <f>IF(M29="","",Y29)</f>
        <v>-4.625113949343671</v>
      </c>
      <c r="W29" s="585">
        <f t="shared" si="224"/>
        <v>327.40195272900661</v>
      </c>
      <c r="X29" s="629">
        <f>IF(M29="","",R29)</f>
        <v>5.8764177232758534</v>
      </c>
      <c r="Y29" s="630">
        <f t="shared" si="223"/>
        <v>-4.625113949343671</v>
      </c>
      <c r="Z29" s="632">
        <f t="shared" si="6"/>
        <v>0.46023010975766604</v>
      </c>
      <c r="AA29" s="629">
        <f t="shared" si="7"/>
        <v>-0.88779966550592593</v>
      </c>
      <c r="AB29" s="629">
        <f t="shared" si="8"/>
        <v>-1.1339743282923342E-7</v>
      </c>
      <c r="AC29" s="636">
        <f>IF(M29="","",SQRT(Z29^2+AA29^2+AB29^2))</f>
        <v>1</v>
      </c>
      <c r="AD29" s="637">
        <f>IF(M29="","",Z29*(1/SQRT(Z29^2+AA29^2+AB29^2)))</f>
        <v>0.46023010975766604</v>
      </c>
      <c r="AE29" s="629">
        <f>IF(M29="","",AA29*(1/SQRT(Z29^2+AA29^2+AB29^2)))</f>
        <v>-0.88779966550592593</v>
      </c>
      <c r="AF29" s="633">
        <f>IF(M29="","",AB29*(1/SQRT(Z29^2+AA29^2+AB29^2)))</f>
        <v>-1.1339743282923342E-7</v>
      </c>
      <c r="AG29" s="602">
        <f>IF(M29="","",DEGREES(ATAN2(-AF29,AE29)))</f>
        <v>-89.999992681688724</v>
      </c>
      <c r="AH29" s="603">
        <f>IF(M29="","",DEGREES(ACOS(AD29)))</f>
        <v>62.598042939529471</v>
      </c>
      <c r="AI29" s="585">
        <f>IF(M29="","",DEGREES(-ACOS(-AF29)))</f>
        <v>-89.999993502805694</v>
      </c>
      <c r="AJ29" s="586">
        <f>IF(M29="","",DEGREES(ATAN2(-AE29,AD29)))</f>
        <v>27.401957060470714</v>
      </c>
      <c r="AK29" s="635">
        <f>IF(M29="","",(COS(RADIANS((90-$Q$8)-W29))*AD29)+(-SIN(RADIANS((90-$Q$8)-W29))*AE29))</f>
        <v>0.86602544158358574</v>
      </c>
      <c r="AL29" s="629">
        <f>IF(M29="","",(SIN(RADIANS((90-$Q$8)-W29))*AD29)+(COS(RADIANS((90-$Q$8)-W29))*AE29))</f>
        <v>-0.49999993452993829</v>
      </c>
      <c r="AM29" s="634">
        <f>IF(M29="","",AF29)</f>
        <v>-1.1339743282923342E-7</v>
      </c>
      <c r="AN29" s="581">
        <f>IF(M29="","",DEGREES(ATAN2(-AM29,AL29)))</f>
        <v>-89.999987005609682</v>
      </c>
      <c r="AO29" s="582">
        <f t="shared" si="94"/>
        <v>29.99999566853651</v>
      </c>
      <c r="AP29" s="585">
        <f>IF(M29="","",DEGREES(ATAN2(AK29,AL29)))</f>
        <v>-29.999995668535888</v>
      </c>
      <c r="AQ29" s="586">
        <f t="shared" si="9"/>
        <v>0.38793903054567208</v>
      </c>
      <c r="AS29" s="52">
        <f t="shared" si="116"/>
        <v>327.40195272900661</v>
      </c>
      <c r="AT29" s="72">
        <f t="shared" si="10"/>
        <v>-4.6024764165165921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2.1779999999999999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14</v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2.3218001475448626</v>
      </c>
      <c r="C30" s="708">
        <v>0.84506422211473076</v>
      </c>
      <c r="D30" s="709">
        <v>-0.12280037036591708</v>
      </c>
      <c r="E30" s="710">
        <v>-0.38093170313310171</v>
      </c>
      <c r="F30" s="708">
        <v>0.88926904522751593</v>
      </c>
      <c r="G30" s="711">
        <v>0.25316319390515024</v>
      </c>
      <c r="H30" s="710">
        <v>0.314</v>
      </c>
      <c r="I30" s="708">
        <v>0.52</v>
      </c>
      <c r="J30" s="570">
        <v>3.11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</v>
      </c>
      <c r="N30" s="632">
        <f t="shared" si="2"/>
        <v>2.3218001475448626</v>
      </c>
      <c r="O30" s="629">
        <f t="shared" si="3"/>
        <v>0.84506422211473076</v>
      </c>
      <c r="P30" s="633">
        <f t="shared" si="4"/>
        <v>-0.12280037036591708</v>
      </c>
      <c r="Q30" s="585">
        <f t="shared" si="113"/>
        <v>19.999958129186492</v>
      </c>
      <c r="R30" s="629">
        <f>IF(M30="","",SQRT(N30^2+O30^2))</f>
        <v>2.4708074519552756</v>
      </c>
      <c r="S30" s="634">
        <f>IF(M30="","",P30)</f>
        <v>-0.12280037036591708</v>
      </c>
      <c r="T30" s="635">
        <f>IF(M30="","",X30*COS(RADIANS(W30)))</f>
        <v>0.84506422211473109</v>
      </c>
      <c r="U30" s="629">
        <f>IF(M30="","",X30*SIN(RADIANS(W30)))</f>
        <v>-2.3218001475448626</v>
      </c>
      <c r="V30" s="636">
        <f>IF(M30="","",Y30)</f>
        <v>-0.12280037036591708</v>
      </c>
      <c r="W30" s="585">
        <f t="shared" si="224"/>
        <v>289.9999581291865</v>
      </c>
      <c r="X30" s="629">
        <f>IF(M30="","",R30)</f>
        <v>2.4708074519552756</v>
      </c>
      <c r="Y30" s="630">
        <f t="shared" si="223"/>
        <v>-0.12280037036591708</v>
      </c>
      <c r="Z30" s="632">
        <f t="shared" si="6"/>
        <v>0.38093170313310171</v>
      </c>
      <c r="AA30" s="629">
        <f t="shared" si="7"/>
        <v>-0.88926904522751593</v>
      </c>
      <c r="AB30" s="629">
        <f t="shared" si="8"/>
        <v>-0.25316319390515024</v>
      </c>
      <c r="AC30" s="636">
        <f>IF(M30="","",SQRT(Z30^2+AA30^2+AB30^2))</f>
        <v>1</v>
      </c>
      <c r="AD30" s="637">
        <f>IF(M30="","",Z30*(1/SQRT(Z30^2+AA30^2+AB30^2)))</f>
        <v>0.38093170313310171</v>
      </c>
      <c r="AE30" s="629">
        <f>IF(M30="","",AA30*(1/SQRT(Z30^2+AA30^2+AB30^2)))</f>
        <v>-0.88926904522751593</v>
      </c>
      <c r="AF30" s="633">
        <f>IF(M30="","",AB30*(1/SQRT(Z30^2+AA30^2+AB30^2)))</f>
        <v>-0.25316319390515024</v>
      </c>
      <c r="AG30" s="602">
        <f>IF(M30="","",DEGREES(ATAN2(-AF30,AE30)))</f>
        <v>-74.109044299341988</v>
      </c>
      <c r="AH30" s="603">
        <f>IF(M30="","",DEGREES(ACOS(AD30)))</f>
        <v>67.608593562930324</v>
      </c>
      <c r="AI30" s="585">
        <f>IF(M30="","",DEGREES(-ACOS(-AF30)))</f>
        <v>-75.33522701738265</v>
      </c>
      <c r="AJ30" s="586">
        <f>IF(M30="","",DEGREES(ATAN2(-AE30,AD30)))</f>
        <v>23.188595869651731</v>
      </c>
      <c r="AK30" s="635">
        <f>IF(M30="","",(COS(RADIANS((90-$Q$8)-W30))*AD30)+(-SIN(RADIANS((90-$Q$8)-W30))*AE30))</f>
        <v>0.96592583607220739</v>
      </c>
      <c r="AL30" s="629">
        <f>IF(M30="","",(SIN(RADIANS((90-$Q$8)-W30))*AD30)+(COS(RADIANS((90-$Q$8)-W30))*AE30))</f>
        <v>5.3811490036520138E-2</v>
      </c>
      <c r="AM30" s="634">
        <f>IF(M30="","",AF30)</f>
        <v>-0.25316319390515024</v>
      </c>
      <c r="AN30" s="581">
        <f>IF(M30="","",DEGREES(ATAN2(-AM30,AL30)))</f>
        <v>11.999998267414595</v>
      </c>
      <c r="AO30" s="582">
        <f>IF(ROUND(IF(M30="",0,DEGREES(ACOS(AK30))),4)=90,0,IF(M30="","",DEGREES(ACOS(AK30))))</f>
        <v>14.999997834268255</v>
      </c>
      <c r="AP30" s="585">
        <f>IF(M30="","",DEGREES(ATAN2(AK30,AL30)))</f>
        <v>3.1886377404652317</v>
      </c>
      <c r="AQ30" s="586">
        <f t="shared" si="9"/>
        <v>0.92258488143311423</v>
      </c>
      <c r="AS30" s="52">
        <f t="shared" si="116"/>
        <v>289.9999581291865</v>
      </c>
      <c r="AT30" s="72">
        <f t="shared" si="10"/>
        <v>-7.4189230177852145E-2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9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250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3.0543046394970848</v>
      </c>
      <c r="C31" s="708">
        <v>1.1013614288826459</v>
      </c>
      <c r="D31" s="709">
        <v>-9.8400296775295076E-2</v>
      </c>
      <c r="E31" s="710">
        <v>-0.27011252387196433</v>
      </c>
      <c r="F31" s="708">
        <v>0.92899508205796166</v>
      </c>
      <c r="G31" s="711">
        <v>0.25299676274537325</v>
      </c>
      <c r="H31" s="710">
        <v>0.314</v>
      </c>
      <c r="I31" s="708">
        <v>0.52</v>
      </c>
      <c r="J31" s="570">
        <v>3.1160000000000001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3.1160000000000001</v>
      </c>
      <c r="N31" s="632">
        <f t="shared" si="2"/>
        <v>3.0543046394970848</v>
      </c>
      <c r="O31" s="629">
        <f t="shared" si="3"/>
        <v>1.1013614288826459</v>
      </c>
      <c r="P31" s="633">
        <f t="shared" si="4"/>
        <v>-9.8400296775295076E-2</v>
      </c>
      <c r="Q31" s="585">
        <f t="shared" si="113"/>
        <v>19.828958153875845</v>
      </c>
      <c r="R31" s="629">
        <f>IF(M31="","",SQRT(N31^2+O31^2))</f>
        <v>3.2468097923783339</v>
      </c>
      <c r="S31" s="634">
        <f>IF(M31="","",P31)</f>
        <v>-9.8400296775295076E-2</v>
      </c>
      <c r="T31" s="635">
        <f>IF(M31="","",X31*COS(RADIANS(W31)))</f>
        <v>1.1013614288826474</v>
      </c>
      <c r="U31" s="629">
        <f>IF(M31="","",X31*SIN(RADIANS(W31)))</f>
        <v>-3.0543046394970843</v>
      </c>
      <c r="V31" s="636">
        <f>IF(M31="","",Y31)</f>
        <v>-9.8400296775295076E-2</v>
      </c>
      <c r="W31" s="585">
        <f t="shared" si="224"/>
        <v>289.82895815387587</v>
      </c>
      <c r="X31" s="629">
        <f>IF(M31="","",R31)</f>
        <v>3.2468097923783339</v>
      </c>
      <c r="Y31" s="630">
        <f t="shared" si="223"/>
        <v>-9.8400296775295076E-2</v>
      </c>
      <c r="Z31" s="632">
        <f t="shared" si="6"/>
        <v>0.27011252387196433</v>
      </c>
      <c r="AA31" s="629">
        <f t="shared" si="7"/>
        <v>-0.92899508205796166</v>
      </c>
      <c r="AB31" s="629">
        <f t="shared" si="8"/>
        <v>-0.25299676274537325</v>
      </c>
      <c r="AC31" s="636">
        <f>IF(M31="","",SQRT(Z31^2+AA31^2+AB31^2))</f>
        <v>1</v>
      </c>
      <c r="AD31" s="637">
        <f>IF(M31="","",Z31*(1/SQRT(Z31^2+AA31^2+AB31^2)))</f>
        <v>0.27011252387196433</v>
      </c>
      <c r="AE31" s="629">
        <f>IF(M31="","",AA31*(1/SQRT(Z31^2+AA31^2+AB31^2)))</f>
        <v>-0.92899508205796166</v>
      </c>
      <c r="AF31" s="633">
        <f>IF(M31="","",AB31*(1/SQRT(Z31^2+AA31^2+AB31^2)))</f>
        <v>-0.25299676274537325</v>
      </c>
      <c r="AG31" s="602">
        <f>IF(M31="","",DEGREES(ATAN2(-AF31,AE31)))</f>
        <v>-74.765866850426718</v>
      </c>
      <c r="AH31" s="603">
        <f>IF(M31="","",DEGREES(ACOS(AD31)))</f>
        <v>74.329037215202391</v>
      </c>
      <c r="AI31" s="585">
        <f>IF(M31="","",DEGREES(-ACOS(-AF31)))</f>
        <v>-75.34508370122569</v>
      </c>
      <c r="AJ31" s="586">
        <f>IF(M31="","",DEGREES(ATAN2(-AE31,AD31)))</f>
        <v>16.212198976133852</v>
      </c>
      <c r="AK31" s="635">
        <f>IF(M31="","",(COS(RADIANS((90-$Q$8)-W31))*AD31)+(-SIN(RADIANS((90-$Q$8)-W31))*AE31))</f>
        <v>0.96554023947117473</v>
      </c>
      <c r="AL31" s="629">
        <f>IF(M31="","",(SIN(RADIANS((90-$Q$8)-W31))*AD31)+(COS(RADIANS((90-$Q$8)-W31))*AE31))</f>
        <v>-6.1030189269803581E-2</v>
      </c>
      <c r="AM31" s="634">
        <f>IF(M31="","",AF31)</f>
        <v>-0.25299676274537325</v>
      </c>
      <c r="AN31" s="581">
        <f>IF(M31="","",DEGREES(ATAN2(-AM31,AL31)))</f>
        <v>-13.56230321285261</v>
      </c>
      <c r="AO31" s="582">
        <f t="shared" si="94"/>
        <v>15.085122899386505</v>
      </c>
      <c r="AP31" s="585">
        <f>IF(M31="","",DEGREES(ATAN2(AK31,AL31)))</f>
        <v>-3.6167591777420212</v>
      </c>
      <c r="AQ31" s="586">
        <f t="shared" si="9"/>
        <v>0.7021084283777671</v>
      </c>
      <c r="AS31" s="52">
        <f t="shared" si="116"/>
        <v>289.82895815387587</v>
      </c>
      <c r="AT31" s="72">
        <f t="shared" si="10"/>
        <v>-4.9670406604375543E-2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3.1160000000000001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3.7553240941977917</v>
      </c>
      <c r="C32" s="708">
        <v>1.3177422083472372</v>
      </c>
      <c r="D32" s="709">
        <v>-0.35440106887362366</v>
      </c>
      <c r="E32" s="710">
        <v>-0.152902235293321</v>
      </c>
      <c r="F32" s="708">
        <v>0.96834437648359173</v>
      </c>
      <c r="G32" s="711">
        <v>0.19730705759021872</v>
      </c>
      <c r="H32" s="710">
        <v>0.314</v>
      </c>
      <c r="I32" s="708">
        <v>0.52</v>
      </c>
      <c r="J32" s="570">
        <v>3.1219999999999999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3.1219999999999999</v>
      </c>
      <c r="N32" s="632">
        <f t="shared" si="2"/>
        <v>3.7553240941977917</v>
      </c>
      <c r="O32" s="629">
        <f t="shared" si="3"/>
        <v>1.3177422083472372</v>
      </c>
      <c r="P32" s="633">
        <f t="shared" si="4"/>
        <v>-0.35440106887362366</v>
      </c>
      <c r="Q32" s="585">
        <f t="shared" si="113"/>
        <v>19.335958225056221</v>
      </c>
      <c r="R32" s="629">
        <f t="shared" si="79"/>
        <v>3.9798120031130013</v>
      </c>
      <c r="S32" s="634">
        <f t="shared" si="80"/>
        <v>-0.35440106887362366</v>
      </c>
      <c r="T32" s="635">
        <f t="shared" si="81"/>
        <v>1.3177422083472363</v>
      </c>
      <c r="U32" s="629">
        <f t="shared" si="82"/>
        <v>-3.7553240941977926</v>
      </c>
      <c r="V32" s="636">
        <f t="shared" si="114"/>
        <v>-0.35440106887362366</v>
      </c>
      <c r="W32" s="585">
        <f t="shared" si="224"/>
        <v>289.33595822505623</v>
      </c>
      <c r="X32" s="629">
        <f t="shared" si="83"/>
        <v>3.9798120031130013</v>
      </c>
      <c r="Y32" s="630">
        <f t="shared" si="223"/>
        <v>-0.35440106887362366</v>
      </c>
      <c r="Z32" s="632">
        <f t="shared" si="6"/>
        <v>0.152902235293321</v>
      </c>
      <c r="AA32" s="629">
        <f t="shared" si="7"/>
        <v>-0.96834437648359173</v>
      </c>
      <c r="AB32" s="629">
        <f t="shared" si="8"/>
        <v>-0.19730705759021872</v>
      </c>
      <c r="AC32" s="636">
        <f t="shared" si="84"/>
        <v>1</v>
      </c>
      <c r="AD32" s="637">
        <f t="shared" si="115"/>
        <v>0.152902235293321</v>
      </c>
      <c r="AE32" s="629">
        <f t="shared" si="85"/>
        <v>-0.96834437648359173</v>
      </c>
      <c r="AF32" s="633">
        <f t="shared" si="86"/>
        <v>-0.19730705759021872</v>
      </c>
      <c r="AG32" s="602">
        <f t="shared" si="87"/>
        <v>-78.483230467213772</v>
      </c>
      <c r="AH32" s="603">
        <f t="shared" si="88"/>
        <v>81.204847009721391</v>
      </c>
      <c r="AI32" s="585">
        <f t="shared" si="89"/>
        <v>-78.620472909352515</v>
      </c>
      <c r="AJ32" s="586">
        <f t="shared" si="90"/>
        <v>8.9729588364495427</v>
      </c>
      <c r="AK32" s="635">
        <f t="shared" si="211"/>
        <v>0.96435024937971847</v>
      </c>
      <c r="AL32" s="629">
        <f t="shared" si="91"/>
        <v>-0.17634772906494994</v>
      </c>
      <c r="AM32" s="634">
        <f t="shared" si="92"/>
        <v>-0.19730705759021872</v>
      </c>
      <c r="AN32" s="581">
        <f t="shared" si="93"/>
        <v>-41.789485915988259</v>
      </c>
      <c r="AO32" s="582">
        <f t="shared" si="94"/>
        <v>15.344919066787625</v>
      </c>
      <c r="AP32" s="585">
        <f t="shared" si="95"/>
        <v>-10.362999388606662</v>
      </c>
      <c r="AQ32" s="586">
        <f t="shared" si="9"/>
        <v>0.57280360973561251</v>
      </c>
      <c r="AS32" s="52">
        <f t="shared" si="116"/>
        <v>289.33595822505623</v>
      </c>
      <c r="AT32" s="72">
        <f t="shared" si="10"/>
        <v>-0.30532881764102382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3.1219999999999999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4.3836639228140317</v>
      </c>
      <c r="C33" s="708">
        <v>1.4879645058561863</v>
      </c>
      <c r="D33" s="709">
        <v>-0.85750258622779996</v>
      </c>
      <c r="E33" s="710">
        <v>-9.5226395912348036E-2</v>
      </c>
      <c r="F33" s="708">
        <v>0.98455143154099756</v>
      </c>
      <c r="G33" s="711">
        <v>0.14693676249365653</v>
      </c>
      <c r="H33" s="710">
        <v>0.314</v>
      </c>
      <c r="I33" s="708">
        <v>0.52</v>
      </c>
      <c r="J33" s="570">
        <v>3.1309999999999998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3.1309999999999998</v>
      </c>
      <c r="N33" s="632">
        <f t="shared" si="2"/>
        <v>4.3836639228140317</v>
      </c>
      <c r="O33" s="629">
        <f t="shared" si="3"/>
        <v>1.4879645058561863</v>
      </c>
      <c r="P33" s="633">
        <f t="shared" si="4"/>
        <v>-0.85750258622779996</v>
      </c>
      <c r="Q33" s="585">
        <f t="shared" si="113"/>
        <v>18.74895830980854</v>
      </c>
      <c r="R33" s="629">
        <f t="shared" si="79"/>
        <v>4.6293139620109098</v>
      </c>
      <c r="S33" s="634">
        <f t="shared" si="80"/>
        <v>-0.85750258622779996</v>
      </c>
      <c r="T33" s="635">
        <f t="shared" si="81"/>
        <v>1.4879645058561841</v>
      </c>
      <c r="U33" s="629">
        <f t="shared" si="82"/>
        <v>-4.3836639228140326</v>
      </c>
      <c r="V33" s="636">
        <f t="shared" si="114"/>
        <v>-0.85750258622779996</v>
      </c>
      <c r="W33" s="585">
        <f t="shared" si="224"/>
        <v>288.74895830980853</v>
      </c>
      <c r="X33" s="629">
        <f t="shared" si="83"/>
        <v>4.6293139620109098</v>
      </c>
      <c r="Y33" s="630">
        <f t="shared" si="223"/>
        <v>-0.85750258622779996</v>
      </c>
      <c r="Z33" s="632">
        <f t="shared" si="6"/>
        <v>9.5226395912348036E-2</v>
      </c>
      <c r="AA33" s="629">
        <f t="shared" si="7"/>
        <v>-0.98455143154099756</v>
      </c>
      <c r="AB33" s="629">
        <f t="shared" si="8"/>
        <v>-0.14693676249365653</v>
      </c>
      <c r="AC33" s="636">
        <f t="shared" si="84"/>
        <v>1</v>
      </c>
      <c r="AD33" s="637">
        <f t="shared" si="115"/>
        <v>9.5226395912348036E-2</v>
      </c>
      <c r="AE33" s="629">
        <f t="shared" si="85"/>
        <v>-0.98455143154099756</v>
      </c>
      <c r="AF33" s="633">
        <f t="shared" si="86"/>
        <v>-0.14693676249365653</v>
      </c>
      <c r="AG33" s="602">
        <f t="shared" si="87"/>
        <v>-81.511694403045382</v>
      </c>
      <c r="AH33" s="603">
        <f t="shared" si="88"/>
        <v>84.535649582550931</v>
      </c>
      <c r="AI33" s="585">
        <f t="shared" si="89"/>
        <v>-81.550551053834909</v>
      </c>
      <c r="AJ33" s="586">
        <f t="shared" si="90"/>
        <v>5.5244974079005003</v>
      </c>
      <c r="AK33" s="635">
        <f t="shared" si="211"/>
        <v>0.9629150505495262</v>
      </c>
      <c r="AL33" s="629">
        <f t="shared" si="91"/>
        <v>-0.22628343565777465</v>
      </c>
      <c r="AM33" s="634">
        <f t="shared" si="92"/>
        <v>-0.14693676249365653</v>
      </c>
      <c r="AN33" s="581">
        <f t="shared" si="93"/>
        <v>-57.002389897773227</v>
      </c>
      <c r="AO33" s="582">
        <f t="shared" si="94"/>
        <v>15.652648926899554</v>
      </c>
      <c r="AP33" s="585">
        <f t="shared" si="95"/>
        <v>-13.224460901908015</v>
      </c>
      <c r="AQ33" s="586">
        <f t="shared" si="9"/>
        <v>0.49244240426013414</v>
      </c>
      <c r="AS33" s="52">
        <f t="shared" si="116"/>
        <v>288.74895830980853</v>
      </c>
      <c r="AT33" s="72">
        <f t="shared" si="10"/>
        <v>-0.80802269616516698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3.1309999999999998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4.8575759583139053</v>
      </c>
      <c r="C34" s="708">
        <v>1.6019724187161255</v>
      </c>
      <c r="D34" s="709">
        <v>-1.4668044238821429</v>
      </c>
      <c r="E34" s="710">
        <v>-4.6144894750260575E-2</v>
      </c>
      <c r="F34" s="708">
        <v>0.99242621811471254</v>
      </c>
      <c r="G34" s="711">
        <v>0.11384573020986093</v>
      </c>
      <c r="H34" s="710">
        <v>0.314</v>
      </c>
      <c r="I34" s="708">
        <v>0.52</v>
      </c>
      <c r="J34" s="570">
        <v>3.14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3.14</v>
      </c>
      <c r="N34" s="632">
        <f t="shared" si="2"/>
        <v>4.8575759583139053</v>
      </c>
      <c r="O34" s="629">
        <f t="shared" si="3"/>
        <v>1.6019724187161255</v>
      </c>
      <c r="P34" s="633">
        <f t="shared" si="4"/>
        <v>-1.4668044238821429</v>
      </c>
      <c r="Q34" s="585">
        <f t="shared" si="113"/>
        <v>18.251958381566432</v>
      </c>
      <c r="R34" s="629">
        <f>IF(M34="","",SQRT(N34^2+O34^2))</f>
        <v>5.1149154265849255</v>
      </c>
      <c r="S34" s="634">
        <f>IF(M34="","",P34)</f>
        <v>-1.4668044238821429</v>
      </c>
      <c r="T34" s="635">
        <f>IF(M34="","",X34*COS(RADIANS(W34)))</f>
        <v>1.6019724187161266</v>
      </c>
      <c r="U34" s="629">
        <f>IF(M34="","",X34*SIN(RADIANS(W34)))</f>
        <v>-4.8575759583139044</v>
      </c>
      <c r="V34" s="636">
        <f>IF(M34="","",Y34)</f>
        <v>-1.4668044238821429</v>
      </c>
      <c r="W34" s="585">
        <f t="shared" si="224"/>
        <v>288.25195838156645</v>
      </c>
      <c r="X34" s="629">
        <f>IF(M34="","",R34)</f>
        <v>5.1149154265849255</v>
      </c>
      <c r="Y34" s="630">
        <f t="shared" si="223"/>
        <v>-1.4668044238821429</v>
      </c>
      <c r="Z34" s="632">
        <f t="shared" si="6"/>
        <v>4.6144894750260575E-2</v>
      </c>
      <c r="AA34" s="629">
        <f t="shared" si="7"/>
        <v>-0.99242621811471254</v>
      </c>
      <c r="AB34" s="629">
        <f t="shared" si="8"/>
        <v>-0.11384573020986093</v>
      </c>
      <c r="AC34" s="636">
        <f>IF(M34="","",SQRT(Z34^2+AA34^2+AB34^2))</f>
        <v>1</v>
      </c>
      <c r="AD34" s="637">
        <f>IF(M34="","",Z34*(1/SQRT(Z34^2+AA34^2+AB34^2)))</f>
        <v>4.6144894750260575E-2</v>
      </c>
      <c r="AE34" s="629">
        <f>IF(M34="","",AA34*(1/SQRT(Z34^2+AA34^2+AB34^2)))</f>
        <v>-0.99242621811471254</v>
      </c>
      <c r="AF34" s="633">
        <f>IF(M34="","",AB34*(1/SQRT(Z34^2+AA34^2+AB34^2)))</f>
        <v>-0.11384573020986093</v>
      </c>
      <c r="AG34" s="602">
        <f>IF(M34="","",DEGREES(ATAN2(-AF34,AE34)))</f>
        <v>-83.455945547669486</v>
      </c>
      <c r="AH34" s="603">
        <f>IF(M34="","",DEGREES(ACOS(AD34)))</f>
        <v>87.355153083111972</v>
      </c>
      <c r="AI34" s="585">
        <f>IF(M34="","",DEGREES(-ACOS(-AF34)))</f>
        <v>-83.462946978580334</v>
      </c>
      <c r="AJ34" s="586">
        <f>IF(M34="","",DEGREES(ATAN2(-AE34,AD34)))</f>
        <v>2.6621675040942869</v>
      </c>
      <c r="AK34" s="635">
        <f>IF(M34="","",(COS(RADIANS((90-$Q$8)-W34))*AD34)+(-SIN(RADIANS((90-$Q$8)-W34))*AE34))</f>
        <v>0.95694809746579601</v>
      </c>
      <c r="AL34" s="629">
        <f>IF(M34="","",(SIN(RADIANS((90-$Q$8)-W34))*AD34)+(COS(RADIANS((90-$Q$8)-W34))*AE34))</f>
        <v>-0.26700091473546828</v>
      </c>
      <c r="AM34" s="634">
        <f>IF(M34="","",AF34)</f>
        <v>-0.11384573020986093</v>
      </c>
      <c r="AN34" s="581">
        <f>IF(M34="","",DEGREES(ATAN2(-AM34,AL34)))</f>
        <v>-66.907228416974988</v>
      </c>
      <c r="AO34" s="582">
        <f t="shared" si="94"/>
        <v>16.873467937812578</v>
      </c>
      <c r="AP34" s="585">
        <f>IF(M34="","",DEGREES(ATAN2(AK34,AL34)))</f>
        <v>-15.589790877472156</v>
      </c>
      <c r="AQ34" s="586">
        <f t="shared" si="9"/>
        <v>0.44569273579198282</v>
      </c>
      <c r="AS34" s="52">
        <f t="shared" si="116"/>
        <v>288.25195838156645</v>
      </c>
      <c r="AT34" s="72">
        <f t="shared" si="10"/>
        <v>-1.416979394980453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3.14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5.2094272677216189</v>
      </c>
      <c r="C35" s="708">
        <v>1.6786799805903283</v>
      </c>
      <c r="D35" s="709">
        <v>-2.1591065118652391</v>
      </c>
      <c r="E35" s="710">
        <v>-6.2268381827195801E-3</v>
      </c>
      <c r="F35" s="708">
        <v>0.99707835071326978</v>
      </c>
      <c r="G35" s="711">
        <v>7.6131393164397987E-2</v>
      </c>
      <c r="H35" s="710">
        <v>0.314</v>
      </c>
      <c r="I35" s="708">
        <v>0.52</v>
      </c>
      <c r="J35" s="570">
        <v>3.149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3.149</v>
      </c>
      <c r="N35" s="632">
        <f t="shared" si="2"/>
        <v>5.2094272677216189</v>
      </c>
      <c r="O35" s="629">
        <f t="shared" si="3"/>
        <v>1.6786799805903283</v>
      </c>
      <c r="P35" s="633">
        <f t="shared" si="4"/>
        <v>-2.1591065118652391</v>
      </c>
      <c r="Q35" s="585">
        <f t="shared" si="113"/>
        <v>17.860958438019839</v>
      </c>
      <c r="R35" s="629">
        <f>IF(M35="","",SQRT(N35^2+O35^2))</f>
        <v>5.4732165072209851</v>
      </c>
      <c r="S35" s="634">
        <f>IF(M35="","",P35)</f>
        <v>-2.1591065118652391</v>
      </c>
      <c r="T35" s="635">
        <f>IF(M35="","",X35*COS(RADIANS(W35)))</f>
        <v>1.6786799805903299</v>
      </c>
      <c r="U35" s="629">
        <f>IF(M35="","",X35*SIN(RADIANS(W35)))</f>
        <v>-5.2094272677216189</v>
      </c>
      <c r="V35" s="636">
        <f>IF(M35="","",Y35)</f>
        <v>-2.1591065118652391</v>
      </c>
      <c r="W35" s="585">
        <f t="shared" si="224"/>
        <v>287.86095843801985</v>
      </c>
      <c r="X35" s="629">
        <f>IF(M35="","",R35)</f>
        <v>5.4732165072209851</v>
      </c>
      <c r="Y35" s="630">
        <f t="shared" si="223"/>
        <v>-2.1591065118652391</v>
      </c>
      <c r="Z35" s="632">
        <f t="shared" si="6"/>
        <v>6.2268381827195801E-3</v>
      </c>
      <c r="AA35" s="629">
        <f t="shared" si="7"/>
        <v>-0.99707835071326978</v>
      </c>
      <c r="AB35" s="629">
        <f t="shared" si="8"/>
        <v>-7.6131393164397987E-2</v>
      </c>
      <c r="AC35" s="636">
        <f>IF(M35="","",SQRT(Z35^2+AA35^2+AB35^2))</f>
        <v>1</v>
      </c>
      <c r="AD35" s="637">
        <f>IF(M35="","",Z35*(1/SQRT(Z35^2+AA35^2+AB35^2)))</f>
        <v>6.2268381827195801E-3</v>
      </c>
      <c r="AE35" s="629">
        <f>IF(M35="","",AA35*(1/SQRT(Z35^2+AA35^2+AB35^2)))</f>
        <v>-0.99707835071326978</v>
      </c>
      <c r="AF35" s="633">
        <f>IF(M35="","",AB35*(1/SQRT(Z35^2+AA35^2+AB35^2)))</f>
        <v>-7.6131393164397987E-2</v>
      </c>
      <c r="AG35" s="602">
        <f>IF(M35="","",DEGREES(ATAN2(-AF35,AE35)))</f>
        <v>-85.633682949961198</v>
      </c>
      <c r="AH35" s="603">
        <f>IF(M35="","",DEGREES(ACOS(AD35)))</f>
        <v>89.643226146831282</v>
      </c>
      <c r="AI35" s="585">
        <f>IF(M35="","",DEGREES(-ACOS(-AF35)))</f>
        <v>-85.633767763751536</v>
      </c>
      <c r="AJ35" s="586">
        <f>IF(M35="","",DEGREES(ATAN2(-AE35,AD35)))</f>
        <v>0.35781231161623983</v>
      </c>
      <c r="AK35" s="635">
        <f>IF(M35="","",(COS(RADIANS((90-$Q$8)-W35))*AD35)+(-SIN(RADIANS((90-$Q$8)-W35))*AE35))</f>
        <v>0.95093260242741062</v>
      </c>
      <c r="AL35" s="629">
        <f>IF(M35="","",(SIN(RADIANS((90-$Q$8)-W35))*AD35)+(COS(RADIANS((90-$Q$8)-W35))*AE35))</f>
        <v>-0.29988530576785571</v>
      </c>
      <c r="AM35" s="634">
        <f>IF(M35="","",AF35)</f>
        <v>-7.6131393164397987E-2</v>
      </c>
      <c r="AN35" s="581">
        <f>IF(M35="","",DEGREES(ATAN2(-AM35,AL35)))</f>
        <v>-75.755343705289746</v>
      </c>
      <c r="AO35" s="582">
        <f t="shared" si="94"/>
        <v>18.022961087428808</v>
      </c>
      <c r="AP35" s="585">
        <f>IF(M35="","",DEGREES(ATAN2(AK35,AL35)))</f>
        <v>-17.503146126403614</v>
      </c>
      <c r="AQ35" s="586">
        <f t="shared" si="9"/>
        <v>0.41651677216786226</v>
      </c>
      <c r="AS35" s="52">
        <f t="shared" si="116"/>
        <v>287.86095843801985</v>
      </c>
      <c r="AT35" s="72">
        <f t="shared" si="10"/>
        <v>-2.109009955224975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3.149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5.4416478411909708</v>
      </c>
      <c r="C36" s="708">
        <v>1.7256653910133646</v>
      </c>
      <c r="D36" s="709">
        <v>-2.9024087536648011</v>
      </c>
      <c r="E36" s="710">
        <v>5.5857828676615463E-2</v>
      </c>
      <c r="F36" s="708">
        <v>0.99720396826093627</v>
      </c>
      <c r="G36" s="711">
        <v>4.9640191983670118E-2</v>
      </c>
      <c r="H36" s="710">
        <v>0.314</v>
      </c>
      <c r="I36" s="708">
        <v>0.52</v>
      </c>
      <c r="J36" s="570">
        <v>3.1579999999999999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3.1579999999999999</v>
      </c>
      <c r="N36" s="632">
        <f t="shared" si="2"/>
        <v>5.4416478411909708</v>
      </c>
      <c r="O36" s="629">
        <f t="shared" si="3"/>
        <v>1.7256653910133646</v>
      </c>
      <c r="P36" s="633">
        <f t="shared" si="4"/>
        <v>-2.9024087536648011</v>
      </c>
      <c r="Q36" s="585">
        <f t="shared" si="113"/>
        <v>17.594958476425489</v>
      </c>
      <c r="R36" s="629">
        <f>IF(M36="","",SQRT(N36^2+O36^2))</f>
        <v>5.7087172174911291</v>
      </c>
      <c r="S36" s="634">
        <f>IF(M36="","",P36)</f>
        <v>-2.9024087536648011</v>
      </c>
      <c r="T36" s="635">
        <f>IF(M36="","",X36*COS(RADIANS(W36)))</f>
        <v>1.7256653910133648</v>
      </c>
      <c r="U36" s="629">
        <f>IF(M36="","",X36*SIN(RADIANS(W36)))</f>
        <v>-5.4416478411909708</v>
      </c>
      <c r="V36" s="636">
        <f>IF(M36="","",Y36)</f>
        <v>-2.9024087536648011</v>
      </c>
      <c r="W36" s="585">
        <f t="shared" si="224"/>
        <v>287.59495847642552</v>
      </c>
      <c r="X36" s="629">
        <f>IF(M36="","",R36)</f>
        <v>5.7087172174911291</v>
      </c>
      <c r="Y36" s="630">
        <f t="shared" si="223"/>
        <v>-2.9024087536648011</v>
      </c>
      <c r="Z36" s="632">
        <f t="shared" si="6"/>
        <v>-5.5857828676615463E-2</v>
      </c>
      <c r="AA36" s="629">
        <f t="shared" si="7"/>
        <v>-0.99720396826093627</v>
      </c>
      <c r="AB36" s="629">
        <f t="shared" si="8"/>
        <v>-4.9640191983670118E-2</v>
      </c>
      <c r="AC36" s="636">
        <f>IF(M36="","",SQRT(Z36^2+AA36^2+AB36^2))</f>
        <v>1</v>
      </c>
      <c r="AD36" s="637">
        <f>IF(M36="","",Z36*(1/SQRT(Z36^2+AA36^2+AB36^2)))</f>
        <v>-5.5857828676615463E-2</v>
      </c>
      <c r="AE36" s="629">
        <f>IF(M36="","",AA36*(1/SQRT(Z36^2+AA36^2+AB36^2)))</f>
        <v>-0.99720396826093627</v>
      </c>
      <c r="AF36" s="633">
        <f>IF(M36="","",AB36*(1/SQRT(Z36^2+AA36^2+AB36^2)))</f>
        <v>-4.9640191983670118E-2</v>
      </c>
      <c r="AG36" s="602">
        <f>IF(M36="","",DEGREES(ATAN2(-AF36,AE36)))</f>
        <v>-87.150204173184321</v>
      </c>
      <c r="AH36" s="603">
        <f>IF(M36="","",DEGREES(ACOS(AD36)))</f>
        <v>93.202084446018063</v>
      </c>
      <c r="AI36" s="585">
        <f>IF(M36="","",DEGREES(-ACOS(-AF36)))</f>
        <v>-87.154657130253071</v>
      </c>
      <c r="AJ36" s="586">
        <f>IF(M36="","",DEGREES(ATAN2(-AE36,AD36)))</f>
        <v>-3.2060410860685837</v>
      </c>
      <c r="AK36" s="635">
        <f>IF(M36="","",(COS(RADIANS((90-$Q$8)-W36))*AD36)+(-SIN(RADIANS((90-$Q$8)-W36))*AE36))</f>
        <v>0.93366700368673261</v>
      </c>
      <c r="AL36" s="629">
        <f>IF(M36="","",(SIN(RADIANS((90-$Q$8)-W36))*AD36)+(COS(RADIANS((90-$Q$8)-W36))*AE36))</f>
        <v>-0.35468546286317321</v>
      </c>
      <c r="AM36" s="634">
        <f>IF(M36="","",AF36)</f>
        <v>-4.9640191983670118E-2</v>
      </c>
      <c r="AN36" s="581">
        <f>IF(M36="","",DEGREES(ATAN2(-AM36,AL36)))</f>
        <v>-82.032888577377392</v>
      </c>
      <c r="AO36" s="582">
        <f t="shared" si="94"/>
        <v>20.986153701622904</v>
      </c>
      <c r="AP36" s="585">
        <f>IF(M36="","",DEGREES(ATAN2(AK36,AL36)))</f>
        <v>-20.800999562494077</v>
      </c>
      <c r="AQ36" s="586">
        <f t="shared" si="9"/>
        <v>0.39933484722018242</v>
      </c>
      <c r="AS36" s="52">
        <f t="shared" si="116"/>
        <v>287.59495847642552</v>
      </c>
      <c r="AT36" s="72">
        <f t="shared" si="10"/>
        <v>-2.8521274748289853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3.1579999999999999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5.5579762660526066</v>
      </c>
      <c r="C37" s="708">
        <v>1.7481537560655347</v>
      </c>
      <c r="D37" s="709">
        <v>-3.6733110787062131</v>
      </c>
      <c r="E37" s="710">
        <v>0.12851072318647103</v>
      </c>
      <c r="F37" s="708">
        <v>0.99155246598312452</v>
      </c>
      <c r="G37" s="711">
        <v>1.7569895528291204E-2</v>
      </c>
      <c r="H37" s="710">
        <v>0.314</v>
      </c>
      <c r="I37" s="708">
        <v>0.52</v>
      </c>
      <c r="J37" s="570">
        <v>3.1669999999999998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3.1669999999999998</v>
      </c>
      <c r="N37" s="632">
        <f t="shared" si="2"/>
        <v>5.5579762660526066</v>
      </c>
      <c r="O37" s="629">
        <f t="shared" si="3"/>
        <v>1.7481537560655347</v>
      </c>
      <c r="P37" s="633">
        <f t="shared" si="4"/>
        <v>-3.6733110787062131</v>
      </c>
      <c r="Q37" s="585">
        <f t="shared" si="113"/>
        <v>17.459958495917068</v>
      </c>
      <c r="R37" s="629">
        <f t="shared" si="79"/>
        <v>5.8264175724753979</v>
      </c>
      <c r="S37" s="634">
        <f t="shared" si="80"/>
        <v>-3.6733110787062131</v>
      </c>
      <c r="T37" s="635">
        <f t="shared" si="81"/>
        <v>1.748153756065536</v>
      </c>
      <c r="U37" s="629">
        <f t="shared" si="82"/>
        <v>-5.5579762660526058</v>
      </c>
      <c r="V37" s="636">
        <f t="shared" si="114"/>
        <v>-3.6733110787062131</v>
      </c>
      <c r="W37" s="585">
        <f t="shared" si="224"/>
        <v>287.45995849591708</v>
      </c>
      <c r="X37" s="629">
        <f t="shared" si="83"/>
        <v>5.8264175724753979</v>
      </c>
      <c r="Y37" s="630">
        <f t="shared" si="223"/>
        <v>-3.6733110787062131</v>
      </c>
      <c r="Z37" s="632">
        <f t="shared" si="6"/>
        <v>-0.12851072318647103</v>
      </c>
      <c r="AA37" s="629">
        <f t="shared" si="7"/>
        <v>-0.99155246598312452</v>
      </c>
      <c r="AB37" s="629">
        <f t="shared" si="8"/>
        <v>-1.7569895528291204E-2</v>
      </c>
      <c r="AC37" s="636">
        <f t="shared" si="84"/>
        <v>1</v>
      </c>
      <c r="AD37" s="637">
        <f t="shared" si="115"/>
        <v>-0.12851072318647103</v>
      </c>
      <c r="AE37" s="629">
        <f t="shared" si="85"/>
        <v>-0.99155246598312452</v>
      </c>
      <c r="AF37" s="633">
        <f t="shared" si="86"/>
        <v>-1.7569895528291204E-2</v>
      </c>
      <c r="AG37" s="602">
        <f t="shared" si="87"/>
        <v>-88.984848957359588</v>
      </c>
      <c r="AH37" s="603">
        <f t="shared" si="88"/>
        <v>97.383541178388768</v>
      </c>
      <c r="AI37" s="585">
        <f t="shared" si="89"/>
        <v>-88.993267338610394</v>
      </c>
      <c r="AJ37" s="586">
        <f t="shared" si="90"/>
        <v>-7.3846874502233417</v>
      </c>
      <c r="AK37" s="635">
        <f t="shared" si="211"/>
        <v>0.90731028171073191</v>
      </c>
      <c r="AL37" s="629">
        <f t="shared" si="91"/>
        <v>-0.42009445541820395</v>
      </c>
      <c r="AM37" s="634">
        <f t="shared" si="92"/>
        <v>-1.7569895528291204E-2</v>
      </c>
      <c r="AN37" s="581">
        <f t="shared" si="93"/>
        <v>-87.605075492532336</v>
      </c>
      <c r="AO37" s="582">
        <f t="shared" si="94"/>
        <v>24.863740835009846</v>
      </c>
      <c r="AP37" s="585">
        <f t="shared" si="95"/>
        <v>-24.844645946140428</v>
      </c>
      <c r="AQ37" s="586">
        <f t="shared" si="9"/>
        <v>0.39126807610703679</v>
      </c>
      <c r="AS37" s="52">
        <f t="shared" si="116"/>
        <v>287.45995849591708</v>
      </c>
      <c r="AT37" s="72">
        <f t="shared" si="10"/>
        <v>-3.6229360498839331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3.1669999999999998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5.6074547072302527</v>
      </c>
      <c r="C38" s="708">
        <v>1.7574802885926919</v>
      </c>
      <c r="D38" s="709">
        <v>-4.45131342516129</v>
      </c>
      <c r="E38" s="710">
        <v>0.21810980836421756</v>
      </c>
      <c r="F38" s="708">
        <v>0.97592423450558474</v>
      </c>
      <c r="G38" s="711">
        <v>1.1339743353254138E-7</v>
      </c>
      <c r="H38" s="710">
        <v>0.314</v>
      </c>
      <c r="I38" s="708">
        <v>0.52</v>
      </c>
      <c r="J38" s="570">
        <v>3.1760000000000002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3.1760000000000002</v>
      </c>
      <c r="N38" s="632">
        <f t="shared" si="2"/>
        <v>5.6074547072302527</v>
      </c>
      <c r="O38" s="629">
        <f t="shared" si="3"/>
        <v>1.7574802885926919</v>
      </c>
      <c r="P38" s="633">
        <f t="shared" si="4"/>
        <v>-4.45131342516129</v>
      </c>
      <c r="Q38" s="585">
        <f t="shared" si="113"/>
        <v>17.40195850429124</v>
      </c>
      <c r="R38" s="629">
        <f t="shared" si="79"/>
        <v>5.8764177232758534</v>
      </c>
      <c r="S38" s="634">
        <f t="shared" si="80"/>
        <v>-4.45131342516129</v>
      </c>
      <c r="T38" s="635">
        <f t="shared" si="81"/>
        <v>1.7574802885926952</v>
      </c>
      <c r="U38" s="629">
        <f t="shared" si="82"/>
        <v>-5.607454707230251</v>
      </c>
      <c r="V38" s="636">
        <f t="shared" si="114"/>
        <v>-4.45131342516129</v>
      </c>
      <c r="W38" s="585">
        <f t="shared" si="224"/>
        <v>287.40195850429126</v>
      </c>
      <c r="X38" s="629">
        <f t="shared" si="83"/>
        <v>5.8764177232758534</v>
      </c>
      <c r="Y38" s="630">
        <f t="shared" si="223"/>
        <v>-4.45131342516129</v>
      </c>
      <c r="Z38" s="632">
        <f t="shared" si="6"/>
        <v>-0.21810980836421756</v>
      </c>
      <c r="AA38" s="629">
        <f t="shared" si="7"/>
        <v>-0.97592423450558474</v>
      </c>
      <c r="AB38" s="629">
        <f t="shared" si="8"/>
        <v>-1.1339743353254138E-7</v>
      </c>
      <c r="AC38" s="636">
        <f t="shared" si="84"/>
        <v>1</v>
      </c>
      <c r="AD38" s="637">
        <f t="shared" si="115"/>
        <v>-0.21810980836421756</v>
      </c>
      <c r="AE38" s="629">
        <f t="shared" si="85"/>
        <v>-0.97592423450558474</v>
      </c>
      <c r="AF38" s="633">
        <f t="shared" si="86"/>
        <v>-1.1339743353254138E-7</v>
      </c>
      <c r="AG38" s="602">
        <f t="shared" si="87"/>
        <v>-89.999993342521762</v>
      </c>
      <c r="AH38" s="603">
        <f t="shared" si="88"/>
        <v>102.59803716424459</v>
      </c>
      <c r="AI38" s="585">
        <f t="shared" si="89"/>
        <v>-89.999993502805651</v>
      </c>
      <c r="AJ38" s="586">
        <f t="shared" si="90"/>
        <v>-12.59803716424466</v>
      </c>
      <c r="AK38" s="635">
        <f t="shared" si="211"/>
        <v>0.8660254415835853</v>
      </c>
      <c r="AL38" s="629">
        <f t="shared" si="91"/>
        <v>-0.49999993452993907</v>
      </c>
      <c r="AM38" s="634">
        <f t="shared" si="92"/>
        <v>-1.1339743353254138E-7</v>
      </c>
      <c r="AN38" s="581">
        <f t="shared" si="93"/>
        <v>-89.999987005609611</v>
      </c>
      <c r="AO38" s="582">
        <f t="shared" si="94"/>
        <v>29.999995668536574</v>
      </c>
      <c r="AP38" s="585">
        <f t="shared" si="95"/>
        <v>-29.999995668535945</v>
      </c>
      <c r="AQ38" s="586">
        <f t="shared" si="9"/>
        <v>0.38793903054567208</v>
      </c>
      <c r="AS38" s="52">
        <f t="shared" si="116"/>
        <v>287.40195850429126</v>
      </c>
      <c r="AT38" s="72">
        <f t="shared" si="10"/>
        <v>-4.4008981185670475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3.1760000000000002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4.0039938924164025</v>
      </c>
      <c r="C39" s="708">
        <v>0.23204402375606864</v>
      </c>
      <c r="D39" s="709">
        <v>-0.34760104836476236</v>
      </c>
      <c r="E39" s="710">
        <v>0.48901840938269303</v>
      </c>
      <c r="F39" s="708">
        <v>2.8340380145911351E-2</v>
      </c>
      <c r="G39" s="711">
        <v>0.87181294905387019</v>
      </c>
      <c r="H39" s="710">
        <v>0.25700000000000001</v>
      </c>
      <c r="I39" s="708">
        <v>0.41499999999999992</v>
      </c>
      <c r="J39" s="570">
        <v>3.222</v>
      </c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CPS-32193r1</v>
      </c>
      <c r="L39" s="320"/>
      <c r="M39" s="168">
        <f t="shared" si="1"/>
        <v>3.222</v>
      </c>
      <c r="N39" s="632">
        <f t="shared" si="2"/>
        <v>4.0039938924164025</v>
      </c>
      <c r="O39" s="629">
        <f t="shared" si="3"/>
        <v>0.23204402375606864</v>
      </c>
      <c r="P39" s="633">
        <f t="shared" si="4"/>
        <v>-0.34760104836476236</v>
      </c>
      <c r="Q39" s="585">
        <f t="shared" si="113"/>
        <v>3.3167605379422107</v>
      </c>
      <c r="R39" s="629">
        <f t="shared" si="79"/>
        <v>4.0107120963076826</v>
      </c>
      <c r="S39" s="634">
        <f t="shared" si="80"/>
        <v>-0.34760104836476236</v>
      </c>
      <c r="T39" s="635">
        <f t="shared" si="81"/>
        <v>0.23204402375606967</v>
      </c>
      <c r="U39" s="629">
        <f t="shared" si="82"/>
        <v>-4.0039938924164034</v>
      </c>
      <c r="V39" s="636">
        <f t="shared" si="114"/>
        <v>-0.34760104836476236</v>
      </c>
      <c r="W39" s="585">
        <f t="shared" si="224"/>
        <v>273.31676053794223</v>
      </c>
      <c r="X39" s="629">
        <f t="shared" si="83"/>
        <v>4.0107120963076826</v>
      </c>
      <c r="Y39" s="630">
        <f t="shared" si="223"/>
        <v>-0.34760104836476236</v>
      </c>
      <c r="Z39" s="632">
        <f t="shared" si="6"/>
        <v>-0.48901840938269303</v>
      </c>
      <c r="AA39" s="629">
        <f t="shared" si="7"/>
        <v>-2.8340380145911351E-2</v>
      </c>
      <c r="AB39" s="629">
        <f t="shared" si="8"/>
        <v>-0.87181294905387019</v>
      </c>
      <c r="AC39" s="636">
        <f t="shared" si="84"/>
        <v>1</v>
      </c>
      <c r="AD39" s="637">
        <f t="shared" si="115"/>
        <v>-0.48901840938269303</v>
      </c>
      <c r="AE39" s="629">
        <f t="shared" si="85"/>
        <v>-2.8340380145911351E-2</v>
      </c>
      <c r="AF39" s="633">
        <f t="shared" si="86"/>
        <v>-0.87181294905387019</v>
      </c>
      <c r="AG39" s="602">
        <f t="shared" si="87"/>
        <v>-1.8618816894800223</v>
      </c>
      <c r="AH39" s="603">
        <f t="shared" si="88"/>
        <v>119.27608487092478</v>
      </c>
      <c r="AI39" s="585">
        <f t="shared" si="89"/>
        <v>-29.329995765275157</v>
      </c>
      <c r="AJ39" s="586">
        <f t="shared" si="90"/>
        <v>-86.683212934173881</v>
      </c>
      <c r="AK39" s="635">
        <f t="shared" si="211"/>
        <v>2.2679489658505858E-7</v>
      </c>
      <c r="AL39" s="629">
        <f t="shared" si="91"/>
        <v>-0.4898389346121258</v>
      </c>
      <c r="AM39" s="634">
        <f t="shared" si="92"/>
        <v>-0.87181294905387019</v>
      </c>
      <c r="AN39" s="581">
        <f t="shared" si="93"/>
        <v>-29.329995765272539</v>
      </c>
      <c r="AO39" s="582">
        <f t="shared" si="94"/>
        <v>0</v>
      </c>
      <c r="AP39" s="585">
        <f t="shared" si="95"/>
        <v>-89.999973472116096</v>
      </c>
      <c r="AQ39" s="586">
        <f t="shared" si="9"/>
        <v>0.56839079755400856</v>
      </c>
      <c r="AS39" s="52">
        <f t="shared" si="116"/>
        <v>273.31676053794223</v>
      </c>
      <c r="AT39" s="72">
        <f t="shared" si="10"/>
        <v>-0.28740435429388889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3.222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3.1219999999999999</v>
      </c>
      <c r="II39" s="734" cm="1">
        <f t="array" ref="II39">IFERROR(ROUND(VALUE(IF($IH39&lt;1,$IH39+LARGE((IF($M$9:$M$150="",0,$M$9:$M$150)-MOD(IF($M$9:$M$150="",0,$M$9:$M$150),1)),1),$IH39)),4),"")</f>
        <v>3.1219999999999999</v>
      </c>
      <c r="IJ39" s="533">
        <f t="shared" si="112"/>
        <v>1613</v>
      </c>
      <c r="IK39" s="533" t="str">
        <f t="shared" si="66"/>
        <v>CPS-32193r1</v>
      </c>
      <c r="IL39" s="727">
        <f t="shared" si="225"/>
        <v>16.019197687114001</v>
      </c>
      <c r="IM39" s="759">
        <v>1.6689232460159499E-2</v>
      </c>
      <c r="IN39" s="5">
        <f t="shared" si="226"/>
        <v>0.56000000000000005</v>
      </c>
      <c r="IO39" s="771">
        <v>280</v>
      </c>
      <c r="IP39" s="9">
        <f t="shared" si="227"/>
        <v>-3.9798120031130013</v>
      </c>
      <c r="IQ39" s="5">
        <f t="shared" si="228"/>
        <v>-0.35440106887362366</v>
      </c>
      <c r="IR39" s="5">
        <f t="shared" si="71"/>
        <v>0.314</v>
      </c>
      <c r="IS39" s="5">
        <f t="shared" si="229"/>
        <v>0.30280597830523159</v>
      </c>
      <c r="IT39" s="727">
        <f t="shared" si="230"/>
        <v>41.789485915988259</v>
      </c>
      <c r="IU39" s="9">
        <f t="shared" si="231"/>
        <v>-4.0107120963076826</v>
      </c>
      <c r="IV39" s="5">
        <f t="shared" si="232"/>
        <v>-0.34760104836476236</v>
      </c>
      <c r="IW39" s="5">
        <f t="shared" si="76"/>
        <v>0.25700000000000001</v>
      </c>
      <c r="IX39" s="5">
        <f t="shared" si="233"/>
        <v>0.25700000000000001</v>
      </c>
      <c r="IY39" s="762">
        <f t="shared" si="234"/>
        <v>29.329995765272539</v>
      </c>
    </row>
    <row r="40" spans="1:267" ht="15" customHeight="1" x14ac:dyDescent="0.25">
      <c r="A40" s="79"/>
      <c r="B40" s="707">
        <v>4.6679701088594525</v>
      </c>
      <c r="C40" s="708">
        <v>0.23957807864340733</v>
      </c>
      <c r="D40" s="709">
        <v>-0.8438025449084755</v>
      </c>
      <c r="E40" s="710">
        <v>0.24745723540550457</v>
      </c>
      <c r="F40" s="708">
        <v>0.94966790722346284</v>
      </c>
      <c r="G40" s="711">
        <v>0.19208274944740097</v>
      </c>
      <c r="H40" s="710">
        <v>0.26600000000000001</v>
      </c>
      <c r="I40" s="708">
        <v>0.52</v>
      </c>
      <c r="J40" s="570">
        <v>3.2309999999999999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3.2309999999999999</v>
      </c>
      <c r="N40" s="632">
        <f t="shared" si="2"/>
        <v>4.6679701088594525</v>
      </c>
      <c r="O40" s="629">
        <f t="shared" si="3"/>
        <v>0.23957807864340733</v>
      </c>
      <c r="P40" s="633">
        <f t="shared" si="4"/>
        <v>-0.8438025449084755</v>
      </c>
      <c r="Q40" s="585">
        <f t="shared" si="113"/>
        <v>2.9380605926197134</v>
      </c>
      <c r="R40" s="629">
        <f t="shared" si="79"/>
        <v>4.6741140971281174</v>
      </c>
      <c r="S40" s="634">
        <f t="shared" si="80"/>
        <v>-0.8438025449084755</v>
      </c>
      <c r="T40" s="635">
        <f t="shared" si="81"/>
        <v>0.23957807864340616</v>
      </c>
      <c r="U40" s="629">
        <f t="shared" si="82"/>
        <v>-4.6679701088594525</v>
      </c>
      <c r="V40" s="636">
        <f t="shared" si="114"/>
        <v>-0.8438025449084755</v>
      </c>
      <c r="W40" s="585">
        <f t="shared" si="224"/>
        <v>272.93806059261971</v>
      </c>
      <c r="X40" s="629">
        <f t="shared" si="83"/>
        <v>4.6741140971281174</v>
      </c>
      <c r="Y40" s="630">
        <f t="shared" si="223"/>
        <v>-0.8438025449084755</v>
      </c>
      <c r="Z40" s="632">
        <f t="shared" si="6"/>
        <v>-0.24745723540550457</v>
      </c>
      <c r="AA40" s="629">
        <f t="shared" si="7"/>
        <v>-0.94966790722346284</v>
      </c>
      <c r="AB40" s="629">
        <f t="shared" si="8"/>
        <v>-0.19208274944740097</v>
      </c>
      <c r="AC40" s="636">
        <f t="shared" si="84"/>
        <v>1</v>
      </c>
      <c r="AD40" s="637">
        <f t="shared" si="115"/>
        <v>-0.24745723540550457</v>
      </c>
      <c r="AE40" s="629">
        <f t="shared" si="85"/>
        <v>-0.94966790722346284</v>
      </c>
      <c r="AF40" s="633">
        <f t="shared" si="86"/>
        <v>-0.19208274944740097</v>
      </c>
      <c r="AG40" s="602">
        <f t="shared" si="87"/>
        <v>-78.565444513296015</v>
      </c>
      <c r="AH40" s="603">
        <f t="shared" si="88"/>
        <v>104.32709533847947</v>
      </c>
      <c r="AI40" s="585">
        <f t="shared" si="89"/>
        <v>-78.925643910140423</v>
      </c>
      <c r="AJ40" s="586">
        <f t="shared" si="90"/>
        <v>-14.604930794944794</v>
      </c>
      <c r="AK40" s="635">
        <f t="shared" si="211"/>
        <v>0.93573583878594235</v>
      </c>
      <c r="AL40" s="629">
        <f t="shared" si="91"/>
        <v>-0.29580848090664308</v>
      </c>
      <c r="AM40" s="634">
        <f t="shared" si="92"/>
        <v>-0.19208274944740097</v>
      </c>
      <c r="AN40" s="581">
        <f t="shared" si="93"/>
        <v>-57.00238750567047</v>
      </c>
      <c r="AO40" s="582">
        <f t="shared" si="94"/>
        <v>20.652648200630662</v>
      </c>
      <c r="AP40" s="585">
        <f t="shared" si="95"/>
        <v>-17.542991387564491</v>
      </c>
      <c r="AQ40" s="586">
        <f t="shared" si="9"/>
        <v>0.48772270445683258</v>
      </c>
      <c r="AS40" s="52">
        <f t="shared" si="116"/>
        <v>272.93806059261971</v>
      </c>
      <c r="AT40" s="72">
        <f t="shared" si="10"/>
        <v>-0.78334286476446136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3.2309999999999999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3.1309999999999998</v>
      </c>
      <c r="II40" s="734" cm="1">
        <f t="array" ref="II40">IFERROR(ROUND(VALUE(IF($IH40&lt;1,$IH40+LARGE((IF($M$9:$M$150="",0,$M$9:$M$150)-MOD(IF($M$9:$M$150="",0,$M$9:$M$150),1)),1),$IH40)),4),"")</f>
        <v>3.1309999999999998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15.810897717188823</v>
      </c>
      <c r="IM40" s="759">
        <v>6.0401074298667198E-3</v>
      </c>
      <c r="IN40" s="5">
        <f t="shared" si="226"/>
        <v>0.28000000000000003</v>
      </c>
      <c r="IO40" s="771">
        <v>140</v>
      </c>
      <c r="IP40" s="9">
        <f t="shared" si="227"/>
        <v>-4.6293139620109098</v>
      </c>
      <c r="IQ40" s="5">
        <f t="shared" si="228"/>
        <v>-0.85750258622779996</v>
      </c>
      <c r="IR40" s="5">
        <f t="shared" si="71"/>
        <v>0.314</v>
      </c>
      <c r="IS40" s="5">
        <f t="shared" si="229"/>
        <v>0.30235532587255121</v>
      </c>
      <c r="IT40" s="727">
        <f t="shared" si="230"/>
        <v>57.002389897773227</v>
      </c>
      <c r="IU40" s="9">
        <f t="shared" si="231"/>
        <v>-4.6741140971281174</v>
      </c>
      <c r="IV40" s="5">
        <f t="shared" si="232"/>
        <v>-0.8438025449084755</v>
      </c>
      <c r="IW40" s="5">
        <f t="shared" si="76"/>
        <v>0.26600000000000001</v>
      </c>
      <c r="IX40" s="5">
        <f t="shared" si="233"/>
        <v>0.24890573311706071</v>
      </c>
      <c r="IY40" s="762">
        <f t="shared" si="234"/>
        <v>57.00238750567047</v>
      </c>
    </row>
    <row r="41" spans="1:267" ht="15" customHeight="1" x14ac:dyDescent="0.25">
      <c r="A41" s="79"/>
      <c r="B41" s="707">
        <v>5.1519378988956195</v>
      </c>
      <c r="C41" s="708">
        <v>0.35589098587540791</v>
      </c>
      <c r="D41" s="709">
        <v>-1.4597044024684778</v>
      </c>
      <c r="E41" s="710">
        <v>0.27793702793337588</v>
      </c>
      <c r="F41" s="708">
        <v>0.94942006042988758</v>
      </c>
      <c r="G41" s="711">
        <v>0.14612514279503899</v>
      </c>
      <c r="H41" s="710">
        <v>0.26600000000000001</v>
      </c>
      <c r="I41" s="708">
        <v>0.52</v>
      </c>
      <c r="J41" s="570">
        <v>3.24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3.24</v>
      </c>
      <c r="N41" s="632">
        <f t="shared" ref="N41:N72" si="240">IF(M41="","",B41)</f>
        <v>5.1519378988956195</v>
      </c>
      <c r="O41" s="629">
        <f t="shared" ref="O41:O72" si="241">IF(M41="","",C41)</f>
        <v>0.35589098587540791</v>
      </c>
      <c r="P41" s="633">
        <f t="shared" ref="P41:P72" si="242">IF(M41="","",D41)</f>
        <v>-1.4597044024684778</v>
      </c>
      <c r="Q41" s="585">
        <f t="shared" si="113"/>
        <v>3.9516604462740013</v>
      </c>
      <c r="R41" s="629">
        <f t="shared" si="79"/>
        <v>5.1642155752741754</v>
      </c>
      <c r="S41" s="634">
        <f t="shared" si="80"/>
        <v>-1.4597044024684778</v>
      </c>
      <c r="T41" s="635">
        <f t="shared" si="81"/>
        <v>0.35589098587540835</v>
      </c>
      <c r="U41" s="629">
        <f t="shared" si="82"/>
        <v>-5.1519378988956195</v>
      </c>
      <c r="V41" s="636">
        <f t="shared" si="114"/>
        <v>-1.4597044024684778</v>
      </c>
      <c r="W41" s="585">
        <f t="shared" si="224"/>
        <v>273.95166044627399</v>
      </c>
      <c r="X41" s="629">
        <f t="shared" si="83"/>
        <v>5.1642155752741754</v>
      </c>
      <c r="Y41" s="630">
        <f t="shared" si="223"/>
        <v>-1.4597044024684778</v>
      </c>
      <c r="Z41" s="632">
        <f t="shared" ref="Z41:Z72" si="243">IF(M41="","",-E41)</f>
        <v>-0.27793702793337588</v>
      </c>
      <c r="AA41" s="629">
        <f t="shared" ref="AA41:AA72" si="244">IF(M41="","",-F41)</f>
        <v>-0.94942006042988758</v>
      </c>
      <c r="AB41" s="629">
        <f t="shared" ref="AB41:AB72" si="245">IF(M41="","",-G41)</f>
        <v>-0.14612514279503899</v>
      </c>
      <c r="AC41" s="636">
        <f t="shared" si="84"/>
        <v>1</v>
      </c>
      <c r="AD41" s="637">
        <f t="shared" si="115"/>
        <v>-0.27793702793337588</v>
      </c>
      <c r="AE41" s="629">
        <f t="shared" si="85"/>
        <v>-0.94942006042988758</v>
      </c>
      <c r="AF41" s="633">
        <f t="shared" si="86"/>
        <v>-0.14612514279503899</v>
      </c>
      <c r="AG41" s="602">
        <f t="shared" si="87"/>
        <v>-81.250270056154704</v>
      </c>
      <c r="AH41" s="603">
        <f t="shared" si="88"/>
        <v>106.13711859927665</v>
      </c>
      <c r="AI41" s="585">
        <f t="shared" si="89"/>
        <v>-81.59756085832818</v>
      </c>
      <c r="AJ41" s="586">
        <f t="shared" si="90"/>
        <v>-16.317075602088277</v>
      </c>
      <c r="AK41" s="635">
        <f t="shared" si="211"/>
        <v>0.92800887928919973</v>
      </c>
      <c r="AL41" s="629">
        <f t="shared" si="91"/>
        <v>-0.3427053582941666</v>
      </c>
      <c r="AM41" s="634">
        <f t="shared" si="92"/>
        <v>-0.14612514279503899</v>
      </c>
      <c r="AN41" s="581">
        <f t="shared" si="93"/>
        <v>-66.907225751735311</v>
      </c>
      <c r="AO41" s="582">
        <f t="shared" si="94"/>
        <v>21.873467209267186</v>
      </c>
      <c r="AP41" s="585">
        <f t="shared" si="95"/>
        <v>-20.268736048362282</v>
      </c>
      <c r="AQ41" s="586">
        <f t="shared" ref="AQ41:AQ72" si="246">IF(M41="","",DEGREES(ATAN(($AS$5*SIN(RADIANS(90)))/(($X41*2*PI())-($AS$5*COS(RADIANS(90)))))))</f>
        <v>0.44143810232258535</v>
      </c>
      <c r="AS41" s="52">
        <f t="shared" si="116"/>
        <v>273.95166044627399</v>
      </c>
      <c r="AT41" s="72">
        <f t="shared" ref="AT41:AT72" si="247">IF(M41="","",Y41+(((AS41-$AS$9)*$AS$6)*-1))</f>
        <v>-1.3999486111117236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3.14</v>
      </c>
      <c r="II41" s="734" cm="1">
        <f t="array" ref="II41">IFERROR(ROUND(VALUE(IF($IH41&lt;1,$IH41+LARGE((IF($M$9:$M$150="",0,$M$9:$M$150)-MOD(IF($M$9:$M$150="",0,$M$9:$M$150),1)),1),$IH41)),4),"")</f>
        <v>3.14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14.300297935292463</v>
      </c>
      <c r="IM41" s="759">
        <v>3.3134884608166499E-3</v>
      </c>
      <c r="IN41" s="5">
        <f t="shared" si="226"/>
        <v>0.24</v>
      </c>
      <c r="IO41" s="771">
        <v>120</v>
      </c>
      <c r="IP41" s="9">
        <f t="shared" si="227"/>
        <v>-5.1149154265849255</v>
      </c>
      <c r="IQ41" s="5">
        <f t="shared" si="228"/>
        <v>-1.4668044238821429</v>
      </c>
      <c r="IR41" s="5">
        <f t="shared" ref="IR41:IR72" si="383">IF(ISNUMBER($II41),INDEX($H$9:$H$150,MATCH($II41,$M$9:$M$150,0)),"")</f>
        <v>0.314</v>
      </c>
      <c r="IS41" s="5">
        <f t="shared" si="229"/>
        <v>0.30048170260425994</v>
      </c>
      <c r="IT41" s="727">
        <f t="shared" si="230"/>
        <v>66.907228416974988</v>
      </c>
      <c r="IU41" s="9">
        <f t="shared" si="231"/>
        <v>-5.1642155752741754</v>
      </c>
      <c r="IV41" s="5">
        <f t="shared" si="232"/>
        <v>-1.4597044024684778</v>
      </c>
      <c r="IW41" s="5">
        <f t="shared" ref="IW41:IW72" si="384">IF(ISNUMBER($II41),$H41,"")</f>
        <v>0.26600000000000001</v>
      </c>
      <c r="IX41" s="5">
        <f t="shared" si="233"/>
        <v>0.24685036189092713</v>
      </c>
      <c r="IY41" s="762">
        <f t="shared" si="234"/>
        <v>66.907225751735311</v>
      </c>
    </row>
    <row r="42" spans="1:267" ht="15" customHeight="1" x14ac:dyDescent="0.25">
      <c r="A42" s="79"/>
      <c r="B42" s="707">
        <v>5.5085315234851224</v>
      </c>
      <c r="C42" s="708">
        <v>0.43035415203110866</v>
      </c>
      <c r="D42" s="709">
        <v>-2.158906511262038</v>
      </c>
      <c r="E42" s="710">
        <v>0.30623978363795679</v>
      </c>
      <c r="F42" s="708">
        <v>0.94707759929512614</v>
      </c>
      <c r="G42" s="711">
        <v>9.6235210971649998E-2</v>
      </c>
      <c r="H42" s="710">
        <v>0.26600000000000001</v>
      </c>
      <c r="I42" s="708">
        <v>0.52</v>
      </c>
      <c r="J42" s="570">
        <v>3.2490000000000001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3.2490000000000001</v>
      </c>
      <c r="N42" s="632">
        <f t="shared" si="240"/>
        <v>5.5085315234851224</v>
      </c>
      <c r="O42" s="629">
        <f t="shared" si="241"/>
        <v>0.43035415203110866</v>
      </c>
      <c r="P42" s="633">
        <f t="shared" si="242"/>
        <v>-2.158906511262038</v>
      </c>
      <c r="Q42" s="585">
        <f t="shared" si="113"/>
        <v>4.4671603718450195</v>
      </c>
      <c r="R42" s="629">
        <f t="shared" ref="R42:R47" si="385">IF(M42="","",SQRT(N42^2+O42^2))</f>
        <v>5.5253166643550609</v>
      </c>
      <c r="S42" s="634">
        <f t="shared" ref="S42:S47" si="386">IF(M42="","",P42)</f>
        <v>-2.158906511262038</v>
      </c>
      <c r="T42" s="635">
        <f t="shared" ref="T42:T47" si="387">IF(M42="","",X42*COS(RADIANS(W42)))</f>
        <v>0.43035415203110594</v>
      </c>
      <c r="U42" s="629">
        <f t="shared" ref="U42:U47" si="388">IF(M42="","",X42*SIN(RADIANS(W42)))</f>
        <v>-5.5085315234851224</v>
      </c>
      <c r="V42" s="636">
        <f t="shared" ref="V42:V47" si="389">IF(M42="","",Y42)</f>
        <v>-2.158906511262038</v>
      </c>
      <c r="W42" s="585">
        <f t="shared" si="224"/>
        <v>274.46716037184501</v>
      </c>
      <c r="X42" s="629">
        <f t="shared" ref="X42:X47" si="390">IF(M42="","",R42)</f>
        <v>5.5253166643550609</v>
      </c>
      <c r="Y42" s="630">
        <f t="shared" si="223"/>
        <v>-2.158906511262038</v>
      </c>
      <c r="Z42" s="632">
        <f t="shared" si="243"/>
        <v>-0.30623978363795679</v>
      </c>
      <c r="AA42" s="629">
        <f t="shared" si="244"/>
        <v>-0.94707759929512614</v>
      </c>
      <c r="AB42" s="629">
        <f t="shared" si="245"/>
        <v>-9.6235210971649998E-2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-0.30623978363795679</v>
      </c>
      <c r="AE42" s="629">
        <f t="shared" ref="AE42:AE47" si="393">IF(M42="","",AA42*(1/SQRT(Z42^2+AA42^2+AB42^2)))</f>
        <v>-0.94707759929512614</v>
      </c>
      <c r="AF42" s="633">
        <f t="shared" ref="AF42:AF47" si="394">IF(M42="","",AB42*(1/SQRT(Z42^2+AA42^2+AB42^2)))</f>
        <v>-9.6235210971649998E-2</v>
      </c>
      <c r="AG42" s="602">
        <f t="shared" ref="AG42:AG47" si="395">IF(M42="","",DEGREES(ATAN2(-AF42,AE42)))</f>
        <v>-84.197929574661899</v>
      </c>
      <c r="AH42" s="603">
        <f t="shared" ref="AH42:AH47" si="396">IF(M42="","",DEGREES(ACOS(AD42)))</f>
        <v>107.83276781120803</v>
      </c>
      <c r="AI42" s="585">
        <f t="shared" ref="AI42:AI47" si="397">IF(M42="","",DEGREES(-ACOS(-AF42)))</f>
        <v>-84.477582045702519</v>
      </c>
      <c r="AJ42" s="586">
        <f t="shared" ref="AJ42:AJ47" si="398">IF(M42="","",DEGREES(ATAN2(-AE42,AD42)))</f>
        <v>-17.918736547574895</v>
      </c>
      <c r="AK42" s="635">
        <f t="shared" ref="AK42:AK47" si="399">IF(M42="","",(COS(RADIANS((90-$Q$8)-W42))*AD42)+(-SIN(RADIANS((90-$Q$8)-W42))*AE42))</f>
        <v>0.92034820036720544</v>
      </c>
      <c r="AL42" s="629">
        <f t="shared" ref="AL42:AL47" si="400">IF(M42="","",(SIN(RADIANS((90-$Q$8)-W42))*AD42)+(COS(RADIANS((90-$Q$8)-W42))*AE42))</f>
        <v>-0.37907515646648249</v>
      </c>
      <c r="AM42" s="634">
        <f t="shared" ref="AM42:AM47" si="401">IF(M42="","",AF42)</f>
        <v>-9.6235210971649998E-2</v>
      </c>
      <c r="AN42" s="581">
        <f t="shared" ref="AN42:AN47" si="402">IF(M42="","",DEGREES(ATAN2(-AM42,AL42)))</f>
        <v>-75.755340915416326</v>
      </c>
      <c r="AO42" s="582">
        <f t="shared" si="94"/>
        <v>23.022960356723676</v>
      </c>
      <c r="AP42" s="585">
        <f t="shared" ref="AP42:AP47" si="403">IF(M42="","",DEGREES(ATAN2(AK42,AL42)))</f>
        <v>-22.385896919419892</v>
      </c>
      <c r="AQ42" s="586">
        <f t="shared" si="246"/>
        <v>0.4125894252220299</v>
      </c>
      <c r="AS42" s="52">
        <f t="shared" si="116"/>
        <v>274.46716037184501</v>
      </c>
      <c r="AT42" s="72">
        <f t="shared" si="247"/>
        <v>-2.0995087059647082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3.2490000000000001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3.149</v>
      </c>
      <c r="II42" s="734" cm="1">
        <f t="array" ref="II42">IFERROR(ROUND(VALUE(IF($IH42&lt;1,$IH42+LARGE((IF($M$9:$M$150="",0,$M$9:$M$150)-MOD(IF($M$9:$M$150="",0,$M$9:$M$150),1)),1),$IH42)),4),"")</f>
        <v>3.149</v>
      </c>
      <c r="IJ42" s="533">
        <f t="shared" si="112"/>
        <v>1613</v>
      </c>
      <c r="IK42" s="533">
        <f t="shared" si="382"/>
        <v>1313</v>
      </c>
      <c r="IL42" s="727">
        <f t="shared" si="225"/>
        <v>13.393798066174838</v>
      </c>
      <c r="IM42" s="759">
        <v>1.2105583270902399E-3</v>
      </c>
      <c r="IN42" s="5">
        <f t="shared" si="226"/>
        <v>0</v>
      </c>
      <c r="IO42" s="771">
        <v>0</v>
      </c>
      <c r="IP42" s="9">
        <f t="shared" si="227"/>
        <v>-5.4732165072209851</v>
      </c>
      <c r="IQ42" s="5">
        <f t="shared" si="228"/>
        <v>-2.1591065118652391</v>
      </c>
      <c r="IR42" s="5">
        <f t="shared" si="383"/>
        <v>0.314</v>
      </c>
      <c r="IS42" s="5">
        <f t="shared" si="229"/>
        <v>0.29859283716220691</v>
      </c>
      <c r="IT42" s="727">
        <f t="shared" si="230"/>
        <v>75.755343705289746</v>
      </c>
      <c r="IU42" s="9">
        <f t="shared" si="231"/>
        <v>-5.5253166643550609</v>
      </c>
      <c r="IV42" s="5">
        <f t="shared" si="232"/>
        <v>-2.158906511262038</v>
      </c>
      <c r="IW42" s="5">
        <f t="shared" si="384"/>
        <v>0.26600000000000001</v>
      </c>
      <c r="IX42" s="5">
        <f t="shared" si="233"/>
        <v>0.2448126212976767</v>
      </c>
      <c r="IY42" s="762">
        <f t="shared" si="234"/>
        <v>75.755340915416326</v>
      </c>
    </row>
    <row r="43" spans="1:267" ht="15" customHeight="1" x14ac:dyDescent="0.25">
      <c r="A43" s="79"/>
      <c r="B43" s="707">
        <v>5.7438033985659604</v>
      </c>
      <c r="C43" s="708">
        <v>0.46029516586165214</v>
      </c>
      <c r="D43" s="709">
        <v>-2.9076087693480481</v>
      </c>
      <c r="E43" s="710">
        <v>0.36073252300030045</v>
      </c>
      <c r="F43" s="708">
        <v>0.93069000796024093</v>
      </c>
      <c r="G43" s="711">
        <v>6.073018963254144E-2</v>
      </c>
      <c r="H43" s="710">
        <v>0.26600000000000001</v>
      </c>
      <c r="I43" s="708">
        <v>0.52</v>
      </c>
      <c r="J43" s="570">
        <v>3.258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3.258</v>
      </c>
      <c r="N43" s="632">
        <f t="shared" si="240"/>
        <v>5.7438033985659604</v>
      </c>
      <c r="O43" s="629">
        <f t="shared" si="241"/>
        <v>0.46029516586165214</v>
      </c>
      <c r="P43" s="633">
        <f t="shared" si="242"/>
        <v>-2.9076087693480481</v>
      </c>
      <c r="Q43" s="585">
        <f t="shared" si="113"/>
        <v>4.581760355298834</v>
      </c>
      <c r="R43" s="629">
        <f t="shared" si="385"/>
        <v>5.7622173788476152</v>
      </c>
      <c r="S43" s="634">
        <f t="shared" si="386"/>
        <v>-2.9076087693480481</v>
      </c>
      <c r="T43" s="635">
        <f t="shared" si="387"/>
        <v>0.4602951658616532</v>
      </c>
      <c r="U43" s="629">
        <f t="shared" si="388"/>
        <v>-5.7438033985659604</v>
      </c>
      <c r="V43" s="636">
        <f t="shared" si="389"/>
        <v>-2.9076087693480481</v>
      </c>
      <c r="W43" s="585">
        <f t="shared" si="224"/>
        <v>274.58176035529885</v>
      </c>
      <c r="X43" s="629">
        <f t="shared" si="390"/>
        <v>5.7622173788476152</v>
      </c>
      <c r="Y43" s="630">
        <f t="shared" si="223"/>
        <v>-2.9076087693480481</v>
      </c>
      <c r="Z43" s="632">
        <f t="shared" si="243"/>
        <v>-0.36073252300030045</v>
      </c>
      <c r="AA43" s="629">
        <f t="shared" si="244"/>
        <v>-0.93069000796024093</v>
      </c>
      <c r="AB43" s="629">
        <f t="shared" si="245"/>
        <v>-6.073018963254144E-2</v>
      </c>
      <c r="AC43" s="636">
        <f t="shared" si="391"/>
        <v>1</v>
      </c>
      <c r="AD43" s="637">
        <f t="shared" si="392"/>
        <v>-0.36073252300030045</v>
      </c>
      <c r="AE43" s="629">
        <f t="shared" si="393"/>
        <v>-0.93069000796024093</v>
      </c>
      <c r="AF43" s="633">
        <f t="shared" si="394"/>
        <v>-6.073018963254144E-2</v>
      </c>
      <c r="AG43" s="602">
        <f t="shared" si="395"/>
        <v>-86.266579109245825</v>
      </c>
      <c r="AH43" s="603">
        <f t="shared" si="396"/>
        <v>111.14518957884124</v>
      </c>
      <c r="AI43" s="585">
        <f t="shared" si="397"/>
        <v>-86.51827401293211</v>
      </c>
      <c r="AJ43" s="586">
        <f t="shared" si="398"/>
        <v>-21.186174394541901</v>
      </c>
      <c r="AK43" s="635">
        <f t="shared" si="399"/>
        <v>0.89889996396893579</v>
      </c>
      <c r="AL43" s="629">
        <f t="shared" si="400"/>
        <v>-0.43392476173161831</v>
      </c>
      <c r="AM43" s="634">
        <f t="shared" si="401"/>
        <v>-6.073018963254144E-2</v>
      </c>
      <c r="AN43" s="581">
        <f t="shared" si="402"/>
        <v>-82.032886043139754</v>
      </c>
      <c r="AO43" s="582">
        <f t="shared" si="94"/>
        <v>25.986152967721267</v>
      </c>
      <c r="AP43" s="585">
        <f t="shared" si="403"/>
        <v>-25.767934749840745</v>
      </c>
      <c r="AQ43" s="586">
        <f t="shared" si="246"/>
        <v>0.39562728204343045</v>
      </c>
      <c r="AS43" s="52">
        <f t="shared" ref="AS43:AS74" si="406">IF(G43="","",IF(AND(W43&lt;(AS42+180),W43&gt;(AS42-180)),W43,IF(W43&gt;(AS42+180),W43-360,IF(W43&lt;(AS42-180),W43+360,"Error"))))</f>
        <v>274.58176035529885</v>
      </c>
      <c r="AT43" s="72">
        <f t="shared" si="247"/>
        <v>-2.848290547372561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3.258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3.1579999999999999</v>
      </c>
      <c r="II43" s="734" cm="1">
        <f t="array" ref="II43">IFERROR(ROUND(VALUE(IF($IH43&lt;1,$IH43+LARGE((IF($M$9:$M$150="",0,$M$9:$M$150)-MOD(IF($M$9:$M$150="",0,$M$9:$M$150),1)),1),$IH43)),4),"")</f>
        <v>3.1579999999999999</v>
      </c>
      <c r="IJ43" s="533">
        <f t="shared" si="112"/>
        <v>1613</v>
      </c>
      <c r="IK43" s="533">
        <f t="shared" si="382"/>
        <v>1313</v>
      </c>
      <c r="IL43" s="727">
        <f t="shared" si="225"/>
        <v>13.013198121126663</v>
      </c>
      <c r="IM43" s="759">
        <v>1.20082914230037E-4</v>
      </c>
      <c r="IN43" s="5">
        <f t="shared" si="226"/>
        <v>0</v>
      </c>
      <c r="IO43" s="771">
        <v>0</v>
      </c>
      <c r="IP43" s="9">
        <f t="shared" si="227"/>
        <v>-5.7087172174911291</v>
      </c>
      <c r="IQ43" s="5">
        <f t="shared" si="228"/>
        <v>-2.9024087536648011</v>
      </c>
      <c r="IR43" s="5">
        <f t="shared" si="383"/>
        <v>0.314</v>
      </c>
      <c r="IS43" s="5">
        <f t="shared" si="229"/>
        <v>0.29317143915763405</v>
      </c>
      <c r="IT43" s="727">
        <f t="shared" si="230"/>
        <v>82.032888577377392</v>
      </c>
      <c r="IU43" s="9">
        <f t="shared" si="231"/>
        <v>-5.7622173788476152</v>
      </c>
      <c r="IV43" s="5">
        <f t="shared" si="232"/>
        <v>-2.9076087693480481</v>
      </c>
      <c r="IW43" s="5">
        <f t="shared" si="384"/>
        <v>0.26600000000000001</v>
      </c>
      <c r="IX43" s="5">
        <f t="shared" si="233"/>
        <v>0.23910739041573692</v>
      </c>
      <c r="IY43" s="762">
        <f t="shared" si="234"/>
        <v>82.032886043139754</v>
      </c>
    </row>
    <row r="44" spans="1:267" ht="15" customHeight="1" x14ac:dyDescent="0.25">
      <c r="A44" s="79"/>
      <c r="B44" s="707">
        <v>5.8630644441920303</v>
      </c>
      <c r="C44" s="708">
        <v>0.45272967921854612</v>
      </c>
      <c r="D44" s="709">
        <v>-3.683711110072708</v>
      </c>
      <c r="E44" s="710">
        <v>0.4292625256464031</v>
      </c>
      <c r="F44" s="708">
        <v>0.90294004965267916</v>
      </c>
      <c r="G44" s="711">
        <v>2.0807470026135116E-2</v>
      </c>
      <c r="H44" s="710">
        <v>0.26600000000000001</v>
      </c>
      <c r="I44" s="708">
        <v>0.52</v>
      </c>
      <c r="J44" s="570">
        <v>3.2669999999999999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3.2669999999999999</v>
      </c>
      <c r="N44" s="632">
        <f t="shared" si="240"/>
        <v>5.8630644441920303</v>
      </c>
      <c r="O44" s="629">
        <f t="shared" si="241"/>
        <v>0.45272967921854612</v>
      </c>
      <c r="P44" s="633">
        <f t="shared" si="242"/>
        <v>-3.683711110072708</v>
      </c>
      <c r="Q44" s="585">
        <f t="shared" si="113"/>
        <v>4.4154603793095832</v>
      </c>
      <c r="R44" s="629">
        <f t="shared" si="385"/>
        <v>5.8805177356414911</v>
      </c>
      <c r="S44" s="634">
        <f t="shared" si="386"/>
        <v>-3.683711110072708</v>
      </c>
      <c r="T44" s="635">
        <f t="shared" si="387"/>
        <v>0.45272967921854523</v>
      </c>
      <c r="U44" s="629">
        <f t="shared" si="388"/>
        <v>-5.8630644441920303</v>
      </c>
      <c r="V44" s="636">
        <f t="shared" si="389"/>
        <v>-3.683711110072708</v>
      </c>
      <c r="W44" s="585">
        <f t="shared" si="224"/>
        <v>274.41546037930959</v>
      </c>
      <c r="X44" s="629">
        <f t="shared" si="390"/>
        <v>5.8805177356414911</v>
      </c>
      <c r="Y44" s="630">
        <f t="shared" si="223"/>
        <v>-3.683711110072708</v>
      </c>
      <c r="Z44" s="632">
        <f t="shared" si="243"/>
        <v>-0.4292625256464031</v>
      </c>
      <c r="AA44" s="629">
        <f t="shared" si="244"/>
        <v>-0.90294004965267916</v>
      </c>
      <c r="AB44" s="629">
        <f t="shared" si="245"/>
        <v>-2.0807470026135116E-2</v>
      </c>
      <c r="AC44" s="636">
        <f t="shared" si="391"/>
        <v>1</v>
      </c>
      <c r="AD44" s="637">
        <f t="shared" si="392"/>
        <v>-0.4292625256464031</v>
      </c>
      <c r="AE44" s="629">
        <f t="shared" si="393"/>
        <v>-0.90294004965267916</v>
      </c>
      <c r="AF44" s="633">
        <f t="shared" si="394"/>
        <v>-2.0807470026135116E-2</v>
      </c>
      <c r="AG44" s="602">
        <f t="shared" si="395"/>
        <v>-88.67990211101602</v>
      </c>
      <c r="AH44" s="603">
        <f t="shared" si="396"/>
        <v>115.42076727068391</v>
      </c>
      <c r="AI44" s="585">
        <f t="shared" si="397"/>
        <v>-88.807733742494875</v>
      </c>
      <c r="AJ44" s="586">
        <f t="shared" si="398"/>
        <v>-25.426664277676569</v>
      </c>
      <c r="AK44" s="635">
        <f t="shared" si="399"/>
        <v>0.86721204561809939</v>
      </c>
      <c r="AL44" s="629">
        <f t="shared" si="400"/>
        <v>-0.4975040875470102</v>
      </c>
      <c r="AM44" s="634">
        <f t="shared" si="401"/>
        <v>-2.0807470026135116E-2</v>
      </c>
      <c r="AN44" s="581">
        <f t="shared" si="402"/>
        <v>-87.605073317942384</v>
      </c>
      <c r="AO44" s="582">
        <f t="shared" si="94"/>
        <v>29.863740097470547</v>
      </c>
      <c r="AP44" s="585">
        <f t="shared" si="403"/>
        <v>-29.84212465698614</v>
      </c>
      <c r="AQ44" s="586">
        <f t="shared" si="246"/>
        <v>0.38766856009840578</v>
      </c>
      <c r="AS44" s="52">
        <f t="shared" si="406"/>
        <v>274.41546037930959</v>
      </c>
      <c r="AT44" s="72">
        <f t="shared" si="247"/>
        <v>-3.6242774020027841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>Gage</v>
      </c>
      <c r="IG44" s="847">
        <f t="shared" si="210"/>
        <v>3.2669999999999999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3.1669999999999998</v>
      </c>
      <c r="II44" s="734" cm="1">
        <f t="array" ref="II44">IFERROR(ROUND(VALUE(IF($IH44&lt;1,$IH44+LARGE((IF($M$9:$M$150="",0,$M$9:$M$150)-MOD(IF($M$9:$M$150="",0,$M$9:$M$150),1)),1),$IH44)),4),"")</f>
        <v>3.1669999999999998</v>
      </c>
      <c r="IJ44" s="533">
        <f t="shared" si="112"/>
        <v>1613</v>
      </c>
      <c r="IK44" s="533">
        <f t="shared" si="382"/>
        <v>1313</v>
      </c>
      <c r="IL44" s="727">
        <f t="shared" si="225"/>
        <v>13.044498116607485</v>
      </c>
      <c r="IM44" s="759">
        <v>5.50443367530416E-5</v>
      </c>
      <c r="IN44" s="5">
        <f t="shared" si="226"/>
        <v>0</v>
      </c>
      <c r="IO44" s="771">
        <v>0</v>
      </c>
      <c r="IP44" s="9">
        <f t="shared" si="227"/>
        <v>-5.8264175724753979</v>
      </c>
      <c r="IQ44" s="5">
        <f t="shared" si="228"/>
        <v>-3.6733110787062131</v>
      </c>
      <c r="IR44" s="5">
        <f t="shared" si="383"/>
        <v>0.314</v>
      </c>
      <c r="IS44" s="5">
        <f t="shared" si="229"/>
        <v>0.28489542845716981</v>
      </c>
      <c r="IT44" s="727">
        <f t="shared" si="230"/>
        <v>87.605075492532336</v>
      </c>
      <c r="IU44" s="9">
        <f t="shared" si="231"/>
        <v>-5.8805177356414911</v>
      </c>
      <c r="IV44" s="5">
        <f t="shared" si="232"/>
        <v>-3.683711110072708</v>
      </c>
      <c r="IW44" s="5">
        <f t="shared" si="384"/>
        <v>0.26600000000000001</v>
      </c>
      <c r="IX44" s="5">
        <f t="shared" si="233"/>
        <v>0.23067840413441446</v>
      </c>
      <c r="IY44" s="762">
        <f t="shared" si="234"/>
        <v>87.605073317942384</v>
      </c>
    </row>
    <row r="45" spans="1:267" ht="15" customHeight="1" x14ac:dyDescent="0.25">
      <c r="A45" s="79"/>
      <c r="B45" s="707">
        <v>0.74123311983971896</v>
      </c>
      <c r="C45" s="708">
        <v>-0.42795173898887484</v>
      </c>
      <c r="D45" s="709">
        <v>-0.55310166815463135</v>
      </c>
      <c r="E45" s="710">
        <v>0.42495075868149657</v>
      </c>
      <c r="F45" s="708">
        <v>0.87000969481008184</v>
      </c>
      <c r="G45" s="711">
        <v>0.24999996726497567</v>
      </c>
      <c r="H45" s="710">
        <v>0.314</v>
      </c>
      <c r="I45" s="708">
        <v>0.52</v>
      </c>
      <c r="J45" s="570">
        <v>4.1029999999999998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4.1029999999999998</v>
      </c>
      <c r="N45" s="632">
        <f t="shared" si="240"/>
        <v>0.74123311983971896</v>
      </c>
      <c r="O45" s="629">
        <f t="shared" si="241"/>
        <v>-0.42795173898887484</v>
      </c>
      <c r="P45" s="633">
        <f t="shared" si="242"/>
        <v>-0.55310166815463135</v>
      </c>
      <c r="Q45" s="585">
        <f t="shared" si="113"/>
        <v>329.99996534829228</v>
      </c>
      <c r="R45" s="629">
        <f t="shared" si="385"/>
        <v>0.85590258140218578</v>
      </c>
      <c r="S45" s="634">
        <f t="shared" si="386"/>
        <v>-0.55310166815463135</v>
      </c>
      <c r="T45" s="635">
        <f t="shared" si="387"/>
        <v>-0.42795173898887479</v>
      </c>
      <c r="U45" s="629">
        <f t="shared" si="388"/>
        <v>-0.74123311983971907</v>
      </c>
      <c r="V45" s="636">
        <f t="shared" si="389"/>
        <v>-0.55310166815463135</v>
      </c>
      <c r="W45" s="585">
        <f t="shared" si="224"/>
        <v>239.99996534829228</v>
      </c>
      <c r="X45" s="629">
        <f t="shared" si="390"/>
        <v>0.85590258140218578</v>
      </c>
      <c r="Y45" s="630">
        <f t="shared" si="223"/>
        <v>-0.55310166815463135</v>
      </c>
      <c r="Z45" s="632">
        <f t="shared" si="243"/>
        <v>-0.42495075868149657</v>
      </c>
      <c r="AA45" s="629">
        <f t="shared" si="244"/>
        <v>-0.87000969481008184</v>
      </c>
      <c r="AB45" s="629">
        <f t="shared" si="245"/>
        <v>-0.24999996726497567</v>
      </c>
      <c r="AC45" s="636">
        <f t="shared" si="391"/>
        <v>1</v>
      </c>
      <c r="AD45" s="637">
        <f t="shared" si="392"/>
        <v>-0.42495075868149657</v>
      </c>
      <c r="AE45" s="629">
        <f t="shared" si="393"/>
        <v>-0.87000969481008184</v>
      </c>
      <c r="AF45" s="633">
        <f t="shared" si="394"/>
        <v>-0.24999996726497567</v>
      </c>
      <c r="AG45" s="602">
        <f t="shared" si="395"/>
        <v>-73.967832110835701</v>
      </c>
      <c r="AH45" s="603">
        <f t="shared" si="396"/>
        <v>115.14754663787646</v>
      </c>
      <c r="AI45" s="585">
        <f t="shared" si="397"/>
        <v>-75.522489751159455</v>
      </c>
      <c r="AJ45" s="586">
        <f t="shared" si="398"/>
        <v>-26.032905006621156</v>
      </c>
      <c r="AK45" s="635">
        <f t="shared" si="399"/>
        <v>0.9659258360722075</v>
      </c>
      <c r="AL45" s="629">
        <f t="shared" si="400"/>
        <v>6.6987279208207184E-2</v>
      </c>
      <c r="AM45" s="634">
        <f t="shared" si="401"/>
        <v>-0.24999996726497567</v>
      </c>
      <c r="AN45" s="581">
        <f t="shared" si="402"/>
        <v>14.999997834268262</v>
      </c>
      <c r="AO45" s="582">
        <f t="shared" si="94"/>
        <v>14.99999783426823</v>
      </c>
      <c r="AP45" s="585">
        <f t="shared" si="403"/>
        <v>3.9671296450865703</v>
      </c>
      <c r="AQ45" s="586">
        <f t="shared" si="246"/>
        <v>2.6616189515014206</v>
      </c>
      <c r="AS45" s="52">
        <f t="shared" si="406"/>
        <v>239.99996534829228</v>
      </c>
      <c r="AT45" s="72">
        <f t="shared" si="247"/>
        <v>-0.46976831075761211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4.1029999999999998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1.3906673020663871</v>
      </c>
      <c r="C46" s="708">
        <v>-0.80290326261050882</v>
      </c>
      <c r="D46" s="709">
        <v>-0.35220106223840381</v>
      </c>
      <c r="E46" s="710">
        <v>0.42495075868149668</v>
      </c>
      <c r="F46" s="708">
        <v>0.87000969481008172</v>
      </c>
      <c r="G46" s="711">
        <v>0.2499999672649757</v>
      </c>
      <c r="H46" s="710">
        <v>0.314</v>
      </c>
      <c r="I46" s="708">
        <v>0.52</v>
      </c>
      <c r="J46" s="570">
        <v>4.1059999999999999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4.1059999999999999</v>
      </c>
      <c r="N46" s="632">
        <f t="shared" si="240"/>
        <v>1.3906673020663871</v>
      </c>
      <c r="O46" s="629">
        <f t="shared" si="241"/>
        <v>-0.80290326261050882</v>
      </c>
      <c r="P46" s="633">
        <f t="shared" si="242"/>
        <v>-0.35220106223840381</v>
      </c>
      <c r="Q46" s="585">
        <f t="shared" si="113"/>
        <v>329.99996534829228</v>
      </c>
      <c r="R46" s="629">
        <f t="shared" si="385"/>
        <v>1.6058048431074068</v>
      </c>
      <c r="S46" s="634">
        <f t="shared" si="386"/>
        <v>-0.35220106223840381</v>
      </c>
      <c r="T46" s="635">
        <f t="shared" si="387"/>
        <v>-0.80290326261050926</v>
      </c>
      <c r="U46" s="629">
        <f t="shared" si="388"/>
        <v>-1.3906673020663869</v>
      </c>
      <c r="V46" s="636">
        <f t="shared" si="389"/>
        <v>-0.35220106223840381</v>
      </c>
      <c r="W46" s="585">
        <f t="shared" si="224"/>
        <v>239.99996534829228</v>
      </c>
      <c r="X46" s="629">
        <f t="shared" si="390"/>
        <v>1.6058048431074068</v>
      </c>
      <c r="Y46" s="630">
        <f t="shared" si="223"/>
        <v>-0.35220106223840381</v>
      </c>
      <c r="Z46" s="632">
        <f t="shared" si="243"/>
        <v>-0.42495075868149668</v>
      </c>
      <c r="AA46" s="629">
        <f t="shared" si="244"/>
        <v>-0.87000969481008172</v>
      </c>
      <c r="AB46" s="629">
        <f t="shared" si="245"/>
        <v>-0.2499999672649757</v>
      </c>
      <c r="AC46" s="636">
        <f t="shared" si="391"/>
        <v>1</v>
      </c>
      <c r="AD46" s="637">
        <f t="shared" si="392"/>
        <v>-0.42495075868149668</v>
      </c>
      <c r="AE46" s="629">
        <f t="shared" si="393"/>
        <v>-0.87000969481008172</v>
      </c>
      <c r="AF46" s="633">
        <f t="shared" si="394"/>
        <v>-0.2499999672649757</v>
      </c>
      <c r="AG46" s="602">
        <f t="shared" si="395"/>
        <v>-73.967832110835701</v>
      </c>
      <c r="AH46" s="603">
        <f t="shared" si="396"/>
        <v>115.14754663787647</v>
      </c>
      <c r="AI46" s="585">
        <f t="shared" si="397"/>
        <v>-75.522489751159455</v>
      </c>
      <c r="AJ46" s="586">
        <f t="shared" si="398"/>
        <v>-26.032905006621167</v>
      </c>
      <c r="AK46" s="635">
        <f t="shared" si="399"/>
        <v>0.9659258360722075</v>
      </c>
      <c r="AL46" s="629">
        <f t="shared" si="400"/>
        <v>6.6987279208207018E-2</v>
      </c>
      <c r="AM46" s="634">
        <f t="shared" si="401"/>
        <v>-0.2499999672649757</v>
      </c>
      <c r="AN46" s="581">
        <f t="shared" si="402"/>
        <v>14.999997834268227</v>
      </c>
      <c r="AO46" s="582">
        <f t="shared" si="94"/>
        <v>14.99999783426823</v>
      </c>
      <c r="AP46" s="585">
        <f t="shared" si="403"/>
        <v>3.9671296450865601</v>
      </c>
      <c r="AQ46" s="586">
        <f t="shared" si="246"/>
        <v>1.4193880816764186</v>
      </c>
      <c r="AS46" s="52">
        <f t="shared" si="406"/>
        <v>239.99996534829228</v>
      </c>
      <c r="AT46" s="72">
        <f t="shared" si="247"/>
        <v>-0.26886770484138456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4.1059999999999999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2.0336928792144082</v>
      </c>
      <c r="C47" s="708">
        <v>-1.1741547711970723</v>
      </c>
      <c r="D47" s="709">
        <v>-0.15320046205259347</v>
      </c>
      <c r="E47" s="710">
        <v>0.42495075868149668</v>
      </c>
      <c r="F47" s="708">
        <v>0.87000969481008184</v>
      </c>
      <c r="G47" s="711">
        <v>0.2499999672649757</v>
      </c>
      <c r="H47" s="710">
        <v>0.314</v>
      </c>
      <c r="I47" s="708">
        <v>0.52</v>
      </c>
      <c r="J47" s="570">
        <v>4.109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4.109</v>
      </c>
      <c r="N47" s="632">
        <f t="shared" si="240"/>
        <v>2.0336928792144082</v>
      </c>
      <c r="O47" s="629">
        <f t="shared" si="241"/>
        <v>-1.1741547711970723</v>
      </c>
      <c r="P47" s="633">
        <f t="shared" si="242"/>
        <v>-0.15320046205259347</v>
      </c>
      <c r="Q47" s="585">
        <f t="shared" si="113"/>
        <v>329.99996534829228</v>
      </c>
      <c r="R47" s="629">
        <f t="shared" si="385"/>
        <v>2.348307082494161</v>
      </c>
      <c r="S47" s="634">
        <f t="shared" si="386"/>
        <v>-0.15320046205259347</v>
      </c>
      <c r="T47" s="635">
        <f t="shared" si="387"/>
        <v>-1.1741547711970726</v>
      </c>
      <c r="U47" s="629">
        <f t="shared" si="388"/>
        <v>-2.0336928792144082</v>
      </c>
      <c r="V47" s="636">
        <f t="shared" si="389"/>
        <v>-0.15320046205259347</v>
      </c>
      <c r="W47" s="585">
        <f t="shared" si="224"/>
        <v>239.99996534829228</v>
      </c>
      <c r="X47" s="629">
        <f t="shared" si="390"/>
        <v>2.348307082494161</v>
      </c>
      <c r="Y47" s="630">
        <f t="shared" si="223"/>
        <v>-0.15320046205259347</v>
      </c>
      <c r="Z47" s="632">
        <f t="shared" si="243"/>
        <v>-0.42495075868149668</v>
      </c>
      <c r="AA47" s="629">
        <f t="shared" si="244"/>
        <v>-0.87000969481008184</v>
      </c>
      <c r="AB47" s="629">
        <f t="shared" si="245"/>
        <v>-0.2499999672649757</v>
      </c>
      <c r="AC47" s="636">
        <f t="shared" si="391"/>
        <v>1</v>
      </c>
      <c r="AD47" s="637">
        <f t="shared" si="392"/>
        <v>-0.42495075868149668</v>
      </c>
      <c r="AE47" s="629">
        <f t="shared" si="393"/>
        <v>-0.87000969481008184</v>
      </c>
      <c r="AF47" s="633">
        <f t="shared" si="394"/>
        <v>-0.2499999672649757</v>
      </c>
      <c r="AG47" s="602">
        <f t="shared" si="395"/>
        <v>-73.967832110835701</v>
      </c>
      <c r="AH47" s="603">
        <f t="shared" si="396"/>
        <v>115.14754663787647</v>
      </c>
      <c r="AI47" s="585">
        <f t="shared" si="397"/>
        <v>-75.522489751159455</v>
      </c>
      <c r="AJ47" s="586">
        <f t="shared" si="398"/>
        <v>-26.032905006621164</v>
      </c>
      <c r="AK47" s="635">
        <f t="shared" si="399"/>
        <v>0.96592583607220761</v>
      </c>
      <c r="AL47" s="629">
        <f t="shared" si="400"/>
        <v>6.6987279208207073E-2</v>
      </c>
      <c r="AM47" s="634">
        <f t="shared" si="401"/>
        <v>-0.2499999672649757</v>
      </c>
      <c r="AN47" s="581">
        <f t="shared" si="402"/>
        <v>14.999997834268239</v>
      </c>
      <c r="AO47" s="582">
        <f t="shared" si="94"/>
        <v>14.999997834268203</v>
      </c>
      <c r="AP47" s="585">
        <f t="shared" si="403"/>
        <v>3.9671296450865632</v>
      </c>
      <c r="AQ47" s="586">
        <f t="shared" si="246"/>
        <v>0.97070290681921167</v>
      </c>
      <c r="AS47" s="52">
        <f t="shared" si="406"/>
        <v>239.99996534829228</v>
      </c>
      <c r="AT47" s="72">
        <f t="shared" si="247"/>
        <v>-6.9867104655574219E-2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4.109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2.6968757371591234</v>
      </c>
      <c r="C48" s="708">
        <v>-1.5640810868327717</v>
      </c>
      <c r="D48" s="709">
        <v>-8.2600249122351616E-2</v>
      </c>
      <c r="E48" s="710">
        <v>0.51847497844492274</v>
      </c>
      <c r="F48" s="708">
        <v>0.81563279279613865</v>
      </c>
      <c r="G48" s="711">
        <v>0.25676223250725233</v>
      </c>
      <c r="H48" s="710">
        <v>0.314</v>
      </c>
      <c r="I48" s="708">
        <v>0.52</v>
      </c>
      <c r="J48" s="570">
        <v>4.1150000000000002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4.1150000000000002</v>
      </c>
      <c r="N48" s="632">
        <f t="shared" si="240"/>
        <v>2.6968757371591234</v>
      </c>
      <c r="O48" s="629">
        <f t="shared" si="241"/>
        <v>-1.5640810868327717</v>
      </c>
      <c r="P48" s="633">
        <f t="shared" si="242"/>
        <v>-8.2600249122351616E-2</v>
      </c>
      <c r="Q48" s="585">
        <f t="shared" si="113"/>
        <v>329.88796536446307</v>
      </c>
      <c r="R48" s="629">
        <f t="shared" si="79"/>
        <v>3.1176094027099595</v>
      </c>
      <c r="S48" s="634">
        <f t="shared" si="80"/>
        <v>-8.2600249122351616E-2</v>
      </c>
      <c r="T48" s="635">
        <f t="shared" si="81"/>
        <v>-1.564081086832771</v>
      </c>
      <c r="U48" s="629">
        <f t="shared" si="82"/>
        <v>-2.6968757371591239</v>
      </c>
      <c r="V48" s="636">
        <f t="shared" si="114"/>
        <v>-8.2600249122351616E-2</v>
      </c>
      <c r="W48" s="585">
        <f t="shared" si="224"/>
        <v>239.88796536446307</v>
      </c>
      <c r="X48" s="629">
        <f t="shared" si="83"/>
        <v>3.1176094027099595</v>
      </c>
      <c r="Y48" s="630">
        <f t="shared" si="223"/>
        <v>-8.2600249122351616E-2</v>
      </c>
      <c r="Z48" s="632">
        <f t="shared" si="243"/>
        <v>-0.51847497844492274</v>
      </c>
      <c r="AA48" s="629">
        <f t="shared" si="244"/>
        <v>-0.81563279279613865</v>
      </c>
      <c r="AB48" s="629">
        <f t="shared" si="245"/>
        <v>-0.25676223250725233</v>
      </c>
      <c r="AC48" s="636">
        <f t="shared" si="84"/>
        <v>1</v>
      </c>
      <c r="AD48" s="637">
        <f t="shared" si="115"/>
        <v>-0.51847497844492274</v>
      </c>
      <c r="AE48" s="629">
        <f t="shared" si="85"/>
        <v>-0.81563279279613865</v>
      </c>
      <c r="AF48" s="633">
        <f t="shared" si="86"/>
        <v>-0.25676223250725233</v>
      </c>
      <c r="AG48" s="602">
        <f t="shared" si="87"/>
        <v>-72.525932245190418</v>
      </c>
      <c r="AH48" s="603">
        <f t="shared" si="88"/>
        <v>121.23001155325798</v>
      </c>
      <c r="AI48" s="585">
        <f t="shared" si="89"/>
        <v>-75.121969168233463</v>
      </c>
      <c r="AJ48" s="586">
        <f t="shared" si="90"/>
        <v>-32.442980243849554</v>
      </c>
      <c r="AK48" s="635">
        <f t="shared" si="211"/>
        <v>0.96567491568636976</v>
      </c>
      <c r="AL48" s="629">
        <f t="shared" si="91"/>
        <v>-3.9307927597554748E-2</v>
      </c>
      <c r="AM48" s="634">
        <f t="shared" si="92"/>
        <v>-0.25676223250725233</v>
      </c>
      <c r="AN48" s="581">
        <f t="shared" si="93"/>
        <v>-8.7038778023828414</v>
      </c>
      <c r="AO48" s="582">
        <f t="shared" si="94"/>
        <v>15.055444945953708</v>
      </c>
      <c r="AP48" s="585">
        <f t="shared" si="95"/>
        <v>-2.3309456083126152</v>
      </c>
      <c r="AQ48" s="586">
        <f t="shared" si="246"/>
        <v>0.73120220432703631</v>
      </c>
      <c r="AS48" s="52">
        <f t="shared" si="406"/>
        <v>239.88796536446307</v>
      </c>
      <c r="AT48" s="72">
        <f t="shared" si="247"/>
        <v>8.108860412156943E-4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4.1150000000000002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3.3276174534483713</v>
      </c>
      <c r="C49" s="708">
        <v>-1.9658342240951869</v>
      </c>
      <c r="D49" s="709">
        <v>-0.29330088459546821</v>
      </c>
      <c r="E49" s="710">
        <v>0.62761706223410041</v>
      </c>
      <c r="F49" s="708">
        <v>0.74958060272879823</v>
      </c>
      <c r="G49" s="711">
        <v>0.21029917547477203</v>
      </c>
      <c r="H49" s="710">
        <v>0.314</v>
      </c>
      <c r="I49" s="708">
        <v>0.52</v>
      </c>
      <c r="J49" s="570">
        <v>4.1210000000000004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4.1210000000000004</v>
      </c>
      <c r="N49" s="632">
        <f t="shared" si="240"/>
        <v>3.3276174534483713</v>
      </c>
      <c r="O49" s="629">
        <f t="shared" si="241"/>
        <v>-1.9658342240951869</v>
      </c>
      <c r="P49" s="633">
        <f t="shared" si="242"/>
        <v>-0.29330088459546821</v>
      </c>
      <c r="Q49" s="585">
        <f t="shared" si="113"/>
        <v>329.42696543102323</v>
      </c>
      <c r="R49" s="629">
        <f t="shared" si="79"/>
        <v>3.8649116565735562</v>
      </c>
      <c r="S49" s="634">
        <f t="shared" si="80"/>
        <v>-0.29330088459546821</v>
      </c>
      <c r="T49" s="635">
        <f t="shared" si="81"/>
        <v>-1.9658342240951865</v>
      </c>
      <c r="U49" s="629">
        <f t="shared" si="82"/>
        <v>-3.3276174534483713</v>
      </c>
      <c r="V49" s="636">
        <f t="shared" si="114"/>
        <v>-0.29330088459546821</v>
      </c>
      <c r="W49" s="585">
        <f t="shared" si="224"/>
        <v>239.42696543102323</v>
      </c>
      <c r="X49" s="629">
        <f t="shared" si="83"/>
        <v>3.8649116565735562</v>
      </c>
      <c r="Y49" s="630">
        <f t="shared" si="223"/>
        <v>-0.29330088459546821</v>
      </c>
      <c r="Z49" s="632">
        <f t="shared" si="243"/>
        <v>-0.62761706223410041</v>
      </c>
      <c r="AA49" s="629">
        <f t="shared" si="244"/>
        <v>-0.74958060272879823</v>
      </c>
      <c r="AB49" s="629">
        <f t="shared" si="245"/>
        <v>-0.21029917547477203</v>
      </c>
      <c r="AC49" s="636">
        <f t="shared" si="84"/>
        <v>1</v>
      </c>
      <c r="AD49" s="637">
        <f t="shared" si="115"/>
        <v>-0.62761706223410041</v>
      </c>
      <c r="AE49" s="629">
        <f t="shared" si="85"/>
        <v>-0.74958060272879823</v>
      </c>
      <c r="AF49" s="633">
        <f t="shared" si="86"/>
        <v>-0.21029917547477203</v>
      </c>
      <c r="AG49" s="602">
        <f t="shared" si="87"/>
        <v>-74.328228674462622</v>
      </c>
      <c r="AH49" s="603">
        <f t="shared" si="88"/>
        <v>128.87453170876827</v>
      </c>
      <c r="AI49" s="585">
        <f t="shared" si="89"/>
        <v>-77.86011473755832</v>
      </c>
      <c r="AJ49" s="586">
        <f t="shared" si="90"/>
        <v>-39.939133680033812</v>
      </c>
      <c r="AK49" s="635">
        <f t="shared" si="211"/>
        <v>0.96460383269865813</v>
      </c>
      <c r="AL49" s="629">
        <f t="shared" si="91"/>
        <v>-0.15910280556197059</v>
      </c>
      <c r="AM49" s="634">
        <f t="shared" si="92"/>
        <v>-0.21029917547477203</v>
      </c>
      <c r="AN49" s="581">
        <f t="shared" si="93"/>
        <v>-37.1094944849456</v>
      </c>
      <c r="AO49" s="582">
        <f t="shared" si="94"/>
        <v>15.289918653648359</v>
      </c>
      <c r="AP49" s="585">
        <f t="shared" si="95"/>
        <v>-9.3660991110570322</v>
      </c>
      <c r="AQ49" s="586">
        <f t="shared" si="246"/>
        <v>0.58983136001562797</v>
      </c>
      <c r="AS49" s="52">
        <f t="shared" si="406"/>
        <v>239.42696543102323</v>
      </c>
      <c r="AT49" s="72">
        <f t="shared" si="247"/>
        <v>-0.20956961058923435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4.1210000000000004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3.8553329120868258</v>
      </c>
      <c r="C50" s="708">
        <v>-2.32844276445624</v>
      </c>
      <c r="D50" s="709">
        <v>-0.73760222460831004</v>
      </c>
      <c r="E50" s="710">
        <v>0.68496263765696286</v>
      </c>
      <c r="F50" s="708">
        <v>0.71158451347215268</v>
      </c>
      <c r="G50" s="711">
        <v>0.15644061237612222</v>
      </c>
      <c r="H50" s="710">
        <v>0.314</v>
      </c>
      <c r="I50" s="708">
        <v>0.52</v>
      </c>
      <c r="J50" s="570">
        <v>4.1289999999999996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4.1289999999999996</v>
      </c>
      <c r="N50" s="632">
        <f t="shared" si="240"/>
        <v>3.8553329120868258</v>
      </c>
      <c r="O50" s="629">
        <f t="shared" si="241"/>
        <v>-2.32844276445624</v>
      </c>
      <c r="P50" s="633">
        <f t="shared" si="242"/>
        <v>-0.73760222460831004</v>
      </c>
      <c r="Q50" s="585">
        <f t="shared" si="113"/>
        <v>328.86996551144404</v>
      </c>
      <c r="R50" s="629">
        <f t="shared" si="79"/>
        <v>4.5039135838033681</v>
      </c>
      <c r="S50" s="634">
        <f t="shared" si="80"/>
        <v>-0.73760222460831004</v>
      </c>
      <c r="T50" s="635">
        <f t="shared" si="81"/>
        <v>-2.3284427644562431</v>
      </c>
      <c r="U50" s="629">
        <f t="shared" si="82"/>
        <v>-3.8553329120868236</v>
      </c>
      <c r="V50" s="636">
        <f t="shared" si="114"/>
        <v>-0.73760222460831004</v>
      </c>
      <c r="W50" s="585">
        <f t="shared" si="224"/>
        <v>238.86996551144404</v>
      </c>
      <c r="X50" s="629">
        <f t="shared" si="83"/>
        <v>4.5039135838033681</v>
      </c>
      <c r="Y50" s="630">
        <f t="shared" si="223"/>
        <v>-0.73760222460831004</v>
      </c>
      <c r="Z50" s="632">
        <f t="shared" si="243"/>
        <v>-0.68496263765696286</v>
      </c>
      <c r="AA50" s="629">
        <f t="shared" si="244"/>
        <v>-0.71158451347215268</v>
      </c>
      <c r="AB50" s="629">
        <f t="shared" si="245"/>
        <v>-0.15644061237612222</v>
      </c>
      <c r="AC50" s="636">
        <f t="shared" si="84"/>
        <v>1</v>
      </c>
      <c r="AD50" s="637">
        <f t="shared" si="115"/>
        <v>-0.68496263765696286</v>
      </c>
      <c r="AE50" s="629">
        <f t="shared" si="85"/>
        <v>-0.71158451347215268</v>
      </c>
      <c r="AF50" s="633">
        <f t="shared" si="86"/>
        <v>-0.15644061237612222</v>
      </c>
      <c r="AG50" s="602">
        <f t="shared" si="87"/>
        <v>-77.600874796853873</v>
      </c>
      <c r="AH50" s="603">
        <f t="shared" si="88"/>
        <v>133.23266888347771</v>
      </c>
      <c r="AI50" s="585">
        <f t="shared" si="89"/>
        <v>-80.999643393000653</v>
      </c>
      <c r="AJ50" s="586">
        <f t="shared" si="90"/>
        <v>-43.907923440503389</v>
      </c>
      <c r="AK50" s="635">
        <f t="shared" si="211"/>
        <v>0.96322707160650967</v>
      </c>
      <c r="AL50" s="629">
        <f t="shared" si="91"/>
        <v>-0.21844894901036233</v>
      </c>
      <c r="AM50" s="634">
        <f t="shared" si="92"/>
        <v>-0.15644061237612222</v>
      </c>
      <c r="AN50" s="581">
        <f t="shared" si="93"/>
        <v>-54.391933055010732</v>
      </c>
      <c r="AO50" s="582">
        <f t="shared" si="94"/>
        <v>15.586250763293522</v>
      </c>
      <c r="AP50" s="585">
        <f t="shared" si="95"/>
        <v>-12.777888951947403</v>
      </c>
      <c r="AQ50" s="586">
        <f t="shared" si="246"/>
        <v>0.5061525462008617</v>
      </c>
      <c r="AS50" s="52">
        <f t="shared" si="406"/>
        <v>238.86996551144404</v>
      </c>
      <c r="AT50" s="72">
        <f t="shared" si="247"/>
        <v>-0.65348414510236841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4.1289999999999996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4.2719498252017276</v>
      </c>
      <c r="C51" s="708">
        <v>-2.6328547615495719</v>
      </c>
      <c r="D51" s="709">
        <v>-1.3229039898784338</v>
      </c>
      <c r="E51" s="710">
        <v>0.7168532055450404</v>
      </c>
      <c r="F51" s="708">
        <v>0.68806974079730754</v>
      </c>
      <c r="G51" s="711">
        <v>0.11261222624087674</v>
      </c>
      <c r="H51" s="710">
        <v>0.314</v>
      </c>
      <c r="I51" s="708">
        <v>0.52</v>
      </c>
      <c r="J51" s="570">
        <v>4.1379999999999999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4.1379999999999999</v>
      </c>
      <c r="N51" s="632">
        <f t="shared" si="240"/>
        <v>4.2719498252017276</v>
      </c>
      <c r="O51" s="629">
        <f t="shared" si="241"/>
        <v>-2.6328547615495719</v>
      </c>
      <c r="P51" s="633">
        <f t="shared" si="242"/>
        <v>-1.3229039898784338</v>
      </c>
      <c r="Q51" s="585">
        <f t="shared" si="113"/>
        <v>328.35396558594528</v>
      </c>
      <c r="R51" s="629">
        <f t="shared" si="79"/>
        <v>5.0181151346352468</v>
      </c>
      <c r="S51" s="634">
        <f t="shared" si="80"/>
        <v>-1.3229039898784338</v>
      </c>
      <c r="T51" s="635">
        <f t="shared" si="81"/>
        <v>-2.6328547615495719</v>
      </c>
      <c r="U51" s="629">
        <f t="shared" si="82"/>
        <v>-4.2719498252017276</v>
      </c>
      <c r="V51" s="636">
        <f t="shared" si="114"/>
        <v>-1.3229039898784338</v>
      </c>
      <c r="W51" s="585">
        <f t="shared" si="224"/>
        <v>238.35396558594528</v>
      </c>
      <c r="X51" s="629">
        <f t="shared" si="83"/>
        <v>5.0181151346352468</v>
      </c>
      <c r="Y51" s="630">
        <f t="shared" si="223"/>
        <v>-1.3229039898784338</v>
      </c>
      <c r="Z51" s="632">
        <f t="shared" si="243"/>
        <v>-0.7168532055450404</v>
      </c>
      <c r="AA51" s="629">
        <f t="shared" si="244"/>
        <v>-0.68806974079730754</v>
      </c>
      <c r="AB51" s="629">
        <f t="shared" si="245"/>
        <v>-0.11261222624087674</v>
      </c>
      <c r="AC51" s="636">
        <f t="shared" si="84"/>
        <v>1</v>
      </c>
      <c r="AD51" s="637">
        <f t="shared" si="115"/>
        <v>-0.7168532055450404</v>
      </c>
      <c r="AE51" s="629">
        <f t="shared" si="85"/>
        <v>-0.68806974079730754</v>
      </c>
      <c r="AF51" s="633">
        <f t="shared" si="86"/>
        <v>-0.11261222624087674</v>
      </c>
      <c r="AG51" s="602">
        <f t="shared" si="87"/>
        <v>-80.705150861529219</v>
      </c>
      <c r="AH51" s="603">
        <f t="shared" si="88"/>
        <v>135.79528266812827</v>
      </c>
      <c r="AI51" s="585">
        <f t="shared" si="89"/>
        <v>-83.534079010530121</v>
      </c>
      <c r="AJ51" s="586">
        <f t="shared" si="90"/>
        <v>-46.173687404542093</v>
      </c>
      <c r="AK51" s="635">
        <f t="shared" si="211"/>
        <v>0.96186907932072274</v>
      </c>
      <c r="AL51" s="629">
        <f t="shared" si="91"/>
        <v>-0.2492516012943129</v>
      </c>
      <c r="AM51" s="634">
        <f t="shared" si="92"/>
        <v>-0.11261222624087674</v>
      </c>
      <c r="AN51" s="581">
        <f t="shared" si="93"/>
        <v>-65.68648013976204</v>
      </c>
      <c r="AO51" s="582">
        <f t="shared" si="94"/>
        <v>15.873256342070034</v>
      </c>
      <c r="AP51" s="585">
        <f t="shared" si="95"/>
        <v>-14.527652990487333</v>
      </c>
      <c r="AQ51" s="586">
        <f t="shared" si="246"/>
        <v>0.45428986733198473</v>
      </c>
      <c r="AS51" s="52">
        <f t="shared" si="406"/>
        <v>238.35396558594528</v>
      </c>
      <c r="AT51" s="72">
        <f t="shared" si="247"/>
        <v>-1.2384275770908959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4.1379999999999999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4.5800167605862088</v>
      </c>
      <c r="C52" s="708">
        <v>-2.8688117987947623</v>
      </c>
      <c r="D52" s="709">
        <v>-1.9999060317165918</v>
      </c>
      <c r="E52" s="710">
        <v>0.7471478274416633</v>
      </c>
      <c r="F52" s="708">
        <v>0.6601550021290038</v>
      </c>
      <c r="G52" s="711">
        <v>7.7236630644129764E-2</v>
      </c>
      <c r="H52" s="710">
        <v>0.314</v>
      </c>
      <c r="I52" s="708">
        <v>0.52</v>
      </c>
      <c r="J52" s="570">
        <v>4.1470000000000002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4.1470000000000002</v>
      </c>
      <c r="N52" s="632">
        <f t="shared" si="240"/>
        <v>4.5800167605862088</v>
      </c>
      <c r="O52" s="629">
        <f t="shared" si="241"/>
        <v>-2.8688117987947623</v>
      </c>
      <c r="P52" s="633">
        <f t="shared" si="242"/>
        <v>-1.9999060317165918</v>
      </c>
      <c r="Q52" s="585">
        <f t="shared" si="113"/>
        <v>327.93796564600819</v>
      </c>
      <c r="R52" s="629">
        <f t="shared" si="79"/>
        <v>5.4043162994179594</v>
      </c>
      <c r="S52" s="634">
        <f t="shared" si="80"/>
        <v>-1.9999060317165918</v>
      </c>
      <c r="T52" s="635">
        <f t="shared" si="81"/>
        <v>-2.8688117987947637</v>
      </c>
      <c r="U52" s="629">
        <f t="shared" si="82"/>
        <v>-4.5800167605862079</v>
      </c>
      <c r="V52" s="636">
        <f t="shared" si="114"/>
        <v>-1.9999060317165918</v>
      </c>
      <c r="W52" s="585">
        <f t="shared" si="224"/>
        <v>237.93796564600819</v>
      </c>
      <c r="X52" s="629">
        <f t="shared" si="83"/>
        <v>5.4043162994179594</v>
      </c>
      <c r="Y52" s="630">
        <f t="shared" si="223"/>
        <v>-1.9999060317165918</v>
      </c>
      <c r="Z52" s="632">
        <f t="shared" si="243"/>
        <v>-0.7471478274416633</v>
      </c>
      <c r="AA52" s="629">
        <f t="shared" si="244"/>
        <v>-0.6601550021290038</v>
      </c>
      <c r="AB52" s="629">
        <f t="shared" si="245"/>
        <v>-7.7236630644129764E-2</v>
      </c>
      <c r="AC52" s="636">
        <f t="shared" si="84"/>
        <v>1</v>
      </c>
      <c r="AD52" s="637">
        <f t="shared" si="115"/>
        <v>-0.7471478274416633</v>
      </c>
      <c r="AE52" s="629">
        <f t="shared" si="85"/>
        <v>-0.6601550021290038</v>
      </c>
      <c r="AF52" s="633">
        <f t="shared" si="86"/>
        <v>-7.7236630644129764E-2</v>
      </c>
      <c r="AG52" s="602">
        <f t="shared" si="87"/>
        <v>-83.326862370068923</v>
      </c>
      <c r="AH52" s="603">
        <f t="shared" si="88"/>
        <v>138.34391423861874</v>
      </c>
      <c r="AI52" s="585">
        <f t="shared" si="89"/>
        <v>-85.570255301626545</v>
      </c>
      <c r="AJ52" s="586">
        <f t="shared" si="90"/>
        <v>-48.537254079118711</v>
      </c>
      <c r="AK52" s="635">
        <f t="shared" si="211"/>
        <v>0.95607791825594202</v>
      </c>
      <c r="AL52" s="629">
        <f t="shared" si="91"/>
        <v>-0.28275345640703808</v>
      </c>
      <c r="AM52" s="634">
        <f t="shared" si="92"/>
        <v>-7.7236630644129764E-2</v>
      </c>
      <c r="AN52" s="581">
        <f t="shared" si="93"/>
        <v>-74.721864086814321</v>
      </c>
      <c r="AO52" s="582">
        <f t="shared" si="94"/>
        <v>17.04439689267922</v>
      </c>
      <c r="AP52" s="585">
        <f t="shared" si="95"/>
        <v>-16.475219725126891</v>
      </c>
      <c r="AQ52" s="586">
        <f t="shared" si="246"/>
        <v>0.42182679846711346</v>
      </c>
      <c r="AS52" s="52">
        <f t="shared" si="406"/>
        <v>237.93796564600819</v>
      </c>
      <c r="AT52" s="72">
        <f t="shared" si="247"/>
        <v>-1.9151407300818752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4.1470000000000002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4.7868430986444865</v>
      </c>
      <c r="C53" s="708">
        <v>-3.0327900910443684</v>
      </c>
      <c r="D53" s="709">
        <v>-2.7341082460704698</v>
      </c>
      <c r="E53" s="710">
        <v>0.78840822493314755</v>
      </c>
      <c r="F53" s="708">
        <v>0.61278799099185721</v>
      </c>
      <c r="G53" s="711">
        <v>5.3882733356124722E-2</v>
      </c>
      <c r="H53" s="710">
        <v>0.314</v>
      </c>
      <c r="I53" s="708">
        <v>0.52</v>
      </c>
      <c r="J53" s="570">
        <v>4.1559999999999997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4.1559999999999997</v>
      </c>
      <c r="N53" s="632">
        <f t="shared" si="240"/>
        <v>4.7868430986444865</v>
      </c>
      <c r="O53" s="629">
        <f t="shared" si="241"/>
        <v>-3.0327900910443684</v>
      </c>
      <c r="P53" s="633">
        <f t="shared" si="242"/>
        <v>-2.7341082460704698</v>
      </c>
      <c r="Q53" s="585">
        <f t="shared" si="113"/>
        <v>327.6429656886009</v>
      </c>
      <c r="R53" s="629">
        <f t="shared" ref="R53:R58" si="410">IF(M53="","",SQRT(N53^2+O53^2))</f>
        <v>5.6667170908187448</v>
      </c>
      <c r="S53" s="634">
        <f t="shared" ref="S53:S58" si="411">IF(M53="","",P53)</f>
        <v>-2.7341082460704698</v>
      </c>
      <c r="T53" s="635">
        <f t="shared" ref="T53:T58" si="412">IF(M53="","",X53*COS(RADIANS(W53)))</f>
        <v>-3.0327900910443697</v>
      </c>
      <c r="U53" s="629">
        <f t="shared" ref="U53:U58" si="413">IF(M53="","",X53*SIN(RADIANS(W53)))</f>
        <v>-4.7868430986444857</v>
      </c>
      <c r="V53" s="636">
        <f t="shared" ref="V53:V58" si="414">IF(M53="","",Y53)</f>
        <v>-2.7341082460704698</v>
      </c>
      <c r="W53" s="585">
        <f t="shared" si="224"/>
        <v>237.6429656886009</v>
      </c>
      <c r="X53" s="629">
        <f t="shared" ref="X53:X58" si="415">IF(M53="","",R53)</f>
        <v>5.6667170908187448</v>
      </c>
      <c r="Y53" s="630">
        <f t="shared" si="223"/>
        <v>-2.7341082460704698</v>
      </c>
      <c r="Z53" s="632">
        <f t="shared" si="243"/>
        <v>-0.78840822493314755</v>
      </c>
      <c r="AA53" s="629">
        <f t="shared" si="244"/>
        <v>-0.61278799099185721</v>
      </c>
      <c r="AB53" s="629">
        <f t="shared" si="245"/>
        <v>-5.3882733356124722E-2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-0.78840822493314755</v>
      </c>
      <c r="AE53" s="629">
        <f t="shared" ref="AE53:AE58" si="418">IF(M53="","",AA53*(1/SQRT(Z53^2+AA53^2+AB53^2)))</f>
        <v>-0.61278799099185721</v>
      </c>
      <c r="AF53" s="633">
        <f t="shared" ref="AF53:AF58" si="419">IF(M53="","",AB53*(1/SQRT(Z53^2+AA53^2+AB53^2)))</f>
        <v>-5.3882733356124722E-2</v>
      </c>
      <c r="AG53" s="602">
        <f t="shared" ref="AG53:AG58" si="420">IF(M53="","",DEGREES(ATAN2(-AF53,AE53)))</f>
        <v>-84.974879855184099</v>
      </c>
      <c r="AH53" s="603">
        <f t="shared" ref="AH53:AH58" si="421">IF(M53="","",DEGREES(ACOS(AD53)))</f>
        <v>142.03700547940227</v>
      </c>
      <c r="AI53" s="585">
        <f t="shared" ref="AI53:AI58" si="422">IF(M53="","",DEGREES(-ACOS(-AF53)))</f>
        <v>-86.911250939337577</v>
      </c>
      <c r="AJ53" s="586">
        <f t="shared" ref="AJ53:AJ58" si="423">IF(M53="","",DEGREES(ATAN2(-AE53,AD53)))</f>
        <v>-52.143966947543497</v>
      </c>
      <c r="AK53" s="635">
        <f t="shared" ref="AK53:AK58" si="424">IF(M53="","",(COS(RADIANS((90-$Q$8)-W53))*AD53)+(-SIN(RADIANS((90-$Q$8)-W53))*AE53))</f>
        <v>0.93959104231854917</v>
      </c>
      <c r="AL53" s="629">
        <f t="shared" ref="AL53:AL58" si="425">IF(M53="","",(SIN(RADIANS((90-$Q$8)-W53))*AD53)+(COS(RADIANS((90-$Q$8)-W53))*AE53))</f>
        <v>-0.33803154326307372</v>
      </c>
      <c r="AM53" s="634">
        <f t="shared" ref="AM53:AM58" si="426">IF(M53="","",AF53)</f>
        <v>-5.3882733356124722E-2</v>
      </c>
      <c r="AN53" s="581">
        <f t="shared" ref="AN53:AN58" si="427">IF(M53="","",DEGREES(ATAN2(-AM53,AL53)))</f>
        <v>-80.943162049815669</v>
      </c>
      <c r="AO53" s="582">
        <f t="shared" si="94"/>
        <v>20.017009655921218</v>
      </c>
      <c r="AP53" s="585">
        <f t="shared" ref="AP53:AP58" si="428">IF(M53="","",DEGREES(ATAN2(AK53,AL53)))</f>
        <v>-19.786932636144389</v>
      </c>
      <c r="AQ53" s="586">
        <f t="shared" si="246"/>
        <v>0.40229450881856549</v>
      </c>
      <c r="AS53" s="52">
        <f t="shared" si="406"/>
        <v>237.6429656886009</v>
      </c>
      <c r="AT53" s="72">
        <f t="shared" si="247"/>
        <v>-2.6491380833542202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4.1559999999999997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4.8992256694219245</v>
      </c>
      <c r="C54" s="708">
        <v>-3.1236801322833729</v>
      </c>
      <c r="D54" s="709">
        <v>-3.5006105578414424</v>
      </c>
      <c r="E54" s="710">
        <v>0.83242669331361696</v>
      </c>
      <c r="F54" s="708">
        <v>0.55355495121897325</v>
      </c>
      <c r="G54" s="711">
        <v>2.5351848846143304E-2</v>
      </c>
      <c r="H54" s="710">
        <v>0.314</v>
      </c>
      <c r="I54" s="708">
        <v>0.52</v>
      </c>
      <c r="J54" s="570">
        <v>4.165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4.165</v>
      </c>
      <c r="N54" s="632">
        <f t="shared" si="240"/>
        <v>4.8992256694219245</v>
      </c>
      <c r="O54" s="629">
        <f t="shared" si="241"/>
        <v>-3.1236801322833729</v>
      </c>
      <c r="P54" s="633">
        <f t="shared" si="242"/>
        <v>-3.5006105578414424</v>
      </c>
      <c r="Q54" s="585">
        <f t="shared" si="113"/>
        <v>327.4789657122796</v>
      </c>
      <c r="R54" s="629">
        <f t="shared" si="410"/>
        <v>5.8103175239176537</v>
      </c>
      <c r="S54" s="634">
        <f t="shared" si="411"/>
        <v>-3.5006105578414424</v>
      </c>
      <c r="T54" s="635">
        <f t="shared" si="412"/>
        <v>-3.1236801322833707</v>
      </c>
      <c r="U54" s="629">
        <f t="shared" si="413"/>
        <v>-4.8992256694219254</v>
      </c>
      <c r="V54" s="636">
        <f t="shared" si="414"/>
        <v>-3.5006105578414424</v>
      </c>
      <c r="W54" s="585">
        <f t="shared" si="224"/>
        <v>237.4789657122796</v>
      </c>
      <c r="X54" s="629">
        <f t="shared" si="415"/>
        <v>5.8103175239176537</v>
      </c>
      <c r="Y54" s="630">
        <f t="shared" si="223"/>
        <v>-3.5006105578414424</v>
      </c>
      <c r="Z54" s="632">
        <f t="shared" si="243"/>
        <v>-0.83242669331361696</v>
      </c>
      <c r="AA54" s="629">
        <f t="shared" si="244"/>
        <v>-0.55355495121897325</v>
      </c>
      <c r="AB54" s="629">
        <f t="shared" si="245"/>
        <v>-2.5351848846143304E-2</v>
      </c>
      <c r="AC54" s="636">
        <f t="shared" si="416"/>
        <v>1</v>
      </c>
      <c r="AD54" s="637">
        <f t="shared" si="417"/>
        <v>-0.83242669331361696</v>
      </c>
      <c r="AE54" s="629">
        <f t="shared" si="418"/>
        <v>-0.55355495121897325</v>
      </c>
      <c r="AF54" s="633">
        <f t="shared" si="419"/>
        <v>-2.5351848846143304E-2</v>
      </c>
      <c r="AG54" s="602">
        <f t="shared" si="420"/>
        <v>-87.377785805773001</v>
      </c>
      <c r="AH54" s="603">
        <f t="shared" si="421"/>
        <v>146.34883107396433</v>
      </c>
      <c r="AI54" s="585">
        <f t="shared" si="422"/>
        <v>-88.54729041657518</v>
      </c>
      <c r="AJ54" s="586">
        <f t="shared" si="423"/>
        <v>-56.376513824733898</v>
      </c>
      <c r="AK54" s="635">
        <f t="shared" si="424"/>
        <v>0.91427453457859786</v>
      </c>
      <c r="AL54" s="629">
        <f t="shared" si="425"/>
        <v>-0.40430107491963307</v>
      </c>
      <c r="AM54" s="634">
        <f t="shared" si="426"/>
        <v>-2.5351848846143304E-2</v>
      </c>
      <c r="AN54" s="581">
        <f t="shared" si="427"/>
        <v>-86.411944676458631</v>
      </c>
      <c r="AO54" s="582">
        <f t="shared" si="94"/>
        <v>23.897089468963991</v>
      </c>
      <c r="AP54" s="585">
        <f t="shared" si="428"/>
        <v>-23.855479537013508</v>
      </c>
      <c r="AQ54" s="586">
        <f t="shared" si="246"/>
        <v>0.3923522231162056</v>
      </c>
      <c r="AS54" s="52">
        <f t="shared" si="406"/>
        <v>237.4789657122796</v>
      </c>
      <c r="AT54" s="72">
        <f t="shared" si="247"/>
        <v>-3.4155265062527476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4.165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4.9507108155446158</v>
      </c>
      <c r="C55" s="708">
        <v>-3.1658723409638849</v>
      </c>
      <c r="D55" s="709">
        <v>-4.2775129009789099</v>
      </c>
      <c r="E55" s="710">
        <v>0.88779956112806291</v>
      </c>
      <c r="F55" s="708">
        <v>0.46023031110608759</v>
      </c>
      <c r="G55" s="711">
        <v>1.133974343852072E-7</v>
      </c>
      <c r="H55" s="710">
        <v>0.314</v>
      </c>
      <c r="I55" s="708">
        <v>0.52</v>
      </c>
      <c r="J55" s="570">
        <v>4.1740000000000004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4.1740000000000004</v>
      </c>
      <c r="N55" s="632">
        <f t="shared" si="240"/>
        <v>4.9507108155446158</v>
      </c>
      <c r="O55" s="629">
        <f t="shared" si="241"/>
        <v>-3.1658723409638849</v>
      </c>
      <c r="P55" s="633">
        <f t="shared" si="242"/>
        <v>-4.2775129009789099</v>
      </c>
      <c r="Q55" s="585">
        <f t="shared" si="113"/>
        <v>327.40196572339698</v>
      </c>
      <c r="R55" s="629">
        <f t="shared" si="410"/>
        <v>5.8764177232758552</v>
      </c>
      <c r="S55" s="634">
        <f t="shared" si="411"/>
        <v>-4.2775129009789099</v>
      </c>
      <c r="T55" s="635">
        <f t="shared" si="412"/>
        <v>-3.1658723409638858</v>
      </c>
      <c r="U55" s="629">
        <f t="shared" si="413"/>
        <v>-4.9507108155446158</v>
      </c>
      <c r="V55" s="636">
        <f t="shared" si="414"/>
        <v>-4.2775129009789099</v>
      </c>
      <c r="W55" s="585">
        <f t="shared" si="224"/>
        <v>237.40196572339698</v>
      </c>
      <c r="X55" s="629">
        <f t="shared" si="415"/>
        <v>5.8764177232758552</v>
      </c>
      <c r="Y55" s="630">
        <f t="shared" si="223"/>
        <v>-4.2775129009789099</v>
      </c>
      <c r="Z55" s="632">
        <f t="shared" si="243"/>
        <v>-0.88779956112806291</v>
      </c>
      <c r="AA55" s="629">
        <f t="shared" si="244"/>
        <v>-0.46023031110608759</v>
      </c>
      <c r="AB55" s="629">
        <f t="shared" si="245"/>
        <v>-1.133974343852072E-7</v>
      </c>
      <c r="AC55" s="636">
        <f t="shared" si="416"/>
        <v>1</v>
      </c>
      <c r="AD55" s="637">
        <f t="shared" si="417"/>
        <v>-0.88779956112806291</v>
      </c>
      <c r="AE55" s="629">
        <f t="shared" si="418"/>
        <v>-0.46023031110608759</v>
      </c>
      <c r="AF55" s="633">
        <f t="shared" si="419"/>
        <v>-1.133974343852072E-7</v>
      </c>
      <c r="AG55" s="602">
        <f t="shared" si="420"/>
        <v>-89.999985882732531</v>
      </c>
      <c r="AH55" s="603">
        <f t="shared" si="421"/>
        <v>152.59802994513819</v>
      </c>
      <c r="AI55" s="585">
        <f t="shared" si="422"/>
        <v>-89.999993502805609</v>
      </c>
      <c r="AJ55" s="586">
        <f t="shared" si="423"/>
        <v>-62.598029945138897</v>
      </c>
      <c r="AK55" s="635">
        <f t="shared" si="424"/>
        <v>0.86602544158358574</v>
      </c>
      <c r="AL55" s="629">
        <f t="shared" si="425"/>
        <v>-0.49999993452993841</v>
      </c>
      <c r="AM55" s="634">
        <f t="shared" si="426"/>
        <v>-1.133974343852072E-7</v>
      </c>
      <c r="AN55" s="581">
        <f t="shared" si="427"/>
        <v>-89.999987005609512</v>
      </c>
      <c r="AO55" s="582">
        <f>IF(ROUND(IF(M55="",0,DEGREES(ACOS(AK55))),4)=90,0,IF(M55="","",DEGREES(ACOS(AK55))))</f>
        <v>29.99999566853651</v>
      </c>
      <c r="AP55" s="585">
        <f t="shared" si="428"/>
        <v>-29.999995668535892</v>
      </c>
      <c r="AQ55" s="586">
        <f t="shared" si="246"/>
        <v>0.38793903054567191</v>
      </c>
      <c r="AS55" s="52">
        <f t="shared" si="406"/>
        <v>237.40196572339698</v>
      </c>
      <c r="AT55" s="72">
        <f t="shared" si="247"/>
        <v>-4.1923753771757131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4.1740000000000004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1.330399608357312</v>
      </c>
      <c r="C56" s="708">
        <v>-1.9203906487652089</v>
      </c>
      <c r="D56" s="709">
        <v>-0.1460004403373282</v>
      </c>
      <c r="E56" s="710">
        <v>-0.14738945022875369</v>
      </c>
      <c r="F56" s="708">
        <v>0.21275250684661981</v>
      </c>
      <c r="G56" s="711">
        <v>0.96592583607218252</v>
      </c>
      <c r="H56" s="710">
        <v>0.25700000000000001</v>
      </c>
      <c r="I56" s="708">
        <v>0.41499999999999992</v>
      </c>
      <c r="J56" s="570">
        <v>4.2089999999999996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CPS-32193r1</v>
      </c>
      <c r="L56" s="320"/>
      <c r="M56" s="168">
        <f t="shared" si="239"/>
        <v>4.2089999999999996</v>
      </c>
      <c r="N56" s="632">
        <f t="shared" si="240"/>
        <v>1.330399608357312</v>
      </c>
      <c r="O56" s="629">
        <f t="shared" si="241"/>
        <v>-1.9203906487652089</v>
      </c>
      <c r="P56" s="633">
        <f t="shared" si="242"/>
        <v>-0.1460004403373282</v>
      </c>
      <c r="Q56" s="585">
        <f t="shared" si="113"/>
        <v>304.71326899923952</v>
      </c>
      <c r="R56" s="629">
        <f t="shared" si="410"/>
        <v>2.33620704600045</v>
      </c>
      <c r="S56" s="634">
        <f t="shared" si="411"/>
        <v>-0.1460004403373282</v>
      </c>
      <c r="T56" s="635">
        <f t="shared" si="412"/>
        <v>-1.9203906487652092</v>
      </c>
      <c r="U56" s="629">
        <f t="shared" si="413"/>
        <v>-1.3303996083573115</v>
      </c>
      <c r="V56" s="636">
        <f t="shared" si="414"/>
        <v>-0.1460004403373282</v>
      </c>
      <c r="W56" s="585">
        <f t="shared" si="224"/>
        <v>214.71326899923952</v>
      </c>
      <c r="X56" s="629">
        <f t="shared" si="415"/>
        <v>2.33620704600045</v>
      </c>
      <c r="Y56" s="630">
        <f t="shared" si="223"/>
        <v>-0.1460004403373282</v>
      </c>
      <c r="Z56" s="632">
        <f t="shared" si="243"/>
        <v>0.14738945022875369</v>
      </c>
      <c r="AA56" s="629">
        <f t="shared" si="244"/>
        <v>-0.21275250684661981</v>
      </c>
      <c r="AB56" s="629">
        <f t="shared" si="245"/>
        <v>-0.96592583607218252</v>
      </c>
      <c r="AC56" s="636">
        <f t="shared" si="416"/>
        <v>1</v>
      </c>
      <c r="AD56" s="637">
        <f t="shared" si="417"/>
        <v>0.14738945022875369</v>
      </c>
      <c r="AE56" s="629">
        <f t="shared" si="418"/>
        <v>-0.21275250684661981</v>
      </c>
      <c r="AF56" s="633">
        <f t="shared" si="419"/>
        <v>-0.96592583607218252</v>
      </c>
      <c r="AG56" s="602">
        <f t="shared" si="420"/>
        <v>-12.421495806449796</v>
      </c>
      <c r="AH56" s="603">
        <f t="shared" si="421"/>
        <v>81.524328451491911</v>
      </c>
      <c r="AI56" s="585">
        <f t="shared" si="422"/>
        <v>-14.999997834273763</v>
      </c>
      <c r="AJ56" s="586">
        <f t="shared" si="423"/>
        <v>34.713218792763328</v>
      </c>
      <c r="AK56" s="635">
        <f t="shared" si="424"/>
        <v>2.2679489661281416E-7</v>
      </c>
      <c r="AL56" s="629">
        <f t="shared" si="425"/>
        <v>0.25881900859133944</v>
      </c>
      <c r="AM56" s="634">
        <f t="shared" si="426"/>
        <v>-0.96592583607218252</v>
      </c>
      <c r="AN56" s="581">
        <f t="shared" si="427"/>
        <v>14.999997834268278</v>
      </c>
      <c r="AO56" s="582">
        <f t="shared" ref="AO56:AO119" si="461">IF(ROUND(IF(M56="",0,DEGREES(ACOS(AK56))),4)=90,0,IF(M56="","",DEGREES(ACOS(AK56))))</f>
        <v>0</v>
      </c>
      <c r="AP56" s="585">
        <f t="shared" si="428"/>
        <v>89.999949793523811</v>
      </c>
      <c r="AQ56" s="586">
        <f t="shared" si="246"/>
        <v>0.97572954849078064</v>
      </c>
      <c r="AS56" s="52">
        <f t="shared" si="406"/>
        <v>214.71326899923952</v>
      </c>
      <c r="AT56" s="72">
        <f t="shared" si="247"/>
        <v>-4.5106877142355645E-2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4.2089999999999996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4.109</v>
      </c>
      <c r="II56" s="734" cm="1">
        <f t="array" ref="II56">IFERROR(ROUND(VALUE(IF($IH56&lt;1,$IH56+LARGE((IF($M$9:$M$150="",0,$M$9:$M$150)-MOD(IF($M$9:$M$150="",0,$M$9:$M$150),1)),1),$IH56)),4),"")</f>
        <v>4.109</v>
      </c>
      <c r="IJ56" s="533">
        <f t="shared" si="112"/>
        <v>1613</v>
      </c>
      <c r="IK56" s="533" t="str">
        <f t="shared" si="382"/>
        <v>CPS-32193r1</v>
      </c>
      <c r="IL56" s="727">
        <f t="shared" si="225"/>
        <v>25.286696349052761</v>
      </c>
      <c r="IM56" s="759">
        <v>3.4711432347011899E-2</v>
      </c>
      <c r="IN56" s="5">
        <f t="shared" si="226"/>
        <v>0.52</v>
      </c>
      <c r="IO56" s="771">
        <v>260</v>
      </c>
      <c r="IP56" s="9">
        <f t="shared" si="227"/>
        <v>-2.348307082494161</v>
      </c>
      <c r="IQ56" s="5">
        <f t="shared" si="228"/>
        <v>-0.15320046205259347</v>
      </c>
      <c r="IR56" s="5">
        <f t="shared" si="383"/>
        <v>0.314</v>
      </c>
      <c r="IS56" s="5">
        <f t="shared" si="229"/>
        <v>0.30330071252667318</v>
      </c>
      <c r="IT56" s="727">
        <f t="shared" si="230"/>
        <v>-14.999997834268239</v>
      </c>
      <c r="IU56" s="9">
        <f t="shared" si="231"/>
        <v>-2.33620704600045</v>
      </c>
      <c r="IV56" s="5">
        <f t="shared" si="232"/>
        <v>-0.1460004403373282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-14.999997834268278</v>
      </c>
    </row>
    <row r="57" spans="1:259" ht="15" customHeight="1" x14ac:dyDescent="0.25">
      <c r="A57" s="79"/>
      <c r="B57" s="707">
        <v>2.0415541621279045</v>
      </c>
      <c r="C57" s="708">
        <v>-2.3655581980380891</v>
      </c>
      <c r="D57" s="709">
        <v>-6.760020388221416E-2</v>
      </c>
      <c r="E57" s="710">
        <v>4.1821480740474745E-2</v>
      </c>
      <c r="F57" s="708">
        <v>-4.8458394975157623E-2</v>
      </c>
      <c r="G57" s="711">
        <v>0.99794927110805887</v>
      </c>
      <c r="H57" s="710">
        <v>0.25700000000000001</v>
      </c>
      <c r="I57" s="708">
        <v>0.41499999999999992</v>
      </c>
      <c r="J57" s="570">
        <v>4.2149999999999999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CPS-32193r1</v>
      </c>
      <c r="L57" s="320"/>
      <c r="M57" s="168">
        <f t="shared" si="239"/>
        <v>4.2149999999999999</v>
      </c>
      <c r="N57" s="632">
        <f t="shared" si="240"/>
        <v>2.0415541621279045</v>
      </c>
      <c r="O57" s="629">
        <f t="shared" si="241"/>
        <v>-2.3655581980380891</v>
      </c>
      <c r="P57" s="633">
        <f t="shared" si="242"/>
        <v>-6.760020388221416E-2</v>
      </c>
      <c r="Q57" s="585">
        <f t="shared" si="113"/>
        <v>310.79526812110748</v>
      </c>
      <c r="R57" s="629">
        <f t="shared" si="410"/>
        <v>3.1247094241236226</v>
      </c>
      <c r="S57" s="634">
        <f t="shared" si="411"/>
        <v>-6.760020388221416E-2</v>
      </c>
      <c r="T57" s="635">
        <f t="shared" si="412"/>
        <v>-2.3655581980380895</v>
      </c>
      <c r="U57" s="629">
        <f t="shared" si="413"/>
        <v>-2.0415541621279041</v>
      </c>
      <c r="V57" s="636">
        <f t="shared" si="414"/>
        <v>-6.760020388221416E-2</v>
      </c>
      <c r="W57" s="585">
        <f t="shared" si="224"/>
        <v>220.79526812110748</v>
      </c>
      <c r="X57" s="629">
        <f t="shared" si="415"/>
        <v>3.1247094241236226</v>
      </c>
      <c r="Y57" s="630">
        <f t="shared" si="223"/>
        <v>-6.760020388221416E-2</v>
      </c>
      <c r="Z57" s="632">
        <f t="shared" si="243"/>
        <v>-4.1821480740474745E-2</v>
      </c>
      <c r="AA57" s="629">
        <f t="shared" si="244"/>
        <v>4.8458394975157623E-2</v>
      </c>
      <c r="AB57" s="629">
        <f t="shared" si="245"/>
        <v>-0.99794927110805887</v>
      </c>
      <c r="AC57" s="636">
        <f t="shared" si="416"/>
        <v>1</v>
      </c>
      <c r="AD57" s="637">
        <f t="shared" si="417"/>
        <v>-4.1821480740474745E-2</v>
      </c>
      <c r="AE57" s="629">
        <f t="shared" si="418"/>
        <v>4.8458394975157623E-2</v>
      </c>
      <c r="AF57" s="633">
        <f t="shared" si="419"/>
        <v>-0.99794927110805887</v>
      </c>
      <c r="AG57" s="602">
        <f t="shared" si="420"/>
        <v>2.7799834035576536</v>
      </c>
      <c r="AH57" s="603">
        <f t="shared" si="421"/>
        <v>92.396893394887229</v>
      </c>
      <c r="AI57" s="585">
        <f t="shared" si="422"/>
        <v>-3.6699994701404934</v>
      </c>
      <c r="AJ57" s="586">
        <f t="shared" si="423"/>
        <v>-139.20452887257335</v>
      </c>
      <c r="AK57" s="635">
        <f t="shared" si="424"/>
        <v>2.2679489673077535E-7</v>
      </c>
      <c r="AL57" s="629">
        <f t="shared" si="425"/>
        <v>-6.4009782805777793E-2</v>
      </c>
      <c r="AM57" s="634">
        <f t="shared" si="426"/>
        <v>-0.99794927110805887</v>
      </c>
      <c r="AN57" s="581">
        <f t="shared" si="427"/>
        <v>-3.6699994701176357</v>
      </c>
      <c r="AO57" s="582">
        <f t="shared" si="461"/>
        <v>0</v>
      </c>
      <c r="AP57" s="585">
        <f t="shared" si="428"/>
        <v>-89.999796993680846</v>
      </c>
      <c r="AQ57" s="586">
        <f t="shared" si="246"/>
        <v>0.72954093319497437</v>
      </c>
      <c r="AS57" s="52">
        <f t="shared" si="406"/>
        <v>220.79526812110748</v>
      </c>
      <c r="AT57" s="72">
        <f t="shared" si="247"/>
        <v>2.9069748811461196E-2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4.2149999999999999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4.1150000000000002</v>
      </c>
      <c r="II57" s="734" cm="1">
        <f t="array" ref="II57">IFERROR(ROUND(VALUE(IF($IH57&lt;1,$IH57+LARGE((IF($M$9:$M$150="",0,$M$9:$M$150)-MOD(IF($M$9:$M$150="",0,$M$9:$M$150),1)),1),$IH57)),4),"")</f>
        <v>4.1150000000000002</v>
      </c>
      <c r="IJ57" s="533">
        <f t="shared" si="112"/>
        <v>1613</v>
      </c>
      <c r="IK57" s="533" t="str">
        <f t="shared" si="382"/>
        <v>CPS-32193r1</v>
      </c>
      <c r="IL57" s="727">
        <f t="shared" si="225"/>
        <v>19.092697243355587</v>
      </c>
      <c r="IM57" s="759">
        <v>3.0034895391916699E-2</v>
      </c>
      <c r="IN57" s="5">
        <f t="shared" si="226"/>
        <v>0.56000000000000005</v>
      </c>
      <c r="IO57" s="771">
        <v>280</v>
      </c>
      <c r="IP57" s="9">
        <f t="shared" si="227"/>
        <v>-3.1176094027099595</v>
      </c>
      <c r="IQ57" s="5">
        <f t="shared" si="228"/>
        <v>-8.2600249122351616E-2</v>
      </c>
      <c r="IR57" s="5">
        <f t="shared" si="383"/>
        <v>0.314</v>
      </c>
      <c r="IS57" s="5">
        <f t="shared" si="229"/>
        <v>0.30322192352552013</v>
      </c>
      <c r="IT57" s="727">
        <f t="shared" si="230"/>
        <v>8.7038778023828414</v>
      </c>
      <c r="IU57" s="9">
        <f t="shared" si="231"/>
        <v>-3.1247094241236226</v>
      </c>
      <c r="IV57" s="5">
        <f t="shared" si="232"/>
        <v>-6.760020388221416E-2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3.6699994701176357</v>
      </c>
    </row>
    <row r="58" spans="1:259" ht="15" customHeight="1" x14ac:dyDescent="0.25">
      <c r="A58" s="79"/>
      <c r="B58" s="707">
        <v>2.2010647882529173</v>
      </c>
      <c r="C58" s="708">
        <v>-4.0020722623280491</v>
      </c>
      <c r="D58" s="709">
        <v>-0.796802403156048</v>
      </c>
      <c r="E58" s="710">
        <v>0.95106335030767053</v>
      </c>
      <c r="F58" s="708">
        <v>0.26919727063446264</v>
      </c>
      <c r="G58" s="711">
        <v>0.1516948686821841</v>
      </c>
      <c r="H58" s="710">
        <v>0.314</v>
      </c>
      <c r="I58" s="708">
        <v>0.52</v>
      </c>
      <c r="J58" s="570">
        <v>5.13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5.13</v>
      </c>
      <c r="N58" s="632">
        <f t="shared" si="240"/>
        <v>2.2010647882529173</v>
      </c>
      <c r="O58" s="629">
        <f t="shared" si="241"/>
        <v>-4.0020722623280491</v>
      </c>
      <c r="P58" s="633">
        <f t="shared" si="242"/>
        <v>-0.796802403156048</v>
      </c>
      <c r="Q58" s="585">
        <f t="shared" si="113"/>
        <v>298.80996985157049</v>
      </c>
      <c r="R58" s="629">
        <f t="shared" si="410"/>
        <v>4.5674137753199471</v>
      </c>
      <c r="S58" s="634">
        <f t="shared" si="411"/>
        <v>-0.796802403156048</v>
      </c>
      <c r="T58" s="635">
        <f t="shared" si="412"/>
        <v>-4.0020722623280491</v>
      </c>
      <c r="U58" s="629">
        <f t="shared" si="413"/>
        <v>-2.2010647882529182</v>
      </c>
      <c r="V58" s="636">
        <f t="shared" si="414"/>
        <v>-0.796802403156048</v>
      </c>
      <c r="W58" s="585">
        <f t="shared" si="224"/>
        <v>208.80996985157049</v>
      </c>
      <c r="X58" s="629">
        <f t="shared" si="415"/>
        <v>4.5674137753199471</v>
      </c>
      <c r="Y58" s="630">
        <f t="shared" si="223"/>
        <v>-0.796802403156048</v>
      </c>
      <c r="Z58" s="632">
        <f t="shared" si="243"/>
        <v>-0.95106335030767053</v>
      </c>
      <c r="AA58" s="629">
        <f t="shared" si="244"/>
        <v>-0.26919727063446264</v>
      </c>
      <c r="AB58" s="629">
        <f t="shared" si="245"/>
        <v>-0.1516948686821841</v>
      </c>
      <c r="AC58" s="636">
        <f t="shared" si="416"/>
        <v>1</v>
      </c>
      <c r="AD58" s="637">
        <f t="shared" si="417"/>
        <v>-0.95106335030767053</v>
      </c>
      <c r="AE58" s="629">
        <f t="shared" si="418"/>
        <v>-0.26919727063446264</v>
      </c>
      <c r="AF58" s="633">
        <f t="shared" si="419"/>
        <v>-0.1516948686821841</v>
      </c>
      <c r="AG58" s="602">
        <f t="shared" si="420"/>
        <v>-60.598384190691284</v>
      </c>
      <c r="AH58" s="603">
        <f t="shared" si="421"/>
        <v>162.00126715814338</v>
      </c>
      <c r="AI58" s="585">
        <f t="shared" si="422"/>
        <v>-81.274840532534313</v>
      </c>
      <c r="AJ58" s="586">
        <f t="shared" si="423"/>
        <v>-74.195902129625239</v>
      </c>
      <c r="AK58" s="635">
        <f t="shared" si="424"/>
        <v>0.96307124860004345</v>
      </c>
      <c r="AL58" s="629">
        <f t="shared" si="425"/>
        <v>-0.22244648105881162</v>
      </c>
      <c r="AM58" s="634">
        <f t="shared" si="426"/>
        <v>-0.1516948686821841</v>
      </c>
      <c r="AN58" s="581">
        <f t="shared" si="427"/>
        <v>-55.708408649366866</v>
      </c>
      <c r="AO58" s="582">
        <f t="shared" si="461"/>
        <v>15.619444344240655</v>
      </c>
      <c r="AP58" s="585">
        <f t="shared" si="428"/>
        <v>-13.005871981195719</v>
      </c>
      <c r="AQ58" s="586">
        <f t="shared" si="246"/>
        <v>0.49911592815917827</v>
      </c>
      <c r="AS58" s="52">
        <f t="shared" si="406"/>
        <v>208.80996985157049</v>
      </c>
      <c r="AT58" s="72">
        <f t="shared" si="247"/>
        <v>-0.69180932666408301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5.13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2.4025078250076639</v>
      </c>
      <c r="C59" s="708">
        <v>-4.4615737501843826</v>
      </c>
      <c r="D59" s="709">
        <v>-1.3943042052214831</v>
      </c>
      <c r="E59" s="710">
        <v>0.96794713093896656</v>
      </c>
      <c r="F59" s="708">
        <v>0.22113748125139451</v>
      </c>
      <c r="G59" s="711">
        <v>0.1190653857878614</v>
      </c>
      <c r="H59" s="710">
        <v>0.314</v>
      </c>
      <c r="I59" s="708">
        <v>0.52</v>
      </c>
      <c r="J59" s="570">
        <v>5.1390000000000002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5.1390000000000002</v>
      </c>
      <c r="N59" s="632">
        <f t="shared" si="240"/>
        <v>2.4025078250076639</v>
      </c>
      <c r="O59" s="629">
        <f t="shared" si="241"/>
        <v>-4.4615737501843826</v>
      </c>
      <c r="P59" s="633">
        <f t="shared" si="242"/>
        <v>-1.3943042052214831</v>
      </c>
      <c r="Q59" s="585">
        <f t="shared" si="113"/>
        <v>298.30196992491659</v>
      </c>
      <c r="R59" s="629">
        <f t="shared" si="79"/>
        <v>5.0673152830228938</v>
      </c>
      <c r="S59" s="634">
        <f t="shared" si="80"/>
        <v>-1.3943042052214831</v>
      </c>
      <c r="T59" s="635">
        <f t="shared" si="81"/>
        <v>-4.4615737501843817</v>
      </c>
      <c r="U59" s="629">
        <f t="shared" si="82"/>
        <v>-2.4025078250076644</v>
      </c>
      <c r="V59" s="636">
        <f t="shared" si="114"/>
        <v>-1.3943042052214831</v>
      </c>
      <c r="W59" s="585">
        <f t="shared" si="224"/>
        <v>208.30196992491659</v>
      </c>
      <c r="X59" s="629">
        <f t="shared" si="83"/>
        <v>5.0673152830228938</v>
      </c>
      <c r="Y59" s="630">
        <f t="shared" si="223"/>
        <v>-1.3943042052214831</v>
      </c>
      <c r="Z59" s="632">
        <f t="shared" si="243"/>
        <v>-0.96794713093896656</v>
      </c>
      <c r="AA59" s="629">
        <f t="shared" si="244"/>
        <v>-0.22113748125139451</v>
      </c>
      <c r="AB59" s="629">
        <f t="shared" si="245"/>
        <v>-0.1190653857878614</v>
      </c>
      <c r="AC59" s="636">
        <f t="shared" si="84"/>
        <v>1</v>
      </c>
      <c r="AD59" s="637">
        <f t="shared" si="115"/>
        <v>-0.96794713093896656</v>
      </c>
      <c r="AE59" s="629">
        <f t="shared" si="85"/>
        <v>-0.22113748125139451</v>
      </c>
      <c r="AF59" s="633">
        <f t="shared" si="86"/>
        <v>-0.1190653857878614</v>
      </c>
      <c r="AG59" s="602">
        <f t="shared" si="87"/>
        <v>-61.70098019870008</v>
      </c>
      <c r="AH59" s="603">
        <f t="shared" si="88"/>
        <v>165.45418718173144</v>
      </c>
      <c r="AI59" s="585">
        <f t="shared" si="89"/>
        <v>-83.161833580512194</v>
      </c>
      <c r="AJ59" s="586">
        <f t="shared" si="90"/>
        <v>-77.131050247592498</v>
      </c>
      <c r="AK59" s="635">
        <f t="shared" si="211"/>
        <v>0.95708511691014664</v>
      </c>
      <c r="AL59" s="629">
        <f t="shared" si="91"/>
        <v>-0.26421868385161296</v>
      </c>
      <c r="AM59" s="634">
        <f t="shared" si="92"/>
        <v>-0.1190653857878614</v>
      </c>
      <c r="AN59" s="581">
        <f t="shared" si="93"/>
        <v>-65.742150233035389</v>
      </c>
      <c r="AO59" s="582">
        <f t="shared" si="461"/>
        <v>16.846399862979283</v>
      </c>
      <c r="AP59" s="585">
        <f t="shared" si="95"/>
        <v>-15.43302017250908</v>
      </c>
      <c r="AQ59" s="586">
        <f t="shared" si="246"/>
        <v>0.4498792071532407</v>
      </c>
      <c r="AS59" s="52">
        <f t="shared" si="406"/>
        <v>208.30196992491659</v>
      </c>
      <c r="AT59" s="72">
        <f t="shared" si="247"/>
        <v>-1.2889583510026752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5.1390000000000002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2.5452254799539671</v>
      </c>
      <c r="C60" s="708">
        <v>-4.8073034003257105</v>
      </c>
      <c r="D60" s="709">
        <v>-2.0792062708861128</v>
      </c>
      <c r="E60" s="710">
        <v>0.97999823155697319</v>
      </c>
      <c r="F60" s="708">
        <v>0.18153142674620068</v>
      </c>
      <c r="G60" s="711">
        <v>8.1546350308851906E-2</v>
      </c>
      <c r="H60" s="710">
        <v>0.314</v>
      </c>
      <c r="I60" s="708">
        <v>0.52</v>
      </c>
      <c r="J60" s="570">
        <v>5.1479999999999997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5.1479999999999997</v>
      </c>
      <c r="N60" s="632">
        <f t="shared" si="240"/>
        <v>2.5452254799539671</v>
      </c>
      <c r="O60" s="629">
        <f t="shared" si="241"/>
        <v>-4.8073034003257105</v>
      </c>
      <c r="P60" s="633">
        <f t="shared" si="242"/>
        <v>-2.0792062708861128</v>
      </c>
      <c r="Q60" s="585">
        <f t="shared" si="113"/>
        <v>297.89896998310257</v>
      </c>
      <c r="R60" s="629">
        <f t="shared" si="79"/>
        <v>5.439516405581478</v>
      </c>
      <c r="S60" s="634">
        <f t="shared" si="80"/>
        <v>-2.0792062708861128</v>
      </c>
      <c r="T60" s="635">
        <f t="shared" si="81"/>
        <v>-4.8073034003257105</v>
      </c>
      <c r="U60" s="629">
        <f t="shared" si="82"/>
        <v>-2.5452254799539671</v>
      </c>
      <c r="V60" s="636">
        <f t="shared" si="114"/>
        <v>-2.0792062708861128</v>
      </c>
      <c r="W60" s="585">
        <f t="shared" si="224"/>
        <v>207.89896998310257</v>
      </c>
      <c r="X60" s="629">
        <f t="shared" si="83"/>
        <v>5.439516405581478</v>
      </c>
      <c r="Y60" s="630">
        <f t="shared" si="223"/>
        <v>-2.0792062708861128</v>
      </c>
      <c r="Z60" s="632">
        <f t="shared" si="243"/>
        <v>-0.97999823155697319</v>
      </c>
      <c r="AA60" s="629">
        <f t="shared" si="244"/>
        <v>-0.18153142674620068</v>
      </c>
      <c r="AB60" s="629">
        <f t="shared" si="245"/>
        <v>-8.1546350308851906E-2</v>
      </c>
      <c r="AC60" s="636">
        <f t="shared" si="84"/>
        <v>1</v>
      </c>
      <c r="AD60" s="637">
        <f t="shared" si="115"/>
        <v>-0.97999823155697319</v>
      </c>
      <c r="AE60" s="629">
        <f t="shared" si="85"/>
        <v>-0.18153142674620068</v>
      </c>
      <c r="AF60" s="633">
        <f t="shared" si="86"/>
        <v>-8.1546350308851906E-2</v>
      </c>
      <c r="AG60" s="602">
        <f t="shared" si="87"/>
        <v>-65.809744779392773</v>
      </c>
      <c r="AH60" s="603">
        <f t="shared" si="88"/>
        <v>168.52114988273303</v>
      </c>
      <c r="AI60" s="585">
        <f t="shared" si="89"/>
        <v>-85.322544462165183</v>
      </c>
      <c r="AJ60" s="586">
        <f t="shared" si="90"/>
        <v>-79.505681261594503</v>
      </c>
      <c r="AK60" s="635">
        <f t="shared" si="211"/>
        <v>0.9510380809469845</v>
      </c>
      <c r="AL60" s="629">
        <f t="shared" si="91"/>
        <v>-0.29812205778838829</v>
      </c>
      <c r="AM60" s="634">
        <f t="shared" si="92"/>
        <v>-8.1546350308851906E-2</v>
      </c>
      <c r="AN60" s="581">
        <f t="shared" si="93"/>
        <v>-74.701898190534891</v>
      </c>
      <c r="AO60" s="582">
        <f t="shared" si="461"/>
        <v>18.003417840156686</v>
      </c>
      <c r="AP60" s="585">
        <f t="shared" si="95"/>
        <v>-17.40465124469706</v>
      </c>
      <c r="AQ60" s="586">
        <f t="shared" si="246"/>
        <v>0.4190971777371893</v>
      </c>
      <c r="AS60" s="52">
        <f t="shared" si="406"/>
        <v>207.89896998310257</v>
      </c>
      <c r="AT60" s="72">
        <f t="shared" si="247"/>
        <v>-1.9735805555966006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5.1479999999999997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2.6371363823895488</v>
      </c>
      <c r="C61" s="708">
        <v>-5.0403114131215094</v>
      </c>
      <c r="D61" s="709">
        <v>-2.8181084994152337</v>
      </c>
      <c r="E61" s="710">
        <v>0.98966144965721137</v>
      </c>
      <c r="F61" s="708">
        <v>0.13510028590651521</v>
      </c>
      <c r="G61" s="711">
        <v>4.8146939781931436E-2</v>
      </c>
      <c r="H61" s="710">
        <v>0.314</v>
      </c>
      <c r="I61" s="708">
        <v>0.52</v>
      </c>
      <c r="J61" s="570">
        <v>5.157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5.157</v>
      </c>
      <c r="N61" s="632">
        <f t="shared" si="240"/>
        <v>2.6371363823895488</v>
      </c>
      <c r="O61" s="629">
        <f t="shared" si="241"/>
        <v>-5.0403114131215094</v>
      </c>
      <c r="P61" s="633">
        <f t="shared" si="242"/>
        <v>-2.8181084994152337</v>
      </c>
      <c r="Q61" s="585">
        <f t="shared" si="113"/>
        <v>297.61897002352953</v>
      </c>
      <c r="R61" s="629">
        <f t="shared" si="79"/>
        <v>5.6885171565677446</v>
      </c>
      <c r="S61" s="634">
        <f t="shared" si="80"/>
        <v>-2.8181084994152337</v>
      </c>
      <c r="T61" s="635">
        <f t="shared" si="81"/>
        <v>-5.0403114131215103</v>
      </c>
      <c r="U61" s="629">
        <f t="shared" si="82"/>
        <v>-2.6371363823895453</v>
      </c>
      <c r="V61" s="636">
        <f t="shared" si="114"/>
        <v>-2.8181084994152337</v>
      </c>
      <c r="W61" s="585">
        <f t="shared" si="224"/>
        <v>207.61897002352953</v>
      </c>
      <c r="X61" s="629">
        <f t="shared" si="83"/>
        <v>5.6885171565677446</v>
      </c>
      <c r="Y61" s="630">
        <f t="shared" si="223"/>
        <v>-2.8181084994152337</v>
      </c>
      <c r="Z61" s="632">
        <f t="shared" si="243"/>
        <v>-0.98966144965721137</v>
      </c>
      <c r="AA61" s="629">
        <f t="shared" si="244"/>
        <v>-0.13510028590651521</v>
      </c>
      <c r="AB61" s="629">
        <f t="shared" si="245"/>
        <v>-4.8146939781931436E-2</v>
      </c>
      <c r="AC61" s="636">
        <f t="shared" si="84"/>
        <v>1</v>
      </c>
      <c r="AD61" s="637">
        <f t="shared" si="115"/>
        <v>-0.98966144965721137</v>
      </c>
      <c r="AE61" s="629">
        <f t="shared" si="85"/>
        <v>-0.13510028590651521</v>
      </c>
      <c r="AF61" s="633">
        <f t="shared" si="86"/>
        <v>-4.8146939781931436E-2</v>
      </c>
      <c r="AG61" s="602">
        <f t="shared" si="87"/>
        <v>-70.384987071306568</v>
      </c>
      <c r="AH61" s="603">
        <f t="shared" si="88"/>
        <v>171.75401900537548</v>
      </c>
      <c r="AI61" s="585">
        <f t="shared" si="89"/>
        <v>-87.240316636436305</v>
      </c>
      <c r="AJ61" s="586">
        <f t="shared" si="90"/>
        <v>-82.226510199272596</v>
      </c>
      <c r="AK61" s="635">
        <f t="shared" si="211"/>
        <v>0.93952072780485341</v>
      </c>
      <c r="AL61" s="629">
        <f t="shared" si="91"/>
        <v>-0.33909095271722273</v>
      </c>
      <c r="AM61" s="634">
        <f t="shared" si="92"/>
        <v>-4.8146939781931436E-2</v>
      </c>
      <c r="AN61" s="581">
        <f t="shared" si="93"/>
        <v>-81.91869032531639</v>
      </c>
      <c r="AO61" s="582">
        <f t="shared" si="461"/>
        <v>20.028775943743426</v>
      </c>
      <c r="AP61" s="585">
        <f t="shared" si="95"/>
        <v>-19.845480222802106</v>
      </c>
      <c r="AQ61" s="586">
        <f t="shared" si="246"/>
        <v>0.40075284867773453</v>
      </c>
      <c r="AS61" s="52">
        <f t="shared" si="406"/>
        <v>207.61897002352953</v>
      </c>
      <c r="AT61" s="72">
        <f t="shared" si="247"/>
        <v>-2.7122883397093513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5.157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2.6841736613748224</v>
      </c>
      <c r="C62" s="708">
        <v>-5.1630747449205288</v>
      </c>
      <c r="D62" s="709">
        <v>-3.5869108181230285</v>
      </c>
      <c r="E62" s="710">
        <v>0.99864326022290173</v>
      </c>
      <c r="F62" s="708">
        <v>4.6128138643459146E-2</v>
      </c>
      <c r="G62" s="711">
        <v>2.4162649620099945E-2</v>
      </c>
      <c r="H62" s="710">
        <v>0.314</v>
      </c>
      <c r="I62" s="708">
        <v>0.52</v>
      </c>
      <c r="J62" s="570">
        <v>5.1660000000000004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5.1660000000000004</v>
      </c>
      <c r="N62" s="632">
        <f t="shared" si="240"/>
        <v>2.6841736613748224</v>
      </c>
      <c r="O62" s="629">
        <f t="shared" si="241"/>
        <v>-5.1630747449205288</v>
      </c>
      <c r="P62" s="633">
        <f t="shared" si="242"/>
        <v>-3.5869108181230285</v>
      </c>
      <c r="Q62" s="585">
        <f t="shared" si="113"/>
        <v>297.46897004518689</v>
      </c>
      <c r="R62" s="629">
        <f t="shared" si="79"/>
        <v>5.8191175504585315</v>
      </c>
      <c r="S62" s="634">
        <f t="shared" si="80"/>
        <v>-3.5869108181230285</v>
      </c>
      <c r="T62" s="635">
        <f t="shared" si="81"/>
        <v>-5.1630747449205279</v>
      </c>
      <c r="U62" s="629">
        <f t="shared" si="82"/>
        <v>-2.6841736613748228</v>
      </c>
      <c r="V62" s="636">
        <f t="shared" si="114"/>
        <v>-3.5869108181230285</v>
      </c>
      <c r="W62" s="585">
        <f t="shared" si="224"/>
        <v>207.46897004518689</v>
      </c>
      <c r="X62" s="629">
        <f t="shared" si="83"/>
        <v>5.8191175504585315</v>
      </c>
      <c r="Y62" s="630">
        <f t="shared" si="223"/>
        <v>-3.5869108181230285</v>
      </c>
      <c r="Z62" s="632">
        <f t="shared" si="243"/>
        <v>-0.99864326022290173</v>
      </c>
      <c r="AA62" s="629">
        <f t="shared" si="244"/>
        <v>-4.6128138643459146E-2</v>
      </c>
      <c r="AB62" s="629">
        <f t="shared" si="245"/>
        <v>-2.4162649620099945E-2</v>
      </c>
      <c r="AC62" s="636">
        <f t="shared" si="84"/>
        <v>1</v>
      </c>
      <c r="AD62" s="637">
        <f t="shared" si="115"/>
        <v>-0.99864326022290173</v>
      </c>
      <c r="AE62" s="629">
        <f t="shared" si="85"/>
        <v>-4.6128138643459146E-2</v>
      </c>
      <c r="AF62" s="633">
        <f t="shared" si="86"/>
        <v>-2.4162649620099945E-2</v>
      </c>
      <c r="AG62" s="602">
        <f t="shared" si="87"/>
        <v>-62.353740731247719</v>
      </c>
      <c r="AH62" s="603">
        <f t="shared" si="88"/>
        <v>177.01506400275881</v>
      </c>
      <c r="AI62" s="585">
        <f t="shared" si="89"/>
        <v>-88.61544740789293</v>
      </c>
      <c r="AJ62" s="586">
        <f t="shared" si="90"/>
        <v>-87.355341479119446</v>
      </c>
      <c r="AK62" s="635">
        <f t="shared" si="211"/>
        <v>0.90733443431142591</v>
      </c>
      <c r="AL62" s="629">
        <f t="shared" si="91"/>
        <v>-0.41971465387343948</v>
      </c>
      <c r="AM62" s="634">
        <f t="shared" si="92"/>
        <v>-2.4162649620099945E-2</v>
      </c>
      <c r="AN62" s="581">
        <f t="shared" si="93"/>
        <v>-86.705162790052213</v>
      </c>
      <c r="AO62" s="582">
        <f t="shared" si="461"/>
        <v>24.860449387018519</v>
      </c>
      <c r="AP62" s="585">
        <f t="shared" si="95"/>
        <v>-24.824311524306331</v>
      </c>
      <c r="AQ62" s="586">
        <f t="shared" si="246"/>
        <v>0.3917589025217646</v>
      </c>
      <c r="AS62" s="52">
        <f t="shared" si="406"/>
        <v>207.46897004518689</v>
      </c>
      <c r="AT62" s="72">
        <f t="shared" si="247"/>
        <v>-3.4809864917655196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5.1660000000000004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2.7045055569725336</v>
      </c>
      <c r="C63" s="708">
        <v>-5.2170810757295358</v>
      </c>
      <c r="D63" s="709">
        <v>-4.3644131630700995</v>
      </c>
      <c r="E63" s="710">
        <v>0.99897213238538707</v>
      </c>
      <c r="F63" s="708">
        <v>-4.5328564033950296E-2</v>
      </c>
      <c r="G63" s="711">
        <v>1.1339743348317929E-7</v>
      </c>
      <c r="H63" s="710">
        <v>0.314</v>
      </c>
      <c r="I63" s="708">
        <v>0.52</v>
      </c>
      <c r="J63" s="570">
        <v>5.1749999999999998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5.1749999999999998</v>
      </c>
      <c r="N63" s="632">
        <f t="shared" si="240"/>
        <v>2.7045055569725336</v>
      </c>
      <c r="O63" s="629">
        <f t="shared" si="241"/>
        <v>-5.2170810757295358</v>
      </c>
      <c r="P63" s="633">
        <f t="shared" si="242"/>
        <v>-4.3644131630700995</v>
      </c>
      <c r="Q63" s="585">
        <f t="shared" si="113"/>
        <v>297.4019700548605</v>
      </c>
      <c r="R63" s="629">
        <f t="shared" si="79"/>
        <v>5.8764177232758534</v>
      </c>
      <c r="S63" s="634">
        <f t="shared" si="80"/>
        <v>-4.3644131630700995</v>
      </c>
      <c r="T63" s="635">
        <f t="shared" si="81"/>
        <v>-5.2170810757295349</v>
      </c>
      <c r="U63" s="629">
        <f t="shared" si="82"/>
        <v>-2.704505556972534</v>
      </c>
      <c r="V63" s="636">
        <f t="shared" si="114"/>
        <v>-4.3644131630700995</v>
      </c>
      <c r="W63" s="585">
        <f t="shared" si="224"/>
        <v>207.4019700548605</v>
      </c>
      <c r="X63" s="629">
        <f t="shared" si="83"/>
        <v>5.8764177232758534</v>
      </c>
      <c r="Y63" s="630">
        <f t="shared" si="223"/>
        <v>-4.3644131630700995</v>
      </c>
      <c r="Z63" s="632">
        <f t="shared" si="243"/>
        <v>-0.99897213238538707</v>
      </c>
      <c r="AA63" s="629">
        <f t="shared" si="244"/>
        <v>4.5328564033950296E-2</v>
      </c>
      <c r="AB63" s="629">
        <f t="shared" si="245"/>
        <v>-1.1339743348317929E-7</v>
      </c>
      <c r="AC63" s="636">
        <f t="shared" si="84"/>
        <v>1</v>
      </c>
      <c r="AD63" s="637">
        <f t="shared" si="115"/>
        <v>-0.99897213238538707</v>
      </c>
      <c r="AE63" s="629">
        <f t="shared" si="85"/>
        <v>4.5328564033950296E-2</v>
      </c>
      <c r="AF63" s="633">
        <f t="shared" si="86"/>
        <v>-1.1339743348317929E-7</v>
      </c>
      <c r="AG63" s="602">
        <f t="shared" si="87"/>
        <v>89.999856664456843</v>
      </c>
      <c r="AH63" s="603">
        <f t="shared" si="88"/>
        <v>177.40197438631651</v>
      </c>
      <c r="AI63" s="585">
        <f t="shared" si="89"/>
        <v>-89.999993502805651</v>
      </c>
      <c r="AJ63" s="586">
        <f t="shared" si="90"/>
        <v>-92.598025613675418</v>
      </c>
      <c r="AK63" s="635">
        <f t="shared" si="211"/>
        <v>0.86602544158358541</v>
      </c>
      <c r="AL63" s="629">
        <f t="shared" si="91"/>
        <v>-0.49999993452993868</v>
      </c>
      <c r="AM63" s="634">
        <f t="shared" si="92"/>
        <v>-1.1339743348317929E-7</v>
      </c>
      <c r="AN63" s="581">
        <f t="shared" si="93"/>
        <v>-89.999987005609611</v>
      </c>
      <c r="AO63" s="582">
        <f t="shared" si="461"/>
        <v>29.99999566853656</v>
      </c>
      <c r="AP63" s="585">
        <f t="shared" si="95"/>
        <v>-29.99999566853592</v>
      </c>
      <c r="AQ63" s="586">
        <f t="shared" si="246"/>
        <v>0.38793903054567208</v>
      </c>
      <c r="AS63" s="52">
        <f t="shared" si="406"/>
        <v>207.4019700548605</v>
      </c>
      <c r="AT63" s="72">
        <f t="shared" si="247"/>
        <v>-4.2584423089415306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5.1749999999999998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-0.52206389251554153</v>
      </c>
      <c r="C64" s="708">
        <v>-2.9418449958708792</v>
      </c>
      <c r="D64" s="709">
        <v>-7.4800225597480341E-2</v>
      </c>
      <c r="E64" s="710">
        <v>0.94793522716841128</v>
      </c>
      <c r="F64" s="708">
        <v>-0.18561024058570708</v>
      </c>
      <c r="G64" s="711">
        <v>0.25878107288379609</v>
      </c>
      <c r="H64" s="710">
        <v>0.314</v>
      </c>
      <c r="I64" s="708">
        <v>0.52</v>
      </c>
      <c r="J64" s="570">
        <v>6.1139999999999999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6.1139999999999999</v>
      </c>
      <c r="N64" s="632">
        <f t="shared" si="240"/>
        <v>-0.52206389251554153</v>
      </c>
      <c r="O64" s="629">
        <f t="shared" si="241"/>
        <v>-2.9418449958708792</v>
      </c>
      <c r="P64" s="633">
        <f t="shared" si="242"/>
        <v>-7.4800225597480341E-2</v>
      </c>
      <c r="Q64" s="585">
        <f t="shared" si="113"/>
        <v>259.93697546413648</v>
      </c>
      <c r="R64" s="629">
        <f t="shared" si="79"/>
        <v>2.9878090112319784</v>
      </c>
      <c r="S64" s="634">
        <f t="shared" si="80"/>
        <v>-7.4800225597480341E-2</v>
      </c>
      <c r="T64" s="635">
        <f t="shared" si="81"/>
        <v>-2.9418449958708797</v>
      </c>
      <c r="U64" s="629">
        <f t="shared" si="82"/>
        <v>0.52206389251554008</v>
      </c>
      <c r="V64" s="636">
        <f t="shared" si="114"/>
        <v>-7.4800225597480341E-2</v>
      </c>
      <c r="W64" s="585">
        <f t="shared" si="224"/>
        <v>169.93697546413648</v>
      </c>
      <c r="X64" s="629">
        <f t="shared" si="83"/>
        <v>2.9878090112319784</v>
      </c>
      <c r="Y64" s="630">
        <f t="shared" si="223"/>
        <v>-7.4800225597480341E-2</v>
      </c>
      <c r="Z64" s="632">
        <f t="shared" si="243"/>
        <v>-0.94793522716841128</v>
      </c>
      <c r="AA64" s="629">
        <f t="shared" si="244"/>
        <v>0.18561024058570708</v>
      </c>
      <c r="AB64" s="629">
        <f t="shared" si="245"/>
        <v>-0.25878107288379609</v>
      </c>
      <c r="AC64" s="636">
        <f t="shared" si="84"/>
        <v>1</v>
      </c>
      <c r="AD64" s="637">
        <f t="shared" si="115"/>
        <v>-0.94793522716841128</v>
      </c>
      <c r="AE64" s="629">
        <f t="shared" si="85"/>
        <v>0.18561024058570708</v>
      </c>
      <c r="AF64" s="633">
        <f t="shared" si="86"/>
        <v>-0.25878107288379609</v>
      </c>
      <c r="AG64" s="602">
        <f t="shared" si="87"/>
        <v>35.649911767418331</v>
      </c>
      <c r="AH64" s="603">
        <f t="shared" si="88"/>
        <v>161.4299892736864</v>
      </c>
      <c r="AI64" s="585">
        <f t="shared" si="89"/>
        <v>-75.002252384556343</v>
      </c>
      <c r="AJ64" s="586">
        <f t="shared" si="90"/>
        <v>-101.07862318716225</v>
      </c>
      <c r="AK64" s="635">
        <f t="shared" si="211"/>
        <v>0.96578425806280399</v>
      </c>
      <c r="AL64" s="629">
        <f t="shared" si="91"/>
        <v>-1.7120840960385325E-2</v>
      </c>
      <c r="AM64" s="634">
        <f t="shared" si="92"/>
        <v>-0.25878107288379609</v>
      </c>
      <c r="AN64" s="581">
        <f t="shared" si="93"/>
        <v>-3.7851471424538325</v>
      </c>
      <c r="AO64" s="582">
        <f t="shared" si="461"/>
        <v>15.031307588587516</v>
      </c>
      <c r="AP64" s="585">
        <f t="shared" si="95"/>
        <v>-1.0155986512987287</v>
      </c>
      <c r="AQ64" s="586">
        <f t="shared" si="246"/>
        <v>0.76296439063736476</v>
      </c>
      <c r="AS64" s="52">
        <f t="shared" si="406"/>
        <v>169.93697546413648</v>
      </c>
      <c r="AT64" s="72">
        <f t="shared" si="247"/>
        <v>5.7187985885758214E-2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6.1139999999999999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-0.68167419532815732</v>
      </c>
      <c r="C65" s="708">
        <v>-3.6840760745484742</v>
      </c>
      <c r="D65" s="709">
        <v>-0.23930072173097663</v>
      </c>
      <c r="E65" s="710">
        <v>0.92301066469950166</v>
      </c>
      <c r="F65" s="708">
        <v>-0.31444879558872613</v>
      </c>
      <c r="G65" s="711">
        <v>0.22175046291672937</v>
      </c>
      <c r="H65" s="710">
        <v>0.314</v>
      </c>
      <c r="I65" s="708">
        <v>0.52</v>
      </c>
      <c r="J65" s="570">
        <v>6.12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6.12</v>
      </c>
      <c r="N65" s="632">
        <f t="shared" si="240"/>
        <v>-0.68167419532815732</v>
      </c>
      <c r="O65" s="629">
        <f t="shared" si="241"/>
        <v>-3.6840760745484742</v>
      </c>
      <c r="P65" s="633">
        <f t="shared" si="242"/>
        <v>-0.23930072173097663</v>
      </c>
      <c r="Q65" s="585">
        <f t="shared" si="113"/>
        <v>259.51697552477691</v>
      </c>
      <c r="R65" s="629">
        <f t="shared" si="79"/>
        <v>3.7466112997796803</v>
      </c>
      <c r="S65" s="634">
        <f t="shared" si="80"/>
        <v>-0.23930072173097663</v>
      </c>
      <c r="T65" s="635">
        <f t="shared" si="81"/>
        <v>-3.6840760745484737</v>
      </c>
      <c r="U65" s="629">
        <f t="shared" si="82"/>
        <v>0.68167419532815909</v>
      </c>
      <c r="V65" s="636">
        <f t="shared" si="114"/>
        <v>-0.23930072173097663</v>
      </c>
      <c r="W65" s="585">
        <f t="shared" si="224"/>
        <v>169.51697552477691</v>
      </c>
      <c r="X65" s="629">
        <f t="shared" si="83"/>
        <v>3.7466112997796803</v>
      </c>
      <c r="Y65" s="630">
        <f t="shared" si="223"/>
        <v>-0.23930072173097663</v>
      </c>
      <c r="Z65" s="632">
        <f t="shared" si="243"/>
        <v>-0.92301066469950166</v>
      </c>
      <c r="AA65" s="629">
        <f t="shared" si="244"/>
        <v>0.31444879558872613</v>
      </c>
      <c r="AB65" s="629">
        <f t="shared" si="245"/>
        <v>-0.22175046291672937</v>
      </c>
      <c r="AC65" s="636">
        <f t="shared" si="84"/>
        <v>1</v>
      </c>
      <c r="AD65" s="637">
        <f t="shared" si="115"/>
        <v>-0.92301066469950166</v>
      </c>
      <c r="AE65" s="629">
        <f t="shared" si="85"/>
        <v>0.31444879558872613</v>
      </c>
      <c r="AF65" s="633">
        <f t="shared" si="86"/>
        <v>-0.22175046291672937</v>
      </c>
      <c r="AG65" s="602">
        <f t="shared" si="87"/>
        <v>54.808366825497991</v>
      </c>
      <c r="AH65" s="603">
        <f t="shared" si="88"/>
        <v>157.37026664554935</v>
      </c>
      <c r="AI65" s="585">
        <f t="shared" si="89"/>
        <v>-77.188133067577112</v>
      </c>
      <c r="AJ65" s="586">
        <f t="shared" si="90"/>
        <v>-108.81281209986003</v>
      </c>
      <c r="AK65" s="635">
        <f t="shared" si="211"/>
        <v>0.9648166961675313</v>
      </c>
      <c r="AL65" s="629">
        <f t="shared" si="91"/>
        <v>-0.1412638488523725</v>
      </c>
      <c r="AM65" s="634">
        <f t="shared" si="92"/>
        <v>-0.22175046291672937</v>
      </c>
      <c r="AN65" s="581">
        <f t="shared" si="93"/>
        <v>-32.498754565113138</v>
      </c>
      <c r="AO65" s="582">
        <f t="shared" si="461"/>
        <v>15.243600547190265</v>
      </c>
      <c r="AP65" s="585">
        <f t="shared" si="95"/>
        <v>-8.3297876246369302</v>
      </c>
      <c r="AQ65" s="586">
        <f t="shared" si="246"/>
        <v>0.60845408041368376</v>
      </c>
      <c r="AS65" s="52">
        <f t="shared" si="406"/>
        <v>169.51697552477691</v>
      </c>
      <c r="AT65" s="72">
        <f t="shared" si="247"/>
        <v>-0.10702084362318282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6.12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-0.85215727748464354</v>
      </c>
      <c r="C66" s="708">
        <v>-4.356349393527748</v>
      </c>
      <c r="D66" s="709">
        <v>-0.68020205148938717</v>
      </c>
      <c r="E66" s="710">
        <v>0.90431837985240726</v>
      </c>
      <c r="F66" s="708">
        <v>-0.3952893913477657</v>
      </c>
      <c r="G66" s="711">
        <v>0.16110420524936747</v>
      </c>
      <c r="H66" s="710">
        <v>0.314</v>
      </c>
      <c r="I66" s="708">
        <v>0.52</v>
      </c>
      <c r="J66" s="570">
        <v>6.1280000000000001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6.1280000000000001</v>
      </c>
      <c r="N66" s="632">
        <f t="shared" si="240"/>
        <v>-0.85215727748464354</v>
      </c>
      <c r="O66" s="629">
        <f t="shared" si="241"/>
        <v>-4.356349393527748</v>
      </c>
      <c r="P66" s="633">
        <f t="shared" si="242"/>
        <v>-0.68020205148938717</v>
      </c>
      <c r="Q66" s="585">
        <f t="shared" si="113"/>
        <v>258.93197560924045</v>
      </c>
      <c r="R66" s="629">
        <f t="shared" si="79"/>
        <v>4.4389133877627778</v>
      </c>
      <c r="S66" s="634">
        <f t="shared" si="80"/>
        <v>-0.68020205148938717</v>
      </c>
      <c r="T66" s="635">
        <f t="shared" si="81"/>
        <v>-4.356349393527748</v>
      </c>
      <c r="U66" s="629">
        <f t="shared" si="82"/>
        <v>0.85215727748464432</v>
      </c>
      <c r="V66" s="636">
        <f t="shared" si="114"/>
        <v>-0.68020205148938717</v>
      </c>
      <c r="W66" s="585">
        <f t="shared" si="224"/>
        <v>168.93197560924045</v>
      </c>
      <c r="X66" s="629">
        <f t="shared" si="83"/>
        <v>4.4389133877627778</v>
      </c>
      <c r="Y66" s="630">
        <f t="shared" si="223"/>
        <v>-0.68020205148938717</v>
      </c>
      <c r="Z66" s="632">
        <f t="shared" si="243"/>
        <v>-0.90431837985240726</v>
      </c>
      <c r="AA66" s="629">
        <f t="shared" si="244"/>
        <v>0.3952893913477657</v>
      </c>
      <c r="AB66" s="629">
        <f t="shared" si="245"/>
        <v>-0.16110420524936747</v>
      </c>
      <c r="AC66" s="636">
        <f t="shared" si="84"/>
        <v>1</v>
      </c>
      <c r="AD66" s="637">
        <f t="shared" si="115"/>
        <v>-0.90431837985240726</v>
      </c>
      <c r="AE66" s="629">
        <f t="shared" si="85"/>
        <v>0.3952893913477657</v>
      </c>
      <c r="AF66" s="633">
        <f t="shared" si="86"/>
        <v>-0.16110420524936747</v>
      </c>
      <c r="AG66" s="602">
        <f t="shared" si="87"/>
        <v>67.826148674067639</v>
      </c>
      <c r="AH66" s="603">
        <f t="shared" si="88"/>
        <v>154.7316361831777</v>
      </c>
      <c r="AI66" s="585">
        <f t="shared" si="89"/>
        <v>-80.729005957044222</v>
      </c>
      <c r="AJ66" s="586">
        <f t="shared" si="90"/>
        <v>-113.61076771080721</v>
      </c>
      <c r="AK66" s="635">
        <f t="shared" si="211"/>
        <v>0.96338341923152671</v>
      </c>
      <c r="AL66" s="629">
        <f t="shared" si="91"/>
        <v>-0.21433110507050157</v>
      </c>
      <c r="AM66" s="634">
        <f t="shared" si="92"/>
        <v>-0.16110420524936747</v>
      </c>
      <c r="AN66" s="581">
        <f t="shared" si="93"/>
        <v>-53.06926497550355</v>
      </c>
      <c r="AO66" s="582">
        <f t="shared" si="461"/>
        <v>15.552875995161585</v>
      </c>
      <c r="AP66" s="585">
        <f t="shared" si="95"/>
        <v>-12.542743320047673</v>
      </c>
      <c r="AQ66" s="586">
        <f t="shared" si="246"/>
        <v>0.51356387920640034</v>
      </c>
      <c r="AS66" s="52">
        <f t="shared" si="406"/>
        <v>168.93197560924045</v>
      </c>
      <c r="AT66" s="72">
        <f t="shared" si="247"/>
        <v>-0.54751592344024858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6.1280000000000001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-0.99822495089399921</v>
      </c>
      <c r="C67" s="708">
        <v>-4.8659803813899574</v>
      </c>
      <c r="D67" s="709">
        <v>-1.2525037775513934</v>
      </c>
      <c r="E67" s="710">
        <v>0.89287740043215058</v>
      </c>
      <c r="F67" s="708">
        <v>-0.43466858916681844</v>
      </c>
      <c r="G67" s="711">
        <v>0.11761447780461658</v>
      </c>
      <c r="H67" s="710">
        <v>0.314</v>
      </c>
      <c r="I67" s="708">
        <v>0.52</v>
      </c>
      <c r="J67" s="570">
        <v>6.1369999999999996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6.1369999999999996</v>
      </c>
      <c r="N67" s="632">
        <f t="shared" si="240"/>
        <v>-0.99822495089399921</v>
      </c>
      <c r="O67" s="629">
        <f t="shared" si="241"/>
        <v>-4.8659803813899574</v>
      </c>
      <c r="P67" s="633">
        <f t="shared" si="242"/>
        <v>-1.2525037775513934</v>
      </c>
      <c r="Q67" s="585">
        <f t="shared" si="113"/>
        <v>258.40697568504106</v>
      </c>
      <c r="R67" s="629">
        <f>IF(M67="","",SQRT(N67^2+O67^2))</f>
        <v>4.9673149814219837</v>
      </c>
      <c r="S67" s="634">
        <f>IF(M67="","",P67)</f>
        <v>-1.2525037775513934</v>
      </c>
      <c r="T67" s="635">
        <f>IF(M67="","",X67*COS(RADIANS(W67)))</f>
        <v>-4.8659803813899565</v>
      </c>
      <c r="U67" s="629">
        <f>IF(M67="","",X67*SIN(RADIANS(W67)))</f>
        <v>0.99822495089400132</v>
      </c>
      <c r="V67" s="636">
        <f>IF(M67="","",Y67)</f>
        <v>-1.2525037775513934</v>
      </c>
      <c r="W67" s="585">
        <f t="shared" si="224"/>
        <v>168.40697568504106</v>
      </c>
      <c r="X67" s="629">
        <f>IF(M67="","",R67)</f>
        <v>4.9673149814219837</v>
      </c>
      <c r="Y67" s="630">
        <f t="shared" si="223"/>
        <v>-1.2525037775513934</v>
      </c>
      <c r="Z67" s="632">
        <f t="shared" si="243"/>
        <v>-0.89287740043215058</v>
      </c>
      <c r="AA67" s="629">
        <f t="shared" si="244"/>
        <v>0.43466858916681844</v>
      </c>
      <c r="AB67" s="629">
        <f t="shared" si="245"/>
        <v>-0.11761447780461658</v>
      </c>
      <c r="AC67" s="636">
        <f>IF(M67="","",SQRT(Z67^2+AA67^2+AB67^2))</f>
        <v>1</v>
      </c>
      <c r="AD67" s="637">
        <f>IF(M67="","",Z67*(1/SQRT(Z67^2+AA67^2+AB67^2)))</f>
        <v>-0.89287740043215058</v>
      </c>
      <c r="AE67" s="629">
        <f>IF(M67="","",AA67*(1/SQRT(Z67^2+AA67^2+AB67^2)))</f>
        <v>0.43466858916681844</v>
      </c>
      <c r="AF67" s="633">
        <f>IF(M67="","",AB67*(1/SQRT(Z67^2+AA67^2+AB67^2)))</f>
        <v>-0.11761447780461658</v>
      </c>
      <c r="AG67" s="602">
        <f>IF(M67="","",DEGREES(ATAN2(-AF67,AE67)))</f>
        <v>74.859228484686511</v>
      </c>
      <c r="AH67" s="603">
        <f>IF(M67="","",DEGREES(ACOS(AD67)))</f>
        <v>153.23707686538418</v>
      </c>
      <c r="AI67" s="585">
        <f>IF(M67="","",DEGREES(-ACOS(-AF67)))</f>
        <v>-83.245552775024137</v>
      </c>
      <c r="AJ67" s="586">
        <f>IF(M67="","",DEGREES(ATAN2(-AE67,AD67)))</f>
        <v>-115.95764231393362</v>
      </c>
      <c r="AK67" s="635">
        <f>IF(M67="","",(COS(RADIANS((90-$Q$8)-W67))*AD67)+(-SIN(RADIANS((90-$Q$8)-W67))*AE67))</f>
        <v>0.96201287062282381</v>
      </c>
      <c r="AL67" s="629">
        <f>IF(M67="","",(SIN(RADIANS((90-$Q$8)-W67))*AD67)+(COS(RADIANS((90-$Q$8)-W67))*AE67))</f>
        <v>-0.24636978582362998</v>
      </c>
      <c r="AM67" s="634">
        <f>IF(M67="","",AF67)</f>
        <v>-0.11761447780461658</v>
      </c>
      <c r="AN67" s="581">
        <f>IF(M67="","",DEGREES(ATAN2(-AM67,AL67)))</f>
        <v>-64.480656106121444</v>
      </c>
      <c r="AO67" s="582">
        <f t="shared" si="461"/>
        <v>15.84310659715274</v>
      </c>
      <c r="AP67" s="585">
        <f>IF(M67="","",DEGREES(ATAN2(AK67,AL67)))</f>
        <v>-14.364617998974662</v>
      </c>
      <c r="AQ67" s="586">
        <f t="shared" si="246"/>
        <v>0.45893563931336362</v>
      </c>
      <c r="AS67" s="52">
        <f t="shared" si="406"/>
        <v>168.40697568504106</v>
      </c>
      <c r="AT67" s="72">
        <f t="shared" si="247"/>
        <v>-1.1194530662215607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6.1369999999999996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-1.1180082758969203</v>
      </c>
      <c r="C68" s="708">
        <v>-5.2498915269314805</v>
      </c>
      <c r="D68" s="709">
        <v>-1.9213057946582763</v>
      </c>
      <c r="E68" s="710">
        <v>0.87671150555391986</v>
      </c>
      <c r="F68" s="708">
        <v>-0.47389880305674137</v>
      </c>
      <c r="G68" s="711">
        <v>8.2443074243790493E-2</v>
      </c>
      <c r="H68" s="710">
        <v>0.314</v>
      </c>
      <c r="I68" s="708">
        <v>0.52</v>
      </c>
      <c r="J68" s="570">
        <v>6.1459999999999999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6.1459999999999999</v>
      </c>
      <c r="N68" s="632">
        <f t="shared" si="240"/>
        <v>-1.1180082758969203</v>
      </c>
      <c r="O68" s="629">
        <f t="shared" si="241"/>
        <v>-5.2498915269314805</v>
      </c>
      <c r="P68" s="633">
        <f t="shared" si="242"/>
        <v>-1.9213057946582763</v>
      </c>
      <c r="Q68" s="585">
        <f t="shared" si="113"/>
        <v>257.97797574698097</v>
      </c>
      <c r="R68" s="629">
        <f>IF(M68="","",SQRT(N68^2+O68^2))</f>
        <v>5.3676161887304268</v>
      </c>
      <c r="S68" s="634">
        <f>IF(M68="","",P68)</f>
        <v>-1.9213057946582763</v>
      </c>
      <c r="T68" s="635">
        <f>IF(M68="","",X68*COS(RADIANS(W68)))</f>
        <v>-5.2498915269314796</v>
      </c>
      <c r="U68" s="629">
        <f>IF(M68="","",X68*SIN(RADIANS(W68)))</f>
        <v>1.1180082758969232</v>
      </c>
      <c r="V68" s="636">
        <f>IF(M68="","",Y68)</f>
        <v>-1.9213057946582763</v>
      </c>
      <c r="W68" s="585">
        <f t="shared" si="224"/>
        <v>167.97797574698097</v>
      </c>
      <c r="X68" s="629">
        <f>IF(M68="","",R68)</f>
        <v>5.3676161887304268</v>
      </c>
      <c r="Y68" s="630">
        <f t="shared" si="223"/>
        <v>-1.9213057946582763</v>
      </c>
      <c r="Z68" s="632">
        <f t="shared" si="243"/>
        <v>-0.87671150555391986</v>
      </c>
      <c r="AA68" s="629">
        <f t="shared" si="244"/>
        <v>0.47389880305674137</v>
      </c>
      <c r="AB68" s="629">
        <f t="shared" si="245"/>
        <v>-8.2443074243790493E-2</v>
      </c>
      <c r="AC68" s="636">
        <f>IF(M68="","",SQRT(Z68^2+AA68^2+AB68^2))</f>
        <v>1</v>
      </c>
      <c r="AD68" s="637">
        <f>IF(M68="","",Z68*(1/SQRT(Z68^2+AA68^2+AB68^2)))</f>
        <v>-0.87671150555391986</v>
      </c>
      <c r="AE68" s="629">
        <f>IF(M68="","",AA68*(1/SQRT(Z68^2+AA68^2+AB68^2)))</f>
        <v>0.47389880305674137</v>
      </c>
      <c r="AF68" s="633">
        <f>IF(M68="","",AB68*(1/SQRT(Z68^2+AA68^2+AB68^2)))</f>
        <v>-8.2443074243790493E-2</v>
      </c>
      <c r="AG68" s="602">
        <f>IF(M68="","",DEGREES(ATAN2(-AF68,AE68)))</f>
        <v>80.131154672322182</v>
      </c>
      <c r="AH68" s="603">
        <f>IF(M68="","",DEGREES(ACOS(AD68)))</f>
        <v>151.24818344159556</v>
      </c>
      <c r="AI68" s="585">
        <f>IF(M68="","",DEGREES(-ACOS(-AF68)))</f>
        <v>-85.270992375517309</v>
      </c>
      <c r="AJ68" s="586">
        <f>IF(M68="","",DEGREES(ATAN2(-AE68,AD68)))</f>
        <v>-118.39305441702169</v>
      </c>
      <c r="AK68" s="635">
        <f>IF(M68="","",(COS(RADIANS((90-$Q$8)-W68))*AD68)+(-SIN(RADIANS((90-$Q$8)-W68))*AE68))</f>
        <v>0.95619040331195904</v>
      </c>
      <c r="AL68" s="629">
        <f>IF(M68="","",(SIN(RADIANS((90-$Q$8)-W68))*AD68)+(COS(RADIANS((90-$Q$8)-W68))*AE68))</f>
        <v>-0.28089687097464427</v>
      </c>
      <c r="AM68" s="634">
        <f>IF(M68="","",AF68)</f>
        <v>-8.2443074243790493E-2</v>
      </c>
      <c r="AN68" s="581">
        <f>IF(M68="","",DEGREES(ATAN2(-AM68,AL68)))</f>
        <v>-73.643065674459237</v>
      </c>
      <c r="AO68" s="582">
        <f t="shared" si="461"/>
        <v>17.022395254955327</v>
      </c>
      <c r="AP68" s="585">
        <f>IF(M68="","",DEGREES(ATAN2(AK68,AL68)))</f>
        <v>-16.371030164002658</v>
      </c>
      <c r="AQ68" s="586">
        <f t="shared" si="246"/>
        <v>0.42471085807427217</v>
      </c>
      <c r="AS68" s="52">
        <f t="shared" si="406"/>
        <v>167.97797574698097</v>
      </c>
      <c r="AT68" s="72">
        <f t="shared" si="247"/>
        <v>-1.7879571667047909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6.1459999999999999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-1.2051298851435501</v>
      </c>
      <c r="C69" s="708">
        <v>-5.5133425727527108</v>
      </c>
      <c r="D69" s="709">
        <v>-2.6506079942337109</v>
      </c>
      <c r="E69" s="710">
        <v>0.85451068357620252</v>
      </c>
      <c r="F69" s="708">
        <v>-0.51685172306228755</v>
      </c>
      <c r="G69" s="711">
        <v>5.1728019696058065E-2</v>
      </c>
      <c r="H69" s="710">
        <v>0.314</v>
      </c>
      <c r="I69" s="708">
        <v>0.52</v>
      </c>
      <c r="J69" s="570">
        <v>6.1550000000000002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6.1550000000000002</v>
      </c>
      <c r="N69" s="632">
        <f t="shared" si="240"/>
        <v>-1.2051298851435501</v>
      </c>
      <c r="O69" s="629">
        <f t="shared" si="241"/>
        <v>-5.5133425727527108</v>
      </c>
      <c r="P69" s="633">
        <f t="shared" si="242"/>
        <v>-2.6506079942337109</v>
      </c>
      <c r="Q69" s="585">
        <f t="shared" si="113"/>
        <v>257.66997579145072</v>
      </c>
      <c r="R69" s="629">
        <f t="shared" si="79"/>
        <v>5.6435170208473355</v>
      </c>
      <c r="S69" s="634">
        <f t="shared" si="80"/>
        <v>-2.6506079942337109</v>
      </c>
      <c r="T69" s="635">
        <f t="shared" si="81"/>
        <v>-5.5133425727527117</v>
      </c>
      <c r="U69" s="629">
        <f t="shared" si="82"/>
        <v>1.2051298851435461</v>
      </c>
      <c r="V69" s="636">
        <f t="shared" si="114"/>
        <v>-2.6506079942337109</v>
      </c>
      <c r="W69" s="585">
        <f t="shared" si="224"/>
        <v>167.66997579145072</v>
      </c>
      <c r="X69" s="629">
        <f t="shared" si="83"/>
        <v>5.6435170208473355</v>
      </c>
      <c r="Y69" s="630">
        <f t="shared" si="223"/>
        <v>-2.6506079942337109</v>
      </c>
      <c r="Z69" s="632">
        <f t="shared" si="243"/>
        <v>-0.85451068357620252</v>
      </c>
      <c r="AA69" s="629">
        <f t="shared" si="244"/>
        <v>0.51685172306228755</v>
      </c>
      <c r="AB69" s="629">
        <f t="shared" si="245"/>
        <v>-5.1728019696058065E-2</v>
      </c>
      <c r="AC69" s="636">
        <f t="shared" si="84"/>
        <v>1</v>
      </c>
      <c r="AD69" s="637">
        <f t="shared" si="115"/>
        <v>-0.85451068357620252</v>
      </c>
      <c r="AE69" s="629">
        <f t="shared" si="85"/>
        <v>0.51685172306228755</v>
      </c>
      <c r="AF69" s="633">
        <f t="shared" si="86"/>
        <v>-5.1728019696058065E-2</v>
      </c>
      <c r="AG69" s="602">
        <f t="shared" si="87"/>
        <v>84.284704066985711</v>
      </c>
      <c r="AH69" s="603">
        <f t="shared" si="88"/>
        <v>148.70571918779154</v>
      </c>
      <c r="AI69" s="585">
        <f t="shared" si="89"/>
        <v>-87.034879445936852</v>
      </c>
      <c r="AJ69" s="586">
        <f t="shared" si="90"/>
        <v>-121.16769222065857</v>
      </c>
      <c r="AK69" s="635">
        <f t="shared" si="211"/>
        <v>0.9451701073246912</v>
      </c>
      <c r="AL69" s="629">
        <f t="shared" si="91"/>
        <v>-0.32245570269132529</v>
      </c>
      <c r="AM69" s="634">
        <f t="shared" si="92"/>
        <v>-5.1728019696058065E-2</v>
      </c>
      <c r="AN69" s="581">
        <f t="shared" si="93"/>
        <v>-80.886317205808339</v>
      </c>
      <c r="AO69" s="582">
        <f t="shared" si="461"/>
        <v>19.061230895425847</v>
      </c>
      <c r="AP69" s="585">
        <f t="shared" si="95"/>
        <v>-18.837668012109294</v>
      </c>
      <c r="AQ69" s="586">
        <f t="shared" si="246"/>
        <v>0.4039482563093324</v>
      </c>
      <c r="AS69" s="52">
        <f t="shared" si="406"/>
        <v>167.66997579145072</v>
      </c>
      <c r="AT69" s="72">
        <f t="shared" si="247"/>
        <v>-2.5170454774222182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6.1550000000000002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-1.256267049537714</v>
      </c>
      <c r="C70" s="708">
        <v>-5.6624337554307003</v>
      </c>
      <c r="D70" s="709">
        <v>-3.4145102981630591</v>
      </c>
      <c r="E70" s="710">
        <v>0.80515015618755781</v>
      </c>
      <c r="F70" s="708">
        <v>-0.59221871493241207</v>
      </c>
      <c r="G70" s="711">
        <v>3.1783953104572854E-2</v>
      </c>
      <c r="H70" s="710">
        <v>0.314</v>
      </c>
      <c r="I70" s="708">
        <v>0.52</v>
      </c>
      <c r="J70" s="570">
        <v>6.1639999999999997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6.1639999999999997</v>
      </c>
      <c r="N70" s="632">
        <f t="shared" si="240"/>
        <v>-1.256267049537714</v>
      </c>
      <c r="O70" s="629">
        <f t="shared" si="241"/>
        <v>-5.6624337554307003</v>
      </c>
      <c r="P70" s="633">
        <f t="shared" si="242"/>
        <v>-3.4145102981630591</v>
      </c>
      <c r="Q70" s="585">
        <f t="shared" si="113"/>
        <v>257.49097581729512</v>
      </c>
      <c r="R70" s="629">
        <f t="shared" si="79"/>
        <v>5.8001174931543602</v>
      </c>
      <c r="S70" s="634">
        <f t="shared" si="80"/>
        <v>-3.4145102981630591</v>
      </c>
      <c r="T70" s="635">
        <f t="shared" si="81"/>
        <v>-5.6624337554307012</v>
      </c>
      <c r="U70" s="629">
        <f t="shared" si="82"/>
        <v>1.2562670495377115</v>
      </c>
      <c r="V70" s="636">
        <f t="shared" si="114"/>
        <v>-3.4145102981630591</v>
      </c>
      <c r="W70" s="585">
        <f t="shared" si="224"/>
        <v>167.49097581729512</v>
      </c>
      <c r="X70" s="629">
        <f t="shared" si="83"/>
        <v>5.8001174931543602</v>
      </c>
      <c r="Y70" s="630">
        <f t="shared" si="223"/>
        <v>-3.4145102981630591</v>
      </c>
      <c r="Z70" s="632">
        <f t="shared" si="243"/>
        <v>-0.80515015618755781</v>
      </c>
      <c r="AA70" s="629">
        <f t="shared" si="244"/>
        <v>0.59221871493241207</v>
      </c>
      <c r="AB70" s="629">
        <f t="shared" si="245"/>
        <v>-3.1783953104572854E-2</v>
      </c>
      <c r="AC70" s="636">
        <f t="shared" si="84"/>
        <v>1</v>
      </c>
      <c r="AD70" s="637">
        <f t="shared" si="115"/>
        <v>-0.80515015618755781</v>
      </c>
      <c r="AE70" s="629">
        <f t="shared" si="85"/>
        <v>0.59221871493241207</v>
      </c>
      <c r="AF70" s="633">
        <f t="shared" si="86"/>
        <v>-3.1783953104572854E-2</v>
      </c>
      <c r="AG70" s="602">
        <f t="shared" si="87"/>
        <v>86.927923994820574</v>
      </c>
      <c r="AH70" s="603">
        <f t="shared" si="88"/>
        <v>143.62475921434361</v>
      </c>
      <c r="AI70" s="585">
        <f t="shared" si="89"/>
        <v>-88.178606875181671</v>
      </c>
      <c r="AJ70" s="586">
        <f t="shared" si="90"/>
        <v>-126.33590296216425</v>
      </c>
      <c r="AK70" s="635">
        <f t="shared" si="211"/>
        <v>0.91430807850615237</v>
      </c>
      <c r="AL70" s="629">
        <f t="shared" si="91"/>
        <v>-0.4037703776943446</v>
      </c>
      <c r="AM70" s="634">
        <f t="shared" si="92"/>
        <v>-3.1783953104572854E-2</v>
      </c>
      <c r="AN70" s="581">
        <f t="shared" si="93"/>
        <v>-85.499078350503652</v>
      </c>
      <c r="AO70" s="582">
        <f t="shared" si="461"/>
        <v>23.892344645103851</v>
      </c>
      <c r="AP70" s="585">
        <f t="shared" si="95"/>
        <v>-23.826878779459385</v>
      </c>
      <c r="AQ70" s="586">
        <f t="shared" si="246"/>
        <v>0.39304218833004018</v>
      </c>
      <c r="AS70" s="52">
        <f t="shared" si="406"/>
        <v>167.49097581729512</v>
      </c>
      <c r="AT70" s="72">
        <f t="shared" si="247"/>
        <v>-3.2808234758139583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6.1639999999999997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-1.2817030428370493</v>
      </c>
      <c r="C71" s="708">
        <v>-5.7349387589069174</v>
      </c>
      <c r="D71" s="709">
        <v>-4.1906126388877185</v>
      </c>
      <c r="E71" s="710">
        <v>0.7361204797436377</v>
      </c>
      <c r="F71" s="708">
        <v>-0.6768505295129672</v>
      </c>
      <c r="G71" s="711">
        <v>1.1339743355238481E-7</v>
      </c>
      <c r="H71" s="710">
        <v>0.314</v>
      </c>
      <c r="I71" s="708">
        <v>0.52</v>
      </c>
      <c r="J71" s="570">
        <v>6.173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6.173</v>
      </c>
      <c r="N71" s="632">
        <f t="shared" si="240"/>
        <v>-1.2817030428370493</v>
      </c>
      <c r="O71" s="629">
        <f t="shared" si="241"/>
        <v>-5.7349387589069174</v>
      </c>
      <c r="P71" s="633">
        <f t="shared" si="242"/>
        <v>-4.1906126388877185</v>
      </c>
      <c r="Q71" s="585">
        <f t="shared" si="113"/>
        <v>257.40197583014509</v>
      </c>
      <c r="R71" s="629">
        <f t="shared" si="79"/>
        <v>5.8764177232758534</v>
      </c>
      <c r="S71" s="634">
        <f t="shared" si="80"/>
        <v>-4.1906126388877185</v>
      </c>
      <c r="T71" s="635">
        <f t="shared" si="81"/>
        <v>-5.7349387589069165</v>
      </c>
      <c r="U71" s="629">
        <f t="shared" si="82"/>
        <v>1.2817030428370506</v>
      </c>
      <c r="V71" s="636">
        <f t="shared" si="114"/>
        <v>-4.1906126388877185</v>
      </c>
      <c r="W71" s="585">
        <f t="shared" si="224"/>
        <v>167.40197583014509</v>
      </c>
      <c r="X71" s="629">
        <f t="shared" si="83"/>
        <v>5.8764177232758534</v>
      </c>
      <c r="Y71" s="630">
        <f t="shared" si="223"/>
        <v>-4.1906126388877185</v>
      </c>
      <c r="Z71" s="632">
        <f t="shared" si="243"/>
        <v>-0.7361204797436377</v>
      </c>
      <c r="AA71" s="629">
        <f t="shared" si="244"/>
        <v>0.6768505295129672</v>
      </c>
      <c r="AB71" s="629">
        <f t="shared" si="245"/>
        <v>-1.1339743355238481E-7</v>
      </c>
      <c r="AC71" s="636">
        <f t="shared" si="84"/>
        <v>1</v>
      </c>
      <c r="AD71" s="637">
        <f t="shared" si="115"/>
        <v>-0.7361204797436377</v>
      </c>
      <c r="AE71" s="629">
        <f t="shared" si="85"/>
        <v>0.6768505295129672</v>
      </c>
      <c r="AF71" s="633">
        <f t="shared" si="86"/>
        <v>-1.1339743355238481E-7</v>
      </c>
      <c r="AG71" s="602">
        <f t="shared" si="87"/>
        <v>89.999990400843217</v>
      </c>
      <c r="AH71" s="603">
        <f t="shared" si="88"/>
        <v>137.4019801616088</v>
      </c>
      <c r="AI71" s="585">
        <f t="shared" si="89"/>
        <v>-89.999993502805651</v>
      </c>
      <c r="AJ71" s="586">
        <f t="shared" si="90"/>
        <v>-132.59801983839077</v>
      </c>
      <c r="AK71" s="635">
        <f t="shared" si="211"/>
        <v>0.86602544158358574</v>
      </c>
      <c r="AL71" s="629">
        <f t="shared" si="91"/>
        <v>-0.49999993452993829</v>
      </c>
      <c r="AM71" s="634">
        <f t="shared" si="92"/>
        <v>-1.1339743355238481E-7</v>
      </c>
      <c r="AN71" s="581">
        <f t="shared" si="93"/>
        <v>-89.999987005609611</v>
      </c>
      <c r="AO71" s="582">
        <f t="shared" si="461"/>
        <v>29.99999566853651</v>
      </c>
      <c r="AP71" s="585">
        <f t="shared" si="95"/>
        <v>-29.999995668535888</v>
      </c>
      <c r="AQ71" s="586">
        <f t="shared" si="246"/>
        <v>0.38793903054567208</v>
      </c>
      <c r="AS71" s="52">
        <f t="shared" si="406"/>
        <v>167.40197583014509</v>
      </c>
      <c r="AT71" s="72">
        <f t="shared" si="247"/>
        <v>-4.056864010991986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6.173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-1.9191148921776264</v>
      </c>
      <c r="C72" s="708">
        <v>-4.0433908237433771</v>
      </c>
      <c r="D72" s="709">
        <v>-0.67840204606057064</v>
      </c>
      <c r="E72" s="710">
        <v>-0.26031396144349772</v>
      </c>
      <c r="F72" s="708">
        <v>-0.54845705296339631</v>
      </c>
      <c r="G72" s="711">
        <v>0.79462664348252221</v>
      </c>
      <c r="H72" s="710">
        <v>0.25700000000000001</v>
      </c>
      <c r="I72" s="708">
        <v>0.41499999999999992</v>
      </c>
      <c r="J72" s="570">
        <v>6.2279999999999998</v>
      </c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CPS-32193r1</v>
      </c>
      <c r="L72" s="320"/>
      <c r="M72" s="168">
        <f t="shared" si="239"/>
        <v>6.2279999999999998</v>
      </c>
      <c r="N72" s="632">
        <f t="shared" si="240"/>
        <v>-1.9191148921776264</v>
      </c>
      <c r="O72" s="629">
        <f t="shared" si="241"/>
        <v>-4.0433908237433771</v>
      </c>
      <c r="P72" s="633">
        <f t="shared" si="242"/>
        <v>-0.67840204606057064</v>
      </c>
      <c r="Q72" s="585">
        <f t="shared" si="113"/>
        <v>244.60957767713887</v>
      </c>
      <c r="R72" s="629">
        <f t="shared" si="79"/>
        <v>4.4757134987519134</v>
      </c>
      <c r="S72" s="634">
        <f t="shared" si="80"/>
        <v>-0.67840204606057064</v>
      </c>
      <c r="T72" s="635">
        <f t="shared" si="81"/>
        <v>-4.043390823743378</v>
      </c>
      <c r="U72" s="629">
        <f t="shared" si="82"/>
        <v>1.9191148921776262</v>
      </c>
      <c r="V72" s="636">
        <f t="shared" si="114"/>
        <v>-0.67840204606057064</v>
      </c>
      <c r="W72" s="585">
        <f t="shared" si="224"/>
        <v>154.60957767713887</v>
      </c>
      <c r="X72" s="629">
        <f t="shared" si="83"/>
        <v>4.4757134987519134</v>
      </c>
      <c r="Y72" s="630">
        <f t="shared" si="223"/>
        <v>-0.67840204606057064</v>
      </c>
      <c r="Z72" s="632">
        <f t="shared" si="243"/>
        <v>0.26031396144349772</v>
      </c>
      <c r="AA72" s="629">
        <f t="shared" si="244"/>
        <v>0.54845705296339631</v>
      </c>
      <c r="AB72" s="629">
        <f t="shared" si="245"/>
        <v>-0.79462664348252221</v>
      </c>
      <c r="AC72" s="636">
        <f t="shared" si="84"/>
        <v>1</v>
      </c>
      <c r="AD72" s="637">
        <f t="shared" si="115"/>
        <v>0.26031396144349772</v>
      </c>
      <c r="AE72" s="629">
        <f t="shared" si="85"/>
        <v>0.54845705296339631</v>
      </c>
      <c r="AF72" s="633">
        <f t="shared" si="86"/>
        <v>-0.79462664348252221</v>
      </c>
      <c r="AG72" s="602">
        <f t="shared" si="87"/>
        <v>34.613718465234193</v>
      </c>
      <c r="AH72" s="603">
        <f t="shared" si="88"/>
        <v>74.911307684293206</v>
      </c>
      <c r="AI72" s="585">
        <f t="shared" si="89"/>
        <v>-37.379994602998451</v>
      </c>
      <c r="AJ72" s="586">
        <f t="shared" si="90"/>
        <v>154.60959908123064</v>
      </c>
      <c r="AK72" s="635">
        <f t="shared" si="211"/>
        <v>2.2679489675159203E-7</v>
      </c>
      <c r="AL72" s="629">
        <f t="shared" si="91"/>
        <v>-0.60709842486012844</v>
      </c>
      <c r="AM72" s="634">
        <f t="shared" si="92"/>
        <v>-0.79462664348252221</v>
      </c>
      <c r="AN72" s="581">
        <f t="shared" si="93"/>
        <v>-37.379994602996533</v>
      </c>
      <c r="AO72" s="582">
        <f t="shared" si="461"/>
        <v>0</v>
      </c>
      <c r="AP72" s="585">
        <f t="shared" si="95"/>
        <v>-89.999978595908232</v>
      </c>
      <c r="AQ72" s="586">
        <f t="shared" si="246"/>
        <v>0.50934148919941358</v>
      </c>
      <c r="AS72" s="52">
        <f t="shared" si="406"/>
        <v>154.60957767713887</v>
      </c>
      <c r="AT72" s="72">
        <f t="shared" si="247"/>
        <v>-0.53576980833636156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Nose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6.2279999999999998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6.1280000000000001</v>
      </c>
      <c r="II72" s="734" cm="1">
        <f t="array" ref="II72">IFERROR(ROUND(VALUE(IF($IH72&lt;1,$IH72+LARGE((IF($M$9:$M$150="",0,$M$9:$M$150)-MOD(IF($M$9:$M$150="",0,$M$9:$M$150),1)),1),$IH72)),4),"")</f>
        <v>6.1280000000000001</v>
      </c>
      <c r="IJ72" s="533">
        <f t="shared" si="112"/>
        <v>1613</v>
      </c>
      <c r="IK72" s="533" t="str">
        <f t="shared" si="382"/>
        <v>CPS-32193r1</v>
      </c>
      <c r="IL72" s="727">
        <f t="shared" si="225"/>
        <v>14.32239793210158</v>
      </c>
      <c r="IM72" s="759">
        <v>1.1120447850101099E-2</v>
      </c>
      <c r="IN72" s="5">
        <f t="shared" si="226"/>
        <v>0.56000000000000005</v>
      </c>
      <c r="IO72" s="771">
        <v>280</v>
      </c>
      <c r="IP72" s="9">
        <f t="shared" si="227"/>
        <v>-4.4389133877627778</v>
      </c>
      <c r="IQ72" s="5">
        <f t="shared" si="228"/>
        <v>-0.68020205148938717</v>
      </c>
      <c r="IR72" s="5">
        <f t="shared" si="383"/>
        <v>0.314</v>
      </c>
      <c r="IS72" s="5">
        <f t="shared" si="229"/>
        <v>0.30250239363869941</v>
      </c>
      <c r="IT72" s="727">
        <f t="shared" si="230"/>
        <v>53.06926497550355</v>
      </c>
      <c r="IU72" s="9">
        <f t="shared" si="231"/>
        <v>-4.4757134987519134</v>
      </c>
      <c r="IV72" s="5">
        <f t="shared" si="232"/>
        <v>-0.67840204606057064</v>
      </c>
      <c r="IW72" s="5">
        <f t="shared" si="384"/>
        <v>0.25700000000000001</v>
      </c>
      <c r="IX72" s="5">
        <f t="shared" si="233"/>
        <v>0.25700000000000001</v>
      </c>
      <c r="IY72" s="762">
        <f t="shared" si="234"/>
        <v>37.379994602996533</v>
      </c>
    </row>
    <row r="73" spans="1:259" ht="15" customHeight="1" x14ac:dyDescent="0.25">
      <c r="A73" s="79"/>
      <c r="B73" s="707">
        <v>-2.2206388004460802</v>
      </c>
      <c r="C73" s="708">
        <v>-4.4971274503897529</v>
      </c>
      <c r="D73" s="709">
        <v>-1.2438037513121141</v>
      </c>
      <c r="E73" s="710">
        <v>0.69579821748607751</v>
      </c>
      <c r="F73" s="708">
        <v>-0.70168898257595314</v>
      </c>
      <c r="G73" s="711">
        <v>0.15328865670597122</v>
      </c>
      <c r="H73" s="710">
        <v>0.26600000000000001</v>
      </c>
      <c r="I73" s="708">
        <v>0.52</v>
      </c>
      <c r="J73" s="570">
        <v>6.2370000000000001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6.2370000000000001</v>
      </c>
      <c r="N73" s="632">
        <f t="shared" ref="N73:N104" si="465">IF(M73="","",B73)</f>
        <v>-2.2206388004460802</v>
      </c>
      <c r="O73" s="629">
        <f t="shared" ref="O73:O104" si="466">IF(M73="","",C73)</f>
        <v>-4.4971274503897529</v>
      </c>
      <c r="P73" s="633">
        <f t="shared" ref="P73:P104" si="467">IF(M73="","",D73)</f>
        <v>-1.2438037513121141</v>
      </c>
      <c r="Q73" s="585">
        <f t="shared" si="113"/>
        <v>243.72027780553788</v>
      </c>
      <c r="R73" s="629">
        <f>IF(M73="","",SQRT(N73^2+O73^2))</f>
        <v>5.0155151267936224</v>
      </c>
      <c r="S73" s="634">
        <f>IF(M73="","",P73)</f>
        <v>-1.2438037513121141</v>
      </c>
      <c r="T73" s="635">
        <f>IF(M73="","",X73*COS(RADIANS(W73)))</f>
        <v>-4.497127450389752</v>
      </c>
      <c r="U73" s="629">
        <f>IF(M73="","",X73*SIN(RADIANS(W73)))</f>
        <v>2.2206388004460824</v>
      </c>
      <c r="V73" s="636">
        <f>IF(M73="","",Y73)</f>
        <v>-1.2438037513121141</v>
      </c>
      <c r="W73" s="585">
        <f t="shared" si="224"/>
        <v>153.72027780553788</v>
      </c>
      <c r="X73" s="629">
        <f>IF(M73="","",R73)</f>
        <v>5.0155151267936224</v>
      </c>
      <c r="Y73" s="630">
        <f t="shared" si="223"/>
        <v>-1.2438037513121141</v>
      </c>
      <c r="Z73" s="632">
        <f t="shared" ref="Z73:Z104" si="468">IF(M73="","",-E73)</f>
        <v>-0.69579821748607751</v>
      </c>
      <c r="AA73" s="629">
        <f t="shared" ref="AA73:AA104" si="469">IF(M73="","",-F73)</f>
        <v>0.70168898257595314</v>
      </c>
      <c r="AB73" s="629">
        <f t="shared" ref="AB73:AB104" si="470">IF(M73="","",-G73)</f>
        <v>-0.15328865670597122</v>
      </c>
      <c r="AC73" s="636">
        <f>IF(M73="","",SQRT(Z73^2+AA73^2+AB73^2))</f>
        <v>1</v>
      </c>
      <c r="AD73" s="637">
        <f>IF(M73="","",Z73*(1/SQRT(Z73^2+AA73^2+AB73^2)))</f>
        <v>-0.69579821748607751</v>
      </c>
      <c r="AE73" s="629">
        <f>IF(M73="","",AA73*(1/SQRT(Z73^2+AA73^2+AB73^2)))</f>
        <v>0.70168898257595314</v>
      </c>
      <c r="AF73" s="633">
        <f>IF(M73="","",AB73*(1/SQRT(Z73^2+AA73^2+AB73^2)))</f>
        <v>-0.15328865670597122</v>
      </c>
      <c r="AG73" s="602">
        <f>IF(M73="","",DEGREES(ATAN2(-AF73,AE73)))</f>
        <v>77.676951361469804</v>
      </c>
      <c r="AH73" s="603">
        <f>IF(M73="","",DEGREES(ACOS(AD73)))</f>
        <v>134.09085900097182</v>
      </c>
      <c r="AI73" s="585">
        <f>IF(M73="","",DEGREES(-ACOS(-AF73)))</f>
        <v>-81.182442576764529</v>
      </c>
      <c r="AJ73" s="586">
        <f>IF(M73="","",DEGREES(ATAN2(-AE73,AD73)))</f>
        <v>-135.24151489811302</v>
      </c>
      <c r="AK73" s="635">
        <f>IF(M73="","",(COS(RADIANS((90-$Q$8)-W73))*AD73)+(-SIN(RADIANS((90-$Q$8)-W73))*AE73))</f>
        <v>0.93455825091671896</v>
      </c>
      <c r="AL73" s="629">
        <f>IF(M73="","",(SIN(RADIANS((90-$Q$8)-W73))*AD73)+(COS(RADIANS((90-$Q$8)-W73))*AE73))</f>
        <v>-0.32109728022635414</v>
      </c>
      <c r="AM73" s="634">
        <f>IF(M73="","",AF73)</f>
        <v>-0.15328865670597122</v>
      </c>
      <c r="AN73" s="581">
        <f>IF(M73="","",DEGREES(ATAN2(-AM73,AL73)))</f>
        <v>-64.480653402562552</v>
      </c>
      <c r="AO73" s="582">
        <f t="shared" si="461"/>
        <v>20.843105869643736</v>
      </c>
      <c r="AP73" s="585">
        <f>IF(M73="","",DEGREES(ATAN2(AK73,AL73)))</f>
        <v>-18.961792703650918</v>
      </c>
      <c r="AQ73" s="586">
        <f t="shared" ref="AQ73:AQ104" si="471">IF(M73="","",DEGREES(ATAN(($AS$5*SIN(RADIANS(90)))/(($X73*2*PI())-($AS$5*COS(RADIANS(90)))))))</f>
        <v>0.45452535813323691</v>
      </c>
      <c r="AS73" s="52">
        <f t="shared" si="406"/>
        <v>153.72027780553788</v>
      </c>
      <c r="AT73" s="72">
        <f t="shared" ref="AT73:AT104" si="472">IF(M73="","",Y73+(((AS73-$AS$9)*$AS$6)*-1))</f>
        <v>-1.1005539442326264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6.2370000000000001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6.1369999999999996</v>
      </c>
      <c r="II73" s="734" cm="1">
        <f t="array" ref="II73">IFERROR(ROUND(VALUE(IF($IH73&lt;1,$IH73+LARGE((IF($M$9:$M$150="",0,$M$9:$M$150)-MOD(IF($M$9:$M$150="",0,$M$9:$M$150),1)),1),$IH73)),4),"")</f>
        <v>6.1369999999999996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14.686697879503186</v>
      </c>
      <c r="IM73" s="759">
        <v>3.9860261372748097E-3</v>
      </c>
      <c r="IN73" s="5">
        <f t="shared" si="226"/>
        <v>0.26</v>
      </c>
      <c r="IO73" s="771">
        <v>130</v>
      </c>
      <c r="IP73" s="9">
        <f t="shared" si="227"/>
        <v>-4.9673149814219837</v>
      </c>
      <c r="IQ73" s="5">
        <f t="shared" si="228"/>
        <v>-1.2525037775513934</v>
      </c>
      <c r="IR73" s="5">
        <f t="shared" ref="IR73:IR104" si="518">IF(ISNUMBER($II73),INDEX($H$9:$H$150,MATCH($II73,$M$9:$M$150,0)),"")</f>
        <v>0.314</v>
      </c>
      <c r="IS73" s="5">
        <f t="shared" si="229"/>
        <v>0.3020720413755667</v>
      </c>
      <c r="IT73" s="727">
        <f t="shared" si="230"/>
        <v>64.480656106121444</v>
      </c>
      <c r="IU73" s="9">
        <f t="shared" si="231"/>
        <v>-5.0155151267936224</v>
      </c>
      <c r="IV73" s="5">
        <f t="shared" si="232"/>
        <v>-1.2438037513121141</v>
      </c>
      <c r="IW73" s="5">
        <f t="shared" ref="IW73:IW104" si="519">IF(ISNUMBER($II73),$H73,"")</f>
        <v>0.26600000000000001</v>
      </c>
      <c r="IX73" s="5">
        <f t="shared" si="233"/>
        <v>0.24859249474384726</v>
      </c>
      <c r="IY73" s="762">
        <f t="shared" si="234"/>
        <v>64.480653402562552</v>
      </c>
    </row>
    <row r="74" spans="1:259" ht="15" customHeight="1" x14ac:dyDescent="0.25">
      <c r="A74" s="79"/>
      <c r="B74" s="707">
        <v>-2.3440486924185624</v>
      </c>
      <c r="C74" s="708">
        <v>-4.885813531177396</v>
      </c>
      <c r="D74" s="709">
        <v>-1.91940578892786</v>
      </c>
      <c r="E74" s="710">
        <v>0.68018999890862442</v>
      </c>
      <c r="F74" s="708">
        <v>-0.72538985260634414</v>
      </c>
      <c r="G74" s="711">
        <v>0.10559889734477405</v>
      </c>
      <c r="H74" s="710">
        <v>0.26600000000000001</v>
      </c>
      <c r="I74" s="708">
        <v>0.52</v>
      </c>
      <c r="J74" s="570">
        <v>6.2460000000000004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6.2460000000000004</v>
      </c>
      <c r="N74" s="632">
        <f t="shared" si="465"/>
        <v>-2.3440486924185624</v>
      </c>
      <c r="O74" s="629">
        <f t="shared" si="466"/>
        <v>-4.885813531177396</v>
      </c>
      <c r="P74" s="633">
        <f t="shared" si="467"/>
        <v>-1.91940578892786</v>
      </c>
      <c r="Q74" s="585">
        <f t="shared" ref="Q74:Q129" si="520">IF(M74="","",IF(DEGREES(ATAN2(N74,O74))&lt;0,DEGREES(ATAN2(N74,O74))+360,IF(DEGREES(ATAN2(N74,O74))&gt;360,DEGREES(ATAN2(N74,O74))-360,DEGREES(ATAN2(N74,O74)))))</f>
        <v>244.36987771174728</v>
      </c>
      <c r="R74" s="629">
        <f>IF(M74="","",SQRT(N74^2+O74^2))</f>
        <v>5.4190163437532934</v>
      </c>
      <c r="S74" s="634">
        <f>IF(M74="","",P74)</f>
        <v>-1.91940578892786</v>
      </c>
      <c r="T74" s="635">
        <f>IF(M74="","",X74*COS(RADIANS(W74)))</f>
        <v>-4.8858135311773969</v>
      </c>
      <c r="U74" s="629">
        <f>IF(M74="","",X74*SIN(RADIANS(W74)))</f>
        <v>2.3440486924185602</v>
      </c>
      <c r="V74" s="636">
        <f>IF(M74="","",Y74)</f>
        <v>-1.91940578892786</v>
      </c>
      <c r="W74" s="585">
        <f t="shared" si="224"/>
        <v>154.36987771174728</v>
      </c>
      <c r="X74" s="629">
        <f>IF(M74="","",R74)</f>
        <v>5.4190163437532934</v>
      </c>
      <c r="Y74" s="630">
        <f t="shared" si="223"/>
        <v>-1.91940578892786</v>
      </c>
      <c r="Z74" s="632">
        <f t="shared" si="468"/>
        <v>-0.68018999890862442</v>
      </c>
      <c r="AA74" s="629">
        <f t="shared" si="469"/>
        <v>0.72538985260634414</v>
      </c>
      <c r="AB74" s="629">
        <f t="shared" si="470"/>
        <v>-0.10559889734477405</v>
      </c>
      <c r="AC74" s="636">
        <f>IF(M74="","",SQRT(Z74^2+AA74^2+AB74^2))</f>
        <v>1</v>
      </c>
      <c r="AD74" s="637">
        <f>IF(M74="","",Z74*(1/SQRT(Z74^2+AA74^2+AB74^2)))</f>
        <v>-0.68018999890862442</v>
      </c>
      <c r="AE74" s="629">
        <f>IF(M74="","",AA74*(1/SQRT(Z74^2+AA74^2+AB74^2)))</f>
        <v>0.72538985260634414</v>
      </c>
      <c r="AF74" s="633">
        <f>IF(M74="","",AB74*(1/SQRT(Z74^2+AA74^2+AB74^2)))</f>
        <v>-0.10559889734477405</v>
      </c>
      <c r="AG74" s="602">
        <f>IF(M74="","",DEGREES(ATAN2(-AF74,AE74)))</f>
        <v>81.717327893551186</v>
      </c>
      <c r="AH74" s="603">
        <f>IF(M74="","",DEGREES(ACOS(AD74)))</f>
        <v>132.85849201288795</v>
      </c>
      <c r="AI74" s="585">
        <f>IF(M74="","",DEGREES(-ACOS(-AF74)))</f>
        <v>-83.938327314359398</v>
      </c>
      <c r="AJ74" s="586">
        <f>IF(M74="","",DEGREES(ATAN2(-AE74,AD74)))</f>
        <v>-136.84185104149674</v>
      </c>
      <c r="AK74" s="635">
        <f>IF(M74="","",(COS(RADIANS((90-$Q$8)-W74))*AD74)+(-SIN(RADIANS((90-$Q$8)-W74))*AE74))</f>
        <v>0.92703736568829864</v>
      </c>
      <c r="AL74" s="629">
        <f>IF(M74="","",(SIN(RADIANS((90-$Q$8)-W74))*AD74)+(COS(RADIANS((90-$Q$8)-W74))*AE74))</f>
        <v>-0.35979243390775684</v>
      </c>
      <c r="AM74" s="634">
        <f>IF(M74="","",AF74)</f>
        <v>-0.10559889734477405</v>
      </c>
      <c r="AN74" s="581">
        <f>IF(M74="","",DEGREES(ATAN2(-AM74,AL74)))</f>
        <v>-73.643062802892558</v>
      </c>
      <c r="AO74" s="582">
        <f t="shared" si="461"/>
        <v>22.022394525310251</v>
      </c>
      <c r="AP74" s="585">
        <f>IF(M74="","",DEGREES(ATAN2(AK74,AL74)))</f>
        <v>-21.211728753244042</v>
      </c>
      <c r="AQ74" s="586">
        <f t="shared" si="471"/>
        <v>0.42068255953355121</v>
      </c>
      <c r="AS74" s="52">
        <f t="shared" si="406"/>
        <v>154.36987771174728</v>
      </c>
      <c r="AT74" s="72">
        <f t="shared" si="472"/>
        <v>-1.7766070928943511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6.2460000000000004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6.1459999999999999</v>
      </c>
      <c r="II74" s="734" cm="1">
        <f t="array" ref="II74">IFERROR(ROUND(VALUE(IF($IH74&lt;1,$IH74+LARGE((IF($M$9:$M$150="",0,$M$9:$M$150)-MOD(IF($M$9:$M$150="",0,$M$9:$M$150),1)),1),$IH74)),4),"")</f>
        <v>6.1459999999999999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13.608098035233695</v>
      </c>
      <c r="IM74" s="759">
        <v>1.75779707420026E-3</v>
      </c>
      <c r="IN74" s="5">
        <f t="shared" si="226"/>
        <v>0.14000000000000001</v>
      </c>
      <c r="IO74" s="771">
        <v>70</v>
      </c>
      <c r="IP74" s="9">
        <f t="shared" si="227"/>
        <v>-5.3676161887304268</v>
      </c>
      <c r="IQ74" s="5">
        <f t="shared" si="228"/>
        <v>-1.9213057946582763</v>
      </c>
      <c r="IR74" s="5">
        <f t="shared" si="518"/>
        <v>0.314</v>
      </c>
      <c r="IS74" s="5">
        <f t="shared" si="229"/>
        <v>0.30024378663995516</v>
      </c>
      <c r="IT74" s="727">
        <f t="shared" si="230"/>
        <v>73.643065674459237</v>
      </c>
      <c r="IU74" s="9">
        <f t="shared" si="231"/>
        <v>-5.4190163437532934</v>
      </c>
      <c r="IV74" s="5">
        <f t="shared" si="232"/>
        <v>-1.91940578892786</v>
      </c>
      <c r="IW74" s="5">
        <f t="shared" si="519"/>
        <v>0.26600000000000001</v>
      </c>
      <c r="IX74" s="5">
        <f t="shared" si="233"/>
        <v>0.24659193927308745</v>
      </c>
      <c r="IY74" s="762">
        <f t="shared" si="234"/>
        <v>73.643062802892558</v>
      </c>
    </row>
    <row r="75" spans="1:259" ht="15" customHeight="1" x14ac:dyDescent="0.25">
      <c r="A75" s="79"/>
      <c r="B75" s="707">
        <v>-2.4408742705436679</v>
      </c>
      <c r="C75" s="708">
        <v>-5.1473021515261133</v>
      </c>
      <c r="D75" s="709">
        <v>-2.6547080065993485</v>
      </c>
      <c r="E75" s="710">
        <v>0.65255866176014155</v>
      </c>
      <c r="F75" s="708">
        <v>-0.7549812704886999</v>
      </c>
      <c r="G75" s="711">
        <v>6.4579208520092982E-2</v>
      </c>
      <c r="H75" s="710">
        <v>0.26600000000000001</v>
      </c>
      <c r="I75" s="708">
        <v>0.52</v>
      </c>
      <c r="J75" s="570">
        <v>6.2549999999999999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6.2549999999999999</v>
      </c>
      <c r="N75" s="632">
        <f t="shared" si="465"/>
        <v>-2.4408742705436679</v>
      </c>
      <c r="O75" s="629">
        <f t="shared" si="466"/>
        <v>-5.1473021515261133</v>
      </c>
      <c r="P75" s="633">
        <f t="shared" si="467"/>
        <v>-2.6547080065993485</v>
      </c>
      <c r="Q75" s="585">
        <f t="shared" si="520"/>
        <v>244.62947767426567</v>
      </c>
      <c r="R75" s="629">
        <f>IF(M75="","",SQRT(N75^2+O75^2))</f>
        <v>5.6967171812990181</v>
      </c>
      <c r="S75" s="634">
        <f>IF(M75="","",P75)</f>
        <v>-2.6547080065993485</v>
      </c>
      <c r="T75" s="635">
        <f>IF(M75="","",X75*COS(RADIANS(W75)))</f>
        <v>-5.1473021515261124</v>
      </c>
      <c r="U75" s="629">
        <f>IF(M75="","",X75*SIN(RADIANS(W75)))</f>
        <v>2.4408742705436683</v>
      </c>
      <c r="V75" s="636">
        <f>IF(M75="","",Y75)</f>
        <v>-2.6547080065993485</v>
      </c>
      <c r="W75" s="585">
        <f t="shared" si="224"/>
        <v>154.62947767426567</v>
      </c>
      <c r="X75" s="629">
        <f>IF(M75="","",R75)</f>
        <v>5.6967171812990181</v>
      </c>
      <c r="Y75" s="630">
        <f t="shared" si="223"/>
        <v>-2.6547080065993485</v>
      </c>
      <c r="Z75" s="632">
        <f t="shared" si="468"/>
        <v>-0.65255866176014155</v>
      </c>
      <c r="AA75" s="629">
        <f t="shared" si="469"/>
        <v>0.7549812704886999</v>
      </c>
      <c r="AB75" s="629">
        <f t="shared" si="470"/>
        <v>-6.4579208520092982E-2</v>
      </c>
      <c r="AC75" s="636">
        <f>IF(M75="","",SQRT(Z75^2+AA75^2+AB75^2))</f>
        <v>1</v>
      </c>
      <c r="AD75" s="637">
        <f>IF(M75="","",Z75*(1/SQRT(Z75^2+AA75^2+AB75^2)))</f>
        <v>-0.65255866176014155</v>
      </c>
      <c r="AE75" s="629">
        <f>IF(M75="","",AA75*(1/SQRT(Z75^2+AA75^2+AB75^2)))</f>
        <v>0.7549812704886999</v>
      </c>
      <c r="AF75" s="633">
        <f>IF(M75="","",AB75*(1/SQRT(Z75^2+AA75^2+AB75^2)))</f>
        <v>-6.4579208520092982E-2</v>
      </c>
      <c r="AG75" s="602">
        <f>IF(M75="","",DEGREES(ATAN2(-AF75,AE75)))</f>
        <v>85.11096304120322</v>
      </c>
      <c r="AH75" s="603">
        <f>IF(M75="","",DEGREES(ACOS(AD75)))</f>
        <v>130.73479294633316</v>
      </c>
      <c r="AI75" s="585">
        <f>IF(M75="","",DEGREES(-ACOS(-AF75)))</f>
        <v>-86.297307195718574</v>
      </c>
      <c r="AJ75" s="586">
        <f>IF(M75="","",DEGREES(ATAN2(-AE75,AD75)))</f>
        <v>-139.16191260934335</v>
      </c>
      <c r="AK75" s="635">
        <f>IF(M75="","",(COS(RADIANS((90-$Q$8)-W75))*AD75)+(-SIN(RADIANS((90-$Q$8)-W75))*AE75))</f>
        <v>0.91311026965306841</v>
      </c>
      <c r="AL75" s="629">
        <f>IF(M75="","",(SIN(RADIANS((90-$Q$8)-W75))*AD75)+(COS(RADIANS((90-$Q$8)-W75))*AE75))</f>
        <v>-0.40256572293355891</v>
      </c>
      <c r="AM75" s="634">
        <f>IF(M75="","",AF75)</f>
        <v>-6.4579208520092982E-2</v>
      </c>
      <c r="AN75" s="581">
        <f>IF(M75="","",DEGREES(ATAN2(-AM75,AL75)))</f>
        <v>-80.886314444197751</v>
      </c>
      <c r="AO75" s="582">
        <f t="shared" si="461"/>
        <v>24.061230163226671</v>
      </c>
      <c r="AP75" s="585">
        <f>IF(M75="","",DEGREES(ATAN2(AK75,AL75)))</f>
        <v>-23.791390283609012</v>
      </c>
      <c r="AQ75" s="586">
        <f t="shared" si="471"/>
        <v>0.4001760118400709</v>
      </c>
      <c r="AS75" s="52">
        <f t="shared" ref="AS75:AS106" si="543">IF(G75="","",IF(AND(W75&lt;(AS74+180),W75&gt;(AS74-180)),W75,IF(W75&gt;(AS74+180),W75-360,IF(W75&lt;(AS74-180),W75+360,"Error"))))</f>
        <v>154.62947767426567</v>
      </c>
      <c r="AT75" s="72">
        <f t="shared" si="472"/>
        <v>-2.5120895883175884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6.2549999999999999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6.1550000000000002</v>
      </c>
      <c r="II75" s="734" cm="1">
        <f t="array" ref="II75">IFERROR(ROUND(VALUE(IF($IH75&lt;1,$IH75+LARGE((IF($M$9:$M$150="",0,$M$9:$M$150)-MOD(IF($M$9:$M$150="",0,$M$9:$M$150),1)),1),$IH75)),4),"")</f>
        <v>6.1550000000000002</v>
      </c>
      <c r="IJ75" s="533">
        <f t="shared" si="542"/>
        <v>1613</v>
      </c>
      <c r="IK75" s="533">
        <f t="shared" si="517"/>
        <v>1313</v>
      </c>
      <c r="IL75" s="727">
        <f t="shared" si="225"/>
        <v>13.040498117185052</v>
      </c>
      <c r="IM75" s="759">
        <v>1.22983197571126E-4</v>
      </c>
      <c r="IN75" s="5">
        <f t="shared" si="226"/>
        <v>0</v>
      </c>
      <c r="IO75" s="771">
        <v>0</v>
      </c>
      <c r="IP75" s="9">
        <f t="shared" si="227"/>
        <v>-5.6435170208473355</v>
      </c>
      <c r="IQ75" s="5">
        <f t="shared" si="228"/>
        <v>-2.6506079942337109</v>
      </c>
      <c r="IR75" s="5">
        <f t="shared" si="518"/>
        <v>0.314</v>
      </c>
      <c r="IS75" s="5">
        <f t="shared" si="229"/>
        <v>0.29678341369995304</v>
      </c>
      <c r="IT75" s="727">
        <f t="shared" si="230"/>
        <v>80.886317205808339</v>
      </c>
      <c r="IU75" s="9">
        <f t="shared" si="231"/>
        <v>-5.6967171812990181</v>
      </c>
      <c r="IV75" s="5">
        <f t="shared" si="232"/>
        <v>-2.6547080065993485</v>
      </c>
      <c r="IW75" s="5">
        <f t="shared" si="519"/>
        <v>0.26600000000000001</v>
      </c>
      <c r="IX75" s="5">
        <f t="shared" si="233"/>
        <v>0.2428873317277162</v>
      </c>
      <c r="IY75" s="762">
        <f t="shared" si="234"/>
        <v>80.886314444197751</v>
      </c>
    </row>
    <row r="76" spans="1:259" ht="15" customHeight="1" x14ac:dyDescent="0.25">
      <c r="A76" s="79"/>
      <c r="B76" s="707">
        <v>-2.5231046936039259</v>
      </c>
      <c r="C76" s="708">
        <v>-5.2824839077488432</v>
      </c>
      <c r="D76" s="709">
        <v>-3.4229103234975353</v>
      </c>
      <c r="E76" s="710">
        <v>0.58243637030053352</v>
      </c>
      <c r="F76" s="708">
        <v>-0.81199151137971015</v>
      </c>
      <c r="G76" s="711">
        <v>3.7916487158413323E-2</v>
      </c>
      <c r="H76" s="710">
        <v>0.26600000000000001</v>
      </c>
      <c r="I76" s="708">
        <v>0.52</v>
      </c>
      <c r="J76" s="570">
        <v>6.2640000000000002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1313</v>
      </c>
      <c r="L76" s="320"/>
      <c r="M76" s="168">
        <f t="shared" si="464"/>
        <v>6.2640000000000002</v>
      </c>
      <c r="N76" s="632">
        <f t="shared" si="465"/>
        <v>-2.5231046936039259</v>
      </c>
      <c r="O76" s="629">
        <f t="shared" si="466"/>
        <v>-5.2824839077488432</v>
      </c>
      <c r="P76" s="633">
        <f t="shared" si="467"/>
        <v>-3.4229103234975353</v>
      </c>
      <c r="Q76" s="585">
        <f t="shared" si="520"/>
        <v>244.46917769741015</v>
      </c>
      <c r="R76" s="629">
        <f t="shared" si="79"/>
        <v>5.8541176560188513</v>
      </c>
      <c r="S76" s="634">
        <f t="shared" si="80"/>
        <v>-3.4229103234975353</v>
      </c>
      <c r="T76" s="635">
        <f t="shared" si="81"/>
        <v>-5.282483907748845</v>
      </c>
      <c r="U76" s="629">
        <f t="shared" si="82"/>
        <v>2.5231046936039228</v>
      </c>
      <c r="V76" s="636">
        <f t="shared" si="114"/>
        <v>-3.4229103234975353</v>
      </c>
      <c r="W76" s="585">
        <f t="shared" si="224"/>
        <v>154.46917769741015</v>
      </c>
      <c r="X76" s="629">
        <f t="shared" si="83"/>
        <v>5.8541176560188513</v>
      </c>
      <c r="Y76" s="630">
        <f t="shared" ref="Y76:Y129" si="644">IF(M76="","",S76)</f>
        <v>-3.4229103234975353</v>
      </c>
      <c r="Z76" s="632">
        <f t="shared" si="468"/>
        <v>-0.58243637030053352</v>
      </c>
      <c r="AA76" s="629">
        <f t="shared" si="469"/>
        <v>0.81199151137971015</v>
      </c>
      <c r="AB76" s="629">
        <f t="shared" si="470"/>
        <v>-3.7916487158413323E-2</v>
      </c>
      <c r="AC76" s="636">
        <f t="shared" si="84"/>
        <v>1</v>
      </c>
      <c r="AD76" s="637">
        <f t="shared" si="115"/>
        <v>-0.58243637030053352</v>
      </c>
      <c r="AE76" s="629">
        <f t="shared" si="85"/>
        <v>0.81199151137971015</v>
      </c>
      <c r="AF76" s="633">
        <f t="shared" si="86"/>
        <v>-3.7916487158413323E-2</v>
      </c>
      <c r="AG76" s="602">
        <f t="shared" si="87"/>
        <v>87.326477286662424</v>
      </c>
      <c r="AH76" s="603">
        <f t="shared" si="88"/>
        <v>125.62208703399993</v>
      </c>
      <c r="AI76" s="585">
        <f t="shared" si="89"/>
        <v>-87.82702443294221</v>
      </c>
      <c r="AJ76" s="586">
        <f t="shared" si="90"/>
        <v>-144.34836540068596</v>
      </c>
      <c r="AK76" s="635">
        <f t="shared" si="211"/>
        <v>0.8755290973113985</v>
      </c>
      <c r="AL76" s="629">
        <f t="shared" si="91"/>
        <v>-0.4816753468495702</v>
      </c>
      <c r="AM76" s="634">
        <f t="shared" si="92"/>
        <v>-3.7916487158413323E-2</v>
      </c>
      <c r="AN76" s="581">
        <f t="shared" si="93"/>
        <v>-85.499076094613528</v>
      </c>
      <c r="AO76" s="582">
        <f t="shared" si="461"/>
        <v>28.892343908489668</v>
      </c>
      <c r="AP76" s="585">
        <f t="shared" si="95"/>
        <v>-28.817543098096131</v>
      </c>
      <c r="AQ76" s="586">
        <f t="shared" si="471"/>
        <v>0.38941675973933454</v>
      </c>
      <c r="AS76" s="52">
        <f t="shared" si="543"/>
        <v>154.46917769741015</v>
      </c>
      <c r="AT76" s="72">
        <f t="shared" si="472"/>
        <v>-3.2801805857874036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Taper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6.2640000000000002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6.1639999999999997</v>
      </c>
      <c r="II76" s="734" cm="1">
        <f t="array" ref="II76">IFERROR(ROUND(VALUE(IF($IH76&lt;1,$IH76+LARGE((IF($M$9:$M$150="",0,$M$9:$M$150)-MOD(IF($M$9:$M$150="",0,$M$9:$M$150),1)),1),$IH76)),4),"")</f>
        <v>6.1639999999999997</v>
      </c>
      <c r="IJ76" s="533">
        <f t="shared" si="542"/>
        <v>1613</v>
      </c>
      <c r="IK76" s="533">
        <f t="shared" si="517"/>
        <v>1313</v>
      </c>
      <c r="IL76" s="727">
        <f t="shared" si="225"/>
        <v>13.021798119884977</v>
      </c>
      <c r="IM76" s="759">
        <v>6.1021636688955597E-5</v>
      </c>
      <c r="IN76" s="5">
        <f t="shared" si="226"/>
        <v>0</v>
      </c>
      <c r="IO76" s="771">
        <v>0</v>
      </c>
      <c r="IP76" s="9">
        <f t="shared" si="227"/>
        <v>-5.8001174931543602</v>
      </c>
      <c r="IQ76" s="5">
        <f t="shared" si="228"/>
        <v>-3.4145102981630591</v>
      </c>
      <c r="IR76" s="5">
        <f t="shared" si="518"/>
        <v>0.314</v>
      </c>
      <c r="IS76" s="5">
        <f t="shared" si="229"/>
        <v>0.28709273665093182</v>
      </c>
      <c r="IT76" s="727">
        <f t="shared" si="230"/>
        <v>85.499078350503652</v>
      </c>
      <c r="IU76" s="9">
        <f t="shared" si="231"/>
        <v>-5.8541176560188513</v>
      </c>
      <c r="IV76" s="5">
        <f t="shared" si="232"/>
        <v>-3.4229103234975353</v>
      </c>
      <c r="IW76" s="5">
        <f t="shared" si="519"/>
        <v>0.26600000000000001</v>
      </c>
      <c r="IX76" s="5">
        <f t="shared" si="233"/>
        <v>0.232890739884832</v>
      </c>
      <c r="IY76" s="762">
        <f t="shared" si="234"/>
        <v>85.499076094613528</v>
      </c>
    </row>
    <row r="77" spans="1:259" ht="15" customHeight="1" x14ac:dyDescent="0.25">
      <c r="A77" s="79"/>
      <c r="B77" s="707">
        <v>-0.52030972268670683</v>
      </c>
      <c r="C77" s="708">
        <v>-0.3004007486710264</v>
      </c>
      <c r="D77" s="709">
        <v>-0.62150187444965344</v>
      </c>
      <c r="E77" s="710">
        <v>0.54097536073219554</v>
      </c>
      <c r="F77" s="708">
        <v>-0.80302283619345605</v>
      </c>
      <c r="G77" s="711">
        <v>0.24999996726497573</v>
      </c>
      <c r="H77" s="710">
        <v>0.314</v>
      </c>
      <c r="I77" s="708">
        <v>0.52</v>
      </c>
      <c r="J77" s="570">
        <v>7.1020000000000003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7.1020000000000003</v>
      </c>
      <c r="N77" s="632">
        <f t="shared" si="465"/>
        <v>-0.52030972268670683</v>
      </c>
      <c r="O77" s="629">
        <f t="shared" si="466"/>
        <v>-0.3004007486710264</v>
      </c>
      <c r="P77" s="633">
        <f t="shared" si="467"/>
        <v>-0.62150187444965344</v>
      </c>
      <c r="Q77" s="585">
        <f t="shared" si="520"/>
        <v>209.99998267414611</v>
      </c>
      <c r="R77" s="629">
        <f t="shared" si="79"/>
        <v>0.60080181201826532</v>
      </c>
      <c r="S77" s="634">
        <f t="shared" si="80"/>
        <v>-0.62150187444965344</v>
      </c>
      <c r="T77" s="635">
        <f t="shared" si="81"/>
        <v>-0.30040074867102617</v>
      </c>
      <c r="U77" s="629">
        <f t="shared" si="82"/>
        <v>0.52030972268670705</v>
      </c>
      <c r="V77" s="636">
        <f t="shared" si="114"/>
        <v>-0.62150187444965344</v>
      </c>
      <c r="W77" s="585">
        <f t="shared" si="224"/>
        <v>119.9999826741461</v>
      </c>
      <c r="X77" s="629">
        <f t="shared" si="83"/>
        <v>0.60080181201826532</v>
      </c>
      <c r="Y77" s="630">
        <f t="shared" si="644"/>
        <v>-0.62150187444965344</v>
      </c>
      <c r="Z77" s="632">
        <f t="shared" si="468"/>
        <v>-0.54097536073219554</v>
      </c>
      <c r="AA77" s="629">
        <f t="shared" si="469"/>
        <v>0.80302283619345605</v>
      </c>
      <c r="AB77" s="629">
        <f t="shared" si="470"/>
        <v>-0.24999996726497573</v>
      </c>
      <c r="AC77" s="636">
        <f t="shared" si="84"/>
        <v>1</v>
      </c>
      <c r="AD77" s="637">
        <f t="shared" si="115"/>
        <v>-0.54097536073219554</v>
      </c>
      <c r="AE77" s="629">
        <f t="shared" si="85"/>
        <v>0.80302283619345605</v>
      </c>
      <c r="AF77" s="633">
        <f t="shared" si="86"/>
        <v>-0.24999996726497573</v>
      </c>
      <c r="AG77" s="602">
        <f t="shared" si="87"/>
        <v>72.707401525173708</v>
      </c>
      <c r="AH77" s="603">
        <f t="shared" si="88"/>
        <v>122.7500605879534</v>
      </c>
      <c r="AI77" s="585">
        <f t="shared" si="89"/>
        <v>-75.522489751159455</v>
      </c>
      <c r="AJ77" s="586">
        <f t="shared" si="90"/>
        <v>-146.03288768076729</v>
      </c>
      <c r="AK77" s="635">
        <f t="shared" si="211"/>
        <v>0.96592583607220739</v>
      </c>
      <c r="AL77" s="629">
        <f t="shared" si="91"/>
        <v>6.6987279208207795E-2</v>
      </c>
      <c r="AM77" s="634">
        <f t="shared" si="92"/>
        <v>-0.24999996726497573</v>
      </c>
      <c r="AN77" s="581">
        <f t="shared" si="93"/>
        <v>14.999997834268392</v>
      </c>
      <c r="AO77" s="582">
        <f t="shared" si="461"/>
        <v>14.999997834268255</v>
      </c>
      <c r="AP77" s="585">
        <f t="shared" si="95"/>
        <v>3.9671296450866067</v>
      </c>
      <c r="AQ77" s="586">
        <f t="shared" si="471"/>
        <v>3.7889407992319133</v>
      </c>
      <c r="AS77" s="52">
        <f t="shared" si="543"/>
        <v>119.9999826741461</v>
      </c>
      <c r="AT77" s="72">
        <f t="shared" si="472"/>
        <v>-0.45483519575114378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7.1020000000000003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-1.1764126619467747</v>
      </c>
      <c r="C78" s="708">
        <v>-0.67920169273422537</v>
      </c>
      <c r="D78" s="709">
        <v>-0.41850126219980655</v>
      </c>
      <c r="E78" s="710">
        <v>0.54097536073219543</v>
      </c>
      <c r="F78" s="708">
        <v>-0.80302283619345616</v>
      </c>
      <c r="G78" s="711">
        <v>0.2499999672649757</v>
      </c>
      <c r="H78" s="710">
        <v>0.314</v>
      </c>
      <c r="I78" s="708">
        <v>0.52</v>
      </c>
      <c r="J78" s="570">
        <v>7.1050000000000004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7.1050000000000004</v>
      </c>
      <c r="N78" s="632">
        <f t="shared" si="465"/>
        <v>-1.1764126619467747</v>
      </c>
      <c r="O78" s="629">
        <f t="shared" si="466"/>
        <v>-0.67920169273422537</v>
      </c>
      <c r="P78" s="633">
        <f t="shared" si="467"/>
        <v>-0.41850126219980655</v>
      </c>
      <c r="Q78" s="585">
        <f t="shared" si="520"/>
        <v>209.99998267414614</v>
      </c>
      <c r="R78" s="629">
        <f>IF(M78="","",SQRT(N78^2+O78^2))</f>
        <v>1.3584040969467568</v>
      </c>
      <c r="S78" s="634">
        <f>IF(M78="","",P78)</f>
        <v>-0.41850126219980655</v>
      </c>
      <c r="T78" s="635">
        <f>IF(M78="","",X78*COS(RADIANS(W78)))</f>
        <v>-0.6792016927342247</v>
      </c>
      <c r="U78" s="629">
        <f>IF(M78="","",X78*SIN(RADIANS(W78)))</f>
        <v>1.1764126619467752</v>
      </c>
      <c r="V78" s="636">
        <f>IF(M78="","",Y78)</f>
        <v>-0.41850126219980655</v>
      </c>
      <c r="W78" s="585">
        <f t="shared" si="224"/>
        <v>119.99998267414612</v>
      </c>
      <c r="X78" s="629">
        <f>IF(M78="","",R78)</f>
        <v>1.3584040969467568</v>
      </c>
      <c r="Y78" s="630">
        <f t="shared" si="644"/>
        <v>-0.41850126219980655</v>
      </c>
      <c r="Z78" s="632">
        <f t="shared" si="468"/>
        <v>-0.54097536073219543</v>
      </c>
      <c r="AA78" s="629">
        <f t="shared" si="469"/>
        <v>0.80302283619345616</v>
      </c>
      <c r="AB78" s="629">
        <f t="shared" si="470"/>
        <v>-0.2499999672649757</v>
      </c>
      <c r="AC78" s="636">
        <f>IF(M78="","",SQRT(Z78^2+AA78^2+AB78^2))</f>
        <v>1</v>
      </c>
      <c r="AD78" s="637">
        <f>IF(M78="","",Z78*(1/SQRT(Z78^2+AA78^2+AB78^2)))</f>
        <v>-0.54097536073219543</v>
      </c>
      <c r="AE78" s="629">
        <f>IF(M78="","",AA78*(1/SQRT(Z78^2+AA78^2+AB78^2)))</f>
        <v>0.80302283619345616</v>
      </c>
      <c r="AF78" s="633">
        <f>IF(M78="","",AB78*(1/SQRT(Z78^2+AA78^2+AB78^2)))</f>
        <v>-0.2499999672649757</v>
      </c>
      <c r="AG78" s="602">
        <f>IF(M78="","",DEGREES(ATAN2(-AF78,AE78)))</f>
        <v>72.707401525173722</v>
      </c>
      <c r="AH78" s="603">
        <f>IF(M78="","",DEGREES(ACOS(AD78)))</f>
        <v>122.7500605879534</v>
      </c>
      <c r="AI78" s="585">
        <f>IF(M78="","",DEGREES(-ACOS(-AF78)))</f>
        <v>-75.522489751159455</v>
      </c>
      <c r="AJ78" s="586">
        <f>IF(M78="","",DEGREES(ATAN2(-AE78,AD78)))</f>
        <v>-146.03288768076729</v>
      </c>
      <c r="AK78" s="635">
        <f>IF(M78="","",(COS(RADIANS((90-$Q$8)-W78))*AD78)+(-SIN(RADIANS((90-$Q$8)-W78))*AE78))</f>
        <v>0.9659258360722075</v>
      </c>
      <c r="AL78" s="629">
        <f>IF(M78="","",(SIN(RADIANS((90-$Q$8)-W78))*AD78)+(COS(RADIANS((90-$Q$8)-W78))*AE78))</f>
        <v>6.6987279208207184E-2</v>
      </c>
      <c r="AM78" s="634">
        <f>IF(M78="","",AF78)</f>
        <v>-0.2499999672649757</v>
      </c>
      <c r="AN78" s="581">
        <f>IF(M78="","",DEGREES(ATAN2(-AM78,AL78)))</f>
        <v>14.999997834268262</v>
      </c>
      <c r="AO78" s="582">
        <f t="shared" si="461"/>
        <v>14.99999783426823</v>
      </c>
      <c r="AP78" s="585">
        <f>IF(M78="","",DEGREES(ATAN2(AK78,AL78)))</f>
        <v>3.9671296450865703</v>
      </c>
      <c r="AQ78" s="586">
        <f t="shared" si="471"/>
        <v>1.6777592236029277</v>
      </c>
      <c r="AS78" s="52">
        <f t="shared" si="543"/>
        <v>119.99998267414612</v>
      </c>
      <c r="AT78" s="72">
        <f t="shared" si="472"/>
        <v>-0.25183458350129689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7.1050000000000004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-1.8193519730696297</v>
      </c>
      <c r="C79" s="708">
        <v>-1.0504026178563455</v>
      </c>
      <c r="D79" s="709">
        <v>-0.21950066201399665</v>
      </c>
      <c r="E79" s="710">
        <v>0.54097536073219543</v>
      </c>
      <c r="F79" s="708">
        <v>-0.80302283619345616</v>
      </c>
      <c r="G79" s="711">
        <v>0.2499999672649757</v>
      </c>
      <c r="H79" s="710">
        <v>0.314</v>
      </c>
      <c r="I79" s="708">
        <v>0.52</v>
      </c>
      <c r="J79" s="570">
        <v>7.1079999999999997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7.1079999999999997</v>
      </c>
      <c r="N79" s="632">
        <f t="shared" si="465"/>
        <v>-1.8193519730696297</v>
      </c>
      <c r="O79" s="629">
        <f t="shared" si="466"/>
        <v>-1.0504026178563455</v>
      </c>
      <c r="P79" s="633">
        <f t="shared" si="467"/>
        <v>-0.21950066201399665</v>
      </c>
      <c r="Q79" s="585">
        <f t="shared" si="520"/>
        <v>209.99998267414611</v>
      </c>
      <c r="R79" s="629">
        <f>IF(M79="","",SQRT(N79^2+O79^2))</f>
        <v>2.1008063360319102</v>
      </c>
      <c r="S79" s="634">
        <f>IF(M79="","",P79)</f>
        <v>-0.21950066201399665</v>
      </c>
      <c r="T79" s="635">
        <f>IF(M79="","",X79*COS(RADIANS(W79)))</f>
        <v>-1.0504026178563444</v>
      </c>
      <c r="U79" s="629">
        <f>IF(M79="","",X79*SIN(RADIANS(W79)))</f>
        <v>1.8193519730696306</v>
      </c>
      <c r="V79" s="636">
        <f>IF(M79="","",Y79)</f>
        <v>-0.21950066201399665</v>
      </c>
      <c r="W79" s="585">
        <f t="shared" ref="W79:W129" si="645">IF(M79="","",IF(Q79-$Q$8&lt;0,360+Q79-$Q$8,Q79-$Q$8))</f>
        <v>119.9999826741461</v>
      </c>
      <c r="X79" s="629">
        <f>IF(M79="","",R79)</f>
        <v>2.1008063360319102</v>
      </c>
      <c r="Y79" s="630">
        <f t="shared" si="644"/>
        <v>-0.21950066201399665</v>
      </c>
      <c r="Z79" s="632">
        <f t="shared" si="468"/>
        <v>-0.54097536073219543</v>
      </c>
      <c r="AA79" s="629">
        <f t="shared" si="469"/>
        <v>0.80302283619345616</v>
      </c>
      <c r="AB79" s="629">
        <f t="shared" si="470"/>
        <v>-0.2499999672649757</v>
      </c>
      <c r="AC79" s="636">
        <f>IF(M79="","",SQRT(Z79^2+AA79^2+AB79^2))</f>
        <v>1</v>
      </c>
      <c r="AD79" s="637">
        <f>IF(M79="","",Z79*(1/SQRT(Z79^2+AA79^2+AB79^2)))</f>
        <v>-0.54097536073219543</v>
      </c>
      <c r="AE79" s="629">
        <f>IF(M79="","",AA79*(1/SQRT(Z79^2+AA79^2+AB79^2)))</f>
        <v>0.80302283619345616</v>
      </c>
      <c r="AF79" s="633">
        <f>IF(M79="","",AB79*(1/SQRT(Z79^2+AA79^2+AB79^2)))</f>
        <v>-0.2499999672649757</v>
      </c>
      <c r="AG79" s="602">
        <f>IF(M79="","",DEGREES(ATAN2(-AF79,AE79)))</f>
        <v>72.707401525173722</v>
      </c>
      <c r="AH79" s="603">
        <f>IF(M79="","",DEGREES(ACOS(AD79)))</f>
        <v>122.7500605879534</v>
      </c>
      <c r="AI79" s="585">
        <f>IF(M79="","",DEGREES(-ACOS(-AF79)))</f>
        <v>-75.522489751159455</v>
      </c>
      <c r="AJ79" s="586">
        <f>IF(M79="","",DEGREES(ATAN2(-AE79,AD79)))</f>
        <v>-146.03288768076729</v>
      </c>
      <c r="AK79" s="635">
        <f>IF(M79="","",(COS(RADIANS((90-$Q$8)-W79))*AD79)+(-SIN(RADIANS((90-$Q$8)-W79))*AE79))</f>
        <v>0.96592583607220739</v>
      </c>
      <c r="AL79" s="629">
        <f>IF(M79="","",(SIN(RADIANS((90-$Q$8)-W79))*AD79)+(COS(RADIANS((90-$Q$8)-W79))*AE79))</f>
        <v>6.6987279208207628E-2</v>
      </c>
      <c r="AM79" s="634">
        <f>IF(M79="","",AF79)</f>
        <v>-0.2499999672649757</v>
      </c>
      <c r="AN79" s="581">
        <f>IF(M79="","",DEGREES(ATAN2(-AM79,AL79)))</f>
        <v>14.999997834268356</v>
      </c>
      <c r="AO79" s="582">
        <f t="shared" si="461"/>
        <v>14.999997834268255</v>
      </c>
      <c r="AP79" s="585">
        <f>IF(M79="","",DEGREES(ATAN2(AK79,AL79)))</f>
        <v>3.9671296450865965</v>
      </c>
      <c r="AQ79" s="586">
        <f t="shared" si="471"/>
        <v>1.0850377122393167</v>
      </c>
      <c r="AS79" s="52">
        <f t="shared" si="543"/>
        <v>119.9999826741461</v>
      </c>
      <c r="AT79" s="72">
        <f t="shared" si="472"/>
        <v>-5.2833983315486999E-2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7.1079999999999997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-2.4755217490783679</v>
      </c>
      <c r="C80" s="708">
        <v>-1.427687157638168</v>
      </c>
      <c r="D80" s="709">
        <v>-7.490022589908138E-2</v>
      </c>
      <c r="E80" s="710">
        <v>0.48457839428600746</v>
      </c>
      <c r="F80" s="708">
        <v>-0.83551475802197583</v>
      </c>
      <c r="G80" s="711">
        <v>0.2590344936850576</v>
      </c>
      <c r="H80" s="710">
        <v>0.314</v>
      </c>
      <c r="I80" s="708">
        <v>0.52</v>
      </c>
      <c r="J80" s="570">
        <v>7.1130000000000004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7.1130000000000004</v>
      </c>
      <c r="N80" s="632">
        <f t="shared" si="465"/>
        <v>-2.4755217490783679</v>
      </c>
      <c r="O80" s="629">
        <f t="shared" si="466"/>
        <v>-1.427687157638168</v>
      </c>
      <c r="P80" s="633">
        <f t="shared" si="467"/>
        <v>-7.490022589908138E-2</v>
      </c>
      <c r="Q80" s="585">
        <f t="shared" si="520"/>
        <v>209.97298267804445</v>
      </c>
      <c r="R80" s="629">
        <f t="shared" si="79"/>
        <v>2.8577086188491951</v>
      </c>
      <c r="S80" s="634">
        <f t="shared" si="80"/>
        <v>-7.490022589908138E-2</v>
      </c>
      <c r="T80" s="635">
        <f t="shared" si="81"/>
        <v>-1.4276871576381678</v>
      </c>
      <c r="U80" s="629">
        <f t="shared" si="82"/>
        <v>2.4755217490783683</v>
      </c>
      <c r="V80" s="636">
        <f t="shared" si="114"/>
        <v>-7.490022589908138E-2</v>
      </c>
      <c r="W80" s="585">
        <f t="shared" si="645"/>
        <v>119.97298267804443</v>
      </c>
      <c r="X80" s="629">
        <f t="shared" si="83"/>
        <v>2.8577086188491951</v>
      </c>
      <c r="Y80" s="630">
        <f t="shared" si="644"/>
        <v>-7.490022589908138E-2</v>
      </c>
      <c r="Z80" s="632">
        <f t="shared" si="468"/>
        <v>-0.48457839428600746</v>
      </c>
      <c r="AA80" s="629">
        <f t="shared" si="469"/>
        <v>0.83551475802197583</v>
      </c>
      <c r="AB80" s="629">
        <f t="shared" si="470"/>
        <v>-0.2590344936850576</v>
      </c>
      <c r="AC80" s="636">
        <f t="shared" si="84"/>
        <v>1</v>
      </c>
      <c r="AD80" s="637">
        <f t="shared" si="115"/>
        <v>-0.48457839428600746</v>
      </c>
      <c r="AE80" s="629">
        <f t="shared" si="85"/>
        <v>0.83551475802197583</v>
      </c>
      <c r="AF80" s="633">
        <f t="shared" si="86"/>
        <v>-0.2590344936850576</v>
      </c>
      <c r="AG80" s="602">
        <f t="shared" si="87"/>
        <v>72.775004830759585</v>
      </c>
      <c r="AH80" s="603">
        <f t="shared" si="88"/>
        <v>118.98485364427654</v>
      </c>
      <c r="AI80" s="585">
        <f t="shared" si="89"/>
        <v>-74.98721986393484</v>
      </c>
      <c r="AJ80" s="586">
        <f t="shared" si="90"/>
        <v>-149.88730161636019</v>
      </c>
      <c r="AK80" s="635">
        <f t="shared" si="211"/>
        <v>0.9658651996024461</v>
      </c>
      <c r="AL80" s="629">
        <f t="shared" si="91"/>
        <v>2.3552660683994198E-3</v>
      </c>
      <c r="AM80" s="634">
        <f t="shared" si="92"/>
        <v>-0.2590344936850576</v>
      </c>
      <c r="AN80" s="581">
        <f t="shared" si="93"/>
        <v>0.52094639901540762</v>
      </c>
      <c r="AO80" s="582">
        <f t="shared" si="461"/>
        <v>15.013415304412783</v>
      </c>
      <c r="AP80" s="585">
        <f t="shared" si="95"/>
        <v>0.13971570559539098</v>
      </c>
      <c r="AQ80" s="586">
        <f t="shared" si="471"/>
        <v>0.79769481024378774</v>
      </c>
      <c r="AS80" s="52">
        <f t="shared" si="543"/>
        <v>119.97298267804443</v>
      </c>
      <c r="AT80" s="72">
        <f t="shared" si="472"/>
        <v>9.1785202796721088E-2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7.1130000000000004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-3.1519223555435967</v>
      </c>
      <c r="C81" s="708">
        <v>-1.7907581477146433</v>
      </c>
      <c r="D81" s="709">
        <v>-0.19270058118495287</v>
      </c>
      <c r="E81" s="710">
        <v>0.37026015414290114</v>
      </c>
      <c r="F81" s="708">
        <v>-0.89953262721210903</v>
      </c>
      <c r="G81" s="711">
        <v>0.23183716448178912</v>
      </c>
      <c r="H81" s="710">
        <v>0.314</v>
      </c>
      <c r="I81" s="708">
        <v>0.52</v>
      </c>
      <c r="J81" s="570">
        <v>7.1189999999999998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7.1189999999999998</v>
      </c>
      <c r="N81" s="632">
        <f t="shared" si="465"/>
        <v>-3.1519223555435967</v>
      </c>
      <c r="O81" s="629">
        <f t="shared" si="466"/>
        <v>-1.7907581477146433</v>
      </c>
      <c r="P81" s="633">
        <f t="shared" si="467"/>
        <v>-0.19270058118495287</v>
      </c>
      <c r="Q81" s="585">
        <f t="shared" si="520"/>
        <v>209.60298273146586</v>
      </c>
      <c r="R81" s="629">
        <f t="shared" si="79"/>
        <v>3.6251109333345752</v>
      </c>
      <c r="S81" s="634">
        <f t="shared" si="80"/>
        <v>-0.19270058118495287</v>
      </c>
      <c r="T81" s="635">
        <f t="shared" si="81"/>
        <v>-1.7907581477146433</v>
      </c>
      <c r="U81" s="629">
        <f t="shared" si="82"/>
        <v>3.1519223555435967</v>
      </c>
      <c r="V81" s="636">
        <f t="shared" si="114"/>
        <v>-0.19270058118495287</v>
      </c>
      <c r="W81" s="585">
        <f t="shared" si="645"/>
        <v>119.60298273146584</v>
      </c>
      <c r="X81" s="629">
        <f t="shared" si="83"/>
        <v>3.6251109333345752</v>
      </c>
      <c r="Y81" s="630">
        <f t="shared" si="644"/>
        <v>-0.19270058118495287</v>
      </c>
      <c r="Z81" s="632">
        <f t="shared" si="468"/>
        <v>-0.37026015414290114</v>
      </c>
      <c r="AA81" s="629">
        <f t="shared" si="469"/>
        <v>0.89953262721210903</v>
      </c>
      <c r="AB81" s="629">
        <f t="shared" si="470"/>
        <v>-0.23183716448178912</v>
      </c>
      <c r="AC81" s="636">
        <f t="shared" si="84"/>
        <v>1</v>
      </c>
      <c r="AD81" s="637">
        <f t="shared" si="115"/>
        <v>-0.37026015414290114</v>
      </c>
      <c r="AE81" s="629">
        <f t="shared" si="85"/>
        <v>0.89953262721210903</v>
      </c>
      <c r="AF81" s="633">
        <f t="shared" si="86"/>
        <v>-0.23183716448178912</v>
      </c>
      <c r="AG81" s="602">
        <f t="shared" si="87"/>
        <v>75.547639928029042</v>
      </c>
      <c r="AH81" s="603">
        <f t="shared" si="88"/>
        <v>111.73166255385212</v>
      </c>
      <c r="AI81" s="585">
        <f t="shared" si="89"/>
        <v>-76.594742536396396</v>
      </c>
      <c r="AJ81" s="586">
        <f t="shared" si="90"/>
        <v>-157.62725209911895</v>
      </c>
      <c r="AK81" s="635">
        <f t="shared" si="211"/>
        <v>0.96501967784976439</v>
      </c>
      <c r="AL81" s="629">
        <f t="shared" si="91"/>
        <v>-0.12242773594157863</v>
      </c>
      <c r="AM81" s="634">
        <f t="shared" si="92"/>
        <v>-0.23183716448178912</v>
      </c>
      <c r="AN81" s="581">
        <f t="shared" si="93"/>
        <v>-27.837477068544757</v>
      </c>
      <c r="AO81" s="582">
        <f t="shared" si="461"/>
        <v>15.199304326100648</v>
      </c>
      <c r="AP81" s="585">
        <f t="shared" si="95"/>
        <v>-7.2302348305847817</v>
      </c>
      <c r="AQ81" s="586">
        <f t="shared" si="471"/>
        <v>0.62884560901131881</v>
      </c>
      <c r="AS81" s="52">
        <f t="shared" si="543"/>
        <v>119.60298273146584</v>
      </c>
      <c r="AT81" s="72">
        <f t="shared" si="472"/>
        <v>-2.5758208081804124E-2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7.1189999999999998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-3.7625962102393911</v>
      </c>
      <c r="C82" s="708">
        <v>-2.0904497133518065</v>
      </c>
      <c r="D82" s="709">
        <v>-0.57090172183959309</v>
      </c>
      <c r="E82" s="710">
        <v>0.28828689781676897</v>
      </c>
      <c r="F82" s="708">
        <v>-0.94227477419724726</v>
      </c>
      <c r="G82" s="711">
        <v>0.1703200354001565</v>
      </c>
      <c r="H82" s="710">
        <v>0.314</v>
      </c>
      <c r="I82" s="708">
        <v>0.52</v>
      </c>
      <c r="J82" s="570">
        <v>7.1260000000000003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7.1260000000000003</v>
      </c>
      <c r="N82" s="632">
        <f t="shared" si="465"/>
        <v>-3.7625962102393911</v>
      </c>
      <c r="O82" s="629">
        <f t="shared" si="466"/>
        <v>-2.0904497133518065</v>
      </c>
      <c r="P82" s="633">
        <f t="shared" si="467"/>
        <v>-0.57090172183959309</v>
      </c>
      <c r="Q82" s="585">
        <f t="shared" si="520"/>
        <v>209.05598281044286</v>
      </c>
      <c r="R82" s="629">
        <f t="shared" si="79"/>
        <v>4.3043129818079535</v>
      </c>
      <c r="S82" s="634">
        <f t="shared" si="80"/>
        <v>-0.57090172183959309</v>
      </c>
      <c r="T82" s="635">
        <f t="shared" si="81"/>
        <v>-2.0904497133518056</v>
      </c>
      <c r="U82" s="629">
        <f t="shared" si="82"/>
        <v>3.7625962102393911</v>
      </c>
      <c r="V82" s="636">
        <f t="shared" si="114"/>
        <v>-0.57090172183959309</v>
      </c>
      <c r="W82" s="585">
        <f t="shared" si="645"/>
        <v>119.05598281044284</v>
      </c>
      <c r="X82" s="629">
        <f t="shared" si="83"/>
        <v>4.3043129818079535</v>
      </c>
      <c r="Y82" s="630">
        <f t="shared" si="644"/>
        <v>-0.57090172183959309</v>
      </c>
      <c r="Z82" s="632">
        <f t="shared" si="468"/>
        <v>-0.28828689781676897</v>
      </c>
      <c r="AA82" s="629">
        <f t="shared" si="469"/>
        <v>0.94227477419724726</v>
      </c>
      <c r="AB82" s="629">
        <f t="shared" si="470"/>
        <v>-0.1703200354001565</v>
      </c>
      <c r="AC82" s="636">
        <f t="shared" si="84"/>
        <v>1</v>
      </c>
      <c r="AD82" s="637">
        <f t="shared" si="115"/>
        <v>-0.28828689781676897</v>
      </c>
      <c r="AE82" s="629">
        <f t="shared" si="85"/>
        <v>0.94227477419724726</v>
      </c>
      <c r="AF82" s="633">
        <f t="shared" si="86"/>
        <v>-0.1703200354001565</v>
      </c>
      <c r="AG82" s="602">
        <f t="shared" si="87"/>
        <v>79.754180614627202</v>
      </c>
      <c r="AH82" s="603">
        <f t="shared" si="88"/>
        <v>106.75542285671399</v>
      </c>
      <c r="AI82" s="585">
        <f t="shared" si="89"/>
        <v>-80.193572893947447</v>
      </c>
      <c r="AJ82" s="586">
        <f t="shared" si="90"/>
        <v>-162.98862389565321</v>
      </c>
      <c r="AK82" s="635">
        <f t="shared" si="211"/>
        <v>0.96369589637986064</v>
      </c>
      <c r="AL82" s="629">
        <f t="shared" si="91"/>
        <v>-0.20562418350453421</v>
      </c>
      <c r="AM82" s="634">
        <f t="shared" si="92"/>
        <v>-0.1703200354001565</v>
      </c>
      <c r="AN82" s="581">
        <f t="shared" si="93"/>
        <v>-50.364795508496918</v>
      </c>
      <c r="AO82" s="582">
        <f t="shared" si="461"/>
        <v>15.48596281497816</v>
      </c>
      <c r="AP82" s="585">
        <f t="shared" si="95"/>
        <v>-12.044606706096051</v>
      </c>
      <c r="AQ82" s="586">
        <f t="shared" si="471"/>
        <v>0.52962266234449562</v>
      </c>
      <c r="AS82" s="52">
        <f t="shared" si="543"/>
        <v>119.05598281044284</v>
      </c>
      <c r="AT82" s="72">
        <f t="shared" si="472"/>
        <v>-0.40357948768017837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7.1260000000000003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-4.2712551716018217</v>
      </c>
      <c r="C83" s="708">
        <v>-2.3207418623737084</v>
      </c>
      <c r="D83" s="709">
        <v>-1.1155033643581469</v>
      </c>
      <c r="E83" s="710">
        <v>0.24833658455060939</v>
      </c>
      <c r="F83" s="708">
        <v>-0.96024644471675014</v>
      </c>
      <c r="G83" s="711">
        <v>0.12749786736482874</v>
      </c>
      <c r="H83" s="710">
        <v>0.314</v>
      </c>
      <c r="I83" s="708">
        <v>0.52</v>
      </c>
      <c r="J83" s="570">
        <v>7.1349999999999998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7.1349999999999998</v>
      </c>
      <c r="N83" s="632">
        <f t="shared" si="465"/>
        <v>-4.2712551716018217</v>
      </c>
      <c r="O83" s="629">
        <f t="shared" si="466"/>
        <v>-2.3207418623737084</v>
      </c>
      <c r="P83" s="633">
        <f t="shared" si="467"/>
        <v>-1.1155033643581469</v>
      </c>
      <c r="Q83" s="585">
        <f t="shared" si="520"/>
        <v>208.51698288826481</v>
      </c>
      <c r="R83" s="629">
        <f t="shared" si="79"/>
        <v>4.861014660820218</v>
      </c>
      <c r="S83" s="634">
        <f t="shared" si="80"/>
        <v>-1.1155033643581469</v>
      </c>
      <c r="T83" s="635">
        <f t="shared" si="81"/>
        <v>-2.3207418623737066</v>
      </c>
      <c r="U83" s="629">
        <f t="shared" si="82"/>
        <v>4.2712551716018226</v>
      </c>
      <c r="V83" s="636">
        <f t="shared" si="114"/>
        <v>-1.1155033643581469</v>
      </c>
      <c r="W83" s="585">
        <f t="shared" si="645"/>
        <v>118.51698288826479</v>
      </c>
      <c r="X83" s="629">
        <f t="shared" si="83"/>
        <v>4.861014660820218</v>
      </c>
      <c r="Y83" s="630">
        <f t="shared" si="644"/>
        <v>-1.1155033643581469</v>
      </c>
      <c r="Z83" s="632">
        <f t="shared" si="468"/>
        <v>-0.24833658455060939</v>
      </c>
      <c r="AA83" s="629">
        <f t="shared" si="469"/>
        <v>0.96024644471675014</v>
      </c>
      <c r="AB83" s="629">
        <f t="shared" si="470"/>
        <v>-0.12749786736482874</v>
      </c>
      <c r="AC83" s="636">
        <f t="shared" si="84"/>
        <v>1</v>
      </c>
      <c r="AD83" s="637">
        <f t="shared" si="115"/>
        <v>-0.24833658455060939</v>
      </c>
      <c r="AE83" s="629">
        <f t="shared" si="85"/>
        <v>0.96024644471675014</v>
      </c>
      <c r="AF83" s="633">
        <f t="shared" si="86"/>
        <v>-0.12749786736482874</v>
      </c>
      <c r="AG83" s="602">
        <f t="shared" si="87"/>
        <v>82.436723116011763</v>
      </c>
      <c r="AH83" s="603">
        <f t="shared" si="88"/>
        <v>104.37910163822849</v>
      </c>
      <c r="AI83" s="585">
        <f t="shared" si="89"/>
        <v>-82.674972544596642</v>
      </c>
      <c r="AJ83" s="586">
        <f t="shared" si="90"/>
        <v>-165.50000175434513</v>
      </c>
      <c r="AK83" s="635">
        <f t="shared" si="211"/>
        <v>0.96230582031301437</v>
      </c>
      <c r="AL83" s="629">
        <f t="shared" si="91"/>
        <v>-0.2402328079366286</v>
      </c>
      <c r="AM83" s="634">
        <f t="shared" si="92"/>
        <v>-0.12749786736482874</v>
      </c>
      <c r="AN83" s="581">
        <f t="shared" si="93"/>
        <v>-62.043932372439009</v>
      </c>
      <c r="AO83" s="582">
        <f t="shared" si="461"/>
        <v>15.781508113389835</v>
      </c>
      <c r="AP83" s="585">
        <f t="shared" si="95"/>
        <v>-14.016984642609959</v>
      </c>
      <c r="AQ83" s="586">
        <f t="shared" si="471"/>
        <v>0.46897116757565721</v>
      </c>
      <c r="AS83" s="52">
        <f t="shared" si="543"/>
        <v>118.51698288826479</v>
      </c>
      <c r="AT83" s="72">
        <f t="shared" si="472"/>
        <v>-0.94780682469721966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7.1349999999999998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-4.6676776007038656</v>
      </c>
      <c r="C84" s="708">
        <v>-2.488538276019816</v>
      </c>
      <c r="D84" s="709">
        <v>-1.7664053274784666</v>
      </c>
      <c r="E84" s="710">
        <v>0.2057280131017617</v>
      </c>
      <c r="F84" s="708">
        <v>-0.97418602724281045</v>
      </c>
      <c r="G84" s="711">
        <v>9.2938522422469083E-2</v>
      </c>
      <c r="H84" s="710">
        <v>0.314</v>
      </c>
      <c r="I84" s="708">
        <v>0.52</v>
      </c>
      <c r="J84" s="570">
        <v>7.1440000000000001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7.1440000000000001</v>
      </c>
      <c r="N84" s="632">
        <f t="shared" si="465"/>
        <v>-4.6676776007038656</v>
      </c>
      <c r="O84" s="629">
        <f t="shared" si="466"/>
        <v>-2.488538276019816</v>
      </c>
      <c r="P84" s="633">
        <f t="shared" si="467"/>
        <v>-1.7664053274784666</v>
      </c>
      <c r="Q84" s="585">
        <f t="shared" si="520"/>
        <v>208.06398295366992</v>
      </c>
      <c r="R84" s="629">
        <f t="shared" si="79"/>
        <v>5.2896159534817153</v>
      </c>
      <c r="S84" s="634">
        <f t="shared" si="80"/>
        <v>-1.7664053274784666</v>
      </c>
      <c r="T84" s="635">
        <f t="shared" si="81"/>
        <v>-2.4885382760198165</v>
      </c>
      <c r="U84" s="629">
        <f t="shared" si="82"/>
        <v>4.6676776007038656</v>
      </c>
      <c r="V84" s="636">
        <f t="shared" si="114"/>
        <v>-1.7664053274784666</v>
      </c>
      <c r="W84" s="585">
        <f t="shared" si="645"/>
        <v>118.06398295366991</v>
      </c>
      <c r="X84" s="629">
        <f t="shared" si="83"/>
        <v>5.2896159534817153</v>
      </c>
      <c r="Y84" s="630">
        <f t="shared" si="644"/>
        <v>-1.7664053274784666</v>
      </c>
      <c r="Z84" s="632">
        <f t="shared" si="468"/>
        <v>-0.2057280131017617</v>
      </c>
      <c r="AA84" s="629">
        <f t="shared" si="469"/>
        <v>0.97418602724281045</v>
      </c>
      <c r="AB84" s="629">
        <f t="shared" si="470"/>
        <v>-9.2938522422469083E-2</v>
      </c>
      <c r="AC84" s="636">
        <f t="shared" si="84"/>
        <v>1</v>
      </c>
      <c r="AD84" s="637">
        <f t="shared" si="115"/>
        <v>-0.2057280131017617</v>
      </c>
      <c r="AE84" s="629">
        <f t="shared" si="85"/>
        <v>0.97418602724281045</v>
      </c>
      <c r="AF84" s="633">
        <f t="shared" si="86"/>
        <v>-9.2938522422469083E-2</v>
      </c>
      <c r="AG84" s="602">
        <f t="shared" si="87"/>
        <v>84.550406526063213</v>
      </c>
      <c r="AH84" s="603">
        <f t="shared" si="88"/>
        <v>101.87211955582858</v>
      </c>
      <c r="AI84" s="585">
        <f t="shared" si="89"/>
        <v>-84.667319139605979</v>
      </c>
      <c r="AJ84" s="586">
        <f t="shared" si="90"/>
        <v>-168.07551621481889</v>
      </c>
      <c r="AK84" s="635">
        <f t="shared" si="211"/>
        <v>0.95643017901955152</v>
      </c>
      <c r="AL84" s="629">
        <f t="shared" si="91"/>
        <v>-0.27677381326736311</v>
      </c>
      <c r="AM84" s="634">
        <f t="shared" si="92"/>
        <v>-9.2938522422469083E-2</v>
      </c>
      <c r="AN84" s="581">
        <f t="shared" si="93"/>
        <v>-71.43834396449671</v>
      </c>
      <c r="AO84" s="582">
        <f t="shared" si="461"/>
        <v>16.975403704813072</v>
      </c>
      <c r="AP84" s="585">
        <f t="shared" si="95"/>
        <v>-16.139499168488804</v>
      </c>
      <c r="AQ84" s="586">
        <f t="shared" si="471"/>
        <v>0.43097337442258765</v>
      </c>
      <c r="AS84" s="52">
        <f t="shared" si="543"/>
        <v>118.06398295366991</v>
      </c>
      <c r="AT84" s="72">
        <f t="shared" si="472"/>
        <v>-1.5983942045296262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7.1440000000000001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-4.9505309935542012</v>
      </c>
      <c r="C85" s="708">
        <v>-2.6020616524936355</v>
      </c>
      <c r="D85" s="709">
        <v>-2.4847074938778011</v>
      </c>
      <c r="E85" s="710">
        <v>0.16410805019547409</v>
      </c>
      <c r="F85" s="708">
        <v>-0.98469451077571313</v>
      </c>
      <c r="G85" s="711">
        <v>5.8696407975437237E-2</v>
      </c>
      <c r="H85" s="710">
        <v>0.314</v>
      </c>
      <c r="I85" s="708">
        <v>0.52</v>
      </c>
      <c r="J85" s="570">
        <v>7.1529999999999996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7.1529999999999996</v>
      </c>
      <c r="N85" s="632">
        <f t="shared" si="465"/>
        <v>-4.9505309935542012</v>
      </c>
      <c r="O85" s="629">
        <f t="shared" si="466"/>
        <v>-2.6020616524936355</v>
      </c>
      <c r="P85" s="633">
        <f t="shared" si="467"/>
        <v>-2.4847074938778011</v>
      </c>
      <c r="Q85" s="585">
        <f t="shared" si="520"/>
        <v>207.7269830023267</v>
      </c>
      <c r="R85" s="629">
        <f t="shared" si="79"/>
        <v>5.5927168676340715</v>
      </c>
      <c r="S85" s="634">
        <f t="shared" si="80"/>
        <v>-2.4847074938778011</v>
      </c>
      <c r="T85" s="635">
        <f t="shared" si="81"/>
        <v>-2.6020616524936364</v>
      </c>
      <c r="U85" s="629">
        <f t="shared" si="82"/>
        <v>4.9505309935542012</v>
      </c>
      <c r="V85" s="636">
        <f t="shared" si="114"/>
        <v>-2.4847074938778011</v>
      </c>
      <c r="W85" s="585">
        <f t="shared" si="645"/>
        <v>117.72698300232669</v>
      </c>
      <c r="X85" s="629">
        <f t="shared" si="83"/>
        <v>5.5927168676340715</v>
      </c>
      <c r="Y85" s="630">
        <f t="shared" si="644"/>
        <v>-2.4847074938778011</v>
      </c>
      <c r="Z85" s="632">
        <f t="shared" si="468"/>
        <v>-0.16410805019547409</v>
      </c>
      <c r="AA85" s="629">
        <f t="shared" si="469"/>
        <v>0.98469451077571313</v>
      </c>
      <c r="AB85" s="629">
        <f t="shared" si="470"/>
        <v>-5.8696407975437237E-2</v>
      </c>
      <c r="AC85" s="636">
        <f t="shared" si="84"/>
        <v>1</v>
      </c>
      <c r="AD85" s="637">
        <f t="shared" si="115"/>
        <v>-0.16410805019547409</v>
      </c>
      <c r="AE85" s="629">
        <f t="shared" si="85"/>
        <v>0.98469451077571313</v>
      </c>
      <c r="AF85" s="633">
        <f t="shared" si="86"/>
        <v>-5.8696407975437237E-2</v>
      </c>
      <c r="AG85" s="602">
        <f t="shared" si="87"/>
        <v>86.588706775730628</v>
      </c>
      <c r="AH85" s="603">
        <f t="shared" si="88"/>
        <v>99.44542322006842</v>
      </c>
      <c r="AI85" s="585">
        <f t="shared" si="89"/>
        <v>-86.635009445044716</v>
      </c>
      <c r="AJ85" s="586">
        <f t="shared" si="90"/>
        <v>-170.53811380898071</v>
      </c>
      <c r="AK85" s="635">
        <f t="shared" si="211"/>
        <v>0.94797932463544399</v>
      </c>
      <c r="AL85" s="629">
        <f t="shared" si="91"/>
        <v>-0.31287366740348843</v>
      </c>
      <c r="AM85" s="634">
        <f t="shared" si="92"/>
        <v>-5.8696407975437237E-2</v>
      </c>
      <c r="AN85" s="581">
        <f t="shared" si="93"/>
        <v>-79.374578453585173</v>
      </c>
      <c r="AO85" s="582">
        <f t="shared" si="461"/>
        <v>18.562075367628232</v>
      </c>
      <c r="AP85" s="585">
        <f t="shared" si="95"/>
        <v>-18.265096811307426</v>
      </c>
      <c r="AQ85" s="586">
        <f t="shared" si="471"/>
        <v>0.40761730384306666</v>
      </c>
      <c r="AS85" s="52">
        <f t="shared" si="543"/>
        <v>117.72698300232669</v>
      </c>
      <c r="AT85" s="72">
        <f t="shared" si="472"/>
        <v>-2.3164623431849725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7.1529999999999996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-5.1219739836905571</v>
      </c>
      <c r="C86" s="708">
        <v>-2.6684881244154184</v>
      </c>
      <c r="D86" s="709">
        <v>-3.2428097803142979</v>
      </c>
      <c r="E86" s="710">
        <v>8.1810145391590372E-2</v>
      </c>
      <c r="F86" s="708">
        <v>-0.99590114678270736</v>
      </c>
      <c r="G86" s="711">
        <v>3.8574680139895054E-2</v>
      </c>
      <c r="H86" s="710">
        <v>0.314</v>
      </c>
      <c r="I86" s="708">
        <v>0.52</v>
      </c>
      <c r="J86" s="570">
        <v>7.1619999999999999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7.1619999999999999</v>
      </c>
      <c r="N86" s="632">
        <f t="shared" si="465"/>
        <v>-5.1219739836905571</v>
      </c>
      <c r="O86" s="629">
        <f t="shared" si="466"/>
        <v>-2.6684881244154184</v>
      </c>
      <c r="P86" s="633">
        <f t="shared" si="467"/>
        <v>-3.2428097803142979</v>
      </c>
      <c r="Q86" s="585">
        <f t="shared" si="520"/>
        <v>207.51898303235816</v>
      </c>
      <c r="R86" s="629">
        <f t="shared" si="79"/>
        <v>5.7754174186589342</v>
      </c>
      <c r="S86" s="634">
        <f t="shared" si="80"/>
        <v>-3.2428097803142979</v>
      </c>
      <c r="T86" s="635">
        <f t="shared" si="81"/>
        <v>-2.6684881244154157</v>
      </c>
      <c r="U86" s="629">
        <f t="shared" si="82"/>
        <v>5.121973983690558</v>
      </c>
      <c r="V86" s="636">
        <f t="shared" si="114"/>
        <v>-3.2428097803142979</v>
      </c>
      <c r="W86" s="585">
        <f t="shared" si="645"/>
        <v>117.51898303235815</v>
      </c>
      <c r="X86" s="629">
        <f t="shared" si="83"/>
        <v>5.7754174186589342</v>
      </c>
      <c r="Y86" s="630">
        <f t="shared" si="644"/>
        <v>-3.2428097803142979</v>
      </c>
      <c r="Z86" s="632">
        <f t="shared" si="468"/>
        <v>-8.1810145391590372E-2</v>
      </c>
      <c r="AA86" s="629">
        <f t="shared" si="469"/>
        <v>0.99590114678270736</v>
      </c>
      <c r="AB86" s="629">
        <f t="shared" si="470"/>
        <v>-3.8574680139895054E-2</v>
      </c>
      <c r="AC86" s="636">
        <f t="shared" si="84"/>
        <v>1</v>
      </c>
      <c r="AD86" s="637">
        <f t="shared" si="115"/>
        <v>-8.1810145391590372E-2</v>
      </c>
      <c r="AE86" s="629">
        <f t="shared" si="85"/>
        <v>0.99590114678270736</v>
      </c>
      <c r="AF86" s="633">
        <f t="shared" si="86"/>
        <v>-3.8574680139895054E-2</v>
      </c>
      <c r="AG86" s="602">
        <f t="shared" si="87"/>
        <v>87.781846039706707</v>
      </c>
      <c r="AH86" s="603">
        <f t="shared" si="88"/>
        <v>94.69262055288452</v>
      </c>
      <c r="AI86" s="585">
        <f t="shared" si="89"/>
        <v>-87.789285141116295</v>
      </c>
      <c r="AJ86" s="586">
        <f t="shared" si="90"/>
        <v>-175.30387637729015</v>
      </c>
      <c r="AK86" s="635">
        <f t="shared" si="211"/>
        <v>0.92102246123327436</v>
      </c>
      <c r="AL86" s="629">
        <f t="shared" si="91"/>
        <v>-0.38759465934905057</v>
      </c>
      <c r="AM86" s="634">
        <f t="shared" si="92"/>
        <v>-3.8574680139895054E-2</v>
      </c>
      <c r="AN86" s="581">
        <f t="shared" si="93"/>
        <v>-84.316453452981179</v>
      </c>
      <c r="AO86" s="582">
        <f t="shared" si="461"/>
        <v>22.923980533553429</v>
      </c>
      <c r="AP86" s="585">
        <f t="shared" si="95"/>
        <v>-22.82285940964832</v>
      </c>
      <c r="AQ86" s="586">
        <f t="shared" si="471"/>
        <v>0.39472308238665116</v>
      </c>
      <c r="AS86" s="52">
        <f t="shared" si="543"/>
        <v>117.51898303235815</v>
      </c>
      <c r="AT86" s="72">
        <f t="shared" si="472"/>
        <v>-3.0744201851978801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7.1619999999999999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-5.1843485243832026</v>
      </c>
      <c r="C87" s="708">
        <v>-2.6922472236822892</v>
      </c>
      <c r="D87" s="709">
        <v>-4.0199121240549669</v>
      </c>
      <c r="E87" s="710">
        <v>2.8125813021179922E-2</v>
      </c>
      <c r="F87" s="708">
        <v>-0.99959433077492332</v>
      </c>
      <c r="G87" s="711">
        <v>-4.4846989342614777E-3</v>
      </c>
      <c r="H87" s="710">
        <v>0.314</v>
      </c>
      <c r="I87" s="708">
        <v>0.52</v>
      </c>
      <c r="J87" s="570">
        <v>7.1710000000000003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7.1710000000000003</v>
      </c>
      <c r="N87" s="632">
        <f t="shared" si="465"/>
        <v>-5.1843485243832026</v>
      </c>
      <c r="O87" s="629">
        <f t="shared" si="466"/>
        <v>-2.6922472236822892</v>
      </c>
      <c r="P87" s="633">
        <f t="shared" si="467"/>
        <v>-4.0199121240549669</v>
      </c>
      <c r="Q87" s="585">
        <f t="shared" si="520"/>
        <v>207.4429830433312</v>
      </c>
      <c r="R87" s="629">
        <f t="shared" si="79"/>
        <v>5.841717618620339</v>
      </c>
      <c r="S87" s="634">
        <f t="shared" si="80"/>
        <v>-4.0199121240549669</v>
      </c>
      <c r="T87" s="635">
        <f t="shared" si="81"/>
        <v>-2.6922472236822861</v>
      </c>
      <c r="U87" s="629">
        <f t="shared" si="82"/>
        <v>5.1843485243832044</v>
      </c>
      <c r="V87" s="636">
        <f t="shared" si="114"/>
        <v>-4.0199121240549669</v>
      </c>
      <c r="W87" s="585">
        <f t="shared" si="645"/>
        <v>117.44298304333118</v>
      </c>
      <c r="X87" s="629">
        <f t="shared" si="83"/>
        <v>5.841717618620339</v>
      </c>
      <c r="Y87" s="630">
        <f t="shared" si="644"/>
        <v>-4.0199121240549669</v>
      </c>
      <c r="Z87" s="632">
        <f t="shared" si="468"/>
        <v>-2.8125813021179922E-2</v>
      </c>
      <c r="AA87" s="629">
        <f t="shared" si="469"/>
        <v>0.99959433077492332</v>
      </c>
      <c r="AB87" s="629">
        <f t="shared" si="470"/>
        <v>4.4846989342614777E-3</v>
      </c>
      <c r="AC87" s="636">
        <f t="shared" si="84"/>
        <v>1</v>
      </c>
      <c r="AD87" s="637">
        <f t="shared" si="115"/>
        <v>-2.8125813021179922E-2</v>
      </c>
      <c r="AE87" s="629">
        <f t="shared" si="85"/>
        <v>0.99959433077492332</v>
      </c>
      <c r="AF87" s="633">
        <f t="shared" si="86"/>
        <v>4.4846989342614777E-3</v>
      </c>
      <c r="AG87" s="602">
        <f t="shared" si="87"/>
        <v>90.257056877339835</v>
      </c>
      <c r="AH87" s="603">
        <f t="shared" si="88"/>
        <v>91.611702921784271</v>
      </c>
      <c r="AI87" s="585">
        <f t="shared" si="89"/>
        <v>-90.256955182661144</v>
      </c>
      <c r="AJ87" s="586">
        <f t="shared" si="90"/>
        <v>-178.38828086598758</v>
      </c>
      <c r="AK87" s="635">
        <f t="shared" si="211"/>
        <v>0.90007209848610625</v>
      </c>
      <c r="AL87" s="629">
        <f t="shared" si="91"/>
        <v>-0.43571791907412555</v>
      </c>
      <c r="AM87" s="634">
        <f t="shared" si="92"/>
        <v>4.4846989342614777E-3</v>
      </c>
      <c r="AN87" s="581">
        <f t="shared" si="93"/>
        <v>-90.589705487938971</v>
      </c>
      <c r="AO87" s="582">
        <f t="shared" si="461"/>
        <v>25.832454120340312</v>
      </c>
      <c r="AP87" s="585">
        <f t="shared" si="95"/>
        <v>-25.831263909318782</v>
      </c>
      <c r="AQ87" s="586">
        <f t="shared" si="471"/>
        <v>0.39024333738661987</v>
      </c>
      <c r="AS87" s="52">
        <f t="shared" si="543"/>
        <v>117.44298304333118</v>
      </c>
      <c r="AT87" s="72">
        <f t="shared" si="472"/>
        <v>-3.8514697511683913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7.1710000000000003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-5.2170804623613458</v>
      </c>
      <c r="C88" s="708">
        <v>-2.7045067401798266</v>
      </c>
      <c r="D88" s="709">
        <v>-4.7988144732244509</v>
      </c>
      <c r="E88" s="710">
        <v>-4.5328337472167524E-2</v>
      </c>
      <c r="F88" s="708">
        <v>-0.99897214266564849</v>
      </c>
      <c r="G88" s="711">
        <v>1.1339743386408167E-7</v>
      </c>
      <c r="H88" s="710">
        <v>0.314</v>
      </c>
      <c r="I88" s="708">
        <v>0.52</v>
      </c>
      <c r="J88" s="570">
        <v>7.18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7.18</v>
      </c>
      <c r="N88" s="632">
        <f t="shared" si="465"/>
        <v>-5.2170804623613458</v>
      </c>
      <c r="O88" s="629">
        <f t="shared" si="466"/>
        <v>-2.7045067401798266</v>
      </c>
      <c r="P88" s="633">
        <f t="shared" si="467"/>
        <v>-4.7988144732244509</v>
      </c>
      <c r="Q88" s="585">
        <f t="shared" si="520"/>
        <v>207.40198304925087</v>
      </c>
      <c r="R88" s="629">
        <f t="shared" si="79"/>
        <v>5.8764177232758552</v>
      </c>
      <c r="S88" s="634">
        <f t="shared" si="80"/>
        <v>-4.7988144732244509</v>
      </c>
      <c r="T88" s="635">
        <f t="shared" si="81"/>
        <v>-2.7045067401798271</v>
      </c>
      <c r="U88" s="629">
        <f t="shared" si="82"/>
        <v>5.2170804623613458</v>
      </c>
      <c r="V88" s="636">
        <f t="shared" si="114"/>
        <v>-4.7988144732244509</v>
      </c>
      <c r="W88" s="585">
        <f t="shared" si="645"/>
        <v>117.40198304925086</v>
      </c>
      <c r="X88" s="629">
        <f t="shared" si="83"/>
        <v>5.8764177232758552</v>
      </c>
      <c r="Y88" s="630">
        <f t="shared" si="644"/>
        <v>-4.7988144732244509</v>
      </c>
      <c r="Z88" s="632">
        <f t="shared" si="468"/>
        <v>4.5328337472167524E-2</v>
      </c>
      <c r="AA88" s="629">
        <f t="shared" si="469"/>
        <v>0.99897214266564849</v>
      </c>
      <c r="AB88" s="629">
        <f t="shared" si="470"/>
        <v>-1.1339743386408167E-7</v>
      </c>
      <c r="AC88" s="636">
        <f t="shared" si="84"/>
        <v>1</v>
      </c>
      <c r="AD88" s="637">
        <f t="shared" si="115"/>
        <v>4.5328337472167524E-2</v>
      </c>
      <c r="AE88" s="629">
        <f t="shared" si="85"/>
        <v>0.99897214266564849</v>
      </c>
      <c r="AF88" s="633">
        <f t="shared" si="86"/>
        <v>-1.1339743386408167E-7</v>
      </c>
      <c r="AG88" s="602">
        <f t="shared" si="87"/>
        <v>89.999993496120581</v>
      </c>
      <c r="AH88" s="603">
        <f t="shared" si="88"/>
        <v>87.401987380714999</v>
      </c>
      <c r="AI88" s="585">
        <f t="shared" si="89"/>
        <v>-89.999993502805637</v>
      </c>
      <c r="AJ88" s="586">
        <f t="shared" si="90"/>
        <v>177.40198738071496</v>
      </c>
      <c r="AK88" s="635">
        <f t="shared" si="211"/>
        <v>0.86602544158358596</v>
      </c>
      <c r="AL88" s="629">
        <f t="shared" si="91"/>
        <v>-0.49999993452993835</v>
      </c>
      <c r="AM88" s="634">
        <f t="shared" si="92"/>
        <v>-1.1339743386408167E-7</v>
      </c>
      <c r="AN88" s="581">
        <f t="shared" si="93"/>
        <v>-89.999987005609569</v>
      </c>
      <c r="AO88" s="582">
        <f t="shared" si="461"/>
        <v>29.999995668536499</v>
      </c>
      <c r="AP88" s="585">
        <f t="shared" si="95"/>
        <v>-29.999995668535888</v>
      </c>
      <c r="AQ88" s="586">
        <f t="shared" si="471"/>
        <v>0.38793903054567191</v>
      </c>
      <c r="AS88" s="52">
        <f t="shared" si="543"/>
        <v>117.40198304925086</v>
      </c>
      <c r="AT88" s="72">
        <f t="shared" si="472"/>
        <v>-4.6303436281197641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7.18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-2.087977912927816</v>
      </c>
      <c r="C89" s="708">
        <v>-5.5156512363982196E-2</v>
      </c>
      <c r="D89" s="709">
        <v>-0.21590065115636362</v>
      </c>
      <c r="E89" s="710">
        <v>0.25872875761100916</v>
      </c>
      <c r="F89" s="708">
        <v>6.8344124340616371E-3</v>
      </c>
      <c r="G89" s="711">
        <v>0.96592583607218252</v>
      </c>
      <c r="H89" s="710">
        <v>0.25700000000000001</v>
      </c>
      <c r="I89" s="708">
        <v>0.41499999999999992</v>
      </c>
      <c r="J89" s="570">
        <v>7.2080000000000002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CPS-32193r1</v>
      </c>
      <c r="L89" s="320"/>
      <c r="M89" s="168">
        <f t="shared" si="464"/>
        <v>7.2080000000000002</v>
      </c>
      <c r="N89" s="632">
        <f t="shared" si="465"/>
        <v>-2.087977912927816</v>
      </c>
      <c r="O89" s="629">
        <f t="shared" si="466"/>
        <v>-5.5156512363982196E-2</v>
      </c>
      <c r="P89" s="633">
        <f t="shared" si="467"/>
        <v>-0.21590065115636362</v>
      </c>
      <c r="Q89" s="585">
        <f t="shared" si="520"/>
        <v>181.51318678713059</v>
      </c>
      <c r="R89" s="629">
        <f t="shared" si="79"/>
        <v>2.0887062995381989</v>
      </c>
      <c r="S89" s="634">
        <f t="shared" si="80"/>
        <v>-0.21590065115636362</v>
      </c>
      <c r="T89" s="635">
        <f t="shared" si="81"/>
        <v>-5.5156512363981586E-2</v>
      </c>
      <c r="U89" s="629">
        <f t="shared" si="82"/>
        <v>2.087977912927816</v>
      </c>
      <c r="V89" s="636">
        <f t="shared" si="114"/>
        <v>-0.21590065115636362</v>
      </c>
      <c r="W89" s="585">
        <f t="shared" si="645"/>
        <v>91.513186787130579</v>
      </c>
      <c r="X89" s="629">
        <f t="shared" si="83"/>
        <v>2.0887062995381989</v>
      </c>
      <c r="Y89" s="630">
        <f t="shared" si="644"/>
        <v>-0.21590065115636362</v>
      </c>
      <c r="Z89" s="632">
        <f t="shared" si="468"/>
        <v>-0.25872875761100916</v>
      </c>
      <c r="AA89" s="629">
        <f t="shared" si="469"/>
        <v>-6.8344124340616371E-3</v>
      </c>
      <c r="AB89" s="629">
        <f t="shared" si="470"/>
        <v>-0.96592583607218252</v>
      </c>
      <c r="AC89" s="636">
        <f t="shared" si="84"/>
        <v>1</v>
      </c>
      <c r="AD89" s="637">
        <f t="shared" si="115"/>
        <v>-0.25872875761100916</v>
      </c>
      <c r="AE89" s="629">
        <f t="shared" si="85"/>
        <v>-6.8344124340616371E-3</v>
      </c>
      <c r="AF89" s="633">
        <f t="shared" si="86"/>
        <v>-0.96592583607218252</v>
      </c>
      <c r="AG89" s="602">
        <f t="shared" si="87"/>
        <v>-0.40538977105819329</v>
      </c>
      <c r="AH89" s="603">
        <f t="shared" si="88"/>
        <v>104.99464448791772</v>
      </c>
      <c r="AI89" s="585">
        <f t="shared" si="89"/>
        <v>-14.999997834273763</v>
      </c>
      <c r="AJ89" s="586">
        <f t="shared" si="90"/>
        <v>-88.486863419345624</v>
      </c>
      <c r="AK89" s="635">
        <f t="shared" si="211"/>
        <v>2.2679489668393782E-7</v>
      </c>
      <c r="AL89" s="629">
        <f t="shared" si="91"/>
        <v>0.25881900859133927</v>
      </c>
      <c r="AM89" s="634">
        <f t="shared" si="92"/>
        <v>-0.96592583607218252</v>
      </c>
      <c r="AN89" s="581">
        <f t="shared" si="93"/>
        <v>14.999997834268267</v>
      </c>
      <c r="AO89" s="582">
        <f t="shared" si="461"/>
        <v>0</v>
      </c>
      <c r="AP89" s="585">
        <f t="shared" si="95"/>
        <v>89.999949793523797</v>
      </c>
      <c r="AQ89" s="586">
        <f t="shared" si="471"/>
        <v>1.0913219034979176</v>
      </c>
      <c r="AS89" s="52">
        <f t="shared" si="543"/>
        <v>91.513186787130579</v>
      </c>
      <c r="AT89" s="72">
        <f t="shared" si="472"/>
        <v>-2.9451475314093173E-2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7.2080000000000002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7.1079999999999997</v>
      </c>
      <c r="II89" s="734" cm="1">
        <f t="array" ref="II89">IFERROR(ROUND(VALUE(IF($IH89&lt;1,$IH89+LARGE((IF($M$9:$M$150="",0,$M$9:$M$150)-MOD(IF($M$9:$M$150="",0,$M$9:$M$150),1)),1),$IH89)),4),"")</f>
        <v>7.1079999999999997</v>
      </c>
      <c r="IJ89" s="533">
        <f t="shared" si="542"/>
        <v>1613</v>
      </c>
      <c r="IK89" s="533" t="str">
        <f t="shared" si="517"/>
        <v>CPS-32193r1</v>
      </c>
      <c r="IL89" s="727">
        <f t="shared" si="647"/>
        <v>28.486795887015518</v>
      </c>
      <c r="IM89" s="759">
        <v>3.7677137663585797E-2</v>
      </c>
      <c r="IN89" s="5">
        <f t="shared" si="648"/>
        <v>0.5</v>
      </c>
      <c r="IO89" s="771">
        <v>250</v>
      </c>
      <c r="IP89" s="9">
        <f t="shared" si="649"/>
        <v>-2.1008063360319102</v>
      </c>
      <c r="IQ89" s="5">
        <f t="shared" si="650"/>
        <v>-0.21950066201399665</v>
      </c>
      <c r="IR89" s="5">
        <f t="shared" si="518"/>
        <v>0.314</v>
      </c>
      <c r="IS89" s="5">
        <f t="shared" si="651"/>
        <v>0.30330071252667312</v>
      </c>
      <c r="IT89" s="727">
        <f t="shared" si="652"/>
        <v>-14.999997834268356</v>
      </c>
      <c r="IU89" s="9">
        <f t="shared" si="653"/>
        <v>-2.0887062995381989</v>
      </c>
      <c r="IV89" s="5">
        <f t="shared" si="654"/>
        <v>-0.21590065115636362</v>
      </c>
      <c r="IW89" s="5">
        <f t="shared" si="519"/>
        <v>0.25700000000000001</v>
      </c>
      <c r="IX89" s="5">
        <f t="shared" si="655"/>
        <v>0.25700000000000001</v>
      </c>
      <c r="IY89" s="762">
        <f t="shared" si="656"/>
        <v>-14.999997834268267</v>
      </c>
    </row>
    <row r="90" spans="1:259" ht="15" customHeight="1" x14ac:dyDescent="0.25">
      <c r="A90" s="79"/>
      <c r="B90" s="707">
        <v>-2.8225629413107445</v>
      </c>
      <c r="C90" s="708">
        <v>-0.44424202727229284</v>
      </c>
      <c r="D90" s="709">
        <v>-6.1400185182959553E-2</v>
      </c>
      <c r="E90" s="710">
        <v>8.981583356958903E-3</v>
      </c>
      <c r="F90" s="708">
        <v>1.4133781455180328E-3</v>
      </c>
      <c r="G90" s="711">
        <v>0.9999586659070564</v>
      </c>
      <c r="H90" s="710">
        <v>0.25700000000000001</v>
      </c>
      <c r="I90" s="708">
        <v>0.41499999999999992</v>
      </c>
      <c r="J90" s="570">
        <v>7.2130000000000001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CPS-32193r1</v>
      </c>
      <c r="L90" s="320"/>
      <c r="M90" s="168">
        <f t="shared" si="464"/>
        <v>7.2130000000000001</v>
      </c>
      <c r="N90" s="632">
        <f t="shared" si="465"/>
        <v>-2.8225629413107445</v>
      </c>
      <c r="O90" s="629">
        <f t="shared" si="466"/>
        <v>-0.44424202727229284</v>
      </c>
      <c r="P90" s="633">
        <f t="shared" si="467"/>
        <v>-6.1400185182959553E-2</v>
      </c>
      <c r="Q90" s="585">
        <f t="shared" si="520"/>
        <v>188.94438571419821</v>
      </c>
      <c r="R90" s="629">
        <f t="shared" si="79"/>
        <v>2.8573086176427909</v>
      </c>
      <c r="S90" s="634">
        <f t="shared" si="80"/>
        <v>-6.1400185182959553E-2</v>
      </c>
      <c r="T90" s="635">
        <f t="shared" si="81"/>
        <v>-0.44424202727229206</v>
      </c>
      <c r="U90" s="629">
        <f t="shared" si="82"/>
        <v>2.822562941310744</v>
      </c>
      <c r="V90" s="636">
        <f t="shared" si="114"/>
        <v>-6.1400185182959553E-2</v>
      </c>
      <c r="W90" s="585">
        <f t="shared" si="645"/>
        <v>98.944385714198191</v>
      </c>
      <c r="X90" s="629">
        <f t="shared" si="83"/>
        <v>2.8573086176427909</v>
      </c>
      <c r="Y90" s="630">
        <f t="shared" si="644"/>
        <v>-6.1400185182959553E-2</v>
      </c>
      <c r="Z90" s="632">
        <f t="shared" si="468"/>
        <v>-8.981583356958903E-3</v>
      </c>
      <c r="AA90" s="629">
        <f t="shared" si="469"/>
        <v>-1.4133781455180328E-3</v>
      </c>
      <c r="AB90" s="629">
        <f t="shared" si="470"/>
        <v>-0.9999586659070564</v>
      </c>
      <c r="AC90" s="636">
        <f t="shared" si="84"/>
        <v>1</v>
      </c>
      <c r="AD90" s="637">
        <f t="shared" si="115"/>
        <v>-8.981583356958903E-3</v>
      </c>
      <c r="AE90" s="629">
        <f t="shared" si="85"/>
        <v>-1.4133781455180328E-3</v>
      </c>
      <c r="AF90" s="633">
        <f t="shared" si="86"/>
        <v>-0.9999586659070564</v>
      </c>
      <c r="AG90" s="602">
        <f t="shared" si="87"/>
        <v>-8.0983896062400015E-2</v>
      </c>
      <c r="AH90" s="603">
        <f t="shared" si="88"/>
        <v>90.51461373873903</v>
      </c>
      <c r="AI90" s="585">
        <f t="shared" si="89"/>
        <v>-0.52094674887286485</v>
      </c>
      <c r="AJ90" s="586">
        <f t="shared" si="90"/>
        <v>-81.057043479835528</v>
      </c>
      <c r="AK90" s="635">
        <f t="shared" si="211"/>
        <v>2.2679489670887447E-7</v>
      </c>
      <c r="AL90" s="629">
        <f t="shared" si="91"/>
        <v>9.0921107191231035E-3</v>
      </c>
      <c r="AM90" s="634">
        <f t="shared" si="92"/>
        <v>-0.9999586659070564</v>
      </c>
      <c r="AN90" s="581">
        <f t="shared" si="93"/>
        <v>0.52094674871164082</v>
      </c>
      <c r="AO90" s="582">
        <f t="shared" si="461"/>
        <v>0</v>
      </c>
      <c r="AP90" s="585">
        <f t="shared" si="95"/>
        <v>89.998570805966267</v>
      </c>
      <c r="AQ90" s="586">
        <f t="shared" si="471"/>
        <v>0.79780646694245416</v>
      </c>
      <c r="AS90" s="52">
        <f t="shared" si="543"/>
        <v>98.944385714198191</v>
      </c>
      <c r="AT90" s="72">
        <f t="shared" si="472"/>
        <v>0.11988843584884726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7.2130000000000001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7.1130000000000004</v>
      </c>
      <c r="II90" s="734" cm="1">
        <f t="array" ref="II90">IFERROR(ROUND(VALUE(IF($IH90&lt;1,$IH90+LARGE((IF($M$9:$M$150="",0,$M$9:$M$150)-MOD(IF($M$9:$M$150="",0,$M$9:$M$150),1)),1),$IH90)),4),"")</f>
        <v>7.1130000000000004</v>
      </c>
      <c r="IJ90" s="533">
        <f t="shared" si="542"/>
        <v>1613</v>
      </c>
      <c r="IK90" s="533" t="str">
        <f t="shared" si="517"/>
        <v>CPS-32193r1</v>
      </c>
      <c r="IL90" s="727">
        <f t="shared" si="647"/>
        <v>21.02859696384624</v>
      </c>
      <c r="IM90" s="759">
        <v>3.2777530327727303E-2</v>
      </c>
      <c r="IN90" s="5">
        <f t="shared" si="648"/>
        <v>0.54</v>
      </c>
      <c r="IO90" s="771">
        <v>270</v>
      </c>
      <c r="IP90" s="9">
        <f t="shared" si="649"/>
        <v>-2.8577086188491951</v>
      </c>
      <c r="IQ90" s="5">
        <f t="shared" si="650"/>
        <v>-7.490022589908138E-2</v>
      </c>
      <c r="IR90" s="5">
        <f t="shared" si="518"/>
        <v>0.314</v>
      </c>
      <c r="IS90" s="5">
        <f t="shared" si="651"/>
        <v>0.30328167267516809</v>
      </c>
      <c r="IT90" s="727">
        <f t="shared" si="652"/>
        <v>-0.52094639901540762</v>
      </c>
      <c r="IU90" s="9">
        <f t="shared" si="653"/>
        <v>-2.8573086176427909</v>
      </c>
      <c r="IV90" s="5">
        <f t="shared" si="654"/>
        <v>-6.1400185182959553E-2</v>
      </c>
      <c r="IW90" s="5">
        <f t="shared" si="519"/>
        <v>0.25700000000000001</v>
      </c>
      <c r="IX90" s="5">
        <f t="shared" si="655"/>
        <v>0.25700000000000001</v>
      </c>
      <c r="IY90" s="762">
        <f t="shared" si="656"/>
        <v>-0.52094674871164082</v>
      </c>
    </row>
    <row r="91" spans="1:259" ht="15" customHeight="1" x14ac:dyDescent="0.25">
      <c r="A91" s="79"/>
      <c r="B91" s="707">
        <v>-4.3716392303438907</v>
      </c>
      <c r="C91" s="708">
        <v>7.6766164603453382E-2</v>
      </c>
      <c r="D91" s="709">
        <v>-0.62460188379928117</v>
      </c>
      <c r="E91" s="710">
        <v>-0.22692204690004414</v>
      </c>
      <c r="F91" s="708">
        <v>-0.95970363130115022</v>
      </c>
      <c r="G91" s="711">
        <v>0.16575682398646585</v>
      </c>
      <c r="H91" s="710">
        <v>0.314</v>
      </c>
      <c r="I91" s="708">
        <v>0.52</v>
      </c>
      <c r="J91" s="570">
        <v>8.1270000000000007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8.1270000000000007</v>
      </c>
      <c r="N91" s="632">
        <f t="shared" si="465"/>
        <v>-4.3716392303438907</v>
      </c>
      <c r="O91" s="629">
        <f t="shared" si="466"/>
        <v>7.6766164603453382E-2</v>
      </c>
      <c r="P91" s="633">
        <f t="shared" si="467"/>
        <v>-0.62460188379928117</v>
      </c>
      <c r="Q91" s="585">
        <f t="shared" si="520"/>
        <v>178.993987150858</v>
      </c>
      <c r="R91" s="629">
        <f t="shared" si="79"/>
        <v>4.3723131868965712</v>
      </c>
      <c r="S91" s="634">
        <f t="shared" si="80"/>
        <v>-0.62460188379928117</v>
      </c>
      <c r="T91" s="635">
        <f t="shared" si="81"/>
        <v>7.6766164603455062E-2</v>
      </c>
      <c r="U91" s="629">
        <f t="shared" si="82"/>
        <v>4.3716392303438907</v>
      </c>
      <c r="V91" s="636">
        <f t="shared" si="114"/>
        <v>-0.62460188379928117</v>
      </c>
      <c r="W91" s="585">
        <f t="shared" si="645"/>
        <v>88.99398715085799</v>
      </c>
      <c r="X91" s="629">
        <f t="shared" si="83"/>
        <v>4.3723131868965712</v>
      </c>
      <c r="Y91" s="630">
        <f t="shared" si="644"/>
        <v>-0.62460188379928117</v>
      </c>
      <c r="Z91" s="632">
        <f t="shared" si="468"/>
        <v>0.22692204690004414</v>
      </c>
      <c r="AA91" s="629">
        <f t="shared" si="469"/>
        <v>0.95970363130115022</v>
      </c>
      <c r="AB91" s="629">
        <f t="shared" si="470"/>
        <v>-0.16575682398646585</v>
      </c>
      <c r="AC91" s="636">
        <f t="shared" si="84"/>
        <v>1</v>
      </c>
      <c r="AD91" s="637">
        <f t="shared" si="115"/>
        <v>0.22692204690004414</v>
      </c>
      <c r="AE91" s="629">
        <f t="shared" si="85"/>
        <v>0.95970363130115022</v>
      </c>
      <c r="AF91" s="633">
        <f t="shared" si="86"/>
        <v>-0.16575682398646585</v>
      </c>
      <c r="AG91" s="602">
        <f t="shared" si="87"/>
        <v>80.20074072580897</v>
      </c>
      <c r="AH91" s="603">
        <f t="shared" si="88"/>
        <v>76.884072778941913</v>
      </c>
      <c r="AI91" s="585">
        <f t="shared" si="89"/>
        <v>-80.458797275385905</v>
      </c>
      <c r="AJ91" s="586">
        <f t="shared" si="90"/>
        <v>166.69673633953241</v>
      </c>
      <c r="AK91" s="635">
        <f t="shared" si="211"/>
        <v>0.96353984703789175</v>
      </c>
      <c r="AL91" s="629">
        <f t="shared" si="91"/>
        <v>-0.21003723115704073</v>
      </c>
      <c r="AM91" s="634">
        <f t="shared" si="92"/>
        <v>-0.16575682398646585</v>
      </c>
      <c r="AN91" s="581">
        <f t="shared" si="93"/>
        <v>-51.72026452219756</v>
      </c>
      <c r="AO91" s="582">
        <f t="shared" si="461"/>
        <v>15.519414059676837</v>
      </c>
      <c r="AP91" s="585">
        <f t="shared" si="95"/>
        <v>-12.297250811325604</v>
      </c>
      <c r="AQ91" s="586">
        <f t="shared" si="471"/>
        <v>0.52138618790800761</v>
      </c>
      <c r="AS91" s="52">
        <f t="shared" si="543"/>
        <v>88.99398715085799</v>
      </c>
      <c r="AT91" s="72">
        <f t="shared" si="472"/>
        <v>-0.43640326376515476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8.1270000000000007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-4.9132441302490726</v>
      </c>
      <c r="C92" s="708">
        <v>0.13191979992961778</v>
      </c>
      <c r="D92" s="709">
        <v>-1.1834035691451641</v>
      </c>
      <c r="E92" s="710">
        <v>-0.26911447970071301</v>
      </c>
      <c r="F92" s="708">
        <v>-0.95527961083892032</v>
      </c>
      <c r="G92" s="711">
        <v>0.12254901848181179</v>
      </c>
      <c r="H92" s="710">
        <v>0.314</v>
      </c>
      <c r="I92" s="708">
        <v>0.52</v>
      </c>
      <c r="J92" s="570">
        <v>8.1359999999999992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8.1359999999999992</v>
      </c>
      <c r="N92" s="632">
        <f t="shared" si="465"/>
        <v>-4.9132441302490726</v>
      </c>
      <c r="O92" s="629">
        <f t="shared" si="466"/>
        <v>0.13191979992961778</v>
      </c>
      <c r="P92" s="633">
        <f t="shared" si="467"/>
        <v>-1.1834035691451641</v>
      </c>
      <c r="Q92" s="585">
        <f t="shared" si="520"/>
        <v>178.46198722766931</v>
      </c>
      <c r="R92" s="629">
        <f t="shared" si="79"/>
        <v>4.9150148236847091</v>
      </c>
      <c r="S92" s="634">
        <f t="shared" si="80"/>
        <v>-1.1834035691451641</v>
      </c>
      <c r="T92" s="635">
        <f t="shared" si="81"/>
        <v>0.13191979992961853</v>
      </c>
      <c r="U92" s="629">
        <f t="shared" si="82"/>
        <v>4.9132441302490717</v>
      </c>
      <c r="V92" s="636">
        <f t="shared" si="114"/>
        <v>-1.1834035691451641</v>
      </c>
      <c r="W92" s="585">
        <f t="shared" si="645"/>
        <v>88.461987227669297</v>
      </c>
      <c r="X92" s="629">
        <f t="shared" si="83"/>
        <v>4.9150148236847091</v>
      </c>
      <c r="Y92" s="630">
        <f t="shared" si="644"/>
        <v>-1.1834035691451641</v>
      </c>
      <c r="Z92" s="632">
        <f t="shared" si="468"/>
        <v>0.26911447970071301</v>
      </c>
      <c r="AA92" s="629">
        <f t="shared" si="469"/>
        <v>0.95527961083892032</v>
      </c>
      <c r="AB92" s="629">
        <f t="shared" si="470"/>
        <v>-0.12254901848181179</v>
      </c>
      <c r="AC92" s="636">
        <f t="shared" si="84"/>
        <v>1</v>
      </c>
      <c r="AD92" s="637">
        <f t="shared" si="115"/>
        <v>0.26911447970071301</v>
      </c>
      <c r="AE92" s="629">
        <f t="shared" si="85"/>
        <v>0.95527961083892032</v>
      </c>
      <c r="AF92" s="633">
        <f t="shared" si="86"/>
        <v>-0.12254901848181179</v>
      </c>
      <c r="AG92" s="602">
        <f t="shared" si="87"/>
        <v>82.689680748377683</v>
      </c>
      <c r="AH92" s="603">
        <f t="shared" si="88"/>
        <v>74.388419962324505</v>
      </c>
      <c r="AI92" s="585">
        <f t="shared" si="89"/>
        <v>-82.960763382538858</v>
      </c>
      <c r="AJ92" s="586">
        <f t="shared" si="90"/>
        <v>164.26679318377066</v>
      </c>
      <c r="AK92" s="635">
        <f t="shared" si="211"/>
        <v>0.96215853637567461</v>
      </c>
      <c r="AL92" s="629">
        <f t="shared" si="91"/>
        <v>-0.24337766731679397</v>
      </c>
      <c r="AM92" s="634">
        <f t="shared" si="92"/>
        <v>-0.12254901848181179</v>
      </c>
      <c r="AN92" s="581">
        <f t="shared" si="93"/>
        <v>-63.273174731656724</v>
      </c>
      <c r="AO92" s="582">
        <f t="shared" si="461"/>
        <v>15.812506711732601</v>
      </c>
      <c r="AP92" s="585">
        <f t="shared" si="95"/>
        <v>-14.195194043898624</v>
      </c>
      <c r="AQ92" s="586">
        <f t="shared" si="471"/>
        <v>0.463818913140432</v>
      </c>
      <c r="AS92" s="52">
        <f t="shared" si="543"/>
        <v>88.461987227669297</v>
      </c>
      <c r="AT92" s="73">
        <f t="shared" si="472"/>
        <v>-0.99483550471993443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8.1359999999999992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-5.3262340960429366</v>
      </c>
      <c r="C93" s="708">
        <v>0.18413592487903563</v>
      </c>
      <c r="D93" s="709">
        <v>-1.8435055600127694</v>
      </c>
      <c r="E93" s="710">
        <v>-0.31176565650740851</v>
      </c>
      <c r="F93" s="708">
        <v>-0.94610157021941932</v>
      </c>
      <c r="G93" s="711">
        <v>8.7715416266775925E-2</v>
      </c>
      <c r="H93" s="710">
        <v>0.314</v>
      </c>
      <c r="I93" s="708">
        <v>0.52</v>
      </c>
      <c r="J93" s="570">
        <v>8.1449999999999996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8.1449999999999996</v>
      </c>
      <c r="N93" s="632">
        <f t="shared" si="465"/>
        <v>-5.3262340960429366</v>
      </c>
      <c r="O93" s="629">
        <f t="shared" si="466"/>
        <v>0.18413592487903563</v>
      </c>
      <c r="P93" s="633">
        <f t="shared" si="467"/>
        <v>-1.8435055600127694</v>
      </c>
      <c r="Q93" s="585">
        <f t="shared" si="520"/>
        <v>178.01998729148619</v>
      </c>
      <c r="R93" s="629">
        <f t="shared" si="79"/>
        <v>5.3294160735188782</v>
      </c>
      <c r="S93" s="634">
        <f t="shared" si="80"/>
        <v>-1.8435055600127694</v>
      </c>
      <c r="T93" s="635">
        <f t="shared" si="81"/>
        <v>0.18413592487903704</v>
      </c>
      <c r="U93" s="629">
        <f t="shared" si="82"/>
        <v>5.3262340960429366</v>
      </c>
      <c r="V93" s="636">
        <f t="shared" si="114"/>
        <v>-1.8435055600127694</v>
      </c>
      <c r="W93" s="585">
        <f t="shared" si="645"/>
        <v>88.019987291486174</v>
      </c>
      <c r="X93" s="629">
        <f t="shared" si="83"/>
        <v>5.3294160735188782</v>
      </c>
      <c r="Y93" s="630">
        <f t="shared" si="644"/>
        <v>-1.8435055600127694</v>
      </c>
      <c r="Z93" s="632">
        <f t="shared" si="468"/>
        <v>0.31176565650740851</v>
      </c>
      <c r="AA93" s="629">
        <f t="shared" si="469"/>
        <v>0.94610157021941932</v>
      </c>
      <c r="AB93" s="629">
        <f t="shared" si="470"/>
        <v>-8.7715416266775925E-2</v>
      </c>
      <c r="AC93" s="636">
        <f t="shared" si="84"/>
        <v>1</v>
      </c>
      <c r="AD93" s="637">
        <f t="shared" si="115"/>
        <v>0.31176565650740851</v>
      </c>
      <c r="AE93" s="629">
        <f t="shared" si="85"/>
        <v>0.94610157021941932</v>
      </c>
      <c r="AF93" s="633">
        <f t="shared" si="86"/>
        <v>-8.7715416266775925E-2</v>
      </c>
      <c r="AG93" s="602">
        <f t="shared" si="87"/>
        <v>84.703108616223503</v>
      </c>
      <c r="AH93" s="603">
        <f t="shared" si="88"/>
        <v>71.834330588786131</v>
      </c>
      <c r="AI93" s="585">
        <f t="shared" si="89"/>
        <v>-84.967809786162434</v>
      </c>
      <c r="AJ93" s="586">
        <f t="shared" si="90"/>
        <v>161.76157237167976</v>
      </c>
      <c r="AK93" s="635">
        <f t="shared" si="211"/>
        <v>0.95630846397095259</v>
      </c>
      <c r="AL93" s="629">
        <f t="shared" si="91"/>
        <v>-0.27889088813846841</v>
      </c>
      <c r="AM93" s="634">
        <f t="shared" si="92"/>
        <v>-8.7715416266775925E-2</v>
      </c>
      <c r="AN93" s="581">
        <f t="shared" si="93"/>
        <v>-72.540847147455437</v>
      </c>
      <c r="AO93" s="582">
        <f t="shared" si="461"/>
        <v>16.999273330464721</v>
      </c>
      <c r="AP93" s="585">
        <f t="shared" si="95"/>
        <v>-16.258414919806413</v>
      </c>
      <c r="AQ93" s="586">
        <f t="shared" si="471"/>
        <v>0.42775498200542245</v>
      </c>
      <c r="AS93" s="52">
        <f t="shared" si="543"/>
        <v>88.019987291486174</v>
      </c>
      <c r="AT93" s="73">
        <f t="shared" si="472"/>
        <v>-1.6546305511874126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8.1449999999999996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-5.6142824754749689</v>
      </c>
      <c r="C94" s="708">
        <v>0.22569041225996767</v>
      </c>
      <c r="D94" s="709">
        <v>-2.5674077433017546</v>
      </c>
      <c r="E94" s="710">
        <v>-0.35898429158359091</v>
      </c>
      <c r="F94" s="708">
        <v>-0.93158348109965272</v>
      </c>
      <c r="G94" s="711">
        <v>5.7293072342828905E-2</v>
      </c>
      <c r="H94" s="710">
        <v>0.314</v>
      </c>
      <c r="I94" s="708">
        <v>0.52</v>
      </c>
      <c r="J94" s="570">
        <v>8.1539999999999999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8.1539999999999999</v>
      </c>
      <c r="N94" s="632">
        <f t="shared" si="465"/>
        <v>-5.6142824754749689</v>
      </c>
      <c r="O94" s="629">
        <f t="shared" si="466"/>
        <v>0.22569041225996767</v>
      </c>
      <c r="P94" s="633">
        <f t="shared" si="467"/>
        <v>-2.5674077433017546</v>
      </c>
      <c r="Q94" s="585">
        <f t="shared" si="520"/>
        <v>177.69798733797722</v>
      </c>
      <c r="R94" s="629">
        <f t="shared" si="79"/>
        <v>5.6188169463519113</v>
      </c>
      <c r="S94" s="634">
        <f t="shared" si="80"/>
        <v>-2.5674077433017546</v>
      </c>
      <c r="T94" s="635">
        <f t="shared" si="81"/>
        <v>0.2256904122599705</v>
      </c>
      <c r="U94" s="629">
        <f t="shared" si="82"/>
        <v>5.6142824754749689</v>
      </c>
      <c r="V94" s="636">
        <f t="shared" si="114"/>
        <v>-2.5674077433017546</v>
      </c>
      <c r="W94" s="585">
        <f t="shared" si="645"/>
        <v>87.69798733797721</v>
      </c>
      <c r="X94" s="629">
        <f t="shared" si="83"/>
        <v>5.6188169463519113</v>
      </c>
      <c r="Y94" s="630">
        <f t="shared" si="644"/>
        <v>-2.5674077433017546</v>
      </c>
      <c r="Z94" s="632">
        <f t="shared" si="468"/>
        <v>0.35898429158359091</v>
      </c>
      <c r="AA94" s="629">
        <f t="shared" si="469"/>
        <v>0.93158348109965272</v>
      </c>
      <c r="AB94" s="629">
        <f t="shared" si="470"/>
        <v>-5.7293072342828905E-2</v>
      </c>
      <c r="AC94" s="636">
        <f t="shared" si="84"/>
        <v>1</v>
      </c>
      <c r="AD94" s="637">
        <f t="shared" si="115"/>
        <v>0.35898429158359091</v>
      </c>
      <c r="AE94" s="629">
        <f t="shared" si="85"/>
        <v>0.93158348109965272</v>
      </c>
      <c r="AF94" s="633">
        <f t="shared" si="86"/>
        <v>-5.7293072342828905E-2</v>
      </c>
      <c r="AG94" s="602">
        <f t="shared" si="87"/>
        <v>86.480699827552144</v>
      </c>
      <c r="AH94" s="603">
        <f t="shared" si="88"/>
        <v>68.962169005574239</v>
      </c>
      <c r="AI94" s="585">
        <f t="shared" si="89"/>
        <v>-86.715550219814716</v>
      </c>
      <c r="AJ94" s="586">
        <f t="shared" si="90"/>
        <v>158.92590678193594</v>
      </c>
      <c r="AK94" s="635">
        <f t="shared" si="211"/>
        <v>0.94525096223155303</v>
      </c>
      <c r="AL94" s="629">
        <f t="shared" si="91"/>
        <v>-0.32127577291455195</v>
      </c>
      <c r="AM94" s="634">
        <f t="shared" si="92"/>
        <v>-5.7293072342828905E-2</v>
      </c>
      <c r="AN94" s="581">
        <f t="shared" si="93"/>
        <v>-79.888740539425172</v>
      </c>
      <c r="AO94" s="582">
        <f t="shared" si="461"/>
        <v>19.047040411522019</v>
      </c>
      <c r="AP94" s="585">
        <f t="shared" si="95"/>
        <v>-18.772080556041278</v>
      </c>
      <c r="AQ94" s="586">
        <f t="shared" si="471"/>
        <v>0.40572393601397139</v>
      </c>
      <c r="AS94" s="52">
        <f t="shared" si="543"/>
        <v>87.69798733797721</v>
      </c>
      <c r="AT94" s="73">
        <f t="shared" si="472"/>
        <v>-2.3783091233975719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8.1539999999999999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-5.7829257243104699</v>
      </c>
      <c r="C95" s="708">
        <v>0.25208477472531349</v>
      </c>
      <c r="D95" s="709">
        <v>-3.328610039087879</v>
      </c>
      <c r="E95" s="710">
        <v>-0.42800914875184431</v>
      </c>
      <c r="F95" s="708">
        <v>-0.90319671460481787</v>
      </c>
      <c r="G95" s="711">
        <v>3.2308873576539554E-2</v>
      </c>
      <c r="H95" s="710">
        <v>0.314</v>
      </c>
      <c r="I95" s="708">
        <v>0.52</v>
      </c>
      <c r="J95" s="570">
        <v>8.1630000000000003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8.1630000000000003</v>
      </c>
      <c r="N95" s="632">
        <f t="shared" si="465"/>
        <v>-5.7829257243104699</v>
      </c>
      <c r="O95" s="629">
        <f t="shared" si="466"/>
        <v>0.25208477472531349</v>
      </c>
      <c r="P95" s="633">
        <f t="shared" si="467"/>
        <v>-3.328610039087879</v>
      </c>
      <c r="Q95" s="585">
        <f t="shared" si="520"/>
        <v>177.50398736598737</v>
      </c>
      <c r="R95" s="629">
        <f t="shared" si="79"/>
        <v>5.7884174578670535</v>
      </c>
      <c r="S95" s="634">
        <f t="shared" si="80"/>
        <v>-3.328610039087879</v>
      </c>
      <c r="T95" s="635">
        <f t="shared" si="81"/>
        <v>0.25208477472531343</v>
      </c>
      <c r="U95" s="629">
        <f t="shared" si="82"/>
        <v>5.782925724310469</v>
      </c>
      <c r="V95" s="636">
        <f t="shared" si="114"/>
        <v>-3.328610039087879</v>
      </c>
      <c r="W95" s="585">
        <f t="shared" si="645"/>
        <v>87.503987365987356</v>
      </c>
      <c r="X95" s="629">
        <f t="shared" si="83"/>
        <v>5.7884174578670535</v>
      </c>
      <c r="Y95" s="630">
        <f t="shared" si="644"/>
        <v>-3.328610039087879</v>
      </c>
      <c r="Z95" s="632">
        <f t="shared" si="468"/>
        <v>0.42800914875184431</v>
      </c>
      <c r="AA95" s="629">
        <f t="shared" si="469"/>
        <v>0.90319671460481787</v>
      </c>
      <c r="AB95" s="629">
        <f t="shared" si="470"/>
        <v>-3.2308873576539554E-2</v>
      </c>
      <c r="AC95" s="636">
        <f t="shared" si="84"/>
        <v>1</v>
      </c>
      <c r="AD95" s="637">
        <f t="shared" si="115"/>
        <v>0.42800914875184431</v>
      </c>
      <c r="AE95" s="629">
        <f t="shared" si="85"/>
        <v>0.90319671460481787</v>
      </c>
      <c r="AF95" s="633">
        <f t="shared" si="86"/>
        <v>-3.2308873576539554E-2</v>
      </c>
      <c r="AG95" s="602">
        <f t="shared" si="87"/>
        <v>87.951306640498402</v>
      </c>
      <c r="AH95" s="603">
        <f t="shared" si="88"/>
        <v>64.658718082182929</v>
      </c>
      <c r="AI95" s="585">
        <f t="shared" si="89"/>
        <v>-88.148515691831648</v>
      </c>
      <c r="AJ95" s="586">
        <f t="shared" si="90"/>
        <v>154.64454400142517</v>
      </c>
      <c r="AK95" s="635">
        <f t="shared" si="211"/>
        <v>0.92097954987662289</v>
      </c>
      <c r="AL95" s="629">
        <f t="shared" si="91"/>
        <v>-0.38826898588126824</v>
      </c>
      <c r="AM95" s="634">
        <f t="shared" si="92"/>
        <v>-3.2308873576539554E-2</v>
      </c>
      <c r="AN95" s="581">
        <f t="shared" si="93"/>
        <v>-85.24322792313589</v>
      </c>
      <c r="AO95" s="582">
        <f t="shared" si="461"/>
        <v>22.93029185505091</v>
      </c>
      <c r="AP95" s="585">
        <f t="shared" si="95"/>
        <v>-22.859443364562203</v>
      </c>
      <c r="AQ95" s="586">
        <f t="shared" si="471"/>
        <v>0.39383661319704838</v>
      </c>
      <c r="AS95" s="52">
        <f t="shared" si="543"/>
        <v>87.503987365987356</v>
      </c>
      <c r="AT95" s="73">
        <f t="shared" si="472"/>
        <v>-3.1393766969809258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8.1630000000000003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-5.8361963081453307</v>
      </c>
      <c r="C96" s="708">
        <v>0.26073457698011682</v>
      </c>
      <c r="D96" s="709">
        <v>-4.106612385542955</v>
      </c>
      <c r="E96" s="710">
        <v>-0.47545478453543827</v>
      </c>
      <c r="F96" s="708">
        <v>-0.87972872826674764</v>
      </c>
      <c r="G96" s="711">
        <v>-4.4846989342609417E-3</v>
      </c>
      <c r="H96" s="710">
        <v>0.314</v>
      </c>
      <c r="I96" s="708">
        <v>0.52</v>
      </c>
      <c r="J96" s="570">
        <v>8.1720000000000006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8.1720000000000006</v>
      </c>
      <c r="N96" s="632">
        <f t="shared" si="465"/>
        <v>-5.8361963081453307</v>
      </c>
      <c r="O96" s="629">
        <f t="shared" si="466"/>
        <v>0.26073457698011682</v>
      </c>
      <c r="P96" s="633">
        <f t="shared" si="467"/>
        <v>-4.106612385542955</v>
      </c>
      <c r="Q96" s="585">
        <f t="shared" si="520"/>
        <v>177.44198737493906</v>
      </c>
      <c r="R96" s="629">
        <f t="shared" si="79"/>
        <v>5.8420176195251408</v>
      </c>
      <c r="S96" s="634">
        <f t="shared" si="80"/>
        <v>-4.106612385542955</v>
      </c>
      <c r="T96" s="635">
        <f t="shared" si="81"/>
        <v>0.26073457698011765</v>
      </c>
      <c r="U96" s="629">
        <f t="shared" si="82"/>
        <v>5.8361963081453307</v>
      </c>
      <c r="V96" s="636">
        <f t="shared" si="114"/>
        <v>-4.106612385542955</v>
      </c>
      <c r="W96" s="585">
        <f t="shared" si="645"/>
        <v>87.441987374939046</v>
      </c>
      <c r="X96" s="629">
        <f t="shared" si="83"/>
        <v>5.8420176195251408</v>
      </c>
      <c r="Y96" s="630">
        <f t="shared" si="644"/>
        <v>-4.106612385542955</v>
      </c>
      <c r="Z96" s="632">
        <f t="shared" si="468"/>
        <v>0.47545478453543827</v>
      </c>
      <c r="AA96" s="629">
        <f t="shared" si="469"/>
        <v>0.87972872826674764</v>
      </c>
      <c r="AB96" s="629">
        <f t="shared" si="470"/>
        <v>4.4846989342609417E-3</v>
      </c>
      <c r="AC96" s="636">
        <f t="shared" si="84"/>
        <v>1</v>
      </c>
      <c r="AD96" s="637">
        <f t="shared" si="115"/>
        <v>0.47545478453543827</v>
      </c>
      <c r="AE96" s="629">
        <f t="shared" si="85"/>
        <v>0.87972872826674764</v>
      </c>
      <c r="AF96" s="633">
        <f t="shared" si="86"/>
        <v>4.4846989342609417E-3</v>
      </c>
      <c r="AG96" s="602">
        <f t="shared" si="87"/>
        <v>90.292081055453167</v>
      </c>
      <c r="AH96" s="603">
        <f t="shared" si="88"/>
        <v>61.611034867490872</v>
      </c>
      <c r="AI96" s="585">
        <f t="shared" si="89"/>
        <v>-90.256955182661116</v>
      </c>
      <c r="AJ96" s="586">
        <f t="shared" si="90"/>
        <v>151.61072346562025</v>
      </c>
      <c r="AK96" s="635">
        <f t="shared" si="211"/>
        <v>0.90007209848610614</v>
      </c>
      <c r="AL96" s="629">
        <f t="shared" si="91"/>
        <v>-0.43571791907412588</v>
      </c>
      <c r="AM96" s="634">
        <f t="shared" si="92"/>
        <v>4.4846989342609417E-3</v>
      </c>
      <c r="AN96" s="581">
        <f t="shared" si="93"/>
        <v>-90.5897054879389</v>
      </c>
      <c r="AO96" s="582">
        <f t="shared" si="461"/>
        <v>25.832454120340323</v>
      </c>
      <c r="AP96" s="585">
        <f t="shared" si="95"/>
        <v>-25.831263909318803</v>
      </c>
      <c r="AQ96" s="586">
        <f t="shared" si="471"/>
        <v>0.39022329812252554</v>
      </c>
      <c r="AS96" s="52">
        <f t="shared" si="543"/>
        <v>87.441987374939046</v>
      </c>
      <c r="AT96" s="73">
        <f t="shared" si="472"/>
        <v>-3.9173359878866627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8.1720000000000006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-5.8703776042193061</v>
      </c>
      <c r="C97" s="708">
        <v>0.2663682456881416</v>
      </c>
      <c r="D97" s="709">
        <v>-4.8857147353156423</v>
      </c>
      <c r="E97" s="710">
        <v>-0.53874149940565308</v>
      </c>
      <c r="F97" s="708">
        <v>-0.84247112521328349</v>
      </c>
      <c r="G97" s="711">
        <v>1.133974335186406E-7</v>
      </c>
      <c r="H97" s="710">
        <v>0.314</v>
      </c>
      <c r="I97" s="708">
        <v>0.52</v>
      </c>
      <c r="J97" s="570">
        <v>8.1809999999999992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8.1809999999999992</v>
      </c>
      <c r="N97" s="632">
        <f t="shared" si="465"/>
        <v>-5.8703776042193061</v>
      </c>
      <c r="O97" s="629">
        <f t="shared" si="466"/>
        <v>0.2663682456881416</v>
      </c>
      <c r="P97" s="633">
        <f t="shared" si="467"/>
        <v>-4.8857147353156423</v>
      </c>
      <c r="Q97" s="585">
        <f t="shared" si="520"/>
        <v>177.40198738071433</v>
      </c>
      <c r="R97" s="629">
        <f t="shared" si="79"/>
        <v>5.8764177232758543</v>
      </c>
      <c r="S97" s="634">
        <f t="shared" si="80"/>
        <v>-4.8857147353156423</v>
      </c>
      <c r="T97" s="635">
        <f t="shared" si="81"/>
        <v>0.26636824568814366</v>
      </c>
      <c r="U97" s="629">
        <f t="shared" si="82"/>
        <v>5.8703776042193061</v>
      </c>
      <c r="V97" s="636">
        <f t="shared" si="114"/>
        <v>-4.8857147353156423</v>
      </c>
      <c r="W97" s="585">
        <f t="shared" si="645"/>
        <v>87.401987380714317</v>
      </c>
      <c r="X97" s="629">
        <f t="shared" si="83"/>
        <v>5.8764177232758543</v>
      </c>
      <c r="Y97" s="630">
        <f t="shared" si="644"/>
        <v>-4.8857147353156423</v>
      </c>
      <c r="Z97" s="632">
        <f t="shared" si="468"/>
        <v>0.53874149940565308</v>
      </c>
      <c r="AA97" s="629">
        <f t="shared" si="469"/>
        <v>0.84247112521328349</v>
      </c>
      <c r="AB97" s="629">
        <f t="shared" si="470"/>
        <v>-1.133974335186406E-7</v>
      </c>
      <c r="AC97" s="636">
        <f t="shared" si="84"/>
        <v>1</v>
      </c>
      <c r="AD97" s="637">
        <f t="shared" si="115"/>
        <v>0.53874149940565308</v>
      </c>
      <c r="AE97" s="629">
        <f t="shared" si="85"/>
        <v>0.84247112521328349</v>
      </c>
      <c r="AF97" s="633">
        <f t="shared" si="86"/>
        <v>-1.133974335186406E-7</v>
      </c>
      <c r="AG97" s="602">
        <f t="shared" si="87"/>
        <v>89.999992287932315</v>
      </c>
      <c r="AH97" s="603">
        <f t="shared" si="88"/>
        <v>57.401991712178663</v>
      </c>
      <c r="AI97" s="585">
        <f t="shared" si="89"/>
        <v>-89.999993502805651</v>
      </c>
      <c r="AJ97" s="586">
        <f t="shared" si="90"/>
        <v>147.40199171217844</v>
      </c>
      <c r="AK97" s="635">
        <f t="shared" si="211"/>
        <v>0.86602544158358574</v>
      </c>
      <c r="AL97" s="629">
        <f t="shared" si="91"/>
        <v>-0.49999993452993835</v>
      </c>
      <c r="AM97" s="634">
        <f t="shared" si="92"/>
        <v>-1.133974335186406E-7</v>
      </c>
      <c r="AN97" s="581">
        <f t="shared" si="93"/>
        <v>-89.999987005609611</v>
      </c>
      <c r="AO97" s="582">
        <f t="shared" si="461"/>
        <v>29.99999566853651</v>
      </c>
      <c r="AP97" s="585">
        <f t="shared" si="95"/>
        <v>-29.999995668535892</v>
      </c>
      <c r="AQ97" s="586">
        <f t="shared" si="471"/>
        <v>0.38793903054567197</v>
      </c>
      <c r="AS97" s="52">
        <f t="shared" si="543"/>
        <v>87.401987380714317</v>
      </c>
      <c r="AT97" s="73">
        <f t="shared" si="472"/>
        <v>-4.6964105598855825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8.1809999999999992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-2.089438486101038</v>
      </c>
      <c r="C98" s="708">
        <v>1.753620408317736</v>
      </c>
      <c r="D98" s="709">
        <v>-8.2900250027154163E-2</v>
      </c>
      <c r="E98" s="710">
        <v>-0.60408804575295849</v>
      </c>
      <c r="F98" s="708">
        <v>-0.7540234264516803</v>
      </c>
      <c r="G98" s="711">
        <v>0.25792693798911187</v>
      </c>
      <c r="H98" s="710">
        <v>0.314</v>
      </c>
      <c r="I98" s="708">
        <v>0.52</v>
      </c>
      <c r="J98" s="570">
        <v>9.1120000000000001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9.1120000000000001</v>
      </c>
      <c r="N98" s="632">
        <f t="shared" si="465"/>
        <v>-2.089438486101038</v>
      </c>
      <c r="O98" s="629">
        <f t="shared" si="466"/>
        <v>1.753620408317736</v>
      </c>
      <c r="P98" s="633">
        <f t="shared" si="467"/>
        <v>-8.2900250027154163E-2</v>
      </c>
      <c r="Q98" s="585">
        <f t="shared" si="520"/>
        <v>139.99399278176051</v>
      </c>
      <c r="R98" s="629">
        <f t="shared" si="79"/>
        <v>2.727808227069612</v>
      </c>
      <c r="S98" s="634">
        <f t="shared" si="80"/>
        <v>-8.2900250027154163E-2</v>
      </c>
      <c r="T98" s="635">
        <f t="shared" si="81"/>
        <v>1.7536204083177369</v>
      </c>
      <c r="U98" s="629">
        <f t="shared" si="82"/>
        <v>2.0894384861010371</v>
      </c>
      <c r="V98" s="636">
        <f t="shared" si="114"/>
        <v>-8.2900250027154163E-2</v>
      </c>
      <c r="W98" s="585">
        <f t="shared" si="645"/>
        <v>49.993992781760497</v>
      </c>
      <c r="X98" s="629">
        <f t="shared" si="83"/>
        <v>2.727808227069612</v>
      </c>
      <c r="Y98" s="630">
        <f t="shared" si="644"/>
        <v>-8.2900250027154163E-2</v>
      </c>
      <c r="Z98" s="632">
        <f t="shared" si="468"/>
        <v>0.60408804575295849</v>
      </c>
      <c r="AA98" s="629">
        <f t="shared" si="469"/>
        <v>0.7540234264516803</v>
      </c>
      <c r="AB98" s="629">
        <f t="shared" si="470"/>
        <v>-0.25792693798911187</v>
      </c>
      <c r="AC98" s="636">
        <f t="shared" si="84"/>
        <v>1</v>
      </c>
      <c r="AD98" s="637">
        <f t="shared" si="115"/>
        <v>0.60408804575295849</v>
      </c>
      <c r="AE98" s="629">
        <f t="shared" si="85"/>
        <v>0.7540234264516803</v>
      </c>
      <c r="AF98" s="633">
        <f t="shared" si="86"/>
        <v>-0.25792693798911187</v>
      </c>
      <c r="AG98" s="602">
        <f t="shared" si="87"/>
        <v>71.115847615597914</v>
      </c>
      <c r="AH98" s="603">
        <f t="shared" si="88"/>
        <v>52.836753143105177</v>
      </c>
      <c r="AI98" s="585">
        <f t="shared" si="89"/>
        <v>-75.052910539583337</v>
      </c>
      <c r="AJ98" s="586">
        <f t="shared" si="90"/>
        <v>141.29993657492531</v>
      </c>
      <c r="AK98" s="635">
        <f t="shared" si="211"/>
        <v>0.96591346340119499</v>
      </c>
      <c r="AL98" s="629">
        <f t="shared" si="91"/>
        <v>2.2019897362823504E-2</v>
      </c>
      <c r="AM98" s="634">
        <f t="shared" si="92"/>
        <v>-0.25792693798911187</v>
      </c>
      <c r="AN98" s="581">
        <f t="shared" si="93"/>
        <v>4.8796584178604228</v>
      </c>
      <c r="AO98" s="582">
        <f t="shared" si="461"/>
        <v>15.002736576715185</v>
      </c>
      <c r="AP98" s="585">
        <f t="shared" si="95"/>
        <v>1.3059437931648197</v>
      </c>
      <c r="AQ98" s="586">
        <f t="shared" si="471"/>
        <v>0.83567640524576858</v>
      </c>
      <c r="AS98" s="52">
        <f t="shared" si="543"/>
        <v>49.993992781760497</v>
      </c>
      <c r="AT98" s="73">
        <f t="shared" si="472"/>
        <v>0.13238169942995665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9.1120000000000001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-2.6694771428601505</v>
      </c>
      <c r="C99" s="708">
        <v>2.2651637288089606</v>
      </c>
      <c r="D99" s="709">
        <v>-0.15350046295739631</v>
      </c>
      <c r="E99" s="710">
        <v>-0.70282798887598985</v>
      </c>
      <c r="F99" s="708">
        <v>-0.66949060349943967</v>
      </c>
      <c r="G99" s="711">
        <v>0.24044781113266067</v>
      </c>
      <c r="H99" s="710">
        <v>0.314</v>
      </c>
      <c r="I99" s="708">
        <v>0.52</v>
      </c>
      <c r="J99" s="570">
        <v>9.1180000000000003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9.1180000000000003</v>
      </c>
      <c r="N99" s="632">
        <f t="shared" si="465"/>
        <v>-2.6694771428601505</v>
      </c>
      <c r="O99" s="629">
        <f t="shared" si="466"/>
        <v>2.2651637288089606</v>
      </c>
      <c r="P99" s="633">
        <f t="shared" si="467"/>
        <v>-0.15350046295739631</v>
      </c>
      <c r="Q99" s="585">
        <f t="shared" si="520"/>
        <v>139.68399282651896</v>
      </c>
      <c r="R99" s="629">
        <f t="shared" si="79"/>
        <v>3.5010105590478453</v>
      </c>
      <c r="S99" s="634">
        <f t="shared" si="80"/>
        <v>-0.15350046295739631</v>
      </c>
      <c r="T99" s="635">
        <f t="shared" si="81"/>
        <v>2.265163728808961</v>
      </c>
      <c r="U99" s="629">
        <f t="shared" si="82"/>
        <v>2.6694771428601496</v>
      </c>
      <c r="V99" s="636">
        <f t="shared" si="114"/>
        <v>-0.15350046295739631</v>
      </c>
      <c r="W99" s="585">
        <f t="shared" si="645"/>
        <v>49.683992826518946</v>
      </c>
      <c r="X99" s="629">
        <f t="shared" si="83"/>
        <v>3.5010105590478453</v>
      </c>
      <c r="Y99" s="630">
        <f t="shared" si="644"/>
        <v>-0.15350046295739631</v>
      </c>
      <c r="Z99" s="632">
        <f t="shared" si="468"/>
        <v>0.70282798887598985</v>
      </c>
      <c r="AA99" s="629">
        <f t="shared" si="469"/>
        <v>0.66949060349943967</v>
      </c>
      <c r="AB99" s="629">
        <f t="shared" si="470"/>
        <v>-0.24044781113266067</v>
      </c>
      <c r="AC99" s="636">
        <f t="shared" si="84"/>
        <v>1</v>
      </c>
      <c r="AD99" s="637">
        <f t="shared" si="115"/>
        <v>0.70282798887598985</v>
      </c>
      <c r="AE99" s="629">
        <f t="shared" si="85"/>
        <v>0.66949060349943967</v>
      </c>
      <c r="AF99" s="633">
        <f t="shared" si="86"/>
        <v>-0.24044781113266067</v>
      </c>
      <c r="AG99" s="602">
        <f t="shared" si="87"/>
        <v>70.244229400436453</v>
      </c>
      <c r="AH99" s="603">
        <f t="shared" si="88"/>
        <v>45.345663400248149</v>
      </c>
      <c r="AI99" s="585">
        <f t="shared" si="89"/>
        <v>-76.087027963842587</v>
      </c>
      <c r="AJ99" s="586">
        <f t="shared" si="90"/>
        <v>133.60840195065865</v>
      </c>
      <c r="AK99" s="635">
        <f t="shared" si="211"/>
        <v>0.96520997991907542</v>
      </c>
      <c r="AL99" s="629">
        <f t="shared" si="91"/>
        <v>-0.10273531421147464</v>
      </c>
      <c r="AM99" s="634">
        <f t="shared" si="92"/>
        <v>-0.24044781113266067</v>
      </c>
      <c r="AN99" s="581">
        <f t="shared" si="93"/>
        <v>-23.135399474412935</v>
      </c>
      <c r="AO99" s="582">
        <f t="shared" si="461"/>
        <v>15.157660353971153</v>
      </c>
      <c r="AP99" s="585">
        <f t="shared" si="95"/>
        <v>-6.0755908758603381</v>
      </c>
      <c r="AQ99" s="586">
        <f t="shared" si="471"/>
        <v>0.65113442249274378</v>
      </c>
      <c r="AS99" s="52">
        <f t="shared" si="543"/>
        <v>49.683992826518946</v>
      </c>
      <c r="AT99" s="73">
        <f t="shared" si="472"/>
        <v>6.1996764246410013E-2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9.1180000000000003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-3.2017412625031816</v>
      </c>
      <c r="C100" s="708">
        <v>2.7715780971180166</v>
      </c>
      <c r="D100" s="709">
        <v>-0.51910156561032172</v>
      </c>
      <c r="E100" s="710">
        <v>-0.78281644030612008</v>
      </c>
      <c r="F100" s="708">
        <v>-0.59717514906123315</v>
      </c>
      <c r="G100" s="711">
        <v>0.17487213079890368</v>
      </c>
      <c r="H100" s="710">
        <v>0.314</v>
      </c>
      <c r="I100" s="708">
        <v>0.52</v>
      </c>
      <c r="J100" s="570">
        <v>9.125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9.125</v>
      </c>
      <c r="N100" s="632">
        <f t="shared" si="465"/>
        <v>-3.2017412625031816</v>
      </c>
      <c r="O100" s="629">
        <f t="shared" si="466"/>
        <v>2.7715780971180166</v>
      </c>
      <c r="P100" s="633">
        <f t="shared" si="467"/>
        <v>-0.51910156561032172</v>
      </c>
      <c r="Q100" s="585">
        <f t="shared" si="520"/>
        <v>139.11899290809487</v>
      </c>
      <c r="R100" s="629">
        <f t="shared" si="79"/>
        <v>4.2347127718937196</v>
      </c>
      <c r="S100" s="634">
        <f t="shared" si="80"/>
        <v>-0.51910156561032172</v>
      </c>
      <c r="T100" s="635">
        <f t="shared" si="81"/>
        <v>2.7715780971180175</v>
      </c>
      <c r="U100" s="629">
        <f t="shared" si="82"/>
        <v>3.2017412625031803</v>
      </c>
      <c r="V100" s="636">
        <f t="shared" si="114"/>
        <v>-0.51910156561032172</v>
      </c>
      <c r="W100" s="585">
        <f t="shared" si="645"/>
        <v>49.118992908094853</v>
      </c>
      <c r="X100" s="629">
        <f t="shared" si="83"/>
        <v>4.2347127718937196</v>
      </c>
      <c r="Y100" s="630">
        <f t="shared" si="644"/>
        <v>-0.51910156561032172</v>
      </c>
      <c r="Z100" s="632">
        <f t="shared" si="468"/>
        <v>0.78281644030612008</v>
      </c>
      <c r="AA100" s="629">
        <f t="shared" si="469"/>
        <v>0.59717514906123315</v>
      </c>
      <c r="AB100" s="629">
        <f t="shared" si="470"/>
        <v>-0.17487213079890368</v>
      </c>
      <c r="AC100" s="636">
        <f t="shared" si="84"/>
        <v>1</v>
      </c>
      <c r="AD100" s="637">
        <f t="shared" si="115"/>
        <v>0.78281644030612008</v>
      </c>
      <c r="AE100" s="629">
        <f t="shared" si="85"/>
        <v>0.59717514906123315</v>
      </c>
      <c r="AF100" s="633">
        <f t="shared" si="86"/>
        <v>-0.17487213079890368</v>
      </c>
      <c r="AG100" s="602">
        <f t="shared" si="87"/>
        <v>73.678268412410986</v>
      </c>
      <c r="AH100" s="603">
        <f t="shared" si="88"/>
        <v>38.480825713542501</v>
      </c>
      <c r="AI100" s="585">
        <f t="shared" si="89"/>
        <v>-79.928783001195313</v>
      </c>
      <c r="AJ100" s="586">
        <f t="shared" si="90"/>
        <v>127.33836699708429</v>
      </c>
      <c r="AK100" s="635">
        <f t="shared" si="211"/>
        <v>0.96385219861839833</v>
      </c>
      <c r="AL100" s="629">
        <f t="shared" si="91"/>
        <v>-0.20101909632751513</v>
      </c>
      <c r="AM100" s="634">
        <f t="shared" si="92"/>
        <v>-0.17487213079890368</v>
      </c>
      <c r="AN100" s="581">
        <f t="shared" si="93"/>
        <v>-48.979080675416057</v>
      </c>
      <c r="AO100" s="582">
        <f t="shared" si="461"/>
        <v>15.452386547555886</v>
      </c>
      <c r="AP100" s="585">
        <f t="shared" si="95"/>
        <v>-11.780625911010569</v>
      </c>
      <c r="AQ100" s="586">
        <f t="shared" si="471"/>
        <v>0.53832684103863915</v>
      </c>
      <c r="AS100" s="52">
        <f t="shared" si="543"/>
        <v>49.118992908094853</v>
      </c>
      <c r="AT100" s="73">
        <f t="shared" si="472"/>
        <v>-0.3032119773520543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9.125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-3.6032267513801286</v>
      </c>
      <c r="C101" s="708">
        <v>3.1795796144649144</v>
      </c>
      <c r="D101" s="709">
        <v>-1.0489031634919408</v>
      </c>
      <c r="E101" s="710">
        <v>-0.81449070313889027</v>
      </c>
      <c r="F101" s="708">
        <v>-0.56487082666537014</v>
      </c>
      <c r="G101" s="711">
        <v>0.13238520945595642</v>
      </c>
      <c r="H101" s="710">
        <v>0.314</v>
      </c>
      <c r="I101" s="708">
        <v>0.52</v>
      </c>
      <c r="J101" s="570">
        <v>9.1340000000000003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9.1340000000000003</v>
      </c>
      <c r="N101" s="632">
        <f t="shared" si="465"/>
        <v>-3.6032267513801286</v>
      </c>
      <c r="O101" s="629">
        <f t="shared" si="466"/>
        <v>3.1795796144649144</v>
      </c>
      <c r="P101" s="633">
        <f t="shared" si="467"/>
        <v>-1.0489031634919408</v>
      </c>
      <c r="Q101" s="585">
        <f t="shared" si="520"/>
        <v>138.57399298678311</v>
      </c>
      <c r="R101" s="629">
        <f t="shared" si="79"/>
        <v>4.805514493431712</v>
      </c>
      <c r="S101" s="634">
        <f t="shared" si="80"/>
        <v>-1.0489031634919408</v>
      </c>
      <c r="T101" s="635">
        <f t="shared" si="81"/>
        <v>3.1795796144649158</v>
      </c>
      <c r="U101" s="629">
        <f t="shared" si="82"/>
        <v>3.6032267513801264</v>
      </c>
      <c r="V101" s="636">
        <f t="shared" si="114"/>
        <v>-1.0489031634919408</v>
      </c>
      <c r="W101" s="585">
        <f t="shared" si="645"/>
        <v>48.573992986783097</v>
      </c>
      <c r="X101" s="629">
        <f t="shared" si="83"/>
        <v>4.805514493431712</v>
      </c>
      <c r="Y101" s="630">
        <f t="shared" si="644"/>
        <v>-1.0489031634919408</v>
      </c>
      <c r="Z101" s="632">
        <f t="shared" si="468"/>
        <v>0.81449070313889027</v>
      </c>
      <c r="AA101" s="629">
        <f t="shared" si="469"/>
        <v>0.56487082666537014</v>
      </c>
      <c r="AB101" s="629">
        <f t="shared" si="470"/>
        <v>-0.13238520945595642</v>
      </c>
      <c r="AC101" s="636">
        <f t="shared" si="84"/>
        <v>1</v>
      </c>
      <c r="AD101" s="637">
        <f t="shared" si="115"/>
        <v>0.81449070313889027</v>
      </c>
      <c r="AE101" s="629">
        <f t="shared" si="85"/>
        <v>0.56487082666537014</v>
      </c>
      <c r="AF101" s="633">
        <f t="shared" si="86"/>
        <v>-0.13238520945595642</v>
      </c>
      <c r="AG101" s="602">
        <f t="shared" si="87"/>
        <v>76.810003739948002</v>
      </c>
      <c r="AH101" s="603">
        <f t="shared" si="88"/>
        <v>35.4629651437861</v>
      </c>
      <c r="AI101" s="585">
        <f t="shared" si="89"/>
        <v>-82.392553728095578</v>
      </c>
      <c r="AJ101" s="586">
        <f t="shared" si="90"/>
        <v>124.74233055565013</v>
      </c>
      <c r="AK101" s="635">
        <f t="shared" si="211"/>
        <v>0.96245588602597421</v>
      </c>
      <c r="AL101" s="629">
        <f t="shared" si="91"/>
        <v>-0.23696587047771134</v>
      </c>
      <c r="AM101" s="634">
        <f t="shared" si="92"/>
        <v>-0.13238520945595642</v>
      </c>
      <c r="AN101" s="581">
        <f t="shared" si="93"/>
        <v>-60.809312265924866</v>
      </c>
      <c r="AO101" s="582">
        <f t="shared" si="461"/>
        <v>15.749862887381958</v>
      </c>
      <c r="AP101" s="585">
        <f t="shared" si="95"/>
        <v>-13.831662431132978</v>
      </c>
      <c r="AQ101" s="586">
        <f t="shared" si="471"/>
        <v>0.47438719443979011</v>
      </c>
      <c r="AS101" s="52">
        <f t="shared" si="543"/>
        <v>48.573992986783097</v>
      </c>
      <c r="AT101" s="73">
        <f t="shared" si="472"/>
        <v>-0.83263510306609567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9.1340000000000003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-3.9069321602060394</v>
      </c>
      <c r="C102" s="708">
        <v>3.5043829892929343</v>
      </c>
      <c r="D102" s="709">
        <v>-1.6901050973569736</v>
      </c>
      <c r="E102" s="710">
        <v>-0.8430658599649713</v>
      </c>
      <c r="F102" s="708">
        <v>-0.5287704490270364</v>
      </c>
      <c r="G102" s="711">
        <v>9.8192504791709614E-2</v>
      </c>
      <c r="H102" s="710">
        <v>0.314</v>
      </c>
      <c r="I102" s="708">
        <v>0.52</v>
      </c>
      <c r="J102" s="570">
        <v>9.1430000000000007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9.1430000000000007</v>
      </c>
      <c r="N102" s="632">
        <f t="shared" si="465"/>
        <v>-3.9069321602060394</v>
      </c>
      <c r="O102" s="629">
        <f t="shared" si="466"/>
        <v>3.5043829892929343</v>
      </c>
      <c r="P102" s="633">
        <f t="shared" si="467"/>
        <v>-1.6901050973569736</v>
      </c>
      <c r="Q102" s="585">
        <f t="shared" si="520"/>
        <v>138.10899305392081</v>
      </c>
      <c r="R102" s="629">
        <f t="shared" si="79"/>
        <v>5.2483158289205418</v>
      </c>
      <c r="S102" s="634">
        <f t="shared" si="80"/>
        <v>-1.6901050973569736</v>
      </c>
      <c r="T102" s="635">
        <f t="shared" si="81"/>
        <v>3.5043829892929357</v>
      </c>
      <c r="U102" s="629">
        <f t="shared" si="82"/>
        <v>3.906932160206039</v>
      </c>
      <c r="V102" s="636">
        <f t="shared" si="114"/>
        <v>-1.6901050973569736</v>
      </c>
      <c r="W102" s="585">
        <f t="shared" si="645"/>
        <v>48.108993053920798</v>
      </c>
      <c r="X102" s="629">
        <f t="shared" si="83"/>
        <v>5.2483158289205418</v>
      </c>
      <c r="Y102" s="630">
        <f t="shared" si="644"/>
        <v>-1.6901050973569736</v>
      </c>
      <c r="Z102" s="632">
        <f t="shared" si="468"/>
        <v>0.8430658599649713</v>
      </c>
      <c r="AA102" s="629">
        <f t="shared" si="469"/>
        <v>0.5287704490270364</v>
      </c>
      <c r="AB102" s="629">
        <f t="shared" si="470"/>
        <v>-9.8192504791709614E-2</v>
      </c>
      <c r="AC102" s="636">
        <f t="shared" si="84"/>
        <v>1</v>
      </c>
      <c r="AD102" s="637">
        <f t="shared" si="115"/>
        <v>0.8430658599649713</v>
      </c>
      <c r="AE102" s="629">
        <f t="shared" si="85"/>
        <v>0.5287704490270364</v>
      </c>
      <c r="AF102" s="633">
        <f t="shared" si="86"/>
        <v>-9.8192504791709614E-2</v>
      </c>
      <c r="AG102" s="602">
        <f t="shared" si="87"/>
        <v>79.480024464618808</v>
      </c>
      <c r="AH102" s="603">
        <f t="shared" si="88"/>
        <v>32.534702859015802</v>
      </c>
      <c r="AI102" s="585">
        <f t="shared" si="89"/>
        <v>-84.364903652525314</v>
      </c>
      <c r="AJ102" s="586">
        <f t="shared" si="90"/>
        <v>122.09591445181175</v>
      </c>
      <c r="AK102" s="635">
        <f t="shared" si="211"/>
        <v>0.95655370119327232</v>
      </c>
      <c r="AL102" s="629">
        <f t="shared" si="91"/>
        <v>-0.27452367609403411</v>
      </c>
      <c r="AM102" s="634">
        <f t="shared" si="92"/>
        <v>-9.8192504791709614E-2</v>
      </c>
      <c r="AN102" s="581">
        <f t="shared" si="93"/>
        <v>-70.318723865661724</v>
      </c>
      <c r="AO102" s="582">
        <f t="shared" si="461"/>
        <v>16.951146331299125</v>
      </c>
      <c r="AP102" s="585">
        <f t="shared" si="95"/>
        <v>-16.013078602109051</v>
      </c>
      <c r="AQ102" s="586">
        <f t="shared" si="471"/>
        <v>0.4343646670414586</v>
      </c>
      <c r="AS102" s="52">
        <f t="shared" si="543"/>
        <v>48.108993053920798</v>
      </c>
      <c r="AT102" s="73">
        <f t="shared" si="472"/>
        <v>-1.4735141203110853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9.1430000000000007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-4.1198482573820616</v>
      </c>
      <c r="C103" s="708">
        <v>3.74115786132533</v>
      </c>
      <c r="D103" s="709">
        <v>-2.4025072459618539</v>
      </c>
      <c r="E103" s="710">
        <v>-0.86797710098975611</v>
      </c>
      <c r="F103" s="708">
        <v>-0.49243966763900843</v>
      </c>
      <c r="G103" s="711">
        <v>6.4178858614046444E-2</v>
      </c>
      <c r="H103" s="710">
        <v>0.314</v>
      </c>
      <c r="I103" s="708">
        <v>0.52</v>
      </c>
      <c r="J103" s="570">
        <v>9.1519999999999992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9.1519999999999992</v>
      </c>
      <c r="N103" s="632">
        <f t="shared" si="465"/>
        <v>-4.1198482573820616</v>
      </c>
      <c r="O103" s="629">
        <f t="shared" si="466"/>
        <v>3.74115786132533</v>
      </c>
      <c r="P103" s="633">
        <f t="shared" si="467"/>
        <v>-2.4025072459618539</v>
      </c>
      <c r="Q103" s="585">
        <f t="shared" si="520"/>
        <v>137.75799310459894</v>
      </c>
      <c r="R103" s="629">
        <f t="shared" si="79"/>
        <v>5.5650167840906217</v>
      </c>
      <c r="S103" s="634">
        <f t="shared" si="80"/>
        <v>-2.4025072459618539</v>
      </c>
      <c r="T103" s="635">
        <f t="shared" si="81"/>
        <v>3.74115786132533</v>
      </c>
      <c r="U103" s="629">
        <f t="shared" si="82"/>
        <v>4.1198482573820616</v>
      </c>
      <c r="V103" s="636">
        <f t="shared" si="114"/>
        <v>-2.4025072459618539</v>
      </c>
      <c r="W103" s="585">
        <f t="shared" si="645"/>
        <v>47.757993104598924</v>
      </c>
      <c r="X103" s="629">
        <f t="shared" si="83"/>
        <v>5.5650167840906217</v>
      </c>
      <c r="Y103" s="630">
        <f t="shared" si="644"/>
        <v>-2.4025072459618539</v>
      </c>
      <c r="Z103" s="632">
        <f t="shared" si="468"/>
        <v>0.86797710098975611</v>
      </c>
      <c r="AA103" s="629">
        <f t="shared" si="469"/>
        <v>0.49243966763900843</v>
      </c>
      <c r="AB103" s="629">
        <f t="shared" si="470"/>
        <v>-6.4178858614046444E-2</v>
      </c>
      <c r="AC103" s="636">
        <f t="shared" si="84"/>
        <v>1</v>
      </c>
      <c r="AD103" s="637">
        <f t="shared" si="115"/>
        <v>0.86797710098975611</v>
      </c>
      <c r="AE103" s="629">
        <f t="shared" si="85"/>
        <v>0.49243966763900843</v>
      </c>
      <c r="AF103" s="633">
        <f t="shared" si="86"/>
        <v>-6.4178858614046444E-2</v>
      </c>
      <c r="AG103" s="602">
        <f t="shared" si="87"/>
        <v>82.574587177485128</v>
      </c>
      <c r="AH103" s="603">
        <f t="shared" si="88"/>
        <v>29.775590214327806</v>
      </c>
      <c r="AI103" s="585">
        <f t="shared" si="89"/>
        <v>-86.320293239947802</v>
      </c>
      <c r="AJ103" s="586">
        <f t="shared" si="90"/>
        <v>119.56805274108888</v>
      </c>
      <c r="AK103" s="635">
        <f t="shared" si="211"/>
        <v>0.94806831068142383</v>
      </c>
      <c r="AL103" s="629">
        <f t="shared" si="91"/>
        <v>-0.31152456145329782</v>
      </c>
      <c r="AM103" s="634">
        <f t="shared" si="92"/>
        <v>-6.4178858614046444E-2</v>
      </c>
      <c r="AN103" s="581">
        <f t="shared" si="93"/>
        <v>-78.359052880166203</v>
      </c>
      <c r="AO103" s="582">
        <f t="shared" si="461"/>
        <v>18.546052314921454</v>
      </c>
      <c r="AP103" s="585">
        <f t="shared" si="95"/>
        <v>-18.189940363510047</v>
      </c>
      <c r="AQ103" s="586">
        <f t="shared" si="471"/>
        <v>0.4096461655667305</v>
      </c>
      <c r="AS103" s="52">
        <f t="shared" si="543"/>
        <v>47.757993104598924</v>
      </c>
      <c r="AT103" s="73">
        <f t="shared" si="472"/>
        <v>-2.1856725189511588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9.1519999999999992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-4.249837943198008</v>
      </c>
      <c r="C104" s="708">
        <v>3.889350390140756</v>
      </c>
      <c r="D104" s="709">
        <v>-3.157309522445519</v>
      </c>
      <c r="E104" s="710">
        <v>-0.90057832660394088</v>
      </c>
      <c r="F104" s="708">
        <v>-0.43299167468662236</v>
      </c>
      <c r="G104" s="711">
        <v>3.843029148106783E-2</v>
      </c>
      <c r="H104" s="710">
        <v>0.314</v>
      </c>
      <c r="I104" s="708">
        <v>0.52</v>
      </c>
      <c r="J104" s="570">
        <v>9.1609999999999996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9.1609999999999996</v>
      </c>
      <c r="N104" s="632">
        <f t="shared" si="465"/>
        <v>-4.249837943198008</v>
      </c>
      <c r="O104" s="629">
        <f t="shared" si="466"/>
        <v>3.889350390140756</v>
      </c>
      <c r="P104" s="633">
        <f t="shared" si="467"/>
        <v>-3.157309522445519</v>
      </c>
      <c r="Q104" s="585">
        <f t="shared" si="520"/>
        <v>137.53599313665174</v>
      </c>
      <c r="R104" s="629">
        <f t="shared" si="79"/>
        <v>5.7609173749268026</v>
      </c>
      <c r="S104" s="634">
        <f t="shared" si="80"/>
        <v>-3.157309522445519</v>
      </c>
      <c r="T104" s="635">
        <f t="shared" si="81"/>
        <v>3.8893503901407573</v>
      </c>
      <c r="U104" s="629">
        <f t="shared" si="82"/>
        <v>4.2498379431980062</v>
      </c>
      <c r="V104" s="636">
        <f t="shared" si="114"/>
        <v>-3.157309522445519</v>
      </c>
      <c r="W104" s="585">
        <f t="shared" si="645"/>
        <v>47.535993136651726</v>
      </c>
      <c r="X104" s="629">
        <f t="shared" si="83"/>
        <v>5.7609173749268026</v>
      </c>
      <c r="Y104" s="630">
        <f t="shared" si="644"/>
        <v>-3.157309522445519</v>
      </c>
      <c r="Z104" s="632">
        <f t="shared" si="468"/>
        <v>0.90057832660394088</v>
      </c>
      <c r="AA104" s="629">
        <f t="shared" si="469"/>
        <v>0.43299167468662236</v>
      </c>
      <c r="AB104" s="629">
        <f t="shared" si="470"/>
        <v>-3.843029148106783E-2</v>
      </c>
      <c r="AC104" s="636">
        <f t="shared" si="84"/>
        <v>1</v>
      </c>
      <c r="AD104" s="637">
        <f t="shared" si="115"/>
        <v>0.90057832660394088</v>
      </c>
      <c r="AE104" s="629">
        <f t="shared" si="85"/>
        <v>0.43299167468662236</v>
      </c>
      <c r="AF104" s="633">
        <f t="shared" si="86"/>
        <v>-3.843029148106783E-2</v>
      </c>
      <c r="AG104" s="602">
        <f t="shared" si="87"/>
        <v>84.927988210498739</v>
      </c>
      <c r="AH104" s="603">
        <f t="shared" si="88"/>
        <v>25.765809881715231</v>
      </c>
      <c r="AI104" s="585">
        <f t="shared" si="89"/>
        <v>-87.797564140725783</v>
      </c>
      <c r="AJ104" s="586">
        <f t="shared" si="90"/>
        <v>115.67791769389038</v>
      </c>
      <c r="AK104" s="635">
        <f t="shared" si="211"/>
        <v>0.92742331930585764</v>
      </c>
      <c r="AL104" s="629">
        <f t="shared" si="91"/>
        <v>-0.37203373436341158</v>
      </c>
      <c r="AM104" s="634">
        <f t="shared" si="92"/>
        <v>-3.843029148106783E-2</v>
      </c>
      <c r="AN104" s="581">
        <f t="shared" si="93"/>
        <v>-84.102385522177315</v>
      </c>
      <c r="AO104" s="582">
        <f t="shared" si="461"/>
        <v>21.963345036361059</v>
      </c>
      <c r="AP104" s="585">
        <f t="shared" si="95"/>
        <v>-21.858075442761372</v>
      </c>
      <c r="AQ104" s="586">
        <f t="shared" si="471"/>
        <v>0.39571655613484752</v>
      </c>
      <c r="AS104" s="52">
        <f t="shared" si="543"/>
        <v>47.535993136651726</v>
      </c>
      <c r="AT104" s="73">
        <f t="shared" si="472"/>
        <v>-2.940320628790416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9.1609999999999996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-4.3019228091103585</v>
      </c>
      <c r="C105" s="708">
        <v>3.9495905952852826</v>
      </c>
      <c r="D105" s="709">
        <v>-3.933211862566977</v>
      </c>
      <c r="E105" s="710">
        <v>-0.92968717814956359</v>
      </c>
      <c r="F105" s="708">
        <v>-0.36834357326199807</v>
      </c>
      <c r="G105" s="711">
        <v>2.1823888024054411E-3</v>
      </c>
      <c r="H105" s="710">
        <v>0.314</v>
      </c>
      <c r="I105" s="708">
        <v>0.52</v>
      </c>
      <c r="J105" s="570">
        <v>9.17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9.17</v>
      </c>
      <c r="N105" s="632">
        <f t="shared" ref="N105:N136" si="661">IF(M105="","",B105)</f>
        <v>-4.3019228091103585</v>
      </c>
      <c r="O105" s="629">
        <f t="shared" ref="O105:O136" si="662">IF(M105="","",C105)</f>
        <v>3.9495905952852826</v>
      </c>
      <c r="P105" s="633">
        <f t="shared" ref="P105:P136" si="663">IF(M105="","",D105)</f>
        <v>-3.933211862566977</v>
      </c>
      <c r="Q105" s="585">
        <f t="shared" si="520"/>
        <v>137.44499314979052</v>
      </c>
      <c r="R105" s="629">
        <f t="shared" si="79"/>
        <v>5.8400176134931225</v>
      </c>
      <c r="S105" s="634">
        <f t="shared" si="80"/>
        <v>-3.933211862566977</v>
      </c>
      <c r="T105" s="635">
        <f t="shared" si="81"/>
        <v>3.9495905952852843</v>
      </c>
      <c r="U105" s="629">
        <f t="shared" si="82"/>
        <v>4.3019228091103567</v>
      </c>
      <c r="V105" s="636">
        <f t="shared" si="114"/>
        <v>-3.933211862566977</v>
      </c>
      <c r="W105" s="585">
        <f t="shared" si="645"/>
        <v>47.444993149790506</v>
      </c>
      <c r="X105" s="629">
        <f t="shared" si="83"/>
        <v>5.8400176134931225</v>
      </c>
      <c r="Y105" s="630">
        <f t="shared" si="644"/>
        <v>-3.933211862566977</v>
      </c>
      <c r="Z105" s="632">
        <f t="shared" ref="Z105:Z136" si="664">IF(M105="","",-E105)</f>
        <v>0.92968717814956359</v>
      </c>
      <c r="AA105" s="629">
        <f t="shared" ref="AA105:AA136" si="665">IF(M105="","",-F105)</f>
        <v>0.36834357326199807</v>
      </c>
      <c r="AB105" s="629">
        <f t="shared" ref="AB105:AB136" si="666">IF(M105="","",-G105)</f>
        <v>-2.1823888024054411E-3</v>
      </c>
      <c r="AC105" s="636">
        <f t="shared" si="84"/>
        <v>1</v>
      </c>
      <c r="AD105" s="637">
        <f t="shared" si="115"/>
        <v>0.92968717814956359</v>
      </c>
      <c r="AE105" s="629">
        <f t="shared" si="85"/>
        <v>0.36834357326199807</v>
      </c>
      <c r="AF105" s="633">
        <f t="shared" si="86"/>
        <v>-2.1823888024054411E-3</v>
      </c>
      <c r="AG105" s="602">
        <f t="shared" si="87"/>
        <v>89.660533769060223</v>
      </c>
      <c r="AH105" s="603">
        <f t="shared" si="88"/>
        <v>21.613895812677253</v>
      </c>
      <c r="AI105" s="585">
        <f t="shared" si="89"/>
        <v>-89.874958233106824</v>
      </c>
      <c r="AJ105" s="586">
        <f t="shared" si="90"/>
        <v>111.6135514327313</v>
      </c>
      <c r="AK105" s="635">
        <f t="shared" si="211"/>
        <v>0.90007765432709874</v>
      </c>
      <c r="AL105" s="629">
        <f t="shared" si="91"/>
        <v>-0.43572405643955781</v>
      </c>
      <c r="AM105" s="634">
        <f t="shared" si="92"/>
        <v>-2.1823888024054411E-3</v>
      </c>
      <c r="AN105" s="581">
        <f t="shared" si="93"/>
        <v>-89.713027958451462</v>
      </c>
      <c r="AO105" s="582">
        <f t="shared" si="461"/>
        <v>25.831723570693036</v>
      </c>
      <c r="AP105" s="585">
        <f t="shared" si="95"/>
        <v>-25.831441717059217</v>
      </c>
      <c r="AQ105" s="586">
        <f t="shared" ref="AQ105:AQ136" si="667">IF(M105="","",DEGREES(ATAN(($AS$5*SIN(RADIANS(90)))/(($X105*2*PI())-($AS$5*COS(RADIANS(90)))))))</f>
        <v>0.39035693210366634</v>
      </c>
      <c r="AS105" s="52">
        <f t="shared" si="543"/>
        <v>47.444993149790506</v>
      </c>
      <c r="AT105" s="73">
        <f t="shared" ref="AT105:AT136" si="668">IF(M105="","",Y105+(((AS105-$AS$9)*$AS$6)*-1))</f>
        <v>-3.7161597744765538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9.17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-4.3257523356985326</v>
      </c>
      <c r="C106" s="708">
        <v>3.9774554665802682</v>
      </c>
      <c r="D106" s="709">
        <v>-4.7120142114348615</v>
      </c>
      <c r="E106" s="710">
        <v>-0.95422990255708051</v>
      </c>
      <c r="F106" s="708">
        <v>-0.2990740595001381</v>
      </c>
      <c r="G106" s="711">
        <v>1.1339743371298574E-7</v>
      </c>
      <c r="H106" s="710">
        <v>0.314</v>
      </c>
      <c r="I106" s="708">
        <v>0.52</v>
      </c>
      <c r="J106" s="570">
        <v>9.1790000000000003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9.1790000000000003</v>
      </c>
      <c r="N106" s="632">
        <f t="shared" si="661"/>
        <v>-4.3257523356985326</v>
      </c>
      <c r="O106" s="629">
        <f t="shared" si="662"/>
        <v>3.9774554665802682</v>
      </c>
      <c r="P106" s="633">
        <f t="shared" si="663"/>
        <v>-4.7120142114348615</v>
      </c>
      <c r="Q106" s="585">
        <f t="shared" si="520"/>
        <v>137.40199315599895</v>
      </c>
      <c r="R106" s="629">
        <f t="shared" ref="R106:R129" si="716">IF(M106="","",SQRT(N106^2+O106^2))</f>
        <v>5.8764177232758534</v>
      </c>
      <c r="S106" s="634">
        <f t="shared" ref="S106:S129" si="717">IF(M106="","",P106)</f>
        <v>-4.7120142114348615</v>
      </c>
      <c r="T106" s="635">
        <f t="shared" ref="T106:T129" si="718">IF(M106="","",X106*COS(RADIANS(W106)))</f>
        <v>3.9774554665802699</v>
      </c>
      <c r="U106" s="629">
        <f t="shared" ref="U106:U129" si="719">IF(M106="","",X106*SIN(RADIANS(W106)))</f>
        <v>4.3257523356985308</v>
      </c>
      <c r="V106" s="636">
        <f t="shared" ref="V106:V129" si="720">IF(M106="","",Y106)</f>
        <v>-4.7120142114348615</v>
      </c>
      <c r="W106" s="585">
        <f t="shared" si="645"/>
        <v>47.401993155998937</v>
      </c>
      <c r="X106" s="629">
        <f t="shared" ref="X106:X129" si="721">IF(M106="","",R106)</f>
        <v>5.8764177232758534</v>
      </c>
      <c r="Y106" s="630">
        <f t="shared" si="644"/>
        <v>-4.7120142114348615</v>
      </c>
      <c r="Z106" s="632">
        <f t="shared" si="664"/>
        <v>0.95422990255708051</v>
      </c>
      <c r="AA106" s="629">
        <f t="shared" si="665"/>
        <v>0.2990740595001381</v>
      </c>
      <c r="AB106" s="629">
        <f t="shared" si="666"/>
        <v>-1.1339743371298574E-7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0.95422990255708051</v>
      </c>
      <c r="AE106" s="629">
        <f t="shared" ref="AE106:AE129" si="724">IF(M106="","",AA106*(1/SQRT(Z106^2+AA106^2+AB106^2)))</f>
        <v>0.2990740595001381</v>
      </c>
      <c r="AF106" s="633">
        <f t="shared" ref="AF106:AF129" si="725">IF(M106="","",AB106*(1/SQRT(Z106^2+AA106^2+AB106^2)))</f>
        <v>-1.1339743371298574E-7</v>
      </c>
      <c r="AG106" s="602">
        <f t="shared" ref="AG106:AG129" si="726">IF(M106="","",DEGREES(ATAN2(-AF106,AE106)))</f>
        <v>89.999978275633907</v>
      </c>
      <c r="AH106" s="603">
        <f t="shared" ref="AH106:AH129" si="727">IF(M106="","",DEGREES(ACOS(AD106)))</f>
        <v>17.401997487464197</v>
      </c>
      <c r="AI106" s="585">
        <f t="shared" ref="AI106:AI129" si="728">IF(M106="","",DEGREES(-ACOS(-AF106)))</f>
        <v>-89.999993502805637</v>
      </c>
      <c r="AJ106" s="586">
        <f t="shared" ref="AJ106:AJ129" si="729">IF(M106="","",DEGREES(ATAN2(-AE106,AD106)))</f>
        <v>107.40199748746305</v>
      </c>
      <c r="AK106" s="635">
        <f t="shared" ref="AK106:AK129" si="730">IF(M106="","",(COS(RADIANS((90-$Q$8)-W106))*AD106)+(-SIN(RADIANS((90-$Q$8)-W106))*AE106))</f>
        <v>0.86602544158358574</v>
      </c>
      <c r="AL106" s="629">
        <f t="shared" ref="AL106:AL129" si="731">IF(M106="","",(SIN(RADIANS((90-$Q$8)-W106))*AD106)+(COS(RADIANS((90-$Q$8)-W106))*AE106))</f>
        <v>-0.49999993452993841</v>
      </c>
      <c r="AM106" s="634">
        <f t="shared" ref="AM106:AM129" si="732">IF(M106="","",AF106)</f>
        <v>-1.1339743371298574E-7</v>
      </c>
      <c r="AN106" s="581">
        <f t="shared" ref="AN106:AN129" si="733">IF(M106="","",DEGREES(ATAN2(-AM106,AL106)))</f>
        <v>-89.999987005609583</v>
      </c>
      <c r="AO106" s="582">
        <f t="shared" si="461"/>
        <v>29.99999566853651</v>
      </c>
      <c r="AP106" s="585">
        <f t="shared" ref="AP106:AP129" si="734">IF(M106="","",DEGREES(ATAN2(AK106,AL106)))</f>
        <v>-29.999995668535892</v>
      </c>
      <c r="AQ106" s="586">
        <f t="shared" si="667"/>
        <v>0.38793903054567208</v>
      </c>
      <c r="AS106" s="52">
        <f t="shared" si="543"/>
        <v>47.401993155998937</v>
      </c>
      <c r="AT106" s="73">
        <f t="shared" si="668"/>
        <v>-4.4949322622376382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9.1790000000000003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-2.3936062654612229</v>
      </c>
      <c r="C107" s="708">
        <v>3.5355682947286846</v>
      </c>
      <c r="D107" s="709">
        <v>-0.515501554752688</v>
      </c>
      <c r="E107" s="710">
        <v>-0.31954851438004039</v>
      </c>
      <c r="F107" s="708">
        <v>0.47200103210191685</v>
      </c>
      <c r="G107" s="711">
        <v>0.82164698785563284</v>
      </c>
      <c r="H107" s="710">
        <v>0.25700000000000001</v>
      </c>
      <c r="I107" s="708">
        <v>0.41499999999999992</v>
      </c>
      <c r="J107" s="570">
        <v>9.2249999999999996</v>
      </c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CPS-32193r1</v>
      </c>
      <c r="L107" s="320"/>
      <c r="M107" s="168">
        <f t="shared" si="660"/>
        <v>9.2249999999999996</v>
      </c>
      <c r="N107" s="632">
        <f t="shared" si="661"/>
        <v>-2.3936062654612229</v>
      </c>
      <c r="O107" s="629">
        <f t="shared" si="662"/>
        <v>3.5355682947286846</v>
      </c>
      <c r="P107" s="633">
        <f t="shared" si="663"/>
        <v>-0.515501554752688</v>
      </c>
      <c r="Q107" s="585">
        <f t="shared" si="520"/>
        <v>124.0982950768153</v>
      </c>
      <c r="R107" s="629">
        <f t="shared" si="716"/>
        <v>4.2696128771524382</v>
      </c>
      <c r="S107" s="634">
        <f t="shared" si="717"/>
        <v>-0.515501554752688</v>
      </c>
      <c r="T107" s="635">
        <f t="shared" si="718"/>
        <v>3.5355682947286851</v>
      </c>
      <c r="U107" s="629">
        <f t="shared" si="719"/>
        <v>2.393606265461222</v>
      </c>
      <c r="V107" s="636">
        <f t="shared" si="720"/>
        <v>-0.515501554752688</v>
      </c>
      <c r="W107" s="585">
        <f t="shared" si="645"/>
        <v>34.09829507681529</v>
      </c>
      <c r="X107" s="629">
        <f t="shared" si="721"/>
        <v>4.2696128771524382</v>
      </c>
      <c r="Y107" s="630">
        <f t="shared" si="644"/>
        <v>-0.515501554752688</v>
      </c>
      <c r="Z107" s="632">
        <f t="shared" si="664"/>
        <v>0.31954851438004039</v>
      </c>
      <c r="AA107" s="629">
        <f t="shared" si="665"/>
        <v>-0.47200103210191685</v>
      </c>
      <c r="AB107" s="629">
        <f t="shared" si="666"/>
        <v>-0.82164698785563284</v>
      </c>
      <c r="AC107" s="636">
        <f t="shared" si="722"/>
        <v>1</v>
      </c>
      <c r="AD107" s="637">
        <f t="shared" si="723"/>
        <v>0.31954851438004039</v>
      </c>
      <c r="AE107" s="629">
        <f t="shared" si="724"/>
        <v>-0.47200103210191685</v>
      </c>
      <c r="AF107" s="633">
        <f t="shared" si="725"/>
        <v>-0.82164698785563284</v>
      </c>
      <c r="AG107" s="602">
        <f t="shared" si="726"/>
        <v>-29.875523982357702</v>
      </c>
      <c r="AH107" s="603">
        <f t="shared" si="727"/>
        <v>71.364376847234027</v>
      </c>
      <c r="AI107" s="585">
        <f t="shared" si="728"/>
        <v>-34.749994982723599</v>
      </c>
      <c r="AJ107" s="586">
        <f t="shared" si="729"/>
        <v>34.098317874123808</v>
      </c>
      <c r="AK107" s="635">
        <f t="shared" si="730"/>
        <v>2.2679489680710319E-7</v>
      </c>
      <c r="AL107" s="629">
        <f t="shared" si="731"/>
        <v>-0.56999669064628278</v>
      </c>
      <c r="AM107" s="634">
        <f t="shared" si="732"/>
        <v>-0.82164698785563284</v>
      </c>
      <c r="AN107" s="581">
        <f t="shared" si="733"/>
        <v>-34.749994982721475</v>
      </c>
      <c r="AO107" s="582">
        <f t="shared" si="461"/>
        <v>0</v>
      </c>
      <c r="AP107" s="585">
        <f t="shared" si="734"/>
        <v>-89.999977202691511</v>
      </c>
      <c r="AQ107" s="586">
        <f t="shared" si="667"/>
        <v>0.53392677671957833</v>
      </c>
      <c r="AS107" s="52">
        <f t="shared" ref="AS107:AS138" si="737">IF(G107="","",IF(AND(W107&lt;(AS106+180),W107&gt;(AS106-180)),W107,IF(W107&gt;(AS106+180),W107-360,IF(W107&lt;(AS106-180),W107+360,"Error"))))</f>
        <v>34.09829507681529</v>
      </c>
      <c r="AT107" s="73">
        <f t="shared" si="668"/>
        <v>-0.28918092633380976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Nose</v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9.2249999999999996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0.125</v>
      </c>
      <c r="II107" s="734" cm="1">
        <f t="array" ref="II107">IFERROR(ROUND(VALUE(IF($IH107&lt;1,$IH107+LARGE((IF($M$9:$M$150="",0,$M$9:$M$150)-MOD(IF($M$9:$M$150="",0,$M$9:$M$150),1)),1),$IH107)),4),"")</f>
        <v>9.125</v>
      </c>
      <c r="IJ107" s="533">
        <f t="shared" si="542"/>
        <v>1613</v>
      </c>
      <c r="IK107" s="533" t="str">
        <f t="shared" si="713"/>
        <v>CPS-32193r1</v>
      </c>
      <c r="IL107" s="727">
        <f t="shared" si="647"/>
        <v>15.020697831279563</v>
      </c>
      <c r="IM107" s="759">
        <v>1.31015429456197E-2</v>
      </c>
      <c r="IN107" s="5">
        <f t="shared" si="648"/>
        <v>0.56000000000000005</v>
      </c>
      <c r="IO107" s="771">
        <v>280</v>
      </c>
      <c r="IP107" s="9">
        <f t="shared" si="649"/>
        <v>-4.2347127718937196</v>
      </c>
      <c r="IQ107" s="5">
        <f t="shared" si="650"/>
        <v>-0.51910156561032172</v>
      </c>
      <c r="IR107" s="5">
        <f t="shared" si="714"/>
        <v>0.314</v>
      </c>
      <c r="IS107" s="5">
        <f t="shared" si="651"/>
        <v>0.30264959036617706</v>
      </c>
      <c r="IT107" s="727">
        <f t="shared" si="652"/>
        <v>48.979080675416057</v>
      </c>
      <c r="IU107" s="9">
        <f t="shared" si="653"/>
        <v>-4.2696128771524382</v>
      </c>
      <c r="IV107" s="5">
        <f t="shared" si="654"/>
        <v>-0.515501554752688</v>
      </c>
      <c r="IW107" s="5">
        <f t="shared" si="715"/>
        <v>0.25700000000000001</v>
      </c>
      <c r="IX107" s="5">
        <f t="shared" si="655"/>
        <v>0.25700000000000001</v>
      </c>
      <c r="IY107" s="762">
        <f t="shared" si="656"/>
        <v>34.749994982721475</v>
      </c>
    </row>
    <row r="108" spans="1:259" ht="15" customHeight="1" x14ac:dyDescent="0.25">
      <c r="A108" s="79"/>
      <c r="B108" s="707">
        <v>-2.6689800505278223</v>
      </c>
      <c r="C108" s="708">
        <v>4.052105861295507</v>
      </c>
      <c r="D108" s="709">
        <v>-1.0376031294110384</v>
      </c>
      <c r="E108" s="710">
        <v>-0.95108457740130714</v>
      </c>
      <c r="F108" s="708">
        <v>-0.25608733211692375</v>
      </c>
      <c r="G108" s="711">
        <v>0.17279295401900374</v>
      </c>
      <c r="H108" s="710">
        <v>0.26600000000000001</v>
      </c>
      <c r="I108" s="708">
        <v>0.52</v>
      </c>
      <c r="J108" s="570">
        <v>9.234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1313</v>
      </c>
      <c r="L108" s="320"/>
      <c r="M108" s="168">
        <f t="shared" si="660"/>
        <v>9.234</v>
      </c>
      <c r="N108" s="632">
        <f t="shared" si="661"/>
        <v>-2.6689800505278223</v>
      </c>
      <c r="O108" s="629">
        <f t="shared" si="662"/>
        <v>4.052105861295507</v>
      </c>
      <c r="P108" s="633">
        <f t="shared" si="663"/>
        <v>-1.0376031294110384</v>
      </c>
      <c r="Q108" s="585">
        <f t="shared" si="520"/>
        <v>123.37149518175224</v>
      </c>
      <c r="R108" s="629">
        <f t="shared" si="716"/>
        <v>4.8521146339777355</v>
      </c>
      <c r="S108" s="634">
        <f t="shared" si="717"/>
        <v>-1.0376031294110384</v>
      </c>
      <c r="T108" s="635">
        <f t="shared" si="718"/>
        <v>4.052105861295507</v>
      </c>
      <c r="U108" s="629">
        <f t="shared" si="719"/>
        <v>2.6689800505278214</v>
      </c>
      <c r="V108" s="636">
        <f t="shared" si="720"/>
        <v>-1.0376031294110384</v>
      </c>
      <c r="W108" s="585">
        <f t="shared" si="645"/>
        <v>33.371495181752223</v>
      </c>
      <c r="X108" s="629">
        <f t="shared" si="721"/>
        <v>4.8521146339777355</v>
      </c>
      <c r="Y108" s="630">
        <f t="shared" si="644"/>
        <v>-1.0376031294110384</v>
      </c>
      <c r="Z108" s="632">
        <f t="shared" si="664"/>
        <v>0.95108457740130714</v>
      </c>
      <c r="AA108" s="629">
        <f t="shared" si="665"/>
        <v>0.25608733211692375</v>
      </c>
      <c r="AB108" s="629">
        <f t="shared" si="666"/>
        <v>-0.17279295401900374</v>
      </c>
      <c r="AC108" s="636">
        <f t="shared" si="722"/>
        <v>1</v>
      </c>
      <c r="AD108" s="637">
        <f t="shared" si="723"/>
        <v>0.95108457740130714</v>
      </c>
      <c r="AE108" s="629">
        <f t="shared" si="724"/>
        <v>0.25608733211692375</v>
      </c>
      <c r="AF108" s="633">
        <f t="shared" si="725"/>
        <v>-0.17279295401900374</v>
      </c>
      <c r="AG108" s="602">
        <f t="shared" si="726"/>
        <v>55.990794939230298</v>
      </c>
      <c r="AH108" s="603">
        <f t="shared" si="727"/>
        <v>17.994796377821611</v>
      </c>
      <c r="AI108" s="585">
        <f t="shared" si="728"/>
        <v>-80.049752817768663</v>
      </c>
      <c r="AJ108" s="586">
        <f t="shared" si="729"/>
        <v>105.06995419795906</v>
      </c>
      <c r="AK108" s="635">
        <f t="shared" si="730"/>
        <v>0.93513606202020727</v>
      </c>
      <c r="AL108" s="629">
        <f t="shared" si="731"/>
        <v>-0.30929458538863197</v>
      </c>
      <c r="AM108" s="634">
        <f t="shared" si="732"/>
        <v>-0.17279295401900374</v>
      </c>
      <c r="AN108" s="581">
        <f t="shared" si="733"/>
        <v>-60.80930970922774</v>
      </c>
      <c r="AO108" s="582">
        <f t="shared" si="461"/>
        <v>20.749862160478379</v>
      </c>
      <c r="AP108" s="585">
        <f t="shared" si="734"/>
        <v>-18.301540983793181</v>
      </c>
      <c r="AQ108" s="586">
        <f t="shared" si="667"/>
        <v>0.46983134285254441</v>
      </c>
      <c r="AS108" s="52">
        <f t="shared" si="737"/>
        <v>33.371495181752223</v>
      </c>
      <c r="AT108" s="73">
        <f t="shared" si="668"/>
        <v>-0.81077777884281077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Taper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9.234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0.13400000000000001</v>
      </c>
      <c r="II108" s="734" cm="1">
        <f t="array" ref="II108">IFERROR(ROUND(VALUE(IF($IH108&lt;1,$IH108+LARGE((IF($M$9:$M$150="",0,$M$9:$M$150)-MOD(IF($M$9:$M$150="",0,$M$9:$M$150),1)),1),$IH108)),4),"")</f>
        <v>9.1340000000000003</v>
      </c>
      <c r="IJ108" s="533">
        <f t="shared" si="542"/>
        <v>1613</v>
      </c>
      <c r="IK108" s="533">
        <f t="shared" si="713"/>
        <v>1313</v>
      </c>
      <c r="IL108" s="727">
        <f t="shared" si="647"/>
        <v>15.202497805030873</v>
      </c>
      <c r="IM108" s="759">
        <v>4.9824451361865901E-3</v>
      </c>
      <c r="IN108" s="5">
        <f t="shared" si="648"/>
        <v>0.28000000000000003</v>
      </c>
      <c r="IO108" s="771">
        <v>140</v>
      </c>
      <c r="IP108" s="9">
        <f t="shared" si="649"/>
        <v>-4.805514493431712</v>
      </c>
      <c r="IQ108" s="5">
        <f t="shared" si="650"/>
        <v>-1.0489031634919408</v>
      </c>
      <c r="IR108" s="5">
        <f t="shared" si="714"/>
        <v>0.314</v>
      </c>
      <c r="IS108" s="5">
        <f t="shared" si="651"/>
        <v>0.30221114821215589</v>
      </c>
      <c r="IT108" s="727">
        <f t="shared" si="652"/>
        <v>60.809312265924866</v>
      </c>
      <c r="IU108" s="9">
        <f t="shared" si="653"/>
        <v>-4.8521146339777355</v>
      </c>
      <c r="IV108" s="5">
        <f t="shared" si="654"/>
        <v>-1.0376031294110384</v>
      </c>
      <c r="IW108" s="5">
        <f t="shared" si="715"/>
        <v>0.26600000000000001</v>
      </c>
      <c r="IX108" s="5">
        <f t="shared" si="655"/>
        <v>0.24874619249737515</v>
      </c>
      <c r="IY108" s="762">
        <f t="shared" si="656"/>
        <v>60.80930970922774</v>
      </c>
    </row>
    <row r="109" spans="1:259" ht="15" customHeight="1" x14ac:dyDescent="0.25">
      <c r="A109" s="79"/>
      <c r="B109" s="707">
        <v>-2.9770985001315688</v>
      </c>
      <c r="C109" s="708">
        <v>4.3834159423265104</v>
      </c>
      <c r="D109" s="709">
        <v>-1.6856050837849328</v>
      </c>
      <c r="E109" s="710">
        <v>-0.96502760527443854</v>
      </c>
      <c r="F109" s="708">
        <v>-0.22993863854773131</v>
      </c>
      <c r="G109" s="711">
        <v>0.12589655897242907</v>
      </c>
      <c r="H109" s="710">
        <v>0.26600000000000001</v>
      </c>
      <c r="I109" s="708">
        <v>0.52</v>
      </c>
      <c r="J109" s="570">
        <v>9.2430000000000003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9.2430000000000003</v>
      </c>
      <c r="N109" s="632">
        <f t="shared" si="661"/>
        <v>-2.9770985001315688</v>
      </c>
      <c r="O109" s="629">
        <f t="shared" si="662"/>
        <v>4.3834159423265104</v>
      </c>
      <c r="P109" s="633">
        <f t="shared" si="663"/>
        <v>-1.6856050837849328</v>
      </c>
      <c r="Q109" s="585">
        <f t="shared" si="520"/>
        <v>124.1832950645428</v>
      </c>
      <c r="R109" s="629">
        <f t="shared" si="716"/>
        <v>5.2988159812289997</v>
      </c>
      <c r="S109" s="634">
        <f t="shared" si="717"/>
        <v>-1.6856050837849328</v>
      </c>
      <c r="T109" s="635">
        <f t="shared" si="718"/>
        <v>4.3834159423265122</v>
      </c>
      <c r="U109" s="629">
        <f t="shared" si="719"/>
        <v>2.9770985001315666</v>
      </c>
      <c r="V109" s="636">
        <f t="shared" si="720"/>
        <v>-1.6856050837849328</v>
      </c>
      <c r="W109" s="585">
        <f t="shared" si="645"/>
        <v>34.18329506454279</v>
      </c>
      <c r="X109" s="629">
        <f t="shared" si="721"/>
        <v>5.2988159812289997</v>
      </c>
      <c r="Y109" s="630">
        <f t="shared" si="644"/>
        <v>-1.6856050837849328</v>
      </c>
      <c r="Z109" s="632">
        <f t="shared" si="664"/>
        <v>0.96502760527443854</v>
      </c>
      <c r="AA109" s="629">
        <f t="shared" si="665"/>
        <v>0.22993863854773131</v>
      </c>
      <c r="AB109" s="629">
        <f t="shared" si="666"/>
        <v>-0.12589655897242907</v>
      </c>
      <c r="AC109" s="636">
        <f t="shared" si="722"/>
        <v>1</v>
      </c>
      <c r="AD109" s="637">
        <f t="shared" si="723"/>
        <v>0.96502760527443854</v>
      </c>
      <c r="AE109" s="629">
        <f t="shared" si="724"/>
        <v>0.22993863854773131</v>
      </c>
      <c r="AF109" s="633">
        <f t="shared" si="725"/>
        <v>-0.12589655897242907</v>
      </c>
      <c r="AG109" s="602">
        <f t="shared" si="726"/>
        <v>61.298306900100584</v>
      </c>
      <c r="AH109" s="603">
        <f t="shared" si="727"/>
        <v>15.197571784897345</v>
      </c>
      <c r="AI109" s="585">
        <f t="shared" si="728"/>
        <v>-82.767466132957907</v>
      </c>
      <c r="AJ109" s="586">
        <f t="shared" si="729"/>
        <v>103.40205820955121</v>
      </c>
      <c r="AK109" s="635">
        <f t="shared" si="730"/>
        <v>0.92750293331530154</v>
      </c>
      <c r="AL109" s="629">
        <f t="shared" si="731"/>
        <v>-0.35197779067778268</v>
      </c>
      <c r="AM109" s="634">
        <f t="shared" si="732"/>
        <v>-0.12589655897242907</v>
      </c>
      <c r="AN109" s="581">
        <f t="shared" si="733"/>
        <v>-70.31872109046337</v>
      </c>
      <c r="AO109" s="582">
        <f t="shared" si="461"/>
        <v>21.951145602179029</v>
      </c>
      <c r="AP109" s="585">
        <f t="shared" si="734"/>
        <v>-20.781236854991583</v>
      </c>
      <c r="AQ109" s="586">
        <f t="shared" si="667"/>
        <v>0.43022512842725869</v>
      </c>
      <c r="AS109" s="52">
        <f t="shared" si="737"/>
        <v>34.18329506454279</v>
      </c>
      <c r="AT109" s="73">
        <f t="shared" si="668"/>
        <v>-1.4593434831353096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>Taper</v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9.2430000000000003</v>
      </c>
      <c r="IH109" s="731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0.14299999999999999</v>
      </c>
      <c r="II109" s="734" cm="1">
        <f t="array" ref="II109">IFERROR(ROUND(VALUE(IF($IH109&lt;1,$IH109+LARGE((IF($M$9:$M$150="",0,$M$9:$M$150)-MOD(IF($M$9:$M$150="",0,$M$9:$M$150),1)),1),$IH109)),4),"")</f>
        <v>9.1430000000000007</v>
      </c>
      <c r="IJ109" s="533">
        <f t="shared" si="542"/>
        <v>1613</v>
      </c>
      <c r="IK109" s="533">
        <f t="shared" si="713"/>
        <v>1313</v>
      </c>
      <c r="IL109" s="727">
        <f t="shared" si="647"/>
        <v>13.925697989378008</v>
      </c>
      <c r="IM109" s="759">
        <v>2.4556685634976399E-3</v>
      </c>
      <c r="IN109" s="5">
        <f t="shared" si="648"/>
        <v>0.2</v>
      </c>
      <c r="IO109" s="771">
        <v>100</v>
      </c>
      <c r="IP109" s="9">
        <f t="shared" si="649"/>
        <v>-5.2483158289205418</v>
      </c>
      <c r="IQ109" s="5">
        <f t="shared" si="650"/>
        <v>-1.6901050973569736</v>
      </c>
      <c r="IR109" s="5">
        <f t="shared" si="714"/>
        <v>0.314</v>
      </c>
      <c r="IS109" s="5">
        <f t="shared" si="651"/>
        <v>0.30035786217468752</v>
      </c>
      <c r="IT109" s="727">
        <f t="shared" si="652"/>
        <v>70.318723865661724</v>
      </c>
      <c r="IU109" s="9">
        <f t="shared" si="653"/>
        <v>-5.2988159812289997</v>
      </c>
      <c r="IV109" s="5">
        <f t="shared" si="654"/>
        <v>-1.6856050837849328</v>
      </c>
      <c r="IW109" s="5">
        <f t="shared" si="715"/>
        <v>0.26600000000000001</v>
      </c>
      <c r="IX109" s="5">
        <f t="shared" si="655"/>
        <v>0.24671578026187022</v>
      </c>
      <c r="IY109" s="762">
        <f t="shared" si="656"/>
        <v>70.31872109046337</v>
      </c>
    </row>
    <row r="110" spans="1:259" ht="15" customHeight="1" x14ac:dyDescent="0.25">
      <c r="A110" s="79"/>
      <c r="B110" s="707">
        <v>-3.1868205798966232</v>
      </c>
      <c r="C110" s="708">
        <v>4.6263288084183998</v>
      </c>
      <c r="D110" s="709">
        <v>-2.4045072519938722</v>
      </c>
      <c r="E110" s="710">
        <v>-0.97691675793762767</v>
      </c>
      <c r="F110" s="708">
        <v>-0.19782841412606816</v>
      </c>
      <c r="G110" s="711">
        <v>8.060748491920397E-2</v>
      </c>
      <c r="H110" s="710">
        <v>0.26600000000000001</v>
      </c>
      <c r="I110" s="708">
        <v>0.52</v>
      </c>
      <c r="J110" s="570">
        <v>9.2520000000000007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9.2520000000000007</v>
      </c>
      <c r="N110" s="632">
        <f t="shared" si="661"/>
        <v>-3.1868205798966232</v>
      </c>
      <c r="O110" s="629">
        <f t="shared" si="662"/>
        <v>4.6263288084183998</v>
      </c>
      <c r="P110" s="633">
        <f t="shared" si="663"/>
        <v>-2.4045072519938722</v>
      </c>
      <c r="Q110" s="585">
        <f t="shared" si="520"/>
        <v>124.56079501003858</v>
      </c>
      <c r="R110" s="629">
        <f t="shared" si="716"/>
        <v>5.6177169430343019</v>
      </c>
      <c r="S110" s="634">
        <f t="shared" si="717"/>
        <v>-2.4045072519938722</v>
      </c>
      <c r="T110" s="635">
        <f t="shared" si="718"/>
        <v>4.6263288084184007</v>
      </c>
      <c r="U110" s="629">
        <f t="shared" si="719"/>
        <v>3.1868205798966218</v>
      </c>
      <c r="V110" s="636">
        <f t="shared" si="720"/>
        <v>-2.4045072519938722</v>
      </c>
      <c r="W110" s="585">
        <f t="shared" si="645"/>
        <v>34.560795010038561</v>
      </c>
      <c r="X110" s="629">
        <f t="shared" si="721"/>
        <v>5.6177169430343019</v>
      </c>
      <c r="Y110" s="630">
        <f t="shared" si="644"/>
        <v>-2.4045072519938722</v>
      </c>
      <c r="Z110" s="632">
        <f t="shared" si="664"/>
        <v>0.97691675793762767</v>
      </c>
      <c r="AA110" s="629">
        <f t="shared" si="665"/>
        <v>0.19782841412606816</v>
      </c>
      <c r="AB110" s="629">
        <f t="shared" si="666"/>
        <v>-8.060748491920397E-2</v>
      </c>
      <c r="AC110" s="636">
        <f t="shared" si="722"/>
        <v>1</v>
      </c>
      <c r="AD110" s="637">
        <f t="shared" si="723"/>
        <v>0.97691675793762767</v>
      </c>
      <c r="AE110" s="629">
        <f t="shared" si="724"/>
        <v>0.19782841412606816</v>
      </c>
      <c r="AF110" s="633">
        <f t="shared" si="725"/>
        <v>-8.060748491920397E-2</v>
      </c>
      <c r="AG110" s="602">
        <f t="shared" si="726"/>
        <v>67.83099053935824</v>
      </c>
      <c r="AH110" s="603">
        <f t="shared" si="727"/>
        <v>12.334598049562429</v>
      </c>
      <c r="AI110" s="585">
        <f t="shared" si="728"/>
        <v>-85.376515168342038</v>
      </c>
      <c r="AJ110" s="586">
        <f t="shared" si="729"/>
        <v>101.44775235982998</v>
      </c>
      <c r="AK110" s="635">
        <f t="shared" si="730"/>
        <v>0.9167392829367359</v>
      </c>
      <c r="AL110" s="629">
        <f t="shared" si="731"/>
        <v>-0.3912691151824278</v>
      </c>
      <c r="AM110" s="634">
        <f t="shared" si="732"/>
        <v>-8.060748491920397E-2</v>
      </c>
      <c r="AN110" s="581">
        <f t="shared" si="733"/>
        <v>-78.359050099785364</v>
      </c>
      <c r="AO110" s="582">
        <f t="shared" si="461"/>
        <v>23.54605158345429</v>
      </c>
      <c r="AP110" s="585">
        <f t="shared" si="734"/>
        <v>-23.113042650208595</v>
      </c>
      <c r="AQ110" s="586">
        <f t="shared" si="667"/>
        <v>0.40580337802869204</v>
      </c>
      <c r="AS110" s="52">
        <f t="shared" si="737"/>
        <v>34.560795010038561</v>
      </c>
      <c r="AT110" s="73">
        <f t="shared" si="668"/>
        <v>-2.1785078040841768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>Taper</v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9.2520000000000007</v>
      </c>
      <c r="IH110" s="731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0.152</v>
      </c>
      <c r="II110" s="734" cm="1">
        <f t="array" ref="II110">IFERROR(ROUND(VALUE(IF($IH110&lt;1,$IH110+LARGE((IF($M$9:$M$150="",0,$M$9:$M$150)-MOD(IF($M$9:$M$150="",0,$M$9:$M$150),1)),1),$IH110)),4),"")</f>
        <v>9.1519999999999992</v>
      </c>
      <c r="IJ110" s="533">
        <f t="shared" si="542"/>
        <v>1613</v>
      </c>
      <c r="IK110" s="533">
        <f t="shared" si="713"/>
        <v>1313</v>
      </c>
      <c r="IL110" s="727">
        <f t="shared" si="647"/>
        <v>13.197198094560363</v>
      </c>
      <c r="IM110" s="759">
        <v>6.6039361321580301E-4</v>
      </c>
      <c r="IN110" s="5">
        <f t="shared" si="648"/>
        <v>0</v>
      </c>
      <c r="IO110" s="771">
        <v>0</v>
      </c>
      <c r="IP110" s="9">
        <f t="shared" si="649"/>
        <v>-5.5650167840906217</v>
      </c>
      <c r="IQ110" s="5">
        <f t="shared" si="650"/>
        <v>-2.4025072459618539</v>
      </c>
      <c r="IR110" s="5">
        <f t="shared" si="714"/>
        <v>0.314</v>
      </c>
      <c r="IS110" s="5">
        <f t="shared" si="651"/>
        <v>0.29769344955396709</v>
      </c>
      <c r="IT110" s="727">
        <f t="shared" si="652"/>
        <v>78.359052880166203</v>
      </c>
      <c r="IU110" s="9">
        <f t="shared" si="653"/>
        <v>-5.6177169430343019</v>
      </c>
      <c r="IV110" s="5">
        <f t="shared" si="654"/>
        <v>-2.4045072519938722</v>
      </c>
      <c r="IW110" s="5">
        <f t="shared" si="715"/>
        <v>0.26600000000000001</v>
      </c>
      <c r="IX110" s="5">
        <f t="shared" si="655"/>
        <v>0.24385264926117176</v>
      </c>
      <c r="IY110" s="762">
        <f t="shared" si="656"/>
        <v>78.359050099785364</v>
      </c>
    </row>
    <row r="111" spans="1:259" ht="15" customHeight="1" x14ac:dyDescent="0.25">
      <c r="A111" s="79"/>
      <c r="B111" s="707">
        <v>-3.2995947057647586</v>
      </c>
      <c r="C111" s="708">
        <v>4.78786119420477</v>
      </c>
      <c r="D111" s="709">
        <v>-3.1643095435575836</v>
      </c>
      <c r="E111" s="710">
        <v>-0.98983140531612002</v>
      </c>
      <c r="F111" s="708">
        <v>-0.13439944270229356</v>
      </c>
      <c r="G111" s="711">
        <v>4.6589471463280567E-2</v>
      </c>
      <c r="H111" s="710">
        <v>0.26600000000000001</v>
      </c>
      <c r="I111" s="708">
        <v>0.52</v>
      </c>
      <c r="J111" s="570">
        <v>9.2609999999999992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9.2609999999999992</v>
      </c>
      <c r="N111" s="632">
        <f t="shared" si="661"/>
        <v>-3.2995947057647586</v>
      </c>
      <c r="O111" s="629">
        <f t="shared" si="662"/>
        <v>4.78786119420477</v>
      </c>
      <c r="P111" s="633">
        <f t="shared" si="663"/>
        <v>-3.1643095435575836</v>
      </c>
      <c r="Q111" s="585">
        <f t="shared" si="520"/>
        <v>124.57299500827712</v>
      </c>
      <c r="R111" s="629">
        <f t="shared" si="716"/>
        <v>5.8147175371880921</v>
      </c>
      <c r="S111" s="634">
        <f t="shared" si="717"/>
        <v>-3.1643095435575836</v>
      </c>
      <c r="T111" s="635">
        <f t="shared" si="718"/>
        <v>4.7878611942047717</v>
      </c>
      <c r="U111" s="629">
        <f t="shared" si="719"/>
        <v>3.2995947057647563</v>
      </c>
      <c r="V111" s="636">
        <f t="shared" si="720"/>
        <v>-3.1643095435575836</v>
      </c>
      <c r="W111" s="585">
        <f t="shared" si="645"/>
        <v>34.572995008277104</v>
      </c>
      <c r="X111" s="629">
        <f t="shared" si="721"/>
        <v>5.8147175371880921</v>
      </c>
      <c r="Y111" s="630">
        <f t="shared" si="644"/>
        <v>-3.1643095435575836</v>
      </c>
      <c r="Z111" s="632">
        <f t="shared" si="664"/>
        <v>0.98983140531612002</v>
      </c>
      <c r="AA111" s="629">
        <f t="shared" si="665"/>
        <v>0.13439944270229356</v>
      </c>
      <c r="AB111" s="629">
        <f t="shared" si="666"/>
        <v>-4.6589471463280567E-2</v>
      </c>
      <c r="AC111" s="636">
        <f t="shared" si="722"/>
        <v>1</v>
      </c>
      <c r="AD111" s="637">
        <f t="shared" si="723"/>
        <v>0.98983140531612002</v>
      </c>
      <c r="AE111" s="629">
        <f t="shared" si="724"/>
        <v>0.13439944270229356</v>
      </c>
      <c r="AF111" s="633">
        <f t="shared" si="725"/>
        <v>-4.6589471463280567E-2</v>
      </c>
      <c r="AG111" s="602">
        <f t="shared" si="726"/>
        <v>70.881162442753862</v>
      </c>
      <c r="AH111" s="603">
        <f t="shared" si="727"/>
        <v>8.1778059379397341</v>
      </c>
      <c r="AI111" s="585">
        <f t="shared" si="728"/>
        <v>-87.3296532876208</v>
      </c>
      <c r="AJ111" s="586">
        <f t="shared" si="729"/>
        <v>97.732341664892203</v>
      </c>
      <c r="AK111" s="635">
        <f t="shared" si="730"/>
        <v>0.89129678798167222</v>
      </c>
      <c r="AL111" s="629">
        <f t="shared" si="731"/>
        <v>-0.45102046171135746</v>
      </c>
      <c r="AM111" s="634">
        <f t="shared" si="732"/>
        <v>-4.6589471463280567E-2</v>
      </c>
      <c r="AN111" s="581">
        <f t="shared" si="733"/>
        <v>-84.10238307506728</v>
      </c>
      <c r="AO111" s="582">
        <f t="shared" si="461"/>
        <v>26.963344301435423</v>
      </c>
      <c r="AP111" s="585">
        <f t="shared" si="734"/>
        <v>-26.840653343384915</v>
      </c>
      <c r="AQ111" s="586">
        <f t="shared" si="667"/>
        <v>0.39205533834580653</v>
      </c>
      <c r="AS111" s="52">
        <f t="shared" si="737"/>
        <v>34.572995008277104</v>
      </c>
      <c r="AT111" s="73">
        <f t="shared" si="668"/>
        <v>-2.9383185678688872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Taper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9.2609999999999992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0.161</v>
      </c>
      <c r="II111" s="734" cm="1">
        <f t="array" ref="II111">IFERROR(ROUND(VALUE(IF($IH111&lt;1,$IH111+LARGE((IF($M$9:$M$150="",0,$M$9:$M$150)-MOD(IF($M$9:$M$150="",0,$M$9:$M$150),1)),1),$IH111)),4),"")</f>
        <v>9.1609999999999996</v>
      </c>
      <c r="IJ111" s="533">
        <f t="shared" si="542"/>
        <v>1613</v>
      </c>
      <c r="IK111" s="533">
        <f t="shared" si="713"/>
        <v>1313</v>
      </c>
      <c r="IL111" s="727">
        <f t="shared" si="647"/>
        <v>12.962998128374622</v>
      </c>
      <c r="IM111" s="759">
        <v>6.2054764540597605E-5</v>
      </c>
      <c r="IN111" s="5">
        <f t="shared" si="648"/>
        <v>0</v>
      </c>
      <c r="IO111" s="771">
        <v>0</v>
      </c>
      <c r="IP111" s="9">
        <f t="shared" si="649"/>
        <v>-5.7609173749268026</v>
      </c>
      <c r="IQ111" s="5">
        <f t="shared" si="650"/>
        <v>-3.157309522445519</v>
      </c>
      <c r="IR111" s="5">
        <f t="shared" si="714"/>
        <v>0.314</v>
      </c>
      <c r="IS111" s="5">
        <f t="shared" si="651"/>
        <v>0.29121092226203932</v>
      </c>
      <c r="IT111" s="727">
        <f t="shared" si="652"/>
        <v>84.102385522177315</v>
      </c>
      <c r="IU111" s="9">
        <f t="shared" si="653"/>
        <v>-5.8147175371880921</v>
      </c>
      <c r="IV111" s="5">
        <f t="shared" si="654"/>
        <v>-3.1643095435575836</v>
      </c>
      <c r="IW111" s="5">
        <f t="shared" si="715"/>
        <v>0.26600000000000001</v>
      </c>
      <c r="IX111" s="5">
        <f t="shared" si="655"/>
        <v>0.23708494560312482</v>
      </c>
      <c r="IY111" s="762">
        <f t="shared" si="656"/>
        <v>84.10238307506728</v>
      </c>
    </row>
    <row r="112" spans="1:259" ht="15" customHeight="1" x14ac:dyDescent="0.25">
      <c r="A112" s="79"/>
      <c r="B112" s="707">
        <v>-3.3254190353441904</v>
      </c>
      <c r="C112" s="708">
        <v>4.8665584802415962</v>
      </c>
      <c r="D112" s="709">
        <v>-3.9457119002670904</v>
      </c>
      <c r="E112" s="710">
        <v>-0.99811636142736448</v>
      </c>
      <c r="F112" s="708">
        <v>-6.129550966652169E-2</v>
      </c>
      <c r="G112" s="711">
        <v>2.567011047928793E-3</v>
      </c>
      <c r="H112" s="710">
        <v>0.26600000000000001</v>
      </c>
      <c r="I112" s="708">
        <v>0.52</v>
      </c>
      <c r="J112" s="570">
        <v>9.27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1313</v>
      </c>
      <c r="L112" s="320"/>
      <c r="M112" s="168">
        <f t="shared" si="660"/>
        <v>9.27</v>
      </c>
      <c r="N112" s="632">
        <f t="shared" si="661"/>
        <v>-3.3254190353441904</v>
      </c>
      <c r="O112" s="629">
        <f t="shared" si="662"/>
        <v>4.8665584802415962</v>
      </c>
      <c r="P112" s="633">
        <f t="shared" si="663"/>
        <v>-3.9457119002670904</v>
      </c>
      <c r="Q112" s="585">
        <f t="shared" si="520"/>
        <v>124.34559504110962</v>
      </c>
      <c r="R112" s="629">
        <f t="shared" si="716"/>
        <v>5.8942177769608142</v>
      </c>
      <c r="S112" s="634">
        <f t="shared" si="717"/>
        <v>-3.9457119002670904</v>
      </c>
      <c r="T112" s="635">
        <f t="shared" si="718"/>
        <v>4.8665584802415971</v>
      </c>
      <c r="U112" s="629">
        <f t="shared" si="719"/>
        <v>3.3254190353441895</v>
      </c>
      <c r="V112" s="636">
        <f t="shared" si="720"/>
        <v>-3.9457119002670904</v>
      </c>
      <c r="W112" s="585">
        <f t="shared" si="645"/>
        <v>34.345595041109604</v>
      </c>
      <c r="X112" s="629">
        <f t="shared" si="721"/>
        <v>5.8942177769608142</v>
      </c>
      <c r="Y112" s="630">
        <f t="shared" si="644"/>
        <v>-3.9457119002670904</v>
      </c>
      <c r="Z112" s="632">
        <f t="shared" si="664"/>
        <v>0.99811636142736448</v>
      </c>
      <c r="AA112" s="629">
        <f t="shared" si="665"/>
        <v>6.129550966652169E-2</v>
      </c>
      <c r="AB112" s="629">
        <f t="shared" si="666"/>
        <v>-2.567011047928793E-3</v>
      </c>
      <c r="AC112" s="636">
        <f t="shared" si="722"/>
        <v>1</v>
      </c>
      <c r="AD112" s="637">
        <f t="shared" si="723"/>
        <v>0.99811636142736448</v>
      </c>
      <c r="AE112" s="629">
        <f t="shared" si="724"/>
        <v>6.129550966652169E-2</v>
      </c>
      <c r="AF112" s="633">
        <f t="shared" si="725"/>
        <v>-2.567011047928793E-3</v>
      </c>
      <c r="AG112" s="602">
        <f t="shared" si="726"/>
        <v>87.601896056079553</v>
      </c>
      <c r="AH112" s="603">
        <f t="shared" si="727"/>
        <v>3.5172611297659251</v>
      </c>
      <c r="AI112" s="585">
        <f t="shared" si="728"/>
        <v>-89.852920939459224</v>
      </c>
      <c r="AJ112" s="586">
        <f t="shared" si="729"/>
        <v>93.514188489210639</v>
      </c>
      <c r="AK112" s="635">
        <f t="shared" si="730"/>
        <v>0.85867626360559735</v>
      </c>
      <c r="AL112" s="629">
        <f t="shared" si="731"/>
        <v>-0.51251193622647528</v>
      </c>
      <c r="AM112" s="634">
        <f t="shared" si="732"/>
        <v>-2.567011047928793E-3</v>
      </c>
      <c r="AN112" s="581">
        <f t="shared" si="733"/>
        <v>-89.713025865910808</v>
      </c>
      <c r="AO112" s="582">
        <f t="shared" si="461"/>
        <v>30.831722832308827</v>
      </c>
      <c r="AP112" s="585">
        <f t="shared" si="734"/>
        <v>-30.831406551898969</v>
      </c>
      <c r="AQ112" s="586">
        <f t="shared" si="667"/>
        <v>0.38676752217198085</v>
      </c>
      <c r="AS112" s="52">
        <f t="shared" si="737"/>
        <v>34.345595041109604</v>
      </c>
      <c r="AT112" s="73">
        <f t="shared" si="668"/>
        <v>-3.7195630079345277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Taper</v>
      </c>
      <c r="IF112" s="533" t="str">
        <f>IFERROR(IF((((($IW112*COS(RADIANS(180-$IY112)))*COS(RADIANS($IY112)))-(($IX112*SIN(RADIANS(180-$IY112)))*SIN(RADIANS($IY112))))+$IU112)&lt;(((Settings!$C$19+$IF$8)/2)*-1),"Gage",""),"")</f>
        <v>Gage</v>
      </c>
      <c r="IG112" s="847">
        <f t="shared" si="643"/>
        <v>9.27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0.17</v>
      </c>
      <c r="II112" s="734" cm="1">
        <f t="array" ref="II112">IFERROR(ROUND(VALUE(IF($IH112&lt;1,$IH112+LARGE((IF($M$9:$M$150="",0,$M$9:$M$150)-MOD(IF($M$9:$M$150="",0,$M$9:$M$150),1)),1),$IH112)),4),"")</f>
        <v>9.17</v>
      </c>
      <c r="IJ112" s="533">
        <f t="shared" si="542"/>
        <v>1613</v>
      </c>
      <c r="IK112" s="533">
        <f t="shared" si="713"/>
        <v>1313</v>
      </c>
      <c r="IL112" s="727">
        <f t="shared" si="647"/>
        <v>13.099398108680901</v>
      </c>
      <c r="IM112" s="759">
        <v>9.2249977227490501E-5</v>
      </c>
      <c r="IN112" s="5">
        <f t="shared" si="648"/>
        <v>0</v>
      </c>
      <c r="IO112" s="771">
        <v>0</v>
      </c>
      <c r="IP112" s="9">
        <f t="shared" si="649"/>
        <v>-5.8400176134931225</v>
      </c>
      <c r="IQ112" s="5">
        <f t="shared" si="650"/>
        <v>-3.933211862566977</v>
      </c>
      <c r="IR112" s="5">
        <f t="shared" si="714"/>
        <v>0.314</v>
      </c>
      <c r="IS112" s="5">
        <f t="shared" si="651"/>
        <v>0.28262438345870899</v>
      </c>
      <c r="IT112" s="727">
        <f t="shared" si="652"/>
        <v>89.713027958451462</v>
      </c>
      <c r="IU112" s="9">
        <f t="shared" si="653"/>
        <v>-5.8942177769608142</v>
      </c>
      <c r="IV112" s="5">
        <f t="shared" si="654"/>
        <v>-3.9457119002670904</v>
      </c>
      <c r="IW112" s="5">
        <f t="shared" si="715"/>
        <v>0.26600000000000001</v>
      </c>
      <c r="IX112" s="5">
        <f t="shared" si="655"/>
        <v>0.22840788611908894</v>
      </c>
      <c r="IY112" s="762">
        <f t="shared" si="656"/>
        <v>89.713025865910808</v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0.95371696400905348</v>
      </c>
      <c r="F154" s="170">
        <f t="shared" si="929"/>
        <v>7.7828366019961542E-2</v>
      </c>
      <c r="G154" s="170">
        <f t="shared" si="929"/>
        <v>-0.29045946017304541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4.0488207353615094E-2</v>
      </c>
      <c r="G157" s="170">
        <f t="shared" si="929"/>
        <v>-0.2556325180283171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0.96503120569306666</v>
      </c>
      <c r="F158" s="170">
        <f t="shared" si="929"/>
        <v>-8.6271707881404175E-2</v>
      </c>
      <c r="G158" s="170">
        <f t="shared" si="929"/>
        <v>-0.24753174434365366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0.96154602723490246</v>
      </c>
      <c r="F159" s="170">
        <f t="shared" si="929"/>
        <v>-0.20412945349400721</v>
      </c>
      <c r="G159" s="170">
        <f t="shared" si="929"/>
        <v>-0.1837400438799725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0.95725198753705976</v>
      </c>
      <c r="F160" s="170">
        <f t="shared" si="929"/>
        <v>-0.25193643759238193</v>
      </c>
      <c r="G160" s="170">
        <f t="shared" si="929"/>
        <v>-0.14211496673330598</v>
      </c>
      <c r="H160" s="139"/>
      <c r="I160" s="86"/>
      <c r="J160" s="79">
        <f t="shared" si="930"/>
        <v>1.1319999999999999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0.94788791774139114</v>
      </c>
      <c r="F161" s="170">
        <f t="shared" si="929"/>
        <v>-0.29950357976564762</v>
      </c>
      <c r="G161" s="170">
        <f t="shared" si="929"/>
        <v>-0.10865588390626633</v>
      </c>
      <c r="H161" s="139"/>
      <c r="I161" s="86"/>
      <c r="J161" s="79">
        <f t="shared" si="930"/>
        <v>1.141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0.93870253981885954</v>
      </c>
      <c r="F162" s="170">
        <f t="shared" si="929"/>
        <v>-0.33740597133257422</v>
      </c>
      <c r="G162" s="170">
        <f t="shared" si="929"/>
        <v>-7.0673561157936146E-2</v>
      </c>
      <c r="H162" s="139"/>
      <c r="I162" s="86"/>
      <c r="J162" s="79">
        <f t="shared" si="930"/>
        <v>1.1499999999999999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0.91771564748421142</v>
      </c>
      <c r="F163" s="170">
        <f t="shared" si="929"/>
        <v>-0.39482439042585199</v>
      </c>
      <c r="G163" s="170">
        <f t="shared" si="929"/>
        <v>-4.3722889743123328E-2</v>
      </c>
      <c r="H163" s="139"/>
      <c r="I163" s="86"/>
      <c r="J163" s="79">
        <f t="shared" si="930"/>
        <v>1.159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0.87986395033504761</v>
      </c>
      <c r="F164" s="170">
        <f t="shared" si="929"/>
        <v>-0.47496605546091281</v>
      </c>
      <c r="G164" s="170">
        <f t="shared" si="929"/>
        <v>-1.5705892547257506E-2</v>
      </c>
      <c r="H164" s="139"/>
      <c r="I164" s="86"/>
      <c r="J164" s="79">
        <f t="shared" si="930"/>
        <v>1.1679999999999999</v>
      </c>
    </row>
    <row r="165" spans="5:16" x14ac:dyDescent="0.25">
      <c r="E165" s="170">
        <f t="shared" si="929"/>
        <v>0.84247124739708457</v>
      </c>
      <c r="F165" s="170">
        <f t="shared" si="929"/>
        <v>-0.53874130833748735</v>
      </c>
      <c r="G165" s="170">
        <f t="shared" si="929"/>
        <v>-1.1339743340131304E-7</v>
      </c>
      <c r="H165" s="139"/>
      <c r="I165" s="86"/>
      <c r="J165" s="79">
        <f t="shared" si="930"/>
        <v>1.177</v>
      </c>
    </row>
    <row r="166" spans="5:16" x14ac:dyDescent="0.25">
      <c r="E166" s="170">
        <f t="shared" si="929"/>
        <v>0.1394382046340516</v>
      </c>
      <c r="F166" s="170">
        <f t="shared" si="929"/>
        <v>0.21804647737738739</v>
      </c>
      <c r="G166" s="170">
        <f t="shared" si="929"/>
        <v>-0.96592583607218263</v>
      </c>
      <c r="H166" s="139"/>
      <c r="I166" s="86"/>
      <c r="J166" s="79">
        <f t="shared" si="930"/>
        <v>1.2070000000000001</v>
      </c>
    </row>
    <row r="167" spans="5:16" x14ac:dyDescent="0.25">
      <c r="E167" s="170">
        <f t="shared" si="929"/>
        <v>6.0106638933604316E-2</v>
      </c>
      <c r="F167" s="170">
        <f t="shared" si="929"/>
        <v>0.1444261984552368</v>
      </c>
      <c r="G167" s="170">
        <f t="shared" si="929"/>
        <v>-0.98768834414296591</v>
      </c>
      <c r="H167" s="139"/>
      <c r="I167" s="86"/>
      <c r="J167" s="79">
        <f t="shared" si="930"/>
        <v>1.2110000000000001</v>
      </c>
    </row>
    <row r="168" spans="5:16" x14ac:dyDescent="0.25">
      <c r="E168" s="170">
        <f t="shared" si="929"/>
        <v>0.72730298762745149</v>
      </c>
      <c r="F168" s="170">
        <f t="shared" si="929"/>
        <v>-0.66247696322665317</v>
      </c>
      <c r="G168" s="170">
        <f t="shared" si="929"/>
        <v>-0.17931714190833806</v>
      </c>
      <c r="H168" s="139"/>
      <c r="I168" s="86"/>
      <c r="J168" s="79">
        <f t="shared" si="930"/>
        <v>2.1240000000000001</v>
      </c>
    </row>
    <row r="169" spans="5:16" x14ac:dyDescent="0.25">
      <c r="E169" s="170">
        <f t="shared" si="929"/>
        <v>0.70034198006781234</v>
      </c>
      <c r="F169" s="170">
        <f t="shared" si="929"/>
        <v>-0.70048019793991567</v>
      </c>
      <c r="G169" s="170">
        <f t="shared" si="929"/>
        <v>-0.13729021541520195</v>
      </c>
      <c r="H169" s="139"/>
      <c r="I169" s="86"/>
      <c r="J169" s="79">
        <f t="shared" si="930"/>
        <v>2.133</v>
      </c>
    </row>
    <row r="170" spans="5:16" x14ac:dyDescent="0.25">
      <c r="E170" s="170">
        <f t="shared" si="929"/>
        <v>0.6690868834843976</v>
      </c>
      <c r="F170" s="170">
        <f t="shared" si="929"/>
        <v>-0.73595518802928805</v>
      </c>
      <c r="G170" s="170">
        <f t="shared" si="929"/>
        <v>-0.10340552964861996</v>
      </c>
      <c r="H170" s="139"/>
      <c r="I170" s="86"/>
      <c r="J170" s="79">
        <f t="shared" si="930"/>
        <v>2.1419999999999999</v>
      </c>
    </row>
    <row r="171" spans="5:16" x14ac:dyDescent="0.25">
      <c r="E171" s="170">
        <f t="shared" si="929"/>
        <v>0.64288802167156711</v>
      </c>
      <c r="F171" s="170">
        <f t="shared" si="929"/>
        <v>-0.76317452976168709</v>
      </c>
      <c r="G171" s="170">
        <f t="shared" si="929"/>
        <v>-6.5265831138863528E-2</v>
      </c>
      <c r="H171" s="139"/>
      <c r="I171" s="86"/>
      <c r="J171" s="79">
        <f t="shared" si="930"/>
        <v>2.1509999999999998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0.58353060522474653</v>
      </c>
      <c r="F172" s="170">
        <f t="shared" si="929"/>
        <v>-0.8108696612084153</v>
      </c>
      <c r="G172" s="170">
        <f t="shared" si="929"/>
        <v>-4.4524434839654674E-2</v>
      </c>
      <c r="H172" s="139"/>
      <c r="I172" s="86"/>
      <c r="J172" s="79">
        <f t="shared" si="930"/>
        <v>2.16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0.5242947823517593</v>
      </c>
      <c r="F173" s="170">
        <f t="shared" si="929"/>
        <v>-0.85148971180451083</v>
      </c>
      <c r="G173" s="170">
        <f t="shared" si="929"/>
        <v>-8.9583419108902485E-3</v>
      </c>
      <c r="H173" s="139"/>
      <c r="I173" s="86"/>
      <c r="J173" s="79">
        <f t="shared" si="930"/>
        <v>2.169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0.46023010975766604</v>
      </c>
      <c r="F174" s="170">
        <f t="shared" si="933"/>
        <v>-0.88779966550592593</v>
      </c>
      <c r="G174" s="170">
        <f t="shared" si="933"/>
        <v>-1.1339743282923342E-7</v>
      </c>
      <c r="H174" s="139"/>
      <c r="I174" s="86"/>
      <c r="J174" s="79">
        <f t="shared" si="930"/>
        <v>2.1779999999999999</v>
      </c>
    </row>
    <row r="175" spans="5:16" x14ac:dyDescent="0.25">
      <c r="E175" s="170">
        <f t="shared" si="933"/>
        <v>0.38093170313310171</v>
      </c>
      <c r="F175" s="170">
        <f t="shared" si="933"/>
        <v>-0.88926904522751593</v>
      </c>
      <c r="G175" s="170">
        <f t="shared" si="933"/>
        <v>-0.25316319390515024</v>
      </c>
      <c r="H175" s="139"/>
      <c r="I175" s="86"/>
      <c r="J175" s="79">
        <f t="shared" si="930"/>
        <v>3.11</v>
      </c>
    </row>
    <row r="176" spans="5:16" x14ac:dyDescent="0.25">
      <c r="E176" s="170">
        <f t="shared" si="933"/>
        <v>0.27011252387196433</v>
      </c>
      <c r="F176" s="170">
        <f t="shared" si="933"/>
        <v>-0.92899508205796166</v>
      </c>
      <c r="G176" s="170">
        <f t="shared" si="933"/>
        <v>-0.25299676274537325</v>
      </c>
      <c r="H176" s="139"/>
      <c r="I176" s="86"/>
      <c r="J176" s="79">
        <f t="shared" si="930"/>
        <v>3.1160000000000001</v>
      </c>
    </row>
    <row r="177" spans="5:10" x14ac:dyDescent="0.25">
      <c r="E177" s="170">
        <f t="shared" si="933"/>
        <v>0.152902235293321</v>
      </c>
      <c r="F177" s="170">
        <f t="shared" si="933"/>
        <v>-0.96834437648359173</v>
      </c>
      <c r="G177" s="170">
        <f t="shared" si="933"/>
        <v>-0.19730705759021872</v>
      </c>
      <c r="H177" s="139"/>
      <c r="I177" s="86"/>
      <c r="J177" s="79">
        <f t="shared" si="930"/>
        <v>3.1219999999999999</v>
      </c>
    </row>
    <row r="178" spans="5:10" x14ac:dyDescent="0.25">
      <c r="E178" s="170">
        <f t="shared" si="933"/>
        <v>9.5226395912348036E-2</v>
      </c>
      <c r="F178" s="170">
        <f t="shared" si="933"/>
        <v>-0.98455143154099756</v>
      </c>
      <c r="G178" s="170">
        <f t="shared" si="933"/>
        <v>-0.14693676249365653</v>
      </c>
      <c r="H178" s="139"/>
      <c r="I178" s="86"/>
      <c r="J178" s="79">
        <f t="shared" si="930"/>
        <v>3.1309999999999998</v>
      </c>
    </row>
    <row r="179" spans="5:10" x14ac:dyDescent="0.25">
      <c r="E179" s="170">
        <f t="shared" si="933"/>
        <v>4.6144894750260575E-2</v>
      </c>
      <c r="F179" s="170">
        <f t="shared" si="933"/>
        <v>-0.99242621811471254</v>
      </c>
      <c r="G179" s="170">
        <f t="shared" si="933"/>
        <v>-0.11384573020986093</v>
      </c>
      <c r="H179" s="139"/>
      <c r="I179" s="86"/>
      <c r="J179" s="79">
        <f t="shared" si="930"/>
        <v>3.14</v>
      </c>
    </row>
    <row r="180" spans="5:10" x14ac:dyDescent="0.25">
      <c r="E180" s="170">
        <f t="shared" si="933"/>
        <v>6.2268381827195801E-3</v>
      </c>
      <c r="F180" s="170">
        <f t="shared" si="933"/>
        <v>-0.99707835071326978</v>
      </c>
      <c r="G180" s="170">
        <f t="shared" si="933"/>
        <v>-7.6131393164397987E-2</v>
      </c>
      <c r="H180" s="139"/>
      <c r="I180" s="86"/>
      <c r="J180" s="79">
        <f t="shared" si="930"/>
        <v>3.149</v>
      </c>
    </row>
    <row r="181" spans="5:10" x14ac:dyDescent="0.25">
      <c r="E181" s="170">
        <f t="shared" si="933"/>
        <v>-5.5857828676615463E-2</v>
      </c>
      <c r="F181" s="170">
        <f t="shared" si="933"/>
        <v>-0.99720396826093627</v>
      </c>
      <c r="G181" s="170">
        <f t="shared" si="933"/>
        <v>-4.9640191983670118E-2</v>
      </c>
      <c r="H181" s="139"/>
      <c r="I181" s="86"/>
      <c r="J181" s="79">
        <f t="shared" si="930"/>
        <v>3.1579999999999999</v>
      </c>
    </row>
    <row r="182" spans="5:10" x14ac:dyDescent="0.25">
      <c r="E182" s="170">
        <f t="shared" si="933"/>
        <v>-0.12851072318647103</v>
      </c>
      <c r="F182" s="170">
        <f t="shared" si="933"/>
        <v>-0.99155246598312452</v>
      </c>
      <c r="G182" s="170">
        <f t="shared" si="933"/>
        <v>-1.7569895528291204E-2</v>
      </c>
      <c r="H182" s="139"/>
      <c r="I182" s="86"/>
      <c r="J182" s="79">
        <f t="shared" si="930"/>
        <v>3.1669999999999998</v>
      </c>
    </row>
    <row r="183" spans="5:10" x14ac:dyDescent="0.25">
      <c r="E183" s="170">
        <f t="shared" si="933"/>
        <v>-0.21810980836421756</v>
      </c>
      <c r="F183" s="170">
        <f t="shared" si="933"/>
        <v>-0.97592423450558474</v>
      </c>
      <c r="G183" s="170">
        <f t="shared" si="933"/>
        <v>-1.1339743353254138E-7</v>
      </c>
      <c r="H183" s="139"/>
      <c r="I183" s="86"/>
      <c r="J183" s="79">
        <f t="shared" si="930"/>
        <v>3.1760000000000002</v>
      </c>
    </row>
    <row r="184" spans="5:10" x14ac:dyDescent="0.25">
      <c r="E184" s="170">
        <f t="shared" si="933"/>
        <v>-0.48901840938269303</v>
      </c>
      <c r="F184" s="170">
        <f t="shared" si="933"/>
        <v>-2.8340380145911351E-2</v>
      </c>
      <c r="G184" s="170">
        <f t="shared" si="933"/>
        <v>-0.87181294905387019</v>
      </c>
      <c r="H184" s="139"/>
      <c r="I184" s="86"/>
      <c r="J184" s="79">
        <f t="shared" si="930"/>
        <v>3.222</v>
      </c>
    </row>
    <row r="185" spans="5:10" x14ac:dyDescent="0.25">
      <c r="E185" s="170">
        <f t="shared" si="933"/>
        <v>-0.24745723540550457</v>
      </c>
      <c r="F185" s="170">
        <f t="shared" si="933"/>
        <v>-0.94966790722346284</v>
      </c>
      <c r="G185" s="170">
        <f t="shared" si="933"/>
        <v>-0.19208274944740097</v>
      </c>
      <c r="H185" s="139"/>
      <c r="I185" s="86"/>
      <c r="J185" s="79">
        <f t="shared" si="930"/>
        <v>3.2309999999999999</v>
      </c>
    </row>
    <row r="186" spans="5:10" x14ac:dyDescent="0.25">
      <c r="E186" s="170">
        <f t="shared" si="933"/>
        <v>-0.27793702793337588</v>
      </c>
      <c r="F186" s="170">
        <f t="shared" si="933"/>
        <v>-0.94942006042988758</v>
      </c>
      <c r="G186" s="170">
        <f t="shared" si="933"/>
        <v>-0.14612514279503899</v>
      </c>
      <c r="H186" s="139"/>
      <c r="I186" s="86"/>
      <c r="J186" s="79">
        <f t="shared" si="930"/>
        <v>3.24</v>
      </c>
    </row>
    <row r="187" spans="5:10" x14ac:dyDescent="0.25">
      <c r="E187" s="170">
        <f t="shared" si="933"/>
        <v>-0.30623978363795679</v>
      </c>
      <c r="F187" s="170">
        <f t="shared" si="933"/>
        <v>-0.94707759929512614</v>
      </c>
      <c r="G187" s="170">
        <f t="shared" si="933"/>
        <v>-9.6235210971649998E-2</v>
      </c>
      <c r="H187" s="139"/>
      <c r="I187" s="86"/>
      <c r="J187" s="79">
        <f t="shared" si="930"/>
        <v>3.2490000000000001</v>
      </c>
    </row>
    <row r="188" spans="5:10" x14ac:dyDescent="0.25">
      <c r="E188" s="170">
        <f t="shared" si="933"/>
        <v>-0.36073252300030045</v>
      </c>
      <c r="F188" s="170">
        <f t="shared" si="933"/>
        <v>-0.93069000796024093</v>
      </c>
      <c r="G188" s="170">
        <f t="shared" si="933"/>
        <v>-6.073018963254144E-2</v>
      </c>
      <c r="H188" s="139"/>
      <c r="I188" s="86"/>
      <c r="J188" s="79">
        <f t="shared" si="930"/>
        <v>3.258</v>
      </c>
    </row>
    <row r="189" spans="5:10" x14ac:dyDescent="0.25">
      <c r="E189" s="170">
        <f t="shared" si="933"/>
        <v>-0.4292625256464031</v>
      </c>
      <c r="F189" s="170">
        <f t="shared" si="933"/>
        <v>-0.90294004965267916</v>
      </c>
      <c r="G189" s="170">
        <f t="shared" si="933"/>
        <v>-2.0807470026135116E-2</v>
      </c>
      <c r="H189" s="139"/>
      <c r="I189" s="86"/>
      <c r="J189" s="79">
        <f t="shared" si="930"/>
        <v>3.2669999999999999</v>
      </c>
    </row>
    <row r="190" spans="5:10" x14ac:dyDescent="0.25">
      <c r="E190" s="170">
        <f t="shared" si="933"/>
        <v>-0.42495075868149657</v>
      </c>
      <c r="F190" s="170">
        <f t="shared" si="933"/>
        <v>-0.87000969481008184</v>
      </c>
      <c r="G190" s="170">
        <f t="shared" si="933"/>
        <v>-0.24999996726497567</v>
      </c>
      <c r="H190" s="139"/>
      <c r="I190" s="86"/>
      <c r="J190" s="79">
        <f t="shared" si="930"/>
        <v>4.1029999999999998</v>
      </c>
    </row>
    <row r="191" spans="5:10" x14ac:dyDescent="0.25">
      <c r="E191" s="170">
        <f t="shared" si="933"/>
        <v>-0.42495075868149668</v>
      </c>
      <c r="F191" s="170">
        <f t="shared" si="933"/>
        <v>-0.87000969481008172</v>
      </c>
      <c r="G191" s="170">
        <f t="shared" si="933"/>
        <v>-0.2499999672649757</v>
      </c>
      <c r="H191" s="139"/>
      <c r="I191" s="86"/>
      <c r="J191" s="79">
        <f t="shared" si="930"/>
        <v>4.1059999999999999</v>
      </c>
    </row>
    <row r="192" spans="5:10" x14ac:dyDescent="0.25">
      <c r="E192" s="170">
        <f t="shared" si="933"/>
        <v>-0.42495075868149668</v>
      </c>
      <c r="F192" s="170">
        <f t="shared" si="933"/>
        <v>-0.87000969481008184</v>
      </c>
      <c r="G192" s="170">
        <f t="shared" si="933"/>
        <v>-0.2499999672649757</v>
      </c>
      <c r="H192" s="139"/>
      <c r="I192" s="86"/>
      <c r="J192" s="79">
        <f t="shared" si="930"/>
        <v>4.109</v>
      </c>
    </row>
    <row r="193" spans="5:10" x14ac:dyDescent="0.25">
      <c r="E193" s="170">
        <f t="shared" si="933"/>
        <v>-0.51847497844492274</v>
      </c>
      <c r="F193" s="170">
        <f t="shared" si="933"/>
        <v>-0.81563279279613865</v>
      </c>
      <c r="G193" s="170">
        <f t="shared" si="933"/>
        <v>-0.25676223250725233</v>
      </c>
      <c r="H193" s="139"/>
      <c r="I193" s="86"/>
      <c r="J193" s="79">
        <f t="shared" si="930"/>
        <v>4.1150000000000002</v>
      </c>
    </row>
    <row r="194" spans="5:10" x14ac:dyDescent="0.25">
      <c r="E194" s="170">
        <f t="shared" ref="E194:G213" si="934">E49*-1</f>
        <v>-0.62761706223410041</v>
      </c>
      <c r="F194" s="170">
        <f t="shared" si="934"/>
        <v>-0.74958060272879823</v>
      </c>
      <c r="G194" s="170">
        <f t="shared" si="934"/>
        <v>-0.21029917547477203</v>
      </c>
      <c r="H194" s="139"/>
      <c r="I194" s="86"/>
      <c r="J194" s="79">
        <f t="shared" si="930"/>
        <v>4.1210000000000004</v>
      </c>
    </row>
    <row r="195" spans="5:10" x14ac:dyDescent="0.25">
      <c r="E195" s="170">
        <f t="shared" si="934"/>
        <v>-0.68496263765696286</v>
      </c>
      <c r="F195" s="170">
        <f t="shared" si="934"/>
        <v>-0.71158451347215268</v>
      </c>
      <c r="G195" s="170">
        <f t="shared" si="934"/>
        <v>-0.15644061237612222</v>
      </c>
      <c r="H195" s="139"/>
      <c r="I195" s="86"/>
      <c r="J195" s="79">
        <f t="shared" si="930"/>
        <v>4.1289999999999996</v>
      </c>
    </row>
    <row r="196" spans="5:10" x14ac:dyDescent="0.25">
      <c r="E196" s="170">
        <f t="shared" si="934"/>
        <v>-0.7168532055450404</v>
      </c>
      <c r="F196" s="170">
        <f t="shared" si="934"/>
        <v>-0.68806974079730754</v>
      </c>
      <c r="G196" s="170">
        <f t="shared" si="934"/>
        <v>-0.11261222624087674</v>
      </c>
      <c r="H196" s="139"/>
      <c r="I196" s="86"/>
      <c r="J196" s="79">
        <f t="shared" si="930"/>
        <v>4.1379999999999999</v>
      </c>
    </row>
    <row r="197" spans="5:10" x14ac:dyDescent="0.25">
      <c r="E197" s="170">
        <f t="shared" si="934"/>
        <v>-0.7471478274416633</v>
      </c>
      <c r="F197" s="170">
        <f t="shared" si="934"/>
        <v>-0.6601550021290038</v>
      </c>
      <c r="G197" s="170">
        <f t="shared" si="934"/>
        <v>-7.7236630644129764E-2</v>
      </c>
      <c r="H197" s="139"/>
      <c r="I197" s="86"/>
      <c r="J197" s="79">
        <f t="shared" si="930"/>
        <v>4.1470000000000002</v>
      </c>
    </row>
    <row r="198" spans="5:10" x14ac:dyDescent="0.25">
      <c r="E198" s="170">
        <f t="shared" si="934"/>
        <v>-0.78840822493314755</v>
      </c>
      <c r="F198" s="170">
        <f t="shared" si="934"/>
        <v>-0.61278799099185721</v>
      </c>
      <c r="G198" s="170">
        <f t="shared" si="934"/>
        <v>-5.3882733356124722E-2</v>
      </c>
      <c r="H198" s="139"/>
      <c r="I198" s="86"/>
      <c r="J198" s="79">
        <f t="shared" si="930"/>
        <v>4.1559999999999997</v>
      </c>
    </row>
    <row r="199" spans="5:10" x14ac:dyDescent="0.25">
      <c r="E199" s="170">
        <f t="shared" si="934"/>
        <v>-0.83242669331361696</v>
      </c>
      <c r="F199" s="170">
        <f t="shared" si="934"/>
        <v>-0.55355495121897325</v>
      </c>
      <c r="G199" s="170">
        <f t="shared" si="934"/>
        <v>-2.5351848846143304E-2</v>
      </c>
      <c r="H199" s="139"/>
      <c r="I199" s="86"/>
      <c r="J199" s="79">
        <f t="shared" si="930"/>
        <v>4.165</v>
      </c>
    </row>
    <row r="200" spans="5:10" x14ac:dyDescent="0.25">
      <c r="E200" s="170">
        <f t="shared" si="934"/>
        <v>-0.88779956112806291</v>
      </c>
      <c r="F200" s="170">
        <f t="shared" si="934"/>
        <v>-0.46023031110608759</v>
      </c>
      <c r="G200" s="170">
        <f t="shared" si="934"/>
        <v>-1.133974343852072E-7</v>
      </c>
      <c r="H200" s="139"/>
      <c r="I200" s="86"/>
      <c r="J200" s="79">
        <f t="shared" si="930"/>
        <v>4.1740000000000004</v>
      </c>
    </row>
    <row r="201" spans="5:10" x14ac:dyDescent="0.25">
      <c r="E201" s="170">
        <f t="shared" si="934"/>
        <v>0.14738945022875369</v>
      </c>
      <c r="F201" s="170">
        <f t="shared" si="934"/>
        <v>-0.21275250684661981</v>
      </c>
      <c r="G201" s="170">
        <f t="shared" si="934"/>
        <v>-0.96592583607218252</v>
      </c>
      <c r="H201" s="139"/>
      <c r="I201" s="86"/>
      <c r="J201" s="79">
        <f t="shared" si="930"/>
        <v>4.2089999999999996</v>
      </c>
    </row>
    <row r="202" spans="5:10" x14ac:dyDescent="0.25">
      <c r="E202" s="170">
        <f t="shared" si="934"/>
        <v>-4.1821480740474745E-2</v>
      </c>
      <c r="F202" s="170">
        <f t="shared" si="934"/>
        <v>4.8458394975157623E-2</v>
      </c>
      <c r="G202" s="170">
        <f t="shared" si="934"/>
        <v>-0.99794927110805887</v>
      </c>
      <c r="H202" s="139"/>
      <c r="I202" s="86"/>
      <c r="J202" s="79">
        <f t="shared" si="930"/>
        <v>4.2149999999999999</v>
      </c>
    </row>
    <row r="203" spans="5:10" x14ac:dyDescent="0.25">
      <c r="E203" s="170">
        <f t="shared" si="934"/>
        <v>-0.95106335030767053</v>
      </c>
      <c r="F203" s="170">
        <f t="shared" si="934"/>
        <v>-0.26919727063446264</v>
      </c>
      <c r="G203" s="170">
        <f t="shared" si="934"/>
        <v>-0.1516948686821841</v>
      </c>
      <c r="H203" s="139"/>
      <c r="I203" s="86"/>
      <c r="J203" s="79">
        <f t="shared" si="930"/>
        <v>5.13</v>
      </c>
    </row>
    <row r="204" spans="5:10" x14ac:dyDescent="0.25">
      <c r="E204" s="170">
        <f t="shared" si="934"/>
        <v>-0.96794713093896656</v>
      </c>
      <c r="F204" s="170">
        <f t="shared" si="934"/>
        <v>-0.22113748125139451</v>
      </c>
      <c r="G204" s="170">
        <f t="shared" si="934"/>
        <v>-0.1190653857878614</v>
      </c>
      <c r="H204" s="139"/>
      <c r="I204" s="86"/>
      <c r="J204" s="79">
        <f t="shared" si="930"/>
        <v>5.1390000000000002</v>
      </c>
    </row>
    <row r="205" spans="5:10" x14ac:dyDescent="0.25">
      <c r="E205" s="170">
        <f t="shared" si="934"/>
        <v>-0.97999823155697319</v>
      </c>
      <c r="F205" s="170">
        <f t="shared" si="934"/>
        <v>-0.18153142674620068</v>
      </c>
      <c r="G205" s="170">
        <f t="shared" si="934"/>
        <v>-8.1546350308851906E-2</v>
      </c>
      <c r="H205" s="139"/>
      <c r="I205" s="86"/>
      <c r="J205" s="79">
        <f t="shared" si="930"/>
        <v>5.1479999999999997</v>
      </c>
    </row>
    <row r="206" spans="5:10" x14ac:dyDescent="0.25">
      <c r="E206" s="170">
        <f t="shared" si="934"/>
        <v>-0.98966144965721137</v>
      </c>
      <c r="F206" s="170">
        <f t="shared" si="934"/>
        <v>-0.13510028590651521</v>
      </c>
      <c r="G206" s="170">
        <f t="shared" si="934"/>
        <v>-4.8146939781931436E-2</v>
      </c>
      <c r="H206" s="139"/>
      <c r="I206" s="86"/>
      <c r="J206" s="79">
        <f t="shared" si="930"/>
        <v>5.157</v>
      </c>
    </row>
    <row r="207" spans="5:10" x14ac:dyDescent="0.25">
      <c r="E207" s="170">
        <f t="shared" si="934"/>
        <v>-0.99864326022290173</v>
      </c>
      <c r="F207" s="170">
        <f t="shared" si="934"/>
        <v>-4.6128138643459146E-2</v>
      </c>
      <c r="G207" s="170">
        <f t="shared" si="934"/>
        <v>-2.4162649620099945E-2</v>
      </c>
      <c r="H207" s="139"/>
      <c r="I207" s="86"/>
      <c r="J207" s="79">
        <f t="shared" si="930"/>
        <v>5.1660000000000004</v>
      </c>
    </row>
    <row r="208" spans="5:10" x14ac:dyDescent="0.25">
      <c r="E208" s="170">
        <f t="shared" si="934"/>
        <v>-0.99897213238538707</v>
      </c>
      <c r="F208" s="170">
        <f t="shared" si="934"/>
        <v>4.5328564033950296E-2</v>
      </c>
      <c r="G208" s="170">
        <f t="shared" si="934"/>
        <v>-1.1339743348317929E-7</v>
      </c>
      <c r="H208" s="139"/>
      <c r="I208" s="86"/>
      <c r="J208" s="79">
        <f t="shared" si="930"/>
        <v>5.1749999999999998</v>
      </c>
    </row>
    <row r="209" spans="5:10" x14ac:dyDescent="0.25">
      <c r="E209" s="170">
        <f t="shared" si="934"/>
        <v>-0.94793522716841128</v>
      </c>
      <c r="F209" s="170">
        <f t="shared" si="934"/>
        <v>0.18561024058570708</v>
      </c>
      <c r="G209" s="170">
        <f t="shared" si="934"/>
        <v>-0.25878107288379609</v>
      </c>
      <c r="H209" s="139"/>
      <c r="I209" s="86"/>
      <c r="J209" s="79">
        <f t="shared" si="930"/>
        <v>6.1139999999999999</v>
      </c>
    </row>
    <row r="210" spans="5:10" x14ac:dyDescent="0.25">
      <c r="E210" s="170">
        <f t="shared" si="934"/>
        <v>-0.92301066469950166</v>
      </c>
      <c r="F210" s="170">
        <f t="shared" si="934"/>
        <v>0.31444879558872613</v>
      </c>
      <c r="G210" s="170">
        <f t="shared" si="934"/>
        <v>-0.22175046291672937</v>
      </c>
      <c r="H210" s="139"/>
      <c r="I210" s="86"/>
      <c r="J210" s="79">
        <f t="shared" si="930"/>
        <v>6.12</v>
      </c>
    </row>
    <row r="211" spans="5:10" x14ac:dyDescent="0.25">
      <c r="E211" s="170">
        <f t="shared" si="934"/>
        <v>-0.90431837985240726</v>
      </c>
      <c r="F211" s="170">
        <f t="shared" si="934"/>
        <v>0.3952893913477657</v>
      </c>
      <c r="G211" s="170">
        <f t="shared" si="934"/>
        <v>-0.16110420524936747</v>
      </c>
      <c r="H211" s="139"/>
      <c r="I211" s="86"/>
      <c r="J211" s="79">
        <f t="shared" si="930"/>
        <v>6.1280000000000001</v>
      </c>
    </row>
    <row r="212" spans="5:10" x14ac:dyDescent="0.25">
      <c r="E212" s="170">
        <f t="shared" si="934"/>
        <v>-0.89287740043215058</v>
      </c>
      <c r="F212" s="170">
        <f t="shared" si="934"/>
        <v>0.43466858916681844</v>
      </c>
      <c r="G212" s="170">
        <f t="shared" si="934"/>
        <v>-0.11761447780461658</v>
      </c>
      <c r="H212" s="139"/>
      <c r="I212" s="86"/>
      <c r="J212" s="79">
        <f t="shared" si="930"/>
        <v>6.1369999999999996</v>
      </c>
    </row>
    <row r="213" spans="5:10" x14ac:dyDescent="0.25">
      <c r="E213" s="170">
        <f t="shared" si="934"/>
        <v>-0.87671150555391986</v>
      </c>
      <c r="F213" s="170">
        <f t="shared" si="934"/>
        <v>0.47389880305674137</v>
      </c>
      <c r="G213" s="170">
        <f t="shared" si="934"/>
        <v>-8.2443074243790493E-2</v>
      </c>
      <c r="H213" s="139"/>
      <c r="I213" s="86"/>
      <c r="J213" s="79">
        <f t="shared" si="930"/>
        <v>6.1459999999999999</v>
      </c>
    </row>
    <row r="214" spans="5:10" x14ac:dyDescent="0.25">
      <c r="E214" s="170">
        <f t="shared" ref="E214:G233" si="935">E69*-1</f>
        <v>-0.85451068357620252</v>
      </c>
      <c r="F214" s="170">
        <f t="shared" si="935"/>
        <v>0.51685172306228755</v>
      </c>
      <c r="G214" s="170">
        <f t="shared" si="935"/>
        <v>-5.1728019696058065E-2</v>
      </c>
      <c r="H214" s="139"/>
      <c r="I214" s="86"/>
      <c r="J214" s="79">
        <f t="shared" si="930"/>
        <v>6.1550000000000002</v>
      </c>
    </row>
    <row r="215" spans="5:10" x14ac:dyDescent="0.25">
      <c r="E215" s="170">
        <f t="shared" si="935"/>
        <v>-0.80515015618755781</v>
      </c>
      <c r="F215" s="170">
        <f t="shared" si="935"/>
        <v>0.59221871493241207</v>
      </c>
      <c r="G215" s="170">
        <f t="shared" si="935"/>
        <v>-3.1783953104572854E-2</v>
      </c>
      <c r="H215" s="139"/>
      <c r="I215" s="86"/>
      <c r="J215" s="79">
        <f t="shared" si="930"/>
        <v>6.1639999999999997</v>
      </c>
    </row>
    <row r="216" spans="5:10" x14ac:dyDescent="0.25">
      <c r="E216" s="170">
        <f t="shared" si="935"/>
        <v>-0.7361204797436377</v>
      </c>
      <c r="F216" s="170">
        <f t="shared" si="935"/>
        <v>0.6768505295129672</v>
      </c>
      <c r="G216" s="170">
        <f t="shared" si="935"/>
        <v>-1.1339743355238481E-7</v>
      </c>
      <c r="H216" s="139"/>
      <c r="I216" s="86"/>
      <c r="J216" s="79">
        <f t="shared" si="930"/>
        <v>6.173</v>
      </c>
    </row>
    <row r="217" spans="5:10" x14ac:dyDescent="0.25">
      <c r="E217" s="170">
        <f t="shared" si="935"/>
        <v>0.26031396144349772</v>
      </c>
      <c r="F217" s="170">
        <f t="shared" si="935"/>
        <v>0.54845705296339631</v>
      </c>
      <c r="G217" s="170">
        <f t="shared" si="935"/>
        <v>-0.79462664348252221</v>
      </c>
      <c r="H217" s="139"/>
      <c r="I217" s="86"/>
      <c r="J217" s="79">
        <f t="shared" si="930"/>
        <v>6.2279999999999998</v>
      </c>
    </row>
    <row r="218" spans="5:10" x14ac:dyDescent="0.25">
      <c r="E218" s="170">
        <f t="shared" si="935"/>
        <v>-0.69579821748607751</v>
      </c>
      <c r="F218" s="170">
        <f t="shared" si="935"/>
        <v>0.70168898257595314</v>
      </c>
      <c r="G218" s="170">
        <f t="shared" si="935"/>
        <v>-0.15328865670597122</v>
      </c>
      <c r="H218" s="139"/>
      <c r="I218" s="86"/>
      <c r="J218" s="79">
        <f t="shared" si="930"/>
        <v>6.2370000000000001</v>
      </c>
    </row>
    <row r="219" spans="5:10" x14ac:dyDescent="0.25">
      <c r="E219" s="170">
        <f t="shared" si="935"/>
        <v>-0.68018999890862442</v>
      </c>
      <c r="F219" s="170">
        <f t="shared" si="935"/>
        <v>0.72538985260634414</v>
      </c>
      <c r="G219" s="170">
        <f t="shared" si="935"/>
        <v>-0.10559889734477405</v>
      </c>
      <c r="H219" s="139"/>
      <c r="I219" s="86"/>
      <c r="J219" s="79">
        <f t="shared" ref="J219:J282" si="936">J74</f>
        <v>6.2460000000000004</v>
      </c>
    </row>
    <row r="220" spans="5:10" x14ac:dyDescent="0.25">
      <c r="E220" s="170">
        <f t="shared" si="935"/>
        <v>-0.65255866176014155</v>
      </c>
      <c r="F220" s="170">
        <f t="shared" si="935"/>
        <v>0.7549812704886999</v>
      </c>
      <c r="G220" s="170">
        <f t="shared" si="935"/>
        <v>-6.4579208520092982E-2</v>
      </c>
      <c r="H220" s="139"/>
      <c r="I220" s="86"/>
      <c r="J220" s="79">
        <f t="shared" si="936"/>
        <v>6.2549999999999999</v>
      </c>
    </row>
    <row r="221" spans="5:10" x14ac:dyDescent="0.25">
      <c r="E221" s="170">
        <f t="shared" si="935"/>
        <v>-0.58243637030053352</v>
      </c>
      <c r="F221" s="170">
        <f t="shared" si="935"/>
        <v>0.81199151137971015</v>
      </c>
      <c r="G221" s="170">
        <f t="shared" si="935"/>
        <v>-3.7916487158413323E-2</v>
      </c>
      <c r="H221" s="139"/>
      <c r="I221" s="86"/>
      <c r="J221" s="79">
        <f t="shared" si="936"/>
        <v>6.2640000000000002</v>
      </c>
    </row>
    <row r="222" spans="5:10" x14ac:dyDescent="0.25">
      <c r="E222" s="170">
        <f t="shared" si="935"/>
        <v>-0.54097536073219554</v>
      </c>
      <c r="F222" s="170">
        <f t="shared" si="935"/>
        <v>0.80302283619345605</v>
      </c>
      <c r="G222" s="170">
        <f t="shared" si="935"/>
        <v>-0.24999996726497573</v>
      </c>
      <c r="H222" s="139"/>
      <c r="I222" s="86"/>
      <c r="J222" s="79">
        <f t="shared" si="936"/>
        <v>7.1020000000000003</v>
      </c>
    </row>
    <row r="223" spans="5:10" x14ac:dyDescent="0.25">
      <c r="E223" s="170">
        <f t="shared" si="935"/>
        <v>-0.54097536073219543</v>
      </c>
      <c r="F223" s="170">
        <f t="shared" si="935"/>
        <v>0.80302283619345616</v>
      </c>
      <c r="G223" s="170">
        <f t="shared" si="935"/>
        <v>-0.2499999672649757</v>
      </c>
      <c r="H223" s="139"/>
      <c r="I223" s="86"/>
      <c r="J223" s="79">
        <f t="shared" si="936"/>
        <v>7.1050000000000004</v>
      </c>
    </row>
    <row r="224" spans="5:10" x14ac:dyDescent="0.25">
      <c r="E224" s="170">
        <f t="shared" si="935"/>
        <v>-0.54097536073219543</v>
      </c>
      <c r="F224" s="170">
        <f t="shared" si="935"/>
        <v>0.80302283619345616</v>
      </c>
      <c r="G224" s="170">
        <f t="shared" si="935"/>
        <v>-0.2499999672649757</v>
      </c>
      <c r="H224" s="139"/>
      <c r="I224" s="86"/>
      <c r="J224" s="79">
        <f t="shared" si="936"/>
        <v>7.1079999999999997</v>
      </c>
    </row>
    <row r="225" spans="5:10" x14ac:dyDescent="0.25">
      <c r="E225" s="170">
        <f t="shared" si="935"/>
        <v>-0.48457839428600746</v>
      </c>
      <c r="F225" s="170">
        <f t="shared" si="935"/>
        <v>0.83551475802197583</v>
      </c>
      <c r="G225" s="170">
        <f t="shared" si="935"/>
        <v>-0.2590344936850576</v>
      </c>
      <c r="H225" s="139"/>
      <c r="I225" s="86"/>
      <c r="J225" s="79">
        <f t="shared" si="936"/>
        <v>7.1130000000000004</v>
      </c>
    </row>
    <row r="226" spans="5:10" x14ac:dyDescent="0.25">
      <c r="E226" s="170">
        <f t="shared" si="935"/>
        <v>-0.37026015414290114</v>
      </c>
      <c r="F226" s="170">
        <f t="shared" si="935"/>
        <v>0.89953262721210903</v>
      </c>
      <c r="G226" s="170">
        <f t="shared" si="935"/>
        <v>-0.23183716448178912</v>
      </c>
      <c r="H226" s="139"/>
      <c r="I226" s="86"/>
      <c r="J226" s="79">
        <f t="shared" si="936"/>
        <v>7.1189999999999998</v>
      </c>
    </row>
    <row r="227" spans="5:10" x14ac:dyDescent="0.25">
      <c r="E227" s="170">
        <f t="shared" si="935"/>
        <v>-0.28828689781676897</v>
      </c>
      <c r="F227" s="170">
        <f t="shared" si="935"/>
        <v>0.94227477419724726</v>
      </c>
      <c r="G227" s="170">
        <f t="shared" si="935"/>
        <v>-0.1703200354001565</v>
      </c>
      <c r="H227" s="139"/>
      <c r="I227" s="86"/>
      <c r="J227" s="79">
        <f t="shared" si="936"/>
        <v>7.1260000000000003</v>
      </c>
    </row>
    <row r="228" spans="5:10" x14ac:dyDescent="0.25">
      <c r="E228" s="170">
        <f t="shared" si="935"/>
        <v>-0.24833658455060939</v>
      </c>
      <c r="F228" s="170">
        <f t="shared" si="935"/>
        <v>0.96024644471675014</v>
      </c>
      <c r="G228" s="170">
        <f t="shared" si="935"/>
        <v>-0.12749786736482874</v>
      </c>
      <c r="H228" s="139"/>
      <c r="I228" s="86"/>
      <c r="J228" s="79">
        <f t="shared" si="936"/>
        <v>7.1349999999999998</v>
      </c>
    </row>
    <row r="229" spans="5:10" x14ac:dyDescent="0.25">
      <c r="E229" s="170">
        <f t="shared" si="935"/>
        <v>-0.2057280131017617</v>
      </c>
      <c r="F229" s="170">
        <f t="shared" si="935"/>
        <v>0.97418602724281045</v>
      </c>
      <c r="G229" s="170">
        <f t="shared" si="935"/>
        <v>-9.2938522422469083E-2</v>
      </c>
      <c r="H229" s="139"/>
      <c r="I229" s="86"/>
      <c r="J229" s="79">
        <f t="shared" si="936"/>
        <v>7.1440000000000001</v>
      </c>
    </row>
    <row r="230" spans="5:10" x14ac:dyDescent="0.25">
      <c r="E230" s="170">
        <f t="shared" si="935"/>
        <v>-0.16410805019547409</v>
      </c>
      <c r="F230" s="170">
        <f t="shared" si="935"/>
        <v>0.98469451077571313</v>
      </c>
      <c r="G230" s="170">
        <f t="shared" si="935"/>
        <v>-5.8696407975437237E-2</v>
      </c>
      <c r="H230" s="139"/>
      <c r="I230" s="86"/>
      <c r="J230" s="79">
        <f t="shared" si="936"/>
        <v>7.1529999999999996</v>
      </c>
    </row>
    <row r="231" spans="5:10" x14ac:dyDescent="0.25">
      <c r="E231" s="170">
        <f t="shared" si="935"/>
        <v>-8.1810145391590372E-2</v>
      </c>
      <c r="F231" s="170">
        <f t="shared" si="935"/>
        <v>0.99590114678270736</v>
      </c>
      <c r="G231" s="170">
        <f t="shared" si="935"/>
        <v>-3.8574680139895054E-2</v>
      </c>
      <c r="H231" s="139"/>
      <c r="I231" s="86"/>
      <c r="J231" s="79">
        <f t="shared" si="936"/>
        <v>7.1619999999999999</v>
      </c>
    </row>
    <row r="232" spans="5:10" x14ac:dyDescent="0.25">
      <c r="E232" s="170">
        <f t="shared" si="935"/>
        <v>-2.8125813021179922E-2</v>
      </c>
      <c r="F232" s="170">
        <f t="shared" si="935"/>
        <v>0.99959433077492332</v>
      </c>
      <c r="G232" s="170">
        <f t="shared" si="935"/>
        <v>4.4846989342614777E-3</v>
      </c>
      <c r="H232" s="139"/>
      <c r="I232" s="86"/>
      <c r="J232" s="79">
        <f t="shared" si="936"/>
        <v>7.1710000000000003</v>
      </c>
    </row>
    <row r="233" spans="5:10" x14ac:dyDescent="0.25">
      <c r="E233" s="170">
        <f t="shared" si="935"/>
        <v>4.5328337472167524E-2</v>
      </c>
      <c r="F233" s="170">
        <f t="shared" si="935"/>
        <v>0.99897214266564849</v>
      </c>
      <c r="G233" s="170">
        <f t="shared" si="935"/>
        <v>-1.1339743386408167E-7</v>
      </c>
      <c r="H233" s="139"/>
      <c r="I233" s="86"/>
      <c r="J233" s="79">
        <f t="shared" si="936"/>
        <v>7.18</v>
      </c>
    </row>
    <row r="234" spans="5:10" x14ac:dyDescent="0.25">
      <c r="E234" s="170">
        <f t="shared" ref="E234:G253" si="937">E89*-1</f>
        <v>-0.25872875761100916</v>
      </c>
      <c r="F234" s="170">
        <f t="shared" si="937"/>
        <v>-6.8344124340616371E-3</v>
      </c>
      <c r="G234" s="170">
        <f t="shared" si="937"/>
        <v>-0.96592583607218252</v>
      </c>
      <c r="H234" s="139"/>
      <c r="I234" s="86"/>
      <c r="J234" s="79">
        <f t="shared" si="936"/>
        <v>7.2080000000000002</v>
      </c>
    </row>
    <row r="235" spans="5:10" x14ac:dyDescent="0.25">
      <c r="E235" s="170">
        <f t="shared" si="937"/>
        <v>-8.981583356958903E-3</v>
      </c>
      <c r="F235" s="170">
        <f t="shared" si="937"/>
        <v>-1.4133781455180328E-3</v>
      </c>
      <c r="G235" s="170">
        <f t="shared" si="937"/>
        <v>-0.9999586659070564</v>
      </c>
      <c r="H235" s="139"/>
      <c r="I235" s="86"/>
      <c r="J235" s="79">
        <f t="shared" si="936"/>
        <v>7.2130000000000001</v>
      </c>
    </row>
    <row r="236" spans="5:10" x14ac:dyDescent="0.25">
      <c r="E236" s="170">
        <f t="shared" si="937"/>
        <v>0.22692204690004414</v>
      </c>
      <c r="F236" s="170">
        <f t="shared" si="937"/>
        <v>0.95970363130115022</v>
      </c>
      <c r="G236" s="170">
        <f t="shared" si="937"/>
        <v>-0.16575682398646585</v>
      </c>
      <c r="H236" s="139"/>
      <c r="I236" s="86"/>
      <c r="J236" s="79">
        <f t="shared" si="936"/>
        <v>8.1270000000000007</v>
      </c>
    </row>
    <row r="237" spans="5:10" x14ac:dyDescent="0.25">
      <c r="E237" s="170">
        <f t="shared" si="937"/>
        <v>0.26911447970071301</v>
      </c>
      <c r="F237" s="170">
        <f t="shared" si="937"/>
        <v>0.95527961083892032</v>
      </c>
      <c r="G237" s="170">
        <f t="shared" si="937"/>
        <v>-0.12254901848181179</v>
      </c>
      <c r="H237" s="139"/>
      <c r="I237" s="86"/>
      <c r="J237" s="79">
        <f t="shared" si="936"/>
        <v>8.1359999999999992</v>
      </c>
    </row>
    <row r="238" spans="5:10" x14ac:dyDescent="0.25">
      <c r="E238" s="170">
        <f t="shared" si="937"/>
        <v>0.31176565650740851</v>
      </c>
      <c r="F238" s="170">
        <f t="shared" si="937"/>
        <v>0.94610157021941932</v>
      </c>
      <c r="G238" s="170">
        <f t="shared" si="937"/>
        <v>-8.7715416266775925E-2</v>
      </c>
      <c r="H238" s="139"/>
      <c r="I238" s="86"/>
      <c r="J238" s="79">
        <f t="shared" si="936"/>
        <v>8.1449999999999996</v>
      </c>
    </row>
    <row r="239" spans="5:10" x14ac:dyDescent="0.25">
      <c r="E239" s="170">
        <f t="shared" si="937"/>
        <v>0.35898429158359091</v>
      </c>
      <c r="F239" s="170">
        <f t="shared" si="937"/>
        <v>0.93158348109965272</v>
      </c>
      <c r="G239" s="170">
        <f t="shared" si="937"/>
        <v>-5.7293072342828905E-2</v>
      </c>
      <c r="H239" s="139"/>
      <c r="I239" s="86"/>
      <c r="J239" s="79">
        <f t="shared" si="936"/>
        <v>8.1539999999999999</v>
      </c>
    </row>
    <row r="240" spans="5:10" x14ac:dyDescent="0.25">
      <c r="E240" s="170">
        <f t="shared" si="937"/>
        <v>0.42800914875184431</v>
      </c>
      <c r="F240" s="170">
        <f t="shared" si="937"/>
        <v>0.90319671460481787</v>
      </c>
      <c r="G240" s="170">
        <f t="shared" si="937"/>
        <v>-3.2308873576539554E-2</v>
      </c>
      <c r="H240" s="139"/>
      <c r="I240" s="86"/>
      <c r="J240" s="79">
        <f t="shared" si="936"/>
        <v>8.1630000000000003</v>
      </c>
    </row>
    <row r="241" spans="5:10" x14ac:dyDescent="0.25">
      <c r="E241" s="170">
        <f t="shared" si="937"/>
        <v>0.47545478453543827</v>
      </c>
      <c r="F241" s="170">
        <f t="shared" si="937"/>
        <v>0.87972872826674764</v>
      </c>
      <c r="G241" s="170">
        <f t="shared" si="937"/>
        <v>4.4846989342609417E-3</v>
      </c>
      <c r="H241" s="139"/>
      <c r="I241" s="86"/>
      <c r="J241" s="79">
        <f t="shared" si="936"/>
        <v>8.1720000000000006</v>
      </c>
    </row>
    <row r="242" spans="5:10" x14ac:dyDescent="0.25">
      <c r="E242" s="170">
        <f t="shared" si="937"/>
        <v>0.53874149940565308</v>
      </c>
      <c r="F242" s="170">
        <f t="shared" si="937"/>
        <v>0.84247112521328349</v>
      </c>
      <c r="G242" s="170">
        <f t="shared" si="937"/>
        <v>-1.133974335186406E-7</v>
      </c>
      <c r="H242" s="139"/>
      <c r="I242" s="86"/>
      <c r="J242" s="79">
        <f t="shared" si="936"/>
        <v>8.1809999999999992</v>
      </c>
    </row>
    <row r="243" spans="5:10" x14ac:dyDescent="0.25">
      <c r="E243" s="170">
        <f t="shared" si="937"/>
        <v>0.60408804575295849</v>
      </c>
      <c r="F243" s="170">
        <f t="shared" si="937"/>
        <v>0.7540234264516803</v>
      </c>
      <c r="G243" s="170">
        <f t="shared" si="937"/>
        <v>-0.25792693798911187</v>
      </c>
      <c r="H243" s="139"/>
      <c r="I243" s="86"/>
      <c r="J243" s="79">
        <f t="shared" si="936"/>
        <v>9.1120000000000001</v>
      </c>
    </row>
    <row r="244" spans="5:10" x14ac:dyDescent="0.25">
      <c r="E244" s="170">
        <f t="shared" si="937"/>
        <v>0.70282798887598985</v>
      </c>
      <c r="F244" s="170">
        <f t="shared" si="937"/>
        <v>0.66949060349943967</v>
      </c>
      <c r="G244" s="170">
        <f t="shared" si="937"/>
        <v>-0.24044781113266067</v>
      </c>
      <c r="H244" s="139"/>
      <c r="I244" s="86"/>
      <c r="J244" s="79">
        <f t="shared" si="936"/>
        <v>9.1180000000000003</v>
      </c>
    </row>
    <row r="245" spans="5:10" x14ac:dyDescent="0.25">
      <c r="E245" s="170">
        <f t="shared" si="937"/>
        <v>0.78281644030612008</v>
      </c>
      <c r="F245" s="170">
        <f t="shared" si="937"/>
        <v>0.59717514906123315</v>
      </c>
      <c r="G245" s="170">
        <f t="shared" si="937"/>
        <v>-0.17487213079890368</v>
      </c>
      <c r="H245" s="139"/>
      <c r="I245" s="86"/>
      <c r="J245" s="79">
        <f t="shared" si="936"/>
        <v>9.125</v>
      </c>
    </row>
    <row r="246" spans="5:10" x14ac:dyDescent="0.25">
      <c r="E246" s="170">
        <f t="shared" si="937"/>
        <v>0.81449070313889027</v>
      </c>
      <c r="F246" s="170">
        <f t="shared" si="937"/>
        <v>0.56487082666537014</v>
      </c>
      <c r="G246" s="170">
        <f t="shared" si="937"/>
        <v>-0.13238520945595642</v>
      </c>
      <c r="H246" s="139"/>
      <c r="I246" s="86"/>
      <c r="J246" s="79">
        <f t="shared" si="936"/>
        <v>9.1340000000000003</v>
      </c>
    </row>
    <row r="247" spans="5:10" x14ac:dyDescent="0.25">
      <c r="E247" s="170">
        <f t="shared" si="937"/>
        <v>0.8430658599649713</v>
      </c>
      <c r="F247" s="170">
        <f t="shared" si="937"/>
        <v>0.5287704490270364</v>
      </c>
      <c r="G247" s="170">
        <f t="shared" si="937"/>
        <v>-9.8192504791709614E-2</v>
      </c>
      <c r="H247" s="139"/>
      <c r="I247" s="86"/>
      <c r="J247" s="79">
        <f t="shared" si="936"/>
        <v>9.1430000000000007</v>
      </c>
    </row>
    <row r="248" spans="5:10" x14ac:dyDescent="0.25">
      <c r="E248" s="170">
        <f t="shared" si="937"/>
        <v>0.86797710098975611</v>
      </c>
      <c r="F248" s="170">
        <f t="shared" si="937"/>
        <v>0.49243966763900843</v>
      </c>
      <c r="G248" s="170">
        <f t="shared" si="937"/>
        <v>-6.4178858614046444E-2</v>
      </c>
      <c r="H248" s="139"/>
      <c r="I248" s="86"/>
      <c r="J248" s="79">
        <f t="shared" si="936"/>
        <v>9.1519999999999992</v>
      </c>
    </row>
    <row r="249" spans="5:10" x14ac:dyDescent="0.25">
      <c r="E249" s="170">
        <f t="shared" si="937"/>
        <v>0.90057832660394088</v>
      </c>
      <c r="F249" s="170">
        <f t="shared" si="937"/>
        <v>0.43299167468662236</v>
      </c>
      <c r="G249" s="170">
        <f t="shared" si="937"/>
        <v>-3.843029148106783E-2</v>
      </c>
      <c r="H249" s="139"/>
      <c r="I249" s="86"/>
      <c r="J249" s="79">
        <f t="shared" si="936"/>
        <v>9.1609999999999996</v>
      </c>
    </row>
    <row r="250" spans="5:10" x14ac:dyDescent="0.25">
      <c r="E250" s="170">
        <f t="shared" si="937"/>
        <v>0.92968717814956359</v>
      </c>
      <c r="F250" s="170">
        <f t="shared" si="937"/>
        <v>0.36834357326199807</v>
      </c>
      <c r="G250" s="170">
        <f t="shared" si="937"/>
        <v>-2.1823888024054411E-3</v>
      </c>
      <c r="H250" s="139"/>
      <c r="I250" s="86"/>
      <c r="J250" s="79">
        <f t="shared" si="936"/>
        <v>9.17</v>
      </c>
    </row>
    <row r="251" spans="5:10" x14ac:dyDescent="0.25">
      <c r="E251" s="170">
        <f t="shared" si="937"/>
        <v>0.95422990255708051</v>
      </c>
      <c r="F251" s="170">
        <f t="shared" si="937"/>
        <v>0.2990740595001381</v>
      </c>
      <c r="G251" s="170">
        <f t="shared" si="937"/>
        <v>-1.1339743371298574E-7</v>
      </c>
      <c r="H251" s="139"/>
      <c r="I251" s="86"/>
      <c r="J251" s="79">
        <f t="shared" si="936"/>
        <v>9.1790000000000003</v>
      </c>
    </row>
    <row r="252" spans="5:10" x14ac:dyDescent="0.25">
      <c r="E252" s="170">
        <f t="shared" si="937"/>
        <v>0.31954851438004039</v>
      </c>
      <c r="F252" s="170">
        <f t="shared" si="937"/>
        <v>-0.47200103210191685</v>
      </c>
      <c r="G252" s="170">
        <f t="shared" si="937"/>
        <v>-0.82164698785563284</v>
      </c>
      <c r="H252" s="139"/>
      <c r="I252" s="86"/>
      <c r="J252" s="79">
        <f t="shared" si="936"/>
        <v>9.2249999999999996</v>
      </c>
    </row>
    <row r="253" spans="5:10" x14ac:dyDescent="0.25">
      <c r="E253" s="170">
        <f t="shared" si="937"/>
        <v>0.95108457740130714</v>
      </c>
      <c r="F253" s="170">
        <f t="shared" si="937"/>
        <v>0.25608733211692375</v>
      </c>
      <c r="G253" s="170">
        <f t="shared" si="937"/>
        <v>-0.17279295401900374</v>
      </c>
      <c r="H253" s="139"/>
      <c r="I253" s="86"/>
      <c r="J253" s="79">
        <f t="shared" si="936"/>
        <v>9.234</v>
      </c>
    </row>
    <row r="254" spans="5:10" x14ac:dyDescent="0.25">
      <c r="E254" s="170">
        <f t="shared" ref="E254:G273" si="938">E109*-1</f>
        <v>0.96502760527443854</v>
      </c>
      <c r="F254" s="170">
        <f t="shared" si="938"/>
        <v>0.22993863854773131</v>
      </c>
      <c r="G254" s="170">
        <f t="shared" si="938"/>
        <v>-0.12589655897242907</v>
      </c>
      <c r="H254" s="139"/>
      <c r="I254" s="86"/>
      <c r="J254" s="79">
        <f t="shared" si="936"/>
        <v>9.2430000000000003</v>
      </c>
    </row>
    <row r="255" spans="5:10" x14ac:dyDescent="0.25">
      <c r="E255" s="170">
        <f t="shared" si="938"/>
        <v>0.97691675793762767</v>
      </c>
      <c r="F255" s="170">
        <f t="shared" si="938"/>
        <v>0.19782841412606816</v>
      </c>
      <c r="G255" s="170">
        <f t="shared" si="938"/>
        <v>-8.060748491920397E-2</v>
      </c>
      <c r="H255" s="139"/>
      <c r="I255" s="86"/>
      <c r="J255" s="79">
        <f t="shared" si="936"/>
        <v>9.2520000000000007</v>
      </c>
    </row>
    <row r="256" spans="5:10" x14ac:dyDescent="0.25">
      <c r="E256" s="170">
        <f t="shared" si="938"/>
        <v>0.98983140531612002</v>
      </c>
      <c r="F256" s="170">
        <f t="shared" si="938"/>
        <v>0.13439944270229356</v>
      </c>
      <c r="G256" s="170">
        <f t="shared" si="938"/>
        <v>-4.6589471463280567E-2</v>
      </c>
      <c r="H256" s="139"/>
      <c r="I256" s="86"/>
      <c r="J256" s="79">
        <f t="shared" si="936"/>
        <v>9.2609999999999992</v>
      </c>
    </row>
    <row r="257" spans="5:10" x14ac:dyDescent="0.25">
      <c r="E257" s="170">
        <f t="shared" si="938"/>
        <v>0.99811636142736448</v>
      </c>
      <c r="F257" s="170">
        <f t="shared" si="938"/>
        <v>6.129550966652169E-2</v>
      </c>
      <c r="G257" s="170">
        <f t="shared" si="938"/>
        <v>-2.567011047928793E-3</v>
      </c>
      <c r="H257" s="139"/>
      <c r="I257" s="86"/>
      <c r="J257" s="79">
        <f t="shared" si="936"/>
        <v>9.27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8A64E9A-D012-47FE-9894-02852EF0482D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186DE0F0-713A-4CC6-830D-160A7EDEA24E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1.141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1.1679999999999999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1.177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1.2070000000000001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1.2110000000000001</v>
      </c>
      <c r="N177" s="869" t="str">
        <f>Assy.Model!K22</f>
        <v>CPS-32193r1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2.1240000000000001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2.133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2.1419999999999999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2.1509999999999998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2.16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2.169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2.1779999999999999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3.1160000000000001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3.1219999999999999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3.1309999999999998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3.14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3.149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3.1579999999999999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3.1669999999999998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3.1760000000000002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3.222</v>
      </c>
      <c r="N194" s="869" t="str">
        <f>Assy.Model!K39</f>
        <v>CPS-32193r1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3.2309999999999999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3.2490000000000001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3.258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3.2669999999999999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4.1029999999999998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4.1059999999999999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4.109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4.1150000000000002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4.1210000000000004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4.1289999999999996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4.1379999999999999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4.1470000000000002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4.1559999999999997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4.165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4.1740000000000004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4.2089999999999996</v>
      </c>
      <c r="N211" s="869" t="str">
        <f>Assy.Model!K56</f>
        <v>CPS-32193r1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4.2149999999999999</v>
      </c>
      <c r="N212" s="869" t="str">
        <f>Assy.Model!K57</f>
        <v>CPS-32193r1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5.1390000000000002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5.1479999999999997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5.157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5.1660000000000004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5.1749999999999998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6.1139999999999999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6.12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6.1280000000000001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6.1369999999999996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6.1459999999999999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6.1550000000000002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6.1639999999999997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6.173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6.2279999999999998</v>
      </c>
      <c r="N227" s="869" t="str">
        <f>Assy.Model!K72</f>
        <v>CPS-32193r1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6.2370000000000001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6.2460000000000004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6.2549999999999999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6.2640000000000002</v>
      </c>
      <c r="N231" s="869">
        <f>Assy.Model!K76</f>
        <v>1313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7.1020000000000003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7.1050000000000004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7.1079999999999997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7.1130000000000004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7.1189999999999998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7.1260000000000003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7.1349999999999998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7.1440000000000001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7.1529999999999996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7.1619999999999999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7.1710000000000003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7.18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7.2080000000000002</v>
      </c>
      <c r="N244" s="869" t="str">
        <f>Assy.Model!K89</f>
        <v>CPS-32193r1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7.2130000000000001</v>
      </c>
      <c r="N245" s="869" t="str">
        <f>Assy.Model!K90</f>
        <v>CPS-32193r1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8.1270000000000007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8.1359999999999992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8.1449999999999996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8.1539999999999999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8.1630000000000003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8.1720000000000006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8.1809999999999992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9.1120000000000001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9.1180000000000003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9.125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9.1340000000000003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9.1430000000000007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9.1519999999999992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9.1609999999999996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9.17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9.1790000000000003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9.2249999999999996</v>
      </c>
      <c r="N262" s="869" t="str">
        <f>Assy.Model!K107</f>
        <v>CPS-32193r1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9.234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9.2430000000000003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9.2520000000000007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9.2609999999999992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9.27</v>
      </c>
      <c r="N267" s="869">
        <f>Assy.Model!K112</f>
        <v>1313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2023-03-28T18:59:00Z</dcterms:modified>
</cp:coreProperties>
</file>