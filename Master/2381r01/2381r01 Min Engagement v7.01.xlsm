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381\"/>
    </mc:Choice>
  </mc:AlternateContent>
  <xr:revisionPtr revIDLastSave="0" documentId="13_ncr:1_{CC8B3C94-CA1C-44E1-8347-5A70CC8E4CD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KG14" i="1" l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V24" i="4"/>
  <c r="AV23" i="4"/>
  <c r="AV22" i="4"/>
  <c r="AV18" i="4"/>
  <c r="AV19" i="4"/>
  <c r="AV20" i="4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X227" i="1"/>
  <c r="K72" i="1" s="1"/>
  <c r="A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X226" i="1"/>
  <c r="K71" i="1" s="1"/>
  <c r="A71" i="1" s="1"/>
  <c r="O226" i="1"/>
  <c r="J69" i="1"/>
  <c r="J70" i="1"/>
  <c r="O225" i="1"/>
  <c r="T225" i="1"/>
  <c r="G70" i="1" s="1"/>
  <c r="P225" i="1"/>
  <c r="X225" i="1"/>
  <c r="K70" i="1" s="1"/>
  <c r="A70" i="1" s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X224" i="1"/>
  <c r="K69" i="1" s="1"/>
  <c r="A69" i="1" s="1"/>
  <c r="Q223" i="1"/>
  <c r="T223" i="1"/>
  <c r="G68" i="1" s="1"/>
  <c r="P223" i="1"/>
  <c r="J68" i="1"/>
  <c r="S223" i="1"/>
  <c r="F68" i="1" s="1"/>
  <c r="O223" i="1"/>
  <c r="R223" i="1"/>
  <c r="E68" i="1" s="1"/>
  <c r="X223" i="1"/>
  <c r="U223" i="1" s="1"/>
  <c r="H68" i="1" s="1"/>
  <c r="V223" i="1"/>
  <c r="I68" i="1" s="1"/>
  <c r="Q222" i="1"/>
  <c r="P222" i="1"/>
  <c r="J67" i="1"/>
  <c r="X222" i="1"/>
  <c r="K67" i="1" s="1"/>
  <c r="A67" i="1" s="1"/>
  <c r="O222" i="1"/>
  <c r="V222" i="1"/>
  <c r="I67" i="1" s="1"/>
  <c r="R222" i="1"/>
  <c r="E67" i="1" s="1"/>
  <c r="S222" i="1"/>
  <c r="F67" i="1" s="1"/>
  <c r="T222" i="1"/>
  <c r="G67" i="1" s="1"/>
  <c r="X221" i="1"/>
  <c r="K66" i="1" s="1"/>
  <c r="A66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X220" i="1"/>
  <c r="K65" i="1" s="1"/>
  <c r="A65" i="1" s="1"/>
  <c r="O220" i="1"/>
  <c r="S220" i="1"/>
  <c r="F65" i="1" s="1"/>
  <c r="Q218" i="1"/>
  <c r="T219" i="1"/>
  <c r="G64" i="1" s="1"/>
  <c r="S219" i="1"/>
  <c r="F64" i="1" s="1"/>
  <c r="X219" i="1"/>
  <c r="U219" i="1" s="1"/>
  <c r="H64" i="1" s="1"/>
  <c r="R219" i="1"/>
  <c r="E64" i="1" s="1"/>
  <c r="V219" i="1"/>
  <c r="I64" i="1" s="1"/>
  <c r="P219" i="1"/>
  <c r="Q219" i="1"/>
  <c r="O219" i="1"/>
  <c r="J64" i="1"/>
  <c r="O218" i="1"/>
  <c r="X218" i="1"/>
  <c r="K63" i="1" s="1"/>
  <c r="A63" i="1" s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X217" i="1"/>
  <c r="K62" i="1" s="1"/>
  <c r="A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X211" i="1"/>
  <c r="X187" i="1"/>
  <c r="X171" i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X210" i="1"/>
  <c r="X202" i="1"/>
  <c r="X194" i="1"/>
  <c r="X186" i="1"/>
  <c r="X178" i="1"/>
  <c r="X170" i="1"/>
  <c r="X192" i="1"/>
  <c r="X191" i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X209" i="1"/>
  <c r="X201" i="1"/>
  <c r="X193" i="1"/>
  <c r="X185" i="1"/>
  <c r="X177" i="1"/>
  <c r="X169" i="1"/>
  <c r="X176" i="1"/>
  <c r="X199" i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X216" i="1"/>
  <c r="X208" i="1"/>
  <c r="X200" i="1"/>
  <c r="X184" i="1"/>
  <c r="X168" i="1"/>
  <c r="X175" i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X215" i="1"/>
  <c r="X207" i="1"/>
  <c r="X183" i="1"/>
  <c r="X167" i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X214" i="1"/>
  <c r="X206" i="1"/>
  <c r="X198" i="1"/>
  <c r="X190" i="1"/>
  <c r="X182" i="1"/>
  <c r="X174" i="1"/>
  <c r="X166" i="1"/>
  <c r="X179" i="1"/>
  <c r="X203" i="1"/>
  <c r="T169" i="1"/>
  <c r="G14" i="1" s="1"/>
  <c r="R175" i="1"/>
  <c r="E20" i="1" s="1"/>
  <c r="S180" i="1"/>
  <c r="F25" i="1" s="1"/>
  <c r="R191" i="1"/>
  <c r="E36" i="1" s="1"/>
  <c r="S212" i="1"/>
  <c r="F57" i="1" s="1"/>
  <c r="X172" i="1"/>
  <c r="X180" i="1"/>
  <c r="X188" i="1"/>
  <c r="X196" i="1"/>
  <c r="X204" i="1"/>
  <c r="X212" i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X195" i="1"/>
  <c r="T185" i="1"/>
  <c r="G30" i="1" s="1"/>
  <c r="X165" i="1"/>
  <c r="X173" i="1"/>
  <c r="X181" i="1"/>
  <c r="X189" i="1"/>
  <c r="X197" i="1"/>
  <c r="X205" i="1"/>
  <c r="X213" i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U258" i="1" l="1"/>
  <c r="H103" i="1" s="1"/>
  <c r="C92" i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U225" i="1"/>
  <c r="H70" i="1" s="1"/>
  <c r="U227" i="1"/>
  <c r="H72" i="1" s="1"/>
  <c r="U226" i="1"/>
  <c r="H71" i="1" s="1"/>
  <c r="U224" i="1"/>
  <c r="H69" i="1" s="1"/>
  <c r="U222" i="1"/>
  <c r="H67" i="1" s="1"/>
  <c r="K68" i="1"/>
  <c r="A68" i="1" s="1"/>
  <c r="D68" i="1" s="1"/>
  <c r="K64" i="1"/>
  <c r="A64" i="1" s="1"/>
  <c r="C64" i="1" s="1"/>
  <c r="U221" i="1"/>
  <c r="H66" i="1" s="1"/>
  <c r="U220" i="1"/>
  <c r="H65" i="1" s="1"/>
  <c r="U217" i="1"/>
  <c r="H62" i="1" s="1"/>
  <c r="U218" i="1"/>
  <c r="H63" i="1" s="1"/>
  <c r="U205" i="1"/>
  <c r="H50" i="1" s="1"/>
  <c r="K50" i="1"/>
  <c r="A50" i="1" s="1"/>
  <c r="C50" i="1" s="1"/>
  <c r="K61" i="1"/>
  <c r="A61" i="1" s="1"/>
  <c r="D61" i="1" s="1"/>
  <c r="U216" i="1"/>
  <c r="H61" i="1" s="1"/>
  <c r="U177" i="1"/>
  <c r="H22" i="1" s="1"/>
  <c r="K22" i="1"/>
  <c r="A22" i="1" s="1"/>
  <c r="B22" i="1" s="1"/>
  <c r="U197" i="1"/>
  <c r="H42" i="1" s="1"/>
  <c r="K42" i="1"/>
  <c r="A42" i="1" s="1"/>
  <c r="B42" i="1" s="1"/>
  <c r="U174" i="1"/>
  <c r="H19" i="1" s="1"/>
  <c r="K19" i="1"/>
  <c r="A19" i="1" s="1"/>
  <c r="D19" i="1" s="1"/>
  <c r="U185" i="1"/>
  <c r="H30" i="1" s="1"/>
  <c r="K30" i="1"/>
  <c r="A30" i="1" s="1"/>
  <c r="D30" i="1" s="1"/>
  <c r="U192" i="1"/>
  <c r="H37" i="1" s="1"/>
  <c r="K37" i="1"/>
  <c r="A37" i="1" s="1"/>
  <c r="C37" i="1" s="1"/>
  <c r="U193" i="1"/>
  <c r="H38" i="1" s="1"/>
  <c r="K38" i="1"/>
  <c r="A38" i="1" s="1"/>
  <c r="C38" i="1" s="1"/>
  <c r="K15" i="1"/>
  <c r="A15" i="1" s="1"/>
  <c r="B15" i="1" s="1"/>
  <c r="U170" i="1"/>
  <c r="H15" i="1" s="1"/>
  <c r="U181" i="1"/>
  <c r="H26" i="1" s="1"/>
  <c r="K26" i="1"/>
  <c r="A26" i="1" s="1"/>
  <c r="D26" i="1" s="1"/>
  <c r="K57" i="1"/>
  <c r="A57" i="1" s="1"/>
  <c r="D57" i="1" s="1"/>
  <c r="U212" i="1"/>
  <c r="H57" i="1" s="1"/>
  <c r="U190" i="1"/>
  <c r="H35" i="1" s="1"/>
  <c r="K35" i="1"/>
  <c r="A35" i="1" s="1"/>
  <c r="D35" i="1" s="1"/>
  <c r="U167" i="1"/>
  <c r="H12" i="1" s="1"/>
  <c r="K12" i="1"/>
  <c r="A12" i="1" s="1"/>
  <c r="D12" i="1" s="1"/>
  <c r="U175" i="1"/>
  <c r="H20" i="1" s="1"/>
  <c r="K20" i="1"/>
  <c r="A20" i="1" s="1"/>
  <c r="C20" i="1" s="1"/>
  <c r="U201" i="1"/>
  <c r="H46" i="1" s="1"/>
  <c r="K46" i="1"/>
  <c r="A46" i="1" s="1"/>
  <c r="C46" i="1" s="1"/>
  <c r="K23" i="1"/>
  <c r="A23" i="1" s="1"/>
  <c r="B23" i="1" s="1"/>
  <c r="U178" i="1"/>
  <c r="H23" i="1" s="1"/>
  <c r="K16" i="1"/>
  <c r="A16" i="1" s="1"/>
  <c r="D16" i="1" s="1"/>
  <c r="U171" i="1"/>
  <c r="H16" i="1" s="1"/>
  <c r="U191" i="1"/>
  <c r="H36" i="1" s="1"/>
  <c r="K36" i="1"/>
  <c r="A36" i="1" s="1"/>
  <c r="D36" i="1" s="1"/>
  <c r="U173" i="1"/>
  <c r="H18" i="1" s="1"/>
  <c r="K18" i="1"/>
  <c r="A18" i="1" s="1"/>
  <c r="D18" i="1" s="1"/>
  <c r="K49" i="1"/>
  <c r="A49" i="1" s="1"/>
  <c r="D49" i="1" s="1"/>
  <c r="U204" i="1"/>
  <c r="H49" i="1" s="1"/>
  <c r="U198" i="1"/>
  <c r="H43" i="1" s="1"/>
  <c r="K43" i="1"/>
  <c r="A43" i="1" s="1"/>
  <c r="C43" i="1" s="1"/>
  <c r="U183" i="1"/>
  <c r="H28" i="1" s="1"/>
  <c r="K28" i="1"/>
  <c r="A28" i="1" s="1"/>
  <c r="B28" i="1" s="1"/>
  <c r="U168" i="1"/>
  <c r="H13" i="1" s="1"/>
  <c r="K13" i="1"/>
  <c r="A13" i="1" s="1"/>
  <c r="C13" i="1" s="1"/>
  <c r="K54" i="1"/>
  <c r="A54" i="1" s="1"/>
  <c r="C54" i="1" s="1"/>
  <c r="U209" i="1"/>
  <c r="H54" i="1" s="1"/>
  <c r="K31" i="1"/>
  <c r="A31" i="1" s="1"/>
  <c r="B31" i="1" s="1"/>
  <c r="U186" i="1"/>
  <c r="H31" i="1" s="1"/>
  <c r="K32" i="1"/>
  <c r="A32" i="1" s="1"/>
  <c r="B32" i="1" s="1"/>
  <c r="U187" i="1"/>
  <c r="H32" i="1" s="1"/>
  <c r="U189" i="1"/>
  <c r="H34" i="1" s="1"/>
  <c r="K34" i="1"/>
  <c r="A34" i="1" s="1"/>
  <c r="C34" i="1" s="1"/>
  <c r="U182" i="1"/>
  <c r="H27" i="1" s="1"/>
  <c r="K27" i="1"/>
  <c r="A27" i="1" s="1"/>
  <c r="B27" i="1" s="1"/>
  <c r="U165" i="1"/>
  <c r="H10" i="1" s="1"/>
  <c r="K10" i="1"/>
  <c r="A10" i="1" s="1"/>
  <c r="B10" i="1" s="1"/>
  <c r="K41" i="1"/>
  <c r="A41" i="1" s="1"/>
  <c r="D41" i="1" s="1"/>
  <c r="U196" i="1"/>
  <c r="H41" i="1" s="1"/>
  <c r="U206" i="1"/>
  <c r="H51" i="1" s="1"/>
  <c r="K51" i="1"/>
  <c r="A51" i="1" s="1"/>
  <c r="B51" i="1" s="1"/>
  <c r="K52" i="1"/>
  <c r="A52" i="1" s="1"/>
  <c r="D52" i="1" s="1"/>
  <c r="U207" i="1"/>
  <c r="H52" i="1" s="1"/>
  <c r="U184" i="1"/>
  <c r="H29" i="1" s="1"/>
  <c r="K29" i="1"/>
  <c r="A29" i="1" s="1"/>
  <c r="B29" i="1" s="1"/>
  <c r="U199" i="1"/>
  <c r="H44" i="1" s="1"/>
  <c r="K44" i="1"/>
  <c r="A44" i="1" s="1"/>
  <c r="D44" i="1" s="1"/>
  <c r="K39" i="1"/>
  <c r="A39" i="1" s="1"/>
  <c r="B39" i="1" s="1"/>
  <c r="U194" i="1"/>
  <c r="H39" i="1" s="1"/>
  <c r="K56" i="1"/>
  <c r="A56" i="1" s="1"/>
  <c r="C56" i="1" s="1"/>
  <c r="U211" i="1"/>
  <c r="H56" i="1" s="1"/>
  <c r="U172" i="1"/>
  <c r="H17" i="1" s="1"/>
  <c r="K17" i="1"/>
  <c r="A17" i="1" s="1"/>
  <c r="D17" i="1" s="1"/>
  <c r="K33" i="1"/>
  <c r="A33" i="1" s="1"/>
  <c r="D33" i="1" s="1"/>
  <c r="U188" i="1"/>
  <c r="H33" i="1" s="1"/>
  <c r="K48" i="1"/>
  <c r="A48" i="1" s="1"/>
  <c r="D48" i="1" s="1"/>
  <c r="U203" i="1"/>
  <c r="H48" i="1" s="1"/>
  <c r="K59" i="1"/>
  <c r="A59" i="1" s="1"/>
  <c r="C59" i="1" s="1"/>
  <c r="U214" i="1"/>
  <c r="H59" i="1" s="1"/>
  <c r="U215" i="1"/>
  <c r="H60" i="1" s="1"/>
  <c r="K60" i="1"/>
  <c r="A60" i="1" s="1"/>
  <c r="C60" i="1" s="1"/>
  <c r="U200" i="1"/>
  <c r="H45" i="1" s="1"/>
  <c r="K45" i="1"/>
  <c r="A45" i="1" s="1"/>
  <c r="B45" i="1" s="1"/>
  <c r="U176" i="1"/>
  <c r="H21" i="1" s="1"/>
  <c r="K21" i="1"/>
  <c r="A21" i="1" s="1"/>
  <c r="B21" i="1" s="1"/>
  <c r="K47" i="1"/>
  <c r="A47" i="1" s="1"/>
  <c r="B47" i="1" s="1"/>
  <c r="U202" i="1"/>
  <c r="H47" i="1" s="1"/>
  <c r="U166" i="1"/>
  <c r="H11" i="1" s="1"/>
  <c r="K11" i="1"/>
  <c r="A11" i="1" s="1"/>
  <c r="B11" i="1" s="1"/>
  <c r="K58" i="1"/>
  <c r="A58" i="1" s="1"/>
  <c r="D58" i="1" s="1"/>
  <c r="U213" i="1"/>
  <c r="H58" i="1" s="1"/>
  <c r="K40" i="1"/>
  <c r="A40" i="1" s="1"/>
  <c r="B40" i="1" s="1"/>
  <c r="U195" i="1"/>
  <c r="H40" i="1" s="1"/>
  <c r="U180" i="1"/>
  <c r="H25" i="1" s="1"/>
  <c r="K25" i="1"/>
  <c r="A25" i="1" s="1"/>
  <c r="D25" i="1" s="1"/>
  <c r="K24" i="1"/>
  <c r="A24" i="1" s="1"/>
  <c r="B24" i="1" s="1"/>
  <c r="U179" i="1"/>
  <c r="H24" i="1" s="1"/>
  <c r="U208" i="1"/>
  <c r="H53" i="1" s="1"/>
  <c r="K53" i="1"/>
  <c r="A53" i="1" s="1"/>
  <c r="D53" i="1" s="1"/>
  <c r="U169" i="1"/>
  <c r="H14" i="1" s="1"/>
  <c r="K14" i="1"/>
  <c r="A14" i="1" s="1"/>
  <c r="B14" i="1" s="1"/>
  <c r="K55" i="1"/>
  <c r="A55" i="1" s="1"/>
  <c r="B55" i="1" s="1"/>
  <c r="U210" i="1"/>
  <c r="H55" i="1" s="1"/>
  <c r="V164" i="1"/>
  <c r="I9" i="1" s="1"/>
  <c r="T164" i="1"/>
  <c r="G9" i="1" s="1"/>
  <c r="X164" i="1"/>
  <c r="S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U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D9" i="1" l="1"/>
  <c r="C9" i="1"/>
  <c r="AQ34" i="4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Z10" i="1" l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JS9" i="1" l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L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AD150" i="1" l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G146" i="1" s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JC9" i="1" s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T63" i="1"/>
  <c r="IP36" i="1"/>
  <c r="GQ147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IW136" i="1"/>
  <c r="IG136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IW140" i="1" l="1"/>
  <c r="IG140" i="1" s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C23" i="1" s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25" i="1" a="1"/>
  <c r="JD25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IS140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S139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S126" i="1" l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S31" i="1"/>
  <c r="IS89" i="1"/>
  <c r="IX99" i="1"/>
  <c r="IS108" i="1"/>
  <c r="AQ121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IS40" i="1"/>
  <c r="V93" i="1"/>
  <c r="IX93" i="1"/>
  <c r="IS16" i="1"/>
  <c r="IS21" i="1"/>
  <c r="AQ9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JO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JO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JO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AD108" i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R130" i="1" l="1"/>
  <c r="IR137" i="1"/>
  <c r="IR139" i="1"/>
  <c r="IR138" i="1"/>
  <c r="IR140" i="1"/>
  <c r="AG118" i="1"/>
  <c r="IR126" i="1"/>
  <c r="IR125" i="1"/>
  <c r="IR120" i="1"/>
  <c r="IR119" i="1"/>
  <c r="IR107" i="1"/>
  <c r="AG102" i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JT52" i="1" l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AK150" i="1" l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9" i="1" a="1"/>
  <c r="KC9" i="1" s="1"/>
  <c r="KE9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IN139" i="1" s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IN142" i="1" s="1"/>
  <c r="W110" i="1"/>
  <c r="W127" i="1"/>
  <c r="W97" i="1"/>
  <c r="W112" i="1"/>
  <c r="W103" i="1"/>
  <c r="W101" i="1"/>
  <c r="W123" i="1"/>
  <c r="W120" i="1"/>
  <c r="W129" i="1"/>
  <c r="IN140" i="1" s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IN141" i="1" s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25" i="1" l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IV140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IV139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8" i="1" l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76" i="1"/>
  <c r="IV75" i="1"/>
  <c r="IZ49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IV21" i="1"/>
  <c r="JA18" i="1"/>
  <c r="IV27" i="1"/>
  <c r="JA22" i="1"/>
  <c r="JA33" i="1"/>
  <c r="IV40" i="1"/>
  <c r="JA54" i="1"/>
  <c r="IV26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IU139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IU140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IU109" i="1" l="1"/>
  <c r="IV58" i="1"/>
  <c r="IV68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1" i="1"/>
  <c r="JV52" i="1"/>
  <c r="JV49" i="1"/>
  <c r="JV50" i="1"/>
  <c r="JV47" i="1"/>
  <c r="JV48" i="1"/>
  <c r="JV45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JV42" i="1"/>
  <c r="JV35" i="1"/>
  <c r="JV30" i="1"/>
  <c r="JV24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JV43" i="1" s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JV31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JV26" i="1" s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34" i="1" l="1"/>
  <c r="JV41" i="1"/>
  <c r="JV40" i="1"/>
  <c r="JV36" i="1"/>
  <c r="JW51" i="1"/>
  <c r="JW53" i="1"/>
  <c r="JW52" i="1"/>
  <c r="JV29" i="1"/>
  <c r="JW50" i="1"/>
  <c r="JV28" i="1"/>
  <c r="JV27" i="1"/>
  <c r="JW48" i="1"/>
  <c r="JW49" i="1"/>
  <c r="JW47" i="1"/>
  <c r="JW46" i="1"/>
  <c r="JV25" i="1"/>
  <c r="KC19" i="1" s="1" a="1"/>
  <c r="KC19" i="1" s="1"/>
  <c r="KE19" i="1" s="1"/>
  <c r="JW42" i="1"/>
  <c r="JV39" i="1"/>
  <c r="JV38" i="1"/>
  <c r="JV37" i="1"/>
  <c r="JW37" i="1"/>
  <c r="JW39" i="1"/>
  <c r="JW38" i="1"/>
  <c r="JV32" i="1"/>
  <c r="JV33" i="1"/>
  <c r="JV23" i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20" i="1" l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T138" i="1" l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AT139" i="1" l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AT140" i="1" l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AT141" i="1" l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AT142" i="1" l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AT143" i="1" l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AT144" i="1" l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AT145" i="1" l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AT146" i="1" l="1"/>
  <c r="AS147" i="1"/>
  <c r="HN150" i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  <c r="AT147" i="1" l="1"/>
  <c r="AS148" i="1"/>
  <c r="AT148" i="1" l="1"/>
  <c r="AS149" i="1"/>
  <c r="AT149" i="1" l="1"/>
  <c r="AS150" i="1"/>
  <c r="AT15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<sst xmlns="http://schemas.openxmlformats.org/spreadsheetml/2006/main" count="893" uniqueCount="407">
  <si>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</si>
  <si>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</si>
  <si>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</si>
  <si>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</si>
  <si>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</si>
  <si>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</si>
  <si>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</si>
  <si>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</si>
  <si>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</si>
  <si>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</si>
  <si>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</si>
  <si>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</si>
  <si>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</si>
  <si>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</si>
  <si>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</si>
  <si>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</si>
  <si>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</si>
  <si>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</si>
  <si>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</si>
  <si>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</si>
  <si>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</si>
  <si>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</si>
  <si>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</si>
  <si>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</si>
  <si>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</si>
  <si>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</si>
  <si>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</si>
  <si>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</si>
  <si>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</si>
  <si>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</si>
  <si>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</si>
  <si>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</si>
  <si>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</si>
  <si>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</si>
  <si>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</si>
  <si>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</si>
  <si>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</si>
  <si>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</si>
  <si>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</si>
  <si>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</si>
  <si>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</si>
  <si>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</si>
  <si>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</si>
  <si>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</si>
  <si>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</si>
  <si>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</si>
  <si>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</si>
  <si>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</si>
  <si>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</si>
  <si>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</si>
  <si>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</si>
  <si>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</si>
  <si>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</si>
  <si>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</si>
  <si>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</si>
  <si>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</si>
  <si>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</si>
  <si>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</si>
  <si>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</si>
  <si>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</si>
  <si>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</si>
  <si>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</si>
  <si>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</si>
  <si>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</si>
  <si>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</si>
  <si>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</si>
  <si>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</si>
  <si>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</si>
  <si>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</si>
  <si>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</si>
  <si>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</si>
  <si>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</si>
  <si>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</si>
  <si>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</si>
  <si>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</si>
  <si>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</si>
  <si>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</si>
  <si>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</si>
  <si>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</si>
  <si>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</si>
  <si>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</si>
  <si>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</si>
  <si>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</si>
  <si>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</si>
  <si>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</si>
  <si>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</si>
  <si>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</si>
  <si>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</si>
  <si>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</si>
  <si>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</si>
  <si>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</si>
  <si>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</si>
  <si>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</si>
  <si>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</si>
  <si>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</si>
  <si>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</si>
  <si>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</si>
  <si>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</si>
  <si>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</si>
  <si>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</si>
  <si>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</si>
  <si>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</si>
  <si>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</si>
  <si>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</si>
  <si>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</si>
  <si>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</si>
  <si>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</si>
  <si>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</si>
  <si>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</si>
  <si>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</si>
  <si>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</si>
  <si>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</si>
  <si>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</si>
  <si>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</si>
  <si>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</si>
  <si>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</si>
  <si>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</si>
  <si>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</si>
  <si>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</si>
  <si>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</si>
  <si>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</si>
  <si>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</si>
  <si>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</si>
  <si>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</si>
  <si>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</si>
  <si>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</si>
  <si>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</si>
  <si>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</si>
  <si>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</si>
  <si>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</si>
  <si>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</si>
  <si>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</si>
  <si>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</si>
  <si>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</si>
  <si>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</si>
  <si>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</si>
  <si>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</si>
  <si>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</si>
  <si>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</si>
  <si>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</si>
  <si>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</si>
  <si>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</si>
  <si>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</si>
  <si>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</si>
  <si>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</si>
  <si>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</si>
  <si>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</si>
  <si>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</si>
  <si>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</si>
  <si>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</si>
  <si>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</si>
  <si>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</si>
  <si>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</si>
  <si>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</si>
  <si>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</si>
  <si>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</si>
  <si>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</si>
  <si>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</si>
  <si>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</si>
  <si>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</si>
  <si>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</si>
  <si>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</si>
  <si>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</si>
  <si>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</si>
  <si>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</si>
  <si>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</si>
  <si>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</si>
  <si>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</si>
  <si>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</si>
  <si>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</si>
  <si>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</si>
  <si>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</si>
  <si>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</si>
  <si>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</si>
  <si>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</si>
  <si>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</si>
  <si>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</si>
  <si>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</si>
  <si>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</si>
  <si>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</si>
  <si>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</si>
  <si>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</si>
  <si>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</si>
  <si>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</si>
  <si>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</si>
  <si>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</si>
  <si>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</si>
  <si>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</si>
  <si>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</si>
  <si>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</si>
  <si>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</si>
  <si>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</si>
  <si>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</si>
  <si>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</si>
  <si>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</si>
  <si>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</si>
  <si>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</si>
  <si>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</si>
  <si>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</si>
  <si>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</si>
  <si>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</si>
  <si>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</si>
  <si>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</si>
  <si>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</si>
  <si>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</si>
  <si>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</si>
  <si>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</si>
  <si>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</si>
  <si>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</si>
  <si>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</si>
  <si>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</si>
  <si>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</si>
  <si>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</si>
  <si>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</si>
  <si>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</si>
  <si>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</si>
  <si>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</si>
  <si>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</si>
  <si>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</si>
  <si>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</si>
  <si>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</si>
  <si>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</si>
  <si>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</si>
  <si>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</si>
  <si>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</si>
  <si>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</si>
  <si>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</si>
  <si>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</si>
  <si>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</si>
  <si>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</si>
  <si>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</si>
  <si>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</si>
  <si>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</si>
  <si>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</si>
  <si>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</si>
  <si>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</si>
  <si>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</si>
  <si>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</si>
  <si>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</si>
  <si>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</si>
  <si>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</si>
  <si>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</si>
  <si>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</si>
  <si>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</si>
  <si>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</si>
  <si>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</si>
  <si>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</si>
  <si>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</si>
  <si>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</si>
  <si>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</si>
  <si>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</si>
  <si>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</si>
  <si>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</si>
  <si>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</si>
  <si>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</si>
  <si>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</si>
  <si>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</si>
  <si>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</si>
  <si>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</si>
  <si>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</si>
  <si>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</si>
  <si>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</si>
  <si>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</si>
  <si>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</si>
  <si>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</si>
  <si>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</si>
  <si>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</si>
  <si>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</si>
  <si>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</si>
  <si>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</si>
  <si>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</si>
  <si>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</si>
  <si>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</si>
  <si>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</si>
  <si>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</si>
  <si>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</si>
  <si>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</si>
  <si>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</si>
  <si>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</si>
  <si>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</si>
  <si>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</si>
  <si>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</si>
  <si>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</si>
  <si>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</si>
  <si>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</si>
  <si>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</si>
  <si>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</si>
  <si>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</si>
  <si>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</si>
  <si>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</si>
  <si>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</si>
  <si>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</si>
  <si>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</si>
  <si>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</si>
  <si>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</si>
  <si>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</si>
  <si>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</si>
  <si>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</si>
  <si>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</si>
  <si>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</si>
  <si>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</si>
  <si>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</si>
  <si>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</si>
  <si>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</si>
  <si>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</si>
  <si>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</si>
  <si>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</si>
  <si>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</si>
  <si>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</si>
  <si>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</si>
  <si>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</si>
  <si>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</si>
  <si>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</si>
  <si>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</si>
  <si>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</si>
  <si>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</si>
  <si>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</si>
  <si>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</si>
  <si>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</si>
  <si>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</si>
  <si>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</si>
  <si>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</si>
  <si>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</si>
  <si>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</si>
  <si>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</si>
  <si>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</si>
  <si>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</si>
  <si>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</si>
  <si>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</si>
  <si>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</si>
  <si>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</si>
  <si>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</si>
  <si>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</si>
  <si>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</si>
  <si>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</si>
  <si>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</si>
  <si>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</si>
  <si>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</si>
  <si>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</si>
  <si>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</si>
  <si>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</si>
  <si>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</si>
  <si>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</si>
  <si>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</si>
  <si>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</si>
  <si>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</si>
  <si>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</si>
  <si>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</si>
  <si>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</si>
  <si>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</si>
  <si>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</si>
  <si>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</si>
  <si>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</si>
  <si>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</si>
  <si>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</si>
  <si>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</si>
  <si>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</si>
  <si>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</si>
  <si>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</si>
  <si>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</si>
  <si>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</si>
  <si>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</si>
  <si>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</si>
  <si>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</si>
  <si>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</si>
  <si>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</si>
  <si>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</si>
  <si>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</si>
  <si>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</si>
  <si>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</si>
  <si>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</si>
  <si>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</si>
  <si>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</si>
  <si>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</si>
  <si>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</si>
  <si>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</si>
  <si>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</si>
  <si>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</si>
  <si>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</si>
  <si>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</si>
  <si>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</si>
  <si>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</si>
  <si>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</si>
  <si>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</si>
  <si>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</si>
  <si>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</si>
  <si>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</si>
  <si>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</si>
  <si>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</si>
  <si>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</si>
  <si>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</si>
  <si>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</si>
  <si>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</si>
  <si>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</si>
  <si>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</si>
  <si>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</si>
  <si>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</si>
  <si>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</si>
  <si>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</si>
  <si>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</si>
  <si>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</si>
  <si>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</si>
  <si>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</si>
  <si>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</si>
  <si>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</si>
  <si>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</si>
  <si>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2381r01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</si>
</sst>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15.098024578380654</c:v>
                </c:pt>
                <c:pt idx="14">
                  <c:v>15.151491570655372</c:v>
                </c:pt>
                <c:pt idx="15">
                  <c:v>15.252160186799903</c:v>
                </c:pt>
                <c:pt idx="16">
                  <c:v>15.41241049332935</c:v>
                </c:pt>
                <c:pt idx="17">
                  <c:v>15.600862287898511</c:v>
                </c:pt>
                <c:pt idx="18">
                  <c:v>15.834457330965062</c:v>
                </c:pt>
                <c:pt idx="19">
                  <c:v>16.07912436545309</c:v>
                </c:pt>
                <c:pt idx="20">
                  <c:v>16.356436486785629</c:v>
                </c:pt>
                <c:pt idx="21">
                  <c:v>17.786042677281433</c:v>
                </c:pt>
                <c:pt idx="22">
                  <c:v>18.852069700586139</c:v>
                </c:pt>
                <c:pt idx="23">
                  <c:v>20.088606753210993</c:v>
                </c:pt>
                <c:pt idx="24">
                  <c:v>21.633392008567984</c:v>
                </c:pt>
                <c:pt idx="25">
                  <c:v>23.041207571844211</c:v>
                </c:pt>
                <c:pt idx="26">
                  <c:v>24.365718769810297</c:v>
                </c:pt>
                <c:pt idx="27">
                  <c:v>25.111526849616769</c:v>
                </c:pt>
                <c:pt idx="28">
                  <c:v>26.265836594910407</c:v>
                </c:pt>
                <c:pt idx="29">
                  <c:v>27.651596064594465</c:v>
                </c:pt>
                <c:pt idx="30">
                  <c:v>28.657466219085411</c:v>
                </c:pt>
                <c:pt idx="31">
                  <c:v>29.286436162878591</c:v>
                </c:pt>
                <c:pt idx="32">
                  <c:v>30.266563107162494</c:v>
                </c:pt>
                <c:pt idx="33">
                  <c:v>30.971385084362502</c:v>
                </c:pt>
                <c:pt idx="34">
                  <c:v>32.726536985590904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B29" sqref="B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80" t="s">
        <v>77</v>
      </c>
      <c r="D1" s="980"/>
      <c r="E1" s="980"/>
      <c r="F1" s="980"/>
      <c r="G1" s="980"/>
      <c r="H1" s="980"/>
      <c r="I1" s="980"/>
      <c r="J1" s="980"/>
      <c r="K1" s="980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5" t="s">
        <v>80</v>
      </c>
      <c r="B6" s="1005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2" t="s">
        <v>370</v>
      </c>
      <c r="AQ7" s="1002"/>
      <c r="AR7" s="1002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5">
        <v>9</v>
      </c>
      <c r="D9" s="999"/>
      <c r="E9" s="999"/>
      <c r="F9" s="999"/>
      <c r="G9" s="999"/>
      <c r="H9" s="999"/>
      <c r="I9" s="999"/>
      <c r="J9" s="999"/>
      <c r="K9" s="996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17"/>
      <c r="C10" s="1018"/>
      <c r="D10" s="1018"/>
      <c r="E10" s="1018"/>
      <c r="F10" s="1018"/>
      <c r="G10" s="1018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3"/>
      <c r="B11" s="1006" t="s">
        <v>33</v>
      </c>
      <c r="C11" s="1011" t="s">
        <v>34</v>
      </c>
      <c r="D11" s="1011"/>
      <c r="E11" s="1010" t="s">
        <v>39</v>
      </c>
      <c r="F11" s="1006" t="s">
        <v>35</v>
      </c>
      <c r="G11" s="1006" t="s">
        <v>36</v>
      </c>
      <c r="H11" s="1006" t="s">
        <v>43</v>
      </c>
      <c r="I11" s="997" t="s">
        <v>67</v>
      </c>
      <c r="J11" s="1011" t="s">
        <v>56</v>
      </c>
      <c r="K11" s="1011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20" t="s">
        <v>338</v>
      </c>
      <c r="AN11" s="999"/>
      <c r="AO11" s="999"/>
      <c r="AP11" s="999"/>
      <c r="AQ11" s="999"/>
      <c r="AR11" s="1021"/>
      <c r="AS11" s="1028" t="s">
        <v>345</v>
      </c>
      <c r="AT11" s="1029"/>
      <c r="AU11" s="1029"/>
      <c r="AV11" s="1030"/>
      <c r="BC11" s="419"/>
    </row>
    <row r="12" spans="1:55" ht="15.75" thickBot="1" x14ac:dyDescent="0.3">
      <c r="A12" s="1012"/>
      <c r="B12" s="1007"/>
      <c r="C12" s="48" t="s">
        <v>8</v>
      </c>
      <c r="D12" s="49" t="s">
        <v>10</v>
      </c>
      <c r="E12" s="1007"/>
      <c r="F12" s="1007"/>
      <c r="G12" s="1007"/>
      <c r="H12" s="1007"/>
      <c r="I12" s="998"/>
      <c r="J12" s="52" t="s">
        <v>8</v>
      </c>
      <c r="K12" s="53" t="s">
        <v>10</v>
      </c>
      <c r="M12" s="31"/>
      <c r="N12" s="31"/>
      <c r="O12" s="989" t="s">
        <v>46</v>
      </c>
      <c r="P12" s="990"/>
      <c r="Q12" s="1008" t="s">
        <v>45</v>
      </c>
      <c r="R12" s="1009"/>
      <c r="S12" s="1009"/>
      <c r="T12" s="1009"/>
      <c r="U12" s="1009"/>
      <c r="V12" s="1009"/>
      <c r="W12" s="1009"/>
      <c r="X12" s="1009"/>
      <c r="Y12" s="1009"/>
      <c r="Z12" s="1009"/>
      <c r="AA12" s="1009"/>
      <c r="AB12" s="1009"/>
      <c r="AC12" s="1009"/>
      <c r="AD12" s="1009"/>
      <c r="AE12" s="995"/>
      <c r="AF12" s="983" t="s">
        <v>56</v>
      </c>
      <c r="AG12" s="984"/>
      <c r="AH12" s="31"/>
      <c r="AK12" s="1003" t="s">
        <v>346</v>
      </c>
      <c r="AL12" s="1019"/>
      <c r="AM12" s="1022" t="s">
        <v>343</v>
      </c>
      <c r="AN12" s="1023"/>
      <c r="AO12" s="1004"/>
      <c r="AP12" s="1003" t="s">
        <v>371</v>
      </c>
      <c r="AQ12" s="1004"/>
      <c r="AR12" s="743" t="s">
        <v>369</v>
      </c>
      <c r="AS12" s="1025" t="s">
        <v>343</v>
      </c>
      <c r="AT12" s="1004"/>
      <c r="AU12" s="1026" t="s">
        <v>344</v>
      </c>
      <c r="AV12" s="1027"/>
      <c r="AW12" s="1031" t="s">
        <v>342</v>
      </c>
      <c r="AX12" s="1032"/>
      <c r="AZ12" s="1003" t="s">
        <v>60</v>
      </c>
      <c r="BA12" s="1004"/>
      <c r="BC12" s="1024" t="s">
        <v>374</v>
      </c>
    </row>
    <row r="13" spans="1:55" ht="15.75" thickBot="1" x14ac:dyDescent="0.3">
      <c r="A13" s="63" t="s">
        <v>57</v>
      </c>
      <c r="B13" s="1013" t="s">
        <v>97</v>
      </c>
      <c r="C13" s="1015" t="str">
        <f>SUBSTITUTE(ADDRESS(1,COLUMN(Assy.Model!X9),4),"1","")</f>
        <v>X</v>
      </c>
      <c r="D13" s="97" t="str">
        <f>SUBSTITUTE(ADDRESS(1,COLUMN(Assy.Model!Y9),4),"1","")</f>
        <v>Y</v>
      </c>
      <c r="E13" s="1000" t="str">
        <f>SUBSTITUTE(ADDRESS(1,COLUMN(Assy.Model!H9),4),"1","")</f>
        <v>H</v>
      </c>
      <c r="F13" s="1000" t="str">
        <f>SUBSTITUTE(ADDRESS(1,COLUMN(Assy.Model!AN9),4),"1","")</f>
        <v>AN</v>
      </c>
      <c r="G13" s="1000" t="str">
        <f>SUBSTITUTE(ADDRESS(1,COLUMN(Assy.Model!AO9),4),"1","")</f>
        <v>AO</v>
      </c>
      <c r="H13" s="1000" t="str">
        <f>SUBSTITUTE(ADDRESS(1,COLUMN(Assy.Model!AO9),4),"1","")</f>
        <v>AO</v>
      </c>
      <c r="I13" s="1000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91"/>
      <c r="P13" s="992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24"/>
    </row>
    <row r="14" spans="1:55" x14ac:dyDescent="0.25">
      <c r="A14" s="61" t="s">
        <v>58</v>
      </c>
      <c r="B14" s="1014"/>
      <c r="C14" s="1016"/>
      <c r="D14" s="98" t="str">
        <f>SUBSTITUTE(ADDRESS(1,COLUMN(Assy.Model!AT9),4),"1","")</f>
        <v>AT</v>
      </c>
      <c r="E14" s="1001"/>
      <c r="F14" s="1001"/>
      <c r="G14" s="1001"/>
      <c r="H14" s="1001"/>
      <c r="I14" s="1001"/>
      <c r="J14" s="87">
        <v>0</v>
      </c>
      <c r="K14" s="88">
        <v>0</v>
      </c>
      <c r="L14" s="31"/>
      <c r="M14" s="185">
        <v>6.25E-2</v>
      </c>
      <c r="N14" s="31">
        <v>32</v>
      </c>
      <c r="O14" s="987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87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87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87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87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17.5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87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88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95" t="s">
        <v>64</v>
      </c>
      <c r="C21" s="999"/>
      <c r="D21" s="999"/>
      <c r="E21" s="999"/>
      <c r="F21" s="996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93"/>
      <c r="C22" s="995" t="s">
        <v>63</v>
      </c>
      <c r="D22" s="996"/>
      <c r="E22" s="997" t="s">
        <v>60</v>
      </c>
      <c r="F22" s="997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994"/>
      <c r="C23" s="56" t="s">
        <v>8</v>
      </c>
      <c r="D23" s="56" t="s">
        <v>9</v>
      </c>
      <c r="E23" s="998"/>
      <c r="F23" s="998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985">
        <v>0</v>
      </c>
      <c r="E24" s="985">
        <v>2</v>
      </c>
      <c r="F24" s="985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8.75</v>
      </c>
      <c r="D25" s="986"/>
      <c r="E25" s="986"/>
      <c r="F25" s="986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81" t="s">
        <v>302</v>
      </c>
      <c r="C27" s="981"/>
      <c r="D27" s="981"/>
      <c r="E27" s="981"/>
      <c r="F27" s="981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82" t="s">
        <v>406</v>
      </c>
      <c r="C28" s="982"/>
      <c r="D28" s="982"/>
      <c r="E28" s="982"/>
      <c r="F28" s="982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99" t="s">
        <v>95</v>
      </c>
      <c r="D3" s="999"/>
      <c r="E3" s="999"/>
      <c r="F3" s="999"/>
      <c r="G3" s="999"/>
      <c r="H3" s="999"/>
      <c r="I3" s="999"/>
      <c r="J3" s="999"/>
      <c r="K3" s="1021"/>
      <c r="L3" s="1079"/>
      <c r="M3" s="999"/>
      <c r="N3" s="999"/>
      <c r="O3" s="999"/>
      <c r="P3" s="999"/>
      <c r="Q3" s="999"/>
      <c r="R3" s="996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1" t="s">
        <v>86</v>
      </c>
      <c r="C4" s="1062" t="s">
        <v>82</v>
      </c>
      <c r="D4" s="999" t="s">
        <v>83</v>
      </c>
      <c r="E4" s="999"/>
      <c r="F4" s="999"/>
      <c r="G4" s="999"/>
      <c r="H4" s="999"/>
      <c r="I4" s="999"/>
      <c r="J4" s="999"/>
      <c r="K4" s="999"/>
      <c r="L4" s="146" t="s">
        <v>91</v>
      </c>
      <c r="M4" s="995" t="s">
        <v>94</v>
      </c>
      <c r="N4" s="999"/>
      <c r="O4" s="999"/>
      <c r="P4" s="1021"/>
      <c r="Q4" s="999" t="s">
        <v>52</v>
      </c>
      <c r="R4" s="996"/>
      <c r="S4" s="103"/>
      <c r="T4" s="995">
        <v>350</v>
      </c>
      <c r="U4" s="999"/>
      <c r="V4" s="999" t="s">
        <v>76</v>
      </c>
      <c r="W4" s="99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2"/>
      <c r="C5" s="1063"/>
      <c r="D5" s="1047" t="s">
        <v>85</v>
      </c>
      <c r="E5" s="1065" t="s">
        <v>89</v>
      </c>
      <c r="F5" s="1011" t="s">
        <v>34</v>
      </c>
      <c r="G5" s="1011"/>
      <c r="H5" s="1010" t="s">
        <v>39</v>
      </c>
      <c r="I5" s="1006" t="s">
        <v>35</v>
      </c>
      <c r="J5" s="1006" t="s">
        <v>36</v>
      </c>
      <c r="K5" s="1073" t="s">
        <v>67</v>
      </c>
      <c r="L5" s="147" t="s">
        <v>92</v>
      </c>
      <c r="M5" s="997" t="s">
        <v>90</v>
      </c>
      <c r="N5" s="997" t="s">
        <v>47</v>
      </c>
      <c r="O5" s="1075" t="s">
        <v>84</v>
      </c>
      <c r="P5" s="1076"/>
      <c r="Q5" s="1077" t="s">
        <v>84</v>
      </c>
      <c r="R5" s="1078"/>
      <c r="S5" s="103"/>
      <c r="T5" s="989" t="s">
        <v>46</v>
      </c>
      <c r="U5" s="1080"/>
      <c r="V5" s="1032" t="s">
        <v>45</v>
      </c>
      <c r="W5" s="984"/>
      <c r="X5" s="984"/>
      <c r="Y5" s="984"/>
      <c r="Z5" s="984"/>
      <c r="AA5" s="984"/>
      <c r="AB5" s="984"/>
      <c r="AC5" s="984"/>
      <c r="AD5" s="984"/>
      <c r="AE5" s="984"/>
      <c r="AF5" s="984"/>
      <c r="AG5" s="984"/>
      <c r="AH5" s="984"/>
      <c r="AI5" s="984"/>
      <c r="AJ5" s="984"/>
      <c r="AK5" s="31"/>
      <c r="AL5" s="31"/>
    </row>
    <row r="6" spans="2:38" ht="15" customHeight="1" thickBot="1" x14ac:dyDescent="0.3">
      <c r="B6" s="1043"/>
      <c r="C6" s="1064"/>
      <c r="D6" s="1048"/>
      <c r="E6" s="1066"/>
      <c r="F6" s="104" t="s">
        <v>8</v>
      </c>
      <c r="G6" s="105" t="s">
        <v>10</v>
      </c>
      <c r="H6" s="1061"/>
      <c r="I6" s="1061"/>
      <c r="J6" s="1061"/>
      <c r="K6" s="1074"/>
      <c r="L6" s="148" t="s">
        <v>93</v>
      </c>
      <c r="M6" s="1072"/>
      <c r="N6" s="1072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74"/>
      <c r="U6" s="108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49">
        <f>ROW(Assy.Model!B9)</f>
        <v>9</v>
      </c>
      <c r="D7" s="1038" t="str">
        <f>SUBSTITUTE(ADDRESS(1,COLUMN(Assy.Model!B9),4),"1","")</f>
        <v>B</v>
      </c>
      <c r="E7" s="1052" t="str">
        <f>SUBSTITUTE(ADDRESS(1,COLUMN(Assy.Model!M9),4),"1","")</f>
        <v>M</v>
      </c>
      <c r="F7" s="1055" t="str">
        <f>SUBSTITUTE(ADDRESS(1,COLUMN(Assy.Model!X9),4),"1","")</f>
        <v>X</v>
      </c>
      <c r="G7" s="1044" t="str">
        <f>SUBSTITUTE(ADDRESS(1,COLUMN(Assy.Model!AT9),4),"1","")</f>
        <v>AT</v>
      </c>
      <c r="H7" s="1058" t="str">
        <f>SUBSTITUTE(ADDRESS(1,COLUMN(Assy.Model!H9),4),"1","")</f>
        <v>H</v>
      </c>
      <c r="I7" s="1058" t="str">
        <f>SUBSTITUTE(ADDRESS(1,COLUMN(Assy.Model!AN9),4),"1","")</f>
        <v>AN</v>
      </c>
      <c r="J7" s="1058" t="str">
        <f>SUBSTITUTE(ADDRESS(1,COLUMN(Assy.Model!AO9),4),"1","")</f>
        <v>AO</v>
      </c>
      <c r="K7" s="1067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5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3" t="s">
        <v>81</v>
      </c>
      <c r="C8" s="1050"/>
      <c r="D8" s="1039"/>
      <c r="E8" s="1053"/>
      <c r="F8" s="1056"/>
      <c r="G8" s="1045"/>
      <c r="H8" s="1059"/>
      <c r="I8" s="1059"/>
      <c r="J8" s="1059"/>
      <c r="K8" s="1068"/>
      <c r="L8" s="149" t="s">
        <v>93</v>
      </c>
      <c r="M8" s="1070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36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3"/>
      <c r="C9" s="1050"/>
      <c r="D9" s="1039"/>
      <c r="E9" s="1053"/>
      <c r="F9" s="1056"/>
      <c r="G9" s="1045"/>
      <c r="H9" s="1059"/>
      <c r="I9" s="1059"/>
      <c r="J9" s="1059"/>
      <c r="K9" s="1068"/>
      <c r="L9" s="149" t="s">
        <v>92</v>
      </c>
      <c r="M9" s="1070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36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3"/>
      <c r="C10" s="1050"/>
      <c r="D10" s="1039"/>
      <c r="E10" s="1053"/>
      <c r="F10" s="1056"/>
      <c r="G10" s="1045"/>
      <c r="H10" s="1059"/>
      <c r="I10" s="1059"/>
      <c r="J10" s="1059"/>
      <c r="K10" s="1068"/>
      <c r="L10" s="149" t="s">
        <v>92</v>
      </c>
      <c r="M10" s="1070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36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3"/>
      <c r="C11" s="1050"/>
      <c r="D11" s="1039"/>
      <c r="E11" s="1053"/>
      <c r="F11" s="1056"/>
      <c r="G11" s="1045"/>
      <c r="H11" s="1059"/>
      <c r="I11" s="1059"/>
      <c r="J11" s="1059"/>
      <c r="K11" s="1068"/>
      <c r="L11" s="149" t="s">
        <v>92</v>
      </c>
      <c r="M11" s="1070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36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3"/>
      <c r="C12" s="1050"/>
      <c r="D12" s="1039"/>
      <c r="E12" s="1053"/>
      <c r="F12" s="1056"/>
      <c r="G12" s="1045"/>
      <c r="H12" s="1059"/>
      <c r="I12" s="1059"/>
      <c r="J12" s="1059"/>
      <c r="K12" s="1068"/>
      <c r="L12" s="149" t="s">
        <v>92</v>
      </c>
      <c r="M12" s="1070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36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3"/>
      <c r="C13" s="1050"/>
      <c r="D13" s="1039"/>
      <c r="E13" s="1053"/>
      <c r="F13" s="1056"/>
      <c r="G13" s="1045"/>
      <c r="H13" s="1059"/>
      <c r="I13" s="1059"/>
      <c r="J13" s="1059"/>
      <c r="K13" s="1068"/>
      <c r="L13" s="149" t="s">
        <v>92</v>
      </c>
      <c r="M13" s="1070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36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4"/>
      <c r="C14" s="1051"/>
      <c r="D14" s="1040"/>
      <c r="E14" s="1054"/>
      <c r="F14" s="1057"/>
      <c r="G14" s="1046"/>
      <c r="H14" s="1060"/>
      <c r="I14" s="1060"/>
      <c r="J14" s="1060"/>
      <c r="K14" s="1069"/>
      <c r="L14" s="150" t="s">
        <v>93</v>
      </c>
      <c r="M14" s="1071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37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135" t="str">
        <f>CONCATENATE(Settings!$C$19," ",Settings!$B$28)</f>
        <v>17.5 2381r01</v>
      </c>
      <c r="D1" s="1135"/>
      <c r="E1" s="1135"/>
      <c r="F1" s="1135"/>
      <c r="G1" s="1135"/>
      <c r="H1" s="1135"/>
      <c r="I1" s="1135"/>
      <c r="J1" s="1135"/>
      <c r="K1" s="1135"/>
      <c r="L1" s="709"/>
      <c r="M1" s="958">
        <f>IFERROR(LARGE(M9:M150,1),"Null")</f>
        <v>6.2709999999999999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147" t="s">
        <v>306</v>
      </c>
      <c r="C2" s="1148"/>
      <c r="D2" s="1148"/>
      <c r="E2" s="1148"/>
      <c r="F2" s="1148"/>
      <c r="G2" s="1148"/>
      <c r="H2" s="1148"/>
      <c r="I2" s="1148"/>
      <c r="J2" s="1148"/>
      <c r="K2" s="1149"/>
      <c r="L2" s="1098" t="str" cm="1">
        <f t="array" ref="L2">IF(OR($K$9:$K$150="Undefined"),"Undefined Element","")</f>
        <v/>
      </c>
      <c r="M2" s="1155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113" t="s">
        <v>0</v>
      </c>
      <c r="AW2" s="1115" t="s">
        <v>109</v>
      </c>
      <c r="AX2" s="1116"/>
      <c r="AY2" s="1116"/>
      <c r="AZ2" s="1116"/>
      <c r="BA2" s="1116"/>
      <c r="BB2" s="1116"/>
      <c r="BC2" s="1116"/>
      <c r="BD2" s="1116"/>
      <c r="BE2" s="1185"/>
      <c r="BF2" s="1191" t="s">
        <v>115</v>
      </c>
      <c r="BG2" s="1116"/>
      <c r="BH2" s="1116"/>
      <c r="BI2" s="1116"/>
      <c r="BJ2" s="1116"/>
      <c r="BK2" s="1116"/>
      <c r="BL2" s="1116"/>
      <c r="BM2" s="1116"/>
      <c r="BN2" s="1116"/>
      <c r="BO2" s="1116"/>
      <c r="BP2" s="1116"/>
      <c r="BQ2" s="1116"/>
      <c r="BR2" s="1116"/>
      <c r="BS2" s="1116"/>
      <c r="BT2" s="1116"/>
      <c r="BU2" s="1116"/>
      <c r="BV2" s="1116"/>
      <c r="BW2" s="1116"/>
      <c r="BX2" s="1116"/>
      <c r="BY2" s="1116"/>
      <c r="BZ2" s="1116"/>
      <c r="CA2" s="1116"/>
      <c r="CB2" s="1116"/>
      <c r="CC2" s="1116"/>
      <c r="CD2" s="1116"/>
      <c r="CE2" s="1116"/>
      <c r="CF2" s="1116"/>
      <c r="CG2" s="1116"/>
      <c r="CH2" s="1116"/>
      <c r="CI2" s="1116"/>
      <c r="CJ2" s="1116"/>
      <c r="CK2" s="1116"/>
      <c r="CL2" s="1116"/>
      <c r="CM2" s="1116"/>
      <c r="CN2" s="1116"/>
      <c r="CO2" s="1116"/>
      <c r="CP2" s="1116"/>
      <c r="CQ2" s="1116"/>
      <c r="CR2" s="1116"/>
      <c r="CS2" s="1116"/>
      <c r="CT2" s="1116"/>
      <c r="CU2" s="1116"/>
      <c r="CV2" s="1116"/>
      <c r="CW2" s="1116"/>
      <c r="CX2" s="1116"/>
      <c r="CY2" s="1116"/>
      <c r="CZ2" s="1116"/>
      <c r="DA2" s="1116"/>
      <c r="DB2" s="1116"/>
      <c r="DC2" s="1116"/>
      <c r="DD2" s="1116"/>
      <c r="DE2" s="1116"/>
      <c r="DF2" s="1116"/>
      <c r="DG2" s="1116"/>
      <c r="DH2" s="1116"/>
      <c r="DI2" s="1116"/>
      <c r="DJ2" s="1116"/>
      <c r="DK2" s="1116"/>
      <c r="DL2" s="1116"/>
      <c r="DM2" s="1116"/>
      <c r="DN2" s="1116"/>
      <c r="DO2" s="1116"/>
      <c r="DP2" s="1116"/>
      <c r="DQ2" s="1116"/>
      <c r="DR2" s="1116"/>
      <c r="DS2" s="1116"/>
      <c r="DT2" s="1116"/>
      <c r="DU2" s="1116"/>
      <c r="DV2" s="1116"/>
      <c r="DW2" s="1116"/>
      <c r="DX2" s="1116"/>
      <c r="DY2" s="1116"/>
      <c r="DZ2" s="1116"/>
      <c r="EA2" s="1116"/>
      <c r="EB2" s="1116"/>
      <c r="EC2" s="1116"/>
      <c r="ED2" s="1116"/>
      <c r="EE2" s="1116"/>
      <c r="EF2" s="1116"/>
      <c r="EG2" s="1116"/>
      <c r="EH2" s="1116"/>
      <c r="EI2" s="1116"/>
      <c r="EJ2" s="1116"/>
      <c r="EK2" s="1116"/>
      <c r="EL2" s="1116"/>
      <c r="EM2" s="1116"/>
      <c r="EN2" s="1116"/>
      <c r="EO2" s="1116"/>
      <c r="EP2" s="1116"/>
      <c r="EQ2" s="1116"/>
      <c r="ER2" s="1117"/>
      <c r="ES2" s="1378" t="s">
        <v>196</v>
      </c>
      <c r="ET2" s="1379"/>
      <c r="EU2" s="1379"/>
      <c r="EV2" s="1379"/>
      <c r="EW2" s="1379"/>
      <c r="EX2" s="1379"/>
      <c r="EY2" s="1379"/>
      <c r="EZ2" s="1379"/>
      <c r="FA2" s="1379"/>
      <c r="FB2" s="1379"/>
      <c r="FC2" s="1379"/>
      <c r="FD2" s="1379"/>
      <c r="FE2" s="1379"/>
      <c r="FF2" s="138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53" t="str">
        <f>IFERROR(CONCATENATE("Sum of Lateral Forces = ",ROUND(HE3,0)," lbs @ ",ROUND(HF3,1),"° Relative to Blade 1"),"")</f>
        <v/>
      </c>
      <c r="HX2" s="1353"/>
      <c r="HY2" s="1353"/>
      <c r="HZ2" s="1353"/>
      <c r="IA2" s="1353"/>
      <c r="IB2" s="1353"/>
      <c r="IC2" s="1353"/>
      <c r="ID2" s="1353"/>
      <c r="IE2" s="1353"/>
      <c r="IF2" s="860"/>
      <c r="IN2" s="31"/>
      <c r="IO2" s="323"/>
      <c r="JC2" s="82"/>
      <c r="JD2" s="82"/>
      <c r="JE2" s="82"/>
    </row>
    <row r="3" spans="1:296" ht="15" customHeight="1" x14ac:dyDescent="0.25">
      <c r="B3" s="1150"/>
      <c r="C3" s="1111"/>
      <c r="D3" s="1111"/>
      <c r="E3" s="1111"/>
      <c r="F3" s="1111"/>
      <c r="G3" s="1111"/>
      <c r="H3" s="1111"/>
      <c r="I3" s="1111"/>
      <c r="J3" s="1111"/>
      <c r="K3" s="1151"/>
      <c r="L3" s="1098"/>
      <c r="M3" s="1150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118"/>
      <c r="AA3" s="1119"/>
      <c r="AB3" s="1119"/>
      <c r="AC3" s="1119"/>
      <c r="AD3" s="1119"/>
      <c r="AE3" s="1119"/>
      <c r="AF3" s="1119"/>
      <c r="AG3" s="1119"/>
      <c r="AH3" s="1119"/>
      <c r="AI3" s="1119"/>
      <c r="AJ3" s="1119"/>
      <c r="AK3" s="1119"/>
      <c r="AL3" s="1119"/>
      <c r="AM3" s="1119"/>
      <c r="AN3" s="1119"/>
      <c r="AO3" s="1119"/>
      <c r="AP3" s="1119"/>
      <c r="AQ3" s="1186"/>
      <c r="AS3" s="415">
        <v>100</v>
      </c>
      <c r="AT3" s="412" t="s">
        <v>45</v>
      </c>
      <c r="AV3" s="1114"/>
      <c r="AW3" s="1207"/>
      <c r="AX3" s="1193"/>
      <c r="AY3" s="1193"/>
      <c r="AZ3" s="1193"/>
      <c r="BA3" s="1193"/>
      <c r="BB3" s="1193"/>
      <c r="BC3" s="1193"/>
      <c r="BD3" s="1193"/>
      <c r="BE3" s="1208"/>
      <c r="BF3" s="1192"/>
      <c r="BG3" s="1193"/>
      <c r="BH3" s="1193"/>
      <c r="BI3" s="1193"/>
      <c r="BJ3" s="1193"/>
      <c r="BK3" s="1193"/>
      <c r="BL3" s="1193"/>
      <c r="BM3" s="1193"/>
      <c r="BN3" s="1193"/>
      <c r="BO3" s="1193"/>
      <c r="BP3" s="1193"/>
      <c r="BQ3" s="1193"/>
      <c r="BR3" s="1193"/>
      <c r="BS3" s="1193"/>
      <c r="BT3" s="1193"/>
      <c r="BU3" s="1193"/>
      <c r="BV3" s="1193"/>
      <c r="BW3" s="1193"/>
      <c r="BX3" s="1193"/>
      <c r="BY3" s="1193"/>
      <c r="BZ3" s="1193"/>
      <c r="CA3" s="1193"/>
      <c r="CB3" s="1193"/>
      <c r="CC3" s="1193"/>
      <c r="CD3" s="1193"/>
      <c r="CE3" s="1193"/>
      <c r="CF3" s="1193"/>
      <c r="CG3" s="1193"/>
      <c r="CH3" s="1193"/>
      <c r="CI3" s="1193"/>
      <c r="CJ3" s="1193"/>
      <c r="CK3" s="1193"/>
      <c r="CL3" s="1193"/>
      <c r="CM3" s="1193"/>
      <c r="CN3" s="1193"/>
      <c r="CO3" s="1193"/>
      <c r="CP3" s="1193"/>
      <c r="CQ3" s="1193"/>
      <c r="CR3" s="1193"/>
      <c r="CS3" s="1193"/>
      <c r="CT3" s="1193"/>
      <c r="CU3" s="1193"/>
      <c r="CV3" s="1193"/>
      <c r="CW3" s="1193"/>
      <c r="CX3" s="1193"/>
      <c r="CY3" s="1193"/>
      <c r="CZ3" s="1193"/>
      <c r="DA3" s="1193"/>
      <c r="DB3" s="1193"/>
      <c r="DC3" s="1193"/>
      <c r="DD3" s="1193"/>
      <c r="DE3" s="1193"/>
      <c r="DF3" s="1193"/>
      <c r="DG3" s="1193"/>
      <c r="DH3" s="1193"/>
      <c r="DI3" s="1193"/>
      <c r="DJ3" s="1193"/>
      <c r="DK3" s="1193"/>
      <c r="DL3" s="1193"/>
      <c r="DM3" s="1193"/>
      <c r="DN3" s="1193"/>
      <c r="DO3" s="1193"/>
      <c r="DP3" s="1193"/>
      <c r="DQ3" s="1193"/>
      <c r="DR3" s="1193"/>
      <c r="DS3" s="1193"/>
      <c r="DT3" s="1193"/>
      <c r="DU3" s="1193"/>
      <c r="DV3" s="1193"/>
      <c r="DW3" s="1193"/>
      <c r="DX3" s="1193"/>
      <c r="DY3" s="1193"/>
      <c r="DZ3" s="1193"/>
      <c r="EA3" s="1193"/>
      <c r="EB3" s="1193"/>
      <c r="EC3" s="1193"/>
      <c r="ED3" s="1193"/>
      <c r="EE3" s="1193"/>
      <c r="EF3" s="1193"/>
      <c r="EG3" s="1193"/>
      <c r="EH3" s="1193"/>
      <c r="EI3" s="1193"/>
      <c r="EJ3" s="1193"/>
      <c r="EK3" s="1193"/>
      <c r="EL3" s="1193"/>
      <c r="EM3" s="1193"/>
      <c r="EN3" s="1193"/>
      <c r="EO3" s="1193"/>
      <c r="EP3" s="1193"/>
      <c r="EQ3" s="1193"/>
      <c r="ER3" s="1194"/>
      <c r="ES3" s="1207"/>
      <c r="ET3" s="1193"/>
      <c r="EU3" s="1193"/>
      <c r="EV3" s="1193"/>
      <c r="EW3" s="1193"/>
      <c r="EX3" s="1193"/>
      <c r="EY3" s="1193"/>
      <c r="EZ3" s="1193"/>
      <c r="FA3" s="1193"/>
      <c r="FB3" s="1193"/>
      <c r="FC3" s="1193"/>
      <c r="FD3" s="1193"/>
      <c r="FE3" s="1193"/>
      <c r="FF3" s="1194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152"/>
      <c r="C4" s="1153"/>
      <c r="D4" s="1153"/>
      <c r="E4" s="1153"/>
      <c r="F4" s="1153"/>
      <c r="G4" s="1153"/>
      <c r="H4" s="1153"/>
      <c r="I4" s="1153"/>
      <c r="J4" s="1153"/>
      <c r="K4" s="1154"/>
      <c r="L4" s="1098"/>
      <c r="M4" s="1150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$Q$4</f>
        <v>Polar XY; Cartesian Z</v>
      </c>
      <c r="X4" s="1139"/>
      <c r="Y4" s="1140"/>
      <c r="Z4" s="1159" t="s">
        <v>3</v>
      </c>
      <c r="AA4" s="1107"/>
      <c r="AB4" s="1107"/>
      <c r="AC4" s="1107"/>
      <c r="AD4" s="1107"/>
      <c r="AE4" s="1107"/>
      <c r="AF4" s="1107"/>
      <c r="AG4" s="1106" t="s">
        <v>31</v>
      </c>
      <c r="AH4" s="1107"/>
      <c r="AI4" s="1107"/>
      <c r="AJ4" s="1109"/>
      <c r="AK4" s="1187" t="s">
        <v>32</v>
      </c>
      <c r="AL4" s="1188"/>
      <c r="AM4" s="1188"/>
      <c r="AN4" s="1188"/>
      <c r="AO4" s="1188"/>
      <c r="AP4" s="1188"/>
      <c r="AQ4" s="1189"/>
      <c r="AS4" s="416">
        <v>125</v>
      </c>
      <c r="AT4" s="413" t="s">
        <v>46</v>
      </c>
      <c r="AV4" s="1114"/>
      <c r="AW4" s="1218" t="s">
        <v>112</v>
      </c>
      <c r="AX4" s="1200"/>
      <c r="AY4" s="990"/>
      <c r="AZ4" s="1204"/>
      <c r="BA4" s="1205"/>
      <c r="BB4" s="1209" t="s">
        <v>113</v>
      </c>
      <c r="BC4" s="1139" t="str">
        <f>$Q$4</f>
        <v>Polar XY; Cartesian Z</v>
      </c>
      <c r="BD4" s="1139"/>
      <c r="BE4" s="1212"/>
      <c r="BF4" s="1222" t="s">
        <v>129</v>
      </c>
      <c r="BG4" s="1223"/>
      <c r="BH4" s="1223"/>
      <c r="BI4" s="1223"/>
      <c r="BJ4" s="1223"/>
      <c r="BK4" s="1223"/>
      <c r="BL4" s="1223"/>
      <c r="BM4" s="1223"/>
      <c r="BN4" s="1223"/>
      <c r="BO4" s="1223"/>
      <c r="BP4" s="1223"/>
      <c r="BQ4" s="1223"/>
      <c r="BR4" s="1223"/>
      <c r="BS4" s="1223"/>
      <c r="BT4" s="1223"/>
      <c r="BU4" s="1223"/>
      <c r="BV4" s="1223"/>
      <c r="BW4" s="1223"/>
      <c r="BX4" s="1223"/>
      <c r="BY4" s="1223"/>
      <c r="BZ4" s="1223"/>
      <c r="CA4" s="1223"/>
      <c r="CB4" s="1223"/>
      <c r="CC4" s="1223"/>
      <c r="CD4" s="1223"/>
      <c r="CE4" s="1223"/>
      <c r="CF4" s="1223"/>
      <c r="CG4" s="1223"/>
      <c r="CH4" s="1223"/>
      <c r="CI4" s="1223"/>
      <c r="CJ4" s="1223"/>
      <c r="CK4" s="1223"/>
      <c r="CL4" s="1223"/>
      <c r="CM4" s="1223"/>
      <c r="CN4" s="1224"/>
      <c r="CO4" s="1195" t="s">
        <v>192</v>
      </c>
      <c r="CP4" s="1196"/>
      <c r="CQ4" s="1196"/>
      <c r="CR4" s="1196"/>
      <c r="CS4" s="1196"/>
      <c r="CT4" s="1196"/>
      <c r="CU4" s="1196"/>
      <c r="CV4" s="1196"/>
      <c r="CW4" s="1196"/>
      <c r="CX4" s="1196"/>
      <c r="CY4" s="1196"/>
      <c r="CZ4" s="1196"/>
      <c r="DA4" s="1197"/>
      <c r="DB4" s="1375" t="s">
        <v>389</v>
      </c>
      <c r="DC4" s="1376"/>
      <c r="DD4" s="1376"/>
      <c r="DE4" s="1376"/>
      <c r="DF4" s="1376"/>
      <c r="DG4" s="1376"/>
      <c r="DH4" s="1376"/>
      <c r="DI4" s="1376"/>
      <c r="DJ4" s="1376"/>
      <c r="DK4" s="1376"/>
      <c r="DL4" s="1376"/>
      <c r="DM4" s="1376"/>
      <c r="DN4" s="1376"/>
      <c r="DO4" s="1376"/>
      <c r="DP4" s="1376"/>
      <c r="DQ4" s="1376"/>
      <c r="DR4" s="1376"/>
      <c r="DS4" s="1376"/>
      <c r="DT4" s="1376"/>
      <c r="DU4" s="1376"/>
      <c r="DV4" s="1376"/>
      <c r="DW4" s="1376"/>
      <c r="DX4" s="1376"/>
      <c r="DY4" s="1376"/>
      <c r="DZ4" s="1376"/>
      <c r="EA4" s="1376"/>
      <c r="EB4" s="1376"/>
      <c r="EC4" s="1376"/>
      <c r="ED4" s="1376"/>
      <c r="EE4" s="1376"/>
      <c r="EF4" s="1376"/>
      <c r="EG4" s="1376"/>
      <c r="EH4" s="1376"/>
      <c r="EI4" s="1376"/>
      <c r="EJ4" s="1376"/>
      <c r="EK4" s="1376"/>
      <c r="EL4" s="1376"/>
      <c r="EM4" s="1376"/>
      <c r="EN4" s="1376"/>
      <c r="EO4" s="1376"/>
      <c r="EP4" s="1376"/>
      <c r="EQ4" s="1376"/>
      <c r="ER4" s="1377"/>
      <c r="ES4" s="1262" t="s">
        <v>195</v>
      </c>
      <c r="ET4" s="1263"/>
      <c r="EU4" s="1263"/>
      <c r="EV4" s="1263"/>
      <c r="EW4" s="1263"/>
      <c r="EX4" s="1263"/>
      <c r="EY4" s="1264"/>
      <c r="EZ4" s="1288" t="s">
        <v>200</v>
      </c>
      <c r="FA4" s="1289"/>
      <c r="FB4" s="1289"/>
      <c r="FC4" s="1289"/>
      <c r="FD4" s="1289"/>
      <c r="FE4" s="1289"/>
      <c r="FF4" s="1290"/>
      <c r="FG4" s="325"/>
      <c r="FP4" s="1335" t="s">
        <v>228</v>
      </c>
      <c r="FZ4" s="1335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8" t="s">
        <v>235</v>
      </c>
      <c r="GK4" s="1009"/>
      <c r="GL4" s="1009"/>
      <c r="GM4" s="1009"/>
      <c r="GN4" s="1315"/>
      <c r="GO4" s="1317" t="s">
        <v>228</v>
      </c>
      <c r="GP4" s="1321" t="s">
        <v>227</v>
      </c>
      <c r="GR4" s="1326" t="s">
        <v>257</v>
      </c>
      <c r="GS4" s="1079" t="s">
        <v>255</v>
      </c>
      <c r="GT4" s="999"/>
      <c r="GU4" s="999"/>
      <c r="GV4" s="999"/>
      <c r="GW4" s="999"/>
      <c r="GX4" s="999"/>
      <c r="GY4" s="999"/>
      <c r="GZ4" s="999"/>
      <c r="HA4" s="1278" t="str">
        <f>IFERROR(CONCATENATE("Lateral Forces = ",ROUND(HE3,0)," lbs @ ",ROUND(HF3,1),"° Relative to Blade 1"),"")</f>
        <v/>
      </c>
      <c r="HB4" s="1279"/>
      <c r="HC4" s="1279"/>
      <c r="HD4" s="1279"/>
      <c r="HE4" s="1279"/>
      <c r="HF4" s="1279"/>
      <c r="HG4" s="1279"/>
      <c r="HH4" s="1280"/>
      <c r="HI4" s="1283" t="s">
        <v>0</v>
      </c>
      <c r="HV4" s="861"/>
      <c r="HW4" s="1354" t="e">
        <f>CONCATENATE("Yeield Strength of Rock = ",IF(HW6&gt;1000,(ROUNDDOWN(HW6,-3)/1000),""), IF(HW6&gt;1000,",",""),RIGHT(HW6,3)," psi (Tangential Force)")</f>
        <v>#DIV/0!</v>
      </c>
      <c r="HX4" s="1354"/>
      <c r="HY4" s="1354"/>
      <c r="HZ4" s="1354"/>
      <c r="IA4" s="1354"/>
      <c r="IB4" s="1354"/>
      <c r="IC4" s="1354"/>
      <c r="ID4" s="1354"/>
      <c r="IE4" s="1354"/>
      <c r="IF4" s="858"/>
      <c r="IG4" s="1005" t="s">
        <v>372</v>
      </c>
      <c r="IH4" s="1005"/>
      <c r="II4" s="710" cm="1">
        <f t="array" ref="II4">MAX(MOD(IF($II$9:$II$150="",0,($II$9:$II$150*1000)),100))</f>
        <v>79</v>
      </c>
      <c r="IN4" s="31"/>
      <c r="IO4" s="710"/>
    </row>
    <row r="5" spans="1:296" ht="15" customHeight="1" thickBot="1" x14ac:dyDescent="0.3">
      <c r="A5" s="139">
        <v>0.02</v>
      </c>
      <c r="B5" s="1141" t="str">
        <f>CONCATENATE(B7," ; ",E7," ; ",H7)</f>
        <v>Absolute-Point ; Incremental-Vector Point ; Pocket Info.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150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about Z Axis")</f>
        <v>Relative to 1.116's θ about Z Axis</v>
      </c>
      <c r="U5" s="1104"/>
      <c r="V5" s="1179"/>
      <c r="W5" s="1104" t="str">
        <f>CONCATENATE("Relative to ",M8,"'s θ about Z Axis")</f>
        <v>Relative to 1.116's θ about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0.25</v>
      </c>
      <c r="AT5" s="413" t="s">
        <v>47</v>
      </c>
      <c r="AV5" s="1114"/>
      <c r="AW5" s="1219"/>
      <c r="AX5" s="1220"/>
      <c r="AY5" s="1221"/>
      <c r="AZ5" s="1206"/>
      <c r="BA5" s="980"/>
      <c r="BB5" s="1210"/>
      <c r="BC5" s="1215" t="str">
        <f>$W$5</f>
        <v>Relative to 1.116's θ about Z Axis</v>
      </c>
      <c r="BD5" s="1104"/>
      <c r="BE5" s="1105"/>
      <c r="BF5" s="1079" t="s">
        <v>128</v>
      </c>
      <c r="BG5" s="999"/>
      <c r="BH5" s="999"/>
      <c r="BI5" s="999"/>
      <c r="BJ5" s="999"/>
      <c r="BK5" s="999"/>
      <c r="BL5" s="999"/>
      <c r="BM5" s="999"/>
      <c r="BN5" s="999"/>
      <c r="BO5" s="999"/>
      <c r="BP5" s="999"/>
      <c r="BQ5" s="999"/>
      <c r="BR5" s="1021"/>
      <c r="BS5" s="1079" t="s">
        <v>130</v>
      </c>
      <c r="BT5" s="999"/>
      <c r="BU5" s="999"/>
      <c r="BV5" s="999"/>
      <c r="BW5" s="999"/>
      <c r="BX5" s="999"/>
      <c r="BY5" s="999"/>
      <c r="BZ5" s="999"/>
      <c r="CA5" s="999"/>
      <c r="CB5" s="999"/>
      <c r="CC5" s="999"/>
      <c r="CD5" s="999"/>
      <c r="CE5" s="1021"/>
      <c r="CF5" s="1079" t="s">
        <v>138</v>
      </c>
      <c r="CG5" s="999"/>
      <c r="CH5" s="1021"/>
      <c r="CI5" s="1079" t="s">
        <v>139</v>
      </c>
      <c r="CJ5" s="999"/>
      <c r="CK5" s="999"/>
      <c r="CL5" s="999"/>
      <c r="CM5" s="999"/>
      <c r="CN5" s="1021"/>
      <c r="CO5" s="1198" t="s">
        <v>266</v>
      </c>
      <c r="CP5" s="1198" t="s">
        <v>149</v>
      </c>
      <c r="CQ5" s="1200"/>
      <c r="CR5" s="1200"/>
      <c r="CS5" s="1080"/>
      <c r="CT5" s="1200" t="s">
        <v>150</v>
      </c>
      <c r="CU5" s="990"/>
      <c r="CV5" s="1079" t="s">
        <v>161</v>
      </c>
      <c r="CW5" s="999"/>
      <c r="CX5" s="999"/>
      <c r="CY5" s="999"/>
      <c r="CZ5" s="999"/>
      <c r="DA5" s="1021"/>
      <c r="DB5" s="1079" t="s">
        <v>162</v>
      </c>
      <c r="DC5" s="999"/>
      <c r="DD5" s="999"/>
      <c r="DE5" s="999"/>
      <c r="DF5" s="999"/>
      <c r="DG5" s="999"/>
      <c r="DH5" s="1021"/>
      <c r="DI5" s="1234" t="s">
        <v>172</v>
      </c>
      <c r="DJ5" s="1234"/>
      <c r="DK5" s="1235"/>
      <c r="DL5" s="1359" t="s">
        <v>173</v>
      </c>
      <c r="DM5" s="1234"/>
      <c r="DN5" s="1360"/>
      <c r="DO5" s="1238" t="s">
        <v>174</v>
      </c>
      <c r="DP5" s="1239"/>
      <c r="DQ5" s="1239"/>
      <c r="DR5" s="1180" t="s">
        <v>186</v>
      </c>
      <c r="DS5" s="1180"/>
      <c r="DT5" s="1180"/>
      <c r="DU5" s="1180"/>
      <c r="DV5" s="1180"/>
      <c r="DW5" s="1180"/>
      <c r="DX5" s="1198" t="s">
        <v>189</v>
      </c>
      <c r="DY5" s="1041" t="s">
        <v>149</v>
      </c>
      <c r="DZ5" s="1180"/>
      <c r="EA5" s="1180"/>
      <c r="EB5" s="1180"/>
      <c r="EC5" s="1180" t="s">
        <v>150</v>
      </c>
      <c r="ED5" s="1180"/>
      <c r="EE5" s="1326" t="s">
        <v>193</v>
      </c>
      <c r="EF5" s="1326"/>
      <c r="EG5" s="1304"/>
      <c r="EH5" s="1363" t="s">
        <v>194</v>
      </c>
      <c r="EI5" s="1364"/>
      <c r="EJ5" s="1365"/>
      <c r="EK5" s="1180" t="s">
        <v>187</v>
      </c>
      <c r="EL5" s="1198"/>
      <c r="EM5" s="1079" t="s">
        <v>188</v>
      </c>
      <c r="EN5" s="999"/>
      <c r="EO5" s="999"/>
      <c r="EP5" s="999"/>
      <c r="EQ5" s="999"/>
      <c r="ER5" s="1226"/>
      <c r="ES5" s="1218" t="s">
        <v>201</v>
      </c>
      <c r="ET5" s="1200"/>
      <c r="EU5" s="1080"/>
      <c r="EV5" s="1265" t="s">
        <v>221</v>
      </c>
      <c r="EW5" s="1266"/>
      <c r="EX5" s="1266"/>
      <c r="EY5" s="1267"/>
      <c r="EZ5" s="1246" t="s">
        <v>199</v>
      </c>
      <c r="FA5" s="1075" t="s">
        <v>201</v>
      </c>
      <c r="FB5" s="1297"/>
      <c r="FC5" s="1076"/>
      <c r="FD5" s="1301" t="s">
        <v>221</v>
      </c>
      <c r="FE5" s="1302"/>
      <c r="FF5" s="1303"/>
      <c r="FJ5" s="31" t="s">
        <v>390</v>
      </c>
      <c r="FP5" s="1336"/>
      <c r="FQ5" s="31"/>
      <c r="FR5" s="31"/>
      <c r="FS5" s="31"/>
      <c r="FT5" s="31"/>
      <c r="FZ5" s="1336"/>
      <c r="GJ5" s="1313" t="s">
        <v>262</v>
      </c>
      <c r="GK5" s="1369" t="s">
        <v>260</v>
      </c>
      <c r="GL5" s="1371" t="s">
        <v>110</v>
      </c>
      <c r="GM5" s="1371" t="s">
        <v>111</v>
      </c>
      <c r="GN5" s="1372"/>
      <c r="GO5" s="1318"/>
      <c r="GP5" s="1322"/>
      <c r="GQ5" s="31"/>
      <c r="GR5" s="1098"/>
      <c r="GS5" s="1206" t="s">
        <v>244</v>
      </c>
      <c r="GT5" s="1332"/>
      <c r="GU5" s="1328" t="s">
        <v>245</v>
      </c>
      <c r="GV5" s="1329"/>
      <c r="GW5" s="1330"/>
      <c r="GX5" s="1331"/>
      <c r="GY5" s="1316" t="s">
        <v>107</v>
      </c>
      <c r="GZ5" s="982"/>
      <c r="HA5" s="1275" t="s">
        <v>244</v>
      </c>
      <c r="HB5" s="1276"/>
      <c r="HC5" s="1276"/>
      <c r="HD5" s="1277"/>
      <c r="HE5" s="1286" t="s">
        <v>245</v>
      </c>
      <c r="HF5" s="1276"/>
      <c r="HG5" s="1276"/>
      <c r="HH5" s="1287"/>
      <c r="HI5" s="1284"/>
      <c r="HM5" s="909"/>
      <c r="HS5" s="909"/>
      <c r="HT5" s="909"/>
      <c r="HU5" s="909"/>
      <c r="HV5" s="910"/>
      <c r="HW5" s="1272" t="s">
        <v>245</v>
      </c>
      <c r="HX5" s="1273"/>
      <c r="HY5" s="1271" t="s">
        <v>388</v>
      </c>
      <c r="HZ5" s="1272"/>
      <c r="IA5" s="1272"/>
      <c r="IB5" s="1273"/>
      <c r="IC5" s="1271" t="s">
        <v>254</v>
      </c>
      <c r="ID5" s="1272"/>
      <c r="IE5" s="1273"/>
      <c r="IF5" s="858"/>
    </row>
    <row r="6" spans="1:296" ht="15" customHeight="1" thickBot="1" x14ac:dyDescent="0.4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150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$Q$6</f>
        <v>Projected XY</v>
      </c>
      <c r="X6" s="1158"/>
      <c r="Y6" s="1129" t="str">
        <f>$S$6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82" t="str">
        <f>AD6</f>
        <v>Unit Vector</v>
      </c>
      <c r="AL6" s="1183"/>
      <c r="AM6" s="1184"/>
      <c r="AN6" s="34" t="s">
        <v>15</v>
      </c>
      <c r="AO6" s="35" t="s">
        <v>16</v>
      </c>
      <c r="AP6" s="680" t="s">
        <v>17</v>
      </c>
      <c r="AQ6" s="1121" t="s">
        <v>108</v>
      </c>
      <c r="AS6" s="168">
        <f>(AS5/360)</f>
        <v>6.9444444444444447E-4</v>
      </c>
      <c r="AT6" s="414" t="s">
        <v>48</v>
      </c>
      <c r="AV6" s="1114"/>
      <c r="AW6" s="1101" t="s">
        <v>105</v>
      </c>
      <c r="AX6" s="1102"/>
      <c r="AY6" s="188" t="s">
        <v>110</v>
      </c>
      <c r="AZ6" s="1216" t="s">
        <v>111</v>
      </c>
      <c r="BA6" s="1217"/>
      <c r="BB6" s="1211"/>
      <c r="BC6" s="1157" t="str">
        <f>$Q$6</f>
        <v>Projected XY</v>
      </c>
      <c r="BD6" s="1158"/>
      <c r="BE6" s="1213" t="str">
        <f>$S$6</f>
        <v>Z</v>
      </c>
      <c r="BF6" s="1025" t="s">
        <v>125</v>
      </c>
      <c r="BG6" s="1023"/>
      <c r="BH6" s="1225"/>
      <c r="BI6" s="1003" t="s">
        <v>126</v>
      </c>
      <c r="BJ6" s="1023"/>
      <c r="BK6" s="1004"/>
      <c r="BL6" s="1026" t="s">
        <v>127</v>
      </c>
      <c r="BM6" s="1023"/>
      <c r="BN6" s="1027"/>
      <c r="BO6" s="1025" t="s">
        <v>135</v>
      </c>
      <c r="BP6" s="1023"/>
      <c r="BQ6" s="1023"/>
      <c r="BR6" s="1027"/>
      <c r="BS6" s="1025" t="s">
        <v>125</v>
      </c>
      <c r="BT6" s="1023"/>
      <c r="BU6" s="1225"/>
      <c r="BV6" s="1003" t="s">
        <v>126</v>
      </c>
      <c r="BW6" s="1023"/>
      <c r="BX6" s="1004"/>
      <c r="BY6" s="1026" t="s">
        <v>127</v>
      </c>
      <c r="BZ6" s="1023"/>
      <c r="CA6" s="1027"/>
      <c r="CB6" s="1025" t="s">
        <v>135</v>
      </c>
      <c r="CC6" s="1023"/>
      <c r="CD6" s="1023"/>
      <c r="CE6" s="1027"/>
      <c r="CF6" s="1031" t="s">
        <v>136</v>
      </c>
      <c r="CG6" s="1203"/>
      <c r="CH6" s="1203"/>
      <c r="CI6" s="1229" t="s">
        <v>137</v>
      </c>
      <c r="CJ6" s="1203"/>
      <c r="CK6" s="1032"/>
      <c r="CL6" s="1227" t="s">
        <v>140</v>
      </c>
      <c r="CM6" s="1203"/>
      <c r="CN6" s="1228"/>
      <c r="CO6" s="1199"/>
      <c r="CP6" s="1199"/>
      <c r="CQ6" s="1095"/>
      <c r="CR6" s="1095"/>
      <c r="CS6" s="1201"/>
      <c r="CT6" s="1095"/>
      <c r="CU6" s="1202"/>
      <c r="CV6" s="1173" t="s">
        <v>147</v>
      </c>
      <c r="CW6" s="1023"/>
      <c r="CX6" s="1004"/>
      <c r="CY6" s="1253" t="s">
        <v>148</v>
      </c>
      <c r="CZ6" s="1254"/>
      <c r="DA6" s="1255"/>
      <c r="DB6" s="1230" t="s">
        <v>175</v>
      </c>
      <c r="DC6" s="1231"/>
      <c r="DD6" s="1232"/>
      <c r="DE6" s="1233" t="s">
        <v>176</v>
      </c>
      <c r="DF6" s="1231"/>
      <c r="DG6" s="1232"/>
      <c r="DH6" s="242" t="s">
        <v>29</v>
      </c>
      <c r="DI6" s="1236"/>
      <c r="DJ6" s="1236"/>
      <c r="DK6" s="1237"/>
      <c r="DL6" s="1361"/>
      <c r="DM6" s="1236"/>
      <c r="DN6" s="1362"/>
      <c r="DO6" s="1240"/>
      <c r="DP6" s="1241"/>
      <c r="DQ6" s="1241"/>
      <c r="DR6" s="1181"/>
      <c r="DS6" s="1181"/>
      <c r="DT6" s="1181"/>
      <c r="DU6" s="1181"/>
      <c r="DV6" s="1181"/>
      <c r="DW6" s="1181"/>
      <c r="DX6" s="1199"/>
      <c r="DY6" s="1337"/>
      <c r="DZ6" s="1181"/>
      <c r="EA6" s="1181"/>
      <c r="EB6" s="1181"/>
      <c r="EC6" s="1181"/>
      <c r="ED6" s="1181"/>
      <c r="EE6" s="1333"/>
      <c r="EF6" s="1333"/>
      <c r="EG6" s="1334"/>
      <c r="EH6" s="1366"/>
      <c r="EI6" s="1367"/>
      <c r="EJ6" s="1368"/>
      <c r="EK6" s="1181"/>
      <c r="EL6" s="1199"/>
      <c r="EM6" s="1292" t="s">
        <v>198</v>
      </c>
      <c r="EN6" s="1259"/>
      <c r="EO6" s="1358"/>
      <c r="EP6" s="1258" t="s">
        <v>197</v>
      </c>
      <c r="EQ6" s="1259"/>
      <c r="ER6" s="1260"/>
      <c r="ES6" s="1094"/>
      <c r="ET6" s="1095"/>
      <c r="EU6" s="1201"/>
      <c r="EV6" s="263" t="s">
        <v>220</v>
      </c>
      <c r="EW6" s="1258" t="s">
        <v>201</v>
      </c>
      <c r="EX6" s="1259"/>
      <c r="EY6" s="1291"/>
      <c r="EZ6" s="1247"/>
      <c r="FA6" s="1298"/>
      <c r="FB6" s="1299"/>
      <c r="FC6" s="1300"/>
      <c r="FD6" s="1292" t="s">
        <v>201</v>
      </c>
      <c r="FE6" s="1259"/>
      <c r="FF6" s="1260"/>
      <c r="FG6" s="1294" t="s">
        <v>223</v>
      </c>
      <c r="FH6" s="1295"/>
      <c r="FI6" s="1296"/>
      <c r="FJ6" s="1180" t="s">
        <v>202</v>
      </c>
      <c r="FK6" s="1198" t="s">
        <v>213</v>
      </c>
      <c r="FL6" s="1200"/>
      <c r="FM6" s="1080"/>
      <c r="FN6" s="1256" t="s">
        <v>203</v>
      </c>
      <c r="FO6" s="1249" t="s">
        <v>226</v>
      </c>
      <c r="FP6" s="1251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77" t="s">
        <v>217</v>
      </c>
      <c r="FV6" s="1297"/>
      <c r="FW6" s="1078"/>
      <c r="FX6" s="1256" t="s">
        <v>218</v>
      </c>
      <c r="FY6" s="1249" t="s">
        <v>226</v>
      </c>
      <c r="FZ6" s="1251" t="s">
        <v>224</v>
      </c>
      <c r="GA6" s="1381" t="s">
        <v>237</v>
      </c>
      <c r="GB6" s="318" t="s">
        <v>206</v>
      </c>
      <c r="GC6" s="319" t="s">
        <v>238</v>
      </c>
      <c r="GD6" s="320" t="s">
        <v>225</v>
      </c>
      <c r="GE6" s="1311"/>
      <c r="GF6" s="1304" t="s">
        <v>256</v>
      </c>
      <c r="GG6" s="318" t="s">
        <v>206</v>
      </c>
      <c r="GH6" s="319" t="s">
        <v>238</v>
      </c>
      <c r="GI6" s="320" t="s">
        <v>225</v>
      </c>
      <c r="GJ6" s="1314"/>
      <c r="GK6" s="1370"/>
      <c r="GL6" s="1373"/>
      <c r="GM6" s="1373"/>
      <c r="GN6" s="1374"/>
      <c r="GO6" s="1319" t="s">
        <v>236</v>
      </c>
      <c r="GP6" s="1323" t="s">
        <v>224</v>
      </c>
      <c r="GQ6" s="1200" t="s">
        <v>202</v>
      </c>
      <c r="GR6" s="1098"/>
      <c r="GS6" s="1281" t="s">
        <v>248</v>
      </c>
      <c r="GT6" s="1282"/>
      <c r="GU6" s="1274" t="s">
        <v>247</v>
      </c>
      <c r="GV6" s="1254"/>
      <c r="GW6" s="1254"/>
      <c r="GX6" s="340" t="s">
        <v>106</v>
      </c>
      <c r="GY6" s="1003" t="s">
        <v>246</v>
      </c>
      <c r="GZ6" s="1225"/>
      <c r="HA6" s="1261" t="s">
        <v>248</v>
      </c>
      <c r="HB6" s="1231"/>
      <c r="HC6" s="1231"/>
      <c r="HD6" s="1232"/>
      <c r="HE6" s="1003" t="s">
        <v>247</v>
      </c>
      <c r="HF6" s="1023"/>
      <c r="HG6" s="1023"/>
      <c r="HH6" s="1027"/>
      <c r="HI6" s="1284"/>
      <c r="HM6" s="915" t="s">
        <v>392</v>
      </c>
      <c r="HN6" s="1244" t="s">
        <v>393</v>
      </c>
      <c r="HO6" s="1244"/>
      <c r="HP6" s="1244"/>
      <c r="HQ6" s="1244"/>
      <c r="HR6" s="1245"/>
      <c r="HS6" s="1219" t="s">
        <v>105</v>
      </c>
      <c r="HT6" s="1220"/>
      <c r="HU6" s="1220"/>
      <c r="HV6" s="1355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161" t="s">
        <v>40</v>
      </c>
      <c r="C7" s="1162"/>
      <c r="D7" s="1163"/>
      <c r="E7" s="1164" t="s">
        <v>41</v>
      </c>
      <c r="F7" s="1162"/>
      <c r="G7" s="1165"/>
      <c r="H7" s="1136" t="s">
        <v>98</v>
      </c>
      <c r="I7" s="1137"/>
      <c r="J7" s="1138"/>
      <c r="K7" s="169"/>
      <c r="L7" s="1098"/>
      <c r="M7" s="1156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$Q$7</f>
        <v>&lt; θ°</v>
      </c>
      <c r="X7" s="27" t="str">
        <f>$R$7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22"/>
      <c r="AS7" s="1127" t="s">
        <v>54</v>
      </c>
      <c r="AT7" s="1125" t="s">
        <v>53</v>
      </c>
      <c r="AV7" s="111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11"/>
      <c r="BC7" s="37" t="str">
        <f>$Q$7</f>
        <v>&lt; θ°</v>
      </c>
      <c r="BD7" s="27" t="str">
        <f>$R$7</f>
        <v>r</v>
      </c>
      <c r="BE7" s="1214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93"/>
      <c r="FK7" s="358" t="s">
        <v>210</v>
      </c>
      <c r="FL7" s="361" t="s">
        <v>211</v>
      </c>
      <c r="FM7" s="907" t="s">
        <v>212</v>
      </c>
      <c r="FN7" s="1257"/>
      <c r="FO7" s="1250"/>
      <c r="FP7" s="1252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57"/>
      <c r="FY7" s="1250"/>
      <c r="FZ7" s="1252"/>
      <c r="GA7" s="1382"/>
      <c r="GB7" s="212" t="s">
        <v>231</v>
      </c>
      <c r="GC7" s="127" t="s">
        <v>232</v>
      </c>
      <c r="GD7" s="213" t="s">
        <v>233</v>
      </c>
      <c r="GE7" s="1312"/>
      <c r="GF7" s="1305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20"/>
      <c r="GP7" s="1324"/>
      <c r="GQ7" s="1325"/>
      <c r="GR7" s="132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8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42" t="s">
        <v>394</v>
      </c>
      <c r="HP7" s="1243"/>
      <c r="HQ7" s="1302" t="s">
        <v>390</v>
      </c>
      <c r="HR7" s="1303"/>
      <c r="HS7" s="897" t="s">
        <v>29</v>
      </c>
      <c r="HT7" s="898" t="s">
        <v>110</v>
      </c>
      <c r="HU7" s="1356" t="s">
        <v>391</v>
      </c>
      <c r="HV7" s="1357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29" t="s">
        <v>33</v>
      </c>
      <c r="IJ7" s="1268" t="s">
        <v>376</v>
      </c>
      <c r="IK7" s="1025" t="s">
        <v>324</v>
      </c>
      <c r="IL7" s="1026"/>
      <c r="IM7" s="1026"/>
      <c r="IN7" s="1023"/>
      <c r="IO7" s="1023"/>
      <c r="IP7" s="1023"/>
      <c r="IQ7" s="1004"/>
      <c r="IR7" s="1003" t="s">
        <v>320</v>
      </c>
      <c r="IS7" s="1023"/>
      <c r="IT7" s="1023"/>
      <c r="IU7" s="1023"/>
      <c r="IV7" s="1023"/>
      <c r="IW7" s="1003" t="s">
        <v>319</v>
      </c>
      <c r="IX7" s="1023"/>
      <c r="IY7" s="1023"/>
      <c r="IZ7" s="1023"/>
      <c r="JA7" s="1004"/>
      <c r="JC7" s="725"/>
      <c r="JD7" s="1087" t="s">
        <v>355</v>
      </c>
      <c r="JE7" s="1087"/>
      <c r="JF7" s="1087"/>
      <c r="JG7" s="1088"/>
      <c r="JH7" s="786"/>
      <c r="JI7" s="786"/>
      <c r="JY7">
        <v>14.75</v>
      </c>
    </row>
    <row r="8" spans="1:296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98"/>
      <c r="M8" s="411" cm="1">
        <f t="array" ref="M8">IF(AND(ISNUMBER('SN#.Run#'!$P$1),COUNT($M$9:$M$150)&gt;='SN#.Run#'!$P$1),INDEX($M$9:$M$150,'SN#.Run#'!$P$1),"")</f>
        <v>1.1160000000000001</v>
      </c>
      <c r="N8" s="551"/>
      <c r="O8" s="552"/>
      <c r="P8" s="562"/>
      <c r="Q8" s="554">
        <f>IFERROR(INDEX(Q$9:Q$150,MATCH($M$8,$M$9:$M$150,0)),"")</f>
        <v>89.66575862991273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-0.41580123832183669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28"/>
      <c r="AT8" s="1126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70"/>
      <c r="IJ8" s="1269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0.02</v>
      </c>
      <c r="B9" s="640">
        <f t="shared" ref="B9:D9" si="2">IFERROR(O164+($A9*-E9),"")</f>
        <v>1.8477590650225736E-2</v>
      </c>
      <c r="C9" s="641">
        <f t="shared" si="2"/>
        <v>0.34488194912090042</v>
      </c>
      <c r="D9" s="642">
        <f t="shared" si="2"/>
        <v>-1.213196512990933</v>
      </c>
      <c r="E9" s="643">
        <f t="shared" ref="E9:K9" si="3">R164</f>
        <v>-0.92387953251128674</v>
      </c>
      <c r="F9" s="641">
        <f t="shared" si="3"/>
        <v>-9.9045746569065923E-2</v>
      </c>
      <c r="G9" s="644">
        <f t="shared" si="3"/>
        <v>0.36964381435823135</v>
      </c>
      <c r="H9" s="643">
        <f t="shared" si="3"/>
        <v>0.3125</v>
      </c>
      <c r="I9" s="641">
        <f t="shared" si="3"/>
        <v>0.52</v>
      </c>
      <c r="J9" s="940">
        <f>IF(W164=0,"",W164)</f>
        <v>1.101</v>
      </c>
      <c r="K9" s="805">
        <f t="shared" si="3"/>
        <v>1613</v>
      </c>
      <c r="M9" s="163">
        <f t="shared" ref="M9:M40" si="4">IF(J9="","",VALUE(J9))</f>
        <v>1.101</v>
      </c>
      <c r="N9" s="566">
        <f t="shared" ref="N9:N40" si="5">IF(M9="","",B9)</f>
        <v>1.8477590650225736E-2</v>
      </c>
      <c r="O9" s="567">
        <f t="shared" ref="O9:O40" si="6">IF(M9="","",C9)</f>
        <v>0.34488194912090042</v>
      </c>
      <c r="P9" s="568">
        <f t="shared" ref="P9:P40" si="7">IF(M9="","",D9)</f>
        <v>-1.213196512990933</v>
      </c>
      <c r="Q9" s="526">
        <f>IF(M9="","",IF(DEGREES(ATAN2(N9,O9))&lt;0,DEGREES(ATAN2(N9,O9))+360,IF(DEGREES(ATAN2(N9,O9))&gt;360,DEGREES(ATAN2(N9,O9))-360,DEGREES(ATAN2(N9,O9)))))</f>
        <v>86.933220964977764</v>
      </c>
      <c r="R9" s="567">
        <f>IF(M9="","",SQRT(N9^2+O9^2))</f>
        <v>0.34537657735531035</v>
      </c>
      <c r="S9" s="569">
        <f>IF(M9="","",P9)</f>
        <v>-1.213196512990933</v>
      </c>
      <c r="T9" s="570">
        <f>IF(M9="","",X9*COS(RADIANS(W9)))</f>
        <v>0.34498387128357655</v>
      </c>
      <c r="U9" s="567">
        <f>IF(M9="","",X9*SIN(RADIANS(W9)))</f>
        <v>-1.6465380040113848E-2</v>
      </c>
      <c r="V9" s="571">
        <f>IF(M9="","",Y9)</f>
        <v>-1.213196512990933</v>
      </c>
      <c r="W9" s="526">
        <f t="shared" ref="W9:W14" si="8">IF(M9="","",IF(Q9-$Q$8&lt;0,360+Q9-$Q$8,Q9-$Q$8))</f>
        <v>357.26746233506503</v>
      </c>
      <c r="X9" s="572">
        <f>IF(M9="","",R9)</f>
        <v>0.34537657735531035</v>
      </c>
      <c r="Y9" s="573">
        <f t="shared" ref="Y9:Y15" si="9">IF(M9="","",S9)</f>
        <v>-1.213196512990933</v>
      </c>
      <c r="Z9" s="566">
        <f t="shared" ref="Z9:Z40" si="10">IF(M9="","",-E9)</f>
        <v>0.92387953251128674</v>
      </c>
      <c r="AA9" s="567">
        <f t="shared" ref="AA9:AA40" si="11">IF(M9="","",-F9)</f>
        <v>9.9045746569065923E-2</v>
      </c>
      <c r="AB9" s="567">
        <f t="shared" ref="AB9:AB40" si="12">IF(M9="","",-G9)</f>
        <v>-0.36964381435823135</v>
      </c>
      <c r="AC9" s="571">
        <f>IF(M9="","",SQRT(Z9^2+AA9^2+AB9^2))</f>
        <v>1</v>
      </c>
      <c r="AD9" s="574">
        <f>IF(M9="","",Z9*(1/SQRT(Z9^2+AA9^2+AB9^2)))</f>
        <v>0.92387953251128674</v>
      </c>
      <c r="AE9" s="567">
        <f>IF(M9="","",AA9*(1/SQRT(Z9^2+AA9^2+AB9^2)))</f>
        <v>9.9045746569065923E-2</v>
      </c>
      <c r="AF9" s="568">
        <f>IF(M9="","",AB9*(1/SQRT(Z9^2+AA9^2+AB9^2)))</f>
        <v>-0.36964381435823135</v>
      </c>
      <c r="AG9" s="542">
        <f>IF(M9="","",DEGREES(ATAN2(-AF9,AE9)))</f>
        <v>14.999997834268267</v>
      </c>
      <c r="AH9" s="543">
        <f>IF(M9="","",DEGREES(ACOS(AD9)))</f>
        <v>22.5</v>
      </c>
      <c r="AI9" s="526">
        <f>IF(M9="","",DEGREES(-ACOS(-AF9)))</f>
        <v>-68.306347925759709</v>
      </c>
      <c r="AJ9" s="544">
        <f>IF(M9="","",DEGREES(ATAN2(-AE9,AD9)))</f>
        <v>96.11909976262514</v>
      </c>
      <c r="AK9" s="570">
        <f>IF(M9="","",(COS(RADIANS((90-$Q$8)-W9))*AD9)+(-SIN(RADIANS((90-$Q$8)-W9))*AE9))</f>
        <v>0.9172574746976504</v>
      </c>
      <c r="AL9" s="567">
        <f>IF(M9="","",(SIN(RADIANS((90-$Q$8)-W9))*AD9)+(COS(RADIANS((90-$Q$8)-W9))*AE9))</f>
        <v>0.14833130356734123</v>
      </c>
      <c r="AM9" s="569">
        <f>IF(M9="","",AF9)</f>
        <v>-0.36964381435823135</v>
      </c>
      <c r="AN9" s="524">
        <f>IF(M9="","",DEGREES(ATAN2(-AM9,AL9)))</f>
        <v>21.864689104464091</v>
      </c>
      <c r="AO9" s="525">
        <f>IF(ROUND(IF(M9="",0,DEGREES(ACOS(AK9))),4)=90,0,IF(M9="","",DEGREES(ACOS(AK9))))</f>
        <v>23.471619617452575</v>
      </c>
      <c r="AP9" s="722">
        <f>IF(M9="","",DEGREES(ATAN2(AK9,AL9)))</f>
        <v>9.1858787976474208</v>
      </c>
      <c r="AQ9" s="527">
        <f t="shared" ref="AQ9:AQ40" si="13">IF(M9="","",DEGREES(ATAN(($AS$5*SIN(RADIANS(90)))/(($X9*2*PI())-($AS$5*COS(RADIANS(90)))))))</f>
        <v>6.5717274184150281</v>
      </c>
      <c r="AR9" s="979"/>
      <c r="AS9" s="953">
        <f>IF(M9="","",W9)</f>
        <v>357.26746233506503</v>
      </c>
      <c r="AT9" s="949">
        <f t="shared" ref="AT9:AT40" si="14">IF(M9="","",Y9+(((AS9-$AS$9)*$AS$6)*-1))</f>
        <v>-1.213196512990933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1613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79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0.34537657735531035</v>
      </c>
      <c r="JP9" s="961">
        <f>AN9</f>
        <v>21.864689104464091</v>
      </c>
      <c r="JQ9" s="961">
        <f>AO9</f>
        <v>23.471619617452575</v>
      </c>
      <c r="JS9" s="82" cm="1">
        <f t="array" ref="JS9:JS60">_xlfn.UNIQUE(_xlfn.SORTBY(JM$9:JM$88,$JM$9:$JM$88))</f>
        <v>1</v>
      </c>
      <c r="JT9" s="322">
        <f>INDEX($JM$9:$JQ$88,MATCH($JS9,$JM$9:$JM$88,0),3)</f>
        <v>0.34537657735531035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23.471619617452575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0.02</v>
      </c>
      <c r="B10" s="578">
        <f>IFERROR(O165+($A10*-E10),"")</f>
        <v>1.9318516721444374E-2</v>
      </c>
      <c r="C10" s="572">
        <f>IFERROR(P165+($A10*-F10),"")</f>
        <v>1.086143017350832</v>
      </c>
      <c r="D10" s="576">
        <f>IFERROR(Q165+($A10*-G10),"")</f>
        <v>-1.0121030367680608</v>
      </c>
      <c r="E10" s="580">
        <f t="shared" ref="E10:K10" si="93">R165</f>
        <v>-0.96592583607220739</v>
      </c>
      <c r="F10" s="572">
        <f t="shared" si="93"/>
        <v>-6.6987279208207198E-2</v>
      </c>
      <c r="G10" s="579">
        <f t="shared" si="93"/>
        <v>0.24999996726497561</v>
      </c>
      <c r="H10" s="580">
        <f t="shared" si="93"/>
        <v>0.3125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1613</v>
      </c>
      <c r="M10" s="164">
        <f t="shared" si="4"/>
        <v>1.1040000000000001</v>
      </c>
      <c r="N10" s="575">
        <f t="shared" si="5"/>
        <v>1.9318516721444374E-2</v>
      </c>
      <c r="O10" s="572">
        <f t="shared" si="6"/>
        <v>1.086143017350832</v>
      </c>
      <c r="P10" s="576">
        <f t="shared" si="7"/>
        <v>-1.0121030367680608</v>
      </c>
      <c r="Q10" s="528">
        <f>IF(M10="","",IF(DEGREES(ATAN2(N10,O10))&lt;0,DEGREES(ATAN2(N10,O10))+360,IF(DEGREES(ATAN2(N10,O10))&gt;360,DEGREES(ATAN2(N10,O10))-360,DEGREES(ATAN2(N10,O10)))))</f>
        <v>88.9810248207218</v>
      </c>
      <c r="R10" s="572">
        <f t="shared" ref="R10:R105" si="95">IF(M10="","",SQRT(N10^2+O10^2))</f>
        <v>1.0863148066874015</v>
      </c>
      <c r="S10" s="577">
        <f t="shared" ref="S10:S105" si="96">IF(M10="","",P10)</f>
        <v>-1.0121030367680608</v>
      </c>
      <c r="T10" s="578">
        <f t="shared" ref="T10:T105" si="97">IF(M10="","",X10*COS(RADIANS(W10)))</f>
        <v>1.0862372322180225</v>
      </c>
      <c r="U10" s="572">
        <f t="shared" ref="U10:U105" si="98">IF(M10="","",X10*SIN(RADIANS(W10)))</f>
        <v>-1.2982086566349006E-2</v>
      </c>
      <c r="V10" s="579">
        <f>IF(M10="","",Y10)</f>
        <v>-1.0121030367680608</v>
      </c>
      <c r="W10" s="528">
        <f t="shared" si="8"/>
        <v>359.3152661908091</v>
      </c>
      <c r="X10" s="572">
        <f t="shared" ref="X10:X105" si="99">IF(M10="","",R10)</f>
        <v>1.0863148066874015</v>
      </c>
      <c r="Y10" s="573">
        <f t="shared" si="9"/>
        <v>-1.0121030367680608</v>
      </c>
      <c r="Z10" s="575">
        <f>IF(M10="","",-E10)</f>
        <v>0.96592583607220739</v>
      </c>
      <c r="AA10" s="572">
        <f t="shared" si="11"/>
        <v>6.6987279208207198E-2</v>
      </c>
      <c r="AB10" s="572">
        <f t="shared" si="12"/>
        <v>-0.24999996726497561</v>
      </c>
      <c r="AC10" s="579">
        <f t="shared" ref="AC10:AC105" si="100">IF(M10="","",SQRT(Z10^2+AA10^2+AB10^2))</f>
        <v>1</v>
      </c>
      <c r="AD10" s="580">
        <f>IF(M10="","",Z10*(1/SQRT(Z10^2+AA10^2+AB10^2)))</f>
        <v>0.96592583607220739</v>
      </c>
      <c r="AE10" s="572">
        <f t="shared" ref="AE10:AE105" si="101">IF(M10="","",AA10*(1/SQRT(Z10^2+AA10^2+AB10^2)))</f>
        <v>6.6987279208207198E-2</v>
      </c>
      <c r="AF10" s="576">
        <f t="shared" ref="AF10:AF105" si="102">IF(M10="","",AB10*(1/SQRT(Z10^2+AA10^2+AB10^2)))</f>
        <v>-0.24999996726497561</v>
      </c>
      <c r="AG10" s="545">
        <f t="shared" ref="AG10:AG105" si="103">IF(M10="","",DEGREES(ATAN2(-AF10,AE10)))</f>
        <v>14.999997834268267</v>
      </c>
      <c r="AH10" s="546">
        <f t="shared" ref="AH10:AH105" si="104">IF(M10="","",DEGREES(ACOS(AD10)))</f>
        <v>14.999997834268255</v>
      </c>
      <c r="AI10" s="528">
        <f t="shared" ref="AI10:AI105" si="105">IF(M10="","",DEGREES(-ACOS(-AF10)))</f>
        <v>-75.522489751159469</v>
      </c>
      <c r="AJ10" s="529">
        <f t="shared" ref="AJ10:AJ105" si="106">IF(M10="","",DEGREES(ATAN2(-AE10,AD10)))</f>
        <v>93.967129645086573</v>
      </c>
      <c r="AK10" s="578">
        <f>IF(M10="","",(COS(RADIANS((90-$Q$8)-W10))*AD10)+(-SIN(RADIANS((90-$Q$8)-W10))*AE10))</f>
        <v>0.9645818144100945</v>
      </c>
      <c r="AL10" s="572">
        <f t="shared" ref="AL10:AL105" si="107">IF(M10="","",(SIN(RADIANS((90-$Q$8)-W10))*AD10)+(COS(RADIANS((90-$Q$8)-W10))*AE10))</f>
        <v>8.4154261192416188E-2</v>
      </c>
      <c r="AM10" s="577">
        <f t="shared" ref="AM10:AM105" si="108">IF(M10="","",AF10)</f>
        <v>-0.24999996726497561</v>
      </c>
      <c r="AN10" s="524">
        <f t="shared" ref="AN10:AN105" si="109">IF(M10="","",DEGREES(ATAN2(-AM10,AL10)))</f>
        <v>18.604112481934674</v>
      </c>
      <c r="AO10" s="525">
        <f t="shared" ref="AO10:AO54" si="110">IF(ROUND(IF(M10="",0,DEGREES(ACOS(AK10))),4)=90,0,IF(M10="","",DEGREES(ACOS(AK10))))</f>
        <v>15.294701916780172</v>
      </c>
      <c r="AP10" s="528">
        <f t="shared" ref="AP10:AP105" si="111">IF(M10="","",DEGREES(ATAN2(AK10,AL10)))</f>
        <v>4.9861048243647632</v>
      </c>
      <c r="AQ10" s="529">
        <f t="shared" si="13"/>
        <v>2.0976497579192142</v>
      </c>
      <c r="AR10" s="979"/>
      <c r="AS10" s="954">
        <f>IF($M10="","",IF(AND($W10&lt;($AS$9+180),$W10&gt;($AS$9-180)),$W10,IF($W10&gt;($AS$9+180),$W10-360,IF($W10&lt;($AS$9-180),$W10+360,"Error"))))</f>
        <v>359.3152661908091</v>
      </c>
      <c r="AT10" s="950">
        <f t="shared" si="14"/>
        <v>-1.0135251227789941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1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9.0552598011747157E-2</v>
      </c>
      <c r="JO10" s="162">
        <f t="shared" ref="JO10:JO70" si="134">X10</f>
        <v>1.0863148066874015</v>
      </c>
      <c r="JP10" s="961">
        <f t="shared" ref="JP10:JP70" si="135">AN10</f>
        <v>18.604112481934674</v>
      </c>
      <c r="JQ10" s="961">
        <f t="shared" ref="JQ10:JQ70" si="136">AO10</f>
        <v>15.294701916780172</v>
      </c>
      <c r="JS10" s="82">
        <v>3</v>
      </c>
      <c r="JT10" s="322">
        <f t="shared" ref="JT10:JT53" si="137">INDEX($JM$9:$JQ$88,MATCH($JS10,$JM$9:$JM$88,0),3)</f>
        <v>0.83927587401451054</v>
      </c>
      <c r="JU10" s="963">
        <f t="shared" ref="JU10:JU53" si="138">INDEX($JM$9:$JQ$88,MATCH($JS10,$JM$9:$JM$88,0),2)</f>
        <v>6.03611241776267E-2</v>
      </c>
      <c r="JV10" s="961">
        <v>9</v>
      </c>
      <c r="JW10" s="961">
        <f t="shared" si="92"/>
        <v>17.879970002149676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10.181952194193681</v>
      </c>
      <c r="KD10" s="969">
        <v>6</v>
      </c>
      <c r="KE10" s="968">
        <f t="shared" ref="KE10:KE48" si="140">KD10-KC10</f>
        <v>-4.1819521941936806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0.02</v>
      </c>
      <c r="B11" s="578">
        <f t="shared" ref="B11:D11" si="142">IFERROR(O166+($A11*-E11),"")</f>
        <v>1.9318516721444225E-2</v>
      </c>
      <c r="C11" s="572">
        <f t="shared" si="142"/>
        <v>1.8279452546263795</v>
      </c>
      <c r="D11" s="576">
        <f t="shared" si="142"/>
        <v>-0.81330243718545203</v>
      </c>
      <c r="E11" s="580">
        <f>R166</f>
        <v>-0.96592583607220739</v>
      </c>
      <c r="F11" s="572">
        <f t="shared" ref="F11:K11" si="143">S166</f>
        <v>-6.6987279208207226E-2</v>
      </c>
      <c r="G11" s="579">
        <f t="shared" si="143"/>
        <v>0.24999996726497561</v>
      </c>
      <c r="H11" s="580">
        <f t="shared" si="143"/>
        <v>0.3125</v>
      </c>
      <c r="I11" s="572">
        <f t="shared" si="143"/>
        <v>0.52</v>
      </c>
      <c r="J11" s="483">
        <f t="shared" si="94"/>
        <v>1.107</v>
      </c>
      <c r="K11" s="806">
        <f t="shared" si="143"/>
        <v>1613</v>
      </c>
      <c r="L11" s="720" t="s">
        <v>323</v>
      </c>
      <c r="M11" s="164">
        <f t="shared" si="4"/>
        <v>1.107</v>
      </c>
      <c r="N11" s="575">
        <f t="shared" si="5"/>
        <v>1.9318516721444225E-2</v>
      </c>
      <c r="O11" s="572">
        <f t="shared" si="6"/>
        <v>1.8279452546263795</v>
      </c>
      <c r="P11" s="576">
        <f t="shared" si="7"/>
        <v>-0.81330243718545203</v>
      </c>
      <c r="Q11" s="528">
        <f t="shared" ref="Q11:Q73" si="144">IF(M11="","",IF(DEGREES(ATAN2(N11,O11))&lt;0,DEGREES(ATAN2(N11,O11))+360,IF(DEGREES(ATAN2(N11,O11))&gt;360,DEGREES(ATAN2(N11,O11))-360,DEGREES(ATAN2(N11,O11)))))</f>
        <v>89.39449594283694</v>
      </c>
      <c r="R11" s="572">
        <f t="shared" si="95"/>
        <v>1.8280473349996755</v>
      </c>
      <c r="S11" s="577">
        <f t="shared" si="96"/>
        <v>-0.81330243718545203</v>
      </c>
      <c r="T11" s="578">
        <f t="shared" si="97"/>
        <v>1.8280268473809032</v>
      </c>
      <c r="U11" s="572">
        <f t="shared" si="98"/>
        <v>-8.6547243775660278E-3</v>
      </c>
      <c r="V11" s="579">
        <f t="shared" ref="V11:V105" si="145">IF(M11="","",Y11)</f>
        <v>-0.81330243718545203</v>
      </c>
      <c r="W11" s="528">
        <f t="shared" si="8"/>
        <v>359.72873731292424</v>
      </c>
      <c r="X11" s="572">
        <f>IF(M11="","",R11)</f>
        <v>1.8280473349996755</v>
      </c>
      <c r="Y11" s="573">
        <f t="shared" si="9"/>
        <v>-0.81330243718545203</v>
      </c>
      <c r="Z11" s="575">
        <f t="shared" si="10"/>
        <v>0.96592583607220739</v>
      </c>
      <c r="AA11" s="572">
        <f t="shared" si="11"/>
        <v>6.6987279208207226E-2</v>
      </c>
      <c r="AB11" s="572">
        <f t="shared" si="12"/>
        <v>-0.24999996726497561</v>
      </c>
      <c r="AC11" s="579">
        <f t="shared" si="100"/>
        <v>1</v>
      </c>
      <c r="AD11" s="580">
        <f t="shared" ref="AD11:AD105" si="146">IF(M11="","",Z11*(1/SQRT(Z11^2+AA11^2+AB11^2)))</f>
        <v>0.96592583607220739</v>
      </c>
      <c r="AE11" s="572">
        <f t="shared" si="101"/>
        <v>6.6987279208207226E-2</v>
      </c>
      <c r="AF11" s="576">
        <f t="shared" si="102"/>
        <v>-0.24999996726497561</v>
      </c>
      <c r="AG11" s="545">
        <f>IF(M11="","",DEGREES(ATAN2(-AF11,AE11)))</f>
        <v>14.999997834268274</v>
      </c>
      <c r="AH11" s="546">
        <f t="shared" si="104"/>
        <v>14.999997834268255</v>
      </c>
      <c r="AI11" s="528">
        <f t="shared" si="105"/>
        <v>-75.522489751159469</v>
      </c>
      <c r="AJ11" s="529">
        <f t="shared" si="106"/>
        <v>93.967129645086573</v>
      </c>
      <c r="AK11" s="578">
        <f>IF(M11="","",(COS(RADIANS((90-$Q$8)-W11))*AD11)+(-SIN(RADIANS((90-$Q$8)-W11))*AE11))</f>
        <v>0.96516398657478686</v>
      </c>
      <c r="AL11" s="572">
        <f t="shared" si="107"/>
        <v>7.7191290872583529E-2</v>
      </c>
      <c r="AM11" s="577">
        <f t="shared" si="108"/>
        <v>-0.24999996726497561</v>
      </c>
      <c r="AN11" s="524">
        <f>IF(M11="","",DEGREES(ATAN2(-AM11,AL11)))</f>
        <v>17.158867912805714</v>
      </c>
      <c r="AO11" s="525">
        <f>IF(ROUND(IF(M11="",0,DEGREES(ACOS(AK11))),4)=90,0,IF(M11="","",DEGREES(ACOS(AK11))))</f>
        <v>15.167735349827401</v>
      </c>
      <c r="AP11" s="528">
        <f t="shared" si="111"/>
        <v>4.5726337022496493</v>
      </c>
      <c r="AQ11" s="529">
        <f>IF(M11="","",DEGREES(ATAN(($AS$5*SIN(RADIANS(90)))/(($X11*2*PI())-($AS$5*COS(RADIANS(90)))))))</f>
        <v>1.2468860553775158</v>
      </c>
      <c r="AR11" s="979"/>
      <c r="AS11" s="954">
        <f t="shared" ref="AS11:AS42" si="147">IF(G11="","",IF(AND(W11&lt;(AS10+180),W11&gt;(AS10-180)),W11,IF(W11&gt;(AS10+180),W11-360,IF(W11&lt;(AS10-180),W11+360,"Error"))))</f>
        <v>359.72873731292424</v>
      </c>
      <c r="AT11" s="950">
        <f t="shared" si="14"/>
        <v>-0.81501165592007652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 t="str">
        <f t="shared" si="131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0.18120227002157707</v>
      </c>
      <c r="JO11" s="162">
        <f t="shared" si="134"/>
        <v>1.8280473349996755</v>
      </c>
      <c r="JP11" s="961">
        <f t="shared" si="135"/>
        <v>17.158867912805714</v>
      </c>
      <c r="JQ11" s="961">
        <f t="shared" si="136"/>
        <v>15.167735349827401</v>
      </c>
      <c r="JS11" s="82">
        <v>4</v>
      </c>
      <c r="JT11" s="322">
        <f t="shared" si="137"/>
        <v>1.0863148066874015</v>
      </c>
      <c r="JU11" s="963">
        <f t="shared" si="138"/>
        <v>9.0552598011747157E-2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7.7297306700640558</v>
      </c>
      <c r="KD11" s="969">
        <v>4</v>
      </c>
      <c r="KE11" s="968">
        <f t="shared" si="140"/>
        <v>-3.7297306700640558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0.02</v>
      </c>
      <c r="B12" s="578">
        <f t="shared" ref="B12:D12" si="245">IFERROR(O167+($A12*-E12),"")</f>
        <v>1.9318516721443801E-2</v>
      </c>
      <c r="C12" s="572">
        <f t="shared" si="245"/>
        <v>2.5697474919019276</v>
      </c>
      <c r="D12" s="576">
        <f t="shared" si="245"/>
        <v>-0.6145018376028436</v>
      </c>
      <c r="E12" s="580">
        <f t="shared" ref="E12:K12" si="246">R167</f>
        <v>-0.96592583607220739</v>
      </c>
      <c r="F12" s="572">
        <f t="shared" si="246"/>
        <v>-6.6987279208207226E-2</v>
      </c>
      <c r="G12" s="579">
        <f t="shared" si="246"/>
        <v>0.24999996726497564</v>
      </c>
      <c r="H12" s="580">
        <f t="shared" si="246"/>
        <v>0.3125</v>
      </c>
      <c r="I12" s="572">
        <f t="shared" si="246"/>
        <v>0.52</v>
      </c>
      <c r="J12" s="483">
        <f t="shared" si="94"/>
        <v>1.1100000000000001</v>
      </c>
      <c r="K12" s="806">
        <f t="shared" si="246"/>
        <v>1613</v>
      </c>
      <c r="L12" s="716" t="s">
        <v>357</v>
      </c>
      <c r="M12" s="164">
        <f t="shared" si="4"/>
        <v>1.1100000000000001</v>
      </c>
      <c r="N12" s="575">
        <f t="shared" si="5"/>
        <v>1.9318516721443801E-2</v>
      </c>
      <c r="O12" s="572">
        <f t="shared" si="6"/>
        <v>2.5697474919019276</v>
      </c>
      <c r="P12" s="576">
        <f t="shared" si="7"/>
        <v>-0.6145018376028436</v>
      </c>
      <c r="Q12" s="528">
        <f>IF(M12="","",IF(DEGREES(ATAN2(N12,O12))&lt;0,DEGREES(ATAN2(N12,O12))+360,IF(DEGREES(ATAN2(N12,O12))&gt;360,DEGREES(ATAN2(N12,O12))-360,DEGREES(ATAN2(N12,O12)))))</f>
        <v>89.569277282273745</v>
      </c>
      <c r="R12" s="572">
        <f t="shared" si="95"/>
        <v>2.5698201060044195</v>
      </c>
      <c r="S12" s="577">
        <f t="shared" si="96"/>
        <v>-0.6145018376028436</v>
      </c>
      <c r="T12" s="578">
        <f>IF(M12="","",X12*COS(RADIANS(W12)))</f>
        <v>2.5698164625437849</v>
      </c>
      <c r="U12" s="572">
        <f t="shared" si="98"/>
        <v>-4.3273621887837104E-3</v>
      </c>
      <c r="V12" s="579">
        <f t="shared" si="145"/>
        <v>-0.6145018376028436</v>
      </c>
      <c r="W12" s="528">
        <f>IF(M12="","",IF(Q12-$Q$8&lt;0,360+Q12-$Q$8,Q12-$Q$8))</f>
        <v>359.90351865236102</v>
      </c>
      <c r="X12" s="572">
        <f t="shared" si="99"/>
        <v>2.5698201060044195</v>
      </c>
      <c r="Y12" s="573">
        <f t="shared" si="9"/>
        <v>-0.6145018376028436</v>
      </c>
      <c r="Z12" s="575">
        <f t="shared" si="10"/>
        <v>0.96592583607220739</v>
      </c>
      <c r="AA12" s="572">
        <f t="shared" si="11"/>
        <v>6.6987279208207226E-2</v>
      </c>
      <c r="AB12" s="572">
        <f t="shared" si="12"/>
        <v>-0.24999996726497564</v>
      </c>
      <c r="AC12" s="579">
        <f t="shared" si="100"/>
        <v>1</v>
      </c>
      <c r="AD12" s="580">
        <f t="shared" si="146"/>
        <v>0.96592583607220739</v>
      </c>
      <c r="AE12" s="572">
        <f t="shared" si="101"/>
        <v>6.6987279208207226E-2</v>
      </c>
      <c r="AF12" s="576">
        <f t="shared" si="102"/>
        <v>-0.24999996726497564</v>
      </c>
      <c r="AG12" s="545">
        <f t="shared" si="103"/>
        <v>14.999997834268274</v>
      </c>
      <c r="AH12" s="546">
        <f t="shared" si="104"/>
        <v>14.999997834268255</v>
      </c>
      <c r="AI12" s="528">
        <f t="shared" si="105"/>
        <v>-75.522489751159469</v>
      </c>
      <c r="AJ12" s="529">
        <f t="shared" si="106"/>
        <v>93.967129645086573</v>
      </c>
      <c r="AK12" s="578">
        <f t="shared" ref="AK12:AK105" si="247">IF(M12="","",(COS(RADIANS((90-$Q$8)-W12))*AD12)+(-SIN(RADIANS((90-$Q$8)-W12))*AE12))</f>
        <v>0.96539496828578919</v>
      </c>
      <c r="AL12" s="572">
        <f>IF(M12="","",(SIN(RADIANS((90-$Q$8)-W12))*AD12)+(COS(RADIANS((90-$Q$8)-W12))*AE12))</f>
        <v>7.4246694040820863E-2</v>
      </c>
      <c r="AM12" s="577">
        <f t="shared" si="108"/>
        <v>-0.24999996726497564</v>
      </c>
      <c r="AN12" s="524">
        <f>IF(M12="","",DEGREES(ATAN2(-AM12,AL12)))</f>
        <v>16.540725303680329</v>
      </c>
      <c r="AO12" s="525">
        <f t="shared" si="110"/>
        <v>15.117071809551682</v>
      </c>
      <c r="AP12" s="528">
        <f t="shared" si="111"/>
        <v>4.3978523628128237</v>
      </c>
      <c r="AQ12" s="529">
        <f t="shared" si="13"/>
        <v>0.88704438222591986</v>
      </c>
      <c r="AR12" s="979"/>
      <c r="AS12" s="954">
        <f t="shared" si="147"/>
        <v>359.90351865236102</v>
      </c>
      <c r="AT12" s="950">
        <f>IF(M12="","",Y12+(((AS12-$AS$9)*$AS$6)*-1))</f>
        <v>-0.61633243226763246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 t="str">
        <f t="shared" si="131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10</v>
      </c>
      <c r="JN12" s="960">
        <f>($JO12-SMALL($JO$9:$JO$88,1))/((Settings!$C$19/2)-((Settings!$C$19/2)-LARGE($JO$9:$JO$88,1))-SMALL($JO$9:$JO$88,1))</f>
        <v>0.27185686022864652</v>
      </c>
      <c r="JO12" s="162">
        <f t="shared" si="134"/>
        <v>2.5698201060044195</v>
      </c>
      <c r="JP12" s="961">
        <f t="shared" si="135"/>
        <v>16.540725303680329</v>
      </c>
      <c r="JQ12" s="961">
        <f t="shared" si="136"/>
        <v>15.117071809551682</v>
      </c>
      <c r="JS12" s="82">
        <v>6</v>
      </c>
      <c r="JT12" s="322">
        <f t="shared" si="137"/>
        <v>1.5807625590785699</v>
      </c>
      <c r="JU12" s="963">
        <f t="shared" si="138"/>
        <v>0.15098075084231422</v>
      </c>
      <c r="JV12" s="964">
        <v>3</v>
      </c>
      <c r="JW12" s="961">
        <f t="shared" si="92"/>
        <v>15.195944762347509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5.0533006939365803</v>
      </c>
      <c r="KD12" s="968">
        <v>3</v>
      </c>
      <c r="KE12" s="968">
        <f t="shared" si="140"/>
        <v>-2.0533006939365803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0.02</v>
      </c>
      <c r="B13" s="578">
        <f t="shared" ref="B13:D13" si="259">IFERROR(O168+($A13*-E13),"")</f>
        <v>1.931851672144461E-2</v>
      </c>
      <c r="C13" s="572">
        <f t="shared" si="259"/>
        <v>3.3115497291774747</v>
      </c>
      <c r="D13" s="576">
        <f t="shared" si="259"/>
        <v>-0.41580123832183669</v>
      </c>
      <c r="E13" s="580">
        <f t="shared" ref="E13:K13" si="260">R168</f>
        <v>-0.96592583607220739</v>
      </c>
      <c r="F13" s="572">
        <f t="shared" si="260"/>
        <v>-6.6987279208207226E-2</v>
      </c>
      <c r="G13" s="579">
        <f t="shared" si="260"/>
        <v>0.24999996726497564</v>
      </c>
      <c r="H13" s="580">
        <f t="shared" si="260"/>
        <v>0.3125</v>
      </c>
      <c r="I13" s="572">
        <f t="shared" si="260"/>
        <v>0.52</v>
      </c>
      <c r="J13" s="483">
        <f t="shared" si="94"/>
        <v>1.1160000000000001</v>
      </c>
      <c r="K13" s="806">
        <f t="shared" si="260"/>
        <v>1613</v>
      </c>
      <c r="L13" s="717">
        <f>IF($L12=$JJ$22,$JJ$29,IF($L12=$JK$22,$JK$29,""))</f>
        <v>310</v>
      </c>
      <c r="M13" s="164">
        <f t="shared" si="4"/>
        <v>1.1160000000000001</v>
      </c>
      <c r="N13" s="575">
        <f t="shared" si="5"/>
        <v>1.931851672144461E-2</v>
      </c>
      <c r="O13" s="572">
        <f t="shared" si="6"/>
        <v>3.3115497291774747</v>
      </c>
      <c r="P13" s="576">
        <f t="shared" si="7"/>
        <v>-0.41580123832183669</v>
      </c>
      <c r="Q13" s="528">
        <f t="shared" si="144"/>
        <v>89.66575862991273</v>
      </c>
      <c r="R13" s="572">
        <f t="shared" si="95"/>
        <v>3.3116060777066654</v>
      </c>
      <c r="S13" s="577">
        <f t="shared" si="96"/>
        <v>-0.41580123832183669</v>
      </c>
      <c r="T13" s="578">
        <f>IF(M13="","",X13*COS(RADIANS(W13)))</f>
        <v>3.3116060777066654</v>
      </c>
      <c r="U13" s="572">
        <f t="shared" si="98"/>
        <v>0</v>
      </c>
      <c r="V13" s="579">
        <f t="shared" si="145"/>
        <v>-0.41580123832183669</v>
      </c>
      <c r="W13" s="528">
        <f t="shared" si="8"/>
        <v>0</v>
      </c>
      <c r="X13" s="572">
        <f t="shared" si="99"/>
        <v>3.3116060777066654</v>
      </c>
      <c r="Y13" s="573">
        <f t="shared" si="9"/>
        <v>-0.41580123832183669</v>
      </c>
      <c r="Z13" s="575">
        <f t="shared" si="10"/>
        <v>0.96592583607220739</v>
      </c>
      <c r="AA13" s="572">
        <f t="shared" si="11"/>
        <v>6.6987279208207226E-2</v>
      </c>
      <c r="AB13" s="572">
        <f t="shared" si="12"/>
        <v>-0.24999996726497564</v>
      </c>
      <c r="AC13" s="579">
        <f t="shared" si="100"/>
        <v>1</v>
      </c>
      <c r="AD13" s="580">
        <f>IF(M13="","",Z13*(1/SQRT(Z13^2+AA13^2+AB13^2)))</f>
        <v>0.96592583607220739</v>
      </c>
      <c r="AE13" s="572">
        <f t="shared" si="101"/>
        <v>6.6987279208207226E-2</v>
      </c>
      <c r="AF13" s="576">
        <f t="shared" si="102"/>
        <v>-0.24999996726497564</v>
      </c>
      <c r="AG13" s="545">
        <f>IF(M13="","",DEGREES(ATAN2(-AF13,AE13)))</f>
        <v>14.999997834268274</v>
      </c>
      <c r="AH13" s="546">
        <f t="shared" si="104"/>
        <v>14.999997834268255</v>
      </c>
      <c r="AI13" s="528">
        <f t="shared" si="105"/>
        <v>-75.522489751159469</v>
      </c>
      <c r="AJ13" s="529">
        <f t="shared" si="106"/>
        <v>93.967129645086573</v>
      </c>
      <c r="AK13" s="578">
        <f t="shared" si="247"/>
        <v>0.96551862478498462</v>
      </c>
      <c r="AL13" s="572">
        <f t="shared" si="107"/>
        <v>7.2620944367469867E-2</v>
      </c>
      <c r="AM13" s="577">
        <f t="shared" si="108"/>
        <v>-0.24999996726497564</v>
      </c>
      <c r="AN13" s="524">
        <f t="shared" si="109"/>
        <v>16.197725843120278</v>
      </c>
      <c r="AO13" s="525">
        <f t="shared" si="110"/>
        <v>15.089880714676056</v>
      </c>
      <c r="AP13" s="528">
        <f t="shared" si="111"/>
        <v>4.3013710151738422</v>
      </c>
      <c r="AQ13" s="529">
        <f t="shared" si="13"/>
        <v>0.68837201300834661</v>
      </c>
      <c r="AR13" s="979"/>
      <c r="AS13" s="954">
        <f t="shared" si="147"/>
        <v>360</v>
      </c>
      <c r="AT13" s="950">
        <f t="shared" si="14"/>
        <v>-0.41769883392248597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 t="str">
        <f t="shared" si="131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61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1.1160000000000001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16</v>
      </c>
      <c r="JN13" s="960">
        <f>($JO13-SMALL($JO$9:$JO$88,1))/((Settings!$C$19/2)-((Settings!$C$19/2)-LARGE($JO$9:$JO$88,1))-SMALL($JO$9:$JO$88,1))</f>
        <v>0.36251306373815745</v>
      </c>
      <c r="JO13" s="162">
        <f t="shared" si="134"/>
        <v>3.3116060777066654</v>
      </c>
      <c r="JP13" s="961">
        <f t="shared" si="135"/>
        <v>16.197725843120278</v>
      </c>
      <c r="JQ13" s="961">
        <f t="shared" si="136"/>
        <v>15.089880714676056</v>
      </c>
      <c r="JS13" s="82">
        <v>7</v>
      </c>
      <c r="JT13" s="322">
        <f t="shared" si="137"/>
        <v>1.8280473349996755</v>
      </c>
      <c r="JU13" s="963">
        <f t="shared" si="138"/>
        <v>0.18120227002157707</v>
      </c>
      <c r="JV13" s="964">
        <v>3</v>
      </c>
      <c r="JW13" s="961">
        <f t="shared" si="92"/>
        <v>15.167735349827401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3.2445745521641727</v>
      </c>
      <c r="KD13" s="968">
        <v>3</v>
      </c>
      <c r="KE13" s="968">
        <f t="shared" si="140"/>
        <v>-0.24457455216417268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0.02</v>
      </c>
      <c r="B14" s="578">
        <f t="shared" ref="B14:D14" si="262">IFERROR(O169+($A14*-E14),"")</f>
        <v>1.9318516721443836E-2</v>
      </c>
      <c r="C14" s="572">
        <f t="shared" si="262"/>
        <v>4.0534519667546238</v>
      </c>
      <c r="D14" s="576">
        <f t="shared" si="262"/>
        <v>-0.2170006387392279</v>
      </c>
      <c r="E14" s="580">
        <f t="shared" ref="E14:K14" si="263">R169</f>
        <v>-0.96592583607220739</v>
      </c>
      <c r="F14" s="572">
        <f t="shared" si="263"/>
        <v>-6.6987279208207226E-2</v>
      </c>
      <c r="G14" s="579">
        <f t="shared" si="263"/>
        <v>0.24999996726497564</v>
      </c>
      <c r="H14" s="580">
        <f t="shared" si="263"/>
        <v>0.3125</v>
      </c>
      <c r="I14" s="572">
        <f t="shared" si="263"/>
        <v>0.52</v>
      </c>
      <c r="J14" s="483">
        <f t="shared" si="94"/>
        <v>1.1220000000000001</v>
      </c>
      <c r="K14" s="806">
        <f t="shared" si="263"/>
        <v>1613</v>
      </c>
      <c r="L14" s="719" t="s">
        <v>358</v>
      </c>
      <c r="M14" s="164">
        <f t="shared" si="4"/>
        <v>1.1220000000000001</v>
      </c>
      <c r="N14" s="575">
        <f t="shared" si="5"/>
        <v>1.9318516721443836E-2</v>
      </c>
      <c r="O14" s="572">
        <f t="shared" si="6"/>
        <v>4.0534519667546238</v>
      </c>
      <c r="P14" s="576">
        <f t="shared" si="7"/>
        <v>-0.2170006387392279</v>
      </c>
      <c r="Q14" s="528">
        <f t="shared" si="144"/>
        <v>89.726933709038235</v>
      </c>
      <c r="R14" s="572">
        <f t="shared" si="95"/>
        <v>4.0534980019577214</v>
      </c>
      <c r="S14" s="577">
        <f>IF(M14="","",P14)</f>
        <v>-0.2170006387392279</v>
      </c>
      <c r="T14" s="578">
        <f t="shared" si="97"/>
        <v>4.0534956914695943</v>
      </c>
      <c r="U14" s="572">
        <f t="shared" si="98"/>
        <v>4.3279455484754011E-3</v>
      </c>
      <c r="V14" s="579">
        <f t="shared" si="145"/>
        <v>-0.2170006387392279</v>
      </c>
      <c r="W14" s="528">
        <f t="shared" si="8"/>
        <v>6.1175079125504794E-2</v>
      </c>
      <c r="X14" s="572">
        <f t="shared" si="99"/>
        <v>4.0534980019577214</v>
      </c>
      <c r="Y14" s="573">
        <f t="shared" si="9"/>
        <v>-0.2170006387392279</v>
      </c>
      <c r="Z14" s="575">
        <f t="shared" si="10"/>
        <v>0.96592583607220739</v>
      </c>
      <c r="AA14" s="572">
        <f t="shared" si="11"/>
        <v>6.6987279208207226E-2</v>
      </c>
      <c r="AB14" s="572">
        <f t="shared" si="12"/>
        <v>-0.24999996726497564</v>
      </c>
      <c r="AC14" s="579">
        <f t="shared" si="100"/>
        <v>1</v>
      </c>
      <c r="AD14" s="580">
        <f>IF(M14="","",Z14*(1/SQRT(Z14^2+AA14^2+AB14^2)))</f>
        <v>0.96592583607220739</v>
      </c>
      <c r="AE14" s="572">
        <f t="shared" si="101"/>
        <v>6.6987279208207226E-2</v>
      </c>
      <c r="AF14" s="576">
        <f t="shared" si="102"/>
        <v>-0.24999996726497564</v>
      </c>
      <c r="AG14" s="545">
        <f t="shared" si="103"/>
        <v>14.999997834268274</v>
      </c>
      <c r="AH14" s="546">
        <f t="shared" si="104"/>
        <v>14.999997834268255</v>
      </c>
      <c r="AI14" s="528">
        <f t="shared" si="105"/>
        <v>-75.522489751159469</v>
      </c>
      <c r="AJ14" s="529">
        <f t="shared" si="106"/>
        <v>93.967129645086573</v>
      </c>
      <c r="AK14" s="578">
        <f>IF(M14="","",(COS(RADIANS((90-$Q$8)-W14))*AD14)+(-SIN(RADIANS((90-$Q$8)-W14))*AE14))</f>
        <v>0.96559561228403656</v>
      </c>
      <c r="AL14" s="572">
        <f t="shared" si="107"/>
        <v>7.1590012608796327E-2</v>
      </c>
      <c r="AM14" s="577">
        <f t="shared" si="108"/>
        <v>-0.24999996726497564</v>
      </c>
      <c r="AN14" s="524">
        <f t="shared" si="109"/>
        <v>15.979599219311027</v>
      </c>
      <c r="AO14" s="525">
        <f t="shared" si="110"/>
        <v>15.072927567266939</v>
      </c>
      <c r="AP14" s="528">
        <f>IF(M14="","",DEGREES(ATAN2(AK14,AL14)))</f>
        <v>4.2401959360483383</v>
      </c>
      <c r="AQ14" s="529">
        <f t="shared" si="13"/>
        <v>0.56239164701895417</v>
      </c>
      <c r="AR14" s="979"/>
      <c r="AS14" s="954">
        <f t="shared" si="147"/>
        <v>360.06117507912552</v>
      </c>
      <c r="AT14" s="950">
        <f>IF(M14="","",Y14+(((AS14-$AS$9)*$AS$6)*-1))</f>
        <v>-0.21894071703371434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1.1220000000000001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22</v>
      </c>
      <c r="JN14" s="960">
        <f>($JO14-SMALL($JO$9:$JO$88,1))/((Settings!$C$19/2)-((Settings!$C$19/2)-LARGE($JO$9:$JO$88,1))-SMALL($JO$9:$JO$88,1))</f>
        <v>0.4531822160714446</v>
      </c>
      <c r="JO14" s="162">
        <f t="shared" si="134"/>
        <v>4.0534980019577214</v>
      </c>
      <c r="JP14" s="961">
        <f t="shared" si="135"/>
        <v>15.979599219311027</v>
      </c>
      <c r="JQ14" s="961">
        <f t="shared" si="136"/>
        <v>15.072927567266939</v>
      </c>
      <c r="JS14" s="82">
        <v>9</v>
      </c>
      <c r="JT14" s="322">
        <f t="shared" si="137"/>
        <v>2.3225270920472525</v>
      </c>
      <c r="JU14" s="963">
        <f t="shared" si="138"/>
        <v>0.24163433425078917</v>
      </c>
      <c r="JV14" s="964">
        <v>3</v>
      </c>
      <c r="JW14" s="961">
        <f t="shared" si="92"/>
        <v>15.130191121997559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3</v>
      </c>
      <c r="KD14" s="968">
        <v>3</v>
      </c>
      <c r="KE14" s="968">
        <f t="shared" si="140"/>
        <v>0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0.02</v>
      </c>
      <c r="B15" s="578">
        <f t="shared" ref="B15:D15" si="266">IFERROR(O170+($A15*-E15),"")</f>
        <v>4.831690575568285E-2</v>
      </c>
      <c r="C15" s="572">
        <f t="shared" si="266"/>
        <v>4.8061558340255672</v>
      </c>
      <c r="D15" s="576">
        <f t="shared" si="266"/>
        <v>-6.0902596192784209E-2</v>
      </c>
      <c r="E15" s="580">
        <f t="shared" ref="E15:K15" si="267">R170</f>
        <v>-0.96435454875286175</v>
      </c>
      <c r="F15" s="572">
        <f t="shared" si="267"/>
        <v>4.8550554386698169E-2</v>
      </c>
      <c r="G15" s="579">
        <f t="shared" si="267"/>
        <v>0.26012141005386064</v>
      </c>
      <c r="H15" s="580">
        <f t="shared" si="267"/>
        <v>0.3125</v>
      </c>
      <c r="I15" s="572">
        <f t="shared" si="267"/>
        <v>0.52</v>
      </c>
      <c r="J15" s="483">
        <f t="shared" si="94"/>
        <v>1.1279999999999999</v>
      </c>
      <c r="K15" s="806">
        <f t="shared" si="267"/>
        <v>1613</v>
      </c>
      <c r="L15" s="814">
        <f>IF($L14=$JJ$22,$JJ$29,IF($L14=$JK$22,$JK$29,""))</f>
        <v>330</v>
      </c>
      <c r="M15" s="164">
        <f t="shared" si="4"/>
        <v>1.1279999999999999</v>
      </c>
      <c r="N15" s="575">
        <f t="shared" si="5"/>
        <v>4.831690575568285E-2</v>
      </c>
      <c r="O15" s="572">
        <f t="shared" si="6"/>
        <v>4.8061558340255672</v>
      </c>
      <c r="P15" s="576">
        <f t="shared" si="7"/>
        <v>-6.0902596192784209E-2</v>
      </c>
      <c r="Q15" s="528">
        <f t="shared" si="144"/>
        <v>89.424017526990269</v>
      </c>
      <c r="R15" s="572">
        <f t="shared" si="95"/>
        <v>4.806398695938551</v>
      </c>
      <c r="S15" s="577">
        <f t="shared" si="96"/>
        <v>-6.0902596192784209E-2</v>
      </c>
      <c r="T15" s="578">
        <f t="shared" si="97"/>
        <v>4.8063559155340307</v>
      </c>
      <c r="U15" s="572">
        <f t="shared" si="98"/>
        <v>-2.0278992352535441E-2</v>
      </c>
      <c r="V15" s="579">
        <f t="shared" si="145"/>
        <v>-6.0902596192784209E-2</v>
      </c>
      <c r="W15" s="528">
        <f t="shared" ref="W15:W78" si="268">IF(M15="","",IF(Q15-$Q$8&lt;0,360+Q15-$Q$8,Q15-$Q$8))</f>
        <v>359.75825889707755</v>
      </c>
      <c r="X15" s="572">
        <f>IF(M15="","",R15)</f>
        <v>4.806398695938551</v>
      </c>
      <c r="Y15" s="573">
        <f t="shared" si="9"/>
        <v>-6.0902596192784209E-2</v>
      </c>
      <c r="Z15" s="575">
        <f t="shared" si="10"/>
        <v>0.96435454875286175</v>
      </c>
      <c r="AA15" s="572">
        <f t="shared" si="11"/>
        <v>-4.8550554386698169E-2</v>
      </c>
      <c r="AB15" s="572">
        <f t="shared" si="12"/>
        <v>-0.26012141005386064</v>
      </c>
      <c r="AC15" s="579">
        <f t="shared" si="100"/>
        <v>1</v>
      </c>
      <c r="AD15" s="580">
        <f t="shared" si="146"/>
        <v>0.96435454875286175</v>
      </c>
      <c r="AE15" s="572">
        <f t="shared" si="101"/>
        <v>-4.8550554386698169E-2</v>
      </c>
      <c r="AF15" s="576">
        <f t="shared" si="102"/>
        <v>-0.26012141005386064</v>
      </c>
      <c r="AG15" s="545">
        <f t="shared" si="103"/>
        <v>-10.572365056990577</v>
      </c>
      <c r="AH15" s="546">
        <f t="shared" si="104"/>
        <v>15.34398816702971</v>
      </c>
      <c r="AI15" s="528">
        <f t="shared" si="105"/>
        <v>-74.922733692540149</v>
      </c>
      <c r="AJ15" s="529">
        <f t="shared" si="106"/>
        <v>87.117869978404556</v>
      </c>
      <c r="AK15" s="578">
        <f t="shared" si="247"/>
        <v>0.96479388133922594</v>
      </c>
      <c r="AL15" s="572">
        <f t="shared" si="107"/>
        <v>-3.8853810134696742E-2</v>
      </c>
      <c r="AM15" s="577">
        <f t="shared" si="108"/>
        <v>-0.26012141005386064</v>
      </c>
      <c r="AN15" s="524">
        <f>IF(M15="","",DEGREES(ATAN2(-AM15,AL15)))</f>
        <v>-8.4953472155020027</v>
      </c>
      <c r="AO15" s="525">
        <f t="shared" si="110"/>
        <v>15.2485715199173</v>
      </c>
      <c r="AP15" s="528">
        <f t="shared" si="111"/>
        <v>-2.3061475485857237</v>
      </c>
      <c r="AQ15" s="529">
        <f t="shared" si="13"/>
        <v>0.47429992844107133</v>
      </c>
      <c r="AR15" s="979"/>
      <c r="AS15" s="954">
        <f t="shared" si="147"/>
        <v>359.75825889707755</v>
      </c>
      <c r="AT15" s="950">
        <f t="shared" si="14"/>
        <v>-6.2632316027515123E-2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1.1279999999999999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1613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79</v>
      </c>
      <c r="JE15" s="31"/>
      <c r="JF15" s="219"/>
      <c r="JG15" s="219"/>
      <c r="JH15" s="219"/>
      <c r="JI15" s="219"/>
      <c r="JM15" s="489">
        <f t="shared" si="133"/>
        <v>28</v>
      </c>
      <c r="JN15" s="960">
        <f>($JO15-SMALL($JO$9:$JO$88,1))/((Settings!$C$19/2)-((Settings!$C$19/2)-LARGE($JO$9:$JO$88,1))-SMALL($JO$9:$JO$88,1))</f>
        <v>0.54519678784791892</v>
      </c>
      <c r="JO15" s="162">
        <f t="shared" si="134"/>
        <v>4.806398695938551</v>
      </c>
      <c r="JP15" s="961">
        <f t="shared" si="135"/>
        <v>-8.4953472155020027</v>
      </c>
      <c r="JQ15" s="961">
        <f t="shared" si="136"/>
        <v>15.2485715199173</v>
      </c>
      <c r="JS15" s="82">
        <v>10</v>
      </c>
      <c r="JT15" s="322">
        <f t="shared" si="137"/>
        <v>2.5698201060044195</v>
      </c>
      <c r="JU15" s="963">
        <f t="shared" si="138"/>
        <v>0.27185686022864652</v>
      </c>
      <c r="JV15" s="964">
        <v>3</v>
      </c>
      <c r="JW15" s="961">
        <f t="shared" si="92"/>
        <v>15.117071809551682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0.02</v>
      </c>
      <c r="B16" s="578">
        <f t="shared" ref="B16:D16" si="269">IFERROR(O171+($A16*-E16),"")</f>
        <v>0.10219883562001238</v>
      </c>
      <c r="C16" s="572">
        <f t="shared" si="269"/>
        <v>5.5780164498760305</v>
      </c>
      <c r="D16" s="576">
        <f t="shared" si="269"/>
        <v>-7.8137487620370899E-2</v>
      </c>
      <c r="E16" s="580">
        <f t="shared" ref="E16:K16" si="270">R171</f>
        <v>-0.96040332432878683</v>
      </c>
      <c r="F16" s="572">
        <f t="shared" si="270"/>
        <v>0.1291663454032993</v>
      </c>
      <c r="G16" s="579">
        <f t="shared" si="270"/>
        <v>0.24686334242525923</v>
      </c>
      <c r="H16" s="580">
        <f t="shared" si="270"/>
        <v>0.3125</v>
      </c>
      <c r="I16" s="572">
        <f t="shared" si="270"/>
        <v>0.52</v>
      </c>
      <c r="J16" s="483">
        <f t="shared" si="94"/>
        <v>1.1339999999999999</v>
      </c>
      <c r="K16" s="806">
        <f t="shared" si="270"/>
        <v>1613</v>
      </c>
      <c r="L16" s="309"/>
      <c r="M16" s="164">
        <f t="shared" si="4"/>
        <v>1.1339999999999999</v>
      </c>
      <c r="N16" s="575">
        <f t="shared" si="5"/>
        <v>0.10219883562001238</v>
      </c>
      <c r="O16" s="572">
        <f t="shared" si="6"/>
        <v>5.5780164498760305</v>
      </c>
      <c r="P16" s="576">
        <f t="shared" si="7"/>
        <v>-7.8137487620370899E-2</v>
      </c>
      <c r="Q16" s="528">
        <f>IF(M16="","",IF(DEGREES(ATAN2(N16,O16))&lt;0,DEGREES(ATAN2(N16,O16))+360,IF(DEGREES(ATAN2(N16,O16))&gt;360,DEGREES(ATAN2(N16,O16))-360,DEGREES(ATAN2(N16,O16)))))</f>
        <v>88.950360414307028</v>
      </c>
      <c r="R16" s="572">
        <f t="shared" si="95"/>
        <v>5.5789526003623369</v>
      </c>
      <c r="S16" s="577">
        <f t="shared" si="96"/>
        <v>-7.8137487620370899E-2</v>
      </c>
      <c r="T16" s="578">
        <f t="shared" si="97"/>
        <v>5.5785177223260547</v>
      </c>
      <c r="U16" s="572">
        <f t="shared" si="98"/>
        <v>-6.9657295266234737E-2</v>
      </c>
      <c r="V16" s="579">
        <f t="shared" si="145"/>
        <v>-7.8137487620370899E-2</v>
      </c>
      <c r="W16" s="528">
        <f>IF(M16="","",IF(Q16-$Q$8&lt;0,360+Q16-$Q$8,Q16-$Q$8))</f>
        <v>359.28460178439434</v>
      </c>
      <c r="X16" s="572">
        <f t="shared" si="99"/>
        <v>5.5789526003623369</v>
      </c>
      <c r="Y16" s="573">
        <f t="shared" ref="Y16:Y75" si="271">IF(M16="","",S16)</f>
        <v>-7.8137487620370899E-2</v>
      </c>
      <c r="Z16" s="575">
        <f t="shared" si="10"/>
        <v>0.96040332432878683</v>
      </c>
      <c r="AA16" s="572">
        <f t="shared" si="11"/>
        <v>-0.1291663454032993</v>
      </c>
      <c r="AB16" s="572">
        <f t="shared" si="12"/>
        <v>-0.24686334242525923</v>
      </c>
      <c r="AC16" s="579">
        <f t="shared" si="100"/>
        <v>1</v>
      </c>
      <c r="AD16" s="580">
        <f t="shared" si="146"/>
        <v>0.96040332432878683</v>
      </c>
      <c r="AE16" s="572">
        <f t="shared" si="101"/>
        <v>-0.1291663454032993</v>
      </c>
      <c r="AF16" s="576">
        <f t="shared" si="102"/>
        <v>-0.24686334242525923</v>
      </c>
      <c r="AG16" s="545">
        <f t="shared" si="103"/>
        <v>-27.619920910880243</v>
      </c>
      <c r="AH16" s="546">
        <f t="shared" si="104"/>
        <v>16.177468505695675</v>
      </c>
      <c r="AI16" s="528">
        <f t="shared" si="105"/>
        <v>-75.70802174466661</v>
      </c>
      <c r="AJ16" s="529">
        <f t="shared" si="106"/>
        <v>82.340152245482258</v>
      </c>
      <c r="AK16" s="578">
        <f t="shared" si="247"/>
        <v>0.96260832030985866</v>
      </c>
      <c r="AL16" s="572">
        <f t="shared" si="107"/>
        <v>-0.11155138653043296</v>
      </c>
      <c r="AM16" s="577">
        <f t="shared" si="108"/>
        <v>-0.24686334242525923</v>
      </c>
      <c r="AN16" s="524">
        <f t="shared" si="109"/>
        <v>-24.317023772778249</v>
      </c>
      <c r="AO16" s="525">
        <f t="shared" si="110"/>
        <v>15.717654612325031</v>
      </c>
      <c r="AP16" s="528">
        <f t="shared" si="111"/>
        <v>-6.6102081688247889</v>
      </c>
      <c r="AQ16" s="529">
        <f t="shared" si="13"/>
        <v>0.40862293409429434</v>
      </c>
      <c r="AR16" s="979"/>
      <c r="AS16" s="954">
        <f t="shared" si="147"/>
        <v>359.28460178439434</v>
      </c>
      <c r="AT16" s="950">
        <f t="shared" si="14"/>
        <v>-7.9538278904627363E-2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1.1339999999999999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34</v>
      </c>
      <c r="JN16" s="960">
        <f>($JO16-SMALL($JO$9:$JO$88,1))/((Settings!$C$19/2)-((Settings!$C$19/2)-LARGE($JO$9:$JO$88,1))-SMALL($JO$9:$JO$88,1))</f>
        <v>0.63961324576608358</v>
      </c>
      <c r="JO16" s="162">
        <f t="shared" si="134"/>
        <v>5.5789526003623369</v>
      </c>
      <c r="JP16" s="961">
        <f t="shared" si="135"/>
        <v>-24.317023772778249</v>
      </c>
      <c r="JQ16" s="961">
        <f t="shared" si="136"/>
        <v>15.717654612325031</v>
      </c>
      <c r="JS16" s="82">
        <v>13</v>
      </c>
      <c r="JT16" s="322">
        <f t="shared" si="137"/>
        <v>2.9407120661087163</v>
      </c>
      <c r="JU16" s="963">
        <f t="shared" si="138"/>
        <v>0.31718483662337016</v>
      </c>
      <c r="JV16" s="964">
        <v>3</v>
      </c>
      <c r="JW16" s="961">
        <f t="shared" si="92"/>
        <v>15.101693366717845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0.02</v>
      </c>
      <c r="B17" s="578">
        <f t="shared" ref="B17:D17" si="272">IFERROR(O172+($A17*-E17),"")</f>
        <v>0.17898232967224598</v>
      </c>
      <c r="C17" s="572">
        <f t="shared" si="272"/>
        <v>6.3087119838308725</v>
      </c>
      <c r="D17" s="576">
        <f t="shared" si="272"/>
        <v>-0.26651608446325814</v>
      </c>
      <c r="E17" s="580">
        <f t="shared" ref="E17:K17" si="273">R172</f>
        <v>-0.9537921404105234</v>
      </c>
      <c r="F17" s="572">
        <f t="shared" si="273"/>
        <v>0.20910799683085315</v>
      </c>
      <c r="G17" s="579">
        <f t="shared" si="273"/>
        <v>0.21576468328366549</v>
      </c>
      <c r="H17" s="580">
        <f t="shared" si="273"/>
        <v>0.3125</v>
      </c>
      <c r="I17" s="572">
        <f t="shared" si="273"/>
        <v>0.52</v>
      </c>
      <c r="J17" s="483">
        <f t="shared" si="94"/>
        <v>1.1399999999999999</v>
      </c>
      <c r="K17" s="806">
        <f t="shared" si="273"/>
        <v>1613</v>
      </c>
      <c r="M17" s="164">
        <f t="shared" si="4"/>
        <v>1.1399999999999999</v>
      </c>
      <c r="N17" s="575">
        <f t="shared" si="5"/>
        <v>0.17898232967224598</v>
      </c>
      <c r="O17" s="572">
        <f t="shared" si="6"/>
        <v>6.3087119838308725</v>
      </c>
      <c r="P17" s="576">
        <f t="shared" si="7"/>
        <v>-0.26651608446325814</v>
      </c>
      <c r="Q17" s="528">
        <f>IF(M17="","",IF(DEGREES(ATAN2(N17,O17))&lt;0,DEGREES(ATAN2(N17,O17))+360,IF(DEGREES(ATAN2(N17,O17))&gt;360,DEGREES(ATAN2(N17,O17))-360,DEGREES(ATAN2(N17,O17)))))</f>
        <v>88.3749167702194</v>
      </c>
      <c r="R17" s="572">
        <f>IF(M17="","",SQRT(N17^2+O17^2))</f>
        <v>6.3112503966540707</v>
      </c>
      <c r="S17" s="577">
        <f>IF(M17="","",P17)</f>
        <v>-0.26651608446325814</v>
      </c>
      <c r="T17" s="578">
        <f>IF(M17="","",X17*COS(RADIANS(W17)))</f>
        <v>6.3096487457567925</v>
      </c>
      <c r="U17" s="572">
        <f>IF(M17="","",X17*SIN(RADIANS(W17)))</f>
        <v>-0.14217691245733002</v>
      </c>
      <c r="V17" s="579">
        <f>IF(M17="","",Y17)</f>
        <v>-0.26651608446325814</v>
      </c>
      <c r="W17" s="528">
        <f t="shared" si="268"/>
        <v>358.70915814030667</v>
      </c>
      <c r="X17" s="572">
        <f>IF(M17="","",R17)</f>
        <v>6.3112503966540707</v>
      </c>
      <c r="Y17" s="573">
        <f t="shared" si="271"/>
        <v>-0.26651608446325814</v>
      </c>
      <c r="Z17" s="575">
        <f t="shared" si="10"/>
        <v>0.9537921404105234</v>
      </c>
      <c r="AA17" s="572">
        <f t="shared" si="11"/>
        <v>-0.20910799683085315</v>
      </c>
      <c r="AB17" s="572">
        <f t="shared" si="12"/>
        <v>-0.21576468328366549</v>
      </c>
      <c r="AC17" s="579">
        <f>IF(M17="","",SQRT(Z17^2+AA17^2+AB17^2))</f>
        <v>1</v>
      </c>
      <c r="AD17" s="580">
        <f>IF(M17="","",Z17*(1/SQRT(Z17^2+AA17^2+AB17^2)))</f>
        <v>0.9537921404105234</v>
      </c>
      <c r="AE17" s="572">
        <f>IF(M17="","",AA17*(1/SQRT(Z17^2+AA17^2+AB17^2)))</f>
        <v>-0.20910799683085315</v>
      </c>
      <c r="AF17" s="576">
        <f>IF(M17="","",AB17*(1/SQRT(Z17^2+AA17^2+AB17^2)))</f>
        <v>-0.21576468328366549</v>
      </c>
      <c r="AG17" s="545">
        <f>IF(M17="","",DEGREES(ATAN2(-AF17,AE17)))</f>
        <v>-44.102392659499287</v>
      </c>
      <c r="AH17" s="546">
        <f>IF(M17="","",DEGREES(ACOS(AD17)))</f>
        <v>17.485667852284102</v>
      </c>
      <c r="AI17" s="528">
        <f>IF(M17="","",DEGREES(-ACOS(-AF17)))</f>
        <v>-77.539606551550762</v>
      </c>
      <c r="AJ17" s="529">
        <f>IF(M17="","",DEGREES(ATAN2(-AE17,AD17)))</f>
        <v>77.634202398499696</v>
      </c>
      <c r="AK17" s="578">
        <f>IF(M17="","",(COS(RADIANS((90-$Q$8)-W17))*AD17)+(-SIN(RADIANS((90-$Q$8)-W17))*AE17))</f>
        <v>0.9593386670139612</v>
      </c>
      <c r="AL17" s="572">
        <f>IF(M17="","",(SIN(RADIANS((90-$Q$8)-W17))*AD17)+(COS(RADIANS((90-$Q$8)-W17))*AE17))</f>
        <v>-0.18197506263050386</v>
      </c>
      <c r="AM17" s="577">
        <f>IF(M17="","",AF17)</f>
        <v>-0.21576468328366549</v>
      </c>
      <c r="AN17" s="524">
        <f>IF(M17="","",DEGREES(ATAN2(-AM17,AL17)))</f>
        <v>-40.144148316643815</v>
      </c>
      <c r="AO17" s="525">
        <f t="shared" si="110"/>
        <v>16.394988391641736</v>
      </c>
      <c r="AP17" s="528">
        <f>IF(M17="","",DEGREES(ATAN2(AK17,AL17)))</f>
        <v>-10.740714371719701</v>
      </c>
      <c r="AQ17" s="529">
        <f t="shared" si="13"/>
        <v>0.36121153279218005</v>
      </c>
      <c r="AR17" s="979"/>
      <c r="AS17" s="954">
        <f t="shared" si="147"/>
        <v>358.70915814030667</v>
      </c>
      <c r="AT17" s="950">
        <f t="shared" si="14"/>
        <v>-0.26751726210578708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1.1399999999999999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1613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40</v>
      </c>
      <c r="JN17" s="960">
        <f>($JO17-SMALL($JO$9:$JO$88,1))/((Settings!$C$19/2)-((Settings!$C$19/2)-LARGE($JO$9:$JO$88,1))-SMALL($JO$9:$JO$88,1))</f>
        <v>0.72910986687074608</v>
      </c>
      <c r="JO17" s="162">
        <f t="shared" si="134"/>
        <v>6.3112503966540707</v>
      </c>
      <c r="JP17" s="961">
        <f t="shared" si="135"/>
        <v>-40.144148316643815</v>
      </c>
      <c r="JQ17" s="961">
        <f t="shared" si="136"/>
        <v>16.394988391641736</v>
      </c>
      <c r="JS17" s="82">
        <v>14</v>
      </c>
      <c r="JT17" s="322">
        <f t="shared" si="137"/>
        <v>3.0644098776928335</v>
      </c>
      <c r="JU17" s="963">
        <f t="shared" si="138"/>
        <v>0.33230236972381028</v>
      </c>
      <c r="JV17" s="964">
        <v>3</v>
      </c>
      <c r="JW17" s="961">
        <f t="shared" si="92"/>
        <v>15.097423680705013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0.02</v>
      </c>
      <c r="B18" s="578">
        <f t="shared" ref="B18:D18" si="274">IFERROR(O173+($A18*-E18),"")</f>
        <v>0.27174437874133195</v>
      </c>
      <c r="C18" s="572">
        <f t="shared" si="274"/>
        <v>6.9810572957691255</v>
      </c>
      <c r="D18" s="576">
        <f t="shared" si="274"/>
        <v>-0.6146037182094054</v>
      </c>
      <c r="E18" s="580">
        <f>R173</f>
        <v>-0.92970672149467037</v>
      </c>
      <c r="F18" s="572">
        <f t="shared" ref="F18:K18" si="275">S173</f>
        <v>0.29896494126418371</v>
      </c>
      <c r="G18" s="579">
        <f t="shared" si="275"/>
        <v>0.2150938769526799</v>
      </c>
      <c r="H18" s="580">
        <f t="shared" si="275"/>
        <v>0.3125</v>
      </c>
      <c r="I18" s="572">
        <f t="shared" si="275"/>
        <v>0.52</v>
      </c>
      <c r="J18" s="483">
        <f t="shared" si="94"/>
        <v>1.1459999999999999</v>
      </c>
      <c r="K18" s="806">
        <f t="shared" si="275"/>
        <v>1613</v>
      </c>
      <c r="L18" s="720" t="s">
        <v>322</v>
      </c>
      <c r="M18" s="164">
        <f t="shared" si="4"/>
        <v>1.1459999999999999</v>
      </c>
      <c r="N18" s="575">
        <f t="shared" si="5"/>
        <v>0.27174437874133195</v>
      </c>
      <c r="O18" s="572">
        <f t="shared" si="6"/>
        <v>6.9810572957691255</v>
      </c>
      <c r="P18" s="576">
        <f t="shared" si="7"/>
        <v>-0.6146037182094054</v>
      </c>
      <c r="Q18" s="528">
        <f t="shared" si="144"/>
        <v>87.770832047095496</v>
      </c>
      <c r="R18" s="572">
        <f>IF(M18="","",SQRT(N18^2+O18^2))</f>
        <v>6.9863442496193136</v>
      </c>
      <c r="S18" s="577">
        <f>IF(M18="","",P18)</f>
        <v>-0.6146037182094054</v>
      </c>
      <c r="T18" s="578">
        <f>IF(M18="","",X18*COS(RADIANS(W18)))</f>
        <v>6.9825237521953758</v>
      </c>
      <c r="U18" s="572">
        <f>IF(M18="","",X18*SIN(RADIANS(W18)))</f>
        <v>-0.23101520343098148</v>
      </c>
      <c r="V18" s="579">
        <f>IF(M18="","",Y18)</f>
        <v>-0.6146037182094054</v>
      </c>
      <c r="W18" s="528">
        <f t="shared" si="268"/>
        <v>358.10507341718278</v>
      </c>
      <c r="X18" s="572">
        <f>IF(M18="","",R18)</f>
        <v>6.9863442496193136</v>
      </c>
      <c r="Y18" s="573">
        <f t="shared" si="271"/>
        <v>-0.6146037182094054</v>
      </c>
      <c r="Z18" s="575">
        <f t="shared" si="10"/>
        <v>0.92970672149467037</v>
      </c>
      <c r="AA18" s="572">
        <f t="shared" si="11"/>
        <v>-0.29896494126418371</v>
      </c>
      <c r="AB18" s="572">
        <f t="shared" si="12"/>
        <v>-0.2150938769526799</v>
      </c>
      <c r="AC18" s="579">
        <f>IF(M18="","",SQRT(Z18^2+AA18^2+AB18^2))</f>
        <v>1</v>
      </c>
      <c r="AD18" s="580">
        <f>IF(M18="","",Z18*(1/SQRT(Z18^2+AA18^2+AB18^2)))</f>
        <v>0.92970672149467037</v>
      </c>
      <c r="AE18" s="572">
        <f>IF(M18="","",AA18*(1/SQRT(Z18^2+AA18^2+AB18^2)))</f>
        <v>-0.29896494126418371</v>
      </c>
      <c r="AF18" s="576">
        <f>IF(M18="","",AB18*(1/SQRT(Z18^2+AA18^2+AB18^2)))</f>
        <v>-0.2150938769526799</v>
      </c>
      <c r="AG18" s="545">
        <f>IF(M18="","",DEGREES(ATAN2(-AF18,AE18)))</f>
        <v>-54.266423735546979</v>
      </c>
      <c r="AH18" s="546">
        <f>IF(M18="","",DEGREES(ACOS(AD18)))</f>
        <v>21.610855698494554</v>
      </c>
      <c r="AI18" s="528">
        <f>IF(M18="","",DEGREES(-ACOS(-AF18)))</f>
        <v>-77.578965084269214</v>
      </c>
      <c r="AJ18" s="529">
        <f>IF(M18="","",DEGREES(ATAN2(-AE18,AD18)))</f>
        <v>72.173814358181232</v>
      </c>
      <c r="AK18" s="578">
        <f>IF(M18="","",(COS(RADIANS((90-$Q$8)-W18))*AD18)+(-SIN(RADIANS((90-$Q$8)-W18))*AE18))</f>
        <v>0.9406318524317383</v>
      </c>
      <c r="AL18" s="572">
        <f>IF(M18="","",(SIN(RADIANS((90-$Q$8)-W18))*AD18)+(COS(RADIANS((90-$Q$8)-W18))*AE18))</f>
        <v>-0.26257635515846006</v>
      </c>
      <c r="AM18" s="577">
        <f>IF(M18="","",AF18)</f>
        <v>-0.2150938769526799</v>
      </c>
      <c r="AN18" s="524">
        <f>IF(M18="","",DEGREES(ATAN2(-AM18,AL18)))</f>
        <v>-50.676798358330245</v>
      </c>
      <c r="AO18" s="525">
        <f t="shared" si="110"/>
        <v>19.842060074827309</v>
      </c>
      <c r="AP18" s="528">
        <f>IF(M18="","",DEGREES(ATAN2(AK18,AL18)))</f>
        <v>-15.597017688914249</v>
      </c>
      <c r="AQ18" s="529">
        <f t="shared" si="13"/>
        <v>0.32630828126569411</v>
      </c>
      <c r="AR18" s="979"/>
      <c r="AS18" s="954">
        <f t="shared" si="147"/>
        <v>358.10507341718278</v>
      </c>
      <c r="AT18" s="950">
        <f t="shared" si="14"/>
        <v>-0.61518539257198712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1.1459999999999999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1613</v>
      </c>
      <c r="IM18" s="482" t="str">
        <f t="shared" si="242"/>
        <v/>
      </c>
      <c r="IN18" s="670" t="str">
        <f t="shared" si="81"/>
        <v/>
      </c>
      <c r="IO18" s="702"/>
      <c r="IP18" s="5" t="str">
        <f t="shared" si="82"/>
        <v/>
      </c>
      <c r="IQ18" s="714"/>
      <c r="IR18" s="9" t="str">
        <f t="shared" si="13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  <c r="JM18" s="489">
        <f t="shared" si="133"/>
        <v>46</v>
      </c>
      <c r="JN18" s="960">
        <f>($JO18-SMALL($JO$9:$JO$88,1))/((Settings!$C$19/2)-((Settings!$C$19/2)-LARGE($JO$9:$JO$88,1))-SMALL($JO$9:$JO$88,1))</f>
        <v>0.81161539819266115</v>
      </c>
      <c r="JO18" s="162">
        <f t="shared" si="134"/>
        <v>6.9863442496193136</v>
      </c>
      <c r="JP18" s="961">
        <f t="shared" si="135"/>
        <v>-50.676798358330245</v>
      </c>
      <c r="JQ18" s="961">
        <f t="shared" si="136"/>
        <v>19.842060074827309</v>
      </c>
      <c r="JS18" s="82">
        <v>15</v>
      </c>
      <c r="JT18" s="322">
        <f t="shared" si="137"/>
        <v>3.1880078895842656</v>
      </c>
      <c r="JU18" s="963">
        <f t="shared" si="138"/>
        <v>0.34740770596208886</v>
      </c>
      <c r="JV18" s="964">
        <v>3</v>
      </c>
      <c r="JW18" s="961">
        <f t="shared" si="92"/>
        <v>15.093500566132613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0.02</v>
      </c>
      <c r="B19" s="578">
        <f t="shared" ref="B19:D19" si="276">IFERROR(O174+($A19*-E19),"")</f>
        <v>0.36792839912722747</v>
      </c>
      <c r="C19" s="572">
        <f t="shared" si="276"/>
        <v>7.5547412188117242</v>
      </c>
      <c r="D19" s="576">
        <f t="shared" si="276"/>
        <v>-1.1027839669051844</v>
      </c>
      <c r="E19" s="580">
        <f t="shared" ref="E19:K19" si="277">R174</f>
        <v>-0.89490351737967855</v>
      </c>
      <c r="F19" s="572">
        <f t="shared" si="277"/>
        <v>0.39427532892141687</v>
      </c>
      <c r="G19" s="579">
        <f t="shared" si="277"/>
        <v>0.20903267587960514</v>
      </c>
      <c r="H19" s="580">
        <f t="shared" si="277"/>
        <v>0.3125</v>
      </c>
      <c r="I19" s="572">
        <f t="shared" si="277"/>
        <v>0.52</v>
      </c>
      <c r="J19" s="483">
        <f t="shared" si="94"/>
        <v>1.1519999999999999</v>
      </c>
      <c r="K19" s="806">
        <f t="shared" si="277"/>
        <v>1613</v>
      </c>
      <c r="L19" s="718" t="s">
        <v>357</v>
      </c>
      <c r="M19" s="164">
        <f t="shared" si="4"/>
        <v>1.1519999999999999</v>
      </c>
      <c r="N19" s="575">
        <f t="shared" si="5"/>
        <v>0.36792839912722747</v>
      </c>
      <c r="O19" s="572">
        <f t="shared" si="6"/>
        <v>7.5547412188117242</v>
      </c>
      <c r="P19" s="576">
        <f t="shared" si="7"/>
        <v>-1.1027839669051844</v>
      </c>
      <c r="Q19" s="528">
        <f t="shared" si="144"/>
        <v>87.211803726257912</v>
      </c>
      <c r="R19" s="572">
        <f>IF(M19="","",SQRT(N19^2+O19^2))</f>
        <v>7.5636952734822138</v>
      </c>
      <c r="S19" s="577">
        <f>IF(M19="","",P19)</f>
        <v>-1.1027839669051844</v>
      </c>
      <c r="T19" s="578">
        <f>IF(M19="","",X19*COS(RADIANS(W19)))</f>
        <v>7.5567590108491665</v>
      </c>
      <c r="U19" s="572">
        <f>IF(M19="","",X19*SIN(RADIANS(W19)))</f>
        <v>-0.3238509565326565</v>
      </c>
      <c r="V19" s="579">
        <f>IF(M19="","",Y19)</f>
        <v>-1.1027839669051844</v>
      </c>
      <c r="W19" s="528">
        <f t="shared" si="268"/>
        <v>357.54604509634521</v>
      </c>
      <c r="X19" s="572">
        <f>IF(M19="","",R19)</f>
        <v>7.5636952734822138</v>
      </c>
      <c r="Y19" s="573">
        <f t="shared" si="271"/>
        <v>-1.1027839669051844</v>
      </c>
      <c r="Z19" s="575">
        <f t="shared" si="10"/>
        <v>0.89490351737967855</v>
      </c>
      <c r="AA19" s="572">
        <f t="shared" si="11"/>
        <v>-0.39427532892141687</v>
      </c>
      <c r="AB19" s="572">
        <f t="shared" si="12"/>
        <v>-0.20903267587960514</v>
      </c>
      <c r="AC19" s="579">
        <f>IF(M19="","",SQRT(Z19^2+AA19^2+AB19^2))</f>
        <v>1</v>
      </c>
      <c r="AD19" s="580">
        <f>IF(M19="","",Z19*(1/SQRT(Z19^2+AA19^2+AB19^2)))</f>
        <v>0.89490351737967855</v>
      </c>
      <c r="AE19" s="572">
        <f>IF(M19="","",AA19*(1/SQRT(Z19^2+AA19^2+AB19^2)))</f>
        <v>-0.39427532892141687</v>
      </c>
      <c r="AF19" s="576">
        <f>IF(M19="","",AB19*(1/SQRT(Z19^2+AA19^2+AB19^2)))</f>
        <v>-0.20903267587960514</v>
      </c>
      <c r="AG19" s="545">
        <f>IF(M19="","",DEGREES(ATAN2(-AF19,AE19)))</f>
        <v>-62.068837794276092</v>
      </c>
      <c r="AH19" s="546">
        <f>IF(M19="","",DEGREES(ACOS(AD19)))</f>
        <v>26.503960398769017</v>
      </c>
      <c r="AI19" s="528">
        <f>IF(M19="","",DEGREES(-ACOS(-AF19)))</f>
        <v>-77.934329387845736</v>
      </c>
      <c r="AJ19" s="529">
        <f>IF(M19="","",DEGREES(ATAN2(-AE19,AD19)))</f>
        <v>66.222737718563039</v>
      </c>
      <c r="AK19" s="578">
        <f>IF(M19="","",(COS(RADIANS((90-$Q$8)-W19))*AD19)+(-SIN(RADIANS((90-$Q$8)-W19))*AE19))</f>
        <v>0.91302324201301766</v>
      </c>
      <c r="AL19" s="572">
        <f>IF(M19="","",(SIN(RADIANS((90-$Q$8)-W19))*AD19)+(COS(RADIANS((90-$Q$8)-W19))*AE19))</f>
        <v>-0.35027689041478388</v>
      </c>
      <c r="AM19" s="577">
        <f>IF(M19="","",AF19)</f>
        <v>-0.20903267587960514</v>
      </c>
      <c r="AN19" s="524">
        <f>IF(M19="","",DEGREES(ATAN2(-AM19,AL19)))</f>
        <v>-59.172763830101175</v>
      </c>
      <c r="AO19" s="525">
        <f t="shared" si="110"/>
        <v>24.073457217686279</v>
      </c>
      <c r="AP19" s="528">
        <f>IF(M19="","",DEGREES(ATAN2(AK19,AL19)))</f>
        <v>-20.989066007694881</v>
      </c>
      <c r="AQ19" s="529">
        <f t="shared" si="13"/>
        <v>0.30140103760261588</v>
      </c>
      <c r="AR19" s="979"/>
      <c r="AS19" s="954">
        <f t="shared" si="147"/>
        <v>357.54604509634521</v>
      </c>
      <c r="AT19" s="950">
        <f t="shared" si="14"/>
        <v>-1.1029774271560735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1.1519999999999999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1613</v>
      </c>
      <c r="IM19" s="482" t="str">
        <f t="shared" si="242"/>
        <v/>
      </c>
      <c r="IN19" s="670" t="str">
        <f t="shared" si="81"/>
        <v/>
      </c>
      <c r="IO19" s="702"/>
      <c r="IP19" s="5" t="str">
        <f t="shared" si="82"/>
        <v/>
      </c>
      <c r="IQ19" s="714"/>
      <c r="IR19" s="9" t="str">
        <f t="shared" si="13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089" t="s">
        <v>356</v>
      </c>
      <c r="JE19" s="1090"/>
      <c r="JF19" s="1090"/>
      <c r="JG19" s="1090"/>
      <c r="JH19" s="1090"/>
      <c r="JI19" s="1090"/>
      <c r="JJ19" s="1090"/>
      <c r="JK19" s="1091"/>
      <c r="JM19" s="489">
        <f t="shared" si="133"/>
        <v>52</v>
      </c>
      <c r="JN19" s="960">
        <f>($JO19-SMALL($JO$9:$JO$88,1))/((Settings!$C$19/2)-((Settings!$C$19/2)-LARGE($JO$9:$JO$88,1))-SMALL($JO$9:$JO$88,1))</f>
        <v>0.88217544369423495</v>
      </c>
      <c r="JO19" s="162">
        <f t="shared" si="134"/>
        <v>7.5636952734822138</v>
      </c>
      <c r="JP19" s="961">
        <f t="shared" si="135"/>
        <v>-59.172763830101175</v>
      </c>
      <c r="JQ19" s="961">
        <f t="shared" si="136"/>
        <v>24.073457217686279</v>
      </c>
      <c r="JS19" s="82">
        <v>16</v>
      </c>
      <c r="JT19" s="322">
        <f t="shared" si="137"/>
        <v>3.3116060777066654</v>
      </c>
      <c r="JU19" s="963">
        <f t="shared" si="138"/>
        <v>0.36251306373815745</v>
      </c>
      <c r="JV19" s="964">
        <v>3</v>
      </c>
      <c r="JW19" s="961">
        <f t="shared" si="92"/>
        <v>15.089880714676056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0.02</v>
      </c>
      <c r="B20" s="578">
        <f t="shared" ref="B20:D20" si="278">IFERROR(O175+($A20*-E20),"")</f>
        <v>0.45416897710500981</v>
      </c>
      <c r="C20" s="572">
        <f t="shared" si="278"/>
        <v>8.0032535793252606</v>
      </c>
      <c r="D20" s="576">
        <f t="shared" si="278"/>
        <v>-1.7109830404434758</v>
      </c>
      <c r="E20" s="580">
        <f t="shared" ref="E20:K20" si="279">R175</f>
        <v>-0.86350216792321077</v>
      </c>
      <c r="F20" s="572">
        <f t="shared" si="279"/>
        <v>0.47341810093176845</v>
      </c>
      <c r="G20" s="579">
        <f t="shared" si="279"/>
        <v>0.17389453039722982</v>
      </c>
      <c r="H20" s="580">
        <f t="shared" si="279"/>
        <v>0.3125</v>
      </c>
      <c r="I20" s="572">
        <f t="shared" si="279"/>
        <v>0.52</v>
      </c>
      <c r="J20" s="483">
        <f t="shared" si="94"/>
        <v>1.1579999999999999</v>
      </c>
      <c r="K20" s="806">
        <f t="shared" si="279"/>
        <v>1613</v>
      </c>
      <c r="L20" s="717">
        <f>IF($L19=$JJ$22,$JJ$30,IF($L19=$JK$22,$JK$30,""))</f>
        <v>230</v>
      </c>
      <c r="M20" s="164">
        <f t="shared" si="4"/>
        <v>1.1579999999999999</v>
      </c>
      <c r="N20" s="575">
        <f t="shared" si="5"/>
        <v>0.45416897710500981</v>
      </c>
      <c r="O20" s="572">
        <f t="shared" si="6"/>
        <v>8.0032535793252606</v>
      </c>
      <c r="P20" s="576">
        <f t="shared" si="7"/>
        <v>-1.7109830404434758</v>
      </c>
      <c r="Q20" s="528">
        <f t="shared" si="144"/>
        <v>86.752060150331616</v>
      </c>
      <c r="R20" s="572">
        <f>IF(M20="","",SQRT(N20^2+O20^2))</f>
        <v>8.0161298214753991</v>
      </c>
      <c r="S20" s="577">
        <f>IF(M20="","",P20)</f>
        <v>-1.7109830404434758</v>
      </c>
      <c r="T20" s="578">
        <f>IF(M20="","",X20*COS(RADIANS(W20)))</f>
        <v>8.00576683096671</v>
      </c>
      <c r="U20" s="572">
        <f>IF(M20="","",X20*SIN(RADIANS(W20)))</f>
        <v>-0.40747363465682185</v>
      </c>
      <c r="V20" s="579">
        <f>IF(M20="","",Y20)</f>
        <v>-1.7109830404434758</v>
      </c>
      <c r="W20" s="528">
        <f t="shared" si="268"/>
        <v>357.08630152041889</v>
      </c>
      <c r="X20" s="572">
        <f>IF(M20="","",R20)</f>
        <v>8.0161298214753991</v>
      </c>
      <c r="Y20" s="573">
        <f t="shared" si="271"/>
        <v>-1.7109830404434758</v>
      </c>
      <c r="Z20" s="575">
        <f t="shared" si="10"/>
        <v>0.86350216792321077</v>
      </c>
      <c r="AA20" s="572">
        <f t="shared" si="11"/>
        <v>-0.47341810093176845</v>
      </c>
      <c r="AB20" s="572">
        <f t="shared" si="12"/>
        <v>-0.17389453039722982</v>
      </c>
      <c r="AC20" s="579">
        <f>IF(M20="","",SQRT(Z20^2+AA20^2+AB20^2))</f>
        <v>1</v>
      </c>
      <c r="AD20" s="580">
        <f>IF(M20="","",Z20*(1/SQRT(Z20^2+AA20^2+AB20^2)))</f>
        <v>0.86350216792321077</v>
      </c>
      <c r="AE20" s="572">
        <f>IF(M20="","",AA20*(1/SQRT(Z20^2+AA20^2+AB20^2)))</f>
        <v>-0.47341810093176845</v>
      </c>
      <c r="AF20" s="576">
        <f>IF(M20="","",AB20*(1/SQRT(Z20^2+AA20^2+AB20^2)))</f>
        <v>-0.17389453039722982</v>
      </c>
      <c r="AG20" s="545">
        <f>IF(M20="","",DEGREES(ATAN2(-AF20,AE20)))</f>
        <v>-69.830856539447893</v>
      </c>
      <c r="AH20" s="546">
        <f>IF(M20="","",DEGREES(ACOS(AD20)))</f>
        <v>30.287890004494379</v>
      </c>
      <c r="AI20" s="528">
        <f>IF(M20="","",DEGREES(-ACOS(-AF20)))</f>
        <v>-79.985666965829324</v>
      </c>
      <c r="AJ20" s="529">
        <f>IF(M20="","",DEGREES(ATAN2(-AE20,AD20)))</f>
        <v>61.26608907255229</v>
      </c>
      <c r="AK20" s="578">
        <f>IF(M20="","",(COS(RADIANS((90-$Q$8)-W20))*AD20)+(-SIN(RADIANS((90-$Q$8)-W20))*AE20))</f>
        <v>0.88893752839923468</v>
      </c>
      <c r="AL20" s="572">
        <f>IF(M20="","",(SIN(RADIANS((90-$Q$8)-W20))*AD20)+(COS(RADIANS((90-$Q$8)-W20))*AE20))</f>
        <v>-0.42373430696768821</v>
      </c>
      <c r="AM20" s="577">
        <f>IF(M20="","",AF20)</f>
        <v>-0.17389453039722982</v>
      </c>
      <c r="AN20" s="524">
        <f>IF(M20="","",DEGREES(ATAN2(-AM20,AL20)))</f>
        <v>-67.687451163134199</v>
      </c>
      <c r="AO20" s="525">
        <f t="shared" si="110"/>
        <v>27.259960655110493</v>
      </c>
      <c r="AP20" s="528">
        <f>IF(M20="","",DEGREES(ATAN2(AK20,AL20)))</f>
        <v>-25.485971077779286</v>
      </c>
      <c r="AQ20" s="529">
        <f t="shared" si="13"/>
        <v>0.28439009359838213</v>
      </c>
      <c r="AR20" s="979"/>
      <c r="AS20" s="954">
        <f t="shared" si="147"/>
        <v>357.08630152041889</v>
      </c>
      <c r="AT20" s="950">
        <f t="shared" si="14"/>
        <v>-1.7108572343221937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1.1579999999999999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1613</v>
      </c>
      <c r="IM20" s="482" t="str">
        <f t="shared" si="24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092" t="s">
        <v>360</v>
      </c>
      <c r="JE20" s="1093"/>
      <c r="JF20" s="1093"/>
      <c r="JG20" s="1093"/>
      <c r="JH20" s="1306" t="s">
        <v>361</v>
      </c>
      <c r="JI20" s="1307"/>
      <c r="JJ20" s="1307"/>
      <c r="JK20" s="1308"/>
      <c r="JM20" s="489">
        <f t="shared" si="133"/>
        <v>58</v>
      </c>
      <c r="JN20" s="960">
        <f>($JO20-SMALL($JO$9:$JO$88,1))/((Settings!$C$19/2)-((Settings!$C$19/2)-LARGE($JO$9:$JO$88,1))-SMALL($JO$9:$JO$88,1))</f>
        <v>0.93746901896026558</v>
      </c>
      <c r="JO20" s="162">
        <f t="shared" si="134"/>
        <v>8.0161298214753991</v>
      </c>
      <c r="JP20" s="961">
        <f t="shared" si="135"/>
        <v>-67.687451163134199</v>
      </c>
      <c r="JQ20" s="961">
        <f t="shared" si="136"/>
        <v>27.259960655110493</v>
      </c>
      <c r="JS20" s="82">
        <v>19</v>
      </c>
      <c r="JT20" s="322">
        <f t="shared" si="137"/>
        <v>3.6826015198571835</v>
      </c>
      <c r="JU20" s="963">
        <f t="shared" si="138"/>
        <v>0.40785368702807678</v>
      </c>
      <c r="JV20" s="964">
        <v>3</v>
      </c>
      <c r="JW20" s="961">
        <f t="shared" si="92"/>
        <v>15.080521470232583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0.02</v>
      </c>
      <c r="B21" s="578">
        <f t="shared" ref="B21:D21" si="281">IFERROR(O176+($A21*-E21),"")</f>
        <v>0.51701959709084566</v>
      </c>
      <c r="C21" s="572">
        <f t="shared" si="281"/>
        <v>8.3014133314576632</v>
      </c>
      <c r="D21" s="576">
        <f t="shared" si="281"/>
        <v>-2.4068524314673345</v>
      </c>
      <c r="E21" s="580">
        <f t="shared" ref="E21:K21" si="282">R176</f>
        <v>-0.83138071065349184</v>
      </c>
      <c r="F21" s="572">
        <f t="shared" si="282"/>
        <v>0.54319098579268044</v>
      </c>
      <c r="G21" s="579">
        <f t="shared" si="282"/>
        <v>0.11725897367311017</v>
      </c>
      <c r="H21" s="580">
        <f t="shared" si="282"/>
        <v>0.3125</v>
      </c>
      <c r="I21" s="572">
        <f t="shared" si="282"/>
        <v>0.52</v>
      </c>
      <c r="J21" s="483">
        <f t="shared" si="94"/>
        <v>1.1639999999999999</v>
      </c>
      <c r="K21" s="806">
        <f t="shared" si="282"/>
        <v>1613</v>
      </c>
      <c r="L21" s="719" t="s">
        <v>358</v>
      </c>
      <c r="M21" s="164">
        <f t="shared" si="4"/>
        <v>1.1639999999999999</v>
      </c>
      <c r="N21" s="575">
        <f t="shared" si="5"/>
        <v>0.51701959709084566</v>
      </c>
      <c r="O21" s="572">
        <f t="shared" si="6"/>
        <v>8.3014133314576632</v>
      </c>
      <c r="P21" s="576">
        <f t="shared" si="7"/>
        <v>-2.4068524314673345</v>
      </c>
      <c r="Q21" s="528">
        <f t="shared" si="144"/>
        <v>86.436169742508213</v>
      </c>
      <c r="R21" s="572">
        <f>IF(M21="","",SQRT(N21^2+O21^2))</f>
        <v>8.3174979749609204</v>
      </c>
      <c r="S21" s="577">
        <f>IF(M21="","",P21)</f>
        <v>-2.4068524314673345</v>
      </c>
      <c r="T21" s="578">
        <f>IF(M21="","",X21*COS(RADIANS(W21)))</f>
        <v>8.3042881538480362</v>
      </c>
      <c r="U21" s="572">
        <f>IF(M21="","",X21*SIN(RADIANS(W21)))</f>
        <v>-0.4685838466466557</v>
      </c>
      <c r="V21" s="579">
        <f>IF(M21="","",Y21)</f>
        <v>-2.4068524314673345</v>
      </c>
      <c r="W21" s="528">
        <f t="shared" si="268"/>
        <v>356.77041111259553</v>
      </c>
      <c r="X21" s="572">
        <f>IF(M21="","",R21)</f>
        <v>8.3174979749609204</v>
      </c>
      <c r="Y21" s="573">
        <f t="shared" si="271"/>
        <v>-2.4068524314673345</v>
      </c>
      <c r="Z21" s="575">
        <f t="shared" si="10"/>
        <v>0.83138071065349184</v>
      </c>
      <c r="AA21" s="572">
        <f t="shared" si="11"/>
        <v>-0.54319098579268044</v>
      </c>
      <c r="AB21" s="572">
        <f t="shared" si="12"/>
        <v>-0.11725897367311017</v>
      </c>
      <c r="AC21" s="579">
        <f>IF(M21="","",SQRT(Z21^2+AA21^2+AB21^2))</f>
        <v>1</v>
      </c>
      <c r="AD21" s="580">
        <f>IF(M21="","",Z21*(1/SQRT(Z21^2+AA21^2+AB21^2)))</f>
        <v>0.83138071065349184</v>
      </c>
      <c r="AE21" s="572">
        <f>IF(M21="","",AA21*(1/SQRT(Z21^2+AA21^2+AB21^2)))</f>
        <v>-0.54319098579268044</v>
      </c>
      <c r="AF21" s="576">
        <f>IF(M21="","",AB21*(1/SQRT(Z21^2+AA21^2+AB21^2)))</f>
        <v>-0.11725897367311017</v>
      </c>
      <c r="AG21" s="545">
        <f>IF(M21="","",DEGREES(ATAN2(-AF21,AE21)))</f>
        <v>-77.818449596345701</v>
      </c>
      <c r="AH21" s="546">
        <f>IF(M21="","",DEGREES(ACOS(AD21)))</f>
        <v>33.759167300939737</v>
      </c>
      <c r="AI21" s="528">
        <f>IF(M21="","",DEGREES(-ACOS(-AF21)))</f>
        <v>-83.266063588774614</v>
      </c>
      <c r="AJ21" s="529">
        <f>IF(M21="","",DEGREES(ATAN2(-AE21,AD21)))</f>
        <v>56.841001222748531</v>
      </c>
      <c r="AK21" s="578">
        <f>IF(M21="","",(COS(RADIANS((90-$Q$8)-W21))*AD21)+(-SIN(RADIANS((90-$Q$8)-W21))*AE21))</f>
        <v>0.86353796792926796</v>
      </c>
      <c r="AL21" s="572">
        <f>IF(M21="","",(SIN(RADIANS((90-$Q$8)-W21))*AD21)+(COS(RADIANS((90-$Q$8)-W21))*AE21))</f>
        <v>-0.49046152860109204</v>
      </c>
      <c r="AM21" s="577">
        <f>IF(M21="","",AF21)</f>
        <v>-0.11725897367311017</v>
      </c>
      <c r="AN21" s="524">
        <f>IF(M21="","",DEGREES(ATAN2(-AM21,AL21)))</f>
        <v>-76.554181205740818</v>
      </c>
      <c r="AO21" s="525">
        <f>IF(ROUND(IF(M21="",0,DEGREES(ACOS(AK21))),4)=90,0,IF(M21="","",DEGREES(ACOS(AK21))))</f>
        <v>30.283822722373685</v>
      </c>
      <c r="AP21" s="528">
        <f>IF(M21="","",DEGREES(ATAN2(AK21,AL21)))</f>
        <v>-29.595168519759689</v>
      </c>
      <c r="AQ21" s="529">
        <f t="shared" si="13"/>
        <v>0.27408593896650169</v>
      </c>
      <c r="AR21" s="979"/>
      <c r="AS21" s="954">
        <f t="shared" si="147"/>
        <v>356.77041111259553</v>
      </c>
      <c r="AT21" s="950">
        <f t="shared" si="14"/>
        <v>-2.4065072570072861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1.1639999999999999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1613</v>
      </c>
      <c r="IM21" s="482" t="str">
        <f t="shared" si="24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094"/>
      <c r="JE21" s="1095"/>
      <c r="JF21" s="1095"/>
      <c r="JG21" s="1095"/>
      <c r="JH21" s="1309" t="s">
        <v>349</v>
      </c>
      <c r="JI21" s="1310"/>
      <c r="JJ21" s="1096" t="s">
        <v>362</v>
      </c>
      <c r="JK21" s="1097"/>
      <c r="JM21" s="489">
        <f t="shared" si="133"/>
        <v>64</v>
      </c>
      <c r="JN21" s="960">
        <f>($JO21-SMALL($JO$9:$JO$88,1))/((Settings!$C$19/2)-((Settings!$C$19/2)-LARGE($JO$9:$JO$88,1))-SMALL($JO$9:$JO$88,1))</f>
        <v>0.97430025289553812</v>
      </c>
      <c r="JO21" s="162">
        <f t="shared" si="134"/>
        <v>8.3174979749609204</v>
      </c>
      <c r="JP21" s="961">
        <f t="shared" si="135"/>
        <v>-76.554181205740818</v>
      </c>
      <c r="JQ21" s="961">
        <f t="shared" si="136"/>
        <v>30.283822722373685</v>
      </c>
      <c r="JS21" s="82">
        <v>20</v>
      </c>
      <c r="JT21" s="322">
        <f t="shared" si="137"/>
        <v>3.806200247151112</v>
      </c>
      <c r="JU21" s="963">
        <f t="shared" si="138"/>
        <v>0.42295911069814401</v>
      </c>
      <c r="JV21" s="964">
        <v>3</v>
      </c>
      <c r="JW21" s="961">
        <f t="shared" si="92"/>
        <v>15.07782124990641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1.5150568016672261</v>
      </c>
      <c r="KD21" s="970">
        <v>-3.5625733333333294</v>
      </c>
      <c r="KE21" s="968">
        <f t="shared" si="140"/>
        <v>-5.0776301350005557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0.02</v>
      </c>
      <c r="B22" s="578">
        <f t="shared" ref="B22:D22" si="283">IFERROR(O177+($A22*-E22),"")</f>
        <v>0.54708603758432517</v>
      </c>
      <c r="C22" s="572">
        <f t="shared" si="283"/>
        <v>8.4392536907154891</v>
      </c>
      <c r="D22" s="576">
        <f t="shared" si="283"/>
        <v>-3.151206793736582</v>
      </c>
      <c r="E22" s="580">
        <f t="shared" ref="E22:K22" si="284">R177</f>
        <v>-0.79053139593550781</v>
      </c>
      <c r="F22" s="572">
        <f t="shared" si="284"/>
        <v>0.60948858387768856</v>
      </c>
      <c r="G22" s="579">
        <f t="shared" si="284"/>
        <v>5.986466539643498E-2</v>
      </c>
      <c r="H22" s="580">
        <f t="shared" si="284"/>
        <v>0.3125</v>
      </c>
      <c r="I22" s="572">
        <f t="shared" si="284"/>
        <v>0.52</v>
      </c>
      <c r="J22" s="483">
        <f t="shared" si="94"/>
        <v>1.17</v>
      </c>
      <c r="K22" s="806">
        <f t="shared" si="284"/>
        <v>1613</v>
      </c>
      <c r="L22" s="814">
        <f>IF($L21=$JJ$22,$JJ$30,IF($L21=$JK$22,$JK$30,""))</f>
        <v>0</v>
      </c>
      <c r="M22" s="164">
        <f t="shared" si="4"/>
        <v>1.17</v>
      </c>
      <c r="N22" s="575">
        <f t="shared" si="5"/>
        <v>0.54708603758432517</v>
      </c>
      <c r="O22" s="572">
        <f t="shared" si="6"/>
        <v>8.4392536907154891</v>
      </c>
      <c r="P22" s="576">
        <f t="shared" si="7"/>
        <v>-3.151206793736582</v>
      </c>
      <c r="Q22" s="528">
        <f t="shared" si="144"/>
        <v>86.290913527929717</v>
      </c>
      <c r="R22" s="572">
        <f t="shared" si="95"/>
        <v>8.4569678956925642</v>
      </c>
      <c r="S22" s="577">
        <f t="shared" si="96"/>
        <v>-3.151206793736582</v>
      </c>
      <c r="T22" s="578">
        <f t="shared" si="97"/>
        <v>8.4423015626529612</v>
      </c>
      <c r="U22" s="572">
        <f t="shared" si="98"/>
        <v>-0.49784567287672626</v>
      </c>
      <c r="V22" s="579">
        <f t="shared" si="145"/>
        <v>-3.151206793736582</v>
      </c>
      <c r="W22" s="528">
        <f t="shared" si="268"/>
        <v>356.625154898017</v>
      </c>
      <c r="X22" s="572">
        <f t="shared" si="99"/>
        <v>8.4569678956925642</v>
      </c>
      <c r="Y22" s="573">
        <f t="shared" si="271"/>
        <v>-3.151206793736582</v>
      </c>
      <c r="Z22" s="575">
        <f t="shared" si="10"/>
        <v>0.79053139593550781</v>
      </c>
      <c r="AA22" s="572">
        <f t="shared" si="11"/>
        <v>-0.60948858387768856</v>
      </c>
      <c r="AB22" s="572">
        <f t="shared" si="12"/>
        <v>-5.986466539643498E-2</v>
      </c>
      <c r="AC22" s="579">
        <f t="shared" si="100"/>
        <v>1</v>
      </c>
      <c r="AD22" s="580">
        <f t="shared" si="146"/>
        <v>0.79053139593550781</v>
      </c>
      <c r="AE22" s="572">
        <f t="shared" si="101"/>
        <v>-0.60948858387768856</v>
      </c>
      <c r="AF22" s="576">
        <f t="shared" si="102"/>
        <v>-5.986466539643498E-2</v>
      </c>
      <c r="AG22" s="545">
        <f t="shared" si="103"/>
        <v>-84.390336409985792</v>
      </c>
      <c r="AH22" s="546">
        <f t="shared" si="104"/>
        <v>37.76480096958641</v>
      </c>
      <c r="AI22" s="528">
        <f t="shared" si="105"/>
        <v>-86.567955297643721</v>
      </c>
      <c r="AJ22" s="529">
        <f t="shared" si="106"/>
        <v>52.36828234703006</v>
      </c>
      <c r="AK22" s="578">
        <f t="shared" si="247"/>
        <v>0.82830368773772833</v>
      </c>
      <c r="AL22" s="572">
        <f t="shared" si="107"/>
        <v>-0.55707200855639205</v>
      </c>
      <c r="AM22" s="577">
        <f t="shared" si="108"/>
        <v>-5.986466539643498E-2</v>
      </c>
      <c r="AN22" s="524">
        <f t="shared" si="109"/>
        <v>-83.866358718452645</v>
      </c>
      <c r="AO22" s="525">
        <f t="shared" si="110"/>
        <v>34.075121995784201</v>
      </c>
      <c r="AP22" s="528">
        <f t="shared" si="111"/>
        <v>-33.922631180899671</v>
      </c>
      <c r="AQ22" s="529">
        <f t="shared" si="13"/>
        <v>0.26956585850502907</v>
      </c>
      <c r="AR22" s="979"/>
      <c r="AS22" s="954">
        <f t="shared" si="147"/>
        <v>356.625154898017</v>
      </c>
      <c r="AT22" s="950">
        <f t="shared" si="14"/>
        <v>-3.1507607469052985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1.17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1613</v>
      </c>
      <c r="IM22" s="482" t="str">
        <f t="shared" si="24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  <c r="JM22" s="489">
        <f t="shared" si="133"/>
        <v>70</v>
      </c>
      <c r="JN22" s="960">
        <f>($JO22-SMALL($JO$9:$JO$88,1))/((Settings!$C$19/2)-((Settings!$C$19/2)-LARGE($JO$9:$JO$88,1))-SMALL($JO$9:$JO$88,1))</f>
        <v>0.99134534945929265</v>
      </c>
      <c r="JO22" s="162">
        <f t="shared" si="134"/>
        <v>8.4569678956925642</v>
      </c>
      <c r="JP22" s="961">
        <f t="shared" si="135"/>
        <v>-83.866358718452645</v>
      </c>
      <c r="JQ22" s="961">
        <f t="shared" si="136"/>
        <v>34.075121995784201</v>
      </c>
      <c r="JS22" s="82">
        <v>21</v>
      </c>
      <c r="JT22" s="322">
        <f t="shared" si="137"/>
        <v>3.9297990779522052</v>
      </c>
      <c r="JU22" s="963">
        <f t="shared" si="138"/>
        <v>0.43806454701817621</v>
      </c>
      <c r="JV22" s="964">
        <v>1.5</v>
      </c>
      <c r="JW22" s="961">
        <f t="shared" si="92"/>
        <v>15.075296056286088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9.3418858869016965</v>
      </c>
      <c r="KD22" s="970">
        <v>-7.4</v>
      </c>
      <c r="KE22" s="968">
        <f t="shared" si="140"/>
        <v>-16.741885886901699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15.098024578380654</v>
      </c>
      <c r="KG22" s="966">
        <f t="shared" si="244"/>
        <v>-3.837426666666671</v>
      </c>
      <c r="KH22" s="966">
        <f t="shared" si="141"/>
        <v>9.8024578380654148E-2</v>
      </c>
      <c r="KJ22" s="31"/>
    </row>
    <row r="23" spans="1:296" ht="15" customHeight="1" thickTop="1" x14ac:dyDescent="0.25">
      <c r="A23" s="75">
        <f t="shared" si="1"/>
        <v>0.02</v>
      </c>
      <c r="B23" s="578">
        <f t="shared" ref="B23:D23" si="285">IFERROR(O178+($A23*-E23),"")</f>
        <v>0.56204126591634229</v>
      </c>
      <c r="C23" s="572">
        <f t="shared" si="285"/>
        <v>8.5092423665296835</v>
      </c>
      <c r="D23" s="576">
        <f t="shared" si="285"/>
        <v>-3.9047117795263375</v>
      </c>
      <c r="E23" s="580">
        <f t="shared" ref="E23:K23" si="286">R178</f>
        <v>-0.72325655462884741</v>
      </c>
      <c r="F23" s="572">
        <f t="shared" si="286"/>
        <v>0.69057943510242759</v>
      </c>
      <c r="G23" s="579">
        <f t="shared" si="286"/>
        <v>1.4578093227447363E-7</v>
      </c>
      <c r="H23" s="580">
        <f t="shared" si="286"/>
        <v>0.3125</v>
      </c>
      <c r="I23" s="572">
        <f t="shared" si="286"/>
        <v>0.52</v>
      </c>
      <c r="J23" s="483">
        <f t="shared" si="94"/>
        <v>1.1759999999999999</v>
      </c>
      <c r="K23" s="806">
        <f t="shared" si="286"/>
        <v>1613</v>
      </c>
      <c r="M23" s="164">
        <f t="shared" si="4"/>
        <v>1.1759999999999999</v>
      </c>
      <c r="N23" s="575">
        <f t="shared" si="5"/>
        <v>0.56204126591634229</v>
      </c>
      <c r="O23" s="572">
        <f t="shared" si="6"/>
        <v>8.5092423665296835</v>
      </c>
      <c r="P23" s="576">
        <f t="shared" si="7"/>
        <v>-3.9047117795263375</v>
      </c>
      <c r="Q23" s="528">
        <f t="shared" si="144"/>
        <v>86.221063725560157</v>
      </c>
      <c r="R23" s="572">
        <f t="shared" si="95"/>
        <v>8.5277837705312702</v>
      </c>
      <c r="S23" s="577">
        <f t="shared" si="96"/>
        <v>-3.9047117795263375</v>
      </c>
      <c r="T23" s="578">
        <f t="shared" si="97"/>
        <v>8.5123762900877207</v>
      </c>
      <c r="U23" s="572">
        <f t="shared" si="98"/>
        <v>-0.51239236224686169</v>
      </c>
      <c r="V23" s="579">
        <f t="shared" si="145"/>
        <v>-3.9047117795263375</v>
      </c>
      <c r="W23" s="528">
        <f t="shared" si="268"/>
        <v>356.55530509564744</v>
      </c>
      <c r="X23" s="572">
        <f t="shared" si="99"/>
        <v>8.5277837705312702</v>
      </c>
      <c r="Y23" s="573">
        <f t="shared" si="271"/>
        <v>-3.9047117795263375</v>
      </c>
      <c r="Z23" s="575">
        <f t="shared" si="10"/>
        <v>0.72325655462884741</v>
      </c>
      <c r="AA23" s="572">
        <f t="shared" si="11"/>
        <v>-0.69057943510242759</v>
      </c>
      <c r="AB23" s="572">
        <f t="shared" si="12"/>
        <v>-1.4578093227447363E-7</v>
      </c>
      <c r="AC23" s="579">
        <f t="shared" si="100"/>
        <v>1</v>
      </c>
      <c r="AD23" s="580">
        <f t="shared" si="146"/>
        <v>0.72325655462884741</v>
      </c>
      <c r="AE23" s="572">
        <f t="shared" si="101"/>
        <v>-0.69057943510242759</v>
      </c>
      <c r="AF23" s="576">
        <f t="shared" si="102"/>
        <v>-1.4578093227447363E-7</v>
      </c>
      <c r="AG23" s="545">
        <f t="shared" si="103"/>
        <v>-89.999987904893004</v>
      </c>
      <c r="AH23" s="546">
        <f t="shared" si="104"/>
        <v>43.675993693966625</v>
      </c>
      <c r="AI23" s="528">
        <f t="shared" si="105"/>
        <v>-89.99999164736785</v>
      </c>
      <c r="AJ23" s="529">
        <f t="shared" si="106"/>
        <v>46.324006306034001</v>
      </c>
      <c r="AK23" s="578">
        <f t="shared" si="247"/>
        <v>0.76719809419267782</v>
      </c>
      <c r="AL23" s="572">
        <f t="shared" si="107"/>
        <v>-0.64141023087186733</v>
      </c>
      <c r="AM23" s="577">
        <f t="shared" si="108"/>
        <v>-1.4578093227447363E-7</v>
      </c>
      <c r="AN23" s="524">
        <f t="shared" si="109"/>
        <v>-89.999986977706698</v>
      </c>
      <c r="AO23" s="525">
        <f t="shared" si="110"/>
        <v>39.897057419526874</v>
      </c>
      <c r="AP23" s="528">
        <f t="shared" si="111"/>
        <v>-39.897057419526163</v>
      </c>
      <c r="AQ23" s="529">
        <f t="shared" si="13"/>
        <v>0.26732737962124337</v>
      </c>
      <c r="AR23" s="979"/>
      <c r="AS23" s="954">
        <f t="shared" si="147"/>
        <v>356.55530509564744</v>
      </c>
      <c r="AT23" s="950">
        <f t="shared" si="14"/>
        <v>-3.9042172258878529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1.1759999999999999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1613</v>
      </c>
      <c r="IM23" s="482" t="str">
        <f t="shared" si="242"/>
        <v/>
      </c>
      <c r="IN23" s="670" t="str">
        <f t="shared" si="81"/>
        <v/>
      </c>
      <c r="IO23" s="702"/>
      <c r="IP23" s="5" t="str">
        <f t="shared" si="82"/>
        <v/>
      </c>
      <c r="IQ23" s="714"/>
      <c r="IR23" s="9" t="str">
        <f t="shared" si="132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cm="1">
        <f t="array" ref="JC23:JC24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24</v>
      </c>
      <c r="JE23" s="191"/>
      <c r="JF23" s="191"/>
      <c r="JG23" s="812"/>
      <c r="JH23" s="737" cm="1">
        <f t="array" ref="JH23:JI24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4</v>
      </c>
      <c r="JI23" s="742">
        <v>20</v>
      </c>
      <c r="JJ23" s="741" cm="1">
        <f t="array" ref="JJ23:JK24">IF(_xlfn.ANCHORARRAY($JH$23)="","",_xlfn.MINIFS($IQ$9:$IQ$150,$IM$9:$IM$150,_xlfn.ANCHORARRAY($JC$23),$IG$9:$IG$150,_xlfn.ANCHORARRAY($JJ$22),$IK$9:$IK$150,"&lt;&gt;"&amp;"",$IH$9:$IH$150,"&lt;&gt;"&amp;"Gage"))</f>
        <v>310</v>
      </c>
      <c r="JK23" s="742">
        <v>330</v>
      </c>
      <c r="JM23" s="489">
        <f t="shared" si="133"/>
        <v>76</v>
      </c>
      <c r="JN23" s="960">
        <f>($JO23-SMALL($JO$9:$JO$88,1))/((Settings!$C$19/2)-((Settings!$C$19/2)-LARGE($JO$9:$JO$88,1))-SMALL($JO$9:$JO$88,1))</f>
        <v>0.99999999999999978</v>
      </c>
      <c r="JO23" s="162">
        <f t="shared" si="134"/>
        <v>8.5277837705312702</v>
      </c>
      <c r="JP23" s="961">
        <f t="shared" si="135"/>
        <v>-89.999986977706698</v>
      </c>
      <c r="JQ23" s="961">
        <f t="shared" si="136"/>
        <v>39.897057419526874</v>
      </c>
      <c r="JS23" s="82">
        <v>22</v>
      </c>
      <c r="JT23" s="322">
        <f t="shared" si="137"/>
        <v>4.0534980019577214</v>
      </c>
      <c r="JU23" s="963">
        <f t="shared" si="138"/>
        <v>0.4531822160714446</v>
      </c>
      <c r="JV23" s="961">
        <f t="shared" ref="JV23:JV53" si="287">INDEX($JM$9:$JQ$88,MATCH($JS23,$JM$9:$JM$88,0),4)</f>
        <v>15.979599219311027</v>
      </c>
      <c r="JW23" s="961">
        <f t="shared" si="92"/>
        <v>15.072927567266939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-1.0294865965730415</v>
      </c>
      <c r="KD23" s="970">
        <v>-11.212033333333332</v>
      </c>
      <c r="KE23" s="968">
        <f t="shared" si="140"/>
        <v>-10.18254673676029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15.151491570655372</v>
      </c>
      <c r="KG23" s="966">
        <f t="shared" si="244"/>
        <v>-3.8120333333333321</v>
      </c>
      <c r="KH23" s="966">
        <f t="shared" si="141"/>
        <v>5.346699227471774E-2</v>
      </c>
      <c r="KJ23" s="31"/>
    </row>
    <row r="24" spans="1:296" ht="15" customHeight="1" x14ac:dyDescent="0.25">
      <c r="A24" s="75">
        <f t="shared" si="1"/>
        <v>0</v>
      </c>
      <c r="B24" s="578">
        <f t="shared" ref="B24:D24" si="288">IFERROR(O179+($A24*-E24),"")</f>
        <v>1.0905573006849381</v>
      </c>
      <c r="C24" s="572">
        <f t="shared" si="288"/>
        <v>4.6895800125783831</v>
      </c>
      <c r="D24" s="576">
        <f t="shared" si="288"/>
        <v>-3.3500055796168278E-2</v>
      </c>
      <c r="E24" s="580">
        <f t="shared" ref="E24:K24" si="289">R179</f>
        <v>-7.90513307312328E-3</v>
      </c>
      <c r="F24" s="572">
        <f t="shared" si="289"/>
        <v>-3.3992401940297928E-2</v>
      </c>
      <c r="G24" s="579">
        <f t="shared" si="289"/>
        <v>0.99939082719495964</v>
      </c>
      <c r="H24" s="580">
        <f t="shared" si="289"/>
        <v>0.255</v>
      </c>
      <c r="I24" s="572">
        <f t="shared" si="289"/>
        <v>0.41499999999999992</v>
      </c>
      <c r="J24" s="483">
        <f t="shared" si="94"/>
        <v>1.228</v>
      </c>
      <c r="K24" s="806" t="str">
        <f t="shared" si="289"/>
        <v>CPS-32193r1</v>
      </c>
      <c r="L24" s="82"/>
      <c r="M24" s="164">
        <f t="shared" si="4"/>
        <v>1.228</v>
      </c>
      <c r="N24" s="575">
        <f t="shared" si="5"/>
        <v>1.0905573006849381</v>
      </c>
      <c r="O24" s="572">
        <f t="shared" si="6"/>
        <v>4.6895800125783831</v>
      </c>
      <c r="P24" s="576">
        <f t="shared" si="7"/>
        <v>-3.3500055796168278E-2</v>
      </c>
      <c r="Q24" s="528">
        <f t="shared" si="144"/>
        <v>76.908601890164022</v>
      </c>
      <c r="R24" s="572">
        <f t="shared" si="95"/>
        <v>4.8147145211789963</v>
      </c>
      <c r="S24" s="577">
        <f t="shared" si="96"/>
        <v>-3.3500055796168278E-2</v>
      </c>
      <c r="T24" s="578">
        <f t="shared" si="97"/>
        <v>4.6958620696904285</v>
      </c>
      <c r="U24" s="572">
        <f t="shared" si="98"/>
        <v>-1.0631817073739627</v>
      </c>
      <c r="V24" s="579">
        <f t="shared" si="145"/>
        <v>-3.3500055796168278E-2</v>
      </c>
      <c r="W24" s="528">
        <f t="shared" si="268"/>
        <v>347.24284326025133</v>
      </c>
      <c r="X24" s="572">
        <f t="shared" si="99"/>
        <v>4.8147145211789963</v>
      </c>
      <c r="Y24" s="573">
        <f t="shared" si="271"/>
        <v>-3.3500055796168278E-2</v>
      </c>
      <c r="Z24" s="575">
        <f t="shared" si="10"/>
        <v>7.90513307312328E-3</v>
      </c>
      <c r="AA24" s="572">
        <f t="shared" si="11"/>
        <v>3.3992401940297928E-2</v>
      </c>
      <c r="AB24" s="572">
        <f t="shared" si="12"/>
        <v>-0.99939082719495964</v>
      </c>
      <c r="AC24" s="579">
        <f t="shared" si="100"/>
        <v>1</v>
      </c>
      <c r="AD24" s="580">
        <f t="shared" si="146"/>
        <v>7.90513307312328E-3</v>
      </c>
      <c r="AE24" s="572">
        <f t="shared" si="101"/>
        <v>3.3992401940297928E-2</v>
      </c>
      <c r="AF24" s="576">
        <f t="shared" si="102"/>
        <v>-0.99939082719495964</v>
      </c>
      <c r="AG24" s="545">
        <f t="shared" si="103"/>
        <v>1.9480573284029301</v>
      </c>
      <c r="AH24" s="546">
        <f t="shared" si="104"/>
        <v>89.547064520928984</v>
      </c>
      <c r="AI24" s="528">
        <f t="shared" si="105"/>
        <v>-1.9999997112777601</v>
      </c>
      <c r="AJ24" s="529">
        <f t="shared" si="106"/>
        <v>166.90822955263769</v>
      </c>
      <c r="AK24" s="578">
        <f>IF(M24="","",(COS(RADIANS((90-$Q$8)-W24))*AD24)+(-SIN(RADIANS((90-$Q$8)-W24))*AE24))</f>
        <v>2.2679489672470382E-7</v>
      </c>
      <c r="AL24" s="572">
        <f t="shared" si="107"/>
        <v>3.4899491665683638E-2</v>
      </c>
      <c r="AM24" s="577">
        <f t="shared" si="108"/>
        <v>-0.99939082719495964</v>
      </c>
      <c r="AN24" s="524">
        <f t="shared" si="109"/>
        <v>1.9999997112357684</v>
      </c>
      <c r="AO24" s="525">
        <f t="shared" si="110"/>
        <v>0</v>
      </c>
      <c r="AP24" s="528">
        <f t="shared" si="111"/>
        <v>89.999627662473671</v>
      </c>
      <c r="AQ24" s="529">
        <f t="shared" si="13"/>
        <v>0.47348076967698927</v>
      </c>
      <c r="AR24" s="979"/>
      <c r="AS24" s="954">
        <f t="shared" si="147"/>
        <v>347.24284326025133</v>
      </c>
      <c r="AT24" s="950">
        <f t="shared" si="14"/>
        <v>-2.6538514771992098E-2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>Nose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1.228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1.1279999999999999</v>
      </c>
      <c r="IK24" s="677" cm="1">
        <f t="array" ref="IK24">IFERROR(ROUND(VALUE(IF($IJ24&lt;1,$IJ24+LARGE((IF($M$9:$M$150="",0,$M$9:$M$150)-MOD(IF($M$9:$M$150="",0,$M$9:$M$150),1)),1),$IJ24)),4),"")</f>
        <v>1.1279999999999999</v>
      </c>
      <c r="IL24" s="482">
        <f t="shared" si="79"/>
        <v>1613</v>
      </c>
      <c r="IM24" s="482" t="str">
        <f t="shared" si="242"/>
        <v>CPS-32193r1</v>
      </c>
      <c r="IN24" s="670">
        <f t="shared" si="81"/>
        <v>12.515415636826219</v>
      </c>
      <c r="IO24" s="702">
        <v>1.8003661957553301E-2</v>
      </c>
      <c r="IP24" s="5">
        <f t="shared" si="82"/>
        <v>0.5</v>
      </c>
      <c r="IQ24" s="714">
        <v>250</v>
      </c>
      <c r="IR24" s="9">
        <f t="shared" si="132"/>
        <v>-4.806398695938551</v>
      </c>
      <c r="IS24" s="5">
        <f t="shared" si="83"/>
        <v>-6.0902596192784209E-2</v>
      </c>
      <c r="IT24" s="5">
        <f t="shared" si="84"/>
        <v>0.3125</v>
      </c>
      <c r="IU24" s="5">
        <f t="shared" si="85"/>
        <v>0.30149808791850813</v>
      </c>
      <c r="IV24" s="670">
        <f t="shared" si="86"/>
        <v>8.4953472155020027</v>
      </c>
      <c r="IW24" s="9">
        <f t="shared" si="87"/>
        <v>-4.8147145211789963</v>
      </c>
      <c r="IX24" s="5">
        <f t="shared" si="88"/>
        <v>-3.3500055796168278E-2</v>
      </c>
      <c r="IY24" s="5">
        <f t="shared" si="89"/>
        <v>0.255</v>
      </c>
      <c r="IZ24" s="5">
        <f t="shared" si="90"/>
        <v>0.255</v>
      </c>
      <c r="JA24" s="705">
        <f t="shared" si="91"/>
        <v>-1.9999997112357684</v>
      </c>
      <c r="JC24" s="739" t="str">
        <v>CPS-32193r1</v>
      </c>
      <c r="JD24" s="797" cm="1">
        <f t="array" ref="JD24">IF($JC24="","",COUNT(IF(IF($IK$9:$IK$150&lt;&gt;"",$IM$9:$IM$150,"")=$JC24,$II$9:$II$150,"")))</f>
        <v>24</v>
      </c>
      <c r="JE24" s="5"/>
      <c r="JF24" s="5"/>
      <c r="JG24" s="10"/>
      <c r="JH24" s="236">
        <v>12</v>
      </c>
      <c r="JI24" s="744">
        <v>9</v>
      </c>
      <c r="JJ24" s="728">
        <v>230</v>
      </c>
      <c r="JK24" s="744">
        <v>0</v>
      </c>
      <c r="JM24" s="489">
        <f t="shared" si="133"/>
        <v>28</v>
      </c>
      <c r="JN24" s="960">
        <f>($JO24-SMALL($JO$9:$JO$88,1))/((Settings!$C$19/2)-((Settings!$C$19/2)-LARGE($JO$9:$JO$88,1))-SMALL($JO$9:$JO$88,1))</f>
        <v>0.54621309332430501</v>
      </c>
      <c r="JO24" s="162">
        <f t="shared" si="134"/>
        <v>4.8147145211789963</v>
      </c>
      <c r="JP24" s="961">
        <f t="shared" si="135"/>
        <v>1.9999997112357684</v>
      </c>
      <c r="JQ24" s="961">
        <f t="shared" si="136"/>
        <v>0</v>
      </c>
      <c r="JS24" s="82">
        <v>25</v>
      </c>
      <c r="JT24" s="322">
        <f t="shared" si="137"/>
        <v>4.4250001549004843</v>
      </c>
      <c r="JU24" s="963">
        <f t="shared" si="138"/>
        <v>0.49858476622228426</v>
      </c>
      <c r="JV24" s="961">
        <f t="shared" si="287"/>
        <v>1.4154323846680779</v>
      </c>
      <c r="JW24" s="961">
        <f>INDEX($JM$9:$JQ$88,MATCH($JS24,$JM$9:$JM$88,0),5)</f>
        <v>15.127994280547004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-8.6277567030054705</v>
      </c>
      <c r="KD24" s="970">
        <v>-15.036806666666671</v>
      </c>
      <c r="KE24" s="968">
        <f t="shared" si="140"/>
        <v>-6.4090499636612002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15.252160186799903</v>
      </c>
      <c r="KG24" s="966">
        <f t="shared" si="244"/>
        <v>-3.8247733333333382</v>
      </c>
      <c r="KH24" s="966">
        <f t="shared" si="141"/>
        <v>0.1006686161445316</v>
      </c>
      <c r="KJ24" s="31"/>
    </row>
    <row r="25" spans="1:296" ht="15" customHeight="1" x14ac:dyDescent="0.25">
      <c r="A25" s="75">
        <f t="shared" si="1"/>
        <v>0</v>
      </c>
      <c r="B25" s="578">
        <f t="shared" ref="B25:D25" si="290">IFERROR(O180+($A25*-E25),"")</f>
        <v>1.2691167648027206</v>
      </c>
      <c r="C25" s="572">
        <f t="shared" si="290"/>
        <v>5.4548264945324645</v>
      </c>
      <c r="D25" s="576">
        <f t="shared" si="290"/>
        <v>-5.50001206403639E-2</v>
      </c>
      <c r="E25" s="580">
        <f t="shared" ref="E25:K25" si="291">R180</f>
        <v>2.4473193946027001E-2</v>
      </c>
      <c r="F25" s="572">
        <f t="shared" si="291"/>
        <v>0.1051899246890976</v>
      </c>
      <c r="G25" s="579">
        <f t="shared" si="291"/>
        <v>0.99415096565963368</v>
      </c>
      <c r="H25" s="580">
        <f t="shared" si="291"/>
        <v>0.255</v>
      </c>
      <c r="I25" s="572">
        <f t="shared" si="291"/>
        <v>0.41499999999999992</v>
      </c>
      <c r="J25" s="483">
        <f t="shared" si="94"/>
        <v>1.234</v>
      </c>
      <c r="K25" s="806" t="str">
        <f t="shared" si="291"/>
        <v>CPS-32193r1</v>
      </c>
      <c r="L25" s="82"/>
      <c r="M25" s="164">
        <f t="shared" si="4"/>
        <v>1.234</v>
      </c>
      <c r="N25" s="575">
        <f t="shared" si="5"/>
        <v>1.2691167648027206</v>
      </c>
      <c r="O25" s="572">
        <f t="shared" si="6"/>
        <v>5.4548264945324645</v>
      </c>
      <c r="P25" s="576">
        <f t="shared" si="7"/>
        <v>-5.50001206403639E-2</v>
      </c>
      <c r="Q25" s="528">
        <f t="shared" si="144"/>
        <v>76.902601891030329</v>
      </c>
      <c r="R25" s="572">
        <f>IF(M25="","",SQRT(N25^2+O25^2))</f>
        <v>5.6005168911589456</v>
      </c>
      <c r="S25" s="577">
        <f>IF(M25="","",P25)</f>
        <v>-5.50001206403639E-2</v>
      </c>
      <c r="T25" s="578">
        <f>IF(M25="","",X25*COS(RADIANS(W25)))</f>
        <v>5.4621371714137918</v>
      </c>
      <c r="U25" s="572">
        <f>IF(M25="","",X25*SIN(RADIANS(W25)))</f>
        <v>-1.2372740071691481</v>
      </c>
      <c r="V25" s="579">
        <f>IF(M25="","",Y25)</f>
        <v>-5.50001206403639E-2</v>
      </c>
      <c r="W25" s="528">
        <f t="shared" si="268"/>
        <v>347.2368432611176</v>
      </c>
      <c r="X25" s="572">
        <f>IF(M25="","",R25)</f>
        <v>5.6005168911589456</v>
      </c>
      <c r="Y25" s="573">
        <f t="shared" si="271"/>
        <v>-5.50001206403639E-2</v>
      </c>
      <c r="Z25" s="575">
        <f t="shared" si="10"/>
        <v>-2.4473193946027001E-2</v>
      </c>
      <c r="AA25" s="572">
        <f t="shared" si="11"/>
        <v>-0.1051899246890976</v>
      </c>
      <c r="AB25" s="572">
        <f t="shared" si="12"/>
        <v>-0.99415096565963368</v>
      </c>
      <c r="AC25" s="579">
        <f>IF(M25="","",SQRT(Z25^2+AA25^2+AB25^2))</f>
        <v>1</v>
      </c>
      <c r="AD25" s="580">
        <f>IF(M25="","",Z25*(1/SQRT(Z25^2+AA25^2+AB25^2)))</f>
        <v>-2.4473193946027001E-2</v>
      </c>
      <c r="AE25" s="572">
        <f>IF(M25="","",AA25*(1/SQRT(Z25^2+AA25^2+AB25^2)))</f>
        <v>-0.1051899246890976</v>
      </c>
      <c r="AF25" s="576">
        <f>IF(M25="","",AB25*(1/SQRT(Z25^2+AA25^2+AB25^2)))</f>
        <v>-0.99415096565963368</v>
      </c>
      <c r="AG25" s="545">
        <f>IF(M25="","",DEGREES(ATAN2(-AF25,AE25)))</f>
        <v>-6.0399248073878082</v>
      </c>
      <c r="AH25" s="546">
        <f>IF(M25="","",DEGREES(ACOS(AD25)))</f>
        <v>91.402350734750897</v>
      </c>
      <c r="AI25" s="528">
        <f>IF(M25="","",DEGREES(-ACOS(-AF25)))</f>
        <v>-6.1999991048444452</v>
      </c>
      <c r="AJ25" s="529">
        <f>IF(M25="","",DEGREES(ATAN2(-AE25,AD25)))</f>
        <v>-13.097277789805</v>
      </c>
      <c r="AK25" s="578">
        <f>IF(M25="","",(COS(RADIANS((90-$Q$8)-W25))*AD25)+(-SIN(RADIANS((90-$Q$8)-W25))*AE25))</f>
        <v>2.2679489668914199E-7</v>
      </c>
      <c r="AL25" s="572">
        <f>IF(M25="","",(SIN(RADIANS((90-$Q$8)-W25))*AD25)+(COS(RADIANS((90-$Q$8)-W25))*AE25))</f>
        <v>-0.10799934017375495</v>
      </c>
      <c r="AM25" s="577">
        <f>IF(M25="","",AF25)</f>
        <v>-0.99415096565963368</v>
      </c>
      <c r="AN25" s="524">
        <f>IF(M25="","",DEGREES(ATAN2(-AM25,AL25)))</f>
        <v>-6.1999991048308871</v>
      </c>
      <c r="AO25" s="525">
        <f>IF(ROUND(IF(M25="",0,DEGREES(ACOS(AK25))),4)=90,0,IF(M25="","",DEGREES(ACOS(AK25))))</f>
        <v>0</v>
      </c>
      <c r="AP25" s="528">
        <f>IF(M25="","",DEGREES(ATAN2(AK25,AL25)))</f>
        <v>-89.999879680835335</v>
      </c>
      <c r="AQ25" s="529">
        <f t="shared" si="13"/>
        <v>0.40704962097264991</v>
      </c>
      <c r="AR25" s="979"/>
      <c r="AS25" s="954">
        <f t="shared" si="147"/>
        <v>347.2368432611176</v>
      </c>
      <c r="AT25" s="950">
        <f t="shared" si="14"/>
        <v>-4.8034412950122625E-2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>Nose</v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1.234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1.1339999999999999</v>
      </c>
      <c r="IK25" s="677" cm="1">
        <f t="array" ref="IK25">IFERROR(ROUND(VALUE(IF($IJ25&lt;1,$IJ25+LARGE((IF($M$9:$M$150="",0,$M$9:$M$150)-MOD(IF($M$9:$M$150="",0,$M$9:$M$150),1)),1),$IJ25)),4),"")</f>
        <v>1.1339999999999999</v>
      </c>
      <c r="IL25" s="482">
        <f t="shared" si="79"/>
        <v>1613</v>
      </c>
      <c r="IM25" s="482" t="str">
        <f t="shared" si="242"/>
        <v>CPS-32193r1</v>
      </c>
      <c r="IN25" s="670">
        <f t="shared" si="81"/>
        <v>12.047758523276741</v>
      </c>
      <c r="IO25" s="702">
        <v>1.4914363178757099E-2</v>
      </c>
      <c r="IP25" s="5">
        <f t="shared" si="82"/>
        <v>0.48</v>
      </c>
      <c r="IQ25" s="714">
        <v>240</v>
      </c>
      <c r="IR25" s="9">
        <f t="shared" si="132"/>
        <v>-5.5789526003623369</v>
      </c>
      <c r="IS25" s="5">
        <f t="shared" si="83"/>
        <v>-7.8137487620370899E-2</v>
      </c>
      <c r="IT25" s="5">
        <f t="shared" si="84"/>
        <v>0.3125</v>
      </c>
      <c r="IU25" s="5">
        <f t="shared" si="85"/>
        <v>0.30081510009683082</v>
      </c>
      <c r="IV25" s="670">
        <f t="shared" si="86"/>
        <v>24.317023772778249</v>
      </c>
      <c r="IW25" s="9">
        <f t="shared" si="87"/>
        <v>-5.6005168911589456</v>
      </c>
      <c r="IX25" s="5">
        <f t="shared" si="88"/>
        <v>-5.50001206403639E-2</v>
      </c>
      <c r="IY25" s="5">
        <f t="shared" si="89"/>
        <v>0.255</v>
      </c>
      <c r="IZ25" s="5">
        <f t="shared" si="90"/>
        <v>0.255</v>
      </c>
      <c r="JA25" s="705">
        <f t="shared" si="91"/>
        <v>6.1999991048308871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  <c r="JM25" s="489">
        <f t="shared" si="133"/>
        <v>34</v>
      </c>
      <c r="JN25" s="960">
        <f>($JO25-SMALL($JO$9:$JO$88,1))/((Settings!$C$19/2)-((Settings!$C$19/2)-LARGE($JO$9:$JO$88,1))-SMALL($JO$9:$JO$88,1))</f>
        <v>0.64224869158141684</v>
      </c>
      <c r="JO25" s="162">
        <f t="shared" si="134"/>
        <v>5.6005168911589456</v>
      </c>
      <c r="JP25" s="961">
        <f t="shared" si="135"/>
        <v>-6.1999991048308871</v>
      </c>
      <c r="JQ25" s="961">
        <f t="shared" si="136"/>
        <v>0</v>
      </c>
      <c r="JS25" s="82">
        <v>26</v>
      </c>
      <c r="JT25" s="322">
        <f t="shared" si="137"/>
        <v>4.5507012369319941</v>
      </c>
      <c r="JU25" s="963">
        <f t="shared" si="138"/>
        <v>0.51394712586338631</v>
      </c>
      <c r="JV25" s="961">
        <f t="shared" si="287"/>
        <v>-1.8795979937514775</v>
      </c>
      <c r="JW25" s="961">
        <f t="shared" si="92"/>
        <v>15.159661704012427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-14.540442849134106</v>
      </c>
      <c r="KD25" s="970">
        <v>-19.035433333333334</v>
      </c>
      <c r="KE25" s="968">
        <f t="shared" si="140"/>
        <v>-4.4949904841992279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15.41241049332935</v>
      </c>
      <c r="KG25" s="966">
        <f t="shared" si="244"/>
        <v>-3.998626666666663</v>
      </c>
      <c r="KH25" s="966">
        <f t="shared" si="141"/>
        <v>0.16025030652944672</v>
      </c>
      <c r="KJ25" s="31"/>
    </row>
    <row r="26" spans="1:296" ht="15" customHeight="1" x14ac:dyDescent="0.25">
      <c r="A26" s="75">
        <f t="shared" si="1"/>
        <v>0.02</v>
      </c>
      <c r="B26" s="578">
        <f t="shared" ref="B26:D26" si="292">IFERROR(O181+($A26*-E26),"")</f>
        <v>1.2940782000951785</v>
      </c>
      <c r="C26" s="572">
        <f t="shared" si="292"/>
        <v>6.2054141339356184</v>
      </c>
      <c r="D26" s="576">
        <f t="shared" si="292"/>
        <v>-0.2410333576926138</v>
      </c>
      <c r="E26" s="580">
        <f t="shared" ref="E26:K26" si="293">R181</f>
        <v>-0.8630687979944931</v>
      </c>
      <c r="F26" s="572">
        <f t="shared" si="293"/>
        <v>0.42143474779039974</v>
      </c>
      <c r="G26" s="579">
        <f t="shared" si="293"/>
        <v>0.27839720415834479</v>
      </c>
      <c r="H26" s="580">
        <f t="shared" si="293"/>
        <v>0.26450000000000001</v>
      </c>
      <c r="I26" s="572">
        <f t="shared" si="293"/>
        <v>0.52</v>
      </c>
      <c r="J26" s="483">
        <f t="shared" si="94"/>
        <v>1.24</v>
      </c>
      <c r="K26" s="806">
        <f t="shared" si="293"/>
        <v>1313</v>
      </c>
      <c r="L26" s="309"/>
      <c r="M26" s="164">
        <f t="shared" si="4"/>
        <v>1.24</v>
      </c>
      <c r="N26" s="575">
        <f t="shared" si="5"/>
        <v>1.2940782000951785</v>
      </c>
      <c r="O26" s="572">
        <f t="shared" si="6"/>
        <v>6.2054141339356184</v>
      </c>
      <c r="P26" s="576">
        <f t="shared" si="7"/>
        <v>-0.2410333576926138</v>
      </c>
      <c r="Q26" s="528">
        <f t="shared" si="144"/>
        <v>78.220352910915651</v>
      </c>
      <c r="R26" s="572">
        <f>IF(M26="","",SQRT(N26^2+O26^2))</f>
        <v>6.338911812102257</v>
      </c>
      <c r="S26" s="577">
        <f>IF(M26="","",P26)</f>
        <v>-0.2410333576926138</v>
      </c>
      <c r="T26" s="578">
        <f>IF(M26="","",X26*COS(RADIANS(W26)))</f>
        <v>6.212857653729194</v>
      </c>
      <c r="U26" s="572">
        <f>IF(M26="","",X26*SIN(RADIANS(W26)))</f>
        <v>-1.2578564052021575</v>
      </c>
      <c r="V26" s="579">
        <f>IF(M26="","",Y26)</f>
        <v>-0.2410333576926138</v>
      </c>
      <c r="W26" s="528">
        <f t="shared" si="268"/>
        <v>348.55459428100295</v>
      </c>
      <c r="X26" s="572">
        <f>IF(M26="","",R26)</f>
        <v>6.338911812102257</v>
      </c>
      <c r="Y26" s="573">
        <f t="shared" si="271"/>
        <v>-0.2410333576926138</v>
      </c>
      <c r="Z26" s="575">
        <f t="shared" si="10"/>
        <v>0.8630687979944931</v>
      </c>
      <c r="AA26" s="572">
        <f t="shared" si="11"/>
        <v>-0.42143474779039974</v>
      </c>
      <c r="AB26" s="572">
        <f t="shared" si="12"/>
        <v>-0.27839720415834479</v>
      </c>
      <c r="AC26" s="579">
        <f>IF(M26="","",SQRT(Z26^2+AA26^2+AB26^2))</f>
        <v>1</v>
      </c>
      <c r="AD26" s="580">
        <f>IF(M26="","",Z26*(1/SQRT(Z26^2+AA26^2+AB26^2)))</f>
        <v>0.8630687979944931</v>
      </c>
      <c r="AE26" s="572">
        <f>IF(M26="","",AA26*(1/SQRT(Z26^2+AA26^2+AB26^2)))</f>
        <v>-0.42143474779039974</v>
      </c>
      <c r="AF26" s="576">
        <f>IF(M26="","",AB26*(1/SQRT(Z26^2+AA26^2+AB26^2)))</f>
        <v>-0.27839720415834479</v>
      </c>
      <c r="AG26" s="545">
        <f>IF(M26="","",DEGREES(ATAN2(-AF26,AE26)))</f>
        <v>-56.551494176714392</v>
      </c>
      <c r="AH26" s="546">
        <f>IF(M26="","",DEGREES(ACOS(AD26)))</f>
        <v>30.337086539862785</v>
      </c>
      <c r="AI26" s="528">
        <f>IF(M26="","",DEGREES(-ACOS(-AF26)))</f>
        <v>-73.835431886497389</v>
      </c>
      <c r="AJ26" s="529">
        <f>IF(M26="","",DEGREES(ATAN2(-AE26,AD26)))</f>
        <v>63.973836676576184</v>
      </c>
      <c r="AK26" s="578">
        <f>IF(M26="","",(COS(RADIANS((90-$Q$8)-W26))*AD26)+(-SIN(RADIANS((90-$Q$8)-W26))*AE26))</f>
        <v>0.93092773845594312</v>
      </c>
      <c r="AL26" s="572">
        <f>IF(M26="","",(SIN(RADIANS((90-$Q$8)-W26))*AD26)+(COS(RADIANS((90-$Q$8)-W26))*AE26))</f>
        <v>-0.23636527344371092</v>
      </c>
      <c r="AM26" s="577">
        <f>IF(M26="","",AF26)</f>
        <v>-0.27839720415834479</v>
      </c>
      <c r="AN26" s="524">
        <f>IF(M26="","",DEGREES(ATAN2(-AM26,AL26)))</f>
        <v>-40.331980222521572</v>
      </c>
      <c r="AO26" s="525">
        <f t="shared" si="110"/>
        <v>21.420102708228995</v>
      </c>
      <c r="AP26" s="528">
        <f>IF(M26="","",DEGREES(ATAN2(AK26,AL26)))</f>
        <v>-14.246516234339483</v>
      </c>
      <c r="AQ26" s="529">
        <f t="shared" si="13"/>
        <v>0.35963533808243986</v>
      </c>
      <c r="AR26" s="979"/>
      <c r="AS26" s="954">
        <f t="shared" si="147"/>
        <v>348.55459428100295</v>
      </c>
      <c r="AT26" s="950">
        <f t="shared" si="14"/>
        <v>-0.23498275487729292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>Nose</v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1.24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1.1399999999999999</v>
      </c>
      <c r="IK26" s="677" cm="1">
        <f t="array" ref="IK26">IFERROR(ROUND(VALUE(IF($IJ26&lt;1,$IJ26+LARGE((IF($M$9:$M$150="",0,$M$9:$M$150)-MOD(IF($M$9:$M$150="",0,$M$9:$M$150),1)),1),$IJ26)),4),"")</f>
        <v>1.1399999999999999</v>
      </c>
      <c r="IL26" s="482">
        <f t="shared" si="79"/>
        <v>1613</v>
      </c>
      <c r="IM26" s="482">
        <f t="shared" si="242"/>
        <v>1313</v>
      </c>
      <c r="IN26" s="670">
        <f t="shared" si="81"/>
        <v>10.154563859303721</v>
      </c>
      <c r="IO26" s="702">
        <v>1.58415907660222E-2</v>
      </c>
      <c r="IP26" s="5">
        <f t="shared" si="82"/>
        <v>0.66</v>
      </c>
      <c r="IQ26" s="714">
        <v>330</v>
      </c>
      <c r="IR26" s="9">
        <f t="shared" si="132"/>
        <v>-6.3112503966540707</v>
      </c>
      <c r="IS26" s="5">
        <f t="shared" si="83"/>
        <v>-0.26651608446325814</v>
      </c>
      <c r="IT26" s="5">
        <f t="shared" si="84"/>
        <v>0.3125</v>
      </c>
      <c r="IU26" s="5">
        <f t="shared" si="85"/>
        <v>0.29979333344186287</v>
      </c>
      <c r="IV26" s="670">
        <f t="shared" si="86"/>
        <v>40.144148316643815</v>
      </c>
      <c r="IW26" s="9">
        <f t="shared" si="87"/>
        <v>-6.338911812102257</v>
      </c>
      <c r="IX26" s="5">
        <f t="shared" si="88"/>
        <v>-0.2410333576926138</v>
      </c>
      <c r="IY26" s="5">
        <f t="shared" si="89"/>
        <v>0.26450000000000001</v>
      </c>
      <c r="IZ26" s="5">
        <f t="shared" si="90"/>
        <v>0.24623038682159698</v>
      </c>
      <c r="JA26" s="705">
        <f t="shared" si="91"/>
        <v>40.331980222521572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40</v>
      </c>
      <c r="JN26" s="960">
        <f>($JO26-SMALL($JO$9:$JO$88,1))/((Settings!$C$19/2)-((Settings!$C$19/2)-LARGE($JO$9:$JO$88,1))-SMALL($JO$9:$JO$88,1))</f>
        <v>0.73249046316657151</v>
      </c>
      <c r="JO26" s="162">
        <f t="shared" si="134"/>
        <v>6.338911812102257</v>
      </c>
      <c r="JP26" s="961">
        <f t="shared" si="135"/>
        <v>-40.331980222521572</v>
      </c>
      <c r="JQ26" s="961">
        <f t="shared" si="136"/>
        <v>21.420102708228995</v>
      </c>
      <c r="JS26" s="82">
        <v>27</v>
      </c>
      <c r="JT26" s="322">
        <f t="shared" si="137"/>
        <v>4.6774008807214305</v>
      </c>
      <c r="JU26" s="963">
        <f t="shared" si="138"/>
        <v>0.52943152315604403</v>
      </c>
      <c r="JV26" s="961">
        <f>INDEX($JM$9:$JQ$88,MATCH($JS26,$JM$9:$JM$88,0),4)</f>
        <v>-5.1798769779069911</v>
      </c>
      <c r="JW26" s="961">
        <f t="shared" si="92"/>
        <v>15.199638786430022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-20.9167562336659</v>
      </c>
      <c r="KD26" s="970">
        <v>-23.03406</v>
      </c>
      <c r="KE26" s="968">
        <f t="shared" si="140"/>
        <v>-2.1173037663340999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15.600862287898511</v>
      </c>
      <c r="KG26" s="966">
        <f t="shared" si="244"/>
        <v>-3.9986266666666666</v>
      </c>
      <c r="KH26" s="966">
        <f t="shared" si="141"/>
        <v>0.18845179456916128</v>
      </c>
      <c r="KJ26" s="31"/>
    </row>
    <row r="27" spans="1:296" ht="15" customHeight="1" x14ac:dyDescent="0.25">
      <c r="A27" s="75">
        <f t="shared" si="1"/>
        <v>0.02</v>
      </c>
      <c r="B27" s="578">
        <f t="shared" ref="B27:D27" si="294">IFERROR(O182+($A27*-E27),"")</f>
        <v>1.5335698105013342</v>
      </c>
      <c r="C27" s="572">
        <f t="shared" si="294"/>
        <v>6.8503817242385834</v>
      </c>
      <c r="D27" s="576">
        <f t="shared" si="294"/>
        <v>-0.59443155935289171</v>
      </c>
      <c r="E27" s="580">
        <f t="shared" ref="E27:K27" si="295">R182</f>
        <v>-0.81412639729477232</v>
      </c>
      <c r="F27" s="572">
        <f t="shared" si="295"/>
        <v>0.51623749844273759</v>
      </c>
      <c r="G27" s="579">
        <f t="shared" si="295"/>
        <v>0.26588917696931363</v>
      </c>
      <c r="H27" s="580">
        <f t="shared" si="295"/>
        <v>0.26450000000000001</v>
      </c>
      <c r="I27" s="572">
        <f t="shared" si="295"/>
        <v>0.52</v>
      </c>
      <c r="J27" s="483">
        <f t="shared" si="94"/>
        <v>1.246</v>
      </c>
      <c r="K27" s="806">
        <f t="shared" si="295"/>
        <v>1313</v>
      </c>
      <c r="L27" s="309"/>
      <c r="M27" s="164">
        <f t="shared" si="4"/>
        <v>1.246</v>
      </c>
      <c r="N27" s="575">
        <f t="shared" si="5"/>
        <v>1.5335698105013342</v>
      </c>
      <c r="O27" s="572">
        <f t="shared" si="6"/>
        <v>6.8503817242385834</v>
      </c>
      <c r="P27" s="576">
        <f t="shared" si="7"/>
        <v>-0.59443155935289171</v>
      </c>
      <c r="Q27" s="528">
        <f t="shared" si="144"/>
        <v>77.381456173584922</v>
      </c>
      <c r="R27" s="572">
        <f t="shared" si="95"/>
        <v>7.0199406074028206</v>
      </c>
      <c r="S27" s="577">
        <f t="shared" si="96"/>
        <v>-0.59443155935289171</v>
      </c>
      <c r="T27" s="578">
        <f t="shared" si="97"/>
        <v>6.8592113629114806</v>
      </c>
      <c r="U27" s="572">
        <f t="shared" si="98"/>
        <v>-1.4935814709513202</v>
      </c>
      <c r="V27" s="579">
        <f t="shared" si="145"/>
        <v>-0.59443155935289171</v>
      </c>
      <c r="W27" s="528">
        <f t="shared" si="268"/>
        <v>347.71569754367221</v>
      </c>
      <c r="X27" s="572">
        <f t="shared" si="99"/>
        <v>7.0199406074028206</v>
      </c>
      <c r="Y27" s="573">
        <f t="shared" si="271"/>
        <v>-0.59443155935289171</v>
      </c>
      <c r="Z27" s="575">
        <f t="shared" si="10"/>
        <v>0.81412639729477232</v>
      </c>
      <c r="AA27" s="572">
        <f t="shared" si="11"/>
        <v>-0.51623749844273759</v>
      </c>
      <c r="AB27" s="572">
        <f t="shared" si="12"/>
        <v>-0.26588917696931363</v>
      </c>
      <c r="AC27" s="579">
        <f t="shared" si="100"/>
        <v>1</v>
      </c>
      <c r="AD27" s="580">
        <f t="shared" si="146"/>
        <v>0.81412639729477232</v>
      </c>
      <c r="AE27" s="572">
        <f t="shared" si="101"/>
        <v>-0.51623749844273759</v>
      </c>
      <c r="AF27" s="576">
        <f t="shared" si="102"/>
        <v>-0.26588917696931363</v>
      </c>
      <c r="AG27" s="545">
        <f t="shared" si="103"/>
        <v>-62.749175965336292</v>
      </c>
      <c r="AH27" s="546">
        <f t="shared" si="104"/>
        <v>35.498926601908025</v>
      </c>
      <c r="AI27" s="528">
        <f t="shared" si="105"/>
        <v>-74.580205474492544</v>
      </c>
      <c r="AJ27" s="529">
        <f t="shared" si="106"/>
        <v>57.621218500428355</v>
      </c>
      <c r="AK27" s="578">
        <f t="shared" si="247"/>
        <v>0.90723884888608508</v>
      </c>
      <c r="AL27" s="572">
        <f t="shared" si="107"/>
        <v>-0.32591504513052522</v>
      </c>
      <c r="AM27" s="577">
        <f t="shared" si="108"/>
        <v>-0.26588917696931363</v>
      </c>
      <c r="AN27" s="524">
        <f t="shared" si="109"/>
        <v>-50.791623416503164</v>
      </c>
      <c r="AO27" s="525">
        <f t="shared" si="110"/>
        <v>24.873473110999818</v>
      </c>
      <c r="AP27" s="528">
        <f t="shared" si="111"/>
        <v>-19.760237673156567</v>
      </c>
      <c r="AQ27" s="529">
        <f t="shared" si="13"/>
        <v>0.3247466534644477</v>
      </c>
      <c r="AR27" s="979"/>
      <c r="AS27" s="954">
        <f t="shared" si="147"/>
        <v>347.71569754367221</v>
      </c>
      <c r="AT27" s="950">
        <f t="shared" si="14"/>
        <v>-0.58779838935886897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>Taper</v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1.246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1.1459999999999999</v>
      </c>
      <c r="IK27" s="677" cm="1">
        <f t="array" ref="IK27">IFERROR(ROUND(VALUE(IF($IJ27&lt;1,$IJ27+LARGE((IF($M$9:$M$150="",0,$M$9:$M$150)-MOD(IF($M$9:$M$150="",0,$M$9:$M$150),1)),1),$IJ27)),4),"")</f>
        <v>1.1459999999999999</v>
      </c>
      <c r="IL27" s="482">
        <f t="shared" si="79"/>
        <v>1613</v>
      </c>
      <c r="IM27" s="482">
        <f t="shared" si="242"/>
        <v>1313</v>
      </c>
      <c r="IN27" s="670">
        <f t="shared" si="81"/>
        <v>10.389375873510573</v>
      </c>
      <c r="IO27" s="702">
        <v>1.4615508979669199E-2</v>
      </c>
      <c r="IP27" s="5">
        <f t="shared" si="82"/>
        <v>0.68</v>
      </c>
      <c r="IQ27" s="714">
        <v>340</v>
      </c>
      <c r="IR27" s="9">
        <f t="shared" si="132"/>
        <v>-6.9863442496193136</v>
      </c>
      <c r="IS27" s="5">
        <f t="shared" si="83"/>
        <v>-0.6146037182094054</v>
      </c>
      <c r="IT27" s="5">
        <f t="shared" si="84"/>
        <v>0.3125</v>
      </c>
      <c r="IU27" s="5">
        <f t="shared" si="85"/>
        <v>0.29394745388491822</v>
      </c>
      <c r="IV27" s="670">
        <f t="shared" si="86"/>
        <v>50.676798358330245</v>
      </c>
      <c r="IW27" s="9">
        <f t="shared" si="87"/>
        <v>-7.0199406074028206</v>
      </c>
      <c r="IX27" s="5">
        <f t="shared" si="88"/>
        <v>-0.59443155935289171</v>
      </c>
      <c r="IY27" s="5">
        <f t="shared" si="89"/>
        <v>0.26450000000000001</v>
      </c>
      <c r="IZ27" s="5">
        <f t="shared" si="90"/>
        <v>0.23996467553036951</v>
      </c>
      <c r="JA27" s="705">
        <f t="shared" si="91"/>
        <v>50.791623416503164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46</v>
      </c>
      <c r="JN27" s="960">
        <f>($JO27-SMALL($JO$9:$JO$88,1))/((Settings!$C$19/2)-((Settings!$C$19/2)-LARGE($JO$9:$JO$88,1))-SMALL($JO$9:$JO$88,1))</f>
        <v>0.81572132411278964</v>
      </c>
      <c r="JO27" s="162">
        <f t="shared" si="134"/>
        <v>7.0199406074028206</v>
      </c>
      <c r="JP27" s="961">
        <f t="shared" si="135"/>
        <v>-50.791623416503164</v>
      </c>
      <c r="JQ27" s="961">
        <f t="shared" si="136"/>
        <v>24.873473110999818</v>
      </c>
      <c r="JS27" s="82">
        <v>28</v>
      </c>
      <c r="JT27" s="322">
        <f t="shared" si="137"/>
        <v>4.806398695938551</v>
      </c>
      <c r="JU27" s="963">
        <f t="shared" si="138"/>
        <v>0.54519678784791892</v>
      </c>
      <c r="JV27" s="961">
        <f t="shared" si="287"/>
        <v>-8.4953472155020027</v>
      </c>
      <c r="JW27" s="961">
        <f t="shared" si="92"/>
        <v>15.2485715199173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-27.260989399435395</v>
      </c>
      <c r="KD27" s="970">
        <v>-27.032773333333331</v>
      </c>
      <c r="KE27" s="968">
        <f t="shared" si="140"/>
        <v>0.22821606610206402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15.834457330965062</v>
      </c>
      <c r="KG27" s="966">
        <f t="shared" si="244"/>
        <v>-3.9987133333333311</v>
      </c>
      <c r="KH27" s="966">
        <f t="shared" si="141"/>
        <v>0.23359504306655055</v>
      </c>
      <c r="KJ27" s="31"/>
    </row>
    <row r="28" spans="1:296" ht="15" customHeight="1" x14ac:dyDescent="0.25">
      <c r="A28" s="75">
        <f t="shared" si="1"/>
        <v>0.02</v>
      </c>
      <c r="B28" s="578">
        <f t="shared" ref="B28:D28" si="296">IFERROR(O183+($A28*-E28),"")</f>
        <v>1.7908778189055952</v>
      </c>
      <c r="C28" s="572">
        <f t="shared" si="296"/>
        <v>7.3874596005679587</v>
      </c>
      <c r="D28" s="576">
        <f t="shared" si="296"/>
        <v>-1.0877320343409704</v>
      </c>
      <c r="E28" s="580">
        <f t="shared" ref="E28:K28" si="297">R183</f>
        <v>-0.75059130928693052</v>
      </c>
      <c r="F28" s="572">
        <f t="shared" si="297"/>
        <v>0.61214078926577142</v>
      </c>
      <c r="G28" s="579">
        <f t="shared" si="297"/>
        <v>0.24878975167801815</v>
      </c>
      <c r="H28" s="580">
        <f t="shared" si="297"/>
        <v>0.26450000000000001</v>
      </c>
      <c r="I28" s="572">
        <f t="shared" si="297"/>
        <v>0.52</v>
      </c>
      <c r="J28" s="483">
        <f t="shared" si="94"/>
        <v>1.252</v>
      </c>
      <c r="K28" s="806">
        <f t="shared" si="297"/>
        <v>1313</v>
      </c>
      <c r="L28" s="309"/>
      <c r="M28" s="164">
        <f t="shared" si="4"/>
        <v>1.252</v>
      </c>
      <c r="N28" s="575">
        <f t="shared" si="5"/>
        <v>1.7908778189055952</v>
      </c>
      <c r="O28" s="572">
        <f t="shared" si="6"/>
        <v>7.3874596005679587</v>
      </c>
      <c r="P28" s="576">
        <f t="shared" si="7"/>
        <v>-1.0877320343409704</v>
      </c>
      <c r="Q28" s="528">
        <f t="shared" si="144"/>
        <v>76.373162474727678</v>
      </c>
      <c r="R28" s="572">
        <f t="shared" si="95"/>
        <v>7.601434253630809</v>
      </c>
      <c r="S28" s="577">
        <f t="shared" si="96"/>
        <v>-1.0877320343409704</v>
      </c>
      <c r="T28" s="578">
        <f t="shared" si="97"/>
        <v>7.3977811272850857</v>
      </c>
      <c r="U28" s="572">
        <f t="shared" si="98"/>
        <v>-1.7477520147481971</v>
      </c>
      <c r="V28" s="579">
        <f t="shared" si="145"/>
        <v>-1.0877320343409704</v>
      </c>
      <c r="W28" s="528">
        <f t="shared" si="268"/>
        <v>346.70740384481496</v>
      </c>
      <c r="X28" s="572">
        <f t="shared" si="99"/>
        <v>7.601434253630809</v>
      </c>
      <c r="Y28" s="573">
        <f t="shared" si="271"/>
        <v>-1.0877320343409704</v>
      </c>
      <c r="Z28" s="575">
        <f t="shared" si="10"/>
        <v>0.75059130928693052</v>
      </c>
      <c r="AA28" s="572">
        <f t="shared" si="11"/>
        <v>-0.61214078926577142</v>
      </c>
      <c r="AB28" s="572">
        <f t="shared" si="12"/>
        <v>-0.24878975167801815</v>
      </c>
      <c r="AC28" s="579">
        <f t="shared" si="100"/>
        <v>1</v>
      </c>
      <c r="AD28" s="580">
        <f t="shared" si="146"/>
        <v>0.75059130928693052</v>
      </c>
      <c r="AE28" s="572">
        <f t="shared" si="101"/>
        <v>-0.61214078926577142</v>
      </c>
      <c r="AF28" s="576">
        <f t="shared" si="102"/>
        <v>-0.24878975167801815</v>
      </c>
      <c r="AG28" s="545">
        <f t="shared" si="103"/>
        <v>-67.881911153466376</v>
      </c>
      <c r="AH28" s="546">
        <f t="shared" si="104"/>
        <v>41.35837508583483</v>
      </c>
      <c r="AI28" s="528">
        <f t="shared" si="105"/>
        <v>-75.594092514608306</v>
      </c>
      <c r="AJ28" s="529">
        <f t="shared" si="106"/>
        <v>50.801216884316617</v>
      </c>
      <c r="AK28" s="578">
        <f t="shared" si="247"/>
        <v>0.87368148086867603</v>
      </c>
      <c r="AL28" s="572">
        <f t="shared" si="107"/>
        <v>-0.41807215818218213</v>
      </c>
      <c r="AM28" s="577">
        <f t="shared" si="108"/>
        <v>-0.24878975167801815</v>
      </c>
      <c r="AN28" s="524">
        <f t="shared" si="109"/>
        <v>-59.243628105294192</v>
      </c>
      <c r="AO28" s="525">
        <f t="shared" si="110"/>
        <v>29.110688656989414</v>
      </c>
      <c r="AP28" s="528">
        <f t="shared" si="111"/>
        <v>-25.571945590411055</v>
      </c>
      <c r="AQ28" s="529">
        <f t="shared" si="13"/>
        <v>0.29990469373950307</v>
      </c>
      <c r="AR28" s="979"/>
      <c r="AS28" s="954">
        <f t="shared" si="147"/>
        <v>346.70740384481496</v>
      </c>
      <c r="AT28" s="950">
        <f t="shared" si="14"/>
        <v>-1.0803986603894078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>Taper</v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1.252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1.1519999999999999</v>
      </c>
      <c r="IK28" s="677" cm="1">
        <f t="array" ref="IK28">IFERROR(ROUND(VALUE(IF($IJ28&lt;1,$IJ28+LARGE((IF($M$9:$M$150="",0,$M$9:$M$150)-MOD(IF($M$9:$M$150="",0,$M$9:$M$150),1)),1),$IJ28)),4),"")</f>
        <v>1.1519999999999999</v>
      </c>
      <c r="IL28" s="482">
        <f>IF(ISNUMBER($IK28),INDEX($K$9:$K$150,MATCH($IK28,$M$9:$M$150,0)),$K28)</f>
        <v>1613</v>
      </c>
      <c r="IM28" s="482">
        <f t="shared" si="242"/>
        <v>1313</v>
      </c>
      <c r="IN28" s="670">
        <f t="shared" si="81"/>
        <v>10.838641251530248</v>
      </c>
      <c r="IO28" s="702">
        <v>1.3345536506786999E-2</v>
      </c>
      <c r="IP28" s="5">
        <f t="shared" si="82"/>
        <v>0.7</v>
      </c>
      <c r="IQ28" s="714">
        <v>350</v>
      </c>
      <c r="IR28" s="9">
        <f t="shared" si="132"/>
        <v>-7.5636952734822138</v>
      </c>
      <c r="IS28" s="5">
        <f t="shared" si="83"/>
        <v>-1.1027839669051844</v>
      </c>
      <c r="IT28" s="5">
        <f t="shared" si="84"/>
        <v>0.3125</v>
      </c>
      <c r="IU28" s="5">
        <f t="shared" si="85"/>
        <v>0.28531976312906804</v>
      </c>
      <c r="IV28" s="670">
        <f t="shared" si="86"/>
        <v>59.172763830101175</v>
      </c>
      <c r="IW28" s="9">
        <f t="shared" si="87"/>
        <v>-7.601434253630809</v>
      </c>
      <c r="IX28" s="5">
        <f t="shared" si="88"/>
        <v>-1.0877320343409704</v>
      </c>
      <c r="IY28" s="5">
        <f t="shared" si="89"/>
        <v>0.26450000000000001</v>
      </c>
      <c r="IZ28" s="5">
        <f t="shared" si="90"/>
        <v>0.23108875168976481</v>
      </c>
      <c r="JA28" s="705">
        <f t="shared" si="91"/>
        <v>59.243628105294192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52</v>
      </c>
      <c r="JN28" s="960">
        <f>($JO28-SMALL($JO$9:$JO$88,1))/((Settings!$C$19/2)-((Settings!$C$19/2)-LARGE($JO$9:$JO$88,1))-SMALL($JO$9:$JO$88,1))</f>
        <v>0.88678765367812196</v>
      </c>
      <c r="JO28" s="162">
        <f t="shared" si="134"/>
        <v>7.601434253630809</v>
      </c>
      <c r="JP28" s="961">
        <f t="shared" si="135"/>
        <v>-59.243628105294192</v>
      </c>
      <c r="JQ28" s="961">
        <f t="shared" si="136"/>
        <v>29.110688656989414</v>
      </c>
      <c r="JS28" s="82">
        <v>31</v>
      </c>
      <c r="JT28" s="322">
        <f t="shared" si="137"/>
        <v>5.1923150977068104</v>
      </c>
      <c r="JU28" s="963">
        <f t="shared" si="138"/>
        <v>0.59236095270274425</v>
      </c>
      <c r="JV28" s="961">
        <f t="shared" si="287"/>
        <v>-15.95679354291808</v>
      </c>
      <c r="JW28" s="961">
        <f t="shared" si="92"/>
        <v>15.450797552480237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-33.404770718709166</v>
      </c>
      <c r="KD28" s="970">
        <v>-30.969086666666662</v>
      </c>
      <c r="KE28" s="968">
        <f t="shared" si="140"/>
        <v>2.4356840520425038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16.07912436545309</v>
      </c>
      <c r="KG28" s="966">
        <f t="shared" si="244"/>
        <v>-3.9363133333333309</v>
      </c>
      <c r="KH28" s="966">
        <f t="shared" si="141"/>
        <v>0.24466703448802818</v>
      </c>
      <c r="KJ28" s="31"/>
    </row>
    <row r="29" spans="1:296" ht="15" customHeight="1" x14ac:dyDescent="0.25">
      <c r="A29" s="75">
        <f t="shared" si="1"/>
        <v>0.02</v>
      </c>
      <c r="B29" s="578">
        <f t="shared" ref="B29:D29" si="298">IFERROR(O184+($A29*-E29),"")</f>
        <v>2.0328731053261078</v>
      </c>
      <c r="C29" s="572">
        <f t="shared" si="298"/>
        <v>7.7963242706804916</v>
      </c>
      <c r="D29" s="576">
        <f t="shared" si="298"/>
        <v>-1.701948771079048</v>
      </c>
      <c r="E29" s="580">
        <f t="shared" ref="E29:K29" si="299">R184</f>
        <v>-0.6931276779197586</v>
      </c>
      <c r="F29" s="572">
        <f t="shared" si="299"/>
        <v>0.6917860032643206</v>
      </c>
      <c r="G29" s="579">
        <f t="shared" si="299"/>
        <v>0.20249974762735085</v>
      </c>
      <c r="H29" s="580">
        <f t="shared" si="299"/>
        <v>0.26450000000000001</v>
      </c>
      <c r="I29" s="572">
        <f t="shared" si="299"/>
        <v>0.52</v>
      </c>
      <c r="J29" s="483">
        <f t="shared" si="94"/>
        <v>1.258</v>
      </c>
      <c r="K29" s="806">
        <f t="shared" si="299"/>
        <v>1313</v>
      </c>
      <c r="L29" s="82"/>
      <c r="M29" s="164">
        <f t="shared" si="4"/>
        <v>1.258</v>
      </c>
      <c r="N29" s="575">
        <f t="shared" si="5"/>
        <v>2.0328731053261078</v>
      </c>
      <c r="O29" s="572">
        <f t="shared" si="6"/>
        <v>7.7963242706804916</v>
      </c>
      <c r="P29" s="576">
        <f t="shared" si="7"/>
        <v>-1.701948771079048</v>
      </c>
      <c r="Q29" s="528">
        <f t="shared" si="144"/>
        <v>75.385667230244223</v>
      </c>
      <c r="R29" s="572">
        <f>IF(M29="","",SQRT(N29^2+O29^2))</f>
        <v>8.0569997639294932</v>
      </c>
      <c r="S29" s="577">
        <f>IF(M29="","",P29)</f>
        <v>-1.701948771079048</v>
      </c>
      <c r="T29" s="578">
        <f>IF(M29="","",X29*COS(RADIANS(W29)))</f>
        <v>7.8080505390713757</v>
      </c>
      <c r="U29" s="572">
        <f>IF(M29="","",X29*SIN(RADIANS(W29)))</f>
        <v>-1.9873580390224383</v>
      </c>
      <c r="V29" s="579">
        <f>IF(M29="","",Y29)</f>
        <v>-1.701948771079048</v>
      </c>
      <c r="W29" s="528">
        <f t="shared" si="268"/>
        <v>345.71990860033151</v>
      </c>
      <c r="X29" s="572">
        <f>IF(M29="","",R29)</f>
        <v>8.0569997639294932</v>
      </c>
      <c r="Y29" s="573">
        <f t="shared" si="271"/>
        <v>-1.701948771079048</v>
      </c>
      <c r="Z29" s="575">
        <f t="shared" si="10"/>
        <v>0.6931276779197586</v>
      </c>
      <c r="AA29" s="572">
        <f t="shared" si="11"/>
        <v>-0.6917860032643206</v>
      </c>
      <c r="AB29" s="572">
        <f t="shared" si="12"/>
        <v>-0.20249974762735085</v>
      </c>
      <c r="AC29" s="579">
        <f>IF(M29="","",SQRT(Z29^2+AA29^2+AB29^2))</f>
        <v>1</v>
      </c>
      <c r="AD29" s="580">
        <f>IF(M29="","",Z29*(1/SQRT(Z29^2+AA29^2+AB29^2)))</f>
        <v>0.6931276779197586</v>
      </c>
      <c r="AE29" s="572">
        <f>IF(M29="","",AA29*(1/SQRT(Z29^2+AA29^2+AB29^2)))</f>
        <v>-0.6917860032643206</v>
      </c>
      <c r="AF29" s="576">
        <f>IF(M29="","",AB29*(1/SQRT(Z29^2+AA29^2+AB29^2)))</f>
        <v>-0.20249974762735085</v>
      </c>
      <c r="AG29" s="545">
        <f>IF(M29="","",DEGREES(ATAN2(-AF29,AE29)))</f>
        <v>-73.684179712417716</v>
      </c>
      <c r="AH29" s="546">
        <f>IF(M29="","",DEGREES(ACOS(AD29)))</f>
        <v>46.121795517276993</v>
      </c>
      <c r="AI29" s="528">
        <f>IF(M29="","",DEGREES(-ACOS(-AF29)))</f>
        <v>-78.316824332963677</v>
      </c>
      <c r="AJ29" s="529">
        <f>IF(M29="","",DEGREES(ATAN2(-AE29,AD29)))</f>
        <v>45.055506904315884</v>
      </c>
      <c r="AK29" s="578">
        <f>IF(M29="","",(COS(RADIANS((90-$Q$8)-W29))*AD29)+(-SIN(RADIANS((90-$Q$8)-W29))*AE29))</f>
        <v>0.84524779673096373</v>
      </c>
      <c r="AL29" s="572">
        <f>IF(M29="","",(SIN(RADIANS((90-$Q$8)-W29))*AD29)+(COS(RADIANS((90-$Q$8)-W29))*AE29))</f>
        <v>-0.49451998375425688</v>
      </c>
      <c r="AM29" s="577">
        <f>IF(M29="","",AF29)</f>
        <v>-0.20249974762735085</v>
      </c>
      <c r="AN29" s="524">
        <f>IF(M29="","",DEGREES(ATAN2(-AM29,AL29)))</f>
        <v>-67.731514113479804</v>
      </c>
      <c r="AO29" s="525">
        <f t="shared" si="110"/>
        <v>32.30150502749769</v>
      </c>
      <c r="AP29" s="528">
        <f>IF(M29="","",DEGREES(ATAN2(AK29,AL29)))</f>
        <v>-30.330160325928365</v>
      </c>
      <c r="AQ29" s="529">
        <f t="shared" si="13"/>
        <v>0.28294751973103055</v>
      </c>
      <c r="AR29" s="979"/>
      <c r="AS29" s="954">
        <f t="shared" si="147"/>
        <v>345.71990860033151</v>
      </c>
      <c r="AT29" s="950">
        <f t="shared" si="14"/>
        <v>-1.6939296365410386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>Taper</v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1.258</v>
      </c>
      <c r="IJ29" s="674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1.1579999999999999</v>
      </c>
      <c r="IK29" s="677" cm="1">
        <f t="array" ref="IK29">IFERROR(ROUND(VALUE(IF($IJ29&lt;1,$IJ29+LARGE((IF($M$9:$M$150="",0,$M$9:$M$150)-MOD(IF($M$9:$M$150="",0,$M$9:$M$150),1)),1),$IJ29)),4),"")</f>
        <v>1.1579999999999999</v>
      </c>
      <c r="IL29" s="482">
        <f t="shared" si="79"/>
        <v>1613</v>
      </c>
      <c r="IM29" s="482">
        <f t="shared" si="242"/>
        <v>1313</v>
      </c>
      <c r="IN29" s="670">
        <f t="shared" si="81"/>
        <v>11.366392920087378</v>
      </c>
      <c r="IO29" s="702">
        <v>1.2050161227001499E-2</v>
      </c>
      <c r="IP29" s="5">
        <f t="shared" si="82"/>
        <v>0.74</v>
      </c>
      <c r="IQ29" s="714">
        <v>370</v>
      </c>
      <c r="IR29" s="9">
        <f t="shared" si="132"/>
        <v>-8.0161298214753991</v>
      </c>
      <c r="IS29" s="5">
        <f t="shared" si="83"/>
        <v>-1.7109830404434758</v>
      </c>
      <c r="IT29" s="5">
        <f t="shared" si="84"/>
        <v>0.3125</v>
      </c>
      <c r="IU29" s="5">
        <f t="shared" si="85"/>
        <v>0.27779297762476085</v>
      </c>
      <c r="IV29" s="670">
        <f t="shared" si="86"/>
        <v>67.687451163134199</v>
      </c>
      <c r="IW29" s="9">
        <f t="shared" si="87"/>
        <v>-8.0569997639294932</v>
      </c>
      <c r="IX29" s="5">
        <f t="shared" si="88"/>
        <v>-1.701948771079048</v>
      </c>
      <c r="IY29" s="5">
        <f t="shared" si="89"/>
        <v>0.26450000000000001</v>
      </c>
      <c r="IZ29" s="5">
        <f t="shared" si="90"/>
        <v>0.22356804223533988</v>
      </c>
      <c r="JA29" s="705">
        <f t="shared" si="91"/>
        <v>67.731514113479804</v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24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310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330</v>
      </c>
      <c r="JM29" s="489">
        <f t="shared" si="133"/>
        <v>58</v>
      </c>
      <c r="JN29" s="960">
        <f>($JO29-SMALL($JO$9:$JO$88,1))/((Settings!$C$19/2)-((Settings!$C$19/2)-LARGE($JO$9:$JO$88,1))-SMALL($JO$9:$JO$88,1))</f>
        <v>0.94246387456806013</v>
      </c>
      <c r="JO29" s="162">
        <f t="shared" si="134"/>
        <v>8.0569997639294932</v>
      </c>
      <c r="JP29" s="961">
        <f t="shared" si="135"/>
        <v>-67.731514113479804</v>
      </c>
      <c r="JQ29" s="961">
        <f t="shared" si="136"/>
        <v>32.30150502749769</v>
      </c>
      <c r="JS29" s="82">
        <v>32</v>
      </c>
      <c r="JT29" s="322">
        <f t="shared" si="137"/>
        <v>5.321461549691584</v>
      </c>
      <c r="JU29" s="963">
        <f t="shared" si="138"/>
        <v>0.60814438280293293</v>
      </c>
      <c r="JV29" s="961">
        <f t="shared" si="287"/>
        <v>-18.728156694021024</v>
      </c>
      <c r="JW29" s="961">
        <f t="shared" si="92"/>
        <v>15.53276536358673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-39.353334549821383</v>
      </c>
      <c r="KD29" s="970">
        <v>-34.905486666666668</v>
      </c>
      <c r="KE29" s="968">
        <f t="shared" si="140"/>
        <v>4.447847883154715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16.356436486785629</v>
      </c>
      <c r="KG29" s="966">
        <f t="shared" si="244"/>
        <v>-3.9364000000000061</v>
      </c>
      <c r="KH29" s="966">
        <f t="shared" si="141"/>
        <v>0.27731212133253891</v>
      </c>
      <c r="KJ29" s="31"/>
    </row>
    <row r="30" spans="1:296" ht="15" customHeight="1" x14ac:dyDescent="0.25">
      <c r="A30" s="75">
        <f t="shared" si="1"/>
        <v>0</v>
      </c>
      <c r="B30" s="578">
        <f t="shared" ref="B30:D30" si="300">IFERROR(O185+($A30*-E30),"")</f>
        <v>2.3330686041800477</v>
      </c>
      <c r="C30" s="572">
        <f t="shared" si="300"/>
        <v>8.0003427160919589</v>
      </c>
      <c r="D30" s="576">
        <f t="shared" si="300"/>
        <v>-2.4160187468005327</v>
      </c>
      <c r="E30" s="580">
        <f t="shared" ref="E30:K30" si="301">R185</f>
        <v>0.21940232068939078</v>
      </c>
      <c r="F30" s="572">
        <f t="shared" si="301"/>
        <v>0.75235492298375461</v>
      </c>
      <c r="G30" s="579">
        <f t="shared" si="301"/>
        <v>0.62114788218122285</v>
      </c>
      <c r="H30" s="580">
        <f t="shared" si="301"/>
        <v>0.255</v>
      </c>
      <c r="I30" s="572">
        <f t="shared" si="301"/>
        <v>0.41499999999999992</v>
      </c>
      <c r="J30" s="483">
        <f t="shared" si="94"/>
        <v>1.264</v>
      </c>
      <c r="K30" s="806" t="str">
        <f t="shared" si="301"/>
        <v>CPS-32193r1</v>
      </c>
      <c r="L30" s="82"/>
      <c r="M30" s="164">
        <f t="shared" si="4"/>
        <v>1.264</v>
      </c>
      <c r="N30" s="575">
        <f t="shared" si="5"/>
        <v>2.3330686041800477</v>
      </c>
      <c r="O30" s="572">
        <f t="shared" si="6"/>
        <v>8.0003427160919589</v>
      </c>
      <c r="P30" s="576">
        <f t="shared" si="7"/>
        <v>-2.4160187468005327</v>
      </c>
      <c r="Q30" s="528">
        <f t="shared" si="144"/>
        <v>73.74220233174276</v>
      </c>
      <c r="R30" s="572">
        <f>IF(M30="","",SQRT(N30^2+O30^2))</f>
        <v>8.3335882239726899</v>
      </c>
      <c r="S30" s="577">
        <f>IF(M30="","",P30)</f>
        <v>-2.4160187468005327</v>
      </c>
      <c r="T30" s="578">
        <f>IF(M30="","",X30*COS(RADIANS(W30)))</f>
        <v>8.0138167272666081</v>
      </c>
      <c r="U30" s="572">
        <f>IF(M30="","",X30*SIN(RADIANS(W30)))</f>
        <v>-2.2863582721258293</v>
      </c>
      <c r="V30" s="579">
        <f>IF(M30="","",Y30)</f>
        <v>-2.4160187468005327</v>
      </c>
      <c r="W30" s="528">
        <f t="shared" si="268"/>
        <v>344.07644370183004</v>
      </c>
      <c r="X30" s="572">
        <f>IF(M30="","",R30)</f>
        <v>8.3335882239726899</v>
      </c>
      <c r="Y30" s="573">
        <f t="shared" si="271"/>
        <v>-2.4160187468005327</v>
      </c>
      <c r="Z30" s="575">
        <f t="shared" si="10"/>
        <v>-0.21940232068939078</v>
      </c>
      <c r="AA30" s="572">
        <f t="shared" si="11"/>
        <v>-0.75235492298375461</v>
      </c>
      <c r="AB30" s="572">
        <f t="shared" si="12"/>
        <v>-0.62114788218122285</v>
      </c>
      <c r="AC30" s="579">
        <f>IF(M30="","",SQRT(Z30^2+AA30^2+AB30^2))</f>
        <v>1</v>
      </c>
      <c r="AD30" s="580">
        <f>IF(M30="","",Z30*(1/SQRT(Z30^2+AA30^2+AB30^2)))</f>
        <v>-0.21940232068939078</v>
      </c>
      <c r="AE30" s="572">
        <f>IF(M30="","",AA30*(1/SQRT(Z30^2+AA30^2+AB30^2)))</f>
        <v>-0.75235492298375461</v>
      </c>
      <c r="AF30" s="576">
        <f>IF(M30="","",AB30*(1/SQRT(Z30^2+AA30^2+AB30^2)))</f>
        <v>-0.62114788218122285</v>
      </c>
      <c r="AG30" s="545">
        <f>IF(M30="","",DEGREES(ATAN2(-AF30,AE30)))</f>
        <v>-50.45675393535182</v>
      </c>
      <c r="AH30" s="546">
        <f>IF(M30="","",DEGREES(ACOS(AD30)))</f>
        <v>102.67393084876579</v>
      </c>
      <c r="AI30" s="528">
        <f>IF(M30="","",DEGREES(-ACOS(-AF30)))</f>
        <v>-51.599992549884071</v>
      </c>
      <c r="AJ30" s="529">
        <f>IF(M30="","",DEGREES(ATAN2(-AE30,AD30)))</f>
        <v>-16.25778107170207</v>
      </c>
      <c r="AK30" s="578">
        <f>IF(M30="","",(COS(RADIANS((90-$Q$8)-W30))*AD30)+(-SIN(RADIANS((90-$Q$8)-W30))*AE30))</f>
        <v>2.2700817509102578E-7</v>
      </c>
      <c r="AL30" s="572">
        <f>IF(M30="","",(SIN(RADIANS((90-$Q$8)-W30))*AD30)+(COS(RADIANS((90-$Q$8)-W30))*AE30))</f>
        <v>-0.78369337655854288</v>
      </c>
      <c r="AM30" s="577">
        <f>IF(M30="","",AF30)</f>
        <v>-0.62114788218122285</v>
      </c>
      <c r="AN30" s="524">
        <f>IF(M30="","",DEGREES(ATAN2(-AM30,AL30)))</f>
        <v>-51.599992549882899</v>
      </c>
      <c r="AO30" s="525">
        <f>IF(ROUND(IF(M30="",0,DEGREES(ACOS(AK30))),4)=90,0,IF(M30="","",DEGREES(ACOS(AK30))))</f>
        <v>0</v>
      </c>
      <c r="AP30" s="528">
        <f>IF(M30="","",DEGREES(ATAN2(AK30,AL30)))</f>
        <v>-89.999983403444844</v>
      </c>
      <c r="AQ30" s="529">
        <f t="shared" si="13"/>
        <v>0.27355674988191747</v>
      </c>
      <c r="AR30" s="979"/>
      <c r="AS30" s="954">
        <f t="shared" si="147"/>
        <v>344.07644370183004</v>
      </c>
      <c r="AT30" s="950">
        <f t="shared" si="14"/>
        <v>-2.4068583171941196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1.264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1.1639999999999999</v>
      </c>
      <c r="IK30" s="677" cm="1">
        <f t="array" ref="IK30">IFERROR(ROUND(VALUE(IF($IJ30&lt;1,$IJ30+LARGE((IF($M$9:$M$150="",0,$M$9:$M$150)-MOD(IF($M$9:$M$150="",0,$M$9:$M$150),1)),1),$IJ30)),4),"")</f>
        <v>1.1639999999999999</v>
      </c>
      <c r="IL30" s="482">
        <f t="shared" si="79"/>
        <v>1613</v>
      </c>
      <c r="IM30" s="482" t="str">
        <f t="shared" si="242"/>
        <v>CPS-32193r1</v>
      </c>
      <c r="IN30" s="670">
        <f t="shared" si="81"/>
        <v>12.693967410765481</v>
      </c>
      <c r="IO30" s="702">
        <v>5.8387172050689104E-4</v>
      </c>
      <c r="IP30" s="5">
        <f t="shared" si="82"/>
        <v>0</v>
      </c>
      <c r="IQ30" s="714">
        <v>0</v>
      </c>
      <c r="IR30" s="9">
        <f t="shared" si="132"/>
        <v>-8.3174979749609204</v>
      </c>
      <c r="IS30" s="5">
        <f t="shared" si="83"/>
        <v>-2.4068524314673345</v>
      </c>
      <c r="IT30" s="5">
        <f t="shared" si="84"/>
        <v>0.3125</v>
      </c>
      <c r="IU30" s="5">
        <f t="shared" si="85"/>
        <v>0.26985561497789623</v>
      </c>
      <c r="IV30" s="670">
        <f t="shared" si="86"/>
        <v>76.554181205740818</v>
      </c>
      <c r="IW30" s="9">
        <f t="shared" si="87"/>
        <v>-8.3335882239726899</v>
      </c>
      <c r="IX30" s="5">
        <f t="shared" si="88"/>
        <v>-2.4160187468005327</v>
      </c>
      <c r="IY30" s="5">
        <f t="shared" si="89"/>
        <v>0.255</v>
      </c>
      <c r="IZ30" s="5">
        <f t="shared" si="90"/>
        <v>0.255</v>
      </c>
      <c r="JA30" s="705">
        <f t="shared" si="91"/>
        <v>51.599992549882899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24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230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0</v>
      </c>
      <c r="JM30" s="489">
        <f t="shared" si="133"/>
        <v>64</v>
      </c>
      <c r="JN30" s="960">
        <f>($JO30-SMALL($JO$9:$JO$88,1))/((Settings!$C$19/2)-((Settings!$C$19/2)-LARGE($JO$9:$JO$88,1))-SMALL($JO$9:$JO$88,1))</f>
        <v>0.97626669732098659</v>
      </c>
      <c r="JO30" s="162">
        <f t="shared" si="134"/>
        <v>8.3335882239726899</v>
      </c>
      <c r="JP30" s="961">
        <f t="shared" si="135"/>
        <v>-51.599992549882899</v>
      </c>
      <c r="JQ30" s="961">
        <f t="shared" si="136"/>
        <v>0</v>
      </c>
      <c r="JS30" s="82">
        <v>33</v>
      </c>
      <c r="JT30" s="322">
        <f t="shared" si="137"/>
        <v>5.4505013973092975</v>
      </c>
      <c r="JU30" s="963">
        <f t="shared" si="138"/>
        <v>0.62391478441840509</v>
      </c>
      <c r="JV30" s="961">
        <f t="shared" si="287"/>
        <v>-21.582130930128407</v>
      </c>
      <c r="JW30" s="961">
        <f t="shared" si="92"/>
        <v>15.621565011043256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-43.139261864735339</v>
      </c>
      <c r="KD30" s="970">
        <v>-38.841799999999999</v>
      </c>
      <c r="KE30" s="968">
        <f t="shared" si="140"/>
        <v>4.2974618647353395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17.786042677281433</v>
      </c>
      <c r="KG30" s="966">
        <f t="shared" si="244"/>
        <v>-3.9363133333333309</v>
      </c>
      <c r="KH30" s="966">
        <f t="shared" si="141"/>
        <v>1.4296061904958037</v>
      </c>
      <c r="KJ30" s="31"/>
    </row>
    <row r="31" spans="1:296" ht="15" customHeight="1" x14ac:dyDescent="0.25">
      <c r="A31" s="75">
        <f t="shared" si="1"/>
        <v>0</v>
      </c>
      <c r="B31" s="578">
        <f t="shared" ref="B31:D31" si="302">IFERROR(O186+($A31*-E31),"")</f>
        <v>2.4900700310025217</v>
      </c>
      <c r="C31" s="572">
        <f t="shared" si="302"/>
        <v>8.0882733348816362</v>
      </c>
      <c r="D31" s="576">
        <f t="shared" si="302"/>
        <v>-3.1636881248983464</v>
      </c>
      <c r="E31" s="580">
        <f t="shared" ref="E31:K31" si="303">R186</f>
        <v>0.25684292903459338</v>
      </c>
      <c r="F31" s="572">
        <f t="shared" si="303"/>
        <v>0.83428084737378083</v>
      </c>
      <c r="G31" s="579">
        <f t="shared" si="303"/>
        <v>0.48785979288133313</v>
      </c>
      <c r="H31" s="580">
        <f t="shared" si="303"/>
        <v>0.255</v>
      </c>
      <c r="I31" s="572">
        <f t="shared" si="303"/>
        <v>0.41499999999999992</v>
      </c>
      <c r="J31" s="483">
        <f t="shared" si="94"/>
        <v>1.27</v>
      </c>
      <c r="K31" s="806" t="str">
        <f t="shared" si="303"/>
        <v>CPS-32193r1</v>
      </c>
      <c r="L31" s="309"/>
      <c r="M31" s="164">
        <f t="shared" si="4"/>
        <v>1.27</v>
      </c>
      <c r="N31" s="575">
        <f t="shared" si="5"/>
        <v>2.4900700310025217</v>
      </c>
      <c r="O31" s="572">
        <f t="shared" si="6"/>
        <v>8.0882733348816362</v>
      </c>
      <c r="P31" s="576">
        <f t="shared" si="7"/>
        <v>-3.1636881248983464</v>
      </c>
      <c r="Q31" s="528">
        <f t="shared" si="144"/>
        <v>72.888402455254464</v>
      </c>
      <c r="R31" s="572">
        <f>IF(M31="","",SQRT(N31^2+O31^2))</f>
        <v>8.4628963303974256</v>
      </c>
      <c r="S31" s="577">
        <f>IF(M31="","",P31)</f>
        <v>-3.1636881248983464</v>
      </c>
      <c r="T31" s="578">
        <f>IF(M31="","",X31*COS(RADIANS(W31)))</f>
        <v>8.102661730151878</v>
      </c>
      <c r="U31" s="572">
        <f>IF(M31="","",X31*SIN(RADIANS(W31)))</f>
        <v>-2.4428440772563387</v>
      </c>
      <c r="V31" s="579">
        <f>IF(M31="","",Y31)</f>
        <v>-3.1636881248983464</v>
      </c>
      <c r="W31" s="528">
        <f t="shared" si="268"/>
        <v>343.22264382534172</v>
      </c>
      <c r="X31" s="572">
        <f>IF(M31="","",R31)</f>
        <v>8.4628963303974256</v>
      </c>
      <c r="Y31" s="573">
        <f t="shared" si="271"/>
        <v>-3.1636881248983464</v>
      </c>
      <c r="Z31" s="575">
        <f t="shared" si="10"/>
        <v>-0.25684292903459338</v>
      </c>
      <c r="AA31" s="572">
        <f t="shared" si="11"/>
        <v>-0.83428084737378083</v>
      </c>
      <c r="AB31" s="572">
        <f t="shared" si="12"/>
        <v>-0.48785979288133313</v>
      </c>
      <c r="AC31" s="579">
        <f>IF(M31="","",SQRT(Z31^2+AA31^2+AB31^2))</f>
        <v>1</v>
      </c>
      <c r="AD31" s="580">
        <f>IF(M31="","",Z31*(1/SQRT(Z31^2+AA31^2+AB31^2)))</f>
        <v>-0.25684292903459338</v>
      </c>
      <c r="AE31" s="572">
        <f>IF(M31="","",AA31*(1/SQRT(Z31^2+AA31^2+AB31^2)))</f>
        <v>-0.83428084737378083</v>
      </c>
      <c r="AF31" s="576">
        <f>IF(M31="","",AB31*(1/SQRT(Z31^2+AA31^2+AB31^2)))</f>
        <v>-0.48785979288133313</v>
      </c>
      <c r="AG31" s="545">
        <f>IF(M31="","",DEGREES(ATAN2(-AF31,AE31)))</f>
        <v>-59.682318905807591</v>
      </c>
      <c r="AH31" s="546">
        <f>IF(M31="","",DEGREES(ACOS(AD31)))</f>
        <v>104.8828148392473</v>
      </c>
      <c r="AI31" s="528">
        <f>IF(M31="","",DEGREES(-ACOS(-AF31)))</f>
        <v>-60.799991221568256</v>
      </c>
      <c r="AJ31" s="529">
        <f>IF(M31="","",DEGREES(ATAN2(-AE31,AD31)))</f>
        <v>-17.111582643306829</v>
      </c>
      <c r="AK31" s="578">
        <f>IF(M31="","",(COS(RADIANS((90-$Q$8)-W31))*AD31)+(-SIN(RADIANS((90-$Q$8)-W31))*AE31))</f>
        <v>2.2702882912506439E-7</v>
      </c>
      <c r="AL31" s="572">
        <f>IF(M31="","",(SIN(RADIANS((90-$Q$8)-W31))*AD31)+(COS(RADIANS((90-$Q$8)-W31))*AE31))</f>
        <v>-0.87292200252355379</v>
      </c>
      <c r="AM31" s="577">
        <f>IF(M31="","",AF31)</f>
        <v>-0.48785979288133313</v>
      </c>
      <c r="AN31" s="524">
        <f>IF(M31="","",DEGREES(ATAN2(-AM31,AL31)))</f>
        <v>-60.799991221567424</v>
      </c>
      <c r="AO31" s="525">
        <f t="shared" si="110"/>
        <v>0</v>
      </c>
      <c r="AP31" s="528">
        <f>IF(M31="","",DEGREES(ATAN2(AK31,AL31)))</f>
        <v>-89.999985098561268</v>
      </c>
      <c r="AQ31" s="529">
        <f t="shared" si="13"/>
        <v>0.26937702480432629</v>
      </c>
      <c r="AR31" s="979"/>
      <c r="AS31" s="954">
        <f t="shared" si="147"/>
        <v>343.22264382534172</v>
      </c>
      <c r="AT31" s="950">
        <f t="shared" si="14"/>
        <v>-3.1539347787110383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>Taper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1.27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1.17</v>
      </c>
      <c r="IK31" s="677" cm="1">
        <f t="array" ref="IK31">IFERROR(ROUND(VALUE(IF($IJ31&lt;1,$IJ31+LARGE((IF($M$9:$M$150="",0,$M$9:$M$150)-MOD(IF($M$9:$M$150="",0,$M$9:$M$150),1)),1),$IJ31)),4),"")</f>
        <v>1.17</v>
      </c>
      <c r="IL31" s="482">
        <f t="shared" si="79"/>
        <v>1613</v>
      </c>
      <c r="IM31" s="482" t="str">
        <f t="shared" si="242"/>
        <v>CPS-32193r1</v>
      </c>
      <c r="IN31" s="670">
        <f t="shared" si="81"/>
        <v>13.402511072675281</v>
      </c>
      <c r="IO31" s="702">
        <v>2.4952800442183399E-4</v>
      </c>
      <c r="IP31" s="5">
        <f t="shared" si="82"/>
        <v>0</v>
      </c>
      <c r="IQ31" s="714">
        <v>0</v>
      </c>
      <c r="IR31" s="9">
        <f t="shared" si="132"/>
        <v>-8.4569678956925642</v>
      </c>
      <c r="IS31" s="5">
        <f t="shared" si="83"/>
        <v>-3.151206793736582</v>
      </c>
      <c r="IT31" s="5">
        <f t="shared" si="84"/>
        <v>0.3125</v>
      </c>
      <c r="IU31" s="5">
        <f t="shared" si="85"/>
        <v>0.25884490241804009</v>
      </c>
      <c r="IV31" s="670">
        <f t="shared" si="86"/>
        <v>83.866358718452645</v>
      </c>
      <c r="IW31" s="9">
        <f t="shared" si="87"/>
        <v>-8.4628963303974256</v>
      </c>
      <c r="IX31" s="5">
        <f t="shared" si="88"/>
        <v>-3.1636881248983464</v>
      </c>
      <c r="IY31" s="5">
        <f t="shared" si="89"/>
        <v>0.255</v>
      </c>
      <c r="IZ31" s="5">
        <f t="shared" si="90"/>
        <v>0.255</v>
      </c>
      <c r="JA31" s="705">
        <f t="shared" si="91"/>
        <v>60.799991221567424</v>
      </c>
      <c r="JM31" s="489">
        <f t="shared" si="133"/>
        <v>70</v>
      </c>
      <c r="JN31" s="960">
        <f>($JO31-SMALL($JO$9:$JO$88,1))/((Settings!$C$19/2)-((Settings!$C$19/2)-LARGE($JO$9:$JO$88,1))-SMALL($JO$9:$JO$88,1))</f>
        <v>0.9920698837637949</v>
      </c>
      <c r="JO31" s="162">
        <f t="shared" si="134"/>
        <v>8.4628963303974256</v>
      </c>
      <c r="JP31" s="961">
        <f t="shared" si="135"/>
        <v>-60.799991221567424</v>
      </c>
      <c r="JQ31" s="961">
        <f t="shared" si="136"/>
        <v>0</v>
      </c>
      <c r="JS31" s="82">
        <v>34</v>
      </c>
      <c r="JT31" s="322">
        <f t="shared" si="137"/>
        <v>5.5789526003623369</v>
      </c>
      <c r="JU31" s="963">
        <f t="shared" si="138"/>
        <v>0.63961324576608358</v>
      </c>
      <c r="JV31" s="961">
        <f t="shared" si="287"/>
        <v>-24.317023772778249</v>
      </c>
      <c r="JW31" s="961">
        <f t="shared" si="92"/>
        <v>15.717654612325031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-47.37313001676327</v>
      </c>
      <c r="KD31" s="970">
        <v>-42.77811333333333</v>
      </c>
      <c r="KE31" s="968">
        <f t="shared" si="140"/>
        <v>4.5950166834299395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18.852069700586139</v>
      </c>
      <c r="KG31" s="966">
        <f t="shared" si="244"/>
        <v>-3.9363133333333309</v>
      </c>
      <c r="KH31" s="966">
        <f t="shared" si="141"/>
        <v>1.0660270233047058</v>
      </c>
      <c r="KJ31" s="31"/>
    </row>
    <row r="32" spans="1:296" ht="15" customHeight="1" x14ac:dyDescent="0.25">
      <c r="A32" s="75">
        <f t="shared" si="1"/>
        <v>0.02</v>
      </c>
      <c r="B32" s="578">
        <f t="shared" ref="B32:D32" si="304">IFERROR(O187+($A32*-E32),"")</f>
        <v>2.7705043869802908</v>
      </c>
      <c r="C32" s="572">
        <f t="shared" si="304"/>
        <v>1.57724435195517</v>
      </c>
      <c r="D32" s="576">
        <f t="shared" si="304"/>
        <v>-0.44890133815173755</v>
      </c>
      <c r="E32" s="580">
        <f t="shared" ref="E32:K32" si="305">R187</f>
        <v>-0.54097560356081231</v>
      </c>
      <c r="F32" s="572">
        <f t="shared" si="305"/>
        <v>0.80302267260615134</v>
      </c>
      <c r="G32" s="579">
        <f t="shared" si="305"/>
        <v>0.24999996726497564</v>
      </c>
      <c r="H32" s="580">
        <f t="shared" si="305"/>
        <v>0.3125</v>
      </c>
      <c r="I32" s="572">
        <f t="shared" si="305"/>
        <v>0.52</v>
      </c>
      <c r="J32" s="483">
        <f t="shared" si="94"/>
        <v>2.1150000000000002</v>
      </c>
      <c r="K32" s="806">
        <f t="shared" si="305"/>
        <v>1613</v>
      </c>
      <c r="L32" s="309"/>
      <c r="M32" s="164">
        <f t="shared" si="4"/>
        <v>2.1150000000000002</v>
      </c>
      <c r="N32" s="575">
        <f t="shared" si="5"/>
        <v>2.7705043869802908</v>
      </c>
      <c r="O32" s="572">
        <f t="shared" si="6"/>
        <v>1.57724435195517</v>
      </c>
      <c r="P32" s="576">
        <f t="shared" si="7"/>
        <v>-0.44890133815173755</v>
      </c>
      <c r="Q32" s="528">
        <f t="shared" si="144"/>
        <v>29.652800028363668</v>
      </c>
      <c r="R32" s="572">
        <f t="shared" si="95"/>
        <v>3.1880078895842656</v>
      </c>
      <c r="S32" s="577">
        <f t="shared" si="96"/>
        <v>-0.44890133815173755</v>
      </c>
      <c r="T32" s="578">
        <f t="shared" si="97"/>
        <v>1.5933794714933962</v>
      </c>
      <c r="U32" s="572">
        <f t="shared" si="98"/>
        <v>-2.7612562655202701</v>
      </c>
      <c r="V32" s="579">
        <f t="shared" si="145"/>
        <v>-0.44890133815173755</v>
      </c>
      <c r="W32" s="528">
        <f t="shared" si="268"/>
        <v>299.98704139845097</v>
      </c>
      <c r="X32" s="572">
        <f t="shared" si="99"/>
        <v>3.1880078895842656</v>
      </c>
      <c r="Y32" s="573">
        <f t="shared" si="271"/>
        <v>-0.44890133815173755</v>
      </c>
      <c r="Z32" s="575">
        <f t="shared" si="10"/>
        <v>0.54097560356081231</v>
      </c>
      <c r="AA32" s="572">
        <f t="shared" si="11"/>
        <v>-0.80302267260615134</v>
      </c>
      <c r="AB32" s="572">
        <f t="shared" si="12"/>
        <v>-0.24999996726497564</v>
      </c>
      <c r="AC32" s="579">
        <f t="shared" si="100"/>
        <v>1</v>
      </c>
      <c r="AD32" s="580">
        <f t="shared" si="146"/>
        <v>0.54097560356081231</v>
      </c>
      <c r="AE32" s="572">
        <f t="shared" si="101"/>
        <v>-0.80302267260615134</v>
      </c>
      <c r="AF32" s="576">
        <f t="shared" si="102"/>
        <v>-0.24999996726497564</v>
      </c>
      <c r="AG32" s="545">
        <f t="shared" si="103"/>
        <v>-72.707398212485458</v>
      </c>
      <c r="AH32" s="546">
        <f t="shared" si="104"/>
        <v>57.249922869335222</v>
      </c>
      <c r="AI32" s="528">
        <f t="shared" si="105"/>
        <v>-75.522489751159469</v>
      </c>
      <c r="AJ32" s="529">
        <f t="shared" si="106"/>
        <v>33.967129645086573</v>
      </c>
      <c r="AK32" s="578">
        <f t="shared" si="247"/>
        <v>0.96550217539242134</v>
      </c>
      <c r="AL32" s="572">
        <f t="shared" si="107"/>
        <v>7.2839314109986231E-2</v>
      </c>
      <c r="AM32" s="577">
        <f t="shared" si="108"/>
        <v>-0.24999996726497564</v>
      </c>
      <c r="AN32" s="524">
        <f t="shared" si="109"/>
        <v>16.243867331875329</v>
      </c>
      <c r="AO32" s="525">
        <f t="shared" si="110"/>
        <v>15.093500566132613</v>
      </c>
      <c r="AP32" s="528">
        <f t="shared" si="111"/>
        <v>4.3143296167228913</v>
      </c>
      <c r="AQ32" s="529">
        <f t="shared" si="13"/>
        <v>0.71505728705604743</v>
      </c>
      <c r="AR32" s="979"/>
      <c r="AS32" s="954">
        <f t="shared" si="147"/>
        <v>299.98704139845097</v>
      </c>
      <c r="AT32" s="950">
        <f t="shared" si="14"/>
        <v>-0.40912326805686666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2.1150000000000002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1613</v>
      </c>
      <c r="IM32" s="482" t="str">
        <f t="shared" si="242"/>
        <v/>
      </c>
      <c r="IN32" s="670" t="str">
        <f t="shared" si="81"/>
        <v/>
      </c>
      <c r="IO32" s="702"/>
      <c r="IP32" s="5" t="str">
        <f t="shared" si="82"/>
        <v/>
      </c>
      <c r="IQ32" s="714"/>
      <c r="IR32" s="9" t="str">
        <f t="shared" si="13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  <c r="JM32" s="489">
        <f t="shared" si="133"/>
        <v>15</v>
      </c>
      <c r="JN32" s="960">
        <f>($JO32-SMALL($JO$9:$JO$88,1))/((Settings!$C$19/2)-((Settings!$C$19/2)-LARGE($JO$9:$JO$88,1))-SMALL($JO$9:$JO$88,1))</f>
        <v>0.34740770596208886</v>
      </c>
      <c r="JO32" s="162">
        <f t="shared" si="134"/>
        <v>3.1880078895842656</v>
      </c>
      <c r="JP32" s="961">
        <f t="shared" si="135"/>
        <v>16.243867331875329</v>
      </c>
      <c r="JQ32" s="961">
        <f t="shared" si="136"/>
        <v>15.093500566132613</v>
      </c>
      <c r="JS32" s="82">
        <v>37</v>
      </c>
      <c r="JT32" s="322">
        <f t="shared" si="137"/>
        <v>5.9501352031069237</v>
      </c>
      <c r="JU32" s="963">
        <f t="shared" si="138"/>
        <v>0.68497674259305019</v>
      </c>
      <c r="JV32" s="961">
        <f t="shared" si="287"/>
        <v>-32.297802830116758</v>
      </c>
      <c r="JW32" s="961">
        <f t="shared" si="92"/>
        <v>16.034294413524425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-51.173878710597862</v>
      </c>
      <c r="KD32" s="970">
        <v>-46.714513333333329</v>
      </c>
      <c r="KE32" s="968">
        <f t="shared" si="140"/>
        <v>4.4593653772645325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20.088606753210993</v>
      </c>
      <c r="KG32" s="966">
        <f t="shared" si="244"/>
        <v>-3.936399999999999</v>
      </c>
      <c r="KH32" s="966">
        <f t="shared" si="141"/>
        <v>1.236537052624854</v>
      </c>
      <c r="KJ32" s="31"/>
    </row>
    <row r="33" spans="1:296" ht="15" customHeight="1" x14ac:dyDescent="0.25">
      <c r="A33" s="75">
        <f t="shared" si="1"/>
        <v>0.02</v>
      </c>
      <c r="B33" s="578">
        <f t="shared" ref="B33:D33" si="306">IFERROR(O188+($A33*-E33),"")</f>
        <v>3.412923969045047</v>
      </c>
      <c r="C33" s="572">
        <f t="shared" si="306"/>
        <v>1.9481454705929444</v>
      </c>
      <c r="D33" s="576">
        <f t="shared" si="306"/>
        <v>-0.25010073856912901</v>
      </c>
      <c r="E33" s="580">
        <f t="shared" ref="E33:K33" si="307">R188</f>
        <v>-0.5409756035608122</v>
      </c>
      <c r="F33" s="572">
        <f t="shared" si="307"/>
        <v>0.80302267260615123</v>
      </c>
      <c r="G33" s="579">
        <f t="shared" si="307"/>
        <v>0.24999996726497559</v>
      </c>
      <c r="H33" s="580">
        <f t="shared" si="307"/>
        <v>0.3125</v>
      </c>
      <c r="I33" s="572">
        <f t="shared" si="307"/>
        <v>0.52</v>
      </c>
      <c r="J33" s="483">
        <f t="shared" si="94"/>
        <v>2.121</v>
      </c>
      <c r="K33" s="806">
        <f t="shared" si="307"/>
        <v>1613</v>
      </c>
      <c r="L33" s="309"/>
      <c r="M33" s="164">
        <f t="shared" si="4"/>
        <v>2.121</v>
      </c>
      <c r="N33" s="575">
        <f t="shared" si="5"/>
        <v>3.412923969045047</v>
      </c>
      <c r="O33" s="572">
        <f t="shared" si="6"/>
        <v>1.9481454705929444</v>
      </c>
      <c r="P33" s="576">
        <f t="shared" si="7"/>
        <v>-0.25010073856912901</v>
      </c>
      <c r="Q33" s="528">
        <f t="shared" si="144"/>
        <v>29.718338288852248</v>
      </c>
      <c r="R33" s="572">
        <f t="shared" si="95"/>
        <v>3.9297990779522052</v>
      </c>
      <c r="S33" s="577">
        <f t="shared" si="96"/>
        <v>-0.25010073856912901</v>
      </c>
      <c r="T33" s="578">
        <f t="shared" si="97"/>
        <v>1.9680218846616986</v>
      </c>
      <c r="U33" s="572">
        <f t="shared" si="98"/>
        <v>-3.4015012354204162</v>
      </c>
      <c r="V33" s="579">
        <f t="shared" si="145"/>
        <v>-0.25010073856912901</v>
      </c>
      <c r="W33" s="528">
        <f t="shared" si="268"/>
        <v>300.05257965893952</v>
      </c>
      <c r="X33" s="572">
        <f t="shared" si="99"/>
        <v>3.9297990779522052</v>
      </c>
      <c r="Y33" s="573">
        <f t="shared" si="271"/>
        <v>-0.25010073856912901</v>
      </c>
      <c r="Z33" s="575">
        <f t="shared" si="10"/>
        <v>0.5409756035608122</v>
      </c>
      <c r="AA33" s="572">
        <f t="shared" si="11"/>
        <v>-0.80302267260615123</v>
      </c>
      <c r="AB33" s="572">
        <f t="shared" si="12"/>
        <v>-0.24999996726497559</v>
      </c>
      <c r="AC33" s="579">
        <f t="shared" si="100"/>
        <v>1</v>
      </c>
      <c r="AD33" s="580">
        <f t="shared" si="146"/>
        <v>0.5409756035608122</v>
      </c>
      <c r="AE33" s="572">
        <f t="shared" si="101"/>
        <v>-0.80302267260615123</v>
      </c>
      <c r="AF33" s="576">
        <f t="shared" si="102"/>
        <v>-0.24999996726497559</v>
      </c>
      <c r="AG33" s="545">
        <f t="shared" si="103"/>
        <v>-72.707398212485458</v>
      </c>
      <c r="AH33" s="546">
        <f t="shared" si="104"/>
        <v>57.249922869335229</v>
      </c>
      <c r="AI33" s="528">
        <f t="shared" si="105"/>
        <v>-75.522489751159469</v>
      </c>
      <c r="AJ33" s="529">
        <f t="shared" si="106"/>
        <v>33.967129645086573</v>
      </c>
      <c r="AK33" s="578">
        <f t="shared" si="247"/>
        <v>0.96558486160054469</v>
      </c>
      <c r="AL33" s="572">
        <f t="shared" si="107"/>
        <v>7.1734868894898163E-2</v>
      </c>
      <c r="AM33" s="577">
        <f t="shared" si="108"/>
        <v>-0.24999996726497559</v>
      </c>
      <c r="AN33" s="524">
        <f t="shared" si="109"/>
        <v>16.010277095343113</v>
      </c>
      <c r="AO33" s="525">
        <f t="shared" si="110"/>
        <v>15.075296056286088</v>
      </c>
      <c r="AP33" s="528">
        <f t="shared" si="111"/>
        <v>4.2487913562343289</v>
      </c>
      <c r="AQ33" s="529">
        <f t="shared" si="13"/>
        <v>0.58009294899557373</v>
      </c>
      <c r="AR33" s="979"/>
      <c r="AS33" s="954">
        <f t="shared" si="147"/>
        <v>300.05257965893952</v>
      </c>
      <c r="AT33" s="950">
        <f t="shared" si="14"/>
        <v>-0.21036818115515296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2.121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1613</v>
      </c>
      <c r="IM33" s="482" t="str">
        <f t="shared" si="24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  <c r="JM33" s="489">
        <f t="shared" si="133"/>
        <v>21</v>
      </c>
      <c r="JN33" s="960">
        <f>($JO33-SMALL($JO$9:$JO$88,1))/((Settings!$C$19/2)-((Settings!$C$19/2)-LARGE($JO$9:$JO$88,1))-SMALL($JO$9:$JO$88,1))</f>
        <v>0.43806454701817621</v>
      </c>
      <c r="JO33" s="162">
        <f t="shared" si="134"/>
        <v>3.9297990779522052</v>
      </c>
      <c r="JP33" s="961">
        <f t="shared" si="135"/>
        <v>16.010277095343113</v>
      </c>
      <c r="JQ33" s="961">
        <f t="shared" si="136"/>
        <v>15.075296056286088</v>
      </c>
      <c r="JS33" s="82">
        <v>38</v>
      </c>
      <c r="JT33" s="322">
        <f t="shared" si="137"/>
        <v>6.071904939889178</v>
      </c>
      <c r="JU33" s="963">
        <f t="shared" si="138"/>
        <v>0.6998586390701419</v>
      </c>
      <c r="JV33" s="961">
        <f t="shared" si="287"/>
        <v>-34.924090023377211</v>
      </c>
      <c r="JW33" s="961">
        <f t="shared" si="92"/>
        <v>16.140653712505035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-54.288430502350941</v>
      </c>
      <c r="KD33" s="970">
        <v>-50.650826666666667</v>
      </c>
      <c r="KE33" s="968">
        <f t="shared" si="140"/>
        <v>3.6376038356842741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21.633392008567984</v>
      </c>
      <c r="KG33" s="966">
        <f t="shared" si="244"/>
        <v>-3.936313333333338</v>
      </c>
      <c r="KH33" s="966">
        <f t="shared" si="141"/>
        <v>1.5447852553569916</v>
      </c>
      <c r="KJ33" s="31"/>
    </row>
    <row r="34" spans="1:296" ht="15" customHeight="1" x14ac:dyDescent="0.25">
      <c r="A34" s="75">
        <f t="shared" si="1"/>
        <v>0.02</v>
      </c>
      <c r="B34" s="578">
        <f t="shared" ref="B34:D34" si="308">IFERROR(O189+($A34*-E34),"")</f>
        <v>4.0715810145944182</v>
      </c>
      <c r="C34" s="572">
        <f t="shared" si="308"/>
        <v>2.3022395706285432</v>
      </c>
      <c r="D34" s="576">
        <f t="shared" si="308"/>
        <v>-7.7322465119171041E-2</v>
      </c>
      <c r="E34" s="580">
        <f t="shared" ref="E34:K34" si="309">R189</f>
        <v>-0.45438185629400468</v>
      </c>
      <c r="F34" s="572">
        <f t="shared" si="309"/>
        <v>0.85167919546419191</v>
      </c>
      <c r="G34" s="579">
        <f t="shared" si="309"/>
        <v>0.26111238324576153</v>
      </c>
      <c r="H34" s="580">
        <f t="shared" si="309"/>
        <v>0.3125</v>
      </c>
      <c r="I34" s="572">
        <f t="shared" si="309"/>
        <v>0.52</v>
      </c>
      <c r="J34" s="483">
        <f t="shared" si="94"/>
        <v>2.1269999999999998</v>
      </c>
      <c r="K34" s="806">
        <f t="shared" si="309"/>
        <v>1613</v>
      </c>
      <c r="L34" s="309"/>
      <c r="M34" s="164">
        <f t="shared" si="4"/>
        <v>2.1269999999999998</v>
      </c>
      <c r="N34" s="575">
        <f t="shared" si="5"/>
        <v>4.0715810145944182</v>
      </c>
      <c r="O34" s="572">
        <f t="shared" si="6"/>
        <v>2.3022395706285432</v>
      </c>
      <c r="P34" s="576">
        <f t="shared" si="7"/>
        <v>-7.7322465119171041E-2</v>
      </c>
      <c r="Q34" s="528">
        <f t="shared" si="144"/>
        <v>29.485605687508833</v>
      </c>
      <c r="R34" s="572">
        <f>IF(M34="","",SQRT(N34^2+O34^2))</f>
        <v>4.6774008807214305</v>
      </c>
      <c r="S34" s="577">
        <f>IF(M34="","",P34)</f>
        <v>-7.7322465119171041E-2</v>
      </c>
      <c r="T34" s="578">
        <f>IF(M34="","",X34*COS(RADIANS(W34)))</f>
        <v>2.3259522877382715</v>
      </c>
      <c r="U34" s="572">
        <f>IF(M34="","",X34*SIN(RADIANS(W34)))</f>
        <v>-4.058081437593227</v>
      </c>
      <c r="V34" s="579">
        <f>IF(M34="","",Y34)</f>
        <v>-7.7322465119171041E-2</v>
      </c>
      <c r="W34" s="528">
        <f t="shared" si="268"/>
        <v>299.81984705759612</v>
      </c>
      <c r="X34" s="572">
        <f>IF(M34="","",R34)</f>
        <v>4.6774008807214305</v>
      </c>
      <c r="Y34" s="573">
        <f t="shared" si="271"/>
        <v>-7.7322465119171041E-2</v>
      </c>
      <c r="Z34" s="575">
        <f t="shared" si="10"/>
        <v>0.45438185629400468</v>
      </c>
      <c r="AA34" s="572">
        <f t="shared" si="11"/>
        <v>-0.85167919546419191</v>
      </c>
      <c r="AB34" s="572">
        <f t="shared" si="12"/>
        <v>-0.26111238324576153</v>
      </c>
      <c r="AC34" s="579">
        <f>IF(M34="","",SQRT(Z34^2+AA34^2+AB34^2))</f>
        <v>1</v>
      </c>
      <c r="AD34" s="580">
        <f>IF(M34="","",Z34*(1/SQRT(Z34^2+AA34^2+AB34^2)))</f>
        <v>0.45438185629400468</v>
      </c>
      <c r="AE34" s="572">
        <f>IF(M34="","",AA34*(1/SQRT(Z34^2+AA34^2+AB34^2)))</f>
        <v>-0.85167919546419191</v>
      </c>
      <c r="AF34" s="576">
        <f>IF(M34="","",AB34*(1/SQRT(Z34^2+AA34^2+AB34^2)))</f>
        <v>-0.26111238324576153</v>
      </c>
      <c r="AG34" s="545">
        <f>IF(M34="","",DEGREES(ATAN2(-AF34,AE34)))</f>
        <v>-72.955226559324217</v>
      </c>
      <c r="AH34" s="546">
        <f>IF(M34="","",DEGREES(ACOS(AD34)))</f>
        <v>62.974831172771793</v>
      </c>
      <c r="AI34" s="528">
        <f>IF(M34="","",DEGREES(-ACOS(-AF34)))</f>
        <v>-74.863922736579241</v>
      </c>
      <c r="AJ34" s="529">
        <f>IF(M34="","",DEGREES(ATAN2(-AE34,AD34)))</f>
        <v>28.080497335322182</v>
      </c>
      <c r="AK34" s="578">
        <f>IF(M34="","",(COS(RADIANS((90-$Q$8)-W34))*AD34)+(-SIN(RADIANS((90-$Q$8)-W34))*AE34))</f>
        <v>0.96501814738970348</v>
      </c>
      <c r="AL34" s="572">
        <f>IF(M34="","",(SIN(RADIANS((90-$Q$8)-W34))*AD34)+(COS(RADIANS((90-$Q$8)-W34))*AE34))</f>
        <v>-2.3670625768306808E-2</v>
      </c>
      <c r="AM34" s="577">
        <f>IF(M34="","",AF34)</f>
        <v>-0.26111238324576153</v>
      </c>
      <c r="AN34" s="524">
        <f>IF(M34="","",DEGREES(ATAN2(-AM34,AL34)))</f>
        <v>-5.1798769779069911</v>
      </c>
      <c r="AO34" s="525">
        <f t="shared" si="110"/>
        <v>15.199638786430022</v>
      </c>
      <c r="AP34" s="528">
        <f>IF(M34="","",DEGREES(ATAN2(AK34,AL34)))</f>
        <v>-1.4051083521866532</v>
      </c>
      <c r="AQ34" s="529">
        <f t="shared" si="13"/>
        <v>0.4873800009621348</v>
      </c>
      <c r="AR34" s="979"/>
      <c r="AS34" s="954">
        <f t="shared" si="147"/>
        <v>299.81984705759612</v>
      </c>
      <c r="AT34" s="950">
        <f t="shared" si="14"/>
        <v>-3.7428287843150963E-2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2.1269999999999998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1613</v>
      </c>
      <c r="IM34" s="482" t="str">
        <f t="shared" si="24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  <c r="JM34" s="489">
        <f t="shared" si="133"/>
        <v>27</v>
      </c>
      <c r="JN34" s="960">
        <f>($JO34-SMALL($JO$9:$JO$88,1))/((Settings!$C$19/2)-((Settings!$C$19/2)-LARGE($JO$9:$JO$88,1))-SMALL($JO$9:$JO$88,1))</f>
        <v>0.52943152315604403</v>
      </c>
      <c r="JO34" s="162">
        <f t="shared" si="134"/>
        <v>4.6774008807214305</v>
      </c>
      <c r="JP34" s="961">
        <f t="shared" si="135"/>
        <v>-5.1798769779069911</v>
      </c>
      <c r="JQ34" s="961">
        <f t="shared" si="136"/>
        <v>15.199638786430022</v>
      </c>
      <c r="JS34" s="82">
        <v>39</v>
      </c>
      <c r="JT34" s="322">
        <f t="shared" si="137"/>
        <v>6.1922707543903401</v>
      </c>
      <c r="JU34" s="963">
        <f t="shared" si="138"/>
        <v>0.7145689573981695</v>
      </c>
      <c r="JV34" s="961">
        <f t="shared" si="287"/>
        <v>-37.590544525222477</v>
      </c>
      <c r="JW34" s="961">
        <f t="shared" si="92"/>
        <v>16.270501066638996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-57.361967846077235</v>
      </c>
      <c r="KD34" s="970">
        <v>-54.587139999999998</v>
      </c>
      <c r="KE34" s="968">
        <f t="shared" si="140"/>
        <v>2.7748278460772369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23.041207571844211</v>
      </c>
      <c r="KG34" s="966">
        <f t="shared" si="244"/>
        <v>-3.9363133333333309</v>
      </c>
      <c r="KH34" s="966">
        <f t="shared" si="141"/>
        <v>1.4078155632762268</v>
      </c>
      <c r="KJ34" s="31"/>
    </row>
    <row r="35" spans="1:296" ht="15" customHeight="1" x14ac:dyDescent="0.25">
      <c r="A35" s="75">
        <f t="shared" si="1"/>
        <v>0.02</v>
      </c>
      <c r="B35" s="578">
        <f t="shared" ref="B35:D35" si="310">IFERROR(O190+($A35*-E35),"")</f>
        <v>4.7652884574217156</v>
      </c>
      <c r="C35" s="572">
        <f t="shared" si="310"/>
        <v>2.6457496857476839</v>
      </c>
      <c r="D35" s="576">
        <f t="shared" si="310"/>
        <v>-6.290824003183354E-2</v>
      </c>
      <c r="E35" s="580">
        <f t="shared" ref="E35:K35" si="311">R190</f>
        <v>-0.38088438332883939</v>
      </c>
      <c r="F35" s="572">
        <f t="shared" si="311"/>
        <v>0.8900703841756834</v>
      </c>
      <c r="G35" s="579">
        <f t="shared" si="311"/>
        <v>0.25040327024534104</v>
      </c>
      <c r="H35" s="580">
        <f t="shared" si="311"/>
        <v>0.3125</v>
      </c>
      <c r="I35" s="572">
        <f t="shared" si="311"/>
        <v>0.52</v>
      </c>
      <c r="J35" s="483">
        <f t="shared" si="94"/>
        <v>2.133</v>
      </c>
      <c r="K35" s="806">
        <f t="shared" si="311"/>
        <v>1613</v>
      </c>
      <c r="L35" s="309"/>
      <c r="M35" s="164">
        <f t="shared" si="4"/>
        <v>2.133</v>
      </c>
      <c r="N35" s="575">
        <f t="shared" si="5"/>
        <v>4.7652884574217156</v>
      </c>
      <c r="O35" s="572">
        <f t="shared" si="6"/>
        <v>2.6457496857476839</v>
      </c>
      <c r="P35" s="576">
        <f t="shared" si="7"/>
        <v>-6.290824003183354E-2</v>
      </c>
      <c r="Q35" s="528">
        <f t="shared" si="144"/>
        <v>29.03960012691411</v>
      </c>
      <c r="R35" s="572">
        <f>IF(M35="","",SQRT(N35^2+O35^2))</f>
        <v>5.4505013973092975</v>
      </c>
      <c r="S35" s="577">
        <f>IF(M35="","",P35)</f>
        <v>-6.290824003183354E-2</v>
      </c>
      <c r="T35" s="578">
        <f>IF(M35="","",X35*COS(RADIANS(W35)))</f>
        <v>2.6735033552624672</v>
      </c>
      <c r="U35" s="572">
        <f>IF(M35="","",X35*SIN(RADIANS(W35)))</f>
        <v>-4.7497731831605323</v>
      </c>
      <c r="V35" s="579">
        <f>IF(M35="","",Y35)</f>
        <v>-6.290824003183354E-2</v>
      </c>
      <c r="W35" s="528">
        <f t="shared" si="268"/>
        <v>299.37384149700142</v>
      </c>
      <c r="X35" s="572">
        <f>IF(M35="","",R35)</f>
        <v>5.4505013973092975</v>
      </c>
      <c r="Y35" s="573">
        <f t="shared" si="271"/>
        <v>-6.290824003183354E-2</v>
      </c>
      <c r="Z35" s="575">
        <f t="shared" si="10"/>
        <v>0.38088438332883939</v>
      </c>
      <c r="AA35" s="572">
        <f t="shared" si="11"/>
        <v>-0.8900703841756834</v>
      </c>
      <c r="AB35" s="572">
        <f t="shared" si="12"/>
        <v>-0.25040327024534104</v>
      </c>
      <c r="AC35" s="579">
        <f>IF(M35="","",SQRT(Z35^2+AA35^2+AB35^2))</f>
        <v>1</v>
      </c>
      <c r="AD35" s="580">
        <f>IF(M35="","",Z35*(1/SQRT(Z35^2+AA35^2+AB35^2)))</f>
        <v>0.38088438332883939</v>
      </c>
      <c r="AE35" s="572">
        <f>IF(M35="","",AA35*(1/SQRT(Z35^2+AA35^2+AB35^2)))</f>
        <v>-0.8900703841756834</v>
      </c>
      <c r="AF35" s="576">
        <f>IF(M35="","",AB35*(1/SQRT(Z35^2+AA35^2+AB35^2)))</f>
        <v>-0.25040327024534104</v>
      </c>
      <c r="AG35" s="545">
        <f>IF(M35="","",DEGREES(ATAN2(-AF35,AE35)))</f>
        <v>-74.287128369662</v>
      </c>
      <c r="AH35" s="546">
        <f>IF(M35="","",DEGREES(ACOS(AD35)))</f>
        <v>67.611525844100456</v>
      </c>
      <c r="AI35" s="528">
        <f>IF(M35="","",DEGREES(-ACOS(-AF35)))</f>
        <v>-75.498623083266509</v>
      </c>
      <c r="AJ35" s="529">
        <f>IF(M35="","",DEGREES(ATAN2(-AE35,AD35)))</f>
        <v>23.167347961221182</v>
      </c>
      <c r="AK35" s="578">
        <f>IF(M35="","",(COS(RADIANS((90-$Q$8)-W35))*AD35)+(-SIN(RADIANS((90-$Q$8)-W35))*AE35))</f>
        <v>0.96306128241616173</v>
      </c>
      <c r="AL35" s="572">
        <f>IF(M35="","",(SIN(RADIANS((90-$Q$8)-W35))*AD35)+(COS(RADIANS((90-$Q$8)-W35))*AE35))</f>
        <v>-9.9051343056906105E-2</v>
      </c>
      <c r="AM35" s="577">
        <f>IF(M35="","",AF35)</f>
        <v>-0.25040327024534104</v>
      </c>
      <c r="AN35" s="524">
        <f>IF(M35="","",DEGREES(ATAN2(-AM35,AL35)))</f>
        <v>-21.582130930128407</v>
      </c>
      <c r="AO35" s="525">
        <f t="shared" si="110"/>
        <v>15.621565011043256</v>
      </c>
      <c r="AP35" s="528">
        <f>IF(M35="","",DEGREES(ATAN2(AK35,AL35)))</f>
        <v>-5.8722521656929372</v>
      </c>
      <c r="AQ35" s="529">
        <f t="shared" si="13"/>
        <v>0.41825255538414424</v>
      </c>
      <c r="AR35" s="979"/>
      <c r="AS35" s="954">
        <f t="shared" si="147"/>
        <v>299.37384149700142</v>
      </c>
      <c r="AT35" s="950">
        <f t="shared" si="14"/>
        <v>-2.2704336672067144E-2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2.133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1613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33</v>
      </c>
      <c r="JN35" s="960">
        <f>($JO35-SMALL($JO$9:$JO$88,1))/((Settings!$C$19/2)-((Settings!$C$19/2)-LARGE($JO$9:$JO$88,1))-SMALL($JO$9:$JO$88,1))</f>
        <v>0.62391478441840509</v>
      </c>
      <c r="JO35" s="162">
        <f t="shared" si="134"/>
        <v>5.4505013973092975</v>
      </c>
      <c r="JP35" s="961">
        <f t="shared" si="135"/>
        <v>-21.582130930128407</v>
      </c>
      <c r="JQ35" s="961">
        <f t="shared" si="136"/>
        <v>15.621565011043256</v>
      </c>
      <c r="JS35" s="82">
        <v>40</v>
      </c>
      <c r="JT35" s="322">
        <f t="shared" si="137"/>
        <v>6.3112503966540707</v>
      </c>
      <c r="JU35" s="963">
        <f t="shared" si="138"/>
        <v>0.72910986687074608</v>
      </c>
      <c r="JV35" s="961">
        <f t="shared" si="287"/>
        <v>-40.144148316643815</v>
      </c>
      <c r="JW35" s="961">
        <f t="shared" si="92"/>
        <v>16.394988391641736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-60.430096429193512</v>
      </c>
      <c r="KD35" s="970">
        <v>-58.523539999999997</v>
      </c>
      <c r="KE35" s="968">
        <f t="shared" si="140"/>
        <v>1.9065564291935146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24.365718769810297</v>
      </c>
      <c r="KG35" s="966">
        <f t="shared" si="244"/>
        <v>-3.936399999999999</v>
      </c>
      <c r="KH35" s="966">
        <f t="shared" si="141"/>
        <v>1.3245111979660855</v>
      </c>
      <c r="KJ35" s="31"/>
    </row>
    <row r="36" spans="1:296" ht="15" customHeight="1" x14ac:dyDescent="0.25">
      <c r="A36" s="75">
        <f t="shared" si="1"/>
        <v>0.02</v>
      </c>
      <c r="B36" s="578">
        <f t="shared" ref="B36:D36" si="312">IFERROR(O191+($A36*-E36),"")</f>
        <v>5.4431903236333197</v>
      </c>
      <c r="C36" s="572">
        <f t="shared" si="312"/>
        <v>2.9522696686418248</v>
      </c>
      <c r="D36" s="576">
        <f t="shared" si="312"/>
        <v>-0.22344078026873038</v>
      </c>
      <c r="E36" s="580">
        <f t="shared" ref="E36:K36" si="313">R191</f>
        <v>-0.30743788253473808</v>
      </c>
      <c r="F36" s="572">
        <f t="shared" si="313"/>
        <v>0.92530821330727864</v>
      </c>
      <c r="G36" s="579">
        <f t="shared" si="313"/>
        <v>0.22200598813691616</v>
      </c>
      <c r="H36" s="580">
        <f t="shared" si="313"/>
        <v>0.3125</v>
      </c>
      <c r="I36" s="572">
        <f t="shared" si="313"/>
        <v>0.52</v>
      </c>
      <c r="J36" s="483">
        <f t="shared" si="94"/>
        <v>2.1389999999999998</v>
      </c>
      <c r="K36" s="806">
        <f t="shared" si="313"/>
        <v>1613</v>
      </c>
      <c r="L36" s="309"/>
      <c r="M36" s="164">
        <f t="shared" si="4"/>
        <v>2.1389999999999998</v>
      </c>
      <c r="N36" s="575">
        <f t="shared" si="5"/>
        <v>5.4431903236333197</v>
      </c>
      <c r="O36" s="572">
        <f t="shared" si="6"/>
        <v>2.9522696686418248</v>
      </c>
      <c r="P36" s="576">
        <f t="shared" si="7"/>
        <v>-0.22344078026873038</v>
      </c>
      <c r="Q36" s="528">
        <f t="shared" si="144"/>
        <v>28.474454520680872</v>
      </c>
      <c r="R36" s="572">
        <f>IF(M36="","",SQRT(N36^2+O36^2))</f>
        <v>6.1922707543903401</v>
      </c>
      <c r="S36" s="577">
        <f>IF(M36="","",P36)</f>
        <v>-0.22344078026873038</v>
      </c>
      <c r="T36" s="578">
        <f>IF(M36="","",X36*COS(RADIANS(W36)))</f>
        <v>2.983972716881254</v>
      </c>
      <c r="U36" s="572">
        <f>IF(M36="","",X36*SIN(RADIANS(W36)))</f>
        <v>-5.4258754059217225</v>
      </c>
      <c r="V36" s="579">
        <f>IF(M36="","",Y36)</f>
        <v>-0.22344078026873038</v>
      </c>
      <c r="W36" s="528">
        <f t="shared" si="268"/>
        <v>298.80869589076815</v>
      </c>
      <c r="X36" s="572">
        <f>IF(M36="","",R36)</f>
        <v>6.1922707543903401</v>
      </c>
      <c r="Y36" s="573">
        <f t="shared" si="271"/>
        <v>-0.22344078026873038</v>
      </c>
      <c r="Z36" s="575">
        <f t="shared" si="10"/>
        <v>0.30743788253473808</v>
      </c>
      <c r="AA36" s="572">
        <f t="shared" si="11"/>
        <v>-0.92530821330727864</v>
      </c>
      <c r="AB36" s="572">
        <f t="shared" si="12"/>
        <v>-0.22200598813691616</v>
      </c>
      <c r="AC36" s="579">
        <f>IF(M36="","",SQRT(Z36^2+AA36^2+AB36^2))</f>
        <v>1</v>
      </c>
      <c r="AD36" s="580">
        <f>IF(M36="","",Z36*(1/SQRT(Z36^2+AA36^2+AB36^2)))</f>
        <v>0.30743788253473808</v>
      </c>
      <c r="AE36" s="572">
        <f>IF(M36="","",AA36*(1/SQRT(Z36^2+AA36^2+AB36^2)))</f>
        <v>-0.92530821330727864</v>
      </c>
      <c r="AF36" s="576">
        <f>IF(M36="","",AB36*(1/SQRT(Z36^2+AA36^2+AB36^2)))</f>
        <v>-0.22200598813691616</v>
      </c>
      <c r="AG36" s="545">
        <f>IF(M36="","",DEGREES(ATAN2(-AF36,AE36)))</f>
        <v>-76.508247082400047</v>
      </c>
      <c r="AH36" s="546">
        <f>IF(M36="","",DEGREES(ACOS(AD36)))</f>
        <v>72.095106958870161</v>
      </c>
      <c r="AI36" s="528">
        <f>IF(M36="","",DEGREES(-ACOS(-AF36)))</f>
        <v>-77.173118298473867</v>
      </c>
      <c r="AJ36" s="529">
        <f>IF(M36="","",DEGREES(ATAN2(-AE36,AD36)))</f>
        <v>18.379303104630594</v>
      </c>
      <c r="AK36" s="578">
        <f>IF(M36="","",(COS(RADIANS((90-$Q$8)-W36))*AD36)+(-SIN(RADIANS((90-$Q$8)-W36))*AE36))</f>
        <v>0.95994966700008788</v>
      </c>
      <c r="AL36" s="572">
        <f>IF(M36="","",(SIN(RADIANS((90-$Q$8)-W36))*AD36)+(COS(RADIANS((90-$Q$8)-W36))*AE36))</f>
        <v>-0.17090926849580751</v>
      </c>
      <c r="AM36" s="577">
        <f>IF(M36="","",AF36)</f>
        <v>-0.22200598813691616</v>
      </c>
      <c r="AN36" s="524">
        <f>IF(M36="","",DEGREES(ATAN2(-AM36,AL36)))</f>
        <v>-37.590544525222477</v>
      </c>
      <c r="AO36" s="525">
        <f t="shared" si="110"/>
        <v>16.270501066638996</v>
      </c>
      <c r="AP36" s="528">
        <f>IF(M36="","",DEGREES(ATAN2(AK36,AL36)))</f>
        <v>-10.09515141605028</v>
      </c>
      <c r="AQ36" s="529">
        <f t="shared" si="13"/>
        <v>0.36815174082049229</v>
      </c>
      <c r="AR36" s="979"/>
      <c r="AS36" s="954">
        <f t="shared" si="147"/>
        <v>298.80869589076815</v>
      </c>
      <c r="AT36" s="950">
        <f t="shared" si="14"/>
        <v>-0.18284441468241308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2.1389999999999998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1613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39</v>
      </c>
      <c r="JN36" s="960">
        <f>($JO36-SMALL($JO$9:$JO$88,1))/((Settings!$C$19/2)-((Settings!$C$19/2)-LARGE($JO$9:$JO$88,1))-SMALL($JO$9:$JO$88,1))</f>
        <v>0.7145689573981695</v>
      </c>
      <c r="JO36" s="162">
        <f t="shared" si="134"/>
        <v>6.1922707543903401</v>
      </c>
      <c r="JP36" s="961">
        <f t="shared" si="135"/>
        <v>-37.590544525222477</v>
      </c>
      <c r="JQ36" s="961">
        <f t="shared" si="136"/>
        <v>16.270501066638996</v>
      </c>
      <c r="JS36" s="82">
        <v>43</v>
      </c>
      <c r="JT36" s="322">
        <f t="shared" si="137"/>
        <v>6.6589980770859345</v>
      </c>
      <c r="JU36" s="963">
        <f t="shared" si="138"/>
        <v>0.77160930159967056</v>
      </c>
      <c r="JV36" s="961">
        <f t="shared" si="287"/>
        <v>-44.853438810084242</v>
      </c>
      <c r="JW36" s="961">
        <f t="shared" si="92"/>
        <v>18.582177163632295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-63.638622506579217</v>
      </c>
      <c r="KD36" s="970">
        <v>-62.459853333333328</v>
      </c>
      <c r="KE36" s="968">
        <f t="shared" si="140"/>
        <v>1.1787691732458896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25.111526849616769</v>
      </c>
      <c r="KG36" s="966">
        <f t="shared" si="244"/>
        <v>-3.9363133333333309</v>
      </c>
      <c r="KH36" s="966">
        <f t="shared" si="141"/>
        <v>0.74580807980647279</v>
      </c>
      <c r="KJ36" s="31"/>
    </row>
    <row r="37" spans="1:296" ht="15" customHeight="1" x14ac:dyDescent="0.25">
      <c r="A37" s="75">
        <f t="shared" si="1"/>
        <v>0.02</v>
      </c>
      <c r="B37" s="578">
        <f t="shared" ref="B37:D37" si="314">IFERROR(O192+($A37*-E37),"")</f>
        <v>6.0819341385127643</v>
      </c>
      <c r="C37" s="572">
        <f t="shared" si="314"/>
        <v>3.2161871009217187</v>
      </c>
      <c r="D37" s="576">
        <f t="shared" si="314"/>
        <v>-0.54539209611920492</v>
      </c>
      <c r="E37" s="580">
        <f t="shared" ref="E37:K37" si="315">R192</f>
        <v>-0.21727568443878581</v>
      </c>
      <c r="F37" s="572">
        <f t="shared" si="315"/>
        <v>0.94993715189597416</v>
      </c>
      <c r="G37" s="579">
        <f t="shared" si="315"/>
        <v>0.22452323799424914</v>
      </c>
      <c r="H37" s="580">
        <f t="shared" si="315"/>
        <v>0.3125</v>
      </c>
      <c r="I37" s="572">
        <f t="shared" si="315"/>
        <v>0.52</v>
      </c>
      <c r="J37" s="483">
        <f t="shared" si="94"/>
        <v>2.145</v>
      </c>
      <c r="K37" s="806">
        <f t="shared" si="315"/>
        <v>1613</v>
      </c>
      <c r="L37" s="309"/>
      <c r="M37" s="164">
        <f t="shared" si="4"/>
        <v>2.145</v>
      </c>
      <c r="N37" s="575">
        <f t="shared" si="5"/>
        <v>6.0819341385127643</v>
      </c>
      <c r="O37" s="572">
        <f t="shared" si="6"/>
        <v>3.2161871009217187</v>
      </c>
      <c r="P37" s="576">
        <f t="shared" si="7"/>
        <v>-0.54539209611920492</v>
      </c>
      <c r="Q37" s="528">
        <f t="shared" si="144"/>
        <v>27.870330151287767</v>
      </c>
      <c r="R37" s="572">
        <f t="shared" si="95"/>
        <v>6.8799551112883179</v>
      </c>
      <c r="S37" s="577">
        <f t="shared" si="96"/>
        <v>-0.54539209611920492</v>
      </c>
      <c r="T37" s="578">
        <f t="shared" si="97"/>
        <v>3.2516118211898037</v>
      </c>
      <c r="U37" s="572">
        <f t="shared" si="98"/>
        <v>-6.0630687690014682</v>
      </c>
      <c r="V37" s="579">
        <f t="shared" si="145"/>
        <v>-0.54539209611920492</v>
      </c>
      <c r="W37" s="528">
        <f t="shared" si="268"/>
        <v>298.20457152137504</v>
      </c>
      <c r="X37" s="572">
        <f t="shared" si="99"/>
        <v>6.8799551112883179</v>
      </c>
      <c r="Y37" s="573">
        <f t="shared" si="271"/>
        <v>-0.54539209611920492</v>
      </c>
      <c r="Z37" s="575">
        <f t="shared" si="10"/>
        <v>0.21727568443878581</v>
      </c>
      <c r="AA37" s="572">
        <f t="shared" si="11"/>
        <v>-0.94993715189597416</v>
      </c>
      <c r="AB37" s="572">
        <f t="shared" si="12"/>
        <v>-0.22452323799424914</v>
      </c>
      <c r="AC37" s="579">
        <f t="shared" si="100"/>
        <v>1</v>
      </c>
      <c r="AD37" s="580">
        <f t="shared" si="146"/>
        <v>0.21727568443878581</v>
      </c>
      <c r="AE37" s="572">
        <f t="shared" si="101"/>
        <v>-0.94993715189597416</v>
      </c>
      <c r="AF37" s="576">
        <f t="shared" si="102"/>
        <v>-0.22452323799424914</v>
      </c>
      <c r="AG37" s="545">
        <f t="shared" si="103"/>
        <v>-76.701850190748431</v>
      </c>
      <c r="AH37" s="546">
        <f t="shared" si="104"/>
        <v>77.450928955233692</v>
      </c>
      <c r="AI37" s="528">
        <f t="shared" si="105"/>
        <v>-77.025155565301688</v>
      </c>
      <c r="AJ37" s="529">
        <f t="shared" si="106"/>
        <v>12.883438446339154</v>
      </c>
      <c r="AK37" s="578">
        <f t="shared" si="247"/>
        <v>0.94132219504858794</v>
      </c>
      <c r="AL37" s="572">
        <f t="shared" si="107"/>
        <v>-0.25199571565700496</v>
      </c>
      <c r="AM37" s="577">
        <f t="shared" si="108"/>
        <v>-0.22452323799424914</v>
      </c>
      <c r="AN37" s="524">
        <f t="shared" si="109"/>
        <v>-48.299588670249619</v>
      </c>
      <c r="AO37" s="525">
        <f t="shared" si="110"/>
        <v>19.725199400568972</v>
      </c>
      <c r="AP37" s="528">
        <f t="shared" si="111"/>
        <v>-14.986891704948606</v>
      </c>
      <c r="AQ37" s="529">
        <f t="shared" si="13"/>
        <v>0.33135408289568058</v>
      </c>
      <c r="AR37" s="979"/>
      <c r="AS37" s="954">
        <f t="shared" si="147"/>
        <v>298.20457152137504</v>
      </c>
      <c r="AT37" s="950">
        <f t="shared" si="14"/>
        <v>-0.50437619972080905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2.145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1613</v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>
        <f t="shared" si="133"/>
        <v>45</v>
      </c>
      <c r="JN37" s="960">
        <f>($JO37-SMALL($JO$9:$JO$88,1))/((Settings!$C$19/2)-((Settings!$C$19/2)-LARGE($JO$9:$JO$88,1))-SMALL($JO$9:$JO$88,1))</f>
        <v>0.79861321731614321</v>
      </c>
      <c r="JO37" s="162">
        <f t="shared" si="134"/>
        <v>6.8799551112883179</v>
      </c>
      <c r="JP37" s="961">
        <f t="shared" si="135"/>
        <v>-48.299588670249619</v>
      </c>
      <c r="JQ37" s="961">
        <f t="shared" si="136"/>
        <v>19.725199400568972</v>
      </c>
      <c r="JS37" s="82">
        <v>44</v>
      </c>
      <c r="JT37" s="322">
        <f t="shared" si="137"/>
        <v>6.7703871231733483</v>
      </c>
      <c r="JU37" s="963">
        <f t="shared" si="138"/>
        <v>0.78522253832300437</v>
      </c>
      <c r="JV37" s="961">
        <f t="shared" si="287"/>
        <v>-47.215266150376941</v>
      </c>
      <c r="JW37" s="961">
        <f t="shared" si="92"/>
        <v>18.703292818015786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-66.591123541810234</v>
      </c>
      <c r="KD37" s="970">
        <v>-66.344253333333327</v>
      </c>
      <c r="KE37" s="968">
        <f t="shared" si="140"/>
        <v>0.24687020847690633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26.265836594910407</v>
      </c>
      <c r="KG37" s="966">
        <f t="shared" si="244"/>
        <v>-3.8843999999999994</v>
      </c>
      <c r="KH37" s="966">
        <f t="shared" si="141"/>
        <v>1.1543097452936379</v>
      </c>
      <c r="KJ37" s="31"/>
    </row>
    <row r="38" spans="1:296" ht="15" customHeight="1" x14ac:dyDescent="0.25">
      <c r="A38" s="75">
        <f t="shared" si="1"/>
        <v>0.02</v>
      </c>
      <c r="B38" s="578">
        <f t="shared" ref="B38:D38" si="316">IFERROR(O193+($A38*-E38),"")</f>
        <v>6.642506134985708</v>
      </c>
      <c r="C38" s="572">
        <f t="shared" si="316"/>
        <v>3.4283201559762038</v>
      </c>
      <c r="D38" s="576">
        <f t="shared" si="316"/>
        <v>-1.0128432239708502</v>
      </c>
      <c r="E38" s="580">
        <f t="shared" ref="E38:K38" si="317">R193</f>
        <v>-0.12615517930951842</v>
      </c>
      <c r="F38" s="572">
        <f t="shared" si="317"/>
        <v>0.97017117510034157</v>
      </c>
      <c r="G38" s="579">
        <f t="shared" si="317"/>
        <v>0.20700908612378754</v>
      </c>
      <c r="H38" s="580">
        <f t="shared" si="317"/>
        <v>0.3125</v>
      </c>
      <c r="I38" s="572">
        <f t="shared" si="317"/>
        <v>0.52</v>
      </c>
      <c r="J38" s="483">
        <f t="shared" si="94"/>
        <v>2.1509999999999998</v>
      </c>
      <c r="K38" s="806">
        <f t="shared" si="317"/>
        <v>1613</v>
      </c>
      <c r="L38" s="309"/>
      <c r="M38" s="164">
        <f t="shared" si="4"/>
        <v>2.1509999999999998</v>
      </c>
      <c r="N38" s="575">
        <f t="shared" si="5"/>
        <v>6.642506134985708</v>
      </c>
      <c r="O38" s="572">
        <f t="shared" si="6"/>
        <v>3.4283201559762038</v>
      </c>
      <c r="P38" s="576">
        <f t="shared" si="7"/>
        <v>-1.0128432239708502</v>
      </c>
      <c r="Q38" s="528">
        <f t="shared" si="144"/>
        <v>27.299094695001141</v>
      </c>
      <c r="R38" s="572">
        <f t="shared" si="95"/>
        <v>7.4750429326657031</v>
      </c>
      <c r="S38" s="577">
        <f t="shared" si="96"/>
        <v>-1.0128432239708502</v>
      </c>
      <c r="T38" s="578">
        <f t="shared" si="97"/>
        <v>3.4670114079053485</v>
      </c>
      <c r="U38" s="572">
        <f t="shared" si="98"/>
        <v>-6.622393732076767</v>
      </c>
      <c r="V38" s="579">
        <f t="shared" si="145"/>
        <v>-1.0128432239708502</v>
      </c>
      <c r="W38" s="528">
        <f t="shared" si="268"/>
        <v>297.63333606508843</v>
      </c>
      <c r="X38" s="572">
        <f t="shared" si="99"/>
        <v>7.4750429326657031</v>
      </c>
      <c r="Y38" s="573">
        <f t="shared" si="271"/>
        <v>-1.0128432239708502</v>
      </c>
      <c r="Z38" s="575">
        <f t="shared" si="10"/>
        <v>0.12615517930951842</v>
      </c>
      <c r="AA38" s="572">
        <f t="shared" si="11"/>
        <v>-0.97017117510034157</v>
      </c>
      <c r="AB38" s="572">
        <f t="shared" si="12"/>
        <v>-0.20700908612378754</v>
      </c>
      <c r="AC38" s="579">
        <f t="shared" si="100"/>
        <v>1</v>
      </c>
      <c r="AD38" s="580">
        <f t="shared" si="146"/>
        <v>0.12615517930951842</v>
      </c>
      <c r="AE38" s="572">
        <f t="shared" si="101"/>
        <v>-0.97017117510034157</v>
      </c>
      <c r="AF38" s="576">
        <f t="shared" si="102"/>
        <v>-0.20700908612378754</v>
      </c>
      <c r="AG38" s="545">
        <f t="shared" si="103"/>
        <v>-77.955208598133794</v>
      </c>
      <c r="AH38" s="546">
        <f t="shared" si="104"/>
        <v>82.752529186159947</v>
      </c>
      <c r="AI38" s="528">
        <f t="shared" si="105"/>
        <v>-78.052865616675817</v>
      </c>
      <c r="AJ38" s="529">
        <f t="shared" si="106"/>
        <v>7.4088243593229759</v>
      </c>
      <c r="AK38" s="578">
        <f t="shared" si="247"/>
        <v>0.91997710094028073</v>
      </c>
      <c r="AL38" s="572">
        <f t="shared" si="107"/>
        <v>-0.33285037480482249</v>
      </c>
      <c r="AM38" s="577">
        <f t="shared" si="108"/>
        <v>-0.20700908612378754</v>
      </c>
      <c r="AN38" s="524">
        <f t="shared" si="109"/>
        <v>-58.121347788884258</v>
      </c>
      <c r="AO38" s="525">
        <f t="shared" si="110"/>
        <v>23.077265521764755</v>
      </c>
      <c r="AP38" s="528">
        <f t="shared" si="111"/>
        <v>-19.890270335678142</v>
      </c>
      <c r="AQ38" s="529">
        <f t="shared" si="13"/>
        <v>0.30497551951728258</v>
      </c>
      <c r="AR38" s="979"/>
      <c r="AS38" s="954">
        <f t="shared" si="147"/>
        <v>297.63333606508843</v>
      </c>
      <c r="AT38" s="950">
        <f t="shared" si="14"/>
        <v>-0.97143063628336646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2.1509999999999998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1613</v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>
        <f t="shared" si="133"/>
        <v>51</v>
      </c>
      <c r="JN38" s="960">
        <f>($JO38-SMALL($JO$9:$JO$88,1))/((Settings!$C$19/2)-((Settings!$C$19/2)-LARGE($JO$9:$JO$88,1))-SMALL($JO$9:$JO$88,1))</f>
        <v>0.87134093757353659</v>
      </c>
      <c r="JO38" s="162">
        <f t="shared" si="134"/>
        <v>7.4750429326657031</v>
      </c>
      <c r="JP38" s="961">
        <f t="shared" si="135"/>
        <v>-58.121347788884258</v>
      </c>
      <c r="JQ38" s="961">
        <f t="shared" si="136"/>
        <v>23.077265521764755</v>
      </c>
      <c r="JS38" s="82">
        <v>45</v>
      </c>
      <c r="JT38" s="322">
        <f t="shared" si="137"/>
        <v>6.8799551112883179</v>
      </c>
      <c r="JU38" s="963">
        <f t="shared" si="138"/>
        <v>0.79861321731614321</v>
      </c>
      <c r="JV38" s="961">
        <f t="shared" si="287"/>
        <v>-48.299588670249619</v>
      </c>
      <c r="JW38" s="961">
        <f t="shared" si="92"/>
        <v>19.725199400568972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-68.542440713690496</v>
      </c>
      <c r="KD38" s="970">
        <v>-70.228653333333327</v>
      </c>
      <c r="KE38" s="968">
        <f t="shared" si="140"/>
        <v>-1.6862126196428306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27.651596064594465</v>
      </c>
      <c r="KG38" s="966">
        <f t="shared" si="244"/>
        <v>-3.8843999999999994</v>
      </c>
      <c r="KH38" s="966">
        <f t="shared" si="141"/>
        <v>1.3857594696840572</v>
      </c>
      <c r="KJ38" s="31"/>
    </row>
    <row r="39" spans="1:296" ht="15" customHeight="1" x14ac:dyDescent="0.25">
      <c r="A39" s="75">
        <f t="shared" si="1"/>
        <v>0.02</v>
      </c>
      <c r="B39" s="578">
        <f t="shared" ref="B39:D39" si="318">IFERROR(O194+($A39*-E39),"")</f>
        <v>7.0948463058301448</v>
      </c>
      <c r="C39" s="572">
        <f t="shared" si="318"/>
        <v>3.5869585523489098</v>
      </c>
      <c r="D39" s="576">
        <f t="shared" si="318"/>
        <v>-1.6036393933704474</v>
      </c>
      <c r="E39" s="580">
        <f t="shared" ref="E39:K39" si="319">R194</f>
        <v>-4.0183878853474284E-2</v>
      </c>
      <c r="F39" s="572">
        <f t="shared" si="319"/>
        <v>0.98432445213172126</v>
      </c>
      <c r="G39" s="579">
        <f t="shared" si="319"/>
        <v>0.17172835763459743</v>
      </c>
      <c r="H39" s="580">
        <f t="shared" si="319"/>
        <v>0.3125</v>
      </c>
      <c r="I39" s="572">
        <f t="shared" si="319"/>
        <v>0.52</v>
      </c>
      <c r="J39" s="483">
        <f t="shared" si="94"/>
        <v>2.157</v>
      </c>
      <c r="K39" s="806">
        <f t="shared" si="319"/>
        <v>1613</v>
      </c>
      <c r="L39" s="309"/>
      <c r="M39" s="164">
        <f t="shared" si="4"/>
        <v>2.157</v>
      </c>
      <c r="N39" s="575">
        <f t="shared" si="5"/>
        <v>7.0948463058301448</v>
      </c>
      <c r="O39" s="572">
        <f t="shared" si="6"/>
        <v>3.5869585523489098</v>
      </c>
      <c r="P39" s="576">
        <f t="shared" si="7"/>
        <v>-1.6036393933704474</v>
      </c>
      <c r="Q39" s="528">
        <f t="shared" si="144"/>
        <v>26.819901943879731</v>
      </c>
      <c r="R39" s="572">
        <f t="shared" si="95"/>
        <v>7.9500387269258406</v>
      </c>
      <c r="S39" s="577">
        <f t="shared" si="96"/>
        <v>-1.6036393933704474</v>
      </c>
      <c r="T39" s="578">
        <f t="shared" si="97"/>
        <v>3.6282858672363631</v>
      </c>
      <c r="U39" s="572">
        <f t="shared" si="98"/>
        <v>-7.073800776473246</v>
      </c>
      <c r="V39" s="579">
        <f t="shared" si="145"/>
        <v>-1.6036393933704474</v>
      </c>
      <c r="W39" s="528">
        <f t="shared" si="268"/>
        <v>297.15414331396704</v>
      </c>
      <c r="X39" s="572">
        <f t="shared" si="99"/>
        <v>7.9500387269258406</v>
      </c>
      <c r="Y39" s="573">
        <f t="shared" si="271"/>
        <v>-1.6036393933704474</v>
      </c>
      <c r="Z39" s="575">
        <f t="shared" si="10"/>
        <v>4.0183878853474284E-2</v>
      </c>
      <c r="AA39" s="572">
        <f t="shared" si="11"/>
        <v>-0.98432445213172126</v>
      </c>
      <c r="AB39" s="572">
        <f t="shared" si="12"/>
        <v>-0.17172835763459743</v>
      </c>
      <c r="AC39" s="579">
        <f t="shared" si="100"/>
        <v>1</v>
      </c>
      <c r="AD39" s="580">
        <f t="shared" si="146"/>
        <v>4.0183878853474284E-2</v>
      </c>
      <c r="AE39" s="572">
        <f t="shared" si="101"/>
        <v>-0.98432445213172126</v>
      </c>
      <c r="AF39" s="576">
        <f t="shared" si="102"/>
        <v>-0.17172835763459743</v>
      </c>
      <c r="AG39" s="545">
        <f t="shared" si="103"/>
        <v>-80.103601700943855</v>
      </c>
      <c r="AH39" s="546">
        <f t="shared" si="104"/>
        <v>87.697013264386939</v>
      </c>
      <c r="AI39" s="528">
        <f t="shared" si="105"/>
        <v>-80.11167535579014</v>
      </c>
      <c r="AJ39" s="529">
        <f t="shared" si="106"/>
        <v>2.337734175162081</v>
      </c>
      <c r="AK39" s="578">
        <f t="shared" si="247"/>
        <v>0.89657030056018916</v>
      </c>
      <c r="AL39" s="572">
        <f t="shared" si="107"/>
        <v>-0.40825368012736407</v>
      </c>
      <c r="AM39" s="577">
        <f t="shared" si="108"/>
        <v>-0.17172835763459743</v>
      </c>
      <c r="AN39" s="524">
        <f t="shared" si="109"/>
        <v>-67.186367463967372</v>
      </c>
      <c r="AO39" s="525">
        <f t="shared" si="110"/>
        <v>26.289152244870166</v>
      </c>
      <c r="AP39" s="528">
        <f t="shared" si="111"/>
        <v>-24.482167768717687</v>
      </c>
      <c r="AQ39" s="529">
        <f t="shared" si="13"/>
        <v>0.28675427579202312</v>
      </c>
      <c r="AR39" s="979"/>
      <c r="AS39" s="954">
        <f t="shared" si="147"/>
        <v>297.15414331396704</v>
      </c>
      <c r="AT39" s="950">
        <f t="shared" si="14"/>
        <v>-1.5618940329391293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2.157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1613</v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>
        <f t="shared" si="133"/>
        <v>57</v>
      </c>
      <c r="JN39" s="960">
        <f>($JO39-SMALL($JO$9:$JO$88,1))/((Settings!$C$19/2)-((Settings!$C$19/2)-LARGE($JO$9:$JO$88,1))-SMALL($JO$9:$JO$88,1))</f>
        <v>0.92939179999655064</v>
      </c>
      <c r="JO39" s="162">
        <f t="shared" si="134"/>
        <v>7.9500387269258406</v>
      </c>
      <c r="JP39" s="961">
        <f t="shared" si="135"/>
        <v>-67.186367463967372</v>
      </c>
      <c r="JQ39" s="961">
        <f t="shared" si="136"/>
        <v>26.289152244870166</v>
      </c>
      <c r="JS39" s="82">
        <v>46</v>
      </c>
      <c r="JT39" s="322">
        <f t="shared" si="137"/>
        <v>6.9863442496193136</v>
      </c>
      <c r="JU39" s="963">
        <f t="shared" si="138"/>
        <v>0.81161539819266115</v>
      </c>
      <c r="JV39" s="961">
        <f t="shared" si="287"/>
        <v>-50.676798358330245</v>
      </c>
      <c r="JW39" s="961">
        <f t="shared" si="92"/>
        <v>19.842060074827309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-70.738382271782413</v>
      </c>
      <c r="KD39" s="970">
        <v>-74.113140000000001</v>
      </c>
      <c r="KE39" s="968">
        <f t="shared" si="140"/>
        <v>-3.3747577282175882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28.657466219085411</v>
      </c>
      <c r="KG39" s="966">
        <f t="shared" si="244"/>
        <v>-3.8844866666666746</v>
      </c>
      <c r="KH39" s="966">
        <f t="shared" si="141"/>
        <v>1.0058701544909461</v>
      </c>
      <c r="KJ39" s="31"/>
    </row>
    <row r="40" spans="1:296" ht="15" customHeight="1" x14ac:dyDescent="0.25">
      <c r="A40" s="75">
        <f t="shared" si="1"/>
        <v>0.02</v>
      </c>
      <c r="B40" s="578">
        <f t="shared" ref="B40:D40" si="320">IFERROR(O195+($A40*-E40),"")</f>
        <v>7.4111922139986817</v>
      </c>
      <c r="C40" s="572">
        <f t="shared" si="320"/>
        <v>3.691302354782612</v>
      </c>
      <c r="D40" s="576">
        <f t="shared" si="320"/>
        <v>-2.2863379479337733</v>
      </c>
      <c r="E40" s="580">
        <f t="shared" ref="E40:K40" si="321">R195</f>
        <v>5.0096296714281091E-2</v>
      </c>
      <c r="F40" s="572">
        <f t="shared" si="321"/>
        <v>0.9900425069887645</v>
      </c>
      <c r="G40" s="579">
        <f t="shared" si="321"/>
        <v>0.13155301368998393</v>
      </c>
      <c r="H40" s="580">
        <f t="shared" si="321"/>
        <v>0.3125</v>
      </c>
      <c r="I40" s="572">
        <f t="shared" si="321"/>
        <v>0.52</v>
      </c>
      <c r="J40" s="483">
        <f t="shared" si="94"/>
        <v>2.1629999999999998</v>
      </c>
      <c r="K40" s="806">
        <f t="shared" si="321"/>
        <v>1613</v>
      </c>
      <c r="L40" s="309"/>
      <c r="M40" s="164">
        <f t="shared" si="4"/>
        <v>2.1629999999999998</v>
      </c>
      <c r="N40" s="575">
        <f t="shared" si="5"/>
        <v>7.4111922139986817</v>
      </c>
      <c r="O40" s="572">
        <f t="shared" si="6"/>
        <v>3.691302354782612</v>
      </c>
      <c r="P40" s="576">
        <f t="shared" si="7"/>
        <v>-2.2863379479337733</v>
      </c>
      <c r="Q40" s="528">
        <f t="shared" si="144"/>
        <v>26.476579222881707</v>
      </c>
      <c r="R40" s="572">
        <f t="shared" si="95"/>
        <v>8.2795823027045472</v>
      </c>
      <c r="S40" s="577">
        <f t="shared" si="96"/>
        <v>-2.2863379479337733</v>
      </c>
      <c r="T40" s="578">
        <f t="shared" si="97"/>
        <v>3.7344733231583205</v>
      </c>
      <c r="U40" s="572">
        <f t="shared" si="98"/>
        <v>-7.3895326040201752</v>
      </c>
      <c r="V40" s="579">
        <f t="shared" si="145"/>
        <v>-2.2863379479337733</v>
      </c>
      <c r="W40" s="528">
        <f t="shared" si="268"/>
        <v>296.81082059296898</v>
      </c>
      <c r="X40" s="572">
        <f t="shared" si="99"/>
        <v>8.2795823027045472</v>
      </c>
      <c r="Y40" s="573">
        <f t="shared" si="271"/>
        <v>-2.2863379479337733</v>
      </c>
      <c r="Z40" s="575">
        <f t="shared" si="10"/>
        <v>-5.0096296714281091E-2</v>
      </c>
      <c r="AA40" s="572">
        <f t="shared" si="11"/>
        <v>-0.9900425069887645</v>
      </c>
      <c r="AB40" s="572">
        <f t="shared" si="12"/>
        <v>-0.13155301368998393</v>
      </c>
      <c r="AC40" s="579">
        <f t="shared" si="100"/>
        <v>1</v>
      </c>
      <c r="AD40" s="580">
        <f t="shared" si="146"/>
        <v>-5.0096296714281091E-2</v>
      </c>
      <c r="AE40" s="572">
        <f t="shared" si="101"/>
        <v>-0.9900425069887645</v>
      </c>
      <c r="AF40" s="576">
        <f t="shared" si="102"/>
        <v>-0.13155301368998393</v>
      </c>
      <c r="AG40" s="545">
        <f t="shared" si="103"/>
        <v>-82.431096604334385</v>
      </c>
      <c r="AH40" s="546">
        <f t="shared" si="104"/>
        <v>92.871508300951945</v>
      </c>
      <c r="AI40" s="528">
        <f t="shared" si="105"/>
        <v>-82.440655743136176</v>
      </c>
      <c r="AJ40" s="529">
        <f t="shared" si="106"/>
        <v>-2.8967043539193997</v>
      </c>
      <c r="AK40" s="578">
        <f t="shared" si="247"/>
        <v>0.86386903104510238</v>
      </c>
      <c r="AL40" s="572">
        <f t="shared" si="107"/>
        <v>-0.48623461599343076</v>
      </c>
      <c r="AM40" s="577">
        <f t="shared" si="108"/>
        <v>-0.13155301368998393</v>
      </c>
      <c r="AN40" s="524">
        <f t="shared" si="109"/>
        <v>-74.860811682589812</v>
      </c>
      <c r="AO40" s="525">
        <f t="shared" si="110"/>
        <v>30.246186784393721</v>
      </c>
      <c r="AP40" s="528">
        <f t="shared" si="111"/>
        <v>-29.373283576801075</v>
      </c>
      <c r="AQ40" s="529">
        <f t="shared" si="13"/>
        <v>0.2753410739021438</v>
      </c>
      <c r="AR40" s="979"/>
      <c r="AS40" s="954">
        <f t="shared" si="147"/>
        <v>296.81082059296898</v>
      </c>
      <c r="AT40" s="950">
        <f t="shared" si="14"/>
        <v>-2.2443541689462068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2.1629999999999998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1613</v>
      </c>
      <c r="IM40" s="482" t="str">
        <f t="shared" si="242"/>
        <v/>
      </c>
      <c r="IN40" s="670" t="str">
        <f t="shared" si="81"/>
        <v/>
      </c>
      <c r="IO40" s="702"/>
      <c r="IP40" s="5" t="str">
        <f t="shared" si="82"/>
        <v/>
      </c>
      <c r="IQ40" s="714"/>
      <c r="IR40" s="9" t="str">
        <f t="shared" si="13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  <c r="JM40" s="489">
        <f t="shared" si="133"/>
        <v>63</v>
      </c>
      <c r="JN40" s="960">
        <f>($JO40-SMALL($JO$9:$JO$88,1))/((Settings!$C$19/2)-((Settings!$C$19/2)-LARGE($JO$9:$JO$88,1))-SMALL($JO$9:$JO$88,1))</f>
        <v>0.96966644876415808</v>
      </c>
      <c r="JO40" s="162">
        <f t="shared" si="134"/>
        <v>8.2795823027045472</v>
      </c>
      <c r="JP40" s="961">
        <f t="shared" si="135"/>
        <v>-74.860811682589812</v>
      </c>
      <c r="JQ40" s="961">
        <f t="shared" si="136"/>
        <v>30.246186784393721</v>
      </c>
      <c r="JS40" s="82">
        <v>49</v>
      </c>
      <c r="JT40" s="322">
        <f t="shared" si="137"/>
        <v>7.2891697986824822</v>
      </c>
      <c r="JU40" s="963">
        <f t="shared" si="138"/>
        <v>0.84862474543166466</v>
      </c>
      <c r="JV40" s="961">
        <f t="shared" si="287"/>
        <v>-54.976066522376357</v>
      </c>
      <c r="JW40" s="961">
        <f t="shared" si="92"/>
        <v>21.97445231381008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-73.535002050491272</v>
      </c>
      <c r="KD40" s="970">
        <v>-76.096977142857128</v>
      </c>
      <c r="KE40" s="968">
        <f t="shared" si="140"/>
        <v>-2.5619750923658557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29.286436162878591</v>
      </c>
      <c r="KG40" s="966">
        <f t="shared" si="244"/>
        <v>-1.9838371428571264</v>
      </c>
      <c r="KH40" s="966">
        <f t="shared" si="141"/>
        <v>0.62896994379318016</v>
      </c>
      <c r="KJ40" s="31"/>
    </row>
    <row r="41" spans="1:296" ht="15" customHeight="1" x14ac:dyDescent="0.25">
      <c r="A41" s="75">
        <f t="shared" ref="A41:A72" si="322">IF($K41="","",IF(AND($A$8="Y",ISNUMBER($K41)),$A$5,0))</f>
        <v>0.02</v>
      </c>
      <c r="B41" s="578">
        <f t="shared" ref="B41:D41" si="323">IFERROR(O196+($A41*-E41),"")</f>
        <v>7.5727268528685094</v>
      </c>
      <c r="C41" s="572">
        <f t="shared" si="323"/>
        <v>3.7427675064709702</v>
      </c>
      <c r="D41" s="576">
        <f t="shared" si="323"/>
        <v>-3.0252780429707928</v>
      </c>
      <c r="E41" s="580">
        <f t="shared" ref="E41:K41" si="324">R196</f>
        <v>0.11534415385000925</v>
      </c>
      <c r="F41" s="572">
        <f t="shared" si="324"/>
        <v>0.99096460667118713</v>
      </c>
      <c r="G41" s="579">
        <f t="shared" si="324"/>
        <v>6.8446143044330179E-2</v>
      </c>
      <c r="H41" s="580">
        <f t="shared" si="324"/>
        <v>0.3125</v>
      </c>
      <c r="I41" s="572">
        <f t="shared" si="324"/>
        <v>0.52</v>
      </c>
      <c r="J41" s="483">
        <f t="shared" si="94"/>
        <v>2.169</v>
      </c>
      <c r="K41" s="806">
        <f t="shared" si="324"/>
        <v>1613</v>
      </c>
      <c r="L41" s="309"/>
      <c r="M41" s="164">
        <f t="shared" ref="M41:M72" si="325">IF(J41="","",VALUE(J41))</f>
        <v>2.169</v>
      </c>
      <c r="N41" s="575">
        <f t="shared" ref="N41:N72" si="326">IF(M41="","",B41)</f>
        <v>7.5727268528685094</v>
      </c>
      <c r="O41" s="572">
        <f t="shared" ref="O41:O72" si="327">IF(M41="","",C41)</f>
        <v>3.7427675064709702</v>
      </c>
      <c r="P41" s="576">
        <f t="shared" ref="P41:P72" si="328">IF(M41="","",D41)</f>
        <v>-3.0252780429707928</v>
      </c>
      <c r="Q41" s="528">
        <f t="shared" si="144"/>
        <v>26.300564177749745</v>
      </c>
      <c r="R41" s="572">
        <f t="shared" si="95"/>
        <v>8.4471593210765672</v>
      </c>
      <c r="S41" s="577">
        <f t="shared" si="96"/>
        <v>-3.0252780429707928</v>
      </c>
      <c r="T41" s="578">
        <f t="shared" si="97"/>
        <v>3.7868799242713225</v>
      </c>
      <c r="U41" s="572">
        <f t="shared" si="98"/>
        <v>-7.5507642682579865</v>
      </c>
      <c r="V41" s="579">
        <f t="shared" si="145"/>
        <v>-3.0252780429707928</v>
      </c>
      <c r="W41" s="528">
        <f t="shared" si="268"/>
        <v>296.634805547837</v>
      </c>
      <c r="X41" s="572">
        <f t="shared" si="99"/>
        <v>8.4471593210765672</v>
      </c>
      <c r="Y41" s="573">
        <f t="shared" si="271"/>
        <v>-3.0252780429707928</v>
      </c>
      <c r="Z41" s="575">
        <f t="shared" ref="Z41:Z72" si="329">IF(M41="","",-E41)</f>
        <v>-0.11534415385000925</v>
      </c>
      <c r="AA41" s="572">
        <f t="shared" ref="AA41:AA72" si="330">IF(M41="","",-F41)</f>
        <v>-0.99096460667118713</v>
      </c>
      <c r="AB41" s="572">
        <f t="shared" ref="AB41:AB72" si="331">IF(M41="","",-G41)</f>
        <v>-6.8446143044330179E-2</v>
      </c>
      <c r="AC41" s="579">
        <f t="shared" si="100"/>
        <v>1</v>
      </c>
      <c r="AD41" s="580">
        <f t="shared" si="146"/>
        <v>-0.11534415385000925</v>
      </c>
      <c r="AE41" s="572">
        <f t="shared" si="101"/>
        <v>-0.99096460667118713</v>
      </c>
      <c r="AF41" s="576">
        <f t="shared" si="102"/>
        <v>-6.8446143044330179E-2</v>
      </c>
      <c r="AG41" s="545">
        <f t="shared" si="103"/>
        <v>-86.048843205655928</v>
      </c>
      <c r="AH41" s="546">
        <f t="shared" si="104"/>
        <v>96.623475707048598</v>
      </c>
      <c r="AI41" s="528">
        <f t="shared" si="105"/>
        <v>-86.075256313441272</v>
      </c>
      <c r="AJ41" s="529">
        <f t="shared" si="106"/>
        <v>-6.6391154891423003</v>
      </c>
      <c r="AK41" s="578">
        <f t="shared" si="247"/>
        <v>0.83727530963493124</v>
      </c>
      <c r="AL41" s="572">
        <f t="shared" si="107"/>
        <v>-0.54248058156775103</v>
      </c>
      <c r="AM41" s="577">
        <f t="shared" si="108"/>
        <v>-6.8446143044330179E-2</v>
      </c>
      <c r="AN41" s="524">
        <f t="shared" si="109"/>
        <v>-82.808846216999001</v>
      </c>
      <c r="AO41" s="525">
        <f t="shared" si="110"/>
        <v>33.146492324912103</v>
      </c>
      <c r="AP41" s="528">
        <f t="shared" si="111"/>
        <v>-32.939679666892026</v>
      </c>
      <c r="AQ41" s="529">
        <f t="shared" ref="AQ41:AQ72" si="332">IF(M41="","",DEGREES(ATAN(($AS$5*SIN(RADIANS(90)))/(($X41*2*PI())-($AS$5*COS(RADIANS(90)))))))</f>
        <v>0.26987886523910953</v>
      </c>
      <c r="AR41" s="979"/>
      <c r="AS41" s="954">
        <f t="shared" si="147"/>
        <v>296.634805547837</v>
      </c>
      <c r="AT41" s="950">
        <f t="shared" ref="AT41:AT72" si="333">IF(M41="","",Y41+(((AS41-$AS$9)*$AS$6)*-1))</f>
        <v>-2.9831720313129955</v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41"/>
        <v>2.169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85">IF(ISNUMBER($IK41),INDEX($K$9:$K$150,MATCH($IK41,$M$9:$M$150,0)),$K41)</f>
        <v>1613</v>
      </c>
      <c r="IM41" s="482" t="str">
        <f t="shared" si="242"/>
        <v/>
      </c>
      <c r="IN41" s="670" t="str">
        <f t="shared" ref="IN41:IN72" si="486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87">IF(ISNUMBER($IK41),(($IQ41*12)/60)/$AS$3,"")</f>
        <v/>
      </c>
      <c r="IQ41" s="714"/>
      <c r="IR41" s="9" t="str">
        <f t="shared" ref="IR41:IR72" si="488">IF(ISNUMBER($IK41),(INDEX($X$9:$X$150,MATCH($IK41,$M$9:$M$150,0))*-1),"")</f>
        <v/>
      </c>
      <c r="IS41" s="5" t="str">
        <f t="shared" ref="IS41:IS72" si="489">IF(ISNUMBER($IK41),INDEX($Y$9:$Y$150,MATCH($IK41,$M$9:$M$150,0)),"")</f>
        <v/>
      </c>
      <c r="IT41" s="5" t="str">
        <f t="shared" ref="IT41:IT72" si="490">IF(ISNUMBER($IK41),INDEX($H$9:$H$150,MATCH($IK41,$M$9:$M$150,0)),"")</f>
        <v/>
      </c>
      <c r="IU41" s="5" t="str">
        <f t="shared" ref="IU41:IU72" si="491">IF(ISNUMBER($IK41),$IT41*COS(RADIANS(INDEX($AO$9:$AO$150,MATCH($IK41,$M$9:$M$150,0)))),"")</f>
        <v/>
      </c>
      <c r="IV41" s="670" t="str">
        <f t="shared" ref="IV41:IV72" si="492">IF(ISNUMBER($IK41),(-1*INDEX($AN$9:$AN$150,MATCH($IK41,$M$9:$M$150,0))),"")</f>
        <v/>
      </c>
      <c r="IW41" s="9" t="str">
        <f t="shared" ref="IW41:IW72" si="493">IF(ISNUMBER($IK41),-$X41,"")</f>
        <v/>
      </c>
      <c r="IX41" s="5" t="str">
        <f t="shared" ref="IX41:IX72" si="494">IF(ISNUMBER($IK41),$Y41,"")</f>
        <v/>
      </c>
      <c r="IY41" s="5" t="str">
        <f t="shared" ref="IY41:IY72" si="495">IF(ISNUMBER($IK41),$H41,"")</f>
        <v/>
      </c>
      <c r="IZ41" s="5" t="str">
        <f t="shared" ref="IZ41:IZ72" si="496">IF(ISNUMBER($IK41),$IY41*COS(RADIANS($AO41)),"")</f>
        <v/>
      </c>
      <c r="JA41" s="705" t="str">
        <f t="shared" ref="JA41:JA72" si="497">IF(ISNUMBER($IK41),(-1*$AN41),"")</f>
        <v/>
      </c>
      <c r="JM41" s="489">
        <f t="shared" si="133"/>
        <v>69</v>
      </c>
      <c r="JN41" s="960">
        <f>($JO41-SMALL($JO$9:$JO$88,1))/((Settings!$C$19/2)-((Settings!$C$19/2)-LARGE($JO$9:$JO$88,1))-SMALL($JO$9:$JO$88,1))</f>
        <v>0.99014660997048098</v>
      </c>
      <c r="JO41" s="162">
        <f t="shared" si="134"/>
        <v>8.4471593210765672</v>
      </c>
      <c r="JP41" s="961">
        <f t="shared" si="135"/>
        <v>-82.808846216999001</v>
      </c>
      <c r="JQ41" s="961">
        <f t="shared" si="136"/>
        <v>33.146492324912103</v>
      </c>
      <c r="JS41" s="82">
        <v>50</v>
      </c>
      <c r="JT41" s="322">
        <f t="shared" si="137"/>
        <v>7.384423040403421</v>
      </c>
      <c r="JU41" s="963">
        <f t="shared" si="138"/>
        <v>0.86026597025366802</v>
      </c>
      <c r="JV41" s="961">
        <f t="shared" si="287"/>
        <v>-56.044471610855254</v>
      </c>
      <c r="JW41" s="961">
        <f t="shared" si="92"/>
        <v>22.978648356631684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-75.777612108525759</v>
      </c>
      <c r="KD41" s="970">
        <v>-78.080814285714283</v>
      </c>
      <c r="KE41" s="968">
        <f t="shared" si="140"/>
        <v>-2.303202177188524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30.266563107162494</v>
      </c>
      <c r="KG41" s="966">
        <f t="shared" si="244"/>
        <v>-1.9838371428571548</v>
      </c>
      <c r="KH41" s="966">
        <f t="shared" si="141"/>
        <v>0.9801269442839029</v>
      </c>
      <c r="KJ41" s="31"/>
    </row>
    <row r="42" spans="1:296" ht="15" customHeight="1" x14ac:dyDescent="0.25">
      <c r="A42" s="75">
        <f t="shared" si="322"/>
        <v>0.02</v>
      </c>
      <c r="B42" s="578">
        <f t="shared" ref="B42:D42" si="498">IFERROR(O197+($A42*-E42),"")</f>
        <v>7.6502406893316932</v>
      </c>
      <c r="C42" s="572">
        <f t="shared" si="498"/>
        <v>3.7678791690061257</v>
      </c>
      <c r="D42" s="576">
        <f t="shared" si="498"/>
        <v>-3.7759113910643665</v>
      </c>
      <c r="E42" s="580">
        <f t="shared" ref="E42:K42" si="499">R197</f>
        <v>0.23643105681538573</v>
      </c>
      <c r="F42" s="572">
        <f t="shared" si="499"/>
        <v>0.97164826731340326</v>
      </c>
      <c r="G42" s="579">
        <f t="shared" si="499"/>
        <v>1.457809319200666E-7</v>
      </c>
      <c r="H42" s="580">
        <f t="shared" si="499"/>
        <v>0.3125</v>
      </c>
      <c r="I42" s="572">
        <f t="shared" si="499"/>
        <v>0.52</v>
      </c>
      <c r="J42" s="483">
        <f t="shared" si="94"/>
        <v>2.1749999999999998</v>
      </c>
      <c r="K42" s="806">
        <f t="shared" si="499"/>
        <v>1613</v>
      </c>
      <c r="L42" s="309"/>
      <c r="M42" s="164">
        <f t="shared" si="325"/>
        <v>2.1749999999999998</v>
      </c>
      <c r="N42" s="575">
        <f t="shared" si="326"/>
        <v>7.6502406893316932</v>
      </c>
      <c r="O42" s="572">
        <f t="shared" si="327"/>
        <v>3.7678791690061257</v>
      </c>
      <c r="P42" s="576">
        <f t="shared" si="328"/>
        <v>-3.7759113910643665</v>
      </c>
      <c r="Q42" s="528">
        <f t="shared" si="144"/>
        <v>26.221063725560157</v>
      </c>
      <c r="R42" s="572">
        <f t="shared" ref="R42:R47" si="500">IF(M42="","",SQRT(N42^2+O42^2))</f>
        <v>8.527783770531272</v>
      </c>
      <c r="S42" s="577">
        <f t="shared" ref="S42:S47" si="501">IF(M42="","",P42)</f>
        <v>-3.7759113910643665</v>
      </c>
      <c r="T42" s="578">
        <f t="shared" ref="T42:T47" si="502">IF(M42="","",X42*COS(RADIANS(W42)))</f>
        <v>3.8124433426329571</v>
      </c>
      <c r="U42" s="572">
        <f t="shared" ref="U42:U47" si="503">IF(M42="","",X42*SIN(RADIANS(W42)))</f>
        <v>-7.6281302949117356</v>
      </c>
      <c r="V42" s="579">
        <f t="shared" ref="V42:V47" si="504">IF(M42="","",Y42)</f>
        <v>-3.7759113910643665</v>
      </c>
      <c r="W42" s="528">
        <f t="shared" si="268"/>
        <v>296.55530509564744</v>
      </c>
      <c r="X42" s="572">
        <f t="shared" ref="X42:X47" si="505">IF(M42="","",R42)</f>
        <v>8.527783770531272</v>
      </c>
      <c r="Y42" s="573">
        <f t="shared" si="271"/>
        <v>-3.7759113910643665</v>
      </c>
      <c r="Z42" s="575">
        <f t="shared" si="329"/>
        <v>-0.23643105681538573</v>
      </c>
      <c r="AA42" s="572">
        <f t="shared" si="330"/>
        <v>-0.97164826731340326</v>
      </c>
      <c r="AB42" s="572">
        <f t="shared" si="331"/>
        <v>-1.457809319200666E-7</v>
      </c>
      <c r="AC42" s="579">
        <f t="shared" ref="AC42:AC47" si="506">IF(M42="","",SQRT(Z42^2+AA42^2+AB42^2))</f>
        <v>1</v>
      </c>
      <c r="AD42" s="580">
        <f t="shared" ref="AD42:AD47" si="507">IF(M42="","",Z42*(1/SQRT(Z42^2+AA42^2+AB42^2)))</f>
        <v>-0.23643105681538573</v>
      </c>
      <c r="AE42" s="572">
        <f t="shared" ref="AE42:AE47" si="508">IF(M42="","",AA42*(1/SQRT(Z42^2+AA42^2+AB42^2)))</f>
        <v>-0.97164826731340326</v>
      </c>
      <c r="AF42" s="576">
        <f t="shared" ref="AF42:AF47" si="509">IF(M42="","",AB42*(1/SQRT(Z42^2+AA42^2+AB42^2)))</f>
        <v>-1.457809319200666E-7</v>
      </c>
      <c r="AG42" s="545">
        <f t="shared" ref="AG42:AG47" si="510">IF(M42="","",DEGREES(ATAN2(-AF42,AE42)))</f>
        <v>-89.999991403646348</v>
      </c>
      <c r="AH42" s="546">
        <f t="shared" ref="AH42:AH47" si="511">IF(M42="","",DEGREES(ACOS(AD42)))</f>
        <v>103.67599369396586</v>
      </c>
      <c r="AI42" s="528">
        <f t="shared" ref="AI42:AI47" si="512">IF(M42="","",DEGREES(-ACOS(-AF42)))</f>
        <v>-89.999991647367864</v>
      </c>
      <c r="AJ42" s="529">
        <f t="shared" ref="AJ42:AJ47" si="513">IF(M42="","",DEGREES(ATAN2(-AE42,AD42)))</f>
        <v>-13.675993693966001</v>
      </c>
      <c r="AK42" s="578">
        <f t="shared" ref="AK42:AK47" si="514">IF(M42="","",(COS(RADIANS((90-$Q$8)-W42))*AD42)+(-SIN(RADIANS((90-$Q$8)-W42))*AE42))</f>
        <v>0.76719809419267793</v>
      </c>
      <c r="AL42" s="572">
        <f t="shared" ref="AL42:AL47" si="515">IF(M42="","",(SIN(RADIANS((90-$Q$8)-W42))*AD42)+(COS(RADIANS((90-$Q$8)-W42))*AE42))</f>
        <v>-0.64141023087186688</v>
      </c>
      <c r="AM42" s="577">
        <f t="shared" ref="AM42:AM47" si="516">IF(M42="","",AF42)</f>
        <v>-1.457809319200666E-7</v>
      </c>
      <c r="AN42" s="524">
        <f t="shared" ref="AN42:AN47" si="517">IF(M42="","",DEGREES(ATAN2(-AM42,AL42)))</f>
        <v>-89.999986977706726</v>
      </c>
      <c r="AO42" s="525">
        <f t="shared" si="110"/>
        <v>39.897057419526867</v>
      </c>
      <c r="AP42" s="528">
        <f t="shared" ref="AP42:AP47" si="518">IF(M42="","",DEGREES(ATAN2(AK42,AL42)))</f>
        <v>-39.897057419526142</v>
      </c>
      <c r="AQ42" s="529">
        <f t="shared" si="332"/>
        <v>0.26732737962124326</v>
      </c>
      <c r="AR42" s="979"/>
      <c r="AS42" s="954">
        <f t="shared" si="147"/>
        <v>296.55530509564744</v>
      </c>
      <c r="AT42" s="950">
        <f t="shared" si="333"/>
        <v>-3.7337501707592153</v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41"/>
        <v>2.1749999999999998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85"/>
        <v>1613</v>
      </c>
      <c r="IM42" s="482" t="str">
        <f t="shared" si="242"/>
        <v/>
      </c>
      <c r="IN42" s="670" t="str">
        <f t="shared" si="486"/>
        <v/>
      </c>
      <c r="IO42" s="702"/>
      <c r="IP42" s="5" t="str">
        <f t="shared" si="487"/>
        <v/>
      </c>
      <c r="IQ42" s="714"/>
      <c r="IR42" s="9" t="str">
        <f t="shared" si="488"/>
        <v/>
      </c>
      <c r="IS42" s="5" t="str">
        <f t="shared" si="489"/>
        <v/>
      </c>
      <c r="IT42" s="5" t="str">
        <f t="shared" si="490"/>
        <v/>
      </c>
      <c r="IU42" s="5" t="str">
        <f t="shared" si="491"/>
        <v/>
      </c>
      <c r="IV42" s="670" t="str">
        <f t="shared" si="492"/>
        <v/>
      </c>
      <c r="IW42" s="9" t="str">
        <f t="shared" si="493"/>
        <v/>
      </c>
      <c r="IX42" s="5" t="str">
        <f t="shared" si="494"/>
        <v/>
      </c>
      <c r="IY42" s="5" t="str">
        <f t="shared" si="495"/>
        <v/>
      </c>
      <c r="IZ42" s="5" t="str">
        <f t="shared" si="496"/>
        <v/>
      </c>
      <c r="JA42" s="705" t="str">
        <f t="shared" si="497"/>
        <v/>
      </c>
      <c r="JM42" s="489">
        <f t="shared" si="133"/>
        <v>75</v>
      </c>
      <c r="JN42" s="960">
        <f>($JO42-SMALL($JO$9:$JO$88,1))/((Settings!$C$19/2)-((Settings!$C$19/2)-LARGE($JO$9:$JO$88,1))-SMALL($JO$9:$JO$88,1))</f>
        <v>1</v>
      </c>
      <c r="JO42" s="162">
        <f t="shared" si="134"/>
        <v>8.527783770531272</v>
      </c>
      <c r="JP42" s="961">
        <f t="shared" si="135"/>
        <v>-89.999986977706726</v>
      </c>
      <c r="JQ42" s="961">
        <f t="shared" si="136"/>
        <v>39.897057419526867</v>
      </c>
      <c r="JS42" s="82">
        <v>51</v>
      </c>
      <c r="JT42" s="322">
        <f t="shared" si="137"/>
        <v>7.4750429326657031</v>
      </c>
      <c r="JU42" s="963">
        <f t="shared" si="138"/>
        <v>0.87134093757353659</v>
      </c>
      <c r="JV42" s="961">
        <f t="shared" si="287"/>
        <v>-58.121347788884258</v>
      </c>
      <c r="JW42" s="961">
        <f t="shared" si="92"/>
        <v>23.077265521764755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30.971385084362502</v>
      </c>
      <c r="KG42" s="966">
        <f t="shared" si="244"/>
        <v>-1.9838371428571406</v>
      </c>
      <c r="KH42" s="966">
        <f t="shared" si="141"/>
        <v>0.70482197720000883</v>
      </c>
      <c r="KJ42" s="31"/>
    </row>
    <row r="43" spans="1:296" ht="15" customHeight="1" x14ac:dyDescent="0.25">
      <c r="A43" s="75">
        <f t="shared" si="322"/>
        <v>0</v>
      </c>
      <c r="B43" s="578">
        <f t="shared" ref="B43:D43" si="522">IFERROR(O198+($A43*-E43),"")</f>
        <v>4.48757872209179</v>
      </c>
      <c r="C43" s="572">
        <f t="shared" si="522"/>
        <v>1.3380528117522765</v>
      </c>
      <c r="D43" s="576">
        <f t="shared" si="522"/>
        <v>-4.9700104655515644E-2</v>
      </c>
      <c r="E43" s="580">
        <f t="shared" ref="E43:K43" si="523">R198</f>
        <v>-6.684824923547035E-2</v>
      </c>
      <c r="F43" s="572">
        <f t="shared" si="523"/>
        <v>-1.9931778660854254E-2</v>
      </c>
      <c r="G43" s="579">
        <f t="shared" si="523"/>
        <v>0.99756405096292811</v>
      </c>
      <c r="H43" s="580">
        <f t="shared" si="523"/>
        <v>0.255</v>
      </c>
      <c r="I43" s="572">
        <f t="shared" si="523"/>
        <v>0.41499999999999992</v>
      </c>
      <c r="J43" s="483">
        <f t="shared" si="94"/>
        <v>2.2269999999999999</v>
      </c>
      <c r="K43" s="806" t="str">
        <f t="shared" si="523"/>
        <v>CPS-32193r1</v>
      </c>
      <c r="L43" s="309"/>
      <c r="M43" s="164">
        <f t="shared" si="325"/>
        <v>2.2269999999999999</v>
      </c>
      <c r="N43" s="575">
        <f t="shared" si="326"/>
        <v>4.48757872209179</v>
      </c>
      <c r="O43" s="572">
        <f t="shared" si="327"/>
        <v>1.3380528117522765</v>
      </c>
      <c r="P43" s="576">
        <f t="shared" si="328"/>
        <v>-4.9700104655515644E-2</v>
      </c>
      <c r="Q43" s="528">
        <f t="shared" si="144"/>
        <v>16.602901934301645</v>
      </c>
      <c r="R43" s="572">
        <f t="shared" si="500"/>
        <v>4.6828141233673959</v>
      </c>
      <c r="S43" s="577">
        <f t="shared" si="501"/>
        <v>-4.9700104655515644E-2</v>
      </c>
      <c r="T43" s="578">
        <f t="shared" si="502"/>
        <v>1.3642086905739499</v>
      </c>
      <c r="U43" s="572">
        <f t="shared" si="503"/>
        <v>-4.479696726629121</v>
      </c>
      <c r="V43" s="579">
        <f t="shared" si="504"/>
        <v>-4.9700104655515644E-2</v>
      </c>
      <c r="W43" s="528">
        <f t="shared" si="268"/>
        <v>286.93714330438894</v>
      </c>
      <c r="X43" s="572">
        <f t="shared" si="505"/>
        <v>4.6828141233673959</v>
      </c>
      <c r="Y43" s="573">
        <f t="shared" si="271"/>
        <v>-4.9700104655515644E-2</v>
      </c>
      <c r="Z43" s="575">
        <f t="shared" si="329"/>
        <v>6.684824923547035E-2</v>
      </c>
      <c r="AA43" s="572">
        <f t="shared" si="330"/>
        <v>1.9931778660854254E-2</v>
      </c>
      <c r="AB43" s="572">
        <f t="shared" si="331"/>
        <v>-0.99756405096292811</v>
      </c>
      <c r="AC43" s="579">
        <f t="shared" si="506"/>
        <v>1</v>
      </c>
      <c r="AD43" s="580">
        <f t="shared" si="507"/>
        <v>6.684824923547035E-2</v>
      </c>
      <c r="AE43" s="572">
        <f t="shared" si="508"/>
        <v>1.9931778660854254E-2</v>
      </c>
      <c r="AF43" s="576">
        <f t="shared" si="509"/>
        <v>-0.99756405096292811</v>
      </c>
      <c r="AG43" s="545">
        <f t="shared" si="510"/>
        <v>1.1446431542008915</v>
      </c>
      <c r="AH43" s="546">
        <f t="shared" si="511"/>
        <v>86.167019095283948</v>
      </c>
      <c r="AI43" s="528">
        <f t="shared" si="512"/>
        <v>-3.9999994224924942</v>
      </c>
      <c r="AJ43" s="529">
        <f t="shared" si="513"/>
        <v>106.60271565206043</v>
      </c>
      <c r="AK43" s="578">
        <f t="shared" si="514"/>
        <v>2.2679489668914199E-7</v>
      </c>
      <c r="AL43" s="572">
        <f t="shared" si="515"/>
        <v>6.9756463688904202E-2</v>
      </c>
      <c r="AM43" s="577">
        <f t="shared" si="516"/>
        <v>-0.99756405096292811</v>
      </c>
      <c r="AN43" s="524">
        <f t="shared" si="517"/>
        <v>3.9999994224715416</v>
      </c>
      <c r="AO43" s="525">
        <f t="shared" si="110"/>
        <v>0</v>
      </c>
      <c r="AP43" s="528">
        <f t="shared" si="518"/>
        <v>89.999813717758784</v>
      </c>
      <c r="AQ43" s="529">
        <f t="shared" si="332"/>
        <v>0.48681662622858923</v>
      </c>
      <c r="AR43" s="979"/>
      <c r="AS43" s="954">
        <f t="shared" ref="AS43:AS74" si="524">IF(G43="","",IF(AND(W43&lt;(AS42+180),W43&gt;(AS42-180)),W43,IF(W43&gt;(AS42+180),W43-360,IF(W43&lt;(AS42-180),W43+360,"Error"))))</f>
        <v>286.93714330438894</v>
      </c>
      <c r="AT43" s="950">
        <f t="shared" si="333"/>
        <v>-8.5960532865724665E-4</v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>Nose</v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41"/>
        <v>2.2269999999999999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2.1269999999999998</v>
      </c>
      <c r="IK43" s="677" cm="1">
        <f t="array" ref="IK43">IFERROR(ROUND(VALUE(IF($IJ43&lt;1,$IJ43+LARGE((IF($M$9:$M$150="",0,$M$9:$M$150)-MOD(IF($M$9:$M$150="",0,$M$9:$M$150),1)),1),$IJ43)),4),"")</f>
        <v>2.1269999999999998</v>
      </c>
      <c r="IL43" s="482">
        <f t="shared" si="485"/>
        <v>1613</v>
      </c>
      <c r="IM43" s="482" t="str">
        <f t="shared" si="242"/>
        <v>CPS-32193r1</v>
      </c>
      <c r="IN43" s="670">
        <f t="shared" si="486"/>
        <v>12.882703753207181</v>
      </c>
      <c r="IO43" s="702">
        <v>1.8487914702821701E-2</v>
      </c>
      <c r="IP43" s="5">
        <f t="shared" si="487"/>
        <v>0.48</v>
      </c>
      <c r="IQ43" s="714">
        <v>240</v>
      </c>
      <c r="IR43" s="9">
        <f t="shared" si="488"/>
        <v>-4.6774008807214305</v>
      </c>
      <c r="IS43" s="5">
        <f t="shared" si="489"/>
        <v>-7.7322465119171041E-2</v>
      </c>
      <c r="IT43" s="5">
        <f t="shared" si="490"/>
        <v>0.3125</v>
      </c>
      <c r="IU43" s="5">
        <f t="shared" si="491"/>
        <v>0.30156817105928235</v>
      </c>
      <c r="IV43" s="670">
        <f t="shared" si="492"/>
        <v>5.1798769779069911</v>
      </c>
      <c r="IW43" s="9">
        <f t="shared" si="493"/>
        <v>-4.6828141233673959</v>
      </c>
      <c r="IX43" s="5">
        <f t="shared" si="494"/>
        <v>-4.9700104655515644E-2</v>
      </c>
      <c r="IY43" s="5">
        <f t="shared" si="495"/>
        <v>0.255</v>
      </c>
      <c r="IZ43" s="5">
        <f t="shared" si="496"/>
        <v>0.255</v>
      </c>
      <c r="JA43" s="705">
        <f t="shared" si="497"/>
        <v>-3.9999994224715416</v>
      </c>
      <c r="JM43" s="489">
        <f t="shared" si="133"/>
        <v>27</v>
      </c>
      <c r="JN43" s="960">
        <f>($JO43-SMALL($JO$9:$JO$88,1))/((Settings!$C$19/2)-((Settings!$C$19/2)-LARGE($JO$9:$JO$88,1))-SMALL($JO$9:$JO$88,1))</f>
        <v>0.53009309407498828</v>
      </c>
      <c r="JO43" s="162">
        <f t="shared" si="134"/>
        <v>4.6828141233673959</v>
      </c>
      <c r="JP43" s="961">
        <f t="shared" si="135"/>
        <v>3.9999994224715416</v>
      </c>
      <c r="JQ43" s="961">
        <f t="shared" si="136"/>
        <v>0</v>
      </c>
      <c r="JS43" s="82">
        <v>52</v>
      </c>
      <c r="JT43" s="322">
        <f t="shared" si="137"/>
        <v>7.5636952734822138</v>
      </c>
      <c r="JU43" s="963">
        <f t="shared" si="138"/>
        <v>0.88217544369423495</v>
      </c>
      <c r="JV43" s="961">
        <f t="shared" si="287"/>
        <v>-59.172763830101175</v>
      </c>
      <c r="JW43" s="961">
        <f t="shared" si="92"/>
        <v>24.073457217686279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32.726536985590904</v>
      </c>
      <c r="KG43" s="966">
        <f t="shared" si="244"/>
        <v>-1.9838371428571548</v>
      </c>
      <c r="KH43" s="966">
        <f t="shared" si="141"/>
        <v>1.7551519012284018</v>
      </c>
      <c r="KJ43" s="31"/>
    </row>
    <row r="44" spans="1:296" ht="15" customHeight="1" x14ac:dyDescent="0.25">
      <c r="A44" s="75">
        <f t="shared" si="322"/>
        <v>0</v>
      </c>
      <c r="B44" s="578">
        <f t="shared" ref="B44:D44" si="527">IFERROR(O199+($A44*-E44),"")</f>
        <v>5.2393077644806123</v>
      </c>
      <c r="C44" s="572">
        <f t="shared" si="527"/>
        <v>1.5715090315169975</v>
      </c>
      <c r="D44" s="576">
        <f t="shared" si="527"/>
        <v>-3.8900072082617296E-2</v>
      </c>
      <c r="E44" s="580">
        <f t="shared" ref="E44:K44" si="528">R199</f>
        <v>7.8483948783349355E-2</v>
      </c>
      <c r="F44" s="572">
        <f t="shared" si="528"/>
        <v>2.3541177658519329E-2</v>
      </c>
      <c r="G44" s="579">
        <f t="shared" si="528"/>
        <v>0.99663738778846889</v>
      </c>
      <c r="H44" s="580">
        <f t="shared" si="528"/>
        <v>0.255</v>
      </c>
      <c r="I44" s="572">
        <f t="shared" si="528"/>
        <v>0.41499999999999992</v>
      </c>
      <c r="J44" s="483">
        <f t="shared" si="94"/>
        <v>2.2330000000000001</v>
      </c>
      <c r="K44" s="806" t="str">
        <f t="shared" si="528"/>
        <v>CPS-32193r1</v>
      </c>
      <c r="L44" s="309"/>
      <c r="M44" s="164">
        <f t="shared" si="325"/>
        <v>2.2330000000000001</v>
      </c>
      <c r="N44" s="575">
        <f t="shared" si="326"/>
        <v>5.2393077644806123</v>
      </c>
      <c r="O44" s="572">
        <f t="shared" si="327"/>
        <v>1.5715090315169975</v>
      </c>
      <c r="P44" s="576">
        <f t="shared" si="328"/>
        <v>-3.8900072082617296E-2</v>
      </c>
      <c r="Q44" s="528">
        <f t="shared" si="144"/>
        <v>16.696401920801929</v>
      </c>
      <c r="R44" s="572">
        <f t="shared" si="500"/>
        <v>5.4699164972681551</v>
      </c>
      <c r="S44" s="577">
        <f t="shared" si="501"/>
        <v>-3.8900072082617296E-2</v>
      </c>
      <c r="T44" s="578">
        <f t="shared" si="502"/>
        <v>1.602046208965471</v>
      </c>
      <c r="U44" s="572">
        <f t="shared" si="503"/>
        <v>-5.2300510926209585</v>
      </c>
      <c r="V44" s="579">
        <f t="shared" si="504"/>
        <v>-3.8900072082617296E-2</v>
      </c>
      <c r="W44" s="528">
        <f t="shared" si="268"/>
        <v>287.0306432908892</v>
      </c>
      <c r="X44" s="572">
        <f t="shared" si="505"/>
        <v>5.4699164972681551</v>
      </c>
      <c r="Y44" s="573">
        <f t="shared" si="271"/>
        <v>-3.8900072082617296E-2</v>
      </c>
      <c r="Z44" s="575">
        <f t="shared" si="329"/>
        <v>-7.8483948783349355E-2</v>
      </c>
      <c r="AA44" s="572">
        <f t="shared" si="330"/>
        <v>-2.3541177658519329E-2</v>
      </c>
      <c r="AB44" s="572">
        <f t="shared" si="331"/>
        <v>-0.99663738778846889</v>
      </c>
      <c r="AC44" s="579">
        <f t="shared" si="506"/>
        <v>1</v>
      </c>
      <c r="AD44" s="580">
        <f t="shared" si="507"/>
        <v>-7.8483948783349355E-2</v>
      </c>
      <c r="AE44" s="572">
        <f t="shared" si="508"/>
        <v>-2.3541177658519329E-2</v>
      </c>
      <c r="AF44" s="576">
        <f t="shared" si="509"/>
        <v>-0.99663738778846889</v>
      </c>
      <c r="AG44" s="545">
        <f t="shared" si="510"/>
        <v>-1.353109341995961</v>
      </c>
      <c r="AH44" s="546">
        <f t="shared" si="511"/>
        <v>94.501428379803727</v>
      </c>
      <c r="AI44" s="528">
        <f t="shared" si="512"/>
        <v>-4.6999993214218909</v>
      </c>
      <c r="AJ44" s="529">
        <f t="shared" si="513"/>
        <v>-73.303439492076052</v>
      </c>
      <c r="AK44" s="578">
        <f t="shared" si="514"/>
        <v>2.2679489674118369E-7</v>
      </c>
      <c r="AL44" s="572">
        <f t="shared" si="515"/>
        <v>-8.1938496826131357E-2</v>
      </c>
      <c r="AM44" s="577">
        <f t="shared" si="516"/>
        <v>-0.99663738778846889</v>
      </c>
      <c r="AN44" s="524">
        <f t="shared" si="517"/>
        <v>-4.6999993214040643</v>
      </c>
      <c r="AO44" s="525">
        <f t="shared" si="110"/>
        <v>0</v>
      </c>
      <c r="AP44" s="528">
        <f t="shared" si="518"/>
        <v>-89.999841412877942</v>
      </c>
      <c r="AQ44" s="529">
        <f t="shared" si="332"/>
        <v>0.41676804858594096</v>
      </c>
      <c r="AR44" s="979"/>
      <c r="AS44" s="954">
        <f t="shared" si="524"/>
        <v>287.0306432908892</v>
      </c>
      <c r="AT44" s="950">
        <f t="shared" si="333"/>
        <v>9.875496698060364E-3</v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>Nose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41"/>
        <v>2.2330000000000001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2.133</v>
      </c>
      <c r="IK44" s="677" cm="1">
        <f t="array" ref="IK44">IFERROR(ROUND(VALUE(IF($IJ44&lt;1,$IJ44+LARGE((IF($M$9:$M$150="",0,$M$9:$M$150)-MOD(IF($M$9:$M$150="",0,$M$9:$M$150),1)),1),$IJ44)),4),"")</f>
        <v>2.133</v>
      </c>
      <c r="IL44" s="482">
        <f t="shared" si="485"/>
        <v>1613</v>
      </c>
      <c r="IM44" s="482" t="str">
        <f t="shared" si="242"/>
        <v>CPS-32193r1</v>
      </c>
      <c r="IN44" s="670">
        <f t="shared" si="486"/>
        <v>12.34319820611222</v>
      </c>
      <c r="IO44" s="702">
        <v>1.5691982655719298E-2</v>
      </c>
      <c r="IP44" s="5">
        <f t="shared" si="487"/>
        <v>0.48</v>
      </c>
      <c r="IQ44" s="714">
        <v>240</v>
      </c>
      <c r="IR44" s="9">
        <f t="shared" si="488"/>
        <v>-5.4505013973092975</v>
      </c>
      <c r="IS44" s="5">
        <f t="shared" si="489"/>
        <v>-6.290824003183354E-2</v>
      </c>
      <c r="IT44" s="5">
        <f t="shared" si="490"/>
        <v>0.3125</v>
      </c>
      <c r="IU44" s="5">
        <f t="shared" si="491"/>
        <v>0.30095665075505051</v>
      </c>
      <c r="IV44" s="670">
        <f t="shared" si="492"/>
        <v>21.582130930128407</v>
      </c>
      <c r="IW44" s="9">
        <f t="shared" si="493"/>
        <v>-5.4699164972681551</v>
      </c>
      <c r="IX44" s="5">
        <f t="shared" si="494"/>
        <v>-3.8900072082617296E-2</v>
      </c>
      <c r="IY44" s="5">
        <f t="shared" si="495"/>
        <v>0.255</v>
      </c>
      <c r="IZ44" s="5">
        <f t="shared" si="496"/>
        <v>0.255</v>
      </c>
      <c r="JA44" s="705">
        <f t="shared" si="497"/>
        <v>4.6999993214040643</v>
      </c>
      <c r="JM44" s="489">
        <f t="shared" si="133"/>
        <v>33</v>
      </c>
      <c r="JN44" s="960">
        <f>($JO44-SMALL($JO$9:$JO$88,1))/((Settings!$C$19/2)-((Settings!$C$19/2)-LARGE($JO$9:$JO$88,1))-SMALL($JO$9:$JO$88,1))</f>
        <v>0.6262875702625329</v>
      </c>
      <c r="JO44" s="162">
        <f t="shared" si="134"/>
        <v>5.4699164972681551</v>
      </c>
      <c r="JP44" s="961">
        <f t="shared" si="135"/>
        <v>-4.6999993214040643</v>
      </c>
      <c r="JQ44" s="961">
        <f t="shared" si="136"/>
        <v>0</v>
      </c>
      <c r="JS44" s="82">
        <v>55</v>
      </c>
      <c r="JT44" s="322">
        <f t="shared" si="137"/>
        <v>7.8066276089627875</v>
      </c>
      <c r="JU44" s="963">
        <f t="shared" si="138"/>
        <v>0.91186503622431292</v>
      </c>
      <c r="JV44" s="961">
        <f t="shared" si="287"/>
        <v>-64.171955670269369</v>
      </c>
      <c r="JW44" s="961">
        <f t="shared" si="92"/>
        <v>25.235497848485185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-2.6265369855909029</v>
      </c>
      <c r="KJ44" s="31"/>
    </row>
    <row r="45" spans="1:296" ht="15" customHeight="1" x14ac:dyDescent="0.25">
      <c r="A45" s="75">
        <f t="shared" si="322"/>
        <v>0.02</v>
      </c>
      <c r="B45" s="578">
        <f t="shared" ref="B45:D45" si="529">IFERROR(O200+($A45*-E45),"")</f>
        <v>5.9101170288085445</v>
      </c>
      <c r="C45" s="572">
        <f t="shared" si="529"/>
        <v>1.9339728365250648</v>
      </c>
      <c r="D45" s="576">
        <f t="shared" si="529"/>
        <v>-0.19697128999096711</v>
      </c>
      <c r="E45" s="580">
        <f t="shared" ref="E45:K45" si="530">R200</f>
        <v>-7.8267304438537341E-2</v>
      </c>
      <c r="F45" s="572">
        <f t="shared" si="530"/>
        <v>0.9547304804545943</v>
      </c>
      <c r="G45" s="579">
        <f t="shared" si="530"/>
        <v>0.2869911823503728</v>
      </c>
      <c r="H45" s="580">
        <f t="shared" si="530"/>
        <v>0.26450000000000001</v>
      </c>
      <c r="I45" s="572">
        <f t="shared" si="530"/>
        <v>0.52</v>
      </c>
      <c r="J45" s="483">
        <f t="shared" si="94"/>
        <v>2.2389999999999999</v>
      </c>
      <c r="K45" s="806">
        <f t="shared" si="530"/>
        <v>1313</v>
      </c>
      <c r="L45" s="309"/>
      <c r="M45" s="164">
        <f t="shared" si="325"/>
        <v>2.2389999999999999</v>
      </c>
      <c r="N45" s="575">
        <f t="shared" si="326"/>
        <v>5.9101170288085445</v>
      </c>
      <c r="O45" s="572">
        <f t="shared" si="327"/>
        <v>1.9339728365250648</v>
      </c>
      <c r="P45" s="576">
        <f t="shared" si="328"/>
        <v>-0.19697128999096711</v>
      </c>
      <c r="Q45" s="528">
        <f t="shared" si="144"/>
        <v>18.119694865270439</v>
      </c>
      <c r="R45" s="572">
        <f t="shared" si="500"/>
        <v>6.2184993548789196</v>
      </c>
      <c r="S45" s="577">
        <f t="shared" si="501"/>
        <v>-0.19697128999096711</v>
      </c>
      <c r="T45" s="578">
        <f t="shared" si="502"/>
        <v>1.9684170655321882</v>
      </c>
      <c r="U45" s="572">
        <f t="shared" si="503"/>
        <v>-5.8987344814588143</v>
      </c>
      <c r="V45" s="579">
        <f t="shared" si="504"/>
        <v>-0.19697128999096711</v>
      </c>
      <c r="W45" s="528">
        <f t="shared" si="268"/>
        <v>288.45393623535773</v>
      </c>
      <c r="X45" s="572">
        <f t="shared" si="505"/>
        <v>6.2184993548789196</v>
      </c>
      <c r="Y45" s="573">
        <f t="shared" si="271"/>
        <v>-0.19697128999096711</v>
      </c>
      <c r="Z45" s="575">
        <f t="shared" si="329"/>
        <v>7.8267304438537341E-2</v>
      </c>
      <c r="AA45" s="572">
        <f t="shared" si="330"/>
        <v>-0.9547304804545943</v>
      </c>
      <c r="AB45" s="572">
        <f t="shared" si="331"/>
        <v>-0.2869911823503728</v>
      </c>
      <c r="AC45" s="579">
        <f t="shared" si="506"/>
        <v>1</v>
      </c>
      <c r="AD45" s="580">
        <f t="shared" si="507"/>
        <v>7.8267304438537341E-2</v>
      </c>
      <c r="AE45" s="572">
        <f t="shared" si="508"/>
        <v>-0.9547304804545943</v>
      </c>
      <c r="AF45" s="576">
        <f t="shared" si="509"/>
        <v>-0.2869911823503728</v>
      </c>
      <c r="AG45" s="545">
        <f t="shared" si="510"/>
        <v>-73.269266050824982</v>
      </c>
      <c r="AH45" s="546">
        <f t="shared" si="511"/>
        <v>85.511022727693756</v>
      </c>
      <c r="AI45" s="528">
        <f t="shared" si="512"/>
        <v>-73.322092043844577</v>
      </c>
      <c r="AJ45" s="529">
        <f t="shared" si="513"/>
        <v>4.6865381452093384</v>
      </c>
      <c r="AK45" s="578">
        <f t="shared" si="514"/>
        <v>0.93172570753482753</v>
      </c>
      <c r="AL45" s="572">
        <f t="shared" si="515"/>
        <v>-0.22253823755000035</v>
      </c>
      <c r="AM45" s="577">
        <f t="shared" si="516"/>
        <v>-0.2869911823503728</v>
      </c>
      <c r="AN45" s="524">
        <f t="shared" si="517"/>
        <v>-37.790657534708707</v>
      </c>
      <c r="AO45" s="525">
        <f t="shared" si="110"/>
        <v>21.294560799937084</v>
      </c>
      <c r="AP45" s="528">
        <f t="shared" si="518"/>
        <v>-13.433156720061113</v>
      </c>
      <c r="AQ45" s="529">
        <f t="shared" si="332"/>
        <v>0.36659898021358356</v>
      </c>
      <c r="AR45" s="979"/>
      <c r="AS45" s="954">
        <f t="shared" si="524"/>
        <v>288.45393623535773</v>
      </c>
      <c r="AT45" s="950">
        <f t="shared" si="333"/>
        <v>-0.14918411908839257</v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>Nose</v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41"/>
        <v>2.2389999999999999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2.1389999999999998</v>
      </c>
      <c r="IK45" s="677" cm="1">
        <f t="array" ref="IK45">IFERROR(ROUND(VALUE(IF($IJ45&lt;1,$IJ45+LARGE((IF($M$9:$M$150="",0,$M$9:$M$150)-MOD(IF($M$9:$M$150="",0,$M$9:$M$150),1)),1),$IJ45)),4),"")</f>
        <v>2.1389999999999998</v>
      </c>
      <c r="IL45" s="482">
        <f t="shared" si="485"/>
        <v>1613</v>
      </c>
      <c r="IM45" s="482">
        <f t="shared" si="242"/>
        <v>1313</v>
      </c>
      <c r="IN45" s="670">
        <f t="shared" si="486"/>
        <v>10.354759655410419</v>
      </c>
      <c r="IO45" s="702">
        <v>1.6170639555158399E-2</v>
      </c>
      <c r="IP45" s="5">
        <f t="shared" si="487"/>
        <v>0.64</v>
      </c>
      <c r="IQ45" s="714">
        <v>320</v>
      </c>
      <c r="IR45" s="9">
        <f t="shared" si="488"/>
        <v>-6.1922707543903401</v>
      </c>
      <c r="IS45" s="5">
        <f t="shared" si="489"/>
        <v>-0.22344078026873038</v>
      </c>
      <c r="IT45" s="5">
        <f t="shared" si="490"/>
        <v>0.3125</v>
      </c>
      <c r="IU45" s="5">
        <f t="shared" si="491"/>
        <v>0.29998427093752744</v>
      </c>
      <c r="IV45" s="670">
        <f t="shared" si="492"/>
        <v>37.590544525222477</v>
      </c>
      <c r="IW45" s="9">
        <f t="shared" si="493"/>
        <v>-6.2184993548789196</v>
      </c>
      <c r="IX45" s="5">
        <f t="shared" si="494"/>
        <v>-0.19697128999096711</v>
      </c>
      <c r="IY45" s="5">
        <f t="shared" si="495"/>
        <v>0.26450000000000001</v>
      </c>
      <c r="IZ45" s="5">
        <f t="shared" si="496"/>
        <v>0.24644144964296189</v>
      </c>
      <c r="JA45" s="705">
        <f t="shared" si="497"/>
        <v>37.790657534708707</v>
      </c>
      <c r="JM45" s="489">
        <f t="shared" si="133"/>
        <v>39</v>
      </c>
      <c r="JN45" s="960">
        <f>($JO45-SMALL($JO$9:$JO$88,1))/((Settings!$C$19/2)-((Settings!$C$19/2)-LARGE($JO$9:$JO$88,1))-SMALL($JO$9:$JO$88,1))</f>
        <v>0.71777444447176009</v>
      </c>
      <c r="JO45" s="162">
        <f t="shared" si="134"/>
        <v>6.2184993548789196</v>
      </c>
      <c r="JP45" s="961">
        <f t="shared" si="135"/>
        <v>-37.790657534708707</v>
      </c>
      <c r="JQ45" s="961">
        <f t="shared" si="136"/>
        <v>21.294560799937084</v>
      </c>
      <c r="JS45" s="82">
        <v>56</v>
      </c>
      <c r="JT45" s="322">
        <f t="shared" si="137"/>
        <v>7.8809772909095992</v>
      </c>
      <c r="JU45" s="963">
        <f t="shared" si="138"/>
        <v>0.92095156543161261</v>
      </c>
      <c r="JV45" s="961">
        <f t="shared" si="287"/>
        <v>-65.293666273498459</v>
      </c>
      <c r="JW45" s="961">
        <f t="shared" si="92"/>
        <v>26.215015312441743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>
        <f t="shared" si="322"/>
        <v>0.02</v>
      </c>
      <c r="B46" s="578">
        <f t="shared" ref="B46:D46" si="531">IFERROR(O201+($A46*-E46),"")</f>
        <v>6.5989521247916336</v>
      </c>
      <c r="C46" s="572">
        <f t="shared" si="531"/>
        <v>2.0576933543929852</v>
      </c>
      <c r="D46" s="576">
        <f t="shared" si="531"/>
        <v>-0.52396202200345388</v>
      </c>
      <c r="E46" s="580">
        <f t="shared" ref="E46:K46" si="532">R201</f>
        <v>2.872335735959896E-2</v>
      </c>
      <c r="F46" s="572">
        <f t="shared" si="532"/>
        <v>0.96018152833543358</v>
      </c>
      <c r="G46" s="579">
        <f t="shared" si="532"/>
        <v>0.2778963860603873</v>
      </c>
      <c r="H46" s="580">
        <f t="shared" si="532"/>
        <v>0.26450000000000001</v>
      </c>
      <c r="I46" s="572">
        <f t="shared" si="532"/>
        <v>0.52</v>
      </c>
      <c r="J46" s="483">
        <f t="shared" si="94"/>
        <v>2.2450000000000001</v>
      </c>
      <c r="K46" s="806">
        <f t="shared" si="532"/>
        <v>1313</v>
      </c>
      <c r="L46" s="309"/>
      <c r="M46" s="164">
        <f t="shared" si="325"/>
        <v>2.2450000000000001</v>
      </c>
      <c r="N46" s="575">
        <f t="shared" si="326"/>
        <v>6.5989521247916336</v>
      </c>
      <c r="O46" s="572">
        <f t="shared" si="327"/>
        <v>2.0576933543929852</v>
      </c>
      <c r="P46" s="576">
        <f t="shared" si="328"/>
        <v>-0.52396202200345388</v>
      </c>
      <c r="Q46" s="528">
        <f t="shared" si="144"/>
        <v>17.318587049473255</v>
      </c>
      <c r="R46" s="572">
        <f t="shared" si="500"/>
        <v>6.9123274724223727</v>
      </c>
      <c r="S46" s="577">
        <f t="shared" si="501"/>
        <v>-0.52396202200345388</v>
      </c>
      <c r="T46" s="578">
        <f t="shared" si="502"/>
        <v>2.0961538524063745</v>
      </c>
      <c r="U46" s="572">
        <f t="shared" si="503"/>
        <v>-6.586836123135825</v>
      </c>
      <c r="V46" s="579">
        <f t="shared" si="504"/>
        <v>-0.52396202200345388</v>
      </c>
      <c r="W46" s="528">
        <f t="shared" si="268"/>
        <v>287.65282841956054</v>
      </c>
      <c r="X46" s="572">
        <f t="shared" si="505"/>
        <v>6.9123274724223727</v>
      </c>
      <c r="Y46" s="573">
        <f t="shared" si="271"/>
        <v>-0.52396202200345388</v>
      </c>
      <c r="Z46" s="575">
        <f t="shared" si="329"/>
        <v>-2.872335735959896E-2</v>
      </c>
      <c r="AA46" s="572">
        <f t="shared" si="330"/>
        <v>-0.96018152833543358</v>
      </c>
      <c r="AB46" s="572">
        <f t="shared" si="331"/>
        <v>-0.2778963860603873</v>
      </c>
      <c r="AC46" s="579">
        <f t="shared" si="506"/>
        <v>1</v>
      </c>
      <c r="AD46" s="580">
        <f t="shared" si="507"/>
        <v>-2.872335735959896E-2</v>
      </c>
      <c r="AE46" s="572">
        <f t="shared" si="508"/>
        <v>-0.96018152833543358</v>
      </c>
      <c r="AF46" s="576">
        <f t="shared" si="509"/>
        <v>-0.2778963860603873</v>
      </c>
      <c r="AG46" s="545">
        <f t="shared" si="510"/>
        <v>-73.858463637684068</v>
      </c>
      <c r="AH46" s="546">
        <f t="shared" si="511"/>
        <v>91.645953530264762</v>
      </c>
      <c r="AI46" s="528">
        <f t="shared" si="512"/>
        <v>-73.865305505706743</v>
      </c>
      <c r="AJ46" s="529">
        <f t="shared" si="513"/>
        <v>-1.7134640240522123</v>
      </c>
      <c r="AK46" s="578">
        <f t="shared" si="514"/>
        <v>0.9081005059559667</v>
      </c>
      <c r="AL46" s="572">
        <f t="shared" si="515"/>
        <v>-0.31325240573233193</v>
      </c>
      <c r="AM46" s="577">
        <f t="shared" si="516"/>
        <v>-0.2778963860603873</v>
      </c>
      <c r="AN46" s="524">
        <f t="shared" si="517"/>
        <v>-48.422726152379653</v>
      </c>
      <c r="AO46" s="525">
        <f t="shared" si="110"/>
        <v>24.75583867623341</v>
      </c>
      <c r="AP46" s="528">
        <f t="shared" si="518"/>
        <v>-19.03205107352548</v>
      </c>
      <c r="AQ46" s="529">
        <f t="shared" si="332"/>
        <v>0.32980229349013468</v>
      </c>
      <c r="AR46" s="979"/>
      <c r="AS46" s="954">
        <f t="shared" si="524"/>
        <v>287.65282841956054</v>
      </c>
      <c r="AT46" s="950">
        <f t="shared" si="333"/>
        <v>-0.47561852622879797</v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>Taper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41"/>
        <v>2.2450000000000001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2.145</v>
      </c>
      <c r="IK46" s="677" cm="1">
        <f t="array" ref="IK46">IFERROR(ROUND(VALUE(IF($IJ46&lt;1,$IJ46+LARGE((IF($M$9:$M$150="",0,$M$9:$M$150)-MOD(IF($M$9:$M$150="",0,$M$9:$M$150),1)),1),$IJ46)),4),"")</f>
        <v>2.145</v>
      </c>
      <c r="IL46" s="482">
        <f t="shared" si="485"/>
        <v>1613</v>
      </c>
      <c r="IM46" s="482">
        <f t="shared" si="242"/>
        <v>1313</v>
      </c>
      <c r="IN46" s="670">
        <f t="shared" si="486"/>
        <v>10.551743101814509</v>
      </c>
      <c r="IO46" s="702">
        <v>1.49772381547817E-2</v>
      </c>
      <c r="IP46" s="5">
        <f t="shared" si="487"/>
        <v>0.66</v>
      </c>
      <c r="IQ46" s="714">
        <v>330</v>
      </c>
      <c r="IR46" s="9">
        <f t="shared" si="488"/>
        <v>-6.8799551112883179</v>
      </c>
      <c r="IS46" s="5">
        <f t="shared" si="489"/>
        <v>-0.54539209611920492</v>
      </c>
      <c r="IT46" s="5">
        <f t="shared" si="490"/>
        <v>0.3125</v>
      </c>
      <c r="IU46" s="5">
        <f t="shared" si="491"/>
        <v>0.29416318595268376</v>
      </c>
      <c r="IV46" s="670">
        <f t="shared" si="492"/>
        <v>48.299588670249619</v>
      </c>
      <c r="IW46" s="9">
        <f t="shared" si="493"/>
        <v>-6.9123274724223727</v>
      </c>
      <c r="IX46" s="5">
        <f t="shared" si="494"/>
        <v>-0.52396202200345388</v>
      </c>
      <c r="IY46" s="5">
        <f t="shared" si="495"/>
        <v>0.26450000000000001</v>
      </c>
      <c r="IZ46" s="5">
        <f t="shared" si="496"/>
        <v>0.24019258382535319</v>
      </c>
      <c r="JA46" s="705">
        <f t="shared" si="497"/>
        <v>48.422726152379653</v>
      </c>
      <c r="JM46" s="489">
        <f t="shared" si="133"/>
        <v>45</v>
      </c>
      <c r="JN46" s="960">
        <f>($JO46-SMALL($JO$9:$JO$88,1))/((Settings!$C$19/2)-((Settings!$C$19/2)-LARGE($JO$9:$JO$88,1))-SMALL($JO$9:$JO$88,1))</f>
        <v>0.80256955441472377</v>
      </c>
      <c r="JO46" s="162">
        <f t="shared" si="134"/>
        <v>6.9123274724223727</v>
      </c>
      <c r="JP46" s="961">
        <f t="shared" si="135"/>
        <v>-48.422726152379653</v>
      </c>
      <c r="JQ46" s="961">
        <f t="shared" si="136"/>
        <v>24.75583867623341</v>
      </c>
      <c r="JS46" s="82">
        <v>57</v>
      </c>
      <c r="JT46" s="322">
        <f t="shared" si="137"/>
        <v>7.9500387269258406</v>
      </c>
      <c r="JU46" s="963">
        <f t="shared" si="138"/>
        <v>0.92939179999655064</v>
      </c>
      <c r="JV46" s="961">
        <f t="shared" si="287"/>
        <v>-67.186367463967372</v>
      </c>
      <c r="JW46" s="961">
        <f t="shared" si="92"/>
        <v>26.289152244870166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>
        <f t="shared" si="322"/>
        <v>0.02</v>
      </c>
      <c r="B47" s="578">
        <f t="shared" ref="B47:D47" si="533">IFERROR(O202+($A47*-E47),"")</f>
        <v>7.2065840787966424</v>
      </c>
      <c r="C47" s="572">
        <f t="shared" si="533"/>
        <v>2.1209039251569846</v>
      </c>
      <c r="D47" s="576">
        <f t="shared" si="533"/>
        <v>-0.99720120434323278</v>
      </c>
      <c r="E47" s="580">
        <f t="shared" ref="E47:K47" si="534">R202</f>
        <v>0.13516659658694291</v>
      </c>
      <c r="F47" s="572">
        <f t="shared" si="534"/>
        <v>0.95920064257564219</v>
      </c>
      <c r="G47" s="579">
        <f t="shared" si="534"/>
        <v>0.24832260962219632</v>
      </c>
      <c r="H47" s="580">
        <f t="shared" si="534"/>
        <v>0.26450000000000001</v>
      </c>
      <c r="I47" s="572">
        <f t="shared" si="534"/>
        <v>0.52</v>
      </c>
      <c r="J47" s="483">
        <f t="shared" si="94"/>
        <v>2.2509999999999999</v>
      </c>
      <c r="K47" s="806">
        <f t="shared" si="534"/>
        <v>1313</v>
      </c>
      <c r="L47" s="309"/>
      <c r="M47" s="164">
        <f t="shared" si="325"/>
        <v>2.2509999999999999</v>
      </c>
      <c r="N47" s="575">
        <f t="shared" si="326"/>
        <v>7.2065840787966424</v>
      </c>
      <c r="O47" s="572">
        <f t="shared" si="327"/>
        <v>2.1209039251569846</v>
      </c>
      <c r="P47" s="576">
        <f t="shared" si="328"/>
        <v>-0.99720120434323278</v>
      </c>
      <c r="Q47" s="528">
        <f t="shared" si="144"/>
        <v>16.399201650750562</v>
      </c>
      <c r="R47" s="572">
        <f t="shared" si="500"/>
        <v>7.512195920269356</v>
      </c>
      <c r="S47" s="577">
        <f t="shared" si="501"/>
        <v>-0.99720120434323278</v>
      </c>
      <c r="T47" s="578">
        <f t="shared" si="502"/>
        <v>2.1629080168122115</v>
      </c>
      <c r="U47" s="572">
        <f t="shared" si="503"/>
        <v>-7.1940889941201744</v>
      </c>
      <c r="V47" s="579">
        <f t="shared" si="504"/>
        <v>-0.99720120434323278</v>
      </c>
      <c r="W47" s="528">
        <f t="shared" si="268"/>
        <v>286.73344302083785</v>
      </c>
      <c r="X47" s="572">
        <f t="shared" si="505"/>
        <v>7.512195920269356</v>
      </c>
      <c r="Y47" s="573">
        <f t="shared" si="271"/>
        <v>-0.99720120434323278</v>
      </c>
      <c r="Z47" s="575">
        <f t="shared" si="329"/>
        <v>-0.13516659658694291</v>
      </c>
      <c r="AA47" s="572">
        <f t="shared" si="330"/>
        <v>-0.95920064257564219</v>
      </c>
      <c r="AB47" s="572">
        <f t="shared" si="331"/>
        <v>-0.24832260962219632</v>
      </c>
      <c r="AC47" s="579">
        <f t="shared" si="506"/>
        <v>1</v>
      </c>
      <c r="AD47" s="580">
        <f t="shared" si="507"/>
        <v>-0.13516659658694291</v>
      </c>
      <c r="AE47" s="572">
        <f t="shared" si="508"/>
        <v>-0.95920064257564219</v>
      </c>
      <c r="AF47" s="576">
        <f t="shared" si="509"/>
        <v>-0.24832260962219632</v>
      </c>
      <c r="AG47" s="545">
        <f t="shared" si="510"/>
        <v>-75.485642396520745</v>
      </c>
      <c r="AH47" s="546">
        <f t="shared" si="511"/>
        <v>97.768253468942021</v>
      </c>
      <c r="AI47" s="528">
        <f t="shared" si="512"/>
        <v>-75.621724958848986</v>
      </c>
      <c r="AJ47" s="529">
        <f t="shared" si="513"/>
        <v>-8.0210708535005946</v>
      </c>
      <c r="AK47" s="578">
        <f t="shared" si="514"/>
        <v>0.88201702727532139</v>
      </c>
      <c r="AL47" s="572">
        <f t="shared" si="515"/>
        <v>-0.40047702199605317</v>
      </c>
      <c r="AM47" s="577">
        <f t="shared" si="516"/>
        <v>-0.24832260962219632</v>
      </c>
      <c r="AN47" s="524">
        <f t="shared" si="517"/>
        <v>-58.198311865864021</v>
      </c>
      <c r="AO47" s="525">
        <f t="shared" si="110"/>
        <v>28.113358310064708</v>
      </c>
      <c r="AP47" s="528">
        <f t="shared" si="518"/>
        <v>-24.420272504251148</v>
      </c>
      <c r="AQ47" s="529">
        <f t="shared" si="332"/>
        <v>0.30346723360679229</v>
      </c>
      <c r="AR47" s="979"/>
      <c r="AS47" s="954">
        <f t="shared" si="524"/>
        <v>286.73344302083785</v>
      </c>
      <c r="AT47" s="950">
        <f t="shared" si="333"/>
        <v>-0.94821924648613054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>Taper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41"/>
        <v>2.2509999999999999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2.1509999999999998</v>
      </c>
      <c r="IK47" s="677" cm="1">
        <f t="array" ref="IK47">IFERROR(ROUND(VALUE(IF($IJ47&lt;1,$IJ47+LARGE((IF($M$9:$M$150="",0,$M$9:$M$150)-MOD(IF($M$9:$M$150="",0,$M$9:$M$150),1)),1),$IJ47)),4),"")</f>
        <v>2.1509999999999998</v>
      </c>
      <c r="IL47" s="482">
        <f t="shared" si="485"/>
        <v>1613</v>
      </c>
      <c r="IM47" s="482">
        <f t="shared" si="242"/>
        <v>1313</v>
      </c>
      <c r="IN47" s="670">
        <f t="shared" si="486"/>
        <v>10.899893044250575</v>
      </c>
      <c r="IO47" s="702">
        <v>1.3640889192773301E-2</v>
      </c>
      <c r="IP47" s="5">
        <f t="shared" si="487"/>
        <v>0.7</v>
      </c>
      <c r="IQ47" s="714">
        <v>350</v>
      </c>
      <c r="IR47" s="9">
        <f t="shared" si="488"/>
        <v>-7.4750429326657031</v>
      </c>
      <c r="IS47" s="5">
        <f t="shared" si="489"/>
        <v>-1.0128432239708502</v>
      </c>
      <c r="IT47" s="5">
        <f t="shared" si="490"/>
        <v>0.3125</v>
      </c>
      <c r="IU47" s="5">
        <f t="shared" si="491"/>
        <v>0.28749284404383774</v>
      </c>
      <c r="IV47" s="670">
        <f t="shared" si="492"/>
        <v>58.121347788884258</v>
      </c>
      <c r="IW47" s="9">
        <f t="shared" si="493"/>
        <v>-7.512195920269356</v>
      </c>
      <c r="IX47" s="5">
        <f t="shared" si="494"/>
        <v>-0.99720120434323278</v>
      </c>
      <c r="IY47" s="5">
        <f t="shared" si="495"/>
        <v>0.26450000000000001</v>
      </c>
      <c r="IZ47" s="5">
        <f t="shared" si="496"/>
        <v>0.23329350371432256</v>
      </c>
      <c r="JA47" s="705">
        <f t="shared" si="497"/>
        <v>58.198311865864021</v>
      </c>
      <c r="JM47" s="489">
        <f t="shared" si="133"/>
        <v>51</v>
      </c>
      <c r="JN47" s="960">
        <f>($JO47-SMALL($JO$9:$JO$88,1))/((Settings!$C$19/2)-((Settings!$C$19/2)-LARGE($JO$9:$JO$88,1))-SMALL($JO$9:$JO$88,1))</f>
        <v>0.87588153140204206</v>
      </c>
      <c r="JO47" s="162">
        <f t="shared" si="134"/>
        <v>7.512195920269356</v>
      </c>
      <c r="JP47" s="961">
        <f t="shared" si="135"/>
        <v>-58.198311865864021</v>
      </c>
      <c r="JQ47" s="961">
        <f t="shared" si="136"/>
        <v>28.113358310064708</v>
      </c>
      <c r="JS47" s="82">
        <v>58</v>
      </c>
      <c r="JT47" s="322">
        <f t="shared" si="137"/>
        <v>8.0161298214753991</v>
      </c>
      <c r="JU47" s="963">
        <f t="shared" si="138"/>
        <v>0.93746901896026558</v>
      </c>
      <c r="JV47" s="961">
        <f t="shared" si="287"/>
        <v>-67.687451163134199</v>
      </c>
      <c r="JW47" s="961">
        <f t="shared" si="92"/>
        <v>27.259960655110493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>
        <f t="shared" si="322"/>
        <v>0.02</v>
      </c>
      <c r="B48" s="578">
        <f t="shared" ref="B48:D48" si="535">IFERROR(O203+($A48*-E48),"")</f>
        <v>7.7029340722166291</v>
      </c>
      <c r="C48" s="572">
        <f t="shared" si="535"/>
        <v>2.1249058323264758</v>
      </c>
      <c r="D48" s="576">
        <f t="shared" si="535"/>
        <v>-1.5943244621198789</v>
      </c>
      <c r="E48" s="580">
        <f t="shared" ref="E48:K48" si="536">R203</f>
        <v>0.23503927312559603</v>
      </c>
      <c r="F48" s="572">
        <f t="shared" si="536"/>
        <v>0.9509306026137081</v>
      </c>
      <c r="G48" s="579">
        <f t="shared" si="536"/>
        <v>0.20121513139255132</v>
      </c>
      <c r="H48" s="580">
        <f t="shared" si="536"/>
        <v>0.26450000000000001</v>
      </c>
      <c r="I48" s="572">
        <f t="shared" si="536"/>
        <v>0.52</v>
      </c>
      <c r="J48" s="483">
        <f t="shared" si="94"/>
        <v>2.2570000000000001</v>
      </c>
      <c r="K48" s="806">
        <f t="shared" si="536"/>
        <v>1313</v>
      </c>
      <c r="L48" s="309"/>
      <c r="M48" s="164">
        <f t="shared" si="325"/>
        <v>2.2570000000000001</v>
      </c>
      <c r="N48" s="575">
        <f t="shared" si="326"/>
        <v>7.7029340722166291</v>
      </c>
      <c r="O48" s="572">
        <f t="shared" si="327"/>
        <v>2.1249058323264758</v>
      </c>
      <c r="P48" s="576">
        <f t="shared" si="328"/>
        <v>-1.5943244621198789</v>
      </c>
      <c r="Q48" s="528">
        <f t="shared" si="144"/>
        <v>15.421874477883735</v>
      </c>
      <c r="R48" s="572">
        <f t="shared" si="95"/>
        <v>7.9906456633472951</v>
      </c>
      <c r="S48" s="577">
        <f t="shared" si="96"/>
        <v>-1.5943244621198789</v>
      </c>
      <c r="T48" s="578">
        <f t="shared" si="97"/>
        <v>2.1698053529430621</v>
      </c>
      <c r="U48" s="572">
        <f t="shared" si="98"/>
        <v>-7.6904071964695451</v>
      </c>
      <c r="V48" s="579">
        <f t="shared" si="145"/>
        <v>-1.5943244621198789</v>
      </c>
      <c r="W48" s="528">
        <f t="shared" si="268"/>
        <v>285.75611584797105</v>
      </c>
      <c r="X48" s="572">
        <f t="shared" si="99"/>
        <v>7.9906456633472951</v>
      </c>
      <c r="Y48" s="573">
        <f t="shared" si="271"/>
        <v>-1.5943244621198789</v>
      </c>
      <c r="Z48" s="575">
        <f t="shared" si="329"/>
        <v>-0.23503927312559603</v>
      </c>
      <c r="AA48" s="572">
        <f t="shared" si="330"/>
        <v>-0.9509306026137081</v>
      </c>
      <c r="AB48" s="572">
        <f t="shared" si="331"/>
        <v>-0.20121513139255132</v>
      </c>
      <c r="AC48" s="579">
        <f t="shared" si="100"/>
        <v>1</v>
      </c>
      <c r="AD48" s="580">
        <f t="shared" si="146"/>
        <v>-0.23503927312559603</v>
      </c>
      <c r="AE48" s="572">
        <f t="shared" si="101"/>
        <v>-0.9509306026137081</v>
      </c>
      <c r="AF48" s="576">
        <f t="shared" si="102"/>
        <v>-0.20121513139255132</v>
      </c>
      <c r="AG48" s="545">
        <f t="shared" si="103"/>
        <v>-78.052550870651814</v>
      </c>
      <c r="AH48" s="546">
        <f t="shared" si="104"/>
        <v>103.59393780075244</v>
      </c>
      <c r="AI48" s="528">
        <f t="shared" si="105"/>
        <v>-78.391974397998183</v>
      </c>
      <c r="AJ48" s="529">
        <f t="shared" si="106"/>
        <v>-13.883405730974475</v>
      </c>
      <c r="AK48" s="578">
        <f t="shared" si="247"/>
        <v>0.85418872322227912</v>
      </c>
      <c r="AL48" s="572">
        <f t="shared" si="107"/>
        <v>-0.47945187038802056</v>
      </c>
      <c r="AM48" s="577">
        <f t="shared" si="108"/>
        <v>-0.20121513139255132</v>
      </c>
      <c r="AN48" s="524">
        <f t="shared" si="109"/>
        <v>-67.233306369770929</v>
      </c>
      <c r="AO48" s="525">
        <f t="shared" si="110"/>
        <v>31.329776335696494</v>
      </c>
      <c r="AP48" s="528">
        <f t="shared" si="111"/>
        <v>-29.305280208858239</v>
      </c>
      <c r="AQ48" s="529">
        <f t="shared" si="332"/>
        <v>0.2852970694318161</v>
      </c>
      <c r="AR48" s="979"/>
      <c r="AS48" s="954">
        <f t="shared" si="524"/>
        <v>285.75611584797105</v>
      </c>
      <c r="AT48" s="950">
        <f t="shared" si="333"/>
        <v>-1.5446638048371748</v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>Taper</v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41"/>
        <v>2.2570000000000001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2.157</v>
      </c>
      <c r="IK48" s="677" cm="1">
        <f t="array" ref="IK48">IFERROR(ROUND(VALUE(IF($IJ48&lt;1,$IJ48+LARGE((IF($M$9:$M$150="",0,$M$9:$M$150)-MOD(IF($M$9:$M$150="",0,$M$9:$M$150),1)),1),$IJ48)),4),"")</f>
        <v>2.157</v>
      </c>
      <c r="IL48" s="482">
        <f t="shared" si="485"/>
        <v>1613</v>
      </c>
      <c r="IM48" s="482">
        <f t="shared" si="242"/>
        <v>1313</v>
      </c>
      <c r="IN48" s="670">
        <f t="shared" si="486"/>
        <v>11.398027465995995</v>
      </c>
      <c r="IO48" s="702">
        <v>1.22690486036335E-2</v>
      </c>
      <c r="IP48" s="5">
        <f t="shared" si="487"/>
        <v>0.74</v>
      </c>
      <c r="IQ48" s="714">
        <v>370</v>
      </c>
      <c r="IR48" s="9">
        <f t="shared" si="488"/>
        <v>-7.9500387269258406</v>
      </c>
      <c r="IS48" s="5">
        <f t="shared" si="489"/>
        <v>-1.6036393933704474</v>
      </c>
      <c r="IT48" s="5">
        <f t="shared" si="490"/>
        <v>0.3125</v>
      </c>
      <c r="IU48" s="5">
        <f t="shared" si="491"/>
        <v>0.28017821892505912</v>
      </c>
      <c r="IV48" s="670">
        <f t="shared" si="492"/>
        <v>67.186367463967372</v>
      </c>
      <c r="IW48" s="9">
        <f t="shared" si="493"/>
        <v>-7.9906456633472951</v>
      </c>
      <c r="IX48" s="5">
        <f t="shared" si="494"/>
        <v>-1.5943244621198789</v>
      </c>
      <c r="IY48" s="5">
        <f t="shared" si="495"/>
        <v>0.26450000000000001</v>
      </c>
      <c r="IZ48" s="5">
        <f t="shared" si="496"/>
        <v>0.22593291729229287</v>
      </c>
      <c r="JA48" s="705">
        <f t="shared" si="497"/>
        <v>67.233306369770929</v>
      </c>
      <c r="JM48" s="489">
        <f t="shared" si="133"/>
        <v>57</v>
      </c>
      <c r="JN48" s="960">
        <f>($JO48-SMALL($JO$9:$JO$88,1))/((Settings!$C$19/2)-((Settings!$C$19/2)-LARGE($JO$9:$JO$88,1))-SMALL($JO$9:$JO$88,1))</f>
        <v>0.93435451273655212</v>
      </c>
      <c r="JO48" s="162">
        <f t="shared" si="134"/>
        <v>7.9906456633472951</v>
      </c>
      <c r="JP48" s="961">
        <f t="shared" si="135"/>
        <v>-67.233306369770929</v>
      </c>
      <c r="JQ48" s="961">
        <f t="shared" si="136"/>
        <v>31.329776335696494</v>
      </c>
      <c r="JS48" s="82">
        <v>61</v>
      </c>
      <c r="JT48" s="322">
        <f t="shared" si="137"/>
        <v>8.1888115115991003</v>
      </c>
      <c r="JU48" s="963">
        <f t="shared" si="138"/>
        <v>0.95857303957998197</v>
      </c>
      <c r="JV48" s="961">
        <f t="shared" si="287"/>
        <v>-72.025646670065584</v>
      </c>
      <c r="JW48" s="961">
        <f t="shared" si="92"/>
        <v>29.247108887124753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>
        <f t="shared" si="322"/>
        <v>0</v>
      </c>
      <c r="B49" s="578">
        <f t="shared" ref="B49:D49" si="537">IFERROR(O204+($A49*-E49),"")</f>
        <v>8.0588875173557213</v>
      </c>
      <c r="C49" s="572">
        <f t="shared" si="537"/>
        <v>1.9682114547178802</v>
      </c>
      <c r="D49" s="576">
        <f t="shared" si="537"/>
        <v>-2.2950213997226485</v>
      </c>
      <c r="E49" s="580">
        <f t="shared" ref="E49:K49" si="538">R204</f>
        <v>0.74526040901125523</v>
      </c>
      <c r="F49" s="572">
        <f t="shared" si="538"/>
        <v>0.18201419907885832</v>
      </c>
      <c r="G49" s="579">
        <f t="shared" si="538"/>
        <v>0.64144972842309178</v>
      </c>
      <c r="H49" s="580">
        <f t="shared" si="538"/>
        <v>0.255</v>
      </c>
      <c r="I49" s="572">
        <f t="shared" si="538"/>
        <v>0.41499999999999992</v>
      </c>
      <c r="J49" s="483">
        <f t="shared" si="94"/>
        <v>2.2629999999999999</v>
      </c>
      <c r="K49" s="806" t="str">
        <f t="shared" si="538"/>
        <v>CPS-32193r1</v>
      </c>
      <c r="L49" s="309"/>
      <c r="M49" s="164">
        <f t="shared" si="325"/>
        <v>2.2629999999999999</v>
      </c>
      <c r="N49" s="575">
        <f t="shared" si="326"/>
        <v>8.0588875173557213</v>
      </c>
      <c r="O49" s="572">
        <f t="shared" si="327"/>
        <v>1.9682114547178802</v>
      </c>
      <c r="P49" s="576">
        <f t="shared" si="328"/>
        <v>-2.2950213997226485</v>
      </c>
      <c r="Q49" s="528">
        <f t="shared" si="144"/>
        <v>13.724602334212781</v>
      </c>
      <c r="R49" s="572">
        <f t="shared" si="95"/>
        <v>8.2957533924216023</v>
      </c>
      <c r="S49" s="577">
        <f t="shared" si="96"/>
        <v>-2.2950213997226485</v>
      </c>
      <c r="T49" s="578">
        <f t="shared" si="97"/>
        <v>2.0151901242181509</v>
      </c>
      <c r="U49" s="572">
        <f t="shared" si="98"/>
        <v>-8.0472686739743047</v>
      </c>
      <c r="V49" s="579">
        <f t="shared" si="145"/>
        <v>-2.2950213997226485</v>
      </c>
      <c r="W49" s="528">
        <f t="shared" si="268"/>
        <v>284.05884370430005</v>
      </c>
      <c r="X49" s="572">
        <f t="shared" si="99"/>
        <v>8.2957533924216023</v>
      </c>
      <c r="Y49" s="573">
        <f t="shared" si="271"/>
        <v>-2.2950213997226485</v>
      </c>
      <c r="Z49" s="575">
        <f t="shared" si="329"/>
        <v>-0.74526040901125523</v>
      </c>
      <c r="AA49" s="572">
        <f t="shared" si="330"/>
        <v>-0.18201419907885832</v>
      </c>
      <c r="AB49" s="572">
        <f t="shared" si="331"/>
        <v>-0.64144972842309178</v>
      </c>
      <c r="AC49" s="579">
        <f t="shared" si="100"/>
        <v>1</v>
      </c>
      <c r="AD49" s="580">
        <f t="shared" si="146"/>
        <v>-0.74526040901125523</v>
      </c>
      <c r="AE49" s="572">
        <f t="shared" si="101"/>
        <v>-0.18201419907885832</v>
      </c>
      <c r="AF49" s="576">
        <f t="shared" si="102"/>
        <v>-0.64144972842309178</v>
      </c>
      <c r="AG49" s="545">
        <f t="shared" si="103"/>
        <v>-15.841525360958425</v>
      </c>
      <c r="AH49" s="546">
        <f t="shared" si="104"/>
        <v>138.1814709667587</v>
      </c>
      <c r="AI49" s="528">
        <f t="shared" si="105"/>
        <v>-50.099992766457234</v>
      </c>
      <c r="AJ49" s="529">
        <f t="shared" si="106"/>
        <v>-76.275380711929827</v>
      </c>
      <c r="AK49" s="578">
        <f t="shared" si="247"/>
        <v>2.2700462973257451E-7</v>
      </c>
      <c r="AL49" s="572">
        <f t="shared" si="107"/>
        <v>-0.76716507083279684</v>
      </c>
      <c r="AM49" s="577">
        <f t="shared" si="108"/>
        <v>-0.64144972842309178</v>
      </c>
      <c r="AN49" s="524">
        <f t="shared" si="109"/>
        <v>-50.099992766455998</v>
      </c>
      <c r="AO49" s="525">
        <f t="shared" si="110"/>
        <v>0</v>
      </c>
      <c r="AP49" s="528">
        <f t="shared" si="111"/>
        <v>-89.999983046142603</v>
      </c>
      <c r="AQ49" s="529">
        <f t="shared" si="332"/>
        <v>0.27480435389040359</v>
      </c>
      <c r="AR49" s="979"/>
      <c r="AS49" s="954">
        <f t="shared" si="524"/>
        <v>284.05884370430005</v>
      </c>
      <c r="AT49" s="950">
        <f t="shared" si="333"/>
        <v>-2.2441820812290616</v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>Taper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41"/>
        <v>2.2629999999999999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2.1629999999999998</v>
      </c>
      <c r="IK49" s="677" cm="1">
        <f t="array" ref="IK49">IFERROR(ROUND(VALUE(IF($IJ49&lt;1,$IJ49+LARGE((IF($M$9:$M$150="",0,$M$9:$M$150)-MOD(IF($M$9:$M$150="",0,$M$9:$M$150),1)),1),$IJ49)),4),"")</f>
        <v>2.1629999999999998</v>
      </c>
      <c r="IL49" s="482">
        <f t="shared" si="485"/>
        <v>1613</v>
      </c>
      <c r="IM49" s="482" t="str">
        <f t="shared" si="242"/>
        <v>CPS-32193r1</v>
      </c>
      <c r="IN49" s="670">
        <f t="shared" si="486"/>
        <v>12.751976888668935</v>
      </c>
      <c r="IO49" s="702">
        <v>8.8325525959135904E-4</v>
      </c>
      <c r="IP49" s="5">
        <f t="shared" si="487"/>
        <v>0</v>
      </c>
      <c r="IQ49" s="714">
        <v>0</v>
      </c>
      <c r="IR49" s="9">
        <f t="shared" si="488"/>
        <v>-8.2795823027045472</v>
      </c>
      <c r="IS49" s="5">
        <f t="shared" si="489"/>
        <v>-2.2863379479337733</v>
      </c>
      <c r="IT49" s="5">
        <f t="shared" si="490"/>
        <v>0.3125</v>
      </c>
      <c r="IU49" s="5">
        <f t="shared" si="491"/>
        <v>0.26995907220159449</v>
      </c>
      <c r="IV49" s="670">
        <f t="shared" si="492"/>
        <v>74.860811682589812</v>
      </c>
      <c r="IW49" s="9">
        <f t="shared" si="493"/>
        <v>-8.2957533924216023</v>
      </c>
      <c r="IX49" s="5">
        <f t="shared" si="494"/>
        <v>-2.2950213997226485</v>
      </c>
      <c r="IY49" s="5">
        <f t="shared" si="495"/>
        <v>0.255</v>
      </c>
      <c r="IZ49" s="5">
        <f t="shared" si="496"/>
        <v>0.255</v>
      </c>
      <c r="JA49" s="705">
        <f t="shared" si="497"/>
        <v>50.099992766455998</v>
      </c>
      <c r="JM49" s="489">
        <f t="shared" si="133"/>
        <v>63</v>
      </c>
      <c r="JN49" s="960">
        <f>($JO49-SMALL($JO$9:$JO$88,1))/((Settings!$C$19/2)-((Settings!$C$19/2)-LARGE($JO$9:$JO$88,1))-SMALL($JO$9:$JO$88,1))</f>
        <v>0.97164277300900148</v>
      </c>
      <c r="JO49" s="162">
        <f t="shared" si="134"/>
        <v>8.2957533924216023</v>
      </c>
      <c r="JP49" s="961">
        <f t="shared" si="135"/>
        <v>-50.099992766455998</v>
      </c>
      <c r="JQ49" s="961">
        <f t="shared" si="136"/>
        <v>0</v>
      </c>
      <c r="JS49" s="82">
        <v>62</v>
      </c>
      <c r="JT49" s="322">
        <f t="shared" si="137"/>
        <v>8.2362052592896013</v>
      </c>
      <c r="JU49" s="963">
        <f t="shared" si="138"/>
        <v>0.96436519176351376</v>
      </c>
      <c r="JV49" s="961">
        <f t="shared" si="287"/>
        <v>-73.874155377933164</v>
      </c>
      <c r="JW49" s="961">
        <f t="shared" si="92"/>
        <v>29.29527303231578</v>
      </c>
      <c r="JX49" s="1"/>
    </row>
    <row r="50" spans="1:284" ht="15" customHeight="1" x14ac:dyDescent="0.25">
      <c r="A50" s="75">
        <f t="shared" si="322"/>
        <v>0</v>
      </c>
      <c r="B50" s="578">
        <f t="shared" ref="B50:D50" si="539">IFERROR(O205+($A50*-E50),"")</f>
        <v>8.2424582352816671</v>
      </c>
      <c r="C50" s="572">
        <f t="shared" si="539"/>
        <v>1.8871545673099306</v>
      </c>
      <c r="D50" s="576">
        <f t="shared" si="539"/>
        <v>-3.0373295750728886</v>
      </c>
      <c r="E50" s="580">
        <f t="shared" ref="E50:K50" si="540">R205</f>
        <v>0.83729436167684734</v>
      </c>
      <c r="F50" s="572">
        <f t="shared" si="540"/>
        <v>0.19170322170678888</v>
      </c>
      <c r="G50" s="579">
        <f t="shared" si="540"/>
        <v>0.51204299301074174</v>
      </c>
      <c r="H50" s="580">
        <f t="shared" si="540"/>
        <v>0.255</v>
      </c>
      <c r="I50" s="572">
        <f t="shared" si="540"/>
        <v>0.41499999999999992</v>
      </c>
      <c r="J50" s="483">
        <f t="shared" si="94"/>
        <v>2.2690000000000001</v>
      </c>
      <c r="K50" s="806" t="str">
        <f t="shared" si="540"/>
        <v>CPS-32193r1</v>
      </c>
      <c r="L50" s="309"/>
      <c r="M50" s="164">
        <f t="shared" si="325"/>
        <v>2.2690000000000001</v>
      </c>
      <c r="N50" s="575">
        <f t="shared" si="326"/>
        <v>8.2424582352816671</v>
      </c>
      <c r="O50" s="572">
        <f t="shared" si="327"/>
        <v>1.8871545673099306</v>
      </c>
      <c r="P50" s="576">
        <f t="shared" si="328"/>
        <v>-3.0373295750728886</v>
      </c>
      <c r="Q50" s="528">
        <f t="shared" si="144"/>
        <v>12.895902454158602</v>
      </c>
      <c r="R50" s="572">
        <f t="shared" si="95"/>
        <v>8.4557359302003583</v>
      </c>
      <c r="S50" s="577">
        <f t="shared" si="96"/>
        <v>-3.0373295750728886</v>
      </c>
      <c r="T50" s="578">
        <f t="shared" si="97"/>
        <v>1.9352054903744531</v>
      </c>
      <c r="U50" s="572">
        <f t="shared" si="98"/>
        <v>-8.2313091201403612</v>
      </c>
      <c r="V50" s="579">
        <f t="shared" si="145"/>
        <v>-3.0373295750728886</v>
      </c>
      <c r="W50" s="528">
        <f t="shared" si="268"/>
        <v>283.23014382424589</v>
      </c>
      <c r="X50" s="572">
        <f t="shared" si="99"/>
        <v>8.4557359302003583</v>
      </c>
      <c r="Y50" s="573">
        <f t="shared" si="271"/>
        <v>-3.0373295750728886</v>
      </c>
      <c r="Z50" s="575">
        <f t="shared" si="329"/>
        <v>-0.83729436167684734</v>
      </c>
      <c r="AA50" s="572">
        <f t="shared" si="330"/>
        <v>-0.19170322170678888</v>
      </c>
      <c r="AB50" s="572">
        <f t="shared" si="331"/>
        <v>-0.51204299301074174</v>
      </c>
      <c r="AC50" s="579">
        <f t="shared" si="100"/>
        <v>1</v>
      </c>
      <c r="AD50" s="580">
        <f t="shared" si="146"/>
        <v>-0.83729436167684734</v>
      </c>
      <c r="AE50" s="572">
        <f t="shared" si="101"/>
        <v>-0.19170322170678888</v>
      </c>
      <c r="AF50" s="576">
        <f t="shared" si="102"/>
        <v>-0.51204299301074174</v>
      </c>
      <c r="AG50" s="545">
        <f t="shared" si="103"/>
        <v>-20.525343193687515</v>
      </c>
      <c r="AH50" s="546">
        <f t="shared" si="104"/>
        <v>146.85550414100763</v>
      </c>
      <c r="AI50" s="528">
        <f t="shared" si="105"/>
        <v>-59.199991452579695</v>
      </c>
      <c r="AJ50" s="529">
        <f t="shared" si="106"/>
        <v>-77.104082402420033</v>
      </c>
      <c r="AK50" s="578">
        <f t="shared" si="247"/>
        <v>2.2702528185147841E-7</v>
      </c>
      <c r="AL50" s="572">
        <f t="shared" si="107"/>
        <v>-0.85895982054374931</v>
      </c>
      <c r="AM50" s="577">
        <f t="shared" si="108"/>
        <v>-0.51204299301074174</v>
      </c>
      <c r="AN50" s="524">
        <f t="shared" si="109"/>
        <v>-59.199991452578821</v>
      </c>
      <c r="AO50" s="525">
        <f t="shared" si="110"/>
        <v>0</v>
      </c>
      <c r="AP50" s="528">
        <f t="shared" si="111"/>
        <v>-89.999984856578635</v>
      </c>
      <c r="AQ50" s="529">
        <f t="shared" si="332"/>
        <v>0.26960513254771007</v>
      </c>
      <c r="AR50" s="979"/>
      <c r="AS50" s="954">
        <f t="shared" si="524"/>
        <v>283.23014382424589</v>
      </c>
      <c r="AT50" s="950">
        <f t="shared" si="333"/>
        <v>-2.9859147705514864</v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>Taper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41"/>
        <v>2.2690000000000001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2.169</v>
      </c>
      <c r="IK50" s="677" cm="1">
        <f t="array" ref="IK50">IFERROR(ROUND(VALUE(IF($IJ50&lt;1,$IJ50+LARGE((IF($M$9:$M$150="",0,$M$9:$M$150)-MOD(IF($M$9:$M$150="",0,$M$9:$M$150),1)),1),$IJ50)),4),"")</f>
        <v>2.169</v>
      </c>
      <c r="IL50" s="482">
        <f t="shared" si="485"/>
        <v>1613</v>
      </c>
      <c r="IM50" s="482" t="str">
        <f t="shared" si="242"/>
        <v>CPS-32193r1</v>
      </c>
      <c r="IN50" s="670">
        <f t="shared" si="486"/>
        <v>13.404661723591119</v>
      </c>
      <c r="IO50" s="702">
        <v>2.10839407966711E-4</v>
      </c>
      <c r="IP50" s="5">
        <f t="shared" si="487"/>
        <v>0</v>
      </c>
      <c r="IQ50" s="714">
        <v>0</v>
      </c>
      <c r="IR50" s="9">
        <f t="shared" si="488"/>
        <v>-8.4471593210765672</v>
      </c>
      <c r="IS50" s="5">
        <f t="shared" si="489"/>
        <v>-3.0252780429707928</v>
      </c>
      <c r="IT50" s="5">
        <f t="shared" si="490"/>
        <v>0.3125</v>
      </c>
      <c r="IU50" s="5">
        <f t="shared" si="491"/>
        <v>0.26164853426091605</v>
      </c>
      <c r="IV50" s="670">
        <f t="shared" si="492"/>
        <v>82.808846216999001</v>
      </c>
      <c r="IW50" s="9">
        <f t="shared" si="493"/>
        <v>-8.4557359302003583</v>
      </c>
      <c r="IX50" s="5">
        <f t="shared" si="494"/>
        <v>-3.0373295750728886</v>
      </c>
      <c r="IY50" s="5">
        <f t="shared" si="495"/>
        <v>0.255</v>
      </c>
      <c r="IZ50" s="5">
        <f t="shared" si="496"/>
        <v>0.255</v>
      </c>
      <c r="JA50" s="705">
        <f t="shared" si="497"/>
        <v>59.199991452578821</v>
      </c>
      <c r="JM50" s="489">
        <f t="shared" si="133"/>
        <v>69</v>
      </c>
      <c r="JN50" s="960">
        <f>($JO50-SMALL($JO$9:$JO$88,1))/((Settings!$C$19/2)-((Settings!$C$19/2)-LARGE($JO$9:$JO$88,1))-SMALL($JO$9:$JO$88,1))</f>
        <v>0.99119478673818617</v>
      </c>
      <c r="JO50" s="162">
        <f t="shared" si="134"/>
        <v>8.4557359302003583</v>
      </c>
      <c r="JP50" s="961">
        <f t="shared" si="135"/>
        <v>-59.199991452578821</v>
      </c>
      <c r="JQ50" s="961">
        <f t="shared" si="136"/>
        <v>0</v>
      </c>
      <c r="JS50" s="82">
        <v>63</v>
      </c>
      <c r="JT50" s="322">
        <f t="shared" si="137"/>
        <v>8.2795823027045472</v>
      </c>
      <c r="JU50" s="963">
        <f t="shared" si="138"/>
        <v>0.96966644876415808</v>
      </c>
      <c r="JV50" s="961">
        <f t="shared" si="287"/>
        <v>-74.860811682589812</v>
      </c>
      <c r="JW50" s="961">
        <f t="shared" si="92"/>
        <v>30.246186784393721</v>
      </c>
      <c r="JX50" s="1"/>
    </row>
    <row r="51" spans="1:284" ht="15" customHeight="1" x14ac:dyDescent="0.25">
      <c r="A51" s="75">
        <f t="shared" si="322"/>
        <v>0.02</v>
      </c>
      <c r="B51" s="578">
        <f t="shared" ref="B51:D51" si="541">IFERROR(O206+($A51*-E51),"")</f>
        <v>0.75238462617541613</v>
      </c>
      <c r="C51" s="572">
        <f t="shared" si="541"/>
        <v>-0.37188891755159875</v>
      </c>
      <c r="D51" s="576">
        <f t="shared" si="541"/>
        <v>-1.0791124270985213</v>
      </c>
      <c r="E51" s="580">
        <f t="shared" ref="E51:K51" si="542">R206</f>
        <v>0.33252173587610084</v>
      </c>
      <c r="F51" s="572">
        <f t="shared" si="542"/>
        <v>0.89725279245381229</v>
      </c>
      <c r="G51" s="579">
        <f t="shared" si="542"/>
        <v>0.29045950079792671</v>
      </c>
      <c r="H51" s="580">
        <f t="shared" si="542"/>
        <v>0.3125</v>
      </c>
      <c r="I51" s="572">
        <f t="shared" si="542"/>
        <v>0.52</v>
      </c>
      <c r="J51" s="483">
        <f t="shared" si="94"/>
        <v>3.1030000000000002</v>
      </c>
      <c r="K51" s="806">
        <f t="shared" si="542"/>
        <v>1613</v>
      </c>
      <c r="L51" s="309"/>
      <c r="M51" s="164">
        <f t="shared" si="325"/>
        <v>3.1030000000000002</v>
      </c>
      <c r="N51" s="575">
        <f t="shared" si="326"/>
        <v>0.75238462617541613</v>
      </c>
      <c r="O51" s="572">
        <f t="shared" si="327"/>
        <v>-0.37188891755159875</v>
      </c>
      <c r="P51" s="576">
        <f t="shared" si="328"/>
        <v>-1.0791124270985213</v>
      </c>
      <c r="Q51" s="528">
        <f t="shared" si="144"/>
        <v>333.69771875838501</v>
      </c>
      <c r="R51" s="572">
        <f t="shared" si="95"/>
        <v>0.83927587401451054</v>
      </c>
      <c r="S51" s="577">
        <f t="shared" si="96"/>
        <v>-1.0791124270985213</v>
      </c>
      <c r="T51" s="578">
        <f t="shared" si="97"/>
        <v>-0.36749349429360861</v>
      </c>
      <c r="U51" s="572">
        <f t="shared" si="98"/>
        <v>-0.75454126749614825</v>
      </c>
      <c r="V51" s="579">
        <f t="shared" si="145"/>
        <v>-1.0791124270985213</v>
      </c>
      <c r="W51" s="528">
        <f t="shared" si="268"/>
        <v>244.03196012847229</v>
      </c>
      <c r="X51" s="572">
        <f t="shared" si="99"/>
        <v>0.83927587401451054</v>
      </c>
      <c r="Y51" s="573">
        <f t="shared" si="271"/>
        <v>-1.0791124270985213</v>
      </c>
      <c r="Z51" s="575">
        <f t="shared" si="329"/>
        <v>-0.33252173587610084</v>
      </c>
      <c r="AA51" s="572">
        <f t="shared" si="330"/>
        <v>-0.89725279245381229</v>
      </c>
      <c r="AB51" s="572">
        <f t="shared" si="331"/>
        <v>-0.29045950079792671</v>
      </c>
      <c r="AC51" s="579">
        <f t="shared" si="100"/>
        <v>1</v>
      </c>
      <c r="AD51" s="580">
        <f t="shared" si="146"/>
        <v>-0.33252173587610084</v>
      </c>
      <c r="AE51" s="572">
        <f t="shared" si="101"/>
        <v>-0.89725279245381229</v>
      </c>
      <c r="AF51" s="576">
        <f t="shared" si="102"/>
        <v>-0.29045950079792671</v>
      </c>
      <c r="AG51" s="545">
        <f t="shared" si="103"/>
        <v>-72.062147795053704</v>
      </c>
      <c r="AH51" s="546">
        <f t="shared" si="104"/>
        <v>109.42190625743203</v>
      </c>
      <c r="AI51" s="528">
        <f t="shared" si="105"/>
        <v>-73.114532337126249</v>
      </c>
      <c r="AJ51" s="529">
        <f t="shared" si="106"/>
        <v>-20.334697337007082</v>
      </c>
      <c r="AK51" s="578">
        <f t="shared" si="247"/>
        <v>0.95170179434794755</v>
      </c>
      <c r="AL51" s="572">
        <f t="shared" si="107"/>
        <v>9.9483531456800889E-2</v>
      </c>
      <c r="AM51" s="577">
        <f t="shared" si="108"/>
        <v>-0.29045950079792671</v>
      </c>
      <c r="AN51" s="524">
        <f t="shared" si="109"/>
        <v>18.906535495614914</v>
      </c>
      <c r="AO51" s="525">
        <f t="shared" si="110"/>
        <v>17.879970002149676</v>
      </c>
      <c r="AP51" s="528">
        <f t="shared" si="111"/>
        <v>5.9675839046078893</v>
      </c>
      <c r="AQ51" s="529">
        <f t="shared" si="332"/>
        <v>2.7142696020995425</v>
      </c>
      <c r="AR51" s="979"/>
      <c r="AS51" s="954">
        <f t="shared" si="524"/>
        <v>244.03196012847229</v>
      </c>
      <c r="AT51" s="950">
        <f t="shared" si="333"/>
        <v>-1.0004766616772762</v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41"/>
        <v>3.1030000000000002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85"/>
        <v>1613</v>
      </c>
      <c r="IM51" s="482" t="str">
        <f t="shared" si="242"/>
        <v/>
      </c>
      <c r="IN51" s="670" t="str">
        <f t="shared" si="486"/>
        <v/>
      </c>
      <c r="IO51" s="702"/>
      <c r="IP51" s="5" t="str">
        <f t="shared" si="487"/>
        <v/>
      </c>
      <c r="IQ51" s="714"/>
      <c r="IR51" s="9" t="str">
        <f t="shared" si="488"/>
        <v/>
      </c>
      <c r="IS51" s="5" t="str">
        <f t="shared" si="489"/>
        <v/>
      </c>
      <c r="IT51" s="5" t="str">
        <f t="shared" si="490"/>
        <v/>
      </c>
      <c r="IU51" s="5" t="str">
        <f t="shared" si="491"/>
        <v/>
      </c>
      <c r="IV51" s="670" t="str">
        <f t="shared" si="492"/>
        <v/>
      </c>
      <c r="IW51" s="9" t="str">
        <f t="shared" si="493"/>
        <v/>
      </c>
      <c r="IX51" s="5" t="str">
        <f t="shared" si="494"/>
        <v/>
      </c>
      <c r="IY51" s="5" t="str">
        <f t="shared" si="495"/>
        <v/>
      </c>
      <c r="IZ51" s="5" t="str">
        <f t="shared" si="496"/>
        <v/>
      </c>
      <c r="JA51" s="705" t="str">
        <f t="shared" si="497"/>
        <v/>
      </c>
      <c r="JM51" s="489">
        <f t="shared" si="133"/>
        <v>3</v>
      </c>
      <c r="JN51" s="960">
        <f>($JO51-SMALL($JO$9:$JO$88,1))/((Settings!$C$19/2)-((Settings!$C$19/2)-LARGE($JO$9:$JO$88,1))-SMALL($JO$9:$JO$88,1))</f>
        <v>6.03611241776267E-2</v>
      </c>
      <c r="JO51" s="162">
        <f t="shared" si="134"/>
        <v>0.83927587401451054</v>
      </c>
      <c r="JP51" s="961">
        <f t="shared" si="135"/>
        <v>18.906535495614914</v>
      </c>
      <c r="JQ51" s="961">
        <f t="shared" si="136"/>
        <v>17.879970002149676</v>
      </c>
      <c r="JS51" s="82">
        <v>64</v>
      </c>
      <c r="JT51" s="322">
        <f t="shared" si="137"/>
        <v>8.3174979749609204</v>
      </c>
      <c r="JU51" s="963">
        <f t="shared" si="138"/>
        <v>0.97430025289553812</v>
      </c>
      <c r="JV51" s="961">
        <f t="shared" si="287"/>
        <v>-76.554181205740818</v>
      </c>
      <c r="JW51" s="961">
        <f t="shared" si="92"/>
        <v>30.283822722373685</v>
      </c>
      <c r="JX51" s="1"/>
    </row>
    <row r="52" spans="1:284" ht="15" customHeight="1" x14ac:dyDescent="0.25">
      <c r="A52" s="75">
        <f t="shared" si="322"/>
        <v>0.02</v>
      </c>
      <c r="B52" s="578">
        <f t="shared" ref="B52:D52" si="543">IFERROR(O207+($A52*-E52),"")</f>
        <v>1.4243860688763259</v>
      </c>
      <c r="C52" s="572">
        <f t="shared" si="543"/>
        <v>-0.68551775686387284</v>
      </c>
      <c r="D52" s="576">
        <f t="shared" si="543"/>
        <v>-0.87960263714685505</v>
      </c>
      <c r="E52" s="580">
        <f t="shared" ref="E52:K52" si="544">R207</f>
        <v>0.34750680503247128</v>
      </c>
      <c r="F52" s="572">
        <f t="shared" si="544"/>
        <v>0.90373615442983979</v>
      </c>
      <c r="G52" s="579">
        <f t="shared" si="544"/>
        <v>0.2499999672649757</v>
      </c>
      <c r="H52" s="580">
        <f t="shared" si="544"/>
        <v>0.3125</v>
      </c>
      <c r="I52" s="572">
        <f t="shared" si="544"/>
        <v>0.52</v>
      </c>
      <c r="J52" s="483">
        <f t="shared" si="94"/>
        <v>3.1059999999999999</v>
      </c>
      <c r="K52" s="806">
        <f t="shared" si="544"/>
        <v>1613</v>
      </c>
      <c r="L52" s="309"/>
      <c r="M52" s="164">
        <f t="shared" si="325"/>
        <v>3.1059999999999999</v>
      </c>
      <c r="N52" s="575">
        <f t="shared" si="326"/>
        <v>1.4243860688763259</v>
      </c>
      <c r="O52" s="572">
        <f t="shared" si="327"/>
        <v>-0.68551775686387284</v>
      </c>
      <c r="P52" s="576">
        <f t="shared" si="328"/>
        <v>-0.87960263714685505</v>
      </c>
      <c r="Q52" s="528">
        <f t="shared" si="144"/>
        <v>334.2997702137576</v>
      </c>
      <c r="R52" s="572">
        <f t="shared" si="95"/>
        <v>1.5807625590785699</v>
      </c>
      <c r="S52" s="577">
        <f t="shared" si="96"/>
        <v>-0.87960263714685505</v>
      </c>
      <c r="T52" s="578">
        <f t="shared" si="97"/>
        <v>-0.67719682334698728</v>
      </c>
      <c r="U52" s="572">
        <f t="shared" si="98"/>
        <v>-1.428360854487891</v>
      </c>
      <c r="V52" s="579">
        <f t="shared" si="145"/>
        <v>-0.87960263714685505</v>
      </c>
      <c r="W52" s="528">
        <f t="shared" si="268"/>
        <v>244.63401158384488</v>
      </c>
      <c r="X52" s="572">
        <f t="shared" si="99"/>
        <v>1.5807625590785699</v>
      </c>
      <c r="Y52" s="573">
        <f t="shared" si="271"/>
        <v>-0.87960263714685505</v>
      </c>
      <c r="Z52" s="575">
        <f t="shared" si="329"/>
        <v>-0.34750680503247128</v>
      </c>
      <c r="AA52" s="572">
        <f t="shared" si="330"/>
        <v>-0.90373615442983979</v>
      </c>
      <c r="AB52" s="572">
        <f t="shared" si="331"/>
        <v>-0.2499999672649757</v>
      </c>
      <c r="AC52" s="579">
        <f t="shared" si="100"/>
        <v>1</v>
      </c>
      <c r="AD52" s="580">
        <f t="shared" si="146"/>
        <v>-0.34750680503247128</v>
      </c>
      <c r="AE52" s="572">
        <f t="shared" si="101"/>
        <v>-0.90373615442983979</v>
      </c>
      <c r="AF52" s="576">
        <f t="shared" si="102"/>
        <v>-0.2499999672649757</v>
      </c>
      <c r="AG52" s="545">
        <f t="shared" si="103"/>
        <v>-74.536992356750687</v>
      </c>
      <c r="AH52" s="546">
        <f t="shared" si="104"/>
        <v>110.33489578586625</v>
      </c>
      <c r="AI52" s="528">
        <f t="shared" si="105"/>
        <v>-75.522489751159455</v>
      </c>
      <c r="AJ52" s="529">
        <f t="shared" si="106"/>
        <v>-21.032870354913406</v>
      </c>
      <c r="AK52" s="578">
        <f t="shared" si="247"/>
        <v>0.96503504908398829</v>
      </c>
      <c r="AL52" s="572">
        <f t="shared" si="107"/>
        <v>7.8786866970172398E-2</v>
      </c>
      <c r="AM52" s="577">
        <f t="shared" si="108"/>
        <v>-0.2499999672649757</v>
      </c>
      <c r="AN52" s="524">
        <f t="shared" si="109"/>
        <v>17.492115734799242</v>
      </c>
      <c r="AO52" s="525">
        <f t="shared" si="110"/>
        <v>15.195944762347509</v>
      </c>
      <c r="AP52" s="528">
        <f t="shared" si="111"/>
        <v>4.6673594313289746</v>
      </c>
      <c r="AQ52" s="529">
        <f t="shared" si="332"/>
        <v>1.4418644689928</v>
      </c>
      <c r="AR52" s="979"/>
      <c r="AS52" s="954">
        <f t="shared" si="524"/>
        <v>244.63401158384488</v>
      </c>
      <c r="AT52" s="950">
        <f t="shared" si="333"/>
        <v>-0.80138496301406326</v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41"/>
        <v>3.1059999999999999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85"/>
        <v>1613</v>
      </c>
      <c r="IM52" s="482" t="str">
        <f t="shared" si="242"/>
        <v/>
      </c>
      <c r="IN52" s="670" t="str">
        <f t="shared" si="486"/>
        <v/>
      </c>
      <c r="IO52" s="702"/>
      <c r="IP52" s="5" t="str">
        <f t="shared" si="487"/>
        <v/>
      </c>
      <c r="IQ52" s="714"/>
      <c r="IR52" s="9" t="str">
        <f t="shared" si="488"/>
        <v/>
      </c>
      <c r="IS52" s="5" t="str">
        <f t="shared" si="489"/>
        <v/>
      </c>
      <c r="IT52" s="5" t="str">
        <f t="shared" si="490"/>
        <v/>
      </c>
      <c r="IU52" s="5" t="str">
        <f t="shared" si="491"/>
        <v/>
      </c>
      <c r="IV52" s="670" t="str">
        <f t="shared" si="492"/>
        <v/>
      </c>
      <c r="IW52" s="9" t="str">
        <f t="shared" si="493"/>
        <v/>
      </c>
      <c r="IX52" s="5" t="str">
        <f t="shared" si="494"/>
        <v/>
      </c>
      <c r="IY52" s="5" t="str">
        <f t="shared" si="495"/>
        <v/>
      </c>
      <c r="IZ52" s="5" t="str">
        <f t="shared" si="496"/>
        <v/>
      </c>
      <c r="JA52" s="705" t="str">
        <f t="shared" si="497"/>
        <v/>
      </c>
      <c r="JM52" s="489">
        <f t="shared" si="133"/>
        <v>6</v>
      </c>
      <c r="JN52" s="960">
        <f>($JO52-SMALL($JO$9:$JO$88,1))/((Settings!$C$19/2)-((Settings!$C$19/2)-LARGE($JO$9:$JO$88,1))-SMALL($JO$9:$JO$88,1))</f>
        <v>0.15098075084231422</v>
      </c>
      <c r="JO52" s="162">
        <f t="shared" si="134"/>
        <v>1.5807625590785699</v>
      </c>
      <c r="JP52" s="961">
        <f t="shared" si="135"/>
        <v>17.492115734799242</v>
      </c>
      <c r="JQ52" s="961">
        <f t="shared" si="136"/>
        <v>15.195944762347509</v>
      </c>
      <c r="JS52" s="82">
        <v>67</v>
      </c>
      <c r="JT52" s="322">
        <f t="shared" si="137"/>
        <v>8.4087064145304939</v>
      </c>
      <c r="JU52" s="963">
        <f t="shared" si="138"/>
        <v>0.98544714859704274</v>
      </c>
      <c r="JV52" s="961">
        <f t="shared" si="287"/>
        <v>-80.247540861376947</v>
      </c>
      <c r="JW52" s="961">
        <f t="shared" si="92"/>
        <v>32.194692046160981</v>
      </c>
      <c r="JX52" s="1"/>
    </row>
    <row r="53" spans="1:284" ht="15" customHeight="1" x14ac:dyDescent="0.25">
      <c r="A53" s="75">
        <f t="shared" si="322"/>
        <v>0.02</v>
      </c>
      <c r="B53" s="578">
        <f t="shared" ref="B53:D53" si="545">IFERROR(O208+($A53*-E53),"")</f>
        <v>2.0966872129603638</v>
      </c>
      <c r="C53" s="572">
        <f t="shared" si="545"/>
        <v>-0.99901692893662641</v>
      </c>
      <c r="D53" s="576">
        <f t="shared" si="545"/>
        <v>-0.68080203756424673</v>
      </c>
      <c r="E53" s="580">
        <f t="shared" ref="E53:K53" si="546">R208</f>
        <v>0.34750680503247122</v>
      </c>
      <c r="F53" s="572">
        <f t="shared" si="546"/>
        <v>0.90373615442983979</v>
      </c>
      <c r="G53" s="579">
        <f t="shared" si="546"/>
        <v>0.2499999672649757</v>
      </c>
      <c r="H53" s="580">
        <f t="shared" si="546"/>
        <v>0.3125</v>
      </c>
      <c r="I53" s="572">
        <f t="shared" si="546"/>
        <v>0.52</v>
      </c>
      <c r="J53" s="483">
        <f t="shared" si="94"/>
        <v>3.109</v>
      </c>
      <c r="K53" s="806">
        <f t="shared" si="546"/>
        <v>1613</v>
      </c>
      <c r="L53" s="309"/>
      <c r="M53" s="164">
        <f t="shared" si="325"/>
        <v>3.109</v>
      </c>
      <c r="N53" s="575">
        <f t="shared" si="326"/>
        <v>2.0966872129603638</v>
      </c>
      <c r="O53" s="572">
        <f t="shared" si="327"/>
        <v>-0.99901692893662641</v>
      </c>
      <c r="P53" s="576">
        <f t="shared" si="328"/>
        <v>-0.68080203756424673</v>
      </c>
      <c r="Q53" s="528">
        <f t="shared" si="144"/>
        <v>334.52341471394715</v>
      </c>
      <c r="R53" s="572">
        <f t="shared" ref="R53:R58" si="547">IF(M53="","",SQRT(N53^2+O53^2))</f>
        <v>2.3225270920472525</v>
      </c>
      <c r="S53" s="577">
        <f t="shared" ref="S53:S58" si="548">IF(M53="","",P53)</f>
        <v>-0.68080203756424673</v>
      </c>
      <c r="T53" s="578">
        <f t="shared" ref="T53:T58" si="549">IF(M53="","",X53*COS(RADIANS(W53)))</f>
        <v>-0.98676873903540163</v>
      </c>
      <c r="U53" s="572">
        <f t="shared" ref="U53:U58" si="550">IF(M53="","",X53*SIN(RADIANS(W53)))</f>
        <v>-2.1024793813390779</v>
      </c>
      <c r="V53" s="579">
        <f t="shared" ref="V53:V58" si="551">IF(M53="","",Y53)</f>
        <v>-0.68080203756424673</v>
      </c>
      <c r="W53" s="528">
        <f t="shared" si="268"/>
        <v>244.85765608403443</v>
      </c>
      <c r="X53" s="572">
        <f t="shared" ref="X53:X58" si="552">IF(M53="","",R53)</f>
        <v>2.3225270920472525</v>
      </c>
      <c r="Y53" s="573">
        <f t="shared" si="271"/>
        <v>-0.68080203756424673</v>
      </c>
      <c r="Z53" s="575">
        <f t="shared" si="329"/>
        <v>-0.34750680503247122</v>
      </c>
      <c r="AA53" s="572">
        <f t="shared" si="330"/>
        <v>-0.90373615442983979</v>
      </c>
      <c r="AB53" s="572">
        <f t="shared" si="331"/>
        <v>-0.2499999672649757</v>
      </c>
      <c r="AC53" s="579">
        <f t="shared" ref="AC53:AC58" si="553">IF(M53="","",SQRT(Z53^2+AA53^2+AB53^2))</f>
        <v>1</v>
      </c>
      <c r="AD53" s="580">
        <f t="shared" ref="AD53:AD58" si="554">IF(M53="","",Z53*(1/SQRT(Z53^2+AA53^2+AB53^2)))</f>
        <v>-0.34750680503247122</v>
      </c>
      <c r="AE53" s="572">
        <f t="shared" ref="AE53:AE58" si="555">IF(M53="","",AA53*(1/SQRT(Z53^2+AA53^2+AB53^2)))</f>
        <v>-0.90373615442983979</v>
      </c>
      <c r="AF53" s="576">
        <f t="shared" ref="AF53:AF58" si="556">IF(M53="","",AB53*(1/SQRT(Z53^2+AA53^2+AB53^2)))</f>
        <v>-0.2499999672649757</v>
      </c>
      <c r="AG53" s="545">
        <f t="shared" ref="AG53:AG58" si="557">IF(M53="","",DEGREES(ATAN2(-AF53,AE53)))</f>
        <v>-74.536992356750687</v>
      </c>
      <c r="AH53" s="546">
        <f t="shared" ref="AH53:AH58" si="558">IF(M53="","",DEGREES(ACOS(AD53)))</f>
        <v>110.33489578586625</v>
      </c>
      <c r="AI53" s="528">
        <f t="shared" ref="AI53:AI58" si="559">IF(M53="","",DEGREES(-ACOS(-AF53)))</f>
        <v>-75.522489751159455</v>
      </c>
      <c r="AJ53" s="529">
        <f t="shared" ref="AJ53:AJ58" si="560">IF(M53="","",DEGREES(ATAN2(-AE53,AD53)))</f>
        <v>-21.032870354913406</v>
      </c>
      <c r="AK53" s="578">
        <f t="shared" ref="AK53:AK58" si="561">IF(M53="","",(COS(RADIANS((90-$Q$8)-W53))*AD53)+(-SIN(RADIANS((90-$Q$8)-W53))*AE53))</f>
        <v>0.96533522804026861</v>
      </c>
      <c r="AL53" s="572">
        <f t="shared" ref="AL53:AL58" si="562">IF(M53="","",(SIN(RADIANS((90-$Q$8)-W53))*AD53)+(COS(RADIANS((90-$Q$8)-W53))*AE53))</f>
        <v>7.5019423297929211E-2</v>
      </c>
      <c r="AM53" s="577">
        <f t="shared" ref="AM53:AM58" si="563">IF(M53="","",AF53)</f>
        <v>-0.2499999672649757</v>
      </c>
      <c r="AN53" s="524">
        <f t="shared" ref="AN53:AN58" si="564">IF(M53="","",DEGREES(ATAN2(-AM53,AL53)))</f>
        <v>16.703330149562312</v>
      </c>
      <c r="AO53" s="525">
        <f t="shared" si="110"/>
        <v>15.130191121997559</v>
      </c>
      <c r="AP53" s="528">
        <f t="shared" ref="AP53:AP58" si="565">IF(M53="","",DEGREES(ATAN2(AK53,AL53)))</f>
        <v>4.4437149311394348</v>
      </c>
      <c r="AQ53" s="529">
        <f t="shared" si="332"/>
        <v>0.98147558777562272</v>
      </c>
      <c r="AR53" s="979"/>
      <c r="AS53" s="954">
        <f t="shared" si="524"/>
        <v>244.85765608403443</v>
      </c>
      <c r="AT53" s="950">
        <f t="shared" si="333"/>
        <v>-0.60273967211214219</v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41"/>
        <v>3.109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85"/>
        <v>1613</v>
      </c>
      <c r="IM53" s="482" t="str">
        <f t="shared" si="242"/>
        <v/>
      </c>
      <c r="IN53" s="670" t="str">
        <f t="shared" si="486"/>
        <v/>
      </c>
      <c r="IO53" s="702"/>
      <c r="IP53" s="5" t="str">
        <f t="shared" si="487"/>
        <v/>
      </c>
      <c r="IQ53" s="714"/>
      <c r="IR53" s="9" t="str">
        <f t="shared" si="488"/>
        <v/>
      </c>
      <c r="IS53" s="5" t="str">
        <f t="shared" si="489"/>
        <v/>
      </c>
      <c r="IT53" s="5" t="str">
        <f t="shared" si="490"/>
        <v/>
      </c>
      <c r="IU53" s="5" t="str">
        <f t="shared" si="491"/>
        <v/>
      </c>
      <c r="IV53" s="670" t="str">
        <f t="shared" si="492"/>
        <v/>
      </c>
      <c r="IW53" s="9" t="str">
        <f t="shared" si="493"/>
        <v/>
      </c>
      <c r="IX53" s="5" t="str">
        <f t="shared" si="494"/>
        <v/>
      </c>
      <c r="IY53" s="5" t="str">
        <f t="shared" si="495"/>
        <v/>
      </c>
      <c r="IZ53" s="5" t="str">
        <f t="shared" si="496"/>
        <v/>
      </c>
      <c r="JA53" s="705" t="str">
        <f t="shared" si="497"/>
        <v/>
      </c>
      <c r="JM53" s="489">
        <f t="shared" si="133"/>
        <v>9</v>
      </c>
      <c r="JN53" s="960">
        <f>($JO53-SMALL($JO$9:$JO$88,1))/((Settings!$C$19/2)-((Settings!$C$19/2)-LARGE($JO$9:$JO$88,1))-SMALL($JO$9:$JO$88,1))</f>
        <v>0.24163433425078917</v>
      </c>
      <c r="JO53" s="162">
        <f t="shared" si="134"/>
        <v>2.3225270920472525</v>
      </c>
      <c r="JP53" s="961">
        <f t="shared" si="135"/>
        <v>16.703330149562312</v>
      </c>
      <c r="JQ53" s="961">
        <f t="shared" si="136"/>
        <v>15.130191121997559</v>
      </c>
      <c r="JS53" s="82">
        <v>68</v>
      </c>
      <c r="JT53" s="322">
        <f t="shared" si="137"/>
        <v>8.4299057092888461</v>
      </c>
      <c r="JU53" s="963">
        <f t="shared" si="138"/>
        <v>0.98803798699677825</v>
      </c>
      <c r="JV53" s="961">
        <f t="shared" si="287"/>
        <v>-81.225231327287702</v>
      </c>
      <c r="JW53" s="961">
        <f t="shared" si="92"/>
        <v>33.130896632143411</v>
      </c>
      <c r="JX53" s="1"/>
    </row>
    <row r="54" spans="1:284" ht="15" customHeight="1" x14ac:dyDescent="0.25">
      <c r="A54" s="75">
        <f t="shared" si="322"/>
        <v>0.02</v>
      </c>
      <c r="B54" s="578">
        <f t="shared" ref="B54:D54" si="566">IFERROR(O209+($A54*-E54),"")</f>
        <v>2.7690789880964486</v>
      </c>
      <c r="C54" s="572">
        <f t="shared" si="566"/>
        <v>-1.3125583629630164</v>
      </c>
      <c r="D54" s="576">
        <f t="shared" si="566"/>
        <v>-0.48200143798163825</v>
      </c>
      <c r="E54" s="580">
        <f t="shared" ref="E54:K54" si="567">R209</f>
        <v>0.34750680503247133</v>
      </c>
      <c r="F54" s="572">
        <f t="shared" si="567"/>
        <v>0.90373615442983968</v>
      </c>
      <c r="G54" s="579">
        <f t="shared" si="567"/>
        <v>0.24999996726497575</v>
      </c>
      <c r="H54" s="580">
        <f t="shared" si="567"/>
        <v>0.3125</v>
      </c>
      <c r="I54" s="572">
        <f t="shared" si="567"/>
        <v>0.52</v>
      </c>
      <c r="J54" s="483">
        <f t="shared" si="94"/>
        <v>3.1139999999999999</v>
      </c>
      <c r="K54" s="806">
        <f t="shared" si="567"/>
        <v>1613</v>
      </c>
      <c r="L54" s="309"/>
      <c r="M54" s="164">
        <f t="shared" si="325"/>
        <v>3.1139999999999999</v>
      </c>
      <c r="N54" s="575">
        <f t="shared" si="326"/>
        <v>2.7690789880964486</v>
      </c>
      <c r="O54" s="572">
        <f t="shared" si="327"/>
        <v>-1.3125583629630164</v>
      </c>
      <c r="P54" s="576">
        <f t="shared" si="328"/>
        <v>-0.48200143798163825</v>
      </c>
      <c r="Q54" s="528">
        <f t="shared" si="144"/>
        <v>334.63879609761597</v>
      </c>
      <c r="R54" s="572">
        <f t="shared" si="547"/>
        <v>3.0644098776928335</v>
      </c>
      <c r="S54" s="577">
        <f t="shared" si="548"/>
        <v>-0.48200143798163825</v>
      </c>
      <c r="T54" s="578">
        <f t="shared" si="549"/>
        <v>-1.2963823872549167</v>
      </c>
      <c r="U54" s="572">
        <f t="shared" si="550"/>
        <v>-2.7766887842386385</v>
      </c>
      <c r="V54" s="579">
        <f t="shared" si="551"/>
        <v>-0.48200143798163825</v>
      </c>
      <c r="W54" s="528">
        <f t="shared" si="268"/>
        <v>244.97303746770325</v>
      </c>
      <c r="X54" s="572">
        <f t="shared" si="552"/>
        <v>3.0644098776928335</v>
      </c>
      <c r="Y54" s="573">
        <f t="shared" si="271"/>
        <v>-0.48200143798163825</v>
      </c>
      <c r="Z54" s="575">
        <f t="shared" si="329"/>
        <v>-0.34750680503247133</v>
      </c>
      <c r="AA54" s="572">
        <f t="shared" si="330"/>
        <v>-0.90373615442983968</v>
      </c>
      <c r="AB54" s="572">
        <f t="shared" si="331"/>
        <v>-0.24999996726497575</v>
      </c>
      <c r="AC54" s="579">
        <f t="shared" si="553"/>
        <v>1</v>
      </c>
      <c r="AD54" s="580">
        <f t="shared" si="554"/>
        <v>-0.34750680503247133</v>
      </c>
      <c r="AE54" s="572">
        <f t="shared" si="555"/>
        <v>-0.90373615442983968</v>
      </c>
      <c r="AF54" s="576">
        <f t="shared" si="556"/>
        <v>-0.24999996726497575</v>
      </c>
      <c r="AG54" s="545">
        <f t="shared" si="557"/>
        <v>-74.536992356750687</v>
      </c>
      <c r="AH54" s="546">
        <f t="shared" si="558"/>
        <v>110.33489578586625</v>
      </c>
      <c r="AI54" s="528">
        <f t="shared" si="559"/>
        <v>-75.522489751159455</v>
      </c>
      <c r="AJ54" s="529">
        <f t="shared" si="560"/>
        <v>-21.032870354913413</v>
      </c>
      <c r="AK54" s="578">
        <f t="shared" si="561"/>
        <v>0.96548434355466128</v>
      </c>
      <c r="AL54" s="572">
        <f t="shared" si="562"/>
        <v>7.3075294856304318E-2</v>
      </c>
      <c r="AM54" s="577">
        <f t="shared" si="563"/>
        <v>-0.24999996726497575</v>
      </c>
      <c r="AN54" s="524">
        <f t="shared" si="564"/>
        <v>16.293705690038763</v>
      </c>
      <c r="AO54" s="525">
        <f t="shared" si="110"/>
        <v>15.097423680705013</v>
      </c>
      <c r="AP54" s="528">
        <f t="shared" si="565"/>
        <v>4.3283335474706188</v>
      </c>
      <c r="AQ54" s="529">
        <f t="shared" si="332"/>
        <v>0.74389478705552203</v>
      </c>
      <c r="AR54" s="979"/>
      <c r="AS54" s="954">
        <f t="shared" si="524"/>
        <v>244.97303746770325</v>
      </c>
      <c r="AT54" s="950">
        <f t="shared" si="333"/>
        <v>-0.40401919849041479</v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41"/>
        <v>3.1139999999999999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85"/>
        <v>1613</v>
      </c>
      <c r="IM54" s="482" t="str">
        <f t="shared" si="242"/>
        <v/>
      </c>
      <c r="IN54" s="670" t="str">
        <f t="shared" si="486"/>
        <v/>
      </c>
      <c r="IO54" s="702"/>
      <c r="IP54" s="5" t="str">
        <f t="shared" si="487"/>
        <v/>
      </c>
      <c r="IQ54" s="714"/>
      <c r="IR54" s="9" t="str">
        <f t="shared" si="488"/>
        <v/>
      </c>
      <c r="IS54" s="5" t="str">
        <f t="shared" si="489"/>
        <v/>
      </c>
      <c r="IT54" s="5" t="str">
        <f t="shared" si="490"/>
        <v/>
      </c>
      <c r="IU54" s="5" t="str">
        <f t="shared" si="491"/>
        <v/>
      </c>
      <c r="IV54" s="670" t="str">
        <f t="shared" si="492"/>
        <v/>
      </c>
      <c r="IW54" s="9" t="str">
        <f t="shared" si="493"/>
        <v/>
      </c>
      <c r="IX54" s="5" t="str">
        <f t="shared" si="494"/>
        <v/>
      </c>
      <c r="IY54" s="5" t="str">
        <f t="shared" si="495"/>
        <v/>
      </c>
      <c r="IZ54" s="5" t="str">
        <f t="shared" si="496"/>
        <v/>
      </c>
      <c r="JA54" s="705" t="str">
        <f t="shared" si="497"/>
        <v/>
      </c>
      <c r="JM54" s="489">
        <f t="shared" si="133"/>
        <v>14</v>
      </c>
      <c r="JN54" s="960">
        <f>($JO54-SMALL($JO$9:$JO$88,1))/((Settings!$C$19/2)-((Settings!$C$19/2)-LARGE($JO$9:$JO$88,1))-SMALL($JO$9:$JO$88,1))</f>
        <v>0.33230236972381028</v>
      </c>
      <c r="JO54" s="162">
        <f t="shared" si="134"/>
        <v>3.0644098776928335</v>
      </c>
      <c r="JP54" s="961">
        <f t="shared" si="135"/>
        <v>16.293705690038763</v>
      </c>
      <c r="JQ54" s="961">
        <f t="shared" si="136"/>
        <v>15.097423680705013</v>
      </c>
      <c r="JS54" s="31">
        <v>69</v>
      </c>
      <c r="JU54" s="962"/>
      <c r="JV54" s="959"/>
      <c r="JW54" s="959"/>
    </row>
    <row r="55" spans="1:284" ht="15" customHeight="1" x14ac:dyDescent="0.25">
      <c r="A55" s="75">
        <f t="shared" si="322"/>
        <v>0.02</v>
      </c>
      <c r="B55" s="578">
        <f t="shared" ref="B55:D55" si="600">IFERROR(O210+($A55*-E55),"")</f>
        <v>3.4413801321804862</v>
      </c>
      <c r="C55" s="572">
        <f t="shared" si="600"/>
        <v>-1.6260575350357696</v>
      </c>
      <c r="D55" s="576">
        <f t="shared" si="600"/>
        <v>-0.2832008383990301</v>
      </c>
      <c r="E55" s="580">
        <f t="shared" ref="E55:K55" si="601">R210</f>
        <v>0.34750680503247133</v>
      </c>
      <c r="F55" s="572">
        <f t="shared" si="601"/>
        <v>0.90373615442983968</v>
      </c>
      <c r="G55" s="579">
        <f t="shared" si="601"/>
        <v>0.24999996726497575</v>
      </c>
      <c r="H55" s="580">
        <f t="shared" si="601"/>
        <v>0.3125</v>
      </c>
      <c r="I55" s="572">
        <f t="shared" si="601"/>
        <v>0.52</v>
      </c>
      <c r="J55" s="483">
        <f t="shared" si="94"/>
        <v>3.12</v>
      </c>
      <c r="K55" s="806">
        <f t="shared" si="601"/>
        <v>1613</v>
      </c>
      <c r="L55" s="309"/>
      <c r="M55" s="164">
        <f t="shared" si="325"/>
        <v>3.12</v>
      </c>
      <c r="N55" s="575">
        <f t="shared" si="326"/>
        <v>3.4413801321804862</v>
      </c>
      <c r="O55" s="572">
        <f t="shared" si="327"/>
        <v>-1.6260575350357696</v>
      </c>
      <c r="P55" s="576">
        <f t="shared" si="328"/>
        <v>-0.2832008383990301</v>
      </c>
      <c r="Q55" s="528">
        <f t="shared" si="144"/>
        <v>334.70919180412631</v>
      </c>
      <c r="R55" s="572">
        <f t="shared" si="547"/>
        <v>3.806200247151112</v>
      </c>
      <c r="S55" s="577">
        <f t="shared" si="548"/>
        <v>-0.2832008383990301</v>
      </c>
      <c r="T55" s="578">
        <f t="shared" si="549"/>
        <v>-1.605954302943337</v>
      </c>
      <c r="U55" s="572">
        <f t="shared" si="550"/>
        <v>-3.4508073110898221</v>
      </c>
      <c r="V55" s="579">
        <f t="shared" si="551"/>
        <v>-0.2832008383990301</v>
      </c>
      <c r="W55" s="528">
        <f t="shared" si="268"/>
        <v>245.04343317421359</v>
      </c>
      <c r="X55" s="572">
        <f t="shared" si="552"/>
        <v>3.806200247151112</v>
      </c>
      <c r="Y55" s="573">
        <f t="shared" si="271"/>
        <v>-0.2832008383990301</v>
      </c>
      <c r="Z55" s="575">
        <f t="shared" si="329"/>
        <v>-0.34750680503247133</v>
      </c>
      <c r="AA55" s="572">
        <f t="shared" si="330"/>
        <v>-0.90373615442983968</v>
      </c>
      <c r="AB55" s="572">
        <f t="shared" si="331"/>
        <v>-0.24999996726497575</v>
      </c>
      <c r="AC55" s="579">
        <f t="shared" si="553"/>
        <v>1</v>
      </c>
      <c r="AD55" s="580">
        <f t="shared" si="554"/>
        <v>-0.34750680503247133</v>
      </c>
      <c r="AE55" s="572">
        <f t="shared" si="555"/>
        <v>-0.90373615442983968</v>
      </c>
      <c r="AF55" s="576">
        <f t="shared" si="556"/>
        <v>-0.24999996726497575</v>
      </c>
      <c r="AG55" s="545">
        <f t="shared" si="557"/>
        <v>-74.536992356750687</v>
      </c>
      <c r="AH55" s="546">
        <f t="shared" si="558"/>
        <v>110.33489578586625</v>
      </c>
      <c r="AI55" s="528">
        <f t="shared" si="559"/>
        <v>-75.522489751159455</v>
      </c>
      <c r="AJ55" s="529">
        <f t="shared" si="560"/>
        <v>-21.032870354913413</v>
      </c>
      <c r="AK55" s="578">
        <f t="shared" si="561"/>
        <v>0.96557339781008966</v>
      </c>
      <c r="AL55" s="572">
        <f t="shared" si="562"/>
        <v>7.1889010349213689E-2</v>
      </c>
      <c r="AM55" s="577">
        <f t="shared" si="563"/>
        <v>-0.24999996726497575</v>
      </c>
      <c r="AN55" s="524">
        <f t="shared" si="564"/>
        <v>16.042911048583903</v>
      </c>
      <c r="AO55" s="525">
        <f>IF(ROUND(IF(M55="",0,DEGREES(ACOS(AK55))),4)=90,0,IF(M55="","",DEGREES(ACOS(AK55))))</f>
        <v>15.07782124990641</v>
      </c>
      <c r="AP55" s="528">
        <f t="shared" si="565"/>
        <v>4.257937840960266</v>
      </c>
      <c r="AQ55" s="529">
        <f t="shared" si="332"/>
        <v>0.59892897042485549</v>
      </c>
      <c r="AR55" s="979"/>
      <c r="AS55" s="954">
        <f t="shared" si="524"/>
        <v>245.04343317421359</v>
      </c>
      <c r="AT55" s="950">
        <f t="shared" si="333"/>
        <v>-0.20526748481510548</v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41"/>
        <v>3.12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85"/>
        <v>1613</v>
      </c>
      <c r="IM55" s="482" t="str">
        <f t="shared" si="242"/>
        <v/>
      </c>
      <c r="IN55" s="670" t="str">
        <f t="shared" si="486"/>
        <v/>
      </c>
      <c r="IO55" s="702"/>
      <c r="IP55" s="5" t="str">
        <f t="shared" si="487"/>
        <v/>
      </c>
      <c r="IQ55" s="714"/>
      <c r="IR55" s="9" t="str">
        <f t="shared" si="488"/>
        <v/>
      </c>
      <c r="IS55" s="5" t="str">
        <f t="shared" si="489"/>
        <v/>
      </c>
      <c r="IT55" s="5" t="str">
        <f t="shared" si="490"/>
        <v/>
      </c>
      <c r="IU55" s="5" t="str">
        <f t="shared" si="491"/>
        <v/>
      </c>
      <c r="IV55" s="670" t="str">
        <f t="shared" si="492"/>
        <v/>
      </c>
      <c r="IW55" s="9" t="str">
        <f t="shared" si="493"/>
        <v/>
      </c>
      <c r="IX55" s="5" t="str">
        <f t="shared" si="494"/>
        <v/>
      </c>
      <c r="IY55" s="5" t="str">
        <f t="shared" si="495"/>
        <v/>
      </c>
      <c r="IZ55" s="5" t="str">
        <f t="shared" si="496"/>
        <v/>
      </c>
      <c r="JA55" s="705" t="str">
        <f t="shared" si="497"/>
        <v/>
      </c>
      <c r="JM55" s="489">
        <f t="shared" si="133"/>
        <v>20</v>
      </c>
      <c r="JN55" s="960">
        <f>($JO55-SMALL($JO$9:$JO$88,1))/((Settings!$C$19/2)-((Settings!$C$19/2)-LARGE($JO$9:$JO$88,1))-SMALL($JO$9:$JO$88,1))</f>
        <v>0.42295911069814401</v>
      </c>
      <c r="JO55" s="162">
        <f t="shared" si="134"/>
        <v>3.806200247151112</v>
      </c>
      <c r="JP55" s="961">
        <f t="shared" si="135"/>
        <v>16.042911048583903</v>
      </c>
      <c r="JQ55" s="961">
        <f t="shared" si="136"/>
        <v>15.07782124990641</v>
      </c>
      <c r="JS55" s="31">
        <v>70</v>
      </c>
      <c r="JU55" s="962"/>
      <c r="JV55" s="959"/>
      <c r="JW55" s="959"/>
    </row>
    <row r="56" spans="1:284" ht="15" customHeight="1" x14ac:dyDescent="0.25">
      <c r="A56" s="75">
        <f t="shared" si="322"/>
        <v>0.02</v>
      </c>
      <c r="B56" s="578">
        <f t="shared" ref="B56:D56" si="602">IFERROR(O211+($A56*-E56),"")</f>
        <v>4.108761423606202</v>
      </c>
      <c r="C56" s="572">
        <f t="shared" si="602"/>
        <v>-1.9562620764355469</v>
      </c>
      <c r="D56" s="576">
        <f t="shared" si="602"/>
        <v>-9.7227657557345665E-2</v>
      </c>
      <c r="E56" s="580">
        <f t="shared" ref="E56:K56" si="603">R211</f>
        <v>0.42266629352281004</v>
      </c>
      <c r="F56" s="572">
        <f t="shared" si="603"/>
        <v>0.86777845556910049</v>
      </c>
      <c r="G56" s="579">
        <f t="shared" si="603"/>
        <v>0.26136900422543707</v>
      </c>
      <c r="H56" s="580">
        <f t="shared" si="603"/>
        <v>0.3125</v>
      </c>
      <c r="I56" s="572">
        <f t="shared" si="603"/>
        <v>0.52</v>
      </c>
      <c r="J56" s="483">
        <f t="shared" si="94"/>
        <v>3.1259999999999999</v>
      </c>
      <c r="K56" s="806">
        <f t="shared" si="603"/>
        <v>1613</v>
      </c>
      <c r="L56" s="309"/>
      <c r="M56" s="164">
        <f t="shared" si="325"/>
        <v>3.1259999999999999</v>
      </c>
      <c r="N56" s="575">
        <f t="shared" si="326"/>
        <v>4.108761423606202</v>
      </c>
      <c r="O56" s="572">
        <f t="shared" si="327"/>
        <v>-1.9562620764355469</v>
      </c>
      <c r="P56" s="576">
        <f t="shared" si="328"/>
        <v>-9.7227657557345665E-2</v>
      </c>
      <c r="Q56" s="528">
        <f t="shared" si="144"/>
        <v>334.53996268089929</v>
      </c>
      <c r="R56" s="572">
        <f t="shared" si="547"/>
        <v>4.5507012369319941</v>
      </c>
      <c r="S56" s="577">
        <f t="shared" si="548"/>
        <v>-9.7227657557345665E-2</v>
      </c>
      <c r="T56" s="578">
        <f t="shared" si="549"/>
        <v>-1.9322600040597955</v>
      </c>
      <c r="U56" s="572">
        <f t="shared" si="550"/>
        <v>-4.1201035210932773</v>
      </c>
      <c r="V56" s="579">
        <f t="shared" si="551"/>
        <v>-9.7227657557345665E-2</v>
      </c>
      <c r="W56" s="528">
        <f t="shared" si="268"/>
        <v>244.87420405098658</v>
      </c>
      <c r="X56" s="572">
        <f t="shared" si="552"/>
        <v>4.5507012369319941</v>
      </c>
      <c r="Y56" s="573">
        <f t="shared" si="271"/>
        <v>-9.7227657557345665E-2</v>
      </c>
      <c r="Z56" s="575">
        <f t="shared" si="329"/>
        <v>-0.42266629352281004</v>
      </c>
      <c r="AA56" s="572">
        <f t="shared" si="330"/>
        <v>-0.86777845556910049</v>
      </c>
      <c r="AB56" s="572">
        <f t="shared" si="331"/>
        <v>-0.26136900422543707</v>
      </c>
      <c r="AC56" s="579">
        <f t="shared" si="553"/>
        <v>1</v>
      </c>
      <c r="AD56" s="580">
        <f t="shared" si="554"/>
        <v>-0.42266629352281004</v>
      </c>
      <c r="AE56" s="572">
        <f t="shared" si="555"/>
        <v>-0.86777845556910049</v>
      </c>
      <c r="AF56" s="576">
        <f t="shared" si="556"/>
        <v>-0.26136900422543707</v>
      </c>
      <c r="AG56" s="545">
        <f t="shared" si="557"/>
        <v>-73.238053824650592</v>
      </c>
      <c r="AH56" s="546">
        <f t="shared" si="558"/>
        <v>115.00303655385537</v>
      </c>
      <c r="AI56" s="528">
        <f t="shared" si="559"/>
        <v>-74.848690477325945</v>
      </c>
      <c r="AJ56" s="529">
        <f t="shared" si="560"/>
        <v>-25.969187335849046</v>
      </c>
      <c r="AK56" s="578">
        <f t="shared" si="561"/>
        <v>0.9652008459352035</v>
      </c>
      <c r="AL56" s="572">
        <f t="shared" si="562"/>
        <v>-8.5773326956122276E-3</v>
      </c>
      <c r="AM56" s="577">
        <f t="shared" si="563"/>
        <v>-0.26136900422543707</v>
      </c>
      <c r="AN56" s="524">
        <f t="shared" si="564"/>
        <v>-1.8795979937514775</v>
      </c>
      <c r="AO56" s="525">
        <f t="shared" ref="AO56:AO119" si="604">IF(ROUND(IF(M56="",0,DEGREES(ACOS(AK56))),4)=90,0,IF(M56="","",DEGREES(ACOS(AK56))))</f>
        <v>15.159661704012427</v>
      </c>
      <c r="AP56" s="528">
        <f t="shared" si="565"/>
        <v>-0.5091500167483497</v>
      </c>
      <c r="AQ56" s="529">
        <f t="shared" si="332"/>
        <v>0.50094884782504279</v>
      </c>
      <c r="AR56" s="979"/>
      <c r="AS56" s="954">
        <f t="shared" si="524"/>
        <v>244.87420405098658</v>
      </c>
      <c r="AT56" s="950">
        <f t="shared" si="333"/>
        <v>-1.9176783748957843E-2</v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41"/>
        <v>3.1259999999999999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85"/>
        <v>1613</v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>
        <f t="shared" si="133"/>
        <v>26</v>
      </c>
      <c r="JN56" s="960">
        <f>($JO56-SMALL($JO$9:$JO$88,1))/((Settings!$C$19/2)-((Settings!$C$19/2)-LARGE($JO$9:$JO$88,1))-SMALL($JO$9:$JO$88,1))</f>
        <v>0.51394712586338631</v>
      </c>
      <c r="JO56" s="162">
        <f t="shared" si="134"/>
        <v>4.5507012369319941</v>
      </c>
      <c r="JP56" s="961">
        <f t="shared" si="135"/>
        <v>-1.8795979937514775</v>
      </c>
      <c r="JQ56" s="961">
        <f t="shared" si="136"/>
        <v>15.159661704012427</v>
      </c>
      <c r="JS56" s="31">
        <v>73</v>
      </c>
      <c r="JU56" s="962"/>
      <c r="JV56" s="959"/>
      <c r="JW56" s="959"/>
    </row>
    <row r="57" spans="1:284" ht="15" customHeight="1" x14ac:dyDescent="0.25">
      <c r="A57" s="75">
        <f t="shared" si="322"/>
        <v>0.02</v>
      </c>
      <c r="B57" s="578">
        <f t="shared" ref="B57:D57" si="605">IFERROR(O212+($A57*-E57),"")</f>
        <v>4.7879999830648616</v>
      </c>
      <c r="C57" s="572">
        <f t="shared" si="605"/>
        <v>-2.3222853371230756</v>
      </c>
      <c r="D57" s="576">
        <f t="shared" si="605"/>
        <v>-5.2672356492847877E-2</v>
      </c>
      <c r="E57" s="580">
        <f t="shared" ref="E57:K57" si="606">R212</f>
        <v>0.49782348841829377</v>
      </c>
      <c r="F57" s="572">
        <f t="shared" si="606"/>
        <v>0.82936928707315283</v>
      </c>
      <c r="G57" s="579">
        <f t="shared" si="606"/>
        <v>0.25361064654073784</v>
      </c>
      <c r="H57" s="580">
        <f t="shared" si="606"/>
        <v>0.3125</v>
      </c>
      <c r="I57" s="572">
        <f t="shared" si="606"/>
        <v>0.52</v>
      </c>
      <c r="J57" s="483">
        <f t="shared" si="94"/>
        <v>3.1320000000000001</v>
      </c>
      <c r="K57" s="806">
        <f t="shared" si="606"/>
        <v>1613</v>
      </c>
      <c r="L57" s="309"/>
      <c r="M57" s="164">
        <f t="shared" si="325"/>
        <v>3.1320000000000001</v>
      </c>
      <c r="N57" s="575">
        <f t="shared" si="326"/>
        <v>4.7879999830648616</v>
      </c>
      <c r="O57" s="572">
        <f t="shared" si="327"/>
        <v>-2.3222853371230756</v>
      </c>
      <c r="P57" s="576">
        <f t="shared" si="328"/>
        <v>-5.2672356492847877E-2</v>
      </c>
      <c r="Q57" s="528">
        <f t="shared" si="144"/>
        <v>334.12559422442905</v>
      </c>
      <c r="R57" s="572">
        <f t="shared" si="547"/>
        <v>5.321461549691584</v>
      </c>
      <c r="S57" s="577">
        <f t="shared" si="548"/>
        <v>-5.2672356492847877E-2</v>
      </c>
      <c r="T57" s="578">
        <f t="shared" si="549"/>
        <v>-2.2943146446781673</v>
      </c>
      <c r="U57" s="572">
        <f t="shared" si="550"/>
        <v>-4.8014657487127046</v>
      </c>
      <c r="V57" s="579">
        <f t="shared" si="551"/>
        <v>-5.2672356492847877E-2</v>
      </c>
      <c r="W57" s="528">
        <f t="shared" si="268"/>
        <v>244.45983559451633</v>
      </c>
      <c r="X57" s="572">
        <f t="shared" si="552"/>
        <v>5.321461549691584</v>
      </c>
      <c r="Y57" s="573">
        <f t="shared" si="271"/>
        <v>-5.2672356492847877E-2</v>
      </c>
      <c r="Z57" s="575">
        <f t="shared" si="329"/>
        <v>-0.49782348841829377</v>
      </c>
      <c r="AA57" s="572">
        <f t="shared" si="330"/>
        <v>-0.82936928707315283</v>
      </c>
      <c r="AB57" s="572">
        <f t="shared" si="331"/>
        <v>-0.25361064654073784</v>
      </c>
      <c r="AC57" s="579">
        <f t="shared" si="553"/>
        <v>1</v>
      </c>
      <c r="AD57" s="580">
        <f t="shared" si="554"/>
        <v>-0.49782348841829377</v>
      </c>
      <c r="AE57" s="572">
        <f t="shared" si="555"/>
        <v>-0.82936928707315283</v>
      </c>
      <c r="AF57" s="576">
        <f t="shared" si="556"/>
        <v>-0.25361064654073784</v>
      </c>
      <c r="AG57" s="545">
        <f t="shared" si="557"/>
        <v>-72.997030088521655</v>
      </c>
      <c r="AH57" s="546">
        <f t="shared" si="558"/>
        <v>119.85610732071581</v>
      </c>
      <c r="AI57" s="528">
        <f t="shared" si="559"/>
        <v>-75.308724975776485</v>
      </c>
      <c r="AJ57" s="529">
        <f t="shared" si="560"/>
        <v>-30.974012112290868</v>
      </c>
      <c r="AK57" s="578">
        <f t="shared" si="561"/>
        <v>0.9634774717835155</v>
      </c>
      <c r="AL57" s="572">
        <f t="shared" si="562"/>
        <v>-8.5981401051821171E-2</v>
      </c>
      <c r="AM57" s="577">
        <f t="shared" si="563"/>
        <v>-0.25361064654073784</v>
      </c>
      <c r="AN57" s="524">
        <f t="shared" si="564"/>
        <v>-18.728156694021024</v>
      </c>
      <c r="AO57" s="525">
        <f t="shared" si="604"/>
        <v>15.53276536358673</v>
      </c>
      <c r="AP57" s="528">
        <f t="shared" si="565"/>
        <v>-5.0996063367199191</v>
      </c>
      <c r="AQ57" s="529">
        <f t="shared" si="332"/>
        <v>0.42839436658969787</v>
      </c>
      <c r="AR57" s="979"/>
      <c r="AS57" s="954">
        <f t="shared" si="524"/>
        <v>244.45983559451633</v>
      </c>
      <c r="AT57" s="950">
        <f t="shared" si="333"/>
        <v>2.5666273188088728E-2</v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41"/>
        <v>3.1320000000000001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85"/>
        <v>1613</v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>
        <f t="shared" si="133"/>
        <v>32</v>
      </c>
      <c r="JN57" s="960">
        <f>($JO57-SMALL($JO$9:$JO$88,1))/((Settings!$C$19/2)-((Settings!$C$19/2)-LARGE($JO$9:$JO$88,1))-SMALL($JO$9:$JO$88,1))</f>
        <v>0.60814438280293293</v>
      </c>
      <c r="JO57" s="162">
        <f t="shared" si="134"/>
        <v>5.321461549691584</v>
      </c>
      <c r="JP57" s="961">
        <f t="shared" si="135"/>
        <v>-18.728156694021024</v>
      </c>
      <c r="JQ57" s="961">
        <f t="shared" si="136"/>
        <v>15.53276536358673</v>
      </c>
      <c r="JS57" s="31">
        <v>74</v>
      </c>
      <c r="JU57" s="962"/>
      <c r="JV57" s="959"/>
      <c r="JW57" s="959"/>
    </row>
    <row r="58" spans="1:284" ht="15" customHeight="1" x14ac:dyDescent="0.25">
      <c r="A58" s="75">
        <f t="shared" si="322"/>
        <v>0.02</v>
      </c>
      <c r="B58" s="578">
        <f t="shared" ref="B58:D58" si="607">IFERROR(O213+($A58*-E58),"")</f>
        <v>5.4377721522099236</v>
      </c>
      <c r="C58" s="572">
        <f t="shared" si="607"/>
        <v>-2.7016038976320824</v>
      </c>
      <c r="D58" s="576">
        <f t="shared" si="607"/>
        <v>-0.18505919016643571</v>
      </c>
      <c r="E58" s="580">
        <f t="shared" ref="E58:K58" si="608">R213</f>
        <v>0.56992582627942023</v>
      </c>
      <c r="F58" s="572">
        <f t="shared" si="608"/>
        <v>0.78945007710685389</v>
      </c>
      <c r="G58" s="579">
        <f t="shared" si="608"/>
        <v>0.22793228883969646</v>
      </c>
      <c r="H58" s="580">
        <f t="shared" si="608"/>
        <v>0.3125</v>
      </c>
      <c r="I58" s="572">
        <f t="shared" si="608"/>
        <v>0.52</v>
      </c>
      <c r="J58" s="483">
        <f t="shared" si="94"/>
        <v>3.1379999999999999</v>
      </c>
      <c r="K58" s="806">
        <f t="shared" si="608"/>
        <v>1613</v>
      </c>
      <c r="L58" s="309"/>
      <c r="M58" s="164">
        <f t="shared" si="325"/>
        <v>3.1379999999999999</v>
      </c>
      <c r="N58" s="575">
        <f t="shared" si="326"/>
        <v>5.4377721522099236</v>
      </c>
      <c r="O58" s="572">
        <f t="shared" si="327"/>
        <v>-2.7016038976320824</v>
      </c>
      <c r="P58" s="576">
        <f t="shared" si="328"/>
        <v>-0.18505919016643571</v>
      </c>
      <c r="Q58" s="528">
        <f t="shared" si="144"/>
        <v>333.58081063917649</v>
      </c>
      <c r="R58" s="572">
        <f t="shared" si="547"/>
        <v>6.071904939889178</v>
      </c>
      <c r="S58" s="577">
        <f t="shared" si="548"/>
        <v>-0.18505919016643571</v>
      </c>
      <c r="T58" s="578">
        <f t="shared" si="549"/>
        <v>-2.6698362534173388</v>
      </c>
      <c r="U58" s="572">
        <f t="shared" si="550"/>
        <v>-5.4534396465890289</v>
      </c>
      <c r="V58" s="579">
        <f t="shared" si="551"/>
        <v>-0.18505919016643571</v>
      </c>
      <c r="W58" s="528">
        <f t="shared" si="268"/>
        <v>243.91505200926377</v>
      </c>
      <c r="X58" s="572">
        <f t="shared" si="552"/>
        <v>6.071904939889178</v>
      </c>
      <c r="Y58" s="573">
        <f t="shared" si="271"/>
        <v>-0.18505919016643571</v>
      </c>
      <c r="Z58" s="575">
        <f t="shared" si="329"/>
        <v>-0.56992582627942023</v>
      </c>
      <c r="AA58" s="572">
        <f t="shared" si="330"/>
        <v>-0.78945007710685389</v>
      </c>
      <c r="AB58" s="572">
        <f t="shared" si="331"/>
        <v>-0.22793228883969646</v>
      </c>
      <c r="AC58" s="579">
        <f t="shared" si="553"/>
        <v>1</v>
      </c>
      <c r="AD58" s="580">
        <f t="shared" si="554"/>
        <v>-0.56992582627942023</v>
      </c>
      <c r="AE58" s="572">
        <f t="shared" si="555"/>
        <v>-0.78945007710685389</v>
      </c>
      <c r="AF58" s="576">
        <f t="shared" si="556"/>
        <v>-0.22793228883969646</v>
      </c>
      <c r="AG58" s="545">
        <f t="shared" si="557"/>
        <v>-73.895361841003961</v>
      </c>
      <c r="AH58" s="546">
        <f t="shared" si="558"/>
        <v>124.74505355684458</v>
      </c>
      <c r="AI58" s="528">
        <f t="shared" si="559"/>
        <v>-76.824632550848037</v>
      </c>
      <c r="AJ58" s="529">
        <f t="shared" si="560"/>
        <v>-35.826558730657688</v>
      </c>
      <c r="AK58" s="578">
        <f t="shared" si="561"/>
        <v>0.96058214616840609</v>
      </c>
      <c r="AL58" s="572">
        <f t="shared" si="562"/>
        <v>-0.15915028170504841</v>
      </c>
      <c r="AM58" s="577">
        <f t="shared" si="563"/>
        <v>-0.22793228883969646</v>
      </c>
      <c r="AN58" s="524">
        <f t="shared" si="564"/>
        <v>-34.924090023377211</v>
      </c>
      <c r="AO58" s="525">
        <f t="shared" si="604"/>
        <v>16.140653712505035</v>
      </c>
      <c r="AP58" s="528">
        <f t="shared" si="565"/>
        <v>-9.4073693698341714</v>
      </c>
      <c r="AQ58" s="529">
        <f t="shared" si="332"/>
        <v>0.37544955401148167</v>
      </c>
      <c r="AR58" s="979"/>
      <c r="AS58" s="954">
        <f t="shared" si="524"/>
        <v>243.91505200926377</v>
      </c>
      <c r="AT58" s="950">
        <f t="shared" si="333"/>
        <v>-0.10634223855129595</v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41"/>
        <v>3.1379999999999999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85"/>
        <v>1613</v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>
        <f t="shared" si="133"/>
        <v>38</v>
      </c>
      <c r="JN58" s="960">
        <f>($JO58-SMALL($JO$9:$JO$88,1))/((Settings!$C$19/2)-((Settings!$C$19/2)-LARGE($JO$9:$JO$88,1))-SMALL($JO$9:$JO$88,1))</f>
        <v>0.6998586390701419</v>
      </c>
      <c r="JO58" s="162">
        <f t="shared" si="134"/>
        <v>6.071904939889178</v>
      </c>
      <c r="JP58" s="961">
        <f t="shared" si="135"/>
        <v>-34.924090023377211</v>
      </c>
      <c r="JQ58" s="961">
        <f t="shared" si="136"/>
        <v>16.140653712505035</v>
      </c>
      <c r="JS58" s="31">
        <v>75</v>
      </c>
      <c r="JU58" s="962"/>
      <c r="JV58" s="959"/>
      <c r="JW58" s="959"/>
    </row>
    <row r="59" spans="1:284" ht="15" customHeight="1" x14ac:dyDescent="0.25">
      <c r="A59" s="75">
        <f t="shared" si="322"/>
        <v>0.02</v>
      </c>
      <c r="B59" s="578">
        <f t="shared" ref="B59:D59" si="609">IFERROR(O214+($A59*-E59),"")</f>
        <v>6.0308379342522613</v>
      </c>
      <c r="C59" s="572">
        <f t="shared" si="609"/>
        <v>-3.0768710743895999</v>
      </c>
      <c r="D59" s="576">
        <f t="shared" si="609"/>
        <v>-0.47655766409866018</v>
      </c>
      <c r="E59" s="580">
        <f t="shared" ref="E59:K59" si="610">R214</f>
        <v>0.64009523116045752</v>
      </c>
      <c r="F59" s="572">
        <f t="shared" si="610"/>
        <v>0.73677406918722954</v>
      </c>
      <c r="G59" s="579">
        <f t="shared" si="610"/>
        <v>0.21781199695823</v>
      </c>
      <c r="H59" s="580">
        <f t="shared" si="610"/>
        <v>0.3125</v>
      </c>
      <c r="I59" s="572">
        <f t="shared" si="610"/>
        <v>0.52</v>
      </c>
      <c r="J59" s="483">
        <f t="shared" si="94"/>
        <v>3.1440000000000001</v>
      </c>
      <c r="K59" s="806">
        <f t="shared" si="610"/>
        <v>1613</v>
      </c>
      <c r="L59" s="309"/>
      <c r="M59" s="164">
        <f t="shared" si="325"/>
        <v>3.1440000000000001</v>
      </c>
      <c r="N59" s="575">
        <f t="shared" si="326"/>
        <v>6.0308379342522613</v>
      </c>
      <c r="O59" s="572">
        <f t="shared" si="327"/>
        <v>-3.0768710743895999</v>
      </c>
      <c r="P59" s="576">
        <f t="shared" si="328"/>
        <v>-0.47655766409866018</v>
      </c>
      <c r="Q59" s="528">
        <f t="shared" si="144"/>
        <v>332.96979598532636</v>
      </c>
      <c r="R59" s="572">
        <f t="shared" si="95"/>
        <v>6.7703871231733483</v>
      </c>
      <c r="S59" s="577">
        <f t="shared" si="96"/>
        <v>-0.47655766409866018</v>
      </c>
      <c r="T59" s="578">
        <f t="shared" si="97"/>
        <v>-3.0416373485481718</v>
      </c>
      <c r="U59" s="572">
        <f t="shared" si="98"/>
        <v>-6.0486844881799167</v>
      </c>
      <c r="V59" s="579">
        <f t="shared" si="145"/>
        <v>-0.47655766409866018</v>
      </c>
      <c r="W59" s="528">
        <f t="shared" si="268"/>
        <v>243.30403735541364</v>
      </c>
      <c r="X59" s="572">
        <f t="shared" si="99"/>
        <v>6.7703871231733483</v>
      </c>
      <c r="Y59" s="573">
        <f t="shared" si="271"/>
        <v>-0.47655766409866018</v>
      </c>
      <c r="Z59" s="575">
        <f t="shared" si="329"/>
        <v>-0.64009523116045752</v>
      </c>
      <c r="AA59" s="572">
        <f t="shared" si="330"/>
        <v>-0.73677406918722954</v>
      </c>
      <c r="AB59" s="572">
        <f t="shared" si="331"/>
        <v>-0.21781199695823</v>
      </c>
      <c r="AC59" s="579">
        <f t="shared" si="100"/>
        <v>1</v>
      </c>
      <c r="AD59" s="580">
        <f t="shared" si="146"/>
        <v>-0.64009523116045752</v>
      </c>
      <c r="AE59" s="572">
        <f t="shared" si="101"/>
        <v>-0.73677406918722954</v>
      </c>
      <c r="AF59" s="576">
        <f t="shared" si="102"/>
        <v>-0.21781199695823</v>
      </c>
      <c r="AG59" s="545">
        <f t="shared" si="103"/>
        <v>-73.530777181524542</v>
      </c>
      <c r="AH59" s="546">
        <f t="shared" si="104"/>
        <v>129.79892101366013</v>
      </c>
      <c r="AI59" s="528">
        <f t="shared" si="105"/>
        <v>-77.419446524033077</v>
      </c>
      <c r="AJ59" s="529">
        <f t="shared" si="106"/>
        <v>-40.983487551487208</v>
      </c>
      <c r="AK59" s="578">
        <f t="shared" si="247"/>
        <v>0.94719185038776788</v>
      </c>
      <c r="AL59" s="572">
        <f t="shared" si="107"/>
        <v>-0.23534131073839187</v>
      </c>
      <c r="AM59" s="577">
        <f t="shared" si="108"/>
        <v>-0.21781199695823</v>
      </c>
      <c r="AN59" s="524">
        <f t="shared" si="109"/>
        <v>-47.215266150376941</v>
      </c>
      <c r="AO59" s="525">
        <f t="shared" si="604"/>
        <v>18.703292818015786</v>
      </c>
      <c r="AP59" s="528">
        <f t="shared" si="111"/>
        <v>-13.953283536813549</v>
      </c>
      <c r="AQ59" s="529">
        <f t="shared" si="332"/>
        <v>0.33671640122276003</v>
      </c>
      <c r="AR59" s="979"/>
      <c r="AS59" s="954">
        <f t="shared" si="524"/>
        <v>243.30403735541364</v>
      </c>
      <c r="AT59" s="950">
        <f t="shared" si="333"/>
        <v>-0.39741639675168006</v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41"/>
        <v>3.1440000000000001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85"/>
        <v>1613</v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>
        <f t="shared" si="133"/>
        <v>44</v>
      </c>
      <c r="JN59" s="960">
        <f>($JO59-SMALL($JO$9:$JO$88,1))/((Settings!$C$19/2)-((Settings!$C$19/2)-LARGE($JO$9:$JO$88,1))-SMALL($JO$9:$JO$88,1))</f>
        <v>0.78522253832300437</v>
      </c>
      <c r="JO59" s="162">
        <f t="shared" si="134"/>
        <v>6.7703871231733483</v>
      </c>
      <c r="JP59" s="961">
        <f t="shared" si="135"/>
        <v>-47.215266150376941</v>
      </c>
      <c r="JQ59" s="961">
        <f t="shared" si="136"/>
        <v>18.703292818015786</v>
      </c>
      <c r="JS59" s="31">
        <v>76</v>
      </c>
      <c r="JU59" s="962"/>
      <c r="JV59" s="959"/>
      <c r="JW59" s="959"/>
    </row>
    <row r="60" spans="1:284" ht="15" customHeight="1" x14ac:dyDescent="0.25">
      <c r="A60" s="75">
        <f t="shared" si="322"/>
        <v>0.02</v>
      </c>
      <c r="B60" s="578">
        <f t="shared" ref="B60:D60" si="611">IFERROR(O215+($A60*-E60),"")</f>
        <v>6.543460673239478</v>
      </c>
      <c r="C60" s="572">
        <f t="shared" si="611"/>
        <v>-3.4224006278355645</v>
      </c>
      <c r="D60" s="576">
        <f t="shared" si="611"/>
        <v>-0.92556379766040842</v>
      </c>
      <c r="E60" s="580">
        <f t="shared" ref="E60:K60" si="612">R215</f>
        <v>0.71362514112905018</v>
      </c>
      <c r="F60" s="572">
        <f t="shared" si="612"/>
        <v>0.66572737237655344</v>
      </c>
      <c r="G60" s="579">
        <f t="shared" si="612"/>
        <v>0.21805096564141419</v>
      </c>
      <c r="H60" s="580">
        <f t="shared" si="612"/>
        <v>0.3125</v>
      </c>
      <c r="I60" s="572">
        <f t="shared" si="612"/>
        <v>0.52</v>
      </c>
      <c r="J60" s="483">
        <f t="shared" si="94"/>
        <v>3.15</v>
      </c>
      <c r="K60" s="806">
        <f t="shared" si="612"/>
        <v>1613</v>
      </c>
      <c r="L60" s="309"/>
      <c r="M60" s="164">
        <f t="shared" si="325"/>
        <v>3.15</v>
      </c>
      <c r="N60" s="575">
        <f t="shared" si="326"/>
        <v>6.543460673239478</v>
      </c>
      <c r="O60" s="572">
        <f t="shared" si="327"/>
        <v>-3.4224006278355645</v>
      </c>
      <c r="P60" s="576">
        <f t="shared" si="328"/>
        <v>-0.92556379766040842</v>
      </c>
      <c r="Q60" s="528">
        <f t="shared" si="144"/>
        <v>332.38925920793127</v>
      </c>
      <c r="R60" s="572">
        <f t="shared" si="95"/>
        <v>7.384423040403421</v>
      </c>
      <c r="S60" s="577">
        <f t="shared" si="96"/>
        <v>-0.92556379766040842</v>
      </c>
      <c r="T60" s="578">
        <f t="shared" si="97"/>
        <v>-3.3841705972392209</v>
      </c>
      <c r="U60" s="572">
        <f t="shared" si="98"/>
        <v>-6.563314178707464</v>
      </c>
      <c r="V60" s="579">
        <f t="shared" si="145"/>
        <v>-0.92556379766040842</v>
      </c>
      <c r="W60" s="528">
        <f t="shared" si="268"/>
        <v>242.72350057801856</v>
      </c>
      <c r="X60" s="572">
        <f t="shared" si="99"/>
        <v>7.384423040403421</v>
      </c>
      <c r="Y60" s="573">
        <f t="shared" si="271"/>
        <v>-0.92556379766040842</v>
      </c>
      <c r="Z60" s="575">
        <f t="shared" si="329"/>
        <v>-0.71362514112905018</v>
      </c>
      <c r="AA60" s="572">
        <f t="shared" si="330"/>
        <v>-0.66572737237655344</v>
      </c>
      <c r="AB60" s="572">
        <f t="shared" si="331"/>
        <v>-0.21805096564141419</v>
      </c>
      <c r="AC60" s="579">
        <f t="shared" si="100"/>
        <v>1</v>
      </c>
      <c r="AD60" s="580">
        <f t="shared" si="146"/>
        <v>-0.71362514112905018</v>
      </c>
      <c r="AE60" s="572">
        <f t="shared" si="101"/>
        <v>-0.66572737237655344</v>
      </c>
      <c r="AF60" s="576">
        <f t="shared" si="102"/>
        <v>-0.21805096564141419</v>
      </c>
      <c r="AG60" s="545">
        <f t="shared" si="103"/>
        <v>-71.864415864208141</v>
      </c>
      <c r="AH60" s="546">
        <f t="shared" si="104"/>
        <v>135.5306375066807</v>
      </c>
      <c r="AI60" s="528">
        <f t="shared" si="105"/>
        <v>-77.405417424584542</v>
      </c>
      <c r="AJ60" s="529">
        <f t="shared" si="106"/>
        <v>-46.988786560604588</v>
      </c>
      <c r="AK60" s="578">
        <f t="shared" si="247"/>
        <v>0.92065039801849258</v>
      </c>
      <c r="AL60" s="572">
        <f t="shared" si="107"/>
        <v>-0.32381572075987619</v>
      </c>
      <c r="AM60" s="577">
        <f t="shared" si="108"/>
        <v>-0.21805096564141419</v>
      </c>
      <c r="AN60" s="524">
        <f t="shared" si="109"/>
        <v>-56.044471610855254</v>
      </c>
      <c r="AO60" s="525">
        <f t="shared" si="604"/>
        <v>22.978648356631684</v>
      </c>
      <c r="AP60" s="528">
        <f t="shared" si="111"/>
        <v>-19.378045768535845</v>
      </c>
      <c r="AQ60" s="529">
        <f t="shared" si="332"/>
        <v>0.30871803493266403</v>
      </c>
      <c r="AR60" s="979"/>
      <c r="AS60" s="954">
        <f t="shared" si="524"/>
        <v>242.72350057801856</v>
      </c>
      <c r="AT60" s="950">
        <f t="shared" si="333"/>
        <v>-0.84601937977357056</v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41"/>
        <v>3.15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85"/>
        <v>1613</v>
      </c>
      <c r="IM60" s="482" t="str">
        <f t="shared" si="242"/>
        <v/>
      </c>
      <c r="IN60" s="670" t="str">
        <f t="shared" si="486"/>
        <v/>
      </c>
      <c r="IO60" s="702"/>
      <c r="IP60" s="5" t="str">
        <f t="shared" si="487"/>
        <v/>
      </c>
      <c r="IQ60" s="714"/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>
        <f t="shared" si="133"/>
        <v>50</v>
      </c>
      <c r="JN60" s="960">
        <f>($JO60-SMALL($JO$9:$JO$88,1))/((Settings!$C$19/2)-((Settings!$C$19/2)-LARGE($JO$9:$JO$88,1))-SMALL($JO$9:$JO$88,1))</f>
        <v>0.86026597025366802</v>
      </c>
      <c r="JO60" s="162">
        <f t="shared" si="134"/>
        <v>7.384423040403421</v>
      </c>
      <c r="JP60" s="961">
        <f t="shared" si="135"/>
        <v>-56.044471610855254</v>
      </c>
      <c r="JQ60" s="961">
        <f t="shared" si="136"/>
        <v>22.978648356631684</v>
      </c>
      <c r="JS60" s="31">
        <v>79</v>
      </c>
      <c r="JU60" s="962"/>
      <c r="JV60" s="959"/>
      <c r="JW60" s="959"/>
    </row>
    <row r="61" spans="1:284" ht="15" customHeight="1" x14ac:dyDescent="0.25">
      <c r="A61" s="75">
        <f t="shared" si="322"/>
        <v>0.02</v>
      </c>
      <c r="B61" s="578">
        <f t="shared" ref="B61:D61" si="613">IFERROR(O216+($A61*-E61),"")</f>
        <v>6.9514183036403558</v>
      </c>
      <c r="C61" s="572">
        <f t="shared" si="613"/>
        <v>-3.7131639645518808</v>
      </c>
      <c r="D61" s="576">
        <f t="shared" si="613"/>
        <v>-1.4970971715769574</v>
      </c>
      <c r="E61" s="580">
        <f t="shared" ref="E61:K61" si="614">R216</f>
        <v>0.77666456760965918</v>
      </c>
      <c r="F61" s="572">
        <f t="shared" si="614"/>
        <v>0.60224801106241532</v>
      </c>
      <c r="G61" s="579">
        <f t="shared" si="614"/>
        <v>0.18463337344875144</v>
      </c>
      <c r="H61" s="580">
        <f t="shared" si="614"/>
        <v>0.3125</v>
      </c>
      <c r="I61" s="572">
        <f t="shared" si="614"/>
        <v>0.52</v>
      </c>
      <c r="J61" s="483">
        <f t="shared" si="94"/>
        <v>3.1560000000000001</v>
      </c>
      <c r="K61" s="806">
        <f t="shared" si="614"/>
        <v>1613</v>
      </c>
      <c r="L61" s="309"/>
      <c r="M61" s="164">
        <f t="shared" si="325"/>
        <v>3.1560000000000001</v>
      </c>
      <c r="N61" s="575">
        <f t="shared" si="326"/>
        <v>6.9514183036403558</v>
      </c>
      <c r="O61" s="572">
        <f t="shared" si="327"/>
        <v>-3.7131639645518808</v>
      </c>
      <c r="P61" s="576">
        <f t="shared" si="328"/>
        <v>-1.4970971715769574</v>
      </c>
      <c r="Q61" s="528">
        <f t="shared" si="144"/>
        <v>331.89068638298926</v>
      </c>
      <c r="R61" s="572">
        <f t="shared" si="95"/>
        <v>7.8809772909095992</v>
      </c>
      <c r="S61" s="577">
        <f t="shared" si="96"/>
        <v>-1.4970971715769574</v>
      </c>
      <c r="T61" s="578">
        <f t="shared" si="97"/>
        <v>-3.6725491332861364</v>
      </c>
      <c r="U61" s="572">
        <f t="shared" si="98"/>
        <v>-6.9729610585053505</v>
      </c>
      <c r="V61" s="579">
        <f t="shared" si="145"/>
        <v>-1.4970971715769574</v>
      </c>
      <c r="W61" s="528">
        <f t="shared" si="268"/>
        <v>242.22492775307654</v>
      </c>
      <c r="X61" s="572">
        <f t="shared" si="99"/>
        <v>7.8809772909095992</v>
      </c>
      <c r="Y61" s="573">
        <f t="shared" si="271"/>
        <v>-1.4970971715769574</v>
      </c>
      <c r="Z61" s="575">
        <f t="shared" si="329"/>
        <v>-0.77666456760965918</v>
      </c>
      <c r="AA61" s="572">
        <f t="shared" si="330"/>
        <v>-0.60224801106241532</v>
      </c>
      <c r="AB61" s="572">
        <f t="shared" si="331"/>
        <v>-0.18463337344875144</v>
      </c>
      <c r="AC61" s="579">
        <f t="shared" si="100"/>
        <v>1</v>
      </c>
      <c r="AD61" s="580">
        <f t="shared" si="146"/>
        <v>-0.77666456760965918</v>
      </c>
      <c r="AE61" s="572">
        <f t="shared" si="101"/>
        <v>-0.60224801106241532</v>
      </c>
      <c r="AF61" s="576">
        <f t="shared" si="102"/>
        <v>-0.18463337344875144</v>
      </c>
      <c r="AG61" s="545">
        <f t="shared" si="103"/>
        <v>-72.955840278135128</v>
      </c>
      <c r="AH61" s="546">
        <f t="shared" si="104"/>
        <v>140.95619270588762</v>
      </c>
      <c r="AI61" s="528">
        <f t="shared" si="105"/>
        <v>-79.360241972505349</v>
      </c>
      <c r="AJ61" s="529">
        <f t="shared" si="106"/>
        <v>-52.208972491515475</v>
      </c>
      <c r="AK61" s="578">
        <f t="shared" si="247"/>
        <v>0.89714263490875878</v>
      </c>
      <c r="AL61" s="572">
        <f t="shared" si="107"/>
        <v>-0.40130488414409243</v>
      </c>
      <c r="AM61" s="577">
        <f t="shared" si="108"/>
        <v>-0.18463337344875144</v>
      </c>
      <c r="AN61" s="524">
        <f t="shared" si="109"/>
        <v>-65.293666273498459</v>
      </c>
      <c r="AO61" s="525">
        <f t="shared" si="604"/>
        <v>26.215015312441743</v>
      </c>
      <c r="AP61" s="528">
        <f t="shared" si="111"/>
        <v>-24.099658874504716</v>
      </c>
      <c r="AQ61" s="529">
        <f t="shared" si="332"/>
        <v>0.28926707671573149</v>
      </c>
      <c r="AR61" s="979"/>
      <c r="AS61" s="954">
        <f t="shared" si="524"/>
        <v>242.22492775307654</v>
      </c>
      <c r="AT61" s="950">
        <f t="shared" si="333"/>
        <v>-1.4172065225616877</v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41"/>
        <v>3.1560000000000001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85"/>
        <v>1613</v>
      </c>
      <c r="IM61" s="482" t="str">
        <f t="shared" si="242"/>
        <v/>
      </c>
      <c r="IN61" s="670" t="str">
        <f t="shared" si="486"/>
        <v/>
      </c>
      <c r="IO61" s="702"/>
      <c r="IP61" s="5" t="str">
        <f t="shared" si="487"/>
        <v/>
      </c>
      <c r="IQ61" s="714"/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>
        <f t="shared" si="133"/>
        <v>56</v>
      </c>
      <c r="JN61" s="960">
        <f>($JO61-SMALL($JO$9:$JO$88,1))/((Settings!$C$19/2)-((Settings!$C$19/2)-LARGE($JO$9:$JO$88,1))-SMALL($JO$9:$JO$88,1))</f>
        <v>0.92095156543161261</v>
      </c>
      <c r="JO61" s="162">
        <f t="shared" si="134"/>
        <v>7.8809772909095992</v>
      </c>
      <c r="JP61" s="961">
        <f t="shared" si="135"/>
        <v>-65.293666273498459</v>
      </c>
      <c r="JQ61" s="961">
        <f t="shared" si="136"/>
        <v>26.215015312441743</v>
      </c>
      <c r="JU61" s="962"/>
      <c r="JV61" s="959"/>
      <c r="JW61" s="959"/>
    </row>
    <row r="62" spans="1:284" ht="15" customHeight="1" x14ac:dyDescent="0.25">
      <c r="A62" s="75">
        <f t="shared" si="322"/>
        <v>0.02</v>
      </c>
      <c r="B62" s="578">
        <f t="shared" ref="B62:D62" si="615">IFERROR(O217+($A62*-E62),"")</f>
        <v>7.2396129605050508</v>
      </c>
      <c r="C62" s="572">
        <f t="shared" si="615"/>
        <v>-3.9272230972071083</v>
      </c>
      <c r="D62" s="576">
        <f t="shared" si="615"/>
        <v>-2.1673246287988035</v>
      </c>
      <c r="E62" s="580">
        <f t="shared" ref="E62:K62" si="616">R217</f>
        <v>0.82902349602528436</v>
      </c>
      <c r="F62" s="572">
        <f t="shared" si="616"/>
        <v>0.54244803374821282</v>
      </c>
      <c r="G62" s="579">
        <f t="shared" si="616"/>
        <v>0.13590501727571819</v>
      </c>
      <c r="H62" s="580">
        <f t="shared" si="616"/>
        <v>0.3125</v>
      </c>
      <c r="I62" s="572">
        <f t="shared" si="616"/>
        <v>0.52</v>
      </c>
      <c r="J62" s="483">
        <f t="shared" si="94"/>
        <v>3.1619999999999999</v>
      </c>
      <c r="K62" s="806">
        <f t="shared" si="616"/>
        <v>1613</v>
      </c>
      <c r="L62" s="309"/>
      <c r="M62" s="164">
        <f t="shared" si="325"/>
        <v>3.1619999999999999</v>
      </c>
      <c r="N62" s="575">
        <f t="shared" si="326"/>
        <v>7.2396129605050508</v>
      </c>
      <c r="O62" s="572">
        <f t="shared" si="327"/>
        <v>-3.9272230972071083</v>
      </c>
      <c r="P62" s="576">
        <f t="shared" si="328"/>
        <v>-2.1673246287988035</v>
      </c>
      <c r="Q62" s="528">
        <f t="shared" si="144"/>
        <v>331.52180108515904</v>
      </c>
      <c r="R62" s="572">
        <f t="shared" si="95"/>
        <v>8.2362052592896013</v>
      </c>
      <c r="S62" s="577">
        <f t="shared" si="96"/>
        <v>-2.1673246287988035</v>
      </c>
      <c r="T62" s="578">
        <f t="shared" si="97"/>
        <v>-3.8849234172353162</v>
      </c>
      <c r="U62" s="572">
        <f t="shared" si="98"/>
        <v>-7.262399542531818</v>
      </c>
      <c r="V62" s="579">
        <f t="shared" si="145"/>
        <v>-2.1673246287988035</v>
      </c>
      <c r="W62" s="528">
        <f t="shared" si="268"/>
        <v>241.85604245524632</v>
      </c>
      <c r="X62" s="572">
        <f t="shared" si="99"/>
        <v>8.2362052592896013</v>
      </c>
      <c r="Y62" s="573">
        <f t="shared" si="271"/>
        <v>-2.1673246287988035</v>
      </c>
      <c r="Z62" s="575">
        <f t="shared" si="329"/>
        <v>-0.82902349602528436</v>
      </c>
      <c r="AA62" s="572">
        <f t="shared" si="330"/>
        <v>-0.54244803374821282</v>
      </c>
      <c r="AB62" s="572">
        <f t="shared" si="331"/>
        <v>-0.13590501727571819</v>
      </c>
      <c r="AC62" s="579">
        <f t="shared" si="100"/>
        <v>1</v>
      </c>
      <c r="AD62" s="580">
        <f t="shared" si="146"/>
        <v>-0.82902349602528436</v>
      </c>
      <c r="AE62" s="572">
        <f t="shared" si="101"/>
        <v>-0.54244803374821282</v>
      </c>
      <c r="AF62" s="576">
        <f t="shared" si="102"/>
        <v>-0.13590501727571819</v>
      </c>
      <c r="AG62" s="545">
        <f t="shared" si="103"/>
        <v>-75.934631859992379</v>
      </c>
      <c r="AH62" s="546">
        <f t="shared" si="104"/>
        <v>145.99855772365675</v>
      </c>
      <c r="AI62" s="528">
        <f t="shared" si="105"/>
        <v>-82.189044102197514</v>
      </c>
      <c r="AJ62" s="529">
        <f t="shared" si="106"/>
        <v>-56.80240705713728</v>
      </c>
      <c r="AK62" s="578">
        <f t="shared" si="247"/>
        <v>0.87210964407915581</v>
      </c>
      <c r="AL62" s="572">
        <f t="shared" si="107"/>
        <v>-0.47005807618145978</v>
      </c>
      <c r="AM62" s="577">
        <f t="shared" si="108"/>
        <v>-0.13590501727571819</v>
      </c>
      <c r="AN62" s="524">
        <f t="shared" si="109"/>
        <v>-73.874155377933164</v>
      </c>
      <c r="AO62" s="525">
        <f t="shared" si="604"/>
        <v>29.29527303231578</v>
      </c>
      <c r="AP62" s="528">
        <f t="shared" si="111"/>
        <v>-28.324208142296307</v>
      </c>
      <c r="AQ62" s="529">
        <f t="shared" si="332"/>
        <v>0.27679117088314931</v>
      </c>
      <c r="AR62" s="979"/>
      <c r="AS62" s="954">
        <f t="shared" si="524"/>
        <v>241.85604245524632</v>
      </c>
      <c r="AT62" s="950">
        <f t="shared" si="333"/>
        <v>-2.0871778094378182</v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41"/>
        <v>3.1619999999999999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85"/>
        <v>1613</v>
      </c>
      <c r="IM62" s="482" t="str">
        <f t="shared" si="242"/>
        <v/>
      </c>
      <c r="IN62" s="670" t="str">
        <f t="shared" si="486"/>
        <v/>
      </c>
      <c r="IO62" s="702"/>
      <c r="IP62" s="5" t="str">
        <f t="shared" si="487"/>
        <v/>
      </c>
      <c r="IQ62" s="714"/>
      <c r="IR62" s="9" t="str">
        <f t="shared" si="488"/>
        <v/>
      </c>
      <c r="IS62" s="5" t="str">
        <f t="shared" si="489"/>
        <v/>
      </c>
      <c r="IT62" s="5" t="str">
        <f t="shared" si="490"/>
        <v/>
      </c>
      <c r="IU62" s="5" t="str">
        <f t="shared" si="491"/>
        <v/>
      </c>
      <c r="IV62" s="670" t="str">
        <f t="shared" si="492"/>
        <v/>
      </c>
      <c r="IW62" s="9" t="str">
        <f t="shared" si="493"/>
        <v/>
      </c>
      <c r="IX62" s="5" t="str">
        <f t="shared" si="494"/>
        <v/>
      </c>
      <c r="IY62" s="5" t="str">
        <f t="shared" si="495"/>
        <v/>
      </c>
      <c r="IZ62" s="5" t="str">
        <f t="shared" si="496"/>
        <v/>
      </c>
      <c r="JA62" s="705" t="str">
        <f t="shared" si="497"/>
        <v/>
      </c>
      <c r="JM62" s="489">
        <f t="shared" si="133"/>
        <v>62</v>
      </c>
      <c r="JN62" s="960">
        <f>($JO62-SMALL($JO$9:$JO$88,1))/((Settings!$C$19/2)-((Settings!$C$19/2)-LARGE($JO$9:$JO$88,1))-SMALL($JO$9:$JO$88,1))</f>
        <v>0.96436519176351376</v>
      </c>
      <c r="JO62" s="162">
        <f t="shared" si="134"/>
        <v>8.2362052592896013</v>
      </c>
      <c r="JP62" s="961">
        <f t="shared" si="135"/>
        <v>-73.874155377933164</v>
      </c>
      <c r="JQ62" s="961">
        <f t="shared" si="136"/>
        <v>29.29527303231578</v>
      </c>
      <c r="JU62" s="962"/>
      <c r="JV62" s="959"/>
      <c r="JW62" s="959"/>
    </row>
    <row r="63" spans="1:284" ht="15" customHeight="1" x14ac:dyDescent="0.25">
      <c r="A63" s="75">
        <f t="shared" si="322"/>
        <v>0.02</v>
      </c>
      <c r="B63" s="578">
        <f t="shared" ref="B63:D63" si="617">IFERROR(O218+($A63*-E63),"")</f>
        <v>7.3956234874017213</v>
      </c>
      <c r="C63" s="572">
        <f t="shared" si="617"/>
        <v>-4.0457463464844992</v>
      </c>
      <c r="D63" s="576">
        <f t="shared" si="617"/>
        <v>-2.900276284245384</v>
      </c>
      <c r="E63" s="580">
        <f t="shared" ref="E63:K63" si="618">R218</f>
        <v>0.87578679903101886</v>
      </c>
      <c r="F63" s="572">
        <f t="shared" si="618"/>
        <v>0.47544267950328239</v>
      </c>
      <c r="G63" s="579">
        <f t="shared" si="618"/>
        <v>8.3377102070898129E-2</v>
      </c>
      <c r="H63" s="580">
        <f t="shared" si="618"/>
        <v>0.3125</v>
      </c>
      <c r="I63" s="572">
        <f t="shared" si="618"/>
        <v>0.52</v>
      </c>
      <c r="J63" s="483">
        <f t="shared" si="94"/>
        <v>3.1680000000000001</v>
      </c>
      <c r="K63" s="806">
        <f t="shared" si="618"/>
        <v>1613</v>
      </c>
      <c r="L63" s="309"/>
      <c r="M63" s="164">
        <f t="shared" si="325"/>
        <v>3.1680000000000001</v>
      </c>
      <c r="N63" s="575">
        <f t="shared" si="326"/>
        <v>7.3956234874017213</v>
      </c>
      <c r="O63" s="572">
        <f t="shared" si="327"/>
        <v>-4.0457463464844992</v>
      </c>
      <c r="P63" s="576">
        <f t="shared" si="328"/>
        <v>-2.900276284245384</v>
      </c>
      <c r="Q63" s="528">
        <f t="shared" si="144"/>
        <v>331.31931147508004</v>
      </c>
      <c r="R63" s="572">
        <f t="shared" si="95"/>
        <v>8.4299057092888461</v>
      </c>
      <c r="S63" s="577">
        <f t="shared" si="96"/>
        <v>-2.900276284245384</v>
      </c>
      <c r="T63" s="578">
        <f t="shared" si="97"/>
        <v>-4.0025345500011138</v>
      </c>
      <c r="U63" s="572">
        <f t="shared" si="98"/>
        <v>-7.4190988296118601</v>
      </c>
      <c r="V63" s="579">
        <f t="shared" si="145"/>
        <v>-2.900276284245384</v>
      </c>
      <c r="W63" s="528">
        <f t="shared" si="268"/>
        <v>241.65355284516733</v>
      </c>
      <c r="X63" s="572">
        <f t="shared" si="99"/>
        <v>8.4299057092888461</v>
      </c>
      <c r="Y63" s="573">
        <f t="shared" si="271"/>
        <v>-2.900276284245384</v>
      </c>
      <c r="Z63" s="575">
        <f t="shared" si="329"/>
        <v>-0.87578679903101886</v>
      </c>
      <c r="AA63" s="572">
        <f t="shared" si="330"/>
        <v>-0.47544267950328239</v>
      </c>
      <c r="AB63" s="572">
        <f t="shared" si="331"/>
        <v>-8.3377102070898129E-2</v>
      </c>
      <c r="AC63" s="579">
        <f t="shared" si="100"/>
        <v>1</v>
      </c>
      <c r="AD63" s="580">
        <f t="shared" si="146"/>
        <v>-0.87578679903101886</v>
      </c>
      <c r="AE63" s="572">
        <f t="shared" si="101"/>
        <v>-0.47544267950328239</v>
      </c>
      <c r="AF63" s="576">
        <f t="shared" si="102"/>
        <v>-8.3377102070898129E-2</v>
      </c>
      <c r="AG63" s="545">
        <f t="shared" si="103"/>
        <v>-80.053336013870208</v>
      </c>
      <c r="AH63" s="546">
        <f t="shared" si="104"/>
        <v>151.13823022583554</v>
      </c>
      <c r="AI63" s="528">
        <f t="shared" si="105"/>
        <v>-85.217291631112118</v>
      </c>
      <c r="AJ63" s="529">
        <f t="shared" si="106"/>
        <v>-61.503575125128627</v>
      </c>
      <c r="AK63" s="578">
        <f t="shared" si="247"/>
        <v>0.83742411046757936</v>
      </c>
      <c r="AL63" s="572">
        <f t="shared" si="107"/>
        <v>-0.54015656809654966</v>
      </c>
      <c r="AM63" s="577">
        <f t="shared" si="108"/>
        <v>-8.3377102070898129E-2</v>
      </c>
      <c r="AN63" s="524">
        <f t="shared" si="109"/>
        <v>-81.225231327287702</v>
      </c>
      <c r="AO63" s="525">
        <f t="shared" si="604"/>
        <v>33.130896632143411</v>
      </c>
      <c r="AP63" s="528">
        <f t="shared" si="111"/>
        <v>-32.822886600208683</v>
      </c>
      <c r="AQ63" s="529">
        <f t="shared" si="332"/>
        <v>0.2704312220799408</v>
      </c>
      <c r="AR63" s="979"/>
      <c r="AS63" s="954">
        <f t="shared" si="524"/>
        <v>241.65355284516733</v>
      </c>
      <c r="AT63" s="950">
        <f t="shared" si="333"/>
        <v>-2.8199888470996215</v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41"/>
        <v>3.1680000000000001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85"/>
        <v>1613</v>
      </c>
      <c r="IM63" s="482" t="str">
        <f t="shared" si="242"/>
        <v/>
      </c>
      <c r="IN63" s="670" t="str">
        <f t="shared" si="486"/>
        <v/>
      </c>
      <c r="IO63" s="702"/>
      <c r="IP63" s="5" t="str">
        <f t="shared" si="487"/>
        <v/>
      </c>
      <c r="IQ63" s="714"/>
      <c r="IR63" s="9" t="str">
        <f t="shared" si="488"/>
        <v/>
      </c>
      <c r="IS63" s="5" t="str">
        <f t="shared" si="489"/>
        <v/>
      </c>
      <c r="IT63" s="5" t="str">
        <f t="shared" si="490"/>
        <v/>
      </c>
      <c r="IU63" s="5" t="str">
        <f t="shared" si="491"/>
        <v/>
      </c>
      <c r="IV63" s="670" t="str">
        <f t="shared" si="492"/>
        <v/>
      </c>
      <c r="IW63" s="9" t="str">
        <f t="shared" si="493"/>
        <v/>
      </c>
      <c r="IX63" s="5" t="str">
        <f t="shared" si="494"/>
        <v/>
      </c>
      <c r="IY63" s="5" t="str">
        <f t="shared" si="495"/>
        <v/>
      </c>
      <c r="IZ63" s="5" t="str">
        <f t="shared" si="496"/>
        <v/>
      </c>
      <c r="JA63" s="705" t="str">
        <f t="shared" si="497"/>
        <v/>
      </c>
      <c r="JM63" s="489">
        <f t="shared" si="133"/>
        <v>68</v>
      </c>
      <c r="JN63" s="960">
        <f>($JO63-SMALL($JO$9:$JO$88,1))/((Settings!$C$19/2)-((Settings!$C$19/2)-LARGE($JO$9:$JO$88,1))-SMALL($JO$9:$JO$88,1))</f>
        <v>0.98803798699677825</v>
      </c>
      <c r="JO63" s="162">
        <f t="shared" si="134"/>
        <v>8.4299057092888461</v>
      </c>
      <c r="JP63" s="961">
        <f t="shared" si="135"/>
        <v>-81.225231327287702</v>
      </c>
      <c r="JQ63" s="961">
        <f t="shared" si="136"/>
        <v>33.130896632143411</v>
      </c>
      <c r="JU63" s="962"/>
      <c r="JV63" s="959"/>
      <c r="JW63" s="959"/>
    </row>
    <row r="64" spans="1:284" ht="15" customHeight="1" x14ac:dyDescent="0.25">
      <c r="A64" s="75">
        <f t="shared" si="322"/>
        <v>0.02</v>
      </c>
      <c r="B64" s="578">
        <f t="shared" ref="B64:D64" si="619">IFERROR(O219+($A64*-E64),"")</f>
        <v>7.474463715739919</v>
      </c>
      <c r="C64" s="572">
        <f t="shared" si="619"/>
        <v>-4.1055435936090046</v>
      </c>
      <c r="D64" s="576">
        <f t="shared" si="619"/>
        <v>-3.6574110336672878</v>
      </c>
      <c r="E64" s="580">
        <f t="shared" ref="E64:K64" si="620">R219</f>
        <v>0.93153894751051158</v>
      </c>
      <c r="F64" s="572">
        <f t="shared" si="620"/>
        <v>0.36364156702856076</v>
      </c>
      <c r="G64" s="579">
        <f t="shared" si="620"/>
        <v>1.4578093199527977E-7</v>
      </c>
      <c r="H64" s="580">
        <f t="shared" si="620"/>
        <v>0.3125</v>
      </c>
      <c r="I64" s="572">
        <f t="shared" si="620"/>
        <v>0.52</v>
      </c>
      <c r="J64" s="483">
        <f t="shared" si="94"/>
        <v>3.1739999999999999</v>
      </c>
      <c r="K64" s="806">
        <f t="shared" si="620"/>
        <v>1613</v>
      </c>
      <c r="L64" s="309"/>
      <c r="M64" s="164">
        <f t="shared" si="325"/>
        <v>3.1739999999999999</v>
      </c>
      <c r="N64" s="575">
        <f t="shared" si="326"/>
        <v>7.474463715739919</v>
      </c>
      <c r="O64" s="572">
        <f t="shared" si="327"/>
        <v>-4.1055435936090046</v>
      </c>
      <c r="P64" s="576">
        <f t="shared" si="328"/>
        <v>-3.6574110336672878</v>
      </c>
      <c r="Q64" s="528">
        <f t="shared" si="144"/>
        <v>331.22106372556016</v>
      </c>
      <c r="R64" s="572">
        <f t="shared" si="95"/>
        <v>8.5277837705312702</v>
      </c>
      <c r="S64" s="577">
        <f t="shared" si="96"/>
        <v>-3.6574110336672878</v>
      </c>
      <c r="T64" s="578">
        <f t="shared" si="97"/>
        <v>-4.0618708589220542</v>
      </c>
      <c r="U64" s="572">
        <f t="shared" si="98"/>
        <v>-7.4982865484306709</v>
      </c>
      <c r="V64" s="579">
        <f t="shared" si="145"/>
        <v>-3.6574110336672878</v>
      </c>
      <c r="W64" s="528">
        <f t="shared" si="268"/>
        <v>241.55530509564744</v>
      </c>
      <c r="X64" s="572">
        <f t="shared" si="99"/>
        <v>8.5277837705312702</v>
      </c>
      <c r="Y64" s="573">
        <f t="shared" si="271"/>
        <v>-3.6574110336672878</v>
      </c>
      <c r="Z64" s="575">
        <f t="shared" si="329"/>
        <v>-0.93153894751051158</v>
      </c>
      <c r="AA64" s="572">
        <f t="shared" si="330"/>
        <v>-0.36364156702856076</v>
      </c>
      <c r="AB64" s="572">
        <f t="shared" si="331"/>
        <v>-1.4578093199527977E-7</v>
      </c>
      <c r="AC64" s="579">
        <f t="shared" si="100"/>
        <v>1</v>
      </c>
      <c r="AD64" s="580">
        <f t="shared" si="146"/>
        <v>-0.93153894751051158</v>
      </c>
      <c r="AE64" s="572">
        <f t="shared" si="101"/>
        <v>-0.36364156702856076</v>
      </c>
      <c r="AF64" s="576">
        <f t="shared" si="102"/>
        <v>-1.4578093199527977E-7</v>
      </c>
      <c r="AG64" s="545">
        <f t="shared" si="103"/>
        <v>-89.999977030590301</v>
      </c>
      <c r="AH64" s="546">
        <f t="shared" si="104"/>
        <v>158.67599369396441</v>
      </c>
      <c r="AI64" s="528">
        <f t="shared" si="105"/>
        <v>-89.999991647367864</v>
      </c>
      <c r="AJ64" s="529">
        <f t="shared" si="106"/>
        <v>-68.675993693965992</v>
      </c>
      <c r="AK64" s="578">
        <f t="shared" si="247"/>
        <v>0.76719809419267815</v>
      </c>
      <c r="AL64" s="572">
        <f t="shared" si="107"/>
        <v>-0.64141023087186688</v>
      </c>
      <c r="AM64" s="577">
        <f t="shared" si="108"/>
        <v>-1.4578093199527977E-7</v>
      </c>
      <c r="AN64" s="524">
        <f t="shared" si="109"/>
        <v>-89.999986977706726</v>
      </c>
      <c r="AO64" s="525">
        <f t="shared" si="604"/>
        <v>39.897057419526845</v>
      </c>
      <c r="AP64" s="528">
        <f t="shared" si="111"/>
        <v>-39.897057419526135</v>
      </c>
      <c r="AQ64" s="529">
        <f t="shared" si="332"/>
        <v>0.26732737962124337</v>
      </c>
      <c r="AR64" s="979"/>
      <c r="AS64" s="954">
        <f t="shared" si="524"/>
        <v>241.55530509564744</v>
      </c>
      <c r="AT64" s="950">
        <f t="shared" si="333"/>
        <v>-3.577055368917692</v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41"/>
        <v>3.1739999999999999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85"/>
        <v>1613</v>
      </c>
      <c r="IM64" s="482" t="str">
        <f t="shared" si="242"/>
        <v/>
      </c>
      <c r="IN64" s="670" t="str">
        <f t="shared" si="486"/>
        <v/>
      </c>
      <c r="IO64" s="702"/>
      <c r="IP64" s="5" t="str">
        <f t="shared" si="487"/>
        <v/>
      </c>
      <c r="IQ64" s="714"/>
      <c r="IR64" s="9" t="str">
        <f t="shared" si="488"/>
        <v/>
      </c>
      <c r="IS64" s="5" t="str">
        <f t="shared" si="489"/>
        <v/>
      </c>
      <c r="IT64" s="5" t="str">
        <f t="shared" si="490"/>
        <v/>
      </c>
      <c r="IU64" s="5" t="str">
        <f t="shared" si="491"/>
        <v/>
      </c>
      <c r="IV64" s="670" t="str">
        <f t="shared" si="492"/>
        <v/>
      </c>
      <c r="IW64" s="9" t="str">
        <f t="shared" si="493"/>
        <v/>
      </c>
      <c r="IX64" s="5" t="str">
        <f t="shared" si="494"/>
        <v/>
      </c>
      <c r="IY64" s="5" t="str">
        <f t="shared" si="495"/>
        <v/>
      </c>
      <c r="IZ64" s="5" t="str">
        <f t="shared" si="496"/>
        <v/>
      </c>
      <c r="JA64" s="705" t="str">
        <f t="shared" si="497"/>
        <v/>
      </c>
      <c r="JM64" s="489">
        <f t="shared" si="133"/>
        <v>74</v>
      </c>
      <c r="JN64" s="960">
        <f>($JO64-SMALL($JO$9:$JO$88,1))/((Settings!$C$19/2)-((Settings!$C$19/2)-LARGE($JO$9:$JO$88,1))-SMALL($JO$9:$JO$88,1))</f>
        <v>0.99999999999999978</v>
      </c>
      <c r="JO64" s="162">
        <f t="shared" si="134"/>
        <v>8.5277837705312702</v>
      </c>
      <c r="JP64" s="961">
        <f t="shared" si="135"/>
        <v>-89.999986977706726</v>
      </c>
      <c r="JQ64" s="961">
        <f t="shared" si="136"/>
        <v>39.897057419526845</v>
      </c>
      <c r="JU64" s="962"/>
      <c r="JV64" s="959"/>
      <c r="JW64" s="959"/>
    </row>
    <row r="65" spans="1:283" ht="15" customHeight="1" x14ac:dyDescent="0.25">
      <c r="A65" s="75">
        <f t="shared" si="322"/>
        <v>0</v>
      </c>
      <c r="B65" s="578">
        <f t="shared" ref="B65:D65" si="621">IFERROR(O220+($A65*-E65),"")</f>
        <v>3.552248886683147</v>
      </c>
      <c r="C65" s="572">
        <f t="shared" si="621"/>
        <v>-2.8483825481872498</v>
      </c>
      <c r="D65" s="576">
        <f t="shared" si="621"/>
        <v>-6.9600164674096687E-2</v>
      </c>
      <c r="E65" s="580">
        <f t="shared" ref="E65:K65" si="622">R220</f>
        <v>-8.1549085914037145E-2</v>
      </c>
      <c r="F65" s="572">
        <f t="shared" si="622"/>
        <v>6.5390695639205618E-2</v>
      </c>
      <c r="G65" s="579">
        <f t="shared" si="622"/>
        <v>0.99452189694868243</v>
      </c>
      <c r="H65" s="580">
        <f t="shared" si="622"/>
        <v>0.255</v>
      </c>
      <c r="I65" s="572">
        <f t="shared" si="622"/>
        <v>0.41499999999999992</v>
      </c>
      <c r="J65" s="483">
        <f t="shared" si="94"/>
        <v>3.226</v>
      </c>
      <c r="K65" s="806" t="str">
        <f t="shared" si="622"/>
        <v>CPS-32193r1</v>
      </c>
      <c r="L65" s="309"/>
      <c r="M65" s="164">
        <f t="shared" si="325"/>
        <v>3.226</v>
      </c>
      <c r="N65" s="575">
        <f t="shared" si="326"/>
        <v>3.552248886683147</v>
      </c>
      <c r="O65" s="572">
        <f t="shared" si="327"/>
        <v>-2.8483825481872498</v>
      </c>
      <c r="P65" s="576">
        <f t="shared" si="328"/>
        <v>-6.9600164674096687E-2</v>
      </c>
      <c r="Q65" s="528">
        <f t="shared" si="144"/>
        <v>321.27550198157235</v>
      </c>
      <c r="R65" s="572">
        <f t="shared" si="95"/>
        <v>4.5532137324926172</v>
      </c>
      <c r="S65" s="577">
        <f t="shared" si="96"/>
        <v>-6.9600164674096687E-2</v>
      </c>
      <c r="T65" s="578">
        <f t="shared" si="97"/>
        <v>-2.8276117559887646</v>
      </c>
      <c r="U65" s="572">
        <f t="shared" si="98"/>
        <v>-3.5688047090242252</v>
      </c>
      <c r="V65" s="579">
        <f t="shared" si="145"/>
        <v>-6.9600164674096687E-2</v>
      </c>
      <c r="W65" s="528">
        <f t="shared" si="268"/>
        <v>231.60974335165963</v>
      </c>
      <c r="X65" s="572">
        <f t="shared" si="99"/>
        <v>4.5532137324926172</v>
      </c>
      <c r="Y65" s="573">
        <f t="shared" si="271"/>
        <v>-6.9600164674096687E-2</v>
      </c>
      <c r="Z65" s="575">
        <f t="shared" si="329"/>
        <v>8.1549085914037145E-2</v>
      </c>
      <c r="AA65" s="572">
        <f t="shared" si="330"/>
        <v>-6.5390695639205618E-2</v>
      </c>
      <c r="AB65" s="572">
        <f t="shared" si="331"/>
        <v>-0.99452189694868243</v>
      </c>
      <c r="AC65" s="579">
        <f t="shared" si="100"/>
        <v>1</v>
      </c>
      <c r="AD65" s="580">
        <f t="shared" si="146"/>
        <v>8.1549085914037145E-2</v>
      </c>
      <c r="AE65" s="572">
        <f t="shared" si="101"/>
        <v>-6.5390695639205618E-2</v>
      </c>
      <c r="AF65" s="576">
        <f t="shared" si="102"/>
        <v>-0.99452189694868243</v>
      </c>
      <c r="AG65" s="545">
        <f t="shared" si="103"/>
        <v>-3.7618334627600927</v>
      </c>
      <c r="AH65" s="546">
        <f t="shared" si="104"/>
        <v>85.32238719976155</v>
      </c>
      <c r="AI65" s="528">
        <f t="shared" si="105"/>
        <v>-5.999999133721337</v>
      </c>
      <c r="AJ65" s="529">
        <f t="shared" si="106"/>
        <v>51.275377667181189</v>
      </c>
      <c r="AK65" s="578">
        <f t="shared" si="247"/>
        <v>2.267948967862865E-7</v>
      </c>
      <c r="AL65" s="572">
        <f t="shared" si="107"/>
        <v>0.10452844823081801</v>
      </c>
      <c r="AM65" s="577">
        <f t="shared" si="108"/>
        <v>-0.99452189694868243</v>
      </c>
      <c r="AN65" s="524">
        <f t="shared" si="109"/>
        <v>5.9999991337073038</v>
      </c>
      <c r="AO65" s="525">
        <f t="shared" si="604"/>
        <v>0</v>
      </c>
      <c r="AP65" s="528">
        <f t="shared" si="111"/>
        <v>89.999875685608842</v>
      </c>
      <c r="AQ65" s="529">
        <f t="shared" si="332"/>
        <v>0.50067243478113332</v>
      </c>
      <c r="AR65" s="979"/>
      <c r="AS65" s="954">
        <f t="shared" si="524"/>
        <v>231.60974335165963</v>
      </c>
      <c r="AT65" s="950">
        <f t="shared" si="333"/>
        <v>1.7662140175490407E-2</v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>Nose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41"/>
        <v>3.226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3.1259999999999999</v>
      </c>
      <c r="IK65" s="677" cm="1">
        <f t="array" ref="IK65">IFERROR(ROUND(VALUE(IF($IJ65&lt;1,$IJ65+LARGE((IF($M$9:$M$150="",0,$M$9:$M$150)-MOD(IF($M$9:$M$150="",0,$M$9:$M$150),1)),1),$IJ65)),4),"")</f>
        <v>3.1259999999999999</v>
      </c>
      <c r="IL65" s="482">
        <f t="shared" si="485"/>
        <v>1613</v>
      </c>
      <c r="IM65" s="482" t="str">
        <f t="shared" si="242"/>
        <v>CPS-32193r1</v>
      </c>
      <c r="IN65" s="670">
        <f t="shared" si="486"/>
        <v>13.264460699326946</v>
      </c>
      <c r="IO65" s="702">
        <v>1.8913364399845801E-2</v>
      </c>
      <c r="IP65" s="5">
        <f t="shared" si="487"/>
        <v>0.48</v>
      </c>
      <c r="IQ65" s="714">
        <v>240</v>
      </c>
      <c r="IR65" s="9">
        <f t="shared" si="488"/>
        <v>-4.5507012369319941</v>
      </c>
      <c r="IS65" s="5">
        <f t="shared" si="489"/>
        <v>-9.7227657557345665E-2</v>
      </c>
      <c r="IT65" s="5">
        <f t="shared" si="490"/>
        <v>0.3125</v>
      </c>
      <c r="IU65" s="5">
        <f t="shared" si="491"/>
        <v>0.30162526435475112</v>
      </c>
      <c r="IV65" s="670">
        <f t="shared" si="492"/>
        <v>1.8795979937514775</v>
      </c>
      <c r="IW65" s="9">
        <f t="shared" si="493"/>
        <v>-4.5532137324926172</v>
      </c>
      <c r="IX65" s="5">
        <f t="shared" si="494"/>
        <v>-6.9600164674096687E-2</v>
      </c>
      <c r="IY65" s="5">
        <f t="shared" si="495"/>
        <v>0.255</v>
      </c>
      <c r="IZ65" s="5">
        <f t="shared" si="496"/>
        <v>0.255</v>
      </c>
      <c r="JA65" s="705">
        <f t="shared" si="497"/>
        <v>-5.9999991337073038</v>
      </c>
      <c r="JM65" s="489">
        <f t="shared" si="133"/>
        <v>26</v>
      </c>
      <c r="JN65" s="960">
        <f>($JO65-SMALL($JO$9:$JO$88,1))/((Settings!$C$19/2)-((Settings!$C$19/2)-LARGE($JO$9:$JO$88,1))-SMALL($JO$9:$JO$88,1))</f>
        <v>0.51425418654874533</v>
      </c>
      <c r="JO65" s="162">
        <f t="shared" si="134"/>
        <v>4.5532137324926172</v>
      </c>
      <c r="JP65" s="961">
        <f t="shared" si="135"/>
        <v>5.9999991337073038</v>
      </c>
      <c r="JQ65" s="961">
        <f t="shared" si="136"/>
        <v>0</v>
      </c>
      <c r="JU65" s="962"/>
      <c r="JV65" s="959"/>
      <c r="JW65" s="959"/>
    </row>
    <row r="66" spans="1:283" ht="15" customHeight="1" x14ac:dyDescent="0.25">
      <c r="A66" s="75">
        <f t="shared" si="322"/>
        <v>0</v>
      </c>
      <c r="B66" s="578">
        <f t="shared" ref="B66:D66" si="623">IFERROR(O221+($A66*-E66),"")</f>
        <v>4.176115428986483</v>
      </c>
      <c r="C66" s="572">
        <f t="shared" si="623"/>
        <v>-3.3256298777884026</v>
      </c>
      <c r="D66" s="576">
        <f t="shared" si="623"/>
        <v>-2.7900038906517335E-2</v>
      </c>
      <c r="E66" s="580">
        <f t="shared" ref="E66:K66" si="624">R221</f>
        <v>4.2303906680496488E-2</v>
      </c>
      <c r="F66" s="572">
        <f t="shared" si="624"/>
        <v>-3.3688227168990732E-2</v>
      </c>
      <c r="G66" s="579">
        <f t="shared" si="624"/>
        <v>0.99853667074864028</v>
      </c>
      <c r="H66" s="580">
        <f t="shared" si="624"/>
        <v>0.255</v>
      </c>
      <c r="I66" s="572">
        <f t="shared" si="624"/>
        <v>0.41499999999999992</v>
      </c>
      <c r="J66" s="483">
        <f t="shared" si="94"/>
        <v>3.2320000000000002</v>
      </c>
      <c r="K66" s="806" t="str">
        <f t="shared" si="624"/>
        <v>CPS-32193r1</v>
      </c>
      <c r="L66" s="309"/>
      <c r="M66" s="164">
        <f t="shared" si="325"/>
        <v>3.2320000000000002</v>
      </c>
      <c r="N66" s="575">
        <f t="shared" si="326"/>
        <v>4.176115428986483</v>
      </c>
      <c r="O66" s="572">
        <f t="shared" si="327"/>
        <v>-3.3256298777884026</v>
      </c>
      <c r="P66" s="576">
        <f t="shared" si="328"/>
        <v>-2.7900038906517335E-2</v>
      </c>
      <c r="Q66" s="528">
        <f t="shared" si="144"/>
        <v>321.46810195376435</v>
      </c>
      <c r="R66" s="572">
        <f t="shared" si="95"/>
        <v>5.3385161009645614</v>
      </c>
      <c r="S66" s="577">
        <f t="shared" si="96"/>
        <v>-2.7900038906517335E-2</v>
      </c>
      <c r="T66" s="578">
        <f t="shared" si="97"/>
        <v>-3.301211590045134</v>
      </c>
      <c r="U66" s="572">
        <f t="shared" si="98"/>
        <v>-4.1954446960971303</v>
      </c>
      <c r="V66" s="579">
        <f t="shared" si="145"/>
        <v>-2.7900038906517335E-2</v>
      </c>
      <c r="W66" s="528">
        <f t="shared" si="268"/>
        <v>231.80234332385163</v>
      </c>
      <c r="X66" s="572">
        <f t="shared" si="99"/>
        <v>5.3385161009645614</v>
      </c>
      <c r="Y66" s="573">
        <f t="shared" si="271"/>
        <v>-2.7900038906517335E-2</v>
      </c>
      <c r="Z66" s="575">
        <f t="shared" si="329"/>
        <v>-4.2303906680496488E-2</v>
      </c>
      <c r="AA66" s="572">
        <f t="shared" si="330"/>
        <v>3.3688227168990732E-2</v>
      </c>
      <c r="AB66" s="572">
        <f t="shared" si="331"/>
        <v>-0.99853667074864028</v>
      </c>
      <c r="AC66" s="579">
        <f t="shared" si="100"/>
        <v>1</v>
      </c>
      <c r="AD66" s="580">
        <f t="shared" si="146"/>
        <v>-4.2303906680496488E-2</v>
      </c>
      <c r="AE66" s="572">
        <f t="shared" si="101"/>
        <v>3.3688227168990732E-2</v>
      </c>
      <c r="AF66" s="576">
        <f t="shared" si="102"/>
        <v>-0.99853667074864028</v>
      </c>
      <c r="AG66" s="545">
        <f t="shared" si="103"/>
        <v>1.9322889791129787</v>
      </c>
      <c r="AH66" s="546">
        <f t="shared" si="104"/>
        <v>92.424558850115631</v>
      </c>
      <c r="AI66" s="528">
        <f t="shared" si="105"/>
        <v>-3.0999995524425974</v>
      </c>
      <c r="AJ66" s="529">
        <f t="shared" si="106"/>
        <v>-128.53165776003937</v>
      </c>
      <c r="AK66" s="578">
        <f t="shared" si="247"/>
        <v>2.2679489674465314E-7</v>
      </c>
      <c r="AL66" s="572">
        <f t="shared" si="107"/>
        <v>-5.4078805184381108E-2</v>
      </c>
      <c r="AM66" s="577">
        <f t="shared" si="108"/>
        <v>-0.99853667074864028</v>
      </c>
      <c r="AN66" s="524">
        <f t="shared" si="109"/>
        <v>-3.0999995524154507</v>
      </c>
      <c r="AO66" s="525">
        <f t="shared" si="604"/>
        <v>0</v>
      </c>
      <c r="AP66" s="528">
        <f t="shared" si="111"/>
        <v>-89.999759713803698</v>
      </c>
      <c r="AQ66" s="529">
        <f t="shared" si="332"/>
        <v>0.42702585845631669</v>
      </c>
      <c r="AR66" s="979"/>
      <c r="AS66" s="954">
        <f t="shared" si="524"/>
        <v>231.80234332385163</v>
      </c>
      <c r="AT66" s="950">
        <f t="shared" si="333"/>
        <v>5.9228515962380865E-2</v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>Nose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41"/>
        <v>3.2320000000000002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3.1320000000000001</v>
      </c>
      <c r="IK66" s="677" cm="1">
        <f t="array" ref="IK66">IFERROR(ROUND(VALUE(IF($IJ66&lt;1,$IJ66+LARGE((IF($M$9:$M$150="",0,$M$9:$M$150)-MOD(IF($M$9:$M$150="",0,$M$9:$M$150),1)),1),$IJ66)),4),"")</f>
        <v>3.1320000000000001</v>
      </c>
      <c r="IL66" s="482">
        <f t="shared" si="485"/>
        <v>1613</v>
      </c>
      <c r="IM66" s="482" t="str">
        <f t="shared" si="242"/>
        <v>CPS-32193r1</v>
      </c>
      <c r="IN66" s="670">
        <f t="shared" si="486"/>
        <v>12.657492270664704</v>
      </c>
      <c r="IO66" s="702">
        <v>1.6519442754745099E-2</v>
      </c>
      <c r="IP66" s="5">
        <f t="shared" si="487"/>
        <v>0.48</v>
      </c>
      <c r="IQ66" s="714">
        <v>240</v>
      </c>
      <c r="IR66" s="9">
        <f t="shared" si="488"/>
        <v>-5.321461549691584</v>
      </c>
      <c r="IS66" s="5">
        <f t="shared" si="489"/>
        <v>-5.2672356492847877E-2</v>
      </c>
      <c r="IT66" s="5">
        <f t="shared" si="490"/>
        <v>0.3125</v>
      </c>
      <c r="IU66" s="5">
        <f t="shared" si="491"/>
        <v>0.3010867099323486</v>
      </c>
      <c r="IV66" s="670">
        <f t="shared" si="492"/>
        <v>18.728156694021024</v>
      </c>
      <c r="IW66" s="9">
        <f t="shared" si="493"/>
        <v>-5.3385161009645614</v>
      </c>
      <c r="IX66" s="5">
        <f t="shared" si="494"/>
        <v>-2.7900038906517335E-2</v>
      </c>
      <c r="IY66" s="5">
        <f t="shared" si="495"/>
        <v>0.255</v>
      </c>
      <c r="IZ66" s="5">
        <f t="shared" si="496"/>
        <v>0.255</v>
      </c>
      <c r="JA66" s="705">
        <f t="shared" si="497"/>
        <v>3.0999995524154507</v>
      </c>
      <c r="JM66" s="489">
        <f t="shared" si="133"/>
        <v>32</v>
      </c>
      <c r="JN66" s="960">
        <f>($JO66-SMALL($JO$9:$JO$88,1))/((Settings!$C$19/2)-((Settings!$C$19/2)-LARGE($JO$9:$JO$88,1))-SMALL($JO$9:$JO$88,1))</f>
        <v>0.61022867790953683</v>
      </c>
      <c r="JO66" s="162">
        <f t="shared" si="134"/>
        <v>5.3385161009645614</v>
      </c>
      <c r="JP66" s="961">
        <f t="shared" si="135"/>
        <v>-3.0999995524154507</v>
      </c>
      <c r="JQ66" s="961">
        <f t="shared" si="136"/>
        <v>0</v>
      </c>
      <c r="JU66" s="962"/>
      <c r="JV66" s="959"/>
      <c r="JW66" s="959"/>
    </row>
    <row r="67" spans="1:283" ht="15" customHeight="1" x14ac:dyDescent="0.25">
      <c r="A67" s="75">
        <f t="shared" si="322"/>
        <v>0.02</v>
      </c>
      <c r="B67" s="578">
        <f t="shared" ref="B67:D67" si="625">IFERROR(O222+($A67*-E67),"")</f>
        <v>4.8694232566979521</v>
      </c>
      <c r="C67" s="572">
        <f t="shared" si="625"/>
        <v>-3.6682986389778347</v>
      </c>
      <c r="D67" s="576">
        <f t="shared" si="625"/>
        <v>-0.1575993869009937</v>
      </c>
      <c r="E67" s="580">
        <f t="shared" ref="E67:K67" si="626">R222</f>
        <v>0.72708292421701082</v>
      </c>
      <c r="F67" s="572">
        <f t="shared" si="626"/>
        <v>0.61982430388838616</v>
      </c>
      <c r="G67" s="579">
        <f t="shared" si="626"/>
        <v>0.29524270290951865</v>
      </c>
      <c r="H67" s="580">
        <f t="shared" si="626"/>
        <v>0.26450000000000001</v>
      </c>
      <c r="I67" s="572">
        <f t="shared" si="626"/>
        <v>0.52</v>
      </c>
      <c r="J67" s="483">
        <f t="shared" si="94"/>
        <v>3.238</v>
      </c>
      <c r="K67" s="806">
        <f t="shared" si="626"/>
        <v>1313</v>
      </c>
      <c r="L67" s="309"/>
      <c r="M67" s="164">
        <f t="shared" si="325"/>
        <v>3.238</v>
      </c>
      <c r="N67" s="575">
        <f t="shared" si="326"/>
        <v>4.8694232566979521</v>
      </c>
      <c r="O67" s="572">
        <f t="shared" si="327"/>
        <v>-3.6682986389778347</v>
      </c>
      <c r="P67" s="576">
        <f t="shared" si="328"/>
        <v>-0.1575993869009937</v>
      </c>
      <c r="Q67" s="528">
        <f t="shared" si="144"/>
        <v>323.00806840897735</v>
      </c>
      <c r="R67" s="572">
        <f>IF(M67="","",SQRT(N67^2+O67^2))</f>
        <v>6.096531617042392</v>
      </c>
      <c r="S67" s="577">
        <f>IF(M67="","",P67)</f>
        <v>-0.1575993869009937</v>
      </c>
      <c r="T67" s="578">
        <f>IF(M67="","",X67*COS(RADIANS(W67)))</f>
        <v>-3.6398300543608695</v>
      </c>
      <c r="U67" s="572">
        <f>IF(M67="","",X67*SIN(RADIANS(W67)))</f>
        <v>-4.8907397122489424</v>
      </c>
      <c r="V67" s="579">
        <f>IF(M67="","",Y67)</f>
        <v>-0.1575993869009937</v>
      </c>
      <c r="W67" s="528">
        <f t="shared" si="268"/>
        <v>233.34230977906464</v>
      </c>
      <c r="X67" s="572">
        <f>IF(M67="","",R67)</f>
        <v>6.096531617042392</v>
      </c>
      <c r="Y67" s="573">
        <f t="shared" si="271"/>
        <v>-0.1575993869009937</v>
      </c>
      <c r="Z67" s="575">
        <f t="shared" si="329"/>
        <v>-0.72708292421701082</v>
      </c>
      <c r="AA67" s="572">
        <f t="shared" si="330"/>
        <v>-0.61982430388838616</v>
      </c>
      <c r="AB67" s="572">
        <f t="shared" si="331"/>
        <v>-0.29524270290951865</v>
      </c>
      <c r="AC67" s="579">
        <f>IF(M67="","",SQRT(Z67^2+AA67^2+AB67^2))</f>
        <v>1</v>
      </c>
      <c r="AD67" s="580">
        <f>IF(M67="","",Z67*(1/SQRT(Z67^2+AA67^2+AB67^2)))</f>
        <v>-0.72708292421701082</v>
      </c>
      <c r="AE67" s="572">
        <f>IF(M67="","",AA67*(1/SQRT(Z67^2+AA67^2+AB67^2)))</f>
        <v>-0.61982430388838616</v>
      </c>
      <c r="AF67" s="576">
        <f>IF(M67="","",AB67*(1/SQRT(Z67^2+AA67^2+AB67^2)))</f>
        <v>-0.29524270290951865</v>
      </c>
      <c r="AG67" s="545">
        <f>IF(M67="","",DEGREES(ATAN2(-AF67,AE67)))</f>
        <v>-64.530003788688134</v>
      </c>
      <c r="AH67" s="546">
        <f>IF(M67="","",DEGREES(ACOS(AD67)))</f>
        <v>136.64239950029449</v>
      </c>
      <c r="AI67" s="528">
        <f>IF(M67="","",DEGREES(-ACOS(-AF67)))</f>
        <v>-72.827908533241882</v>
      </c>
      <c r="AJ67" s="529">
        <f>IF(M67="","",DEGREES(ATAN2(-AE67,AD67)))</f>
        <v>-49.553041912738124</v>
      </c>
      <c r="AK67" s="578">
        <f>IF(M67="","",(COS(RADIANS((90-$Q$8)-W67))*AD67)+(-SIN(RADIANS((90-$Q$8)-W67))*AE67))</f>
        <v>0.93255387470755724</v>
      </c>
      <c r="AL67" s="572">
        <f>IF(M67="","",(SIN(RADIANS((90-$Q$8)-W67))*AD67)+(COS(RADIANS((90-$Q$8)-W67))*AE67))</f>
        <v>-0.20778598881205568</v>
      </c>
      <c r="AM67" s="577">
        <f>IF(M67="","",AF67)</f>
        <v>-0.29524270290951865</v>
      </c>
      <c r="AN67" s="524">
        <f>IF(M67="","",DEGREES(ATAN2(-AM67,AL67)))</f>
        <v>-35.1371269128988</v>
      </c>
      <c r="AO67" s="525">
        <f t="shared" si="604"/>
        <v>21.163517218972075</v>
      </c>
      <c r="AP67" s="528">
        <f>IF(M67="","",DEGREES(ATAN2(AK67,AL67)))</f>
        <v>-12.56111032171547</v>
      </c>
      <c r="AQ67" s="529">
        <f t="shared" si="332"/>
        <v>0.37393298484449516</v>
      </c>
      <c r="AR67" s="979"/>
      <c r="AS67" s="954">
        <f t="shared" si="524"/>
        <v>233.34230977906464</v>
      </c>
      <c r="AT67" s="950">
        <f t="shared" si="333"/>
        <v>-7.1540253181548982E-2</v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>Nose</v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41"/>
        <v>3.238</v>
      </c>
      <c r="IJ67" s="674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3.1379999999999999</v>
      </c>
      <c r="IK67" s="677" cm="1">
        <f t="array" ref="IK67">IFERROR(ROUND(VALUE(IF($IJ67&lt;1,$IJ67+LARGE((IF($M$9:$M$150="",0,$M$9:$M$150)-MOD(IF($M$9:$M$150="",0,$M$9:$M$150),1)),1),$IJ67)),4),"")</f>
        <v>3.1379999999999999</v>
      </c>
      <c r="IL67" s="482">
        <f t="shared" si="485"/>
        <v>1613</v>
      </c>
      <c r="IM67" s="482">
        <f t="shared" si="242"/>
        <v>1313</v>
      </c>
      <c r="IN67" s="670">
        <f t="shared" si="486"/>
        <v>10.57274223019914</v>
      </c>
      <c r="IO67" s="702">
        <v>1.65349077128348E-2</v>
      </c>
      <c r="IP67" s="5">
        <f t="shared" si="487"/>
        <v>0.62</v>
      </c>
      <c r="IQ67" s="714">
        <v>310</v>
      </c>
      <c r="IR67" s="9">
        <f t="shared" si="488"/>
        <v>-6.071904939889178</v>
      </c>
      <c r="IS67" s="5">
        <f t="shared" si="489"/>
        <v>-0.18505919016643571</v>
      </c>
      <c r="IT67" s="5">
        <f t="shared" si="490"/>
        <v>0.3125</v>
      </c>
      <c r="IU67" s="5">
        <f t="shared" si="491"/>
        <v>0.30018192067762689</v>
      </c>
      <c r="IV67" s="670">
        <f t="shared" si="492"/>
        <v>34.924090023377211</v>
      </c>
      <c r="IW67" s="9">
        <f t="shared" si="493"/>
        <v>-6.096531617042392</v>
      </c>
      <c r="IX67" s="5">
        <f t="shared" si="494"/>
        <v>-0.1575993869009937</v>
      </c>
      <c r="IY67" s="5">
        <f t="shared" si="495"/>
        <v>0.26450000000000001</v>
      </c>
      <c r="IZ67" s="5">
        <f t="shared" si="496"/>
        <v>0.24666049986014893</v>
      </c>
      <c r="JA67" s="705">
        <f t="shared" si="497"/>
        <v>35.1371269128988</v>
      </c>
      <c r="JM67" s="489">
        <f t="shared" si="133"/>
        <v>38</v>
      </c>
      <c r="JN67" s="960">
        <f>($JO67-SMALL($JO$9:$JO$88,1))/((Settings!$C$19/2)-((Settings!$C$19/2)-LARGE($JO$9:$JO$88,1))-SMALL($JO$9:$JO$88,1))</f>
        <v>0.70286834960786138</v>
      </c>
      <c r="JO67" s="162">
        <f t="shared" si="134"/>
        <v>6.096531617042392</v>
      </c>
      <c r="JP67" s="961">
        <f t="shared" si="135"/>
        <v>-35.1371269128988</v>
      </c>
      <c r="JQ67" s="961">
        <f t="shared" si="136"/>
        <v>21.163517218972075</v>
      </c>
      <c r="JU67" s="962"/>
      <c r="JV67" s="959"/>
      <c r="JW67" s="959"/>
    </row>
    <row r="68" spans="1:283" ht="15" customHeight="1" x14ac:dyDescent="0.25">
      <c r="A68" s="75">
        <f t="shared" si="322"/>
        <v>0.02</v>
      </c>
      <c r="B68" s="578">
        <f t="shared" ref="B68:D68" si="627">IFERROR(O223+($A68*-E68),"")</f>
        <v>5.3819610563347524</v>
      </c>
      <c r="C68" s="572">
        <f t="shared" si="627"/>
        <v>-4.1597409136447778</v>
      </c>
      <c r="D68" s="576">
        <f t="shared" si="627"/>
        <v>-0.45473121876825223</v>
      </c>
      <c r="E68" s="580">
        <f t="shared" ref="E68:K68" si="628">R223</f>
        <v>0.79403627566232537</v>
      </c>
      <c r="F68" s="572">
        <f t="shared" si="628"/>
        <v>0.54327916595992876</v>
      </c>
      <c r="G68" s="579">
        <f t="shared" si="628"/>
        <v>0.27267955692751866</v>
      </c>
      <c r="H68" s="580">
        <f t="shared" si="628"/>
        <v>0.26450000000000001</v>
      </c>
      <c r="I68" s="572">
        <f t="shared" si="628"/>
        <v>0.52</v>
      </c>
      <c r="J68" s="483">
        <f t="shared" si="94"/>
        <v>3.2440000000000002</v>
      </c>
      <c r="K68" s="806">
        <f t="shared" si="628"/>
        <v>1313</v>
      </c>
      <c r="L68" s="309"/>
      <c r="M68" s="164">
        <f t="shared" si="325"/>
        <v>3.2440000000000002</v>
      </c>
      <c r="N68" s="575">
        <f t="shared" si="326"/>
        <v>5.3819610563347524</v>
      </c>
      <c r="O68" s="572">
        <f t="shared" si="327"/>
        <v>-4.1597409136447778</v>
      </c>
      <c r="P68" s="576">
        <f t="shared" si="328"/>
        <v>-0.45473121876825223</v>
      </c>
      <c r="Q68" s="528">
        <f t="shared" si="144"/>
        <v>322.29940880203287</v>
      </c>
      <c r="R68" s="572">
        <f>IF(M68="","",SQRT(N68^2+O68^2))</f>
        <v>6.8021282905098293</v>
      </c>
      <c r="S68" s="577">
        <f>IF(M68="","",P68)</f>
        <v>-0.45473121876825223</v>
      </c>
      <c r="T68" s="578">
        <f>IF(M68="","",X68*COS(RADIANS(W68)))</f>
        <v>-4.1282740370000077</v>
      </c>
      <c r="U68" s="572">
        <f>IF(M68="","",X68*SIN(RADIANS(W68)))</f>
        <v>-5.4061356583039828</v>
      </c>
      <c r="V68" s="579">
        <f>IF(M68="","",Y68)</f>
        <v>-0.45473121876825223</v>
      </c>
      <c r="W68" s="528">
        <f t="shared" si="268"/>
        <v>232.63365017212016</v>
      </c>
      <c r="X68" s="572">
        <f>IF(M68="","",R68)</f>
        <v>6.8021282905098293</v>
      </c>
      <c r="Y68" s="573">
        <f t="shared" si="271"/>
        <v>-0.45473121876825223</v>
      </c>
      <c r="Z68" s="575">
        <f t="shared" si="329"/>
        <v>-0.79403627566232537</v>
      </c>
      <c r="AA68" s="572">
        <f t="shared" si="330"/>
        <v>-0.54327916595992876</v>
      </c>
      <c r="AB68" s="572">
        <f t="shared" si="331"/>
        <v>-0.27267955692751866</v>
      </c>
      <c r="AC68" s="579">
        <f>IF(M68="","",SQRT(Z68^2+AA68^2+AB68^2))</f>
        <v>1</v>
      </c>
      <c r="AD68" s="580">
        <f>IF(M68="","",Z68*(1/SQRT(Z68^2+AA68^2+AB68^2)))</f>
        <v>-0.79403627566232537</v>
      </c>
      <c r="AE68" s="572">
        <f>IF(M68="","",AA68*(1/SQRT(Z68^2+AA68^2+AB68^2)))</f>
        <v>-0.54327916595992876</v>
      </c>
      <c r="AF68" s="576">
        <f>IF(M68="","",AB68*(1/SQRT(Z68^2+AA68^2+AB68^2)))</f>
        <v>-0.27267955692751866</v>
      </c>
      <c r="AG68" s="545">
        <f>IF(M68="","",DEGREES(ATAN2(-AF68,AE68)))</f>
        <v>-63.347273115853646</v>
      </c>
      <c r="AH68" s="546">
        <f>IF(M68="","",DEGREES(ACOS(AD68)))</f>
        <v>142.56432399712304</v>
      </c>
      <c r="AI68" s="528">
        <f>IF(M68="","",DEGREES(-ACOS(-AF68)))</f>
        <v>-74.176221484595089</v>
      </c>
      <c r="AJ68" s="529">
        <f>IF(M68="","",DEGREES(ATAN2(-AE68,AD68)))</f>
        <v>-55.620088384455933</v>
      </c>
      <c r="AK68" s="578">
        <f>IF(M68="","",(COS(RADIANS((90-$Q$8)-W68))*AD68)+(-SIN(RADIANS((90-$Q$8)-W68))*AE68))</f>
        <v>0.91543296903010118</v>
      </c>
      <c r="AL68" s="572">
        <f>IF(M68="","",(SIN(RADIANS((90-$Q$8)-W68))*AD68)+(COS(RADIANS((90-$Q$8)-W68))*AE68))</f>
        <v>-0.29602084123680555</v>
      </c>
      <c r="AM68" s="577">
        <f>IF(M68="","",AF68)</f>
        <v>-0.27267955692751866</v>
      </c>
      <c r="AN68" s="524">
        <f>IF(M68="","",DEGREES(ATAN2(-AM68,AL68)))</f>
        <v>-47.350283024240312</v>
      </c>
      <c r="AO68" s="525">
        <f t="shared" si="604"/>
        <v>23.732710604224085</v>
      </c>
      <c r="AP68" s="528">
        <f>IF(M68="","",DEGREES(ATAN2(AK68,AL68)))</f>
        <v>-17.919497186488819</v>
      </c>
      <c r="AQ68" s="529">
        <f t="shared" si="332"/>
        <v>0.33514519779649482</v>
      </c>
      <c r="AR68" s="979"/>
      <c r="AS68" s="954">
        <f t="shared" si="524"/>
        <v>232.63365017212016</v>
      </c>
      <c r="AT68" s="950">
        <f t="shared" si="333"/>
        <v>-0.3681799603217627</v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>Taper</v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41"/>
        <v>3.2440000000000002</v>
      </c>
      <c r="IJ68" s="674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3.1440000000000001</v>
      </c>
      <c r="IK68" s="677" cm="1">
        <f t="array" ref="IK68">IFERROR(ROUND(VALUE(IF($IJ68&lt;1,$IJ68+LARGE((IF($M$9:$M$150="",0,$M$9:$M$150)-MOD(IF($M$9:$M$150="",0,$M$9:$M$150),1)),1),$IJ68)),4),"")</f>
        <v>3.1440000000000001</v>
      </c>
      <c r="IL68" s="482">
        <f t="shared" si="485"/>
        <v>1613</v>
      </c>
      <c r="IM68" s="482">
        <f t="shared" si="242"/>
        <v>1313</v>
      </c>
      <c r="IN68" s="670">
        <f t="shared" si="486"/>
        <v>10.670387183293485</v>
      </c>
      <c r="IO68" s="702">
        <v>1.5180432936657599E-2</v>
      </c>
      <c r="IP68" s="5">
        <f t="shared" si="487"/>
        <v>0.66</v>
      </c>
      <c r="IQ68" s="714">
        <v>330</v>
      </c>
      <c r="IR68" s="9">
        <f t="shared" si="488"/>
        <v>-6.7703871231733483</v>
      </c>
      <c r="IS68" s="5">
        <f t="shared" si="489"/>
        <v>-0.47655766409866018</v>
      </c>
      <c r="IT68" s="5">
        <f t="shared" si="490"/>
        <v>0.3125</v>
      </c>
      <c r="IU68" s="5">
        <f t="shared" si="491"/>
        <v>0.29599745324617743</v>
      </c>
      <c r="IV68" s="670">
        <f t="shared" si="492"/>
        <v>47.215266150376941</v>
      </c>
      <c r="IW68" s="9">
        <f t="shared" si="493"/>
        <v>-6.8021282905098293</v>
      </c>
      <c r="IX68" s="5">
        <f t="shared" si="494"/>
        <v>-0.45473121876825223</v>
      </c>
      <c r="IY68" s="5">
        <f t="shared" si="495"/>
        <v>0.26450000000000001</v>
      </c>
      <c r="IZ68" s="5">
        <f t="shared" si="496"/>
        <v>0.24213202030846179</v>
      </c>
      <c r="JA68" s="705">
        <f t="shared" si="497"/>
        <v>47.350283024240312</v>
      </c>
      <c r="JM68" s="489">
        <f t="shared" si="133"/>
        <v>44</v>
      </c>
      <c r="JN68" s="960">
        <f>($JO68-SMALL($JO$9:$JO$88,1))/((Settings!$C$19/2)-((Settings!$C$19/2)-LARGE($JO$9:$JO$88,1))-SMALL($JO$9:$JO$88,1))</f>
        <v>0.78910173506634818</v>
      </c>
      <c r="JO68" s="162">
        <f t="shared" si="134"/>
        <v>6.8021282905098293</v>
      </c>
      <c r="JP68" s="961">
        <f t="shared" si="135"/>
        <v>-47.350283024240312</v>
      </c>
      <c r="JQ68" s="961">
        <f t="shared" si="136"/>
        <v>23.732710604224085</v>
      </c>
      <c r="JU68" s="962"/>
      <c r="JV68" s="959"/>
      <c r="JW68" s="959"/>
    </row>
    <row r="69" spans="1:283" ht="15" customHeight="1" x14ac:dyDescent="0.25">
      <c r="A69" s="75">
        <f t="shared" si="322"/>
        <v>0.02</v>
      </c>
      <c r="B69" s="578">
        <f t="shared" ref="B69:D69" si="629">IFERROR(O224+($A69*-E69),"")</f>
        <v>5.7958980121982702</v>
      </c>
      <c r="C69" s="572">
        <f t="shared" si="629"/>
        <v>-4.6341555027084587</v>
      </c>
      <c r="D69" s="576">
        <f t="shared" si="629"/>
        <v>-0.90874169180500364</v>
      </c>
      <c r="E69" s="580">
        <f t="shared" ref="E69:K69" si="630">R224</f>
        <v>0.8558979834449294</v>
      </c>
      <c r="F69" s="572">
        <f t="shared" si="630"/>
        <v>0.44599166864413431</v>
      </c>
      <c r="G69" s="579">
        <f t="shared" si="630"/>
        <v>0.26178249260583542</v>
      </c>
      <c r="H69" s="580">
        <f t="shared" si="630"/>
        <v>0.26450000000000001</v>
      </c>
      <c r="I69" s="572">
        <f t="shared" si="630"/>
        <v>0.52</v>
      </c>
      <c r="J69" s="483">
        <f t="shared" si="94"/>
        <v>3.25</v>
      </c>
      <c r="K69" s="806">
        <f t="shared" si="630"/>
        <v>1313</v>
      </c>
      <c r="L69" s="309"/>
      <c r="M69" s="164">
        <f t="shared" si="325"/>
        <v>3.25</v>
      </c>
      <c r="N69" s="575">
        <f t="shared" si="326"/>
        <v>5.7958980121982702</v>
      </c>
      <c r="O69" s="572">
        <f t="shared" si="327"/>
        <v>-4.6341555027084587</v>
      </c>
      <c r="P69" s="576">
        <f t="shared" si="328"/>
        <v>-0.90874169180500364</v>
      </c>
      <c r="Q69" s="528">
        <f t="shared" si="144"/>
        <v>321.35564374180092</v>
      </c>
      <c r="R69" s="572">
        <f t="shared" si="95"/>
        <v>7.4207702424402653</v>
      </c>
      <c r="S69" s="577">
        <f t="shared" si="96"/>
        <v>-0.90874169180500364</v>
      </c>
      <c r="T69" s="578">
        <f t="shared" si="97"/>
        <v>-4.6002658196128241</v>
      </c>
      <c r="U69" s="572">
        <f t="shared" si="98"/>
        <v>-5.8228331059707452</v>
      </c>
      <c r="V69" s="579">
        <f t="shared" si="145"/>
        <v>-0.90874169180500364</v>
      </c>
      <c r="W69" s="528">
        <f t="shared" si="268"/>
        <v>231.6898851118882</v>
      </c>
      <c r="X69" s="572">
        <f t="shared" si="99"/>
        <v>7.4207702424402653</v>
      </c>
      <c r="Y69" s="573">
        <f t="shared" si="271"/>
        <v>-0.90874169180500364</v>
      </c>
      <c r="Z69" s="575">
        <f t="shared" si="329"/>
        <v>-0.8558979834449294</v>
      </c>
      <c r="AA69" s="572">
        <f t="shared" si="330"/>
        <v>-0.44599166864413431</v>
      </c>
      <c r="AB69" s="572">
        <f t="shared" si="331"/>
        <v>-0.26178249260583542</v>
      </c>
      <c r="AC69" s="579">
        <f t="shared" si="100"/>
        <v>1</v>
      </c>
      <c r="AD69" s="580">
        <f t="shared" si="146"/>
        <v>-0.8558979834449294</v>
      </c>
      <c r="AE69" s="572">
        <f t="shared" si="101"/>
        <v>-0.44599166864413431</v>
      </c>
      <c r="AF69" s="576">
        <f t="shared" si="102"/>
        <v>-0.26178249260583542</v>
      </c>
      <c r="AG69" s="545">
        <f t="shared" si="103"/>
        <v>-59.58846257564494</v>
      </c>
      <c r="AH69" s="546">
        <f t="shared" si="104"/>
        <v>148.85908215729717</v>
      </c>
      <c r="AI69" s="528">
        <f t="shared" si="105"/>
        <v>-74.824144727440341</v>
      </c>
      <c r="AJ69" s="529">
        <f t="shared" si="106"/>
        <v>-62.476862988375679</v>
      </c>
      <c r="AK69" s="578">
        <f t="shared" si="247"/>
        <v>0.88283107567760777</v>
      </c>
      <c r="AL69" s="572">
        <f t="shared" si="107"/>
        <v>-0.38997335599114186</v>
      </c>
      <c r="AM69" s="577">
        <f t="shared" si="108"/>
        <v>-0.26178249260583542</v>
      </c>
      <c r="AN69" s="524">
        <f t="shared" si="109"/>
        <v>-56.127208665002492</v>
      </c>
      <c r="AO69" s="525">
        <f t="shared" si="604"/>
        <v>28.014216804547289</v>
      </c>
      <c r="AP69" s="528">
        <f t="shared" si="111"/>
        <v>-23.832506730176597</v>
      </c>
      <c r="AQ69" s="529">
        <f t="shared" si="332"/>
        <v>0.30720595184216898</v>
      </c>
      <c r="AR69" s="979"/>
      <c r="AS69" s="954">
        <f t="shared" si="524"/>
        <v>231.6898851118882</v>
      </c>
      <c r="AT69" s="950">
        <f t="shared" si="333"/>
        <v>-0.82153504095557528</v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>Taper</v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41"/>
        <v>3.25</v>
      </c>
      <c r="IJ69" s="674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3.15</v>
      </c>
      <c r="IK69" s="677" cm="1">
        <f t="array" ref="IK69">IFERROR(ROUND(VALUE(IF($IJ69&lt;1,$IJ69+LARGE((IF($M$9:$M$150="",0,$M$9:$M$150)-MOD(IF($M$9:$M$150="",0,$M$9:$M$150),1)),1),$IJ69)),4),"")</f>
        <v>3.15</v>
      </c>
      <c r="IL69" s="482">
        <f t="shared" si="485"/>
        <v>1613</v>
      </c>
      <c r="IM69" s="482">
        <f t="shared" si="242"/>
        <v>1313</v>
      </c>
      <c r="IN69" s="670">
        <f t="shared" si="486"/>
        <v>11.033615466130357</v>
      </c>
      <c r="IO69" s="702">
        <v>1.38942224781299E-2</v>
      </c>
      <c r="IP69" s="5">
        <f t="shared" si="487"/>
        <v>0.68</v>
      </c>
      <c r="IQ69" s="714">
        <v>340</v>
      </c>
      <c r="IR69" s="9">
        <f t="shared" si="488"/>
        <v>-7.384423040403421</v>
      </c>
      <c r="IS69" s="5">
        <f t="shared" si="489"/>
        <v>-0.92556379766040842</v>
      </c>
      <c r="IT69" s="5">
        <f t="shared" si="490"/>
        <v>0.3125</v>
      </c>
      <c r="IU69" s="5">
        <f t="shared" si="491"/>
        <v>0.28770324938077896</v>
      </c>
      <c r="IV69" s="670">
        <f t="shared" si="492"/>
        <v>56.044471610855254</v>
      </c>
      <c r="IW69" s="9">
        <f t="shared" si="493"/>
        <v>-7.4207702424402653</v>
      </c>
      <c r="IX69" s="5">
        <f t="shared" si="494"/>
        <v>-0.90874169180500364</v>
      </c>
      <c r="IY69" s="5">
        <f t="shared" si="495"/>
        <v>0.26450000000000001</v>
      </c>
      <c r="IZ69" s="5">
        <f t="shared" si="496"/>
        <v>0.23350881951672731</v>
      </c>
      <c r="JA69" s="705">
        <f t="shared" si="497"/>
        <v>56.127208665002492</v>
      </c>
      <c r="JM69" s="489">
        <f t="shared" si="133"/>
        <v>50</v>
      </c>
      <c r="JN69" s="960">
        <f>($JO69-SMALL($JO$9:$JO$88,1))/((Settings!$C$19/2)-((Settings!$C$19/2)-LARGE($JO$9:$JO$88,1))-SMALL($JO$9:$JO$88,1))</f>
        <v>0.86470808626900852</v>
      </c>
      <c r="JO69" s="162">
        <f t="shared" si="134"/>
        <v>7.4207702424402653</v>
      </c>
      <c r="JP69" s="961">
        <f t="shared" si="135"/>
        <v>-56.127208665002492</v>
      </c>
      <c r="JQ69" s="961">
        <f t="shared" si="136"/>
        <v>28.014216804547289</v>
      </c>
      <c r="JU69" s="962"/>
      <c r="JV69" s="959"/>
      <c r="JW69" s="959"/>
    </row>
    <row r="70" spans="1:283" ht="15" customHeight="1" x14ac:dyDescent="0.25">
      <c r="A70" s="75">
        <f t="shared" si="322"/>
        <v>0.02</v>
      </c>
      <c r="B70" s="578">
        <f t="shared" ref="B70:D70" si="631">IFERROR(O225+($A70*-E70),"")</f>
        <v>6.1027800150233489</v>
      </c>
      <c r="C70" s="572">
        <f t="shared" si="631"/>
        <v>-5.0496009975251255</v>
      </c>
      <c r="D70" s="576">
        <f t="shared" si="631"/>
        <v>-1.4865884826178037</v>
      </c>
      <c r="E70" s="580">
        <f t="shared" ref="E70:K70" si="632">R225</f>
        <v>0.90828003450708017</v>
      </c>
      <c r="F70" s="572">
        <f t="shared" si="632"/>
        <v>0.35802243222071339</v>
      </c>
      <c r="G70" s="579">
        <f t="shared" si="632"/>
        <v>0.21644241022170829</v>
      </c>
      <c r="H70" s="580">
        <f t="shared" si="632"/>
        <v>0.26450000000000001</v>
      </c>
      <c r="I70" s="572">
        <f t="shared" si="632"/>
        <v>0.52</v>
      </c>
      <c r="J70" s="483">
        <f t="shared" si="94"/>
        <v>3.2559999999999998</v>
      </c>
      <c r="K70" s="806">
        <f t="shared" si="632"/>
        <v>1313</v>
      </c>
      <c r="L70" s="309"/>
      <c r="M70" s="164">
        <f t="shared" si="325"/>
        <v>3.2559999999999998</v>
      </c>
      <c r="N70" s="575">
        <f t="shared" si="326"/>
        <v>6.1027800150233489</v>
      </c>
      <c r="O70" s="572">
        <f t="shared" si="327"/>
        <v>-5.0496009975251255</v>
      </c>
      <c r="P70" s="576">
        <f t="shared" si="328"/>
        <v>-1.4865884826178037</v>
      </c>
      <c r="Q70" s="528">
        <f t="shared" si="144"/>
        <v>320.39474816868812</v>
      </c>
      <c r="R70" s="572">
        <f t="shared" si="95"/>
        <v>7.9210096670800194</v>
      </c>
      <c r="S70" s="577">
        <f t="shared" si="96"/>
        <v>-1.4865884826178037</v>
      </c>
      <c r="T70" s="578">
        <f t="shared" si="97"/>
        <v>-5.0139140249252359</v>
      </c>
      <c r="U70" s="572">
        <f t="shared" si="98"/>
        <v>-6.1321334213007086</v>
      </c>
      <c r="V70" s="579">
        <f t="shared" si="145"/>
        <v>-1.4865884826178037</v>
      </c>
      <c r="W70" s="528">
        <f t="shared" si="268"/>
        <v>230.72898953877541</v>
      </c>
      <c r="X70" s="572">
        <f t="shared" si="99"/>
        <v>7.9210096670800194</v>
      </c>
      <c r="Y70" s="573">
        <f t="shared" si="271"/>
        <v>-1.4865884826178037</v>
      </c>
      <c r="Z70" s="575">
        <f t="shared" si="329"/>
        <v>-0.90828003450708017</v>
      </c>
      <c r="AA70" s="572">
        <f t="shared" si="330"/>
        <v>-0.35802243222071339</v>
      </c>
      <c r="AB70" s="572">
        <f t="shared" si="331"/>
        <v>-0.21644241022170829</v>
      </c>
      <c r="AC70" s="579">
        <f t="shared" si="100"/>
        <v>1</v>
      </c>
      <c r="AD70" s="580">
        <f t="shared" si="146"/>
        <v>-0.90828003450708017</v>
      </c>
      <c r="AE70" s="572">
        <f t="shared" si="101"/>
        <v>-0.35802243222071339</v>
      </c>
      <c r="AF70" s="576">
        <f t="shared" si="102"/>
        <v>-0.21644241022170829</v>
      </c>
      <c r="AG70" s="545">
        <f t="shared" si="103"/>
        <v>-58.844946105708487</v>
      </c>
      <c r="AH70" s="546">
        <f t="shared" si="104"/>
        <v>155.2687367475483</v>
      </c>
      <c r="AI70" s="528">
        <f t="shared" si="105"/>
        <v>-77.499835894750561</v>
      </c>
      <c r="AJ70" s="529">
        <f t="shared" si="106"/>
        <v>-68.486818104610677</v>
      </c>
      <c r="AK70" s="578">
        <f t="shared" si="247"/>
        <v>0.85486373545380534</v>
      </c>
      <c r="AL70" s="572">
        <f t="shared" si="107"/>
        <v>-0.47155135124754377</v>
      </c>
      <c r="AM70" s="577">
        <f t="shared" si="108"/>
        <v>-0.21644241022170829</v>
      </c>
      <c r="AN70" s="524">
        <f t="shared" si="109"/>
        <v>-65.344842952291913</v>
      </c>
      <c r="AO70" s="525">
        <f t="shared" si="604"/>
        <v>31.255315875558615</v>
      </c>
      <c r="AP70" s="528">
        <f t="shared" si="111"/>
        <v>-28.881566273298791</v>
      </c>
      <c r="AQ70" s="529">
        <f t="shared" si="332"/>
        <v>0.28780516041593918</v>
      </c>
      <c r="AR70" s="979"/>
      <c r="AS70" s="954">
        <f t="shared" si="524"/>
        <v>230.72898953877541</v>
      </c>
      <c r="AT70" s="950">
        <f t="shared" si="333"/>
        <v>-1.398714543175936</v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>Taper</v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41"/>
        <v>3.2559999999999998</v>
      </c>
      <c r="IJ70" s="674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3.1560000000000001</v>
      </c>
      <c r="IK70" s="677" cm="1">
        <f t="array" ref="IK70">IFERROR(ROUND(VALUE(IF($IJ70&lt;1,$IJ70+LARGE((IF($M$9:$M$150="",0,$M$9:$M$150)-MOD(IF($M$9:$M$150="",0,$M$9:$M$150),1)),1),$IJ70)),4),"")</f>
        <v>3.1560000000000001</v>
      </c>
      <c r="IL70" s="482">
        <f t="shared" si="485"/>
        <v>1613</v>
      </c>
      <c r="IM70" s="482">
        <f t="shared" si="242"/>
        <v>1313</v>
      </c>
      <c r="IN70" s="670">
        <f t="shared" si="486"/>
        <v>11.495938214301134</v>
      </c>
      <c r="IO70" s="702">
        <v>1.2535647432228099E-2</v>
      </c>
      <c r="IP70" s="5">
        <f t="shared" si="487"/>
        <v>0.72</v>
      </c>
      <c r="IQ70" s="714">
        <v>360</v>
      </c>
      <c r="IR70" s="9">
        <f t="shared" si="488"/>
        <v>-7.8809772909095992</v>
      </c>
      <c r="IS70" s="5">
        <f t="shared" si="489"/>
        <v>-1.4970971715769574</v>
      </c>
      <c r="IT70" s="5">
        <f t="shared" si="490"/>
        <v>0.3125</v>
      </c>
      <c r="IU70" s="5">
        <f t="shared" si="491"/>
        <v>0.28035707340898713</v>
      </c>
      <c r="IV70" s="670">
        <f t="shared" si="492"/>
        <v>65.293666273498459</v>
      </c>
      <c r="IW70" s="9">
        <f t="shared" si="493"/>
        <v>-7.9210096670800194</v>
      </c>
      <c r="IX70" s="5">
        <f t="shared" si="494"/>
        <v>-1.4865884826178037</v>
      </c>
      <c r="IY70" s="5">
        <f t="shared" si="495"/>
        <v>0.26450000000000001</v>
      </c>
      <c r="IZ70" s="5">
        <f t="shared" si="496"/>
        <v>0.22611145802753155</v>
      </c>
      <c r="JA70" s="705">
        <f t="shared" si="497"/>
        <v>65.344842952291913</v>
      </c>
      <c r="JM70" s="489">
        <f t="shared" si="133"/>
        <v>56</v>
      </c>
      <c r="JN70" s="960">
        <f>($JO70-SMALL($JO$9:$JO$88,1))/((Settings!$C$19/2)-((Settings!$C$19/2)-LARGE($JO$9:$JO$88,1))-SMALL($JO$9:$JO$88,1))</f>
        <v>0.92584405919601565</v>
      </c>
      <c r="JO70" s="162">
        <f t="shared" si="134"/>
        <v>7.9210096670800194</v>
      </c>
      <c r="JP70" s="961">
        <f t="shared" si="135"/>
        <v>-65.344842952291913</v>
      </c>
      <c r="JQ70" s="961">
        <f t="shared" si="136"/>
        <v>31.255315875558615</v>
      </c>
      <c r="JU70" s="962"/>
      <c r="JV70" s="959"/>
      <c r="JW70" s="959"/>
    </row>
    <row r="71" spans="1:283" ht="15" customHeight="1" x14ac:dyDescent="0.25">
      <c r="A71" s="75">
        <f t="shared" si="322"/>
        <v>0</v>
      </c>
      <c r="B71" s="578">
        <f t="shared" ref="B71:D71" si="633">IFERROR(O226+($A71*-E71),"")</f>
        <v>6.2033700253725028</v>
      </c>
      <c r="C71" s="572">
        <f t="shared" si="633"/>
        <v>-5.4459770005864403</v>
      </c>
      <c r="D71" s="576">
        <f t="shared" si="633"/>
        <v>-2.1752196600892177</v>
      </c>
      <c r="E71" s="580">
        <f t="shared" ref="E71:K71" si="634">R226</f>
        <v>0.56370356738165017</v>
      </c>
      <c r="F71" s="572">
        <f t="shared" si="634"/>
        <v>-0.49487855419267879</v>
      </c>
      <c r="G71" s="579">
        <f t="shared" si="634"/>
        <v>0.66131195718916602</v>
      </c>
      <c r="H71" s="580">
        <f t="shared" si="634"/>
        <v>0.255</v>
      </c>
      <c r="I71" s="572">
        <f t="shared" si="634"/>
        <v>0.41499999999999992</v>
      </c>
      <c r="J71" s="483">
        <f t="shared" si="94"/>
        <v>3.262</v>
      </c>
      <c r="K71" s="806" t="str">
        <f t="shared" si="634"/>
        <v>CPS-32193r1</v>
      </c>
      <c r="L71" s="309"/>
      <c r="M71" s="164">
        <f t="shared" si="325"/>
        <v>3.262</v>
      </c>
      <c r="N71" s="575">
        <f t="shared" si="326"/>
        <v>6.2033700253725028</v>
      </c>
      <c r="O71" s="572">
        <f t="shared" si="327"/>
        <v>-5.4459770005864403</v>
      </c>
      <c r="P71" s="576">
        <f t="shared" si="328"/>
        <v>-2.1752196600892177</v>
      </c>
      <c r="Q71" s="528">
        <f t="shared" si="144"/>
        <v>318.71990233481353</v>
      </c>
      <c r="R71" s="572">
        <f t="shared" si="95"/>
        <v>8.2547238089839521</v>
      </c>
      <c r="S71" s="577">
        <f t="shared" si="96"/>
        <v>-2.1752196600892177</v>
      </c>
      <c r="T71" s="578">
        <f t="shared" si="97"/>
        <v>-5.4096964836592409</v>
      </c>
      <c r="U71" s="572">
        <f t="shared" si="98"/>
        <v>-6.2350340109169711</v>
      </c>
      <c r="V71" s="579">
        <f t="shared" si="145"/>
        <v>-2.1752196600892177</v>
      </c>
      <c r="W71" s="528">
        <f t="shared" si="268"/>
        <v>229.05414370490081</v>
      </c>
      <c r="X71" s="572">
        <f t="shared" si="99"/>
        <v>8.2547238089839521</v>
      </c>
      <c r="Y71" s="573">
        <f t="shared" si="271"/>
        <v>-2.1752196600892177</v>
      </c>
      <c r="Z71" s="575">
        <f t="shared" si="329"/>
        <v>-0.56370356738165017</v>
      </c>
      <c r="AA71" s="572">
        <f t="shared" si="330"/>
        <v>0.49487855419267879</v>
      </c>
      <c r="AB71" s="572">
        <f t="shared" si="331"/>
        <v>-0.66131195718916602</v>
      </c>
      <c r="AC71" s="579">
        <f t="shared" si="100"/>
        <v>1</v>
      </c>
      <c r="AD71" s="580">
        <f t="shared" si="146"/>
        <v>-0.56370356738165017</v>
      </c>
      <c r="AE71" s="572">
        <f t="shared" si="101"/>
        <v>0.49487855419267879</v>
      </c>
      <c r="AF71" s="576">
        <f t="shared" si="102"/>
        <v>-0.66131195718916602</v>
      </c>
      <c r="AG71" s="545">
        <f t="shared" si="103"/>
        <v>36.808554011804475</v>
      </c>
      <c r="AH71" s="546">
        <f t="shared" si="104"/>
        <v>124.31231306656457</v>
      </c>
      <c r="AI71" s="528">
        <f t="shared" si="105"/>
        <v>-48.599992983030461</v>
      </c>
      <c r="AJ71" s="529">
        <f t="shared" si="106"/>
        <v>-131.2800803261544</v>
      </c>
      <c r="AK71" s="578">
        <f t="shared" si="247"/>
        <v>2.2700098700756399E-7</v>
      </c>
      <c r="AL71" s="572">
        <f t="shared" si="107"/>
        <v>-0.75011098864006998</v>
      </c>
      <c r="AM71" s="577">
        <f t="shared" si="108"/>
        <v>-0.66131195718916602</v>
      </c>
      <c r="AN71" s="524">
        <f t="shared" si="109"/>
        <v>-48.599992983029168</v>
      </c>
      <c r="AO71" s="525">
        <f t="shared" si="604"/>
        <v>0</v>
      </c>
      <c r="AP71" s="528">
        <f t="shared" si="111"/>
        <v>-89.999982660967916</v>
      </c>
      <c r="AQ71" s="529">
        <f t="shared" si="332"/>
        <v>0.2761702304748756</v>
      </c>
      <c r="AR71" s="979"/>
      <c r="AS71" s="954">
        <f t="shared" si="524"/>
        <v>229.05414370490081</v>
      </c>
      <c r="AT71" s="950">
        <f t="shared" si="333"/>
        <v>-2.0861826332627147</v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>Taper</v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41"/>
        <v>3.262</v>
      </c>
      <c r="IJ71" s="674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3.1619999999999999</v>
      </c>
      <c r="IK71" s="677" cm="1">
        <f t="array" ref="IK71">IFERROR(ROUND(VALUE(IF($IJ71&lt;1,$IJ71+LARGE((IF($M$9:$M$150="",0,$M$9:$M$150)-MOD(IF($M$9:$M$150="",0,$M$9:$M$150),1)),1),$IJ71)),4),"")</f>
        <v>3.1619999999999999</v>
      </c>
      <c r="IL71" s="482">
        <f t="shared" si="485"/>
        <v>1613</v>
      </c>
      <c r="IM71" s="482" t="str">
        <f t="shared" si="242"/>
        <v>CPS-32193r1</v>
      </c>
      <c r="IN71" s="670">
        <f t="shared" si="486"/>
        <v>12.801898750345515</v>
      </c>
      <c r="IO71" s="702">
        <v>1.1626795848347299E-3</v>
      </c>
      <c r="IP71" s="5">
        <f t="shared" si="487"/>
        <v>0</v>
      </c>
      <c r="IQ71" s="714">
        <v>0</v>
      </c>
      <c r="IR71" s="9">
        <f t="shared" si="488"/>
        <v>-8.2362052592896013</v>
      </c>
      <c r="IS71" s="5">
        <f t="shared" si="489"/>
        <v>-2.1673246287988035</v>
      </c>
      <c r="IT71" s="5">
        <f t="shared" si="490"/>
        <v>0.3125</v>
      </c>
      <c r="IU71" s="5">
        <f t="shared" si="491"/>
        <v>0.27253426377473622</v>
      </c>
      <c r="IV71" s="670">
        <f t="shared" si="492"/>
        <v>73.874155377933164</v>
      </c>
      <c r="IW71" s="9">
        <f t="shared" si="493"/>
        <v>-8.2547238089839521</v>
      </c>
      <c r="IX71" s="5">
        <f t="shared" si="494"/>
        <v>-2.1752196600892177</v>
      </c>
      <c r="IY71" s="5">
        <f t="shared" si="495"/>
        <v>0.255</v>
      </c>
      <c r="IZ71" s="5">
        <f t="shared" si="496"/>
        <v>0.255</v>
      </c>
      <c r="JA71" s="705">
        <f t="shared" si="497"/>
        <v>48.599992983029168</v>
      </c>
      <c r="JM71" s="489">
        <f t="shared" si="133"/>
        <v>62</v>
      </c>
      <c r="JN71" s="960">
        <f>($JO71-SMALL($JO$9:$JO$88,1))/((Settings!$C$19/2)-((Settings!$C$19/2)-LARGE($JO$9:$JO$88,1))-SMALL($JO$9:$JO$88,1))</f>
        <v>0.96662840712998876</v>
      </c>
      <c r="JO71" s="162">
        <f t="shared" ref="JO71:JO88" si="635">X71</f>
        <v>8.2547238089839521</v>
      </c>
      <c r="JP71" s="961">
        <f t="shared" ref="JP71:JP88" si="636">AN71</f>
        <v>-48.599992983029168</v>
      </c>
      <c r="JQ71" s="961">
        <f t="shared" ref="JQ71:JQ88" si="637">AO71</f>
        <v>0</v>
      </c>
      <c r="JU71" s="962"/>
      <c r="JV71" s="959"/>
      <c r="JW71" s="959"/>
    </row>
    <row r="72" spans="1:283" ht="15" customHeight="1" x14ac:dyDescent="0.25">
      <c r="A72" s="75">
        <f t="shared" si="322"/>
        <v>0</v>
      </c>
      <c r="B72" s="578">
        <f t="shared" ref="B72:D72" si="638">IFERROR(O227+($A72*-E72),"")</f>
        <v>6.2599929006434039</v>
      </c>
      <c r="C72" s="572">
        <f t="shared" si="638"/>
        <v>-5.6587985275176926</v>
      </c>
      <c r="D72" s="576">
        <f t="shared" si="638"/>
        <v>-2.9121522916581557</v>
      </c>
      <c r="E72" s="580">
        <f t="shared" ref="E72:K72" si="639">R227</f>
        <v>0.62704132109440669</v>
      </c>
      <c r="F72" s="572">
        <f t="shared" si="639"/>
        <v>-0.56682150364656336</v>
      </c>
      <c r="G72" s="579">
        <f t="shared" si="639"/>
        <v>0.53435247229149241</v>
      </c>
      <c r="H72" s="580">
        <f t="shared" si="639"/>
        <v>0.255</v>
      </c>
      <c r="I72" s="572">
        <f t="shared" si="639"/>
        <v>0.41499999999999992</v>
      </c>
      <c r="J72" s="483">
        <f t="shared" si="94"/>
        <v>3.2679999999999998</v>
      </c>
      <c r="K72" s="806" t="str">
        <f t="shared" si="639"/>
        <v>CPS-32193r1</v>
      </c>
      <c r="L72" s="309"/>
      <c r="M72" s="164">
        <f t="shared" si="325"/>
        <v>3.2679999999999998</v>
      </c>
      <c r="N72" s="575">
        <f t="shared" si="326"/>
        <v>6.2599929006434039</v>
      </c>
      <c r="O72" s="572">
        <f t="shared" si="327"/>
        <v>-5.6587985275176926</v>
      </c>
      <c r="P72" s="576">
        <f t="shared" si="328"/>
        <v>-2.9121522916581557</v>
      </c>
      <c r="Q72" s="528">
        <f t="shared" si="144"/>
        <v>317.88760245532575</v>
      </c>
      <c r="R72" s="572">
        <f t="shared" si="95"/>
        <v>8.4385728586735702</v>
      </c>
      <c r="S72" s="577">
        <f t="shared" si="96"/>
        <v>-2.9121522916581557</v>
      </c>
      <c r="T72" s="578">
        <f t="shared" si="97"/>
        <v>-5.622184075298426</v>
      </c>
      <c r="U72" s="572">
        <f t="shared" si="98"/>
        <v>-6.2928974339808699</v>
      </c>
      <c r="V72" s="579">
        <f t="shared" si="145"/>
        <v>-2.9121522916581557</v>
      </c>
      <c r="W72" s="528">
        <f t="shared" si="268"/>
        <v>228.22184382541303</v>
      </c>
      <c r="X72" s="572">
        <f t="shared" si="99"/>
        <v>8.4385728586735702</v>
      </c>
      <c r="Y72" s="573">
        <f t="shared" si="271"/>
        <v>-2.9121522916581557</v>
      </c>
      <c r="Z72" s="575">
        <f t="shared" si="329"/>
        <v>-0.62704132109440669</v>
      </c>
      <c r="AA72" s="572">
        <f t="shared" si="330"/>
        <v>0.56682150364656336</v>
      </c>
      <c r="AB72" s="572">
        <f t="shared" si="331"/>
        <v>-0.53435247229149241</v>
      </c>
      <c r="AC72" s="579">
        <f t="shared" si="100"/>
        <v>1</v>
      </c>
      <c r="AD72" s="580">
        <f t="shared" si="146"/>
        <v>-0.62704132109440669</v>
      </c>
      <c r="AE72" s="572">
        <f t="shared" si="101"/>
        <v>0.56682150364656336</v>
      </c>
      <c r="AF72" s="576">
        <f t="shared" si="102"/>
        <v>-0.53435247229149241</v>
      </c>
      <c r="AG72" s="545">
        <f t="shared" si="103"/>
        <v>46.688924410005562</v>
      </c>
      <c r="AH72" s="546">
        <f t="shared" si="104"/>
        <v>128.83217233514338</v>
      </c>
      <c r="AI72" s="528">
        <f t="shared" si="105"/>
        <v>-57.699991669152908</v>
      </c>
      <c r="AJ72" s="529">
        <f t="shared" si="106"/>
        <v>-132.11238215606082</v>
      </c>
      <c r="AK72" s="578">
        <f t="shared" si="247"/>
        <v>2.2702206908808975E-7</v>
      </c>
      <c r="AL72" s="572">
        <f t="shared" si="107"/>
        <v>-0.8452617555266051</v>
      </c>
      <c r="AM72" s="577">
        <f t="shared" si="108"/>
        <v>-0.53435247229149241</v>
      </c>
      <c r="AN72" s="524">
        <f t="shared" si="109"/>
        <v>-57.699991669151977</v>
      </c>
      <c r="AO72" s="525">
        <f t="shared" si="604"/>
        <v>0</v>
      </c>
      <c r="AP72" s="528">
        <f t="shared" si="111"/>
        <v>-89.999984611386566</v>
      </c>
      <c r="AQ72" s="529">
        <f t="shared" si="332"/>
        <v>0.27015346977720184</v>
      </c>
      <c r="AR72" s="979"/>
      <c r="AS72" s="954">
        <f t="shared" si="524"/>
        <v>228.22184382541303</v>
      </c>
      <c r="AT72" s="950">
        <f t="shared" si="333"/>
        <v>-2.8225372788042309</v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>Taper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41"/>
        <v>3.2679999999999998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3.1680000000000001</v>
      </c>
      <c r="IK72" s="677" cm="1">
        <f t="array" ref="IK72">IFERROR(ROUND(VALUE(IF($IJ72&lt;1,$IJ72+LARGE((IF($M$9:$M$150="",0,$M$9:$M$150)-MOD(IF($M$9:$M$150="",0,$M$9:$M$150),1)),1),$IJ72)),4),"")</f>
        <v>3.1680000000000001</v>
      </c>
      <c r="IL72" s="482">
        <f t="shared" si="485"/>
        <v>1613</v>
      </c>
      <c r="IM72" s="482" t="str">
        <f t="shared" si="242"/>
        <v>CPS-32193r1</v>
      </c>
      <c r="IN72" s="670">
        <f t="shared" si="486"/>
        <v>13.431709019754294</v>
      </c>
      <c r="IO72" s="702">
        <v>2.5625919870507599E-4</v>
      </c>
      <c r="IP72" s="5">
        <f t="shared" si="487"/>
        <v>0</v>
      </c>
      <c r="IQ72" s="714">
        <v>0</v>
      </c>
      <c r="IR72" s="9">
        <f t="shared" si="488"/>
        <v>-8.4299057092888461</v>
      </c>
      <c r="IS72" s="5">
        <f t="shared" si="489"/>
        <v>-2.900276284245384</v>
      </c>
      <c r="IT72" s="5">
        <f t="shared" si="490"/>
        <v>0.3125</v>
      </c>
      <c r="IU72" s="5">
        <f t="shared" si="491"/>
        <v>0.26169503452111853</v>
      </c>
      <c r="IV72" s="670">
        <f t="shared" si="492"/>
        <v>81.225231327287702</v>
      </c>
      <c r="IW72" s="9">
        <f t="shared" si="493"/>
        <v>-8.4385728586735702</v>
      </c>
      <c r="IX72" s="5">
        <f t="shared" si="494"/>
        <v>-2.9121522916581557</v>
      </c>
      <c r="IY72" s="5">
        <f t="shared" si="495"/>
        <v>0.255</v>
      </c>
      <c r="IZ72" s="5">
        <f t="shared" si="496"/>
        <v>0.255</v>
      </c>
      <c r="JA72" s="705">
        <f t="shared" si="497"/>
        <v>57.699991669151977</v>
      </c>
      <c r="JM72" s="489">
        <f t="shared" si="133"/>
        <v>68</v>
      </c>
      <c r="JN72" s="960">
        <f>($JO72-SMALL($JO$9:$JO$88,1))/((Settings!$C$19/2)-((Settings!$C$19/2)-LARGE($JO$9:$JO$88,1))-SMALL($JO$9:$JO$88,1))</f>
        <v>0.98909722899978592</v>
      </c>
      <c r="JO72" s="162">
        <f t="shared" si="635"/>
        <v>8.4385728586735702</v>
      </c>
      <c r="JP72" s="961">
        <f t="shared" si="636"/>
        <v>-57.699991669151977</v>
      </c>
      <c r="JQ72" s="961">
        <f t="shared" si="637"/>
        <v>0</v>
      </c>
      <c r="JU72" s="962"/>
      <c r="JV72" s="959"/>
      <c r="JW72" s="959"/>
    </row>
    <row r="73" spans="1:283" ht="15" customHeight="1" x14ac:dyDescent="0.25">
      <c r="A73" s="75">
        <f t="shared" ref="A73:A104" si="640">IF($K73="","",IF(AND($A$8="Y",ISNUMBER($K73)),$A$5,0))</f>
        <v>0.02</v>
      </c>
      <c r="B73" s="578">
        <f t="shared" ref="B73:D73" si="641">IFERROR(O228+($A73*-E73),"")</f>
        <v>-1.9318516721444575E-2</v>
      </c>
      <c r="C73" s="572">
        <f t="shared" si="641"/>
        <v>-2.9406486105397014</v>
      </c>
      <c r="D73" s="576">
        <f t="shared" si="641"/>
        <v>-0.51510153781153922</v>
      </c>
      <c r="E73" s="580">
        <f t="shared" ref="E73:K73" si="642">R228</f>
        <v>0.96592583607220739</v>
      </c>
      <c r="F73" s="572">
        <f t="shared" si="642"/>
        <v>6.6987279208207087E-2</v>
      </c>
      <c r="G73" s="579">
        <f t="shared" si="642"/>
        <v>0.24999996726497567</v>
      </c>
      <c r="H73" s="580">
        <f t="shared" si="642"/>
        <v>0.3125</v>
      </c>
      <c r="I73" s="572">
        <f t="shared" si="642"/>
        <v>0.52</v>
      </c>
      <c r="J73" s="483">
        <f t="shared" si="94"/>
        <v>4.1130000000000004</v>
      </c>
      <c r="K73" s="806">
        <f t="shared" si="642"/>
        <v>1613</v>
      </c>
      <c r="L73" s="309"/>
      <c r="M73" s="164">
        <f t="shared" ref="M73:M104" si="643">IF(J73="","",VALUE(J73))</f>
        <v>4.1130000000000004</v>
      </c>
      <c r="N73" s="575">
        <f t="shared" ref="N73:N104" si="644">IF(M73="","",B73)</f>
        <v>-1.9318516721444575E-2</v>
      </c>
      <c r="O73" s="572">
        <f t="shared" ref="O73:O104" si="645">IF(M73="","",C73)</f>
        <v>-2.9406486105397014</v>
      </c>
      <c r="P73" s="576">
        <f t="shared" ref="P73:P104" si="646">IF(M73="","",D73)</f>
        <v>-0.51510153781153922</v>
      </c>
      <c r="Q73" s="528">
        <f t="shared" si="144"/>
        <v>269.623602239447</v>
      </c>
      <c r="R73" s="572">
        <f>IF(M73="","",SQRT(N73^2+O73^2))</f>
        <v>2.9407120661087163</v>
      </c>
      <c r="S73" s="577">
        <f>IF(M73="","",P73)</f>
        <v>-0.51510153781153922</v>
      </c>
      <c r="T73" s="578">
        <f>IF(M73="","",X73*COS(RADIANS(W73)))</f>
        <v>-2.9407112701252252</v>
      </c>
      <c r="U73" s="572">
        <f>IF(M73="","",X73*SIN(RADIANS(W73)))</f>
        <v>2.1636810943908898E-3</v>
      </c>
      <c r="V73" s="579">
        <f>IF(M73="","",Y73)</f>
        <v>-0.51510153781153922</v>
      </c>
      <c r="W73" s="528">
        <f t="shared" si="268"/>
        <v>179.95784360953428</v>
      </c>
      <c r="X73" s="572">
        <f>IF(M73="","",R73)</f>
        <v>2.9407120661087163</v>
      </c>
      <c r="Y73" s="573">
        <f t="shared" si="271"/>
        <v>-0.51510153781153922</v>
      </c>
      <c r="Z73" s="575">
        <f t="shared" ref="Z73:Z104" si="647">IF(M73="","",-E73)</f>
        <v>-0.96592583607220739</v>
      </c>
      <c r="AA73" s="572">
        <f t="shared" ref="AA73:AA104" si="648">IF(M73="","",-F73)</f>
        <v>-6.6987279208207087E-2</v>
      </c>
      <c r="AB73" s="572">
        <f t="shared" ref="AB73:AB104" si="649">IF(M73="","",-G73)</f>
        <v>-0.24999996726497567</v>
      </c>
      <c r="AC73" s="579">
        <f>IF(M73="","",SQRT(Z73^2+AA73^2+AB73^2))</f>
        <v>1</v>
      </c>
      <c r="AD73" s="580">
        <f>IF(M73="","",Z73*(1/SQRT(Z73^2+AA73^2+AB73^2)))</f>
        <v>-0.96592583607220739</v>
      </c>
      <c r="AE73" s="572">
        <f>IF(M73="","",AA73*(1/SQRT(Z73^2+AA73^2+AB73^2)))</f>
        <v>-6.6987279208207087E-2</v>
      </c>
      <c r="AF73" s="576">
        <f>IF(M73="","",AB73*(1/SQRT(Z73^2+AA73^2+AB73^2)))</f>
        <v>-0.24999996726497567</v>
      </c>
      <c r="AG73" s="545">
        <f>IF(M73="","",DEGREES(ATAN2(-AF73,AE73)))</f>
        <v>-14.999997834268243</v>
      </c>
      <c r="AH73" s="546">
        <f>IF(M73="","",DEGREES(ACOS(AD73)))</f>
        <v>165.00000216573176</v>
      </c>
      <c r="AI73" s="528">
        <f>IF(M73="","",DEGREES(-ACOS(-AF73)))</f>
        <v>-75.522489751159455</v>
      </c>
      <c r="AJ73" s="529">
        <f>IF(M73="","",DEGREES(ATAN2(-AE73,AD73)))</f>
        <v>-86.032870354913427</v>
      </c>
      <c r="AK73" s="578">
        <f>IF(M73="","",(COS(RADIANS((90-$Q$8)-W73))*AD73)+(-SIN(RADIANS((90-$Q$8)-W73))*AE73))</f>
        <v>0.96546493129248323</v>
      </c>
      <c r="AL73" s="572">
        <f>IF(M73="","",(SIN(RADIANS((90-$Q$8)-W73))*AD73)+(COS(RADIANS((90-$Q$8)-W73))*AE73))</f>
        <v>7.3331322174849528E-2</v>
      </c>
      <c r="AM73" s="577">
        <f>IF(M73="","",AF73)</f>
        <v>-0.24999996726497567</v>
      </c>
      <c r="AN73" s="524">
        <f>IF(M73="","",DEGREES(ATAN2(-AM73,AL73)))</f>
        <v>16.34774916689755</v>
      </c>
      <c r="AO73" s="525">
        <f t="shared" si="604"/>
        <v>15.101693366717845</v>
      </c>
      <c r="AP73" s="528">
        <f>IF(M73="","",DEGREES(ATAN2(AK73,AL73)))</f>
        <v>4.3435274056395645</v>
      </c>
      <c r="AQ73" s="529">
        <f t="shared" ref="AQ73:AQ104" si="650">IF(M73="","",DEGREES(ATAN(($AS$5*SIN(RADIANS(90)))/(($X73*2*PI())-($AS$5*COS(RADIANS(90)))))))</f>
        <v>0.7751821599932277</v>
      </c>
      <c r="AR73" s="979"/>
      <c r="AS73" s="954">
        <f t="shared" si="524"/>
        <v>179.95784360953428</v>
      </c>
      <c r="AT73" s="950">
        <f t="shared" ref="AT73:AT104" si="651">IF(M73="","",Y73+(((AS73-$AS$9)*$AS$6)*-1))</f>
        <v>-0.39196985814103175</v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41"/>
        <v>4.1130000000000004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713">IF(ISNUMBER($IK73),INDEX($K$9:$K$150,MATCH($IK73,$M$9:$M$150,0)),$K73)</f>
        <v>1613</v>
      </c>
      <c r="IM73" s="482" t="str">
        <f t="shared" si="242"/>
        <v/>
      </c>
      <c r="IN73" s="670" t="str">
        <f t="shared" ref="IN73:IN104" si="714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715">IF(ISNUMBER($IK73),(($IQ73*12)/60)/$AS$3,"")</f>
        <v/>
      </c>
      <c r="IQ73" s="714"/>
      <c r="IR73" s="9" t="str">
        <f t="shared" ref="IR73:IR104" si="716">IF(ISNUMBER($IK73),(INDEX($X$9:$X$150,MATCH($IK73,$M$9:$M$150,0))*-1),"")</f>
        <v/>
      </c>
      <c r="IS73" s="5" t="str">
        <f t="shared" ref="IS73:IS104" si="717">IF(ISNUMBER($IK73),INDEX($Y$9:$Y$150,MATCH($IK73,$M$9:$M$150,0)),"")</f>
        <v/>
      </c>
      <c r="IT73" s="5" t="str">
        <f t="shared" ref="IT73:IT104" si="718">IF(ISNUMBER($IK73),INDEX($H$9:$H$150,MATCH($IK73,$M$9:$M$150,0)),"")</f>
        <v/>
      </c>
      <c r="IU73" s="5" t="str">
        <f t="shared" ref="IU73:IU104" si="719">IF(ISNUMBER($IK73),$IT73*COS(RADIANS(INDEX($AO$9:$AO$150,MATCH($IK73,$M$9:$M$150,0)))),"")</f>
        <v/>
      </c>
      <c r="IV73" s="670" t="str">
        <f t="shared" ref="IV73:IV104" si="720">IF(ISNUMBER($IK73),(-1*INDEX($AN$9:$AN$150,MATCH($IK73,$M$9:$M$150,0))),"")</f>
        <v/>
      </c>
      <c r="IW73" s="9" t="str">
        <f t="shared" ref="IW73:IW104" si="721">IF(ISNUMBER($IK73),-$X73,"")</f>
        <v/>
      </c>
      <c r="IX73" s="5" t="str">
        <f t="shared" ref="IX73:IX104" si="722">IF(ISNUMBER($IK73),$Y73,"")</f>
        <v/>
      </c>
      <c r="IY73" s="5" t="str">
        <f t="shared" ref="IY73:IY104" si="723">IF(ISNUMBER($IK73),$H73,"")</f>
        <v/>
      </c>
      <c r="IZ73" s="5" t="str">
        <f t="shared" ref="IZ73:IZ104" si="724">IF(ISNUMBER($IK73),$IY73*COS(RADIANS($AO73)),"")</f>
        <v/>
      </c>
      <c r="JA73" s="705" t="str">
        <f t="shared" ref="JA73:JA104" si="725">IF(ISNUMBER($IK73),(-1*$AN73),"")</f>
        <v/>
      </c>
      <c r="JM73" s="489">
        <f t="shared" si="133"/>
        <v>13</v>
      </c>
      <c r="JN73" s="960">
        <f>($JO73-SMALL($JO$9:$JO$88,1))/((Settings!$C$19/2)-((Settings!$C$19/2)-LARGE($JO$9:$JO$88,1))-SMALL($JO$9:$JO$88,1))</f>
        <v>0.31718483662337016</v>
      </c>
      <c r="JO73" s="162">
        <f t="shared" si="635"/>
        <v>2.9407120661087163</v>
      </c>
      <c r="JP73" s="961">
        <f t="shared" si="636"/>
        <v>16.34774916689755</v>
      </c>
      <c r="JQ73" s="961">
        <f t="shared" si="637"/>
        <v>15.101693366717845</v>
      </c>
      <c r="JU73" s="962"/>
      <c r="JV73" s="959"/>
      <c r="JW73" s="959"/>
    </row>
    <row r="74" spans="1:283" ht="15" customHeight="1" x14ac:dyDescent="0.25">
      <c r="A74" s="75">
        <f t="shared" si="640"/>
        <v>0.02</v>
      </c>
      <c r="B74" s="578">
        <f t="shared" ref="B74:D74" si="726">IFERROR(O229+($A74*-E74),"")</f>
        <v>-1.9318516721444575E-2</v>
      </c>
      <c r="C74" s="572">
        <f t="shared" si="726"/>
        <v>-3.6825508481168487</v>
      </c>
      <c r="D74" s="576">
        <f t="shared" si="726"/>
        <v>-0.31640093853053225</v>
      </c>
      <c r="E74" s="580">
        <f t="shared" ref="E74:K74" si="727">R229</f>
        <v>0.96592583607220739</v>
      </c>
      <c r="F74" s="572">
        <f t="shared" si="727"/>
        <v>6.6987279208207087E-2</v>
      </c>
      <c r="G74" s="579">
        <f t="shared" si="727"/>
        <v>0.24999996726497567</v>
      </c>
      <c r="H74" s="580">
        <f t="shared" si="727"/>
        <v>0.3125</v>
      </c>
      <c r="I74" s="572">
        <f t="shared" si="727"/>
        <v>0.52</v>
      </c>
      <c r="J74" s="483">
        <f t="shared" ref="J74:J137" si="728">IF(W229=0,"",W229)</f>
        <v>4.1189999999999998</v>
      </c>
      <c r="K74" s="806">
        <f t="shared" si="727"/>
        <v>1613</v>
      </c>
      <c r="L74" s="309"/>
      <c r="M74" s="164">
        <f t="shared" si="643"/>
        <v>4.1189999999999998</v>
      </c>
      <c r="N74" s="575">
        <f t="shared" si="644"/>
        <v>-1.9318516721444575E-2</v>
      </c>
      <c r="O74" s="572">
        <f t="shared" si="645"/>
        <v>-3.6825508481168487</v>
      </c>
      <c r="P74" s="576">
        <f t="shared" si="646"/>
        <v>-0.31640093853053225</v>
      </c>
      <c r="Q74" s="528">
        <f t="shared" ref="Q74:Q129" si="729">IF(M74="","",IF(DEGREES(ATAN2(N74,O74))&lt;0,DEGREES(ATAN2(N74,O74))+360,IF(DEGREES(ATAN2(N74,O74))&gt;360,DEGREES(ATAN2(N74,O74))-360,DEGREES(ATAN2(N74,O74)))))</f>
        <v>269.69943135432743</v>
      </c>
      <c r="R74" s="572">
        <f>IF(M74="","",SQRT(N74^2+O74^2))</f>
        <v>3.6826015198571835</v>
      </c>
      <c r="S74" s="577">
        <f>IF(M74="","",P74)</f>
        <v>-0.31640093853053225</v>
      </c>
      <c r="T74" s="578">
        <f>IF(M74="","",X74*COS(RADIANS(W74)))</f>
        <v>-3.6826008838881537</v>
      </c>
      <c r="U74" s="572">
        <f>IF(M74="","",X74*SIN(RADIANS(W74)))</f>
        <v>-2.1642644540823511E-3</v>
      </c>
      <c r="V74" s="579">
        <f>IF(M74="","",Y74)</f>
        <v>-0.31640093853053225</v>
      </c>
      <c r="W74" s="528">
        <f t="shared" si="268"/>
        <v>180.03367272441471</v>
      </c>
      <c r="X74" s="572">
        <f>IF(M74="","",R74)</f>
        <v>3.6826015198571835</v>
      </c>
      <c r="Y74" s="573">
        <f t="shared" si="271"/>
        <v>-0.31640093853053225</v>
      </c>
      <c r="Z74" s="575">
        <f t="shared" si="647"/>
        <v>-0.96592583607220739</v>
      </c>
      <c r="AA74" s="572">
        <f t="shared" si="648"/>
        <v>-6.6987279208207087E-2</v>
      </c>
      <c r="AB74" s="572">
        <f t="shared" si="649"/>
        <v>-0.24999996726497567</v>
      </c>
      <c r="AC74" s="579">
        <f>IF(M74="","",SQRT(Z74^2+AA74^2+AB74^2))</f>
        <v>1</v>
      </c>
      <c r="AD74" s="580">
        <f>IF(M74="","",Z74*(1/SQRT(Z74^2+AA74^2+AB74^2)))</f>
        <v>-0.96592583607220739</v>
      </c>
      <c r="AE74" s="572">
        <f>IF(M74="","",AA74*(1/SQRT(Z74^2+AA74^2+AB74^2)))</f>
        <v>-6.6987279208207087E-2</v>
      </c>
      <c r="AF74" s="576">
        <f>IF(M74="","",AB74*(1/SQRT(Z74^2+AA74^2+AB74^2)))</f>
        <v>-0.24999996726497567</v>
      </c>
      <c r="AG74" s="545">
        <f>IF(M74="","",DEGREES(ATAN2(-AF74,AE74)))</f>
        <v>-14.999997834268243</v>
      </c>
      <c r="AH74" s="546">
        <f>IF(M74="","",DEGREES(ACOS(AD74)))</f>
        <v>165.00000216573176</v>
      </c>
      <c r="AI74" s="528">
        <f>IF(M74="","",DEGREES(-ACOS(-AF74)))</f>
        <v>-75.522489751159455</v>
      </c>
      <c r="AJ74" s="529">
        <f>IF(M74="","",DEGREES(ATAN2(-AE74,AD74)))</f>
        <v>-86.032870354913427</v>
      </c>
      <c r="AK74" s="578">
        <f>IF(M74="","",(COS(RADIANS((90-$Q$8)-W74))*AD74)+(-SIN(RADIANS((90-$Q$8)-W74))*AE74))</f>
        <v>0.96556113736412996</v>
      </c>
      <c r="AL74" s="572">
        <f>IF(M74="","",(SIN(RADIANS((90-$Q$8)-W74))*AD74)+(COS(RADIANS((90-$Q$8)-W74))*AE74))</f>
        <v>7.2053496650745799E-2</v>
      </c>
      <c r="AM74" s="577">
        <f>IF(M74="","",AF74)</f>
        <v>-0.24999996726497567</v>
      </c>
      <c r="AN74" s="524">
        <f>IF(M74="","",DEGREES(ATAN2(-AM74,AL74)))</f>
        <v>16.077723367594128</v>
      </c>
      <c r="AO74" s="525">
        <f t="shared" si="604"/>
        <v>15.080521470232583</v>
      </c>
      <c r="AP74" s="528">
        <f>IF(M74="","",DEGREES(ATAN2(AK74,AL74)))</f>
        <v>4.2676982907591334</v>
      </c>
      <c r="AQ74" s="529">
        <f t="shared" si="650"/>
        <v>0.61902921505944497</v>
      </c>
      <c r="AR74" s="979"/>
      <c r="AS74" s="954">
        <f t="shared" si="524"/>
        <v>180.03367272441471</v>
      </c>
      <c r="AT74" s="950">
        <f t="shared" si="651"/>
        <v>-0.19332191796758064</v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41"/>
        <v>4.1189999999999998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713"/>
        <v>1613</v>
      </c>
      <c r="IM74" s="482" t="str">
        <f t="shared" si="242"/>
        <v/>
      </c>
      <c r="IN74" s="670" t="str">
        <f t="shared" si="714"/>
        <v/>
      </c>
      <c r="IO74" s="702"/>
      <c r="IP74" s="5" t="str">
        <f t="shared" si="715"/>
        <v/>
      </c>
      <c r="IQ74" s="714"/>
      <c r="IR74" s="9" t="str">
        <f t="shared" si="716"/>
        <v/>
      </c>
      <c r="IS74" s="5" t="str">
        <f t="shared" si="717"/>
        <v/>
      </c>
      <c r="IT74" s="5" t="str">
        <f t="shared" si="718"/>
        <v/>
      </c>
      <c r="IU74" s="5" t="str">
        <f t="shared" si="719"/>
        <v/>
      </c>
      <c r="IV74" s="670" t="str">
        <f t="shared" si="720"/>
        <v/>
      </c>
      <c r="IW74" s="9" t="str">
        <f t="shared" si="721"/>
        <v/>
      </c>
      <c r="IX74" s="5" t="str">
        <f t="shared" si="722"/>
        <v/>
      </c>
      <c r="IY74" s="5" t="str">
        <f t="shared" si="723"/>
        <v/>
      </c>
      <c r="IZ74" s="5" t="str">
        <f t="shared" si="724"/>
        <v/>
      </c>
      <c r="JA74" s="705" t="str">
        <f t="shared" si="725"/>
        <v/>
      </c>
      <c r="JM74" s="489">
        <f t="shared" ref="JM74:JM88" si="752">VALUE(RIGHT((M74*1000),2))</f>
        <v>19</v>
      </c>
      <c r="JN74" s="960">
        <f>($JO74-SMALL($JO$9:$JO$88,1))/((Settings!$C$19/2)-((Settings!$C$19/2)-LARGE($JO$9:$JO$88,1))-SMALL($JO$9:$JO$88,1))</f>
        <v>0.40785368702807678</v>
      </c>
      <c r="JO74" s="162">
        <f t="shared" si="635"/>
        <v>3.6826015198571835</v>
      </c>
      <c r="JP74" s="961">
        <f t="shared" si="636"/>
        <v>16.077723367594128</v>
      </c>
      <c r="JQ74" s="961">
        <f t="shared" si="637"/>
        <v>15.080521470232583</v>
      </c>
      <c r="JU74" s="962"/>
      <c r="JV74" s="959"/>
      <c r="JW74" s="959"/>
    </row>
    <row r="75" spans="1:283" ht="15" customHeight="1" x14ac:dyDescent="0.25">
      <c r="A75" s="75">
        <f t="shared" si="640"/>
        <v>0.02</v>
      </c>
      <c r="B75" s="578">
        <f t="shared" ref="B75:D75" si="753">IFERROR(O230+($A75*-E75),"")</f>
        <v>-3.1895690715808417E-2</v>
      </c>
      <c r="C75" s="572">
        <f t="shared" si="753"/>
        <v>-4.4248852002942485</v>
      </c>
      <c r="D75" s="576">
        <f t="shared" si="753"/>
        <v>-0.12201828365293525</v>
      </c>
      <c r="E75" s="580">
        <f t="shared" ref="E75:K75" si="754">R230</f>
        <v>0.96536662367756532</v>
      </c>
      <c r="F75" s="572">
        <f t="shared" si="754"/>
        <v>-5.1195042808499513E-4</v>
      </c>
      <c r="G75" s="579">
        <f t="shared" si="754"/>
        <v>0.26089656915363463</v>
      </c>
      <c r="H75" s="580">
        <f t="shared" si="754"/>
        <v>0.3125</v>
      </c>
      <c r="I75" s="572">
        <f t="shared" si="754"/>
        <v>0.52</v>
      </c>
      <c r="J75" s="483">
        <f t="shared" si="728"/>
        <v>4.125</v>
      </c>
      <c r="K75" s="806">
        <f t="shared" si="754"/>
        <v>1613</v>
      </c>
      <c r="L75" s="309"/>
      <c r="M75" s="164">
        <f t="shared" si="643"/>
        <v>4.125</v>
      </c>
      <c r="N75" s="575">
        <f t="shared" si="644"/>
        <v>-3.1895690715808417E-2</v>
      </c>
      <c r="O75" s="572">
        <f t="shared" si="645"/>
        <v>-4.4248852002942485</v>
      </c>
      <c r="P75" s="576">
        <f t="shared" si="646"/>
        <v>-0.12201828365293525</v>
      </c>
      <c r="Q75" s="528">
        <f t="shared" si="729"/>
        <v>269.5870046951498</v>
      </c>
      <c r="R75" s="572">
        <f>IF(M75="","",SQRT(N75^2+O75^2))</f>
        <v>4.4250001549004843</v>
      </c>
      <c r="S75" s="577">
        <f>IF(M75="","",P75)</f>
        <v>-0.12201828365293525</v>
      </c>
      <c r="T75" s="578">
        <f>IF(M75="","",X75*COS(RADIANS(W75)))</f>
        <v>-4.4249959748407841</v>
      </c>
      <c r="U75" s="572">
        <f>IF(M75="","",X75*SIN(RADIANS(W75)))</f>
        <v>6.0822292105006167E-3</v>
      </c>
      <c r="V75" s="579">
        <f>IF(M75="","",Y75)</f>
        <v>-0.12201828365293525</v>
      </c>
      <c r="W75" s="528">
        <f t="shared" si="268"/>
        <v>179.92124606523709</v>
      </c>
      <c r="X75" s="572">
        <f>IF(M75="","",R75)</f>
        <v>4.4250001549004843</v>
      </c>
      <c r="Y75" s="573">
        <f t="shared" si="271"/>
        <v>-0.12201828365293525</v>
      </c>
      <c r="Z75" s="575">
        <f t="shared" si="647"/>
        <v>-0.96536662367756532</v>
      </c>
      <c r="AA75" s="572">
        <f t="shared" si="648"/>
        <v>5.1195042808499513E-4</v>
      </c>
      <c r="AB75" s="572">
        <f t="shared" si="649"/>
        <v>-0.26089656915363463</v>
      </c>
      <c r="AC75" s="579">
        <f>IF(M75="","",SQRT(Z75^2+AA75^2+AB75^2))</f>
        <v>1</v>
      </c>
      <c r="AD75" s="580">
        <f>IF(M75="","",Z75*(1/SQRT(Z75^2+AA75^2+AB75^2)))</f>
        <v>-0.96536662367756532</v>
      </c>
      <c r="AE75" s="572">
        <f>IF(M75="","",AA75*(1/SQRT(Z75^2+AA75^2+AB75^2)))</f>
        <v>5.1195042808499513E-4</v>
      </c>
      <c r="AF75" s="576">
        <f>IF(M75="","",AB75*(1/SQRT(Z75^2+AA75^2+AB75^2)))</f>
        <v>-0.26089656915363463</v>
      </c>
      <c r="AG75" s="545">
        <f>IF(M75="","",DEGREES(ATAN2(-AF75,AE75)))</f>
        <v>0.11242984641718139</v>
      </c>
      <c r="AH75" s="546">
        <f>IF(M75="","",DEGREES(ACOS(AD75)))</f>
        <v>164.8767021604792</v>
      </c>
      <c r="AI75" s="528">
        <f>IF(M75="","",DEGREES(-ACOS(-AF75)))</f>
        <v>-74.876731972221691</v>
      </c>
      <c r="AJ75" s="529">
        <f>IF(M75="","",DEGREES(ATAN2(-AE75,AD75)))</f>
        <v>-90.030384928772079</v>
      </c>
      <c r="AK75" s="578">
        <f>IF(M75="","",(COS(RADIANS((90-$Q$8)-W75))*AD75)+(-SIN(RADIANS((90-$Q$8)-W75))*AE75))</f>
        <v>0.96534523512970793</v>
      </c>
      <c r="AL75" s="572">
        <f>IF(M75="","",(SIN(RADIANS((90-$Q$8)-W75))*AD75)+(COS(RADIANS((90-$Q$8)-W75))*AE75))</f>
        <v>6.4464886745991138E-3</v>
      </c>
      <c r="AM75" s="577">
        <f>IF(M75="","",AF75)</f>
        <v>-0.26089656915363463</v>
      </c>
      <c r="AN75" s="524">
        <f>IF(M75="","",DEGREES(ATAN2(-AM75,AL75)))</f>
        <v>1.4154323846680779</v>
      </c>
      <c r="AO75" s="525">
        <f t="shared" si="604"/>
        <v>15.127994280547004</v>
      </c>
      <c r="AP75" s="528">
        <f>IF(M75="","",DEGREES(ATAN2(AK75,AL75)))</f>
        <v>0.38261037607812032</v>
      </c>
      <c r="AQ75" s="529">
        <f t="shared" si="650"/>
        <v>0.51517855696364623</v>
      </c>
      <c r="AR75" s="979"/>
      <c r="AS75" s="954">
        <f t="shared" ref="AS75:AS106" si="755">IF(G75="","",IF(AND(W75&lt;(AS74+180),W75&gt;(AS74-180)),W75,IF(W75&gt;(AS74+180),W75-360,IF(W75&lt;(AS74-180),W75+360,"Error"))))</f>
        <v>179.92124606523709</v>
      </c>
      <c r="AT75" s="950">
        <f t="shared" si="651"/>
        <v>1.1388109788897094E-3</v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855">$M75</f>
        <v>4.125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713"/>
        <v>1613</v>
      </c>
      <c r="IM75" s="482" t="str">
        <f t="shared" ref="IM75:IM138" si="856">IF(ISNUMBER($IK75),INDEX($K$9:$K$150,MATCH($II75,$M$9:$M$150,0)),"")</f>
        <v/>
      </c>
      <c r="IN75" s="670" t="str">
        <f t="shared" si="714"/>
        <v/>
      </c>
      <c r="IO75" s="702"/>
      <c r="IP75" s="5" t="str">
        <f t="shared" si="715"/>
        <v/>
      </c>
      <c r="IQ75" s="714"/>
      <c r="IR75" s="9" t="str">
        <f t="shared" si="716"/>
        <v/>
      </c>
      <c r="IS75" s="5" t="str">
        <f t="shared" si="717"/>
        <v/>
      </c>
      <c r="IT75" s="5" t="str">
        <f t="shared" si="718"/>
        <v/>
      </c>
      <c r="IU75" s="5" t="str">
        <f t="shared" si="719"/>
        <v/>
      </c>
      <c r="IV75" s="670" t="str">
        <f t="shared" si="720"/>
        <v/>
      </c>
      <c r="IW75" s="9" t="str">
        <f t="shared" si="721"/>
        <v/>
      </c>
      <c r="IX75" s="5" t="str">
        <f t="shared" si="722"/>
        <v/>
      </c>
      <c r="IY75" s="5" t="str">
        <f t="shared" si="723"/>
        <v/>
      </c>
      <c r="IZ75" s="5" t="str">
        <f t="shared" si="724"/>
        <v/>
      </c>
      <c r="JA75" s="705" t="str">
        <f t="shared" si="725"/>
        <v/>
      </c>
      <c r="JM75" s="489">
        <f t="shared" si="752"/>
        <v>25</v>
      </c>
      <c r="JN75" s="960">
        <f>($JO75-SMALL($JO$9:$JO$88,1))/((Settings!$C$19/2)-((Settings!$C$19/2)-LARGE($JO$9:$JO$88,1))-SMALL($JO$9:$JO$88,1))</f>
        <v>0.49858476622228426</v>
      </c>
      <c r="JO75" s="162">
        <f t="shared" si="635"/>
        <v>4.4250001549004843</v>
      </c>
      <c r="JP75" s="961">
        <f t="shared" si="636"/>
        <v>1.4154323846680779</v>
      </c>
      <c r="JQ75" s="961">
        <f t="shared" si="637"/>
        <v>15.127994280547004</v>
      </c>
      <c r="JU75" s="962"/>
      <c r="JV75" s="959"/>
      <c r="JW75" s="959"/>
    </row>
    <row r="76" spans="1:283" ht="15" customHeight="1" x14ac:dyDescent="0.25">
      <c r="A76" s="75">
        <f t="shared" si="640"/>
        <v>0.02</v>
      </c>
      <c r="B76" s="578">
        <f t="shared" ref="B76:D76" si="857">IFERROR(O231+($A76*-E76),"")</f>
        <v>-7.1740089935478396E-2</v>
      </c>
      <c r="C76" s="572">
        <f t="shared" si="857"/>
        <v>-5.1918194723401285</v>
      </c>
      <c r="D76" s="576">
        <f t="shared" si="857"/>
        <v>-4.7523043205163283E-2</v>
      </c>
      <c r="E76" s="580">
        <f t="shared" ref="E76:K76" si="858">R231</f>
        <v>0.96275566166986348</v>
      </c>
      <c r="F76" s="572">
        <f t="shared" si="858"/>
        <v>-8.654988341724279E-2</v>
      </c>
      <c r="G76" s="579">
        <f t="shared" si="858"/>
        <v>0.25614576631887792</v>
      </c>
      <c r="H76" s="580">
        <f t="shared" si="858"/>
        <v>0.3125</v>
      </c>
      <c r="I76" s="572">
        <f t="shared" si="858"/>
        <v>0.52</v>
      </c>
      <c r="J76" s="483">
        <f t="shared" si="728"/>
        <v>4.1310000000000002</v>
      </c>
      <c r="K76" s="806">
        <f t="shared" si="858"/>
        <v>1613</v>
      </c>
      <c r="L76" s="309"/>
      <c r="M76" s="164">
        <f t="shared" si="643"/>
        <v>4.1310000000000002</v>
      </c>
      <c r="N76" s="575">
        <f t="shared" si="644"/>
        <v>-7.1740089935478396E-2</v>
      </c>
      <c r="O76" s="572">
        <f t="shared" si="645"/>
        <v>-5.1918194723401285</v>
      </c>
      <c r="P76" s="576">
        <f t="shared" si="646"/>
        <v>-4.7523043205163283E-2</v>
      </c>
      <c r="Q76" s="528">
        <f t="shared" si="729"/>
        <v>269.20834250480067</v>
      </c>
      <c r="R76" s="572">
        <f t="shared" si="95"/>
        <v>5.1923150977068104</v>
      </c>
      <c r="S76" s="577">
        <f t="shared" si="96"/>
        <v>-4.7523043205163283E-2</v>
      </c>
      <c r="T76" s="578">
        <f t="shared" si="97"/>
        <v>-5.1921496326038419</v>
      </c>
      <c r="U76" s="572">
        <f t="shared" si="98"/>
        <v>4.1451978552030151E-2</v>
      </c>
      <c r="V76" s="579">
        <f t="shared" si="145"/>
        <v>-4.7523043205163283E-2</v>
      </c>
      <c r="W76" s="528">
        <f t="shared" si="268"/>
        <v>179.54258387488795</v>
      </c>
      <c r="X76" s="572">
        <f t="shared" si="99"/>
        <v>5.1923150977068104</v>
      </c>
      <c r="Y76" s="573">
        <f t="shared" ref="Y76:Y129" si="859">IF(M76="","",S76)</f>
        <v>-4.7523043205163283E-2</v>
      </c>
      <c r="Z76" s="575">
        <f t="shared" si="647"/>
        <v>-0.96275566166986348</v>
      </c>
      <c r="AA76" s="572">
        <f t="shared" si="648"/>
        <v>8.654988341724279E-2</v>
      </c>
      <c r="AB76" s="572">
        <f t="shared" si="649"/>
        <v>-0.25614576631887792</v>
      </c>
      <c r="AC76" s="579">
        <f t="shared" si="100"/>
        <v>1</v>
      </c>
      <c r="AD76" s="580">
        <f t="shared" si="146"/>
        <v>-0.96275566166986348</v>
      </c>
      <c r="AE76" s="572">
        <f t="shared" si="101"/>
        <v>8.654988341724279E-2</v>
      </c>
      <c r="AF76" s="576">
        <f t="shared" si="102"/>
        <v>-0.25614576631887792</v>
      </c>
      <c r="AG76" s="545">
        <f t="shared" si="103"/>
        <v>18.669755427625198</v>
      </c>
      <c r="AH76" s="546">
        <f t="shared" si="104"/>
        <v>164.31353883076221</v>
      </c>
      <c r="AI76" s="528">
        <f t="shared" si="105"/>
        <v>-75.158512209254241</v>
      </c>
      <c r="AJ76" s="529">
        <f t="shared" si="106"/>
        <v>-95.136971717378628</v>
      </c>
      <c r="AK76" s="578">
        <f t="shared" si="247"/>
        <v>0.96385958741099376</v>
      </c>
      <c r="AL76" s="572">
        <f t="shared" si="107"/>
        <v>-7.3239621468326327E-2</v>
      </c>
      <c r="AM76" s="577">
        <f t="shared" si="108"/>
        <v>-0.25614576631887792</v>
      </c>
      <c r="AN76" s="524">
        <f t="shared" si="109"/>
        <v>-15.95679354291808</v>
      </c>
      <c r="AO76" s="525">
        <f t="shared" si="604"/>
        <v>15.450797552480237</v>
      </c>
      <c r="AP76" s="528">
        <f t="shared" si="111"/>
        <v>-4.3453142221793062</v>
      </c>
      <c r="AQ76" s="529">
        <f t="shared" si="650"/>
        <v>0.43904924249175709</v>
      </c>
      <c r="AR76" s="979"/>
      <c r="AS76" s="954">
        <f t="shared" si="755"/>
        <v>179.54258387488795</v>
      </c>
      <c r="AT76" s="950">
        <f t="shared" si="651"/>
        <v>7.5897011281070792E-2</v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855"/>
        <v>4.1310000000000002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713"/>
        <v>1613</v>
      </c>
      <c r="IM76" s="482" t="str">
        <f t="shared" si="856"/>
        <v/>
      </c>
      <c r="IN76" s="670" t="str">
        <f t="shared" si="714"/>
        <v/>
      </c>
      <c r="IO76" s="702"/>
      <c r="IP76" s="5" t="str">
        <f t="shared" si="715"/>
        <v/>
      </c>
      <c r="IQ76" s="714"/>
      <c r="IR76" s="9" t="str">
        <f t="shared" si="716"/>
        <v/>
      </c>
      <c r="IS76" s="5" t="str">
        <f t="shared" si="717"/>
        <v/>
      </c>
      <c r="IT76" s="5" t="str">
        <f t="shared" si="718"/>
        <v/>
      </c>
      <c r="IU76" s="5" t="str">
        <f t="shared" si="719"/>
        <v/>
      </c>
      <c r="IV76" s="670" t="str">
        <f t="shared" si="720"/>
        <v/>
      </c>
      <c r="IW76" s="9" t="str">
        <f t="shared" si="721"/>
        <v/>
      </c>
      <c r="IX76" s="5" t="str">
        <f t="shared" si="722"/>
        <v/>
      </c>
      <c r="IY76" s="5" t="str">
        <f t="shared" si="723"/>
        <v/>
      </c>
      <c r="IZ76" s="5" t="str">
        <f t="shared" si="724"/>
        <v/>
      </c>
      <c r="JA76" s="705" t="str">
        <f t="shared" si="725"/>
        <v/>
      </c>
      <c r="JM76" s="489">
        <f t="shared" si="752"/>
        <v>31</v>
      </c>
      <c r="JN76" s="960">
        <f>($JO76-SMALL($JO$9:$JO$88,1))/((Settings!$C$19/2)-((Settings!$C$19/2)-LARGE($JO$9:$JO$88,1))-SMALL($JO$9:$JO$88,1))</f>
        <v>0.59236095270274425</v>
      </c>
      <c r="JO76" s="162">
        <f t="shared" si="635"/>
        <v>5.1923150977068104</v>
      </c>
      <c r="JP76" s="961">
        <f t="shared" si="636"/>
        <v>-15.95679354291808</v>
      </c>
      <c r="JQ76" s="961">
        <f t="shared" si="637"/>
        <v>15.450797552480237</v>
      </c>
      <c r="JU76" s="962"/>
      <c r="JV76" s="959"/>
      <c r="JW76" s="959"/>
    </row>
    <row r="77" spans="1:283" ht="15" customHeight="1" x14ac:dyDescent="0.25">
      <c r="A77" s="75">
        <f t="shared" si="640"/>
        <v>0.02</v>
      </c>
      <c r="B77" s="578">
        <f t="shared" ref="B77:D77" si="860">IFERROR(O232+($A77*-E77),"")</f>
        <v>-0.13800371137626161</v>
      </c>
      <c r="C77" s="572">
        <f t="shared" si="860"/>
        <v>-5.9485346019754015</v>
      </c>
      <c r="D77" s="576">
        <f t="shared" si="860"/>
        <v>-0.15126999589866152</v>
      </c>
      <c r="E77" s="580">
        <f t="shared" ref="E77:K77" si="861">R232</f>
        <v>0.95741498772931211</v>
      </c>
      <c r="F77" s="572">
        <f t="shared" si="861"/>
        <v>-0.1698373064747136</v>
      </c>
      <c r="G77" s="579">
        <f t="shared" si="861"/>
        <v>0.23347768758640602</v>
      </c>
      <c r="H77" s="580">
        <f t="shared" si="861"/>
        <v>0.3125</v>
      </c>
      <c r="I77" s="572">
        <f t="shared" si="861"/>
        <v>0.52</v>
      </c>
      <c r="J77" s="483">
        <f t="shared" si="728"/>
        <v>4.1369999999999996</v>
      </c>
      <c r="K77" s="806">
        <f t="shared" si="861"/>
        <v>1613</v>
      </c>
      <c r="L77" s="309"/>
      <c r="M77" s="164">
        <f t="shared" si="643"/>
        <v>4.1369999999999996</v>
      </c>
      <c r="N77" s="575">
        <f t="shared" si="644"/>
        <v>-0.13800371137626161</v>
      </c>
      <c r="O77" s="572">
        <f t="shared" si="645"/>
        <v>-5.9485346019754015</v>
      </c>
      <c r="P77" s="576">
        <f t="shared" si="646"/>
        <v>-0.15126999589866152</v>
      </c>
      <c r="Q77" s="528">
        <f t="shared" si="729"/>
        <v>268.67099838424639</v>
      </c>
      <c r="R77" s="572">
        <f t="shared" si="95"/>
        <v>5.9501352031069237</v>
      </c>
      <c r="S77" s="577">
        <f t="shared" si="96"/>
        <v>-0.15126999589866152</v>
      </c>
      <c r="T77" s="578">
        <f t="shared" si="97"/>
        <v>-5.949238440468112</v>
      </c>
      <c r="U77" s="572">
        <f t="shared" si="98"/>
        <v>0.10330011475703448</v>
      </c>
      <c r="V77" s="579">
        <f t="shared" si="145"/>
        <v>-0.15126999589866152</v>
      </c>
      <c r="W77" s="528">
        <f t="shared" si="268"/>
        <v>179.00523975433367</v>
      </c>
      <c r="X77" s="572">
        <f t="shared" si="99"/>
        <v>5.9501352031069237</v>
      </c>
      <c r="Y77" s="573">
        <f t="shared" si="859"/>
        <v>-0.15126999589866152</v>
      </c>
      <c r="Z77" s="575">
        <f t="shared" si="647"/>
        <v>-0.95741498772931211</v>
      </c>
      <c r="AA77" s="572">
        <f t="shared" si="648"/>
        <v>0.1698373064747136</v>
      </c>
      <c r="AB77" s="572">
        <f t="shared" si="649"/>
        <v>-0.23347768758640602</v>
      </c>
      <c r="AC77" s="579">
        <f t="shared" si="100"/>
        <v>1</v>
      </c>
      <c r="AD77" s="580">
        <f t="shared" si="146"/>
        <v>-0.95741498772931211</v>
      </c>
      <c r="AE77" s="572">
        <f t="shared" si="101"/>
        <v>0.1698373064747136</v>
      </c>
      <c r="AF77" s="576">
        <f t="shared" si="102"/>
        <v>-0.23347768758640602</v>
      </c>
      <c r="AG77" s="545">
        <f t="shared" si="103"/>
        <v>36.03304715813352</v>
      </c>
      <c r="AH77" s="546">
        <f t="shared" si="104"/>
        <v>163.21893972290061</v>
      </c>
      <c r="AI77" s="528">
        <f t="shared" si="105"/>
        <v>-76.498095353745953</v>
      </c>
      <c r="AJ77" s="529">
        <f t="shared" si="106"/>
        <v>-100.0591440171598</v>
      </c>
      <c r="AK77" s="578">
        <f t="shared" si="247"/>
        <v>0.96109654089797358</v>
      </c>
      <c r="AL77" s="572">
        <f t="shared" si="107"/>
        <v>-0.14758593589246372</v>
      </c>
      <c r="AM77" s="577">
        <f t="shared" si="108"/>
        <v>-0.23347768758640602</v>
      </c>
      <c r="AN77" s="524">
        <f t="shared" si="109"/>
        <v>-32.297802830116758</v>
      </c>
      <c r="AO77" s="525">
        <f t="shared" si="604"/>
        <v>16.034294413524425</v>
      </c>
      <c r="AP77" s="528">
        <f t="shared" si="111"/>
        <v>-8.7301424014061642</v>
      </c>
      <c r="AQ77" s="529">
        <f t="shared" si="650"/>
        <v>0.38313291625739765</v>
      </c>
      <c r="AR77" s="979"/>
      <c r="AS77" s="954">
        <f t="shared" si="755"/>
        <v>179.00523975433367</v>
      </c>
      <c r="AT77" s="950">
        <f t="shared" si="651"/>
        <v>-2.7476785773153628E-2</v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855"/>
        <v>4.1369999999999996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713"/>
        <v>1613</v>
      </c>
      <c r="IM77" s="482" t="str">
        <f t="shared" si="856"/>
        <v/>
      </c>
      <c r="IN77" s="670" t="str">
        <f t="shared" si="714"/>
        <v/>
      </c>
      <c r="IO77" s="702"/>
      <c r="IP77" s="5" t="str">
        <f t="shared" si="715"/>
        <v/>
      </c>
      <c r="IQ77" s="714"/>
      <c r="IR77" s="9" t="str">
        <f t="shared" si="716"/>
        <v/>
      </c>
      <c r="IS77" s="5" t="str">
        <f t="shared" si="717"/>
        <v/>
      </c>
      <c r="IT77" s="5" t="str">
        <f t="shared" si="718"/>
        <v/>
      </c>
      <c r="IU77" s="5" t="str">
        <f t="shared" si="719"/>
        <v/>
      </c>
      <c r="IV77" s="670" t="str">
        <f t="shared" si="720"/>
        <v/>
      </c>
      <c r="IW77" s="9" t="str">
        <f t="shared" si="721"/>
        <v/>
      </c>
      <c r="IX77" s="5" t="str">
        <f t="shared" si="722"/>
        <v/>
      </c>
      <c r="IY77" s="5" t="str">
        <f t="shared" si="723"/>
        <v/>
      </c>
      <c r="IZ77" s="5" t="str">
        <f t="shared" si="724"/>
        <v/>
      </c>
      <c r="JA77" s="705" t="str">
        <f t="shared" si="725"/>
        <v/>
      </c>
      <c r="JM77" s="489">
        <f t="shared" si="752"/>
        <v>37</v>
      </c>
      <c r="JN77" s="960">
        <f>($JO77-SMALL($JO$9:$JO$88,1))/((Settings!$C$19/2)-((Settings!$C$19/2)-LARGE($JO$9:$JO$88,1))-SMALL($JO$9:$JO$88,1))</f>
        <v>0.68497674259305019</v>
      </c>
      <c r="JO77" s="162">
        <f t="shared" si="635"/>
        <v>5.9501352031069237</v>
      </c>
      <c r="JP77" s="961">
        <f t="shared" si="636"/>
        <v>-32.297802830116758</v>
      </c>
      <c r="JQ77" s="961">
        <f t="shared" si="637"/>
        <v>16.034294413524425</v>
      </c>
      <c r="JU77" s="962"/>
      <c r="JV77" s="959"/>
      <c r="JW77" s="959"/>
    </row>
    <row r="78" spans="1:283" ht="15" customHeight="1" x14ac:dyDescent="0.25">
      <c r="A78" s="75">
        <f t="shared" si="640"/>
        <v>0.02</v>
      </c>
      <c r="B78" s="578">
        <f t="shared" ref="B78:D78" si="862">IFERROR(O233+($A78*-E78),"")</f>
        <v>-0.22414919700772745</v>
      </c>
      <c r="C78" s="572">
        <f t="shared" si="862"/>
        <v>-6.6552244536240073</v>
      </c>
      <c r="D78" s="576">
        <f t="shared" si="862"/>
        <v>-0.42071936448143837</v>
      </c>
      <c r="E78" s="580">
        <f t="shared" ref="E78:K78" si="863">R233</f>
        <v>0.93976500721201517</v>
      </c>
      <c r="F78" s="572">
        <f t="shared" si="863"/>
        <v>-0.25653158469304949</v>
      </c>
      <c r="G78" s="579">
        <f t="shared" si="863"/>
        <v>0.22590546092264771</v>
      </c>
      <c r="H78" s="580">
        <f t="shared" si="863"/>
        <v>0.3125</v>
      </c>
      <c r="I78" s="572">
        <f t="shared" si="863"/>
        <v>0.52</v>
      </c>
      <c r="J78" s="483">
        <f t="shared" si="728"/>
        <v>4.1429999999999998</v>
      </c>
      <c r="K78" s="806">
        <f t="shared" si="863"/>
        <v>1613</v>
      </c>
      <c r="L78" s="309"/>
      <c r="M78" s="164">
        <f t="shared" si="643"/>
        <v>4.1429999999999998</v>
      </c>
      <c r="N78" s="575">
        <f t="shared" si="644"/>
        <v>-0.22414919700772745</v>
      </c>
      <c r="O78" s="572">
        <f t="shared" si="645"/>
        <v>-6.6552244536240073</v>
      </c>
      <c r="P78" s="576">
        <f t="shared" si="646"/>
        <v>-0.42071936448143837</v>
      </c>
      <c r="Q78" s="528">
        <f t="shared" si="729"/>
        <v>268.07099666393424</v>
      </c>
      <c r="R78" s="572">
        <f>IF(M78="","",SQRT(N78^2+O78^2))</f>
        <v>6.6589980770859345</v>
      </c>
      <c r="S78" s="577">
        <f>IF(M78="","",P78)</f>
        <v>-0.42071936448143837</v>
      </c>
      <c r="T78" s="578">
        <f>IF(M78="","",X78*COS(RADIANS(W78)))</f>
        <v>-6.6564188039809906</v>
      </c>
      <c r="U78" s="572">
        <f>IF(M78="","",X78*SIN(RADIANS(W78)))</f>
        <v>0.18532160328048033</v>
      </c>
      <c r="V78" s="579">
        <f>IF(M78="","",Y78)</f>
        <v>-0.42071936448143837</v>
      </c>
      <c r="W78" s="528">
        <f t="shared" si="268"/>
        <v>178.40523803402152</v>
      </c>
      <c r="X78" s="572">
        <f>IF(M78="","",R78)</f>
        <v>6.6589980770859345</v>
      </c>
      <c r="Y78" s="573">
        <f t="shared" si="859"/>
        <v>-0.42071936448143837</v>
      </c>
      <c r="Z78" s="575">
        <f t="shared" si="647"/>
        <v>-0.93976500721201517</v>
      </c>
      <c r="AA78" s="572">
        <f t="shared" si="648"/>
        <v>0.25653158469304949</v>
      </c>
      <c r="AB78" s="572">
        <f t="shared" si="649"/>
        <v>-0.22590546092264771</v>
      </c>
      <c r="AC78" s="579">
        <f>IF(M78="","",SQRT(Z78^2+AA78^2+AB78^2))</f>
        <v>1</v>
      </c>
      <c r="AD78" s="580">
        <f>IF(M78="","",Z78*(1/SQRT(Z78^2+AA78^2+AB78^2)))</f>
        <v>-0.93976500721201517</v>
      </c>
      <c r="AE78" s="572">
        <f>IF(M78="","",AA78*(1/SQRT(Z78^2+AA78^2+AB78^2)))</f>
        <v>0.25653158469304949</v>
      </c>
      <c r="AF78" s="576">
        <f>IF(M78="","",AB78*(1/SQRT(Z78^2+AA78^2+AB78^2)))</f>
        <v>-0.22590546092264771</v>
      </c>
      <c r="AG78" s="545">
        <f>IF(M78="","",DEGREES(ATAN2(-AF78,AE78)))</f>
        <v>48.632382992786525</v>
      </c>
      <c r="AH78" s="546">
        <f>IF(M78="","",DEGREES(ACOS(AD78)))</f>
        <v>160.01212982148184</v>
      </c>
      <c r="AI78" s="528">
        <f>IF(M78="","",DEGREES(-ACOS(-AF78)))</f>
        <v>-76.943871775177172</v>
      </c>
      <c r="AJ78" s="529">
        <f>IF(M78="","",DEGREES(ATAN2(-AE78,AD78)))</f>
        <v>-105.26828537162923</v>
      </c>
      <c r="AK78" s="578">
        <f>IF(M78="","",(COS(RADIANS((90-$Q$8)-W78))*AD78)+(-SIN(RADIANS((90-$Q$8)-W78))*AE78))</f>
        <v>0.94786758192544185</v>
      </c>
      <c r="AL78" s="572">
        <f>IF(M78="","",(SIN(RADIANS((90-$Q$8)-W78))*AD78)+(COS(RADIANS((90-$Q$8)-W78))*AE78))</f>
        <v>-0.22475268599093959</v>
      </c>
      <c r="AM78" s="577">
        <f>IF(M78="","",AF78)</f>
        <v>-0.22590546092264771</v>
      </c>
      <c r="AN78" s="524">
        <f>IF(M78="","",DEGREES(ATAN2(-AM78,AL78)))</f>
        <v>-44.853438810084242</v>
      </c>
      <c r="AO78" s="525">
        <f t="shared" si="604"/>
        <v>18.582177163632295</v>
      </c>
      <c r="AP78" s="528">
        <f>IF(M78="","",DEGREES(ATAN2(AK78,AL78)))</f>
        <v>-13.339282035563462</v>
      </c>
      <c r="AQ78" s="529">
        <f t="shared" si="650"/>
        <v>0.34234872502661945</v>
      </c>
      <c r="AR78" s="979"/>
      <c r="AS78" s="954">
        <f t="shared" si="755"/>
        <v>178.40523803402152</v>
      </c>
      <c r="AT78" s="950">
        <f t="shared" si="651"/>
        <v>-0.29650948649460263</v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855"/>
        <v>4.1429999999999998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713"/>
        <v>1613</v>
      </c>
      <c r="IM78" s="482" t="str">
        <f t="shared" si="856"/>
        <v/>
      </c>
      <c r="IN78" s="670" t="str">
        <f t="shared" si="714"/>
        <v/>
      </c>
      <c r="IO78" s="702"/>
      <c r="IP78" s="5" t="str">
        <f t="shared" si="715"/>
        <v/>
      </c>
      <c r="IQ78" s="714"/>
      <c r="IR78" s="9" t="str">
        <f t="shared" si="716"/>
        <v/>
      </c>
      <c r="IS78" s="5" t="str">
        <f t="shared" si="717"/>
        <v/>
      </c>
      <c r="IT78" s="5" t="str">
        <f t="shared" si="718"/>
        <v/>
      </c>
      <c r="IU78" s="5" t="str">
        <f t="shared" si="719"/>
        <v/>
      </c>
      <c r="IV78" s="670" t="str">
        <f t="shared" si="720"/>
        <v/>
      </c>
      <c r="IW78" s="9" t="str">
        <f t="shared" si="721"/>
        <v/>
      </c>
      <c r="IX78" s="5" t="str">
        <f t="shared" si="722"/>
        <v/>
      </c>
      <c r="IY78" s="5" t="str">
        <f t="shared" si="723"/>
        <v/>
      </c>
      <c r="IZ78" s="5" t="str">
        <f t="shared" si="724"/>
        <v/>
      </c>
      <c r="JA78" s="705" t="str">
        <f t="shared" si="725"/>
        <v/>
      </c>
      <c r="JM78" s="489">
        <f t="shared" si="752"/>
        <v>43</v>
      </c>
      <c r="JN78" s="960">
        <f>($JO78-SMALL($JO$9:$JO$88,1))/((Settings!$C$19/2)-((Settings!$C$19/2)-LARGE($JO$9:$JO$88,1))-SMALL($JO$9:$JO$88,1))</f>
        <v>0.77160930159967056</v>
      </c>
      <c r="JO78" s="162">
        <f t="shared" si="635"/>
        <v>6.6589980770859345</v>
      </c>
      <c r="JP78" s="961">
        <f t="shared" si="636"/>
        <v>-44.853438810084242</v>
      </c>
      <c r="JQ78" s="961">
        <f t="shared" si="637"/>
        <v>18.582177163632295</v>
      </c>
      <c r="JU78" s="962"/>
      <c r="JV78" s="959"/>
      <c r="JW78" s="959"/>
    </row>
    <row r="79" spans="1:283" ht="15" customHeight="1" x14ac:dyDescent="0.25">
      <c r="A79" s="75">
        <f t="shared" si="640"/>
        <v>0.02</v>
      </c>
      <c r="B79" s="578">
        <f t="shared" ref="B79:D79" si="864">IFERROR(O234+($A79*-E79),"")</f>
        <v>-0.32032125403173328</v>
      </c>
      <c r="C79" s="572">
        <f t="shared" si="864"/>
        <v>-7.2821281675235818</v>
      </c>
      <c r="D79" s="576">
        <f t="shared" si="864"/>
        <v>-0.84259765600815228</v>
      </c>
      <c r="E79" s="580">
        <f t="shared" ref="E79:K79" si="865">R234</f>
        <v>0.91298886582420025</v>
      </c>
      <c r="F79" s="572">
        <f t="shared" si="865"/>
        <v>-0.3468876276928422</v>
      </c>
      <c r="G79" s="579">
        <f t="shared" si="865"/>
        <v>0.21475638438629202</v>
      </c>
      <c r="H79" s="580">
        <f t="shared" si="865"/>
        <v>0.3125</v>
      </c>
      <c r="I79" s="572">
        <f t="shared" si="865"/>
        <v>0.52</v>
      </c>
      <c r="J79" s="483">
        <f t="shared" si="728"/>
        <v>4.149</v>
      </c>
      <c r="K79" s="806">
        <f t="shared" si="865"/>
        <v>1613</v>
      </c>
      <c r="L79" s="309"/>
      <c r="M79" s="164">
        <f t="shared" si="643"/>
        <v>4.149</v>
      </c>
      <c r="N79" s="575">
        <f t="shared" si="644"/>
        <v>-0.32032125403173328</v>
      </c>
      <c r="O79" s="572">
        <f t="shared" si="645"/>
        <v>-7.2821281675235818</v>
      </c>
      <c r="P79" s="576">
        <f t="shared" si="646"/>
        <v>-0.84259765600815228</v>
      </c>
      <c r="Q79" s="528">
        <f t="shared" si="729"/>
        <v>267.4813361924497</v>
      </c>
      <c r="R79" s="572">
        <f>IF(M79="","",SQRT(N79^2+O79^2))</f>
        <v>7.2891697986824822</v>
      </c>
      <c r="S79" s="577">
        <f>IF(M79="","",P79)</f>
        <v>-0.84259765600815228</v>
      </c>
      <c r="T79" s="578">
        <f>IF(M79="","",X79*COS(RADIANS(W79)))</f>
        <v>-7.2838728781428568</v>
      </c>
      <c r="U79" s="572">
        <f>IF(M79="","",X79*SIN(RADIANS(W79)))</f>
        <v>0.27783493135261972</v>
      </c>
      <c r="V79" s="579">
        <f>IF(M79="","",Y79)</f>
        <v>-0.84259765600815228</v>
      </c>
      <c r="W79" s="528">
        <f t="shared" ref="W79:W129" si="866">IF(M79="","",IF(Q79-$Q$8&lt;0,360+Q79-$Q$8,Q79-$Q$8))</f>
        <v>177.81557756253699</v>
      </c>
      <c r="X79" s="572">
        <f>IF(M79="","",R79)</f>
        <v>7.2891697986824822</v>
      </c>
      <c r="Y79" s="573">
        <f t="shared" si="859"/>
        <v>-0.84259765600815228</v>
      </c>
      <c r="Z79" s="575">
        <f t="shared" si="647"/>
        <v>-0.91298886582420025</v>
      </c>
      <c r="AA79" s="572">
        <f t="shared" si="648"/>
        <v>0.3468876276928422</v>
      </c>
      <c r="AB79" s="572">
        <f t="shared" si="649"/>
        <v>-0.21475638438629202</v>
      </c>
      <c r="AC79" s="579">
        <f>IF(M79="","",SQRT(Z79^2+AA79^2+AB79^2))</f>
        <v>1</v>
      </c>
      <c r="AD79" s="580">
        <f>IF(M79="","",Z79*(1/SQRT(Z79^2+AA79^2+AB79^2)))</f>
        <v>-0.91298886582420025</v>
      </c>
      <c r="AE79" s="572">
        <f>IF(M79="","",AA79*(1/SQRT(Z79^2+AA79^2+AB79^2)))</f>
        <v>0.3468876276928422</v>
      </c>
      <c r="AF79" s="576">
        <f>IF(M79="","",AB79*(1/SQRT(Z79^2+AA79^2+AB79^2)))</f>
        <v>-0.21475638438629202</v>
      </c>
      <c r="AG79" s="545">
        <f>IF(M79="","",DEGREES(ATAN2(-AF79,AE79)))</f>
        <v>58.238558712336555</v>
      </c>
      <c r="AH79" s="546">
        <f>IF(M79="","",DEGREES(ACOS(AD79)))</f>
        <v>155.9217146665697</v>
      </c>
      <c r="AI79" s="528">
        <f>IF(M79="","",DEGREES(-ACOS(-AF79)))</f>
        <v>-77.598764690391505</v>
      </c>
      <c r="AJ79" s="529">
        <f>IF(M79="","",DEGREES(ATAN2(-AE79,AD79)))</f>
        <v>-110.80415100677651</v>
      </c>
      <c r="AK79" s="578">
        <f>IF(M79="","",(COS(RADIANS((90-$Q$8)-W79))*AD79)+(-SIN(RADIANS((90-$Q$8)-W79))*AE79))</f>
        <v>0.92735079618892691</v>
      </c>
      <c r="AL79" s="572">
        <f>IF(M79="","",(SIN(RADIANS((90-$Q$8)-W79))*AD79)+(COS(RADIANS((90-$Q$8)-W79))*AE79))</f>
        <v>-0.30643138901406763</v>
      </c>
      <c r="AM79" s="577">
        <f>IF(M79="","",AF79)</f>
        <v>-0.21475638438629202</v>
      </c>
      <c r="AN79" s="524">
        <f>IF(M79="","",DEGREES(ATAN2(-AM79,AL79)))</f>
        <v>-54.976066522376357</v>
      </c>
      <c r="AO79" s="525">
        <f t="shared" si="604"/>
        <v>21.97445231381008</v>
      </c>
      <c r="AP79" s="528">
        <f>IF(M79="","",DEGREES(ATAN2(AK79,AL79)))</f>
        <v>-18.285487199226207</v>
      </c>
      <c r="AQ79" s="529">
        <f t="shared" si="650"/>
        <v>0.31275221359259525</v>
      </c>
      <c r="AR79" s="979"/>
      <c r="AS79" s="954">
        <f t="shared" si="755"/>
        <v>177.81557756253699</v>
      </c>
      <c r="AT79" s="950">
        <f t="shared" si="651"/>
        <v>-0.71797829158278559</v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855"/>
        <v>4.149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713"/>
        <v>1613</v>
      </c>
      <c r="IM79" s="482" t="str">
        <f t="shared" si="856"/>
        <v/>
      </c>
      <c r="IN79" s="670" t="str">
        <f t="shared" si="714"/>
        <v/>
      </c>
      <c r="IO79" s="702"/>
      <c r="IP79" s="5" t="str">
        <f t="shared" si="715"/>
        <v/>
      </c>
      <c r="IQ79" s="714"/>
      <c r="IR79" s="9" t="str">
        <f t="shared" si="716"/>
        <v/>
      </c>
      <c r="IS79" s="5" t="str">
        <f t="shared" si="717"/>
        <v/>
      </c>
      <c r="IT79" s="5" t="str">
        <f t="shared" si="718"/>
        <v/>
      </c>
      <c r="IU79" s="5" t="str">
        <f t="shared" si="719"/>
        <v/>
      </c>
      <c r="IV79" s="670" t="str">
        <f t="shared" si="720"/>
        <v/>
      </c>
      <c r="IW79" s="9" t="str">
        <f t="shared" si="721"/>
        <v/>
      </c>
      <c r="IX79" s="5" t="str">
        <f t="shared" si="722"/>
        <v/>
      </c>
      <c r="IY79" s="5" t="str">
        <f t="shared" si="723"/>
        <v/>
      </c>
      <c r="IZ79" s="5" t="str">
        <f t="shared" si="724"/>
        <v/>
      </c>
      <c r="JA79" s="705" t="str">
        <f t="shared" si="725"/>
        <v/>
      </c>
      <c r="JM79" s="489">
        <f t="shared" si="752"/>
        <v>49</v>
      </c>
      <c r="JN79" s="960">
        <f>($JO79-SMALL($JO$9:$JO$88,1))/((Settings!$C$19/2)-((Settings!$C$19/2)-LARGE($JO$9:$JO$88,1))-SMALL($JO$9:$JO$88,1))</f>
        <v>0.84862474543166466</v>
      </c>
      <c r="JO79" s="162">
        <f t="shared" si="635"/>
        <v>7.2891697986824822</v>
      </c>
      <c r="JP79" s="961">
        <f t="shared" si="636"/>
        <v>-54.976066522376357</v>
      </c>
      <c r="JQ79" s="961">
        <f t="shared" si="637"/>
        <v>21.97445231381008</v>
      </c>
      <c r="JU79" s="962"/>
      <c r="JV79" s="959"/>
      <c r="JW79" s="959"/>
    </row>
    <row r="80" spans="1:283" ht="15" customHeight="1" x14ac:dyDescent="0.25">
      <c r="A80" s="75">
        <f t="shared" si="640"/>
        <v>0.02</v>
      </c>
      <c r="B80" s="578">
        <f t="shared" ref="B80:D80" si="867">IFERROR(O235+($A80*-E80),"")</f>
        <v>-0.41314548669108381</v>
      </c>
      <c r="C80" s="572">
        <f t="shared" si="867"/>
        <v>-7.7956876176413612</v>
      </c>
      <c r="D80" s="576">
        <f t="shared" si="867"/>
        <v>-1.3946190788623809</v>
      </c>
      <c r="E80" s="580">
        <f t="shared" ref="E80:K80" si="868">R235</f>
        <v>0.88298643869854621</v>
      </c>
      <c r="F80" s="572">
        <f t="shared" si="868"/>
        <v>-0.43108472854537788</v>
      </c>
      <c r="G80" s="579">
        <f t="shared" si="868"/>
        <v>0.18574419476639456</v>
      </c>
      <c r="H80" s="580">
        <f t="shared" si="868"/>
        <v>0.3125</v>
      </c>
      <c r="I80" s="572">
        <f t="shared" si="868"/>
        <v>0.52</v>
      </c>
      <c r="J80" s="483">
        <f t="shared" si="728"/>
        <v>4.1550000000000002</v>
      </c>
      <c r="K80" s="806">
        <f t="shared" si="868"/>
        <v>1613</v>
      </c>
      <c r="L80" s="309"/>
      <c r="M80" s="164">
        <f t="shared" si="643"/>
        <v>4.1550000000000002</v>
      </c>
      <c r="N80" s="575">
        <f t="shared" si="644"/>
        <v>-0.41314548669108381</v>
      </c>
      <c r="O80" s="572">
        <f t="shared" si="645"/>
        <v>-7.7956876176413612</v>
      </c>
      <c r="P80" s="576">
        <f t="shared" si="646"/>
        <v>-1.3946190788623809</v>
      </c>
      <c r="Q80" s="528">
        <f t="shared" si="729"/>
        <v>266.96635248600126</v>
      </c>
      <c r="R80" s="572">
        <f t="shared" si="95"/>
        <v>7.8066276089627875</v>
      </c>
      <c r="S80" s="577">
        <f t="shared" si="96"/>
        <v>-1.3946190788623809</v>
      </c>
      <c r="T80" s="578">
        <f t="shared" si="97"/>
        <v>-7.7979650873297164</v>
      </c>
      <c r="U80" s="572">
        <f t="shared" si="98"/>
        <v>0.36766169477782101</v>
      </c>
      <c r="V80" s="579">
        <f t="shared" si="145"/>
        <v>-1.3946190788623809</v>
      </c>
      <c r="W80" s="528">
        <f t="shared" si="866"/>
        <v>177.30059385608854</v>
      </c>
      <c r="X80" s="572">
        <f t="shared" si="99"/>
        <v>7.8066276089627875</v>
      </c>
      <c r="Y80" s="573">
        <f t="shared" si="859"/>
        <v>-1.3946190788623809</v>
      </c>
      <c r="Z80" s="575">
        <f t="shared" si="647"/>
        <v>-0.88298643869854621</v>
      </c>
      <c r="AA80" s="572">
        <f t="shared" si="648"/>
        <v>0.43108472854537788</v>
      </c>
      <c r="AB80" s="572">
        <f t="shared" si="649"/>
        <v>-0.18574419476639456</v>
      </c>
      <c r="AC80" s="579">
        <f t="shared" si="100"/>
        <v>1</v>
      </c>
      <c r="AD80" s="580">
        <f t="shared" si="146"/>
        <v>-0.88298643869854621</v>
      </c>
      <c r="AE80" s="572">
        <f t="shared" si="101"/>
        <v>0.43108472854537788</v>
      </c>
      <c r="AF80" s="576">
        <f t="shared" si="102"/>
        <v>-0.18574419476639456</v>
      </c>
      <c r="AG80" s="545">
        <f t="shared" si="103"/>
        <v>66.689935008432201</v>
      </c>
      <c r="AH80" s="546">
        <f t="shared" si="104"/>
        <v>152.00474123684558</v>
      </c>
      <c r="AI80" s="528">
        <f t="shared" si="105"/>
        <v>-79.29547634197904</v>
      </c>
      <c r="AJ80" s="529">
        <f t="shared" si="106"/>
        <v>-116.02219354105063</v>
      </c>
      <c r="AK80" s="578">
        <f t="shared" si="247"/>
        <v>0.90456308541988906</v>
      </c>
      <c r="AL80" s="572">
        <f t="shared" si="107"/>
        <v>-0.38375085486059041</v>
      </c>
      <c r="AM80" s="577">
        <f t="shared" si="108"/>
        <v>-0.18574419476639456</v>
      </c>
      <c r="AN80" s="524">
        <f t="shared" si="109"/>
        <v>-64.171955670269369</v>
      </c>
      <c r="AO80" s="525">
        <f t="shared" si="604"/>
        <v>25.235497848485185</v>
      </c>
      <c r="AP80" s="528">
        <f t="shared" si="111"/>
        <v>-22.988546027051875</v>
      </c>
      <c r="AQ80" s="529">
        <f t="shared" si="650"/>
        <v>0.29202198517729527</v>
      </c>
      <c r="AR80" s="979"/>
      <c r="AS80" s="954">
        <f t="shared" si="755"/>
        <v>177.30059385608854</v>
      </c>
      <c r="AT80" s="950">
        <f t="shared" si="651"/>
        <v>-1.2696420868630918</v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855"/>
        <v>4.1550000000000002</v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>
        <f t="shared" si="713"/>
        <v>1613</v>
      </c>
      <c r="IM80" s="482" t="str">
        <f t="shared" si="856"/>
        <v/>
      </c>
      <c r="IN80" s="670" t="str">
        <f t="shared" si="714"/>
        <v/>
      </c>
      <c r="IO80" s="702"/>
      <c r="IP80" s="5" t="str">
        <f t="shared" si="715"/>
        <v/>
      </c>
      <c r="IQ80" s="714"/>
      <c r="IR80" s="9" t="str">
        <f t="shared" si="716"/>
        <v/>
      </c>
      <c r="IS80" s="5" t="str">
        <f t="shared" si="717"/>
        <v/>
      </c>
      <c r="IT80" s="5" t="str">
        <f t="shared" si="718"/>
        <v/>
      </c>
      <c r="IU80" s="5" t="str">
        <f t="shared" si="719"/>
        <v/>
      </c>
      <c r="IV80" s="670" t="str">
        <f t="shared" si="720"/>
        <v/>
      </c>
      <c r="IW80" s="9" t="str">
        <f t="shared" si="721"/>
        <v/>
      </c>
      <c r="IX80" s="5" t="str">
        <f t="shared" si="722"/>
        <v/>
      </c>
      <c r="IY80" s="5" t="str">
        <f t="shared" si="723"/>
        <v/>
      </c>
      <c r="IZ80" s="5" t="str">
        <f t="shared" si="724"/>
        <v/>
      </c>
      <c r="JA80" s="705" t="str">
        <f t="shared" si="725"/>
        <v/>
      </c>
      <c r="JM80" s="489">
        <f t="shared" si="752"/>
        <v>55</v>
      </c>
      <c r="JN80" s="960">
        <f>($JO80-SMALL($JO$9:$JO$88,1))/((Settings!$C$19/2)-((Settings!$C$19/2)-LARGE($JO$9:$JO$88,1))-SMALL($JO$9:$JO$88,1))</f>
        <v>0.91186503622431292</v>
      </c>
      <c r="JO80" s="162">
        <f t="shared" si="635"/>
        <v>7.8066276089627875</v>
      </c>
      <c r="JP80" s="961">
        <f t="shared" si="636"/>
        <v>-64.171955670269369</v>
      </c>
      <c r="JQ80" s="961">
        <f t="shared" si="637"/>
        <v>25.235497848485185</v>
      </c>
      <c r="JU80" s="962"/>
      <c r="JV80" s="959"/>
      <c r="JW80" s="959"/>
    </row>
    <row r="81" spans="1:283" ht="15" customHeight="1" x14ac:dyDescent="0.25">
      <c r="A81" s="75">
        <f t="shared" si="640"/>
        <v>0.02</v>
      </c>
      <c r="B81" s="578">
        <f t="shared" ref="B81:D81" si="869">IFERROR(O236+($A81*-E81),"")</f>
        <v>-0.48963751547577078</v>
      </c>
      <c r="C81" s="572">
        <f t="shared" si="869"/>
        <v>-8.1741598391477908</v>
      </c>
      <c r="D81" s="576">
        <f t="shared" si="869"/>
        <v>-2.049821586264339</v>
      </c>
      <c r="E81" s="580">
        <f t="shared" ref="E81:K81" si="870">R236</f>
        <v>0.84317157380989283</v>
      </c>
      <c r="F81" s="572">
        <f t="shared" si="870"/>
        <v>-0.51607161010489422</v>
      </c>
      <c r="G81" s="579">
        <f t="shared" si="870"/>
        <v>0.150770654845997</v>
      </c>
      <c r="H81" s="580">
        <f t="shared" si="870"/>
        <v>0.3125</v>
      </c>
      <c r="I81" s="572">
        <f t="shared" si="870"/>
        <v>0.52</v>
      </c>
      <c r="J81" s="483">
        <f t="shared" si="728"/>
        <v>4.1609999999999996</v>
      </c>
      <c r="K81" s="806">
        <f t="shared" si="870"/>
        <v>1613</v>
      </c>
      <c r="L81" s="309"/>
      <c r="M81" s="164">
        <f t="shared" si="643"/>
        <v>4.1609999999999996</v>
      </c>
      <c r="N81" s="575">
        <f t="shared" si="644"/>
        <v>-0.48963751547577078</v>
      </c>
      <c r="O81" s="572">
        <f t="shared" si="645"/>
        <v>-8.1741598391477908</v>
      </c>
      <c r="P81" s="576">
        <f t="shared" si="646"/>
        <v>-2.049821586264339</v>
      </c>
      <c r="Q81" s="528">
        <f t="shared" si="729"/>
        <v>266.57204139310352</v>
      </c>
      <c r="R81" s="572">
        <f t="shared" si="95"/>
        <v>8.1888115115991003</v>
      </c>
      <c r="S81" s="577">
        <f t="shared" si="96"/>
        <v>-2.049821586264339</v>
      </c>
      <c r="T81" s="578">
        <f t="shared" si="97"/>
        <v>-8.1768770912709954</v>
      </c>
      <c r="U81" s="572">
        <f t="shared" si="98"/>
        <v>0.44194457429130546</v>
      </c>
      <c r="V81" s="579">
        <f t="shared" si="145"/>
        <v>-2.049821586264339</v>
      </c>
      <c r="W81" s="528">
        <f t="shared" si="866"/>
        <v>176.9062827631908</v>
      </c>
      <c r="X81" s="572">
        <f t="shared" si="99"/>
        <v>8.1888115115991003</v>
      </c>
      <c r="Y81" s="573">
        <f t="shared" si="859"/>
        <v>-2.049821586264339</v>
      </c>
      <c r="Z81" s="575">
        <f t="shared" si="647"/>
        <v>-0.84317157380989283</v>
      </c>
      <c r="AA81" s="572">
        <f t="shared" si="648"/>
        <v>0.51607161010489422</v>
      </c>
      <c r="AB81" s="572">
        <f t="shared" si="649"/>
        <v>-0.150770654845997</v>
      </c>
      <c r="AC81" s="579">
        <f t="shared" si="100"/>
        <v>1</v>
      </c>
      <c r="AD81" s="580">
        <f t="shared" si="146"/>
        <v>-0.84317157380989283</v>
      </c>
      <c r="AE81" s="572">
        <f t="shared" si="101"/>
        <v>0.51607161010489422</v>
      </c>
      <c r="AF81" s="576">
        <f t="shared" si="102"/>
        <v>-0.150770654845997</v>
      </c>
      <c r="AG81" s="545">
        <f t="shared" si="103"/>
        <v>73.714242615871242</v>
      </c>
      <c r="AH81" s="546">
        <f t="shared" si="104"/>
        <v>147.47656113175762</v>
      </c>
      <c r="AI81" s="528">
        <f t="shared" si="105"/>
        <v>-81.328410235867366</v>
      </c>
      <c r="AJ81" s="529">
        <f t="shared" si="106"/>
        <v>-121.46913402768422</v>
      </c>
      <c r="AK81" s="578">
        <f t="shared" si="247"/>
        <v>0.87252066151562413</v>
      </c>
      <c r="AL81" s="572">
        <f t="shared" si="107"/>
        <v>-0.46473207858469079</v>
      </c>
      <c r="AM81" s="577">
        <f t="shared" si="108"/>
        <v>-0.150770654845997</v>
      </c>
      <c r="AN81" s="524">
        <f t="shared" si="109"/>
        <v>-72.025646670065584</v>
      </c>
      <c r="AO81" s="525">
        <f t="shared" si="604"/>
        <v>29.247108887124753</v>
      </c>
      <c r="AP81" s="528">
        <f t="shared" si="111"/>
        <v>-28.041175420787727</v>
      </c>
      <c r="AQ81" s="529">
        <f t="shared" si="650"/>
        <v>0.27839310848102311</v>
      </c>
      <c r="AR81" s="979"/>
      <c r="AS81" s="954">
        <f t="shared" si="755"/>
        <v>176.9062827631908</v>
      </c>
      <c r="AT81" s="950">
        <f t="shared" si="651"/>
        <v>-1.9245707671172041</v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855"/>
        <v>4.1609999999999996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713"/>
        <v>1613</v>
      </c>
      <c r="IM81" s="482" t="str">
        <f t="shared" si="856"/>
        <v/>
      </c>
      <c r="IN81" s="670" t="str">
        <f t="shared" si="714"/>
        <v/>
      </c>
      <c r="IO81" s="702"/>
      <c r="IP81" s="5" t="str">
        <f t="shared" si="715"/>
        <v/>
      </c>
      <c r="IQ81" s="714"/>
      <c r="IR81" s="9" t="str">
        <f t="shared" si="716"/>
        <v/>
      </c>
      <c r="IS81" s="5" t="str">
        <f t="shared" si="717"/>
        <v/>
      </c>
      <c r="IT81" s="5" t="str">
        <f t="shared" si="718"/>
        <v/>
      </c>
      <c r="IU81" s="5" t="str">
        <f t="shared" si="719"/>
        <v/>
      </c>
      <c r="IV81" s="670" t="str">
        <f t="shared" si="720"/>
        <v/>
      </c>
      <c r="IW81" s="9" t="str">
        <f t="shared" si="721"/>
        <v/>
      </c>
      <c r="IX81" s="5" t="str">
        <f t="shared" si="722"/>
        <v/>
      </c>
      <c r="IY81" s="5" t="str">
        <f t="shared" si="723"/>
        <v/>
      </c>
      <c r="IZ81" s="5" t="str">
        <f t="shared" si="724"/>
        <v/>
      </c>
      <c r="JA81" s="705" t="str">
        <f t="shared" si="725"/>
        <v/>
      </c>
      <c r="JM81" s="489">
        <f t="shared" si="752"/>
        <v>61</v>
      </c>
      <c r="JN81" s="960">
        <f>($JO81-SMALL($JO$9:$JO$88,1))/((Settings!$C$19/2)-((Settings!$C$19/2)-LARGE($JO$9:$JO$88,1))-SMALL($JO$9:$JO$88,1))</f>
        <v>0.95857303957998197</v>
      </c>
      <c r="JO81" s="162">
        <f t="shared" si="635"/>
        <v>8.1888115115991003</v>
      </c>
      <c r="JP81" s="961">
        <f t="shared" si="636"/>
        <v>-72.025646670065584</v>
      </c>
      <c r="JQ81" s="961">
        <f t="shared" si="637"/>
        <v>29.247108887124753</v>
      </c>
      <c r="JU81" s="962"/>
      <c r="JV81" s="959"/>
      <c r="JW81" s="959"/>
    </row>
    <row r="82" spans="1:283" ht="15" customHeight="1" x14ac:dyDescent="0.25">
      <c r="A82" s="75">
        <f t="shared" si="640"/>
        <v>0.02</v>
      </c>
      <c r="B82" s="578">
        <f t="shared" ref="B82:D82" si="871">IFERROR(O237+($A82*-E82),"")</f>
        <v>-0.53665472574443829</v>
      </c>
      <c r="C82" s="572">
        <f t="shared" si="871"/>
        <v>-8.391563934756288</v>
      </c>
      <c r="D82" s="576">
        <f t="shared" si="871"/>
        <v>-2.7756133976900212</v>
      </c>
      <c r="E82" s="580">
        <f t="shared" ref="E82:K82" si="872">R237</f>
        <v>0.81100486339030819</v>
      </c>
      <c r="F82" s="572">
        <f t="shared" si="872"/>
        <v>-0.57803612456465836</v>
      </c>
      <c r="G82" s="579">
        <f t="shared" si="872"/>
        <v>9.0251594199429269E-2</v>
      </c>
      <c r="H82" s="580">
        <f t="shared" si="872"/>
        <v>0.3125</v>
      </c>
      <c r="I82" s="572">
        <f t="shared" si="872"/>
        <v>0.52</v>
      </c>
      <c r="J82" s="483">
        <f t="shared" si="728"/>
        <v>4.1669999999999998</v>
      </c>
      <c r="K82" s="806">
        <f t="shared" si="872"/>
        <v>1613</v>
      </c>
      <c r="L82" s="309"/>
      <c r="M82" s="164">
        <f t="shared" si="643"/>
        <v>4.1669999999999998</v>
      </c>
      <c r="N82" s="575">
        <f t="shared" si="644"/>
        <v>-0.53665472574443829</v>
      </c>
      <c r="O82" s="572">
        <f t="shared" si="645"/>
        <v>-8.391563934756288</v>
      </c>
      <c r="P82" s="576">
        <f t="shared" si="646"/>
        <v>-2.7756133976900212</v>
      </c>
      <c r="Q82" s="528">
        <f t="shared" si="729"/>
        <v>266.34082089422299</v>
      </c>
      <c r="R82" s="572">
        <f t="shared" si="95"/>
        <v>8.4087064145304939</v>
      </c>
      <c r="S82" s="577">
        <f t="shared" si="96"/>
        <v>-2.7756133976900212</v>
      </c>
      <c r="T82" s="578">
        <f t="shared" si="97"/>
        <v>-8.3945517662723059</v>
      </c>
      <c r="U82" s="572">
        <f t="shared" si="98"/>
        <v>0.48769274050450723</v>
      </c>
      <c r="V82" s="579">
        <f t="shared" si="145"/>
        <v>-2.7756133976900212</v>
      </c>
      <c r="W82" s="528">
        <f t="shared" si="866"/>
        <v>176.67506226431027</v>
      </c>
      <c r="X82" s="572">
        <f t="shared" si="99"/>
        <v>8.4087064145304939</v>
      </c>
      <c r="Y82" s="573">
        <f t="shared" si="859"/>
        <v>-2.7756133976900212</v>
      </c>
      <c r="Z82" s="575">
        <f t="shared" si="647"/>
        <v>-0.81100486339030819</v>
      </c>
      <c r="AA82" s="572">
        <f t="shared" si="648"/>
        <v>0.57803612456465836</v>
      </c>
      <c r="AB82" s="572">
        <f t="shared" si="649"/>
        <v>-9.0251594199429269E-2</v>
      </c>
      <c r="AC82" s="579">
        <f t="shared" si="100"/>
        <v>1</v>
      </c>
      <c r="AD82" s="580">
        <f t="shared" si="146"/>
        <v>-0.81100486339030819</v>
      </c>
      <c r="AE82" s="572">
        <f t="shared" si="101"/>
        <v>0.57803612456465836</v>
      </c>
      <c r="AF82" s="576">
        <f t="shared" si="102"/>
        <v>-9.0251594199429269E-2</v>
      </c>
      <c r="AG82" s="545">
        <f t="shared" si="103"/>
        <v>81.125780310612456</v>
      </c>
      <c r="AH82" s="546">
        <f t="shared" si="104"/>
        <v>144.1942257856158</v>
      </c>
      <c r="AI82" s="528">
        <f t="shared" si="105"/>
        <v>-84.821918719020701</v>
      </c>
      <c r="AJ82" s="529">
        <f t="shared" si="106"/>
        <v>-125.47901618226503</v>
      </c>
      <c r="AK82" s="578">
        <f t="shared" si="247"/>
        <v>0.8462425288318266</v>
      </c>
      <c r="AL82" s="572">
        <f t="shared" si="107"/>
        <v>-0.52509830712046368</v>
      </c>
      <c r="AM82" s="577">
        <f t="shared" si="108"/>
        <v>-9.0251594199429269E-2</v>
      </c>
      <c r="AN82" s="524">
        <f t="shared" si="109"/>
        <v>-80.247540861376947</v>
      </c>
      <c r="AO82" s="525">
        <f t="shared" si="604"/>
        <v>32.194692046160981</v>
      </c>
      <c r="AP82" s="528">
        <f t="shared" si="111"/>
        <v>-31.81983707648801</v>
      </c>
      <c r="AQ82" s="529">
        <f t="shared" si="650"/>
        <v>0.27111299944734835</v>
      </c>
      <c r="AR82" s="979"/>
      <c r="AS82" s="954">
        <f t="shared" si="755"/>
        <v>176.67506226431027</v>
      </c>
      <c r="AT82" s="950">
        <f t="shared" si="651"/>
        <v>-2.6502020087519971</v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855"/>
        <v>4.1669999999999998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713"/>
        <v>1613</v>
      </c>
      <c r="IM82" s="482" t="str">
        <f t="shared" si="856"/>
        <v/>
      </c>
      <c r="IN82" s="670" t="str">
        <f t="shared" si="714"/>
        <v/>
      </c>
      <c r="IO82" s="702"/>
      <c r="IP82" s="5" t="str">
        <f t="shared" si="715"/>
        <v/>
      </c>
      <c r="IQ82" s="714"/>
      <c r="IR82" s="9" t="str">
        <f t="shared" si="716"/>
        <v/>
      </c>
      <c r="IS82" s="5" t="str">
        <f t="shared" si="717"/>
        <v/>
      </c>
      <c r="IT82" s="5" t="str">
        <f t="shared" si="718"/>
        <v/>
      </c>
      <c r="IU82" s="5" t="str">
        <f t="shared" si="719"/>
        <v/>
      </c>
      <c r="IV82" s="670" t="str">
        <f t="shared" si="720"/>
        <v/>
      </c>
      <c r="IW82" s="9" t="str">
        <f t="shared" si="721"/>
        <v/>
      </c>
      <c r="IX82" s="5" t="str">
        <f t="shared" si="722"/>
        <v/>
      </c>
      <c r="IY82" s="5" t="str">
        <f t="shared" si="723"/>
        <v/>
      </c>
      <c r="IZ82" s="5" t="str">
        <f t="shared" si="724"/>
        <v/>
      </c>
      <c r="JA82" s="705" t="str">
        <f t="shared" si="725"/>
        <v/>
      </c>
      <c r="JM82" s="489">
        <f t="shared" si="752"/>
        <v>67</v>
      </c>
      <c r="JN82" s="960">
        <f>($JO82-SMALL($JO$9:$JO$88,1))/((Settings!$C$19/2)-((Settings!$C$19/2)-LARGE($JO$9:$JO$88,1))-SMALL($JO$9:$JO$88,1))</f>
        <v>0.98544714859704274</v>
      </c>
      <c r="JO82" s="162">
        <f t="shared" si="635"/>
        <v>8.4087064145304939</v>
      </c>
      <c r="JP82" s="961">
        <f t="shared" si="636"/>
        <v>-80.247540861376947</v>
      </c>
      <c r="JQ82" s="961">
        <f t="shared" si="637"/>
        <v>32.194692046160981</v>
      </c>
      <c r="JU82" s="962"/>
      <c r="JV82" s="959"/>
      <c r="JW82" s="959"/>
    </row>
    <row r="83" spans="1:283" ht="15" customHeight="1" x14ac:dyDescent="0.25">
      <c r="A83" s="75">
        <f t="shared" si="640"/>
        <v>0.02</v>
      </c>
      <c r="B83" s="578">
        <f t="shared" ref="B83:D83" si="873">IFERROR(O238+($A83*-E83),"")</f>
        <v>-0.5491626859597335</v>
      </c>
      <c r="C83" s="572">
        <f t="shared" si="873"/>
        <v>-8.4499625557076747</v>
      </c>
      <c r="D83" s="576">
        <f t="shared" si="873"/>
        <v>-3.5256179079946675</v>
      </c>
      <c r="E83" s="580">
        <f t="shared" ref="E83:K83" si="874">R238</f>
        <v>0.76998104431730519</v>
      </c>
      <c r="F83" s="572">
        <f t="shared" si="874"/>
        <v>-0.63734388624455507</v>
      </c>
      <c r="G83" s="579">
        <f t="shared" si="874"/>
        <v>3.0363828130194476E-2</v>
      </c>
      <c r="H83" s="580">
        <f t="shared" si="874"/>
        <v>0.3125</v>
      </c>
      <c r="I83" s="572">
        <f t="shared" si="874"/>
        <v>0.52</v>
      </c>
      <c r="J83" s="483">
        <f t="shared" si="728"/>
        <v>4.173</v>
      </c>
      <c r="K83" s="806">
        <f t="shared" si="874"/>
        <v>1613</v>
      </c>
      <c r="L83" s="309"/>
      <c r="M83" s="164">
        <f t="shared" si="643"/>
        <v>4.173</v>
      </c>
      <c r="N83" s="575">
        <f t="shared" si="644"/>
        <v>-0.5491626859597335</v>
      </c>
      <c r="O83" s="572">
        <f t="shared" si="645"/>
        <v>-8.4499625557076747</v>
      </c>
      <c r="P83" s="576">
        <f t="shared" si="646"/>
        <v>-3.5256179079946675</v>
      </c>
      <c r="Q83" s="528">
        <f t="shared" si="729"/>
        <v>266.28157914385071</v>
      </c>
      <c r="R83" s="572">
        <f t="shared" si="95"/>
        <v>8.4677887815245061</v>
      </c>
      <c r="S83" s="577">
        <f t="shared" si="96"/>
        <v>-3.5256179079946675</v>
      </c>
      <c r="T83" s="578">
        <f t="shared" si="97"/>
        <v>-8.4530223597218033</v>
      </c>
      <c r="U83" s="572">
        <f t="shared" si="98"/>
        <v>0.49985981490366305</v>
      </c>
      <c r="V83" s="579">
        <f t="shared" si="145"/>
        <v>-3.5256179079946675</v>
      </c>
      <c r="W83" s="528">
        <f t="shared" si="866"/>
        <v>176.61582051393799</v>
      </c>
      <c r="X83" s="572">
        <f t="shared" si="99"/>
        <v>8.4677887815245061</v>
      </c>
      <c r="Y83" s="573">
        <f t="shared" si="859"/>
        <v>-3.5256179079946675</v>
      </c>
      <c r="Z83" s="575">
        <f t="shared" si="647"/>
        <v>-0.76998104431730519</v>
      </c>
      <c r="AA83" s="572">
        <f t="shared" si="648"/>
        <v>0.63734388624455507</v>
      </c>
      <c r="AB83" s="572">
        <f t="shared" si="649"/>
        <v>-3.0363828130194476E-2</v>
      </c>
      <c r="AC83" s="579">
        <f t="shared" si="100"/>
        <v>1</v>
      </c>
      <c r="AD83" s="580">
        <f t="shared" si="146"/>
        <v>-0.76998104431730519</v>
      </c>
      <c r="AE83" s="572">
        <f t="shared" si="101"/>
        <v>0.63734388624455507</v>
      </c>
      <c r="AF83" s="576">
        <f t="shared" si="102"/>
        <v>-3.0363828130194476E-2</v>
      </c>
      <c r="AG83" s="545">
        <f t="shared" si="103"/>
        <v>87.272422589331867</v>
      </c>
      <c r="AH83" s="546">
        <f t="shared" si="104"/>
        <v>140.35218667991293</v>
      </c>
      <c r="AI83" s="528">
        <f t="shared" si="105"/>
        <v>-88.26001336145994</v>
      </c>
      <c r="AJ83" s="529">
        <f t="shared" si="106"/>
        <v>-129.61590778788937</v>
      </c>
      <c r="AK83" s="578">
        <f t="shared" si="247"/>
        <v>0.80969384693386404</v>
      </c>
      <c r="AL83" s="572">
        <f t="shared" si="107"/>
        <v>-0.58606647419786839</v>
      </c>
      <c r="AM83" s="577">
        <f t="shared" si="108"/>
        <v>-3.0363828130194476E-2</v>
      </c>
      <c r="AN83" s="524">
        <f t="shared" si="109"/>
        <v>-87.034184380429409</v>
      </c>
      <c r="AO83" s="525">
        <f t="shared" si="604"/>
        <v>35.93396978750431</v>
      </c>
      <c r="AP83" s="528">
        <f t="shared" si="111"/>
        <v>-35.897486931740076</v>
      </c>
      <c r="AQ83" s="529">
        <f t="shared" si="650"/>
        <v>0.2692213885976934</v>
      </c>
      <c r="AR83" s="979"/>
      <c r="AS83" s="954">
        <f t="shared" si="755"/>
        <v>176.61582051393799</v>
      </c>
      <c r="AT83" s="950">
        <f t="shared" si="651"/>
        <v>-3.4001653789522179</v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855"/>
        <v>4.173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713"/>
        <v>1613</v>
      </c>
      <c r="IM83" s="482" t="str">
        <f t="shared" si="856"/>
        <v/>
      </c>
      <c r="IN83" s="670" t="str">
        <f t="shared" si="714"/>
        <v/>
      </c>
      <c r="IO83" s="702"/>
      <c r="IP83" s="5" t="str">
        <f t="shared" si="715"/>
        <v/>
      </c>
      <c r="IQ83" s="714"/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>
        <f t="shared" si="752"/>
        <v>73</v>
      </c>
      <c r="JN83" s="960">
        <f>($JO83-SMALL($JO$9:$JO$88,1))/((Settings!$C$19/2)-((Settings!$C$19/2)-LARGE($JO$9:$JO$88,1))-SMALL($JO$9:$JO$88,1))</f>
        <v>0.99266780696800316</v>
      </c>
      <c r="JO83" s="162">
        <f t="shared" si="635"/>
        <v>8.4677887815245061</v>
      </c>
      <c r="JP83" s="961">
        <f t="shared" si="636"/>
        <v>-87.034184380429409</v>
      </c>
      <c r="JQ83" s="961">
        <f t="shared" si="637"/>
        <v>35.93396978750431</v>
      </c>
      <c r="JU83" s="962"/>
      <c r="JV83" s="959"/>
      <c r="JW83" s="959"/>
    </row>
    <row r="84" spans="1:283" ht="15" customHeight="1" x14ac:dyDescent="0.25">
      <c r="A84" s="75">
        <f t="shared" si="640"/>
        <v>0.02</v>
      </c>
      <c r="B84" s="578">
        <f t="shared" ref="B84:D84" si="875">IFERROR(O239+($A84*-E84),"")</f>
        <v>-0.56204126591634218</v>
      </c>
      <c r="C84" s="572">
        <f t="shared" si="875"/>
        <v>-8.5092423665296835</v>
      </c>
      <c r="D84" s="576">
        <f t="shared" si="875"/>
        <v>-4.2808129138473587</v>
      </c>
      <c r="E84" s="580">
        <f t="shared" ref="E84:K84" si="876">R239</f>
        <v>0.7232565546288473</v>
      </c>
      <c r="F84" s="572">
        <f t="shared" si="876"/>
        <v>-0.6905794351024277</v>
      </c>
      <c r="G84" s="579">
        <f t="shared" si="876"/>
        <v>1.457809320388035E-7</v>
      </c>
      <c r="H84" s="580">
        <f t="shared" si="876"/>
        <v>0.3125</v>
      </c>
      <c r="I84" s="572">
        <f t="shared" si="876"/>
        <v>0.52</v>
      </c>
      <c r="J84" s="483">
        <f t="shared" si="728"/>
        <v>4.1790000000000003</v>
      </c>
      <c r="K84" s="806">
        <f t="shared" si="876"/>
        <v>1613</v>
      </c>
      <c r="L84" s="309"/>
      <c r="M84" s="164">
        <f t="shared" si="643"/>
        <v>4.1790000000000003</v>
      </c>
      <c r="N84" s="575">
        <f t="shared" si="644"/>
        <v>-0.56204126591634218</v>
      </c>
      <c r="O84" s="572">
        <f t="shared" si="645"/>
        <v>-8.5092423665296835</v>
      </c>
      <c r="P84" s="576">
        <f t="shared" si="646"/>
        <v>-4.2808129138473587</v>
      </c>
      <c r="Q84" s="528">
        <f t="shared" si="729"/>
        <v>266.22106372556016</v>
      </c>
      <c r="R84" s="572">
        <f t="shared" si="95"/>
        <v>8.5277837705312702</v>
      </c>
      <c r="S84" s="577">
        <f t="shared" si="96"/>
        <v>-4.2808129138473587</v>
      </c>
      <c r="T84" s="578">
        <f t="shared" si="97"/>
        <v>-8.5123762900877207</v>
      </c>
      <c r="U84" s="572">
        <f t="shared" si="98"/>
        <v>0.51239236224686446</v>
      </c>
      <c r="V84" s="579">
        <f t="shared" si="145"/>
        <v>-4.2808129138473587</v>
      </c>
      <c r="W84" s="528">
        <f t="shared" si="866"/>
        <v>176.55530509564744</v>
      </c>
      <c r="X84" s="572">
        <f t="shared" si="99"/>
        <v>8.5277837705312702</v>
      </c>
      <c r="Y84" s="573">
        <f t="shared" si="859"/>
        <v>-4.2808129138473587</v>
      </c>
      <c r="Z84" s="575">
        <f t="shared" si="647"/>
        <v>-0.7232565546288473</v>
      </c>
      <c r="AA84" s="572">
        <f t="shared" si="648"/>
        <v>0.6905794351024277</v>
      </c>
      <c r="AB84" s="572">
        <f t="shared" si="649"/>
        <v>-1.457809320388035E-7</v>
      </c>
      <c r="AC84" s="579">
        <f t="shared" si="100"/>
        <v>1</v>
      </c>
      <c r="AD84" s="580">
        <f t="shared" si="146"/>
        <v>-0.7232565546288473</v>
      </c>
      <c r="AE84" s="572">
        <f t="shared" si="101"/>
        <v>0.6905794351024277</v>
      </c>
      <c r="AF84" s="576">
        <f t="shared" si="102"/>
        <v>-1.457809320388035E-7</v>
      </c>
      <c r="AG84" s="545">
        <f t="shared" si="103"/>
        <v>89.999987904893032</v>
      </c>
      <c r="AH84" s="546">
        <f t="shared" si="104"/>
        <v>136.32400630603337</v>
      </c>
      <c r="AI84" s="528">
        <f t="shared" si="105"/>
        <v>-89.999991647367864</v>
      </c>
      <c r="AJ84" s="529">
        <f t="shared" si="106"/>
        <v>-133.67599369396601</v>
      </c>
      <c r="AK84" s="578">
        <f t="shared" si="247"/>
        <v>0.76719809419267782</v>
      </c>
      <c r="AL84" s="572">
        <f t="shared" si="107"/>
        <v>-0.6414102308718671</v>
      </c>
      <c r="AM84" s="577">
        <f t="shared" si="108"/>
        <v>-1.457809320388035E-7</v>
      </c>
      <c r="AN84" s="524">
        <f t="shared" si="109"/>
        <v>-89.999986977706726</v>
      </c>
      <c r="AO84" s="525">
        <f t="shared" si="604"/>
        <v>39.897057419526874</v>
      </c>
      <c r="AP84" s="528">
        <f t="shared" si="111"/>
        <v>-39.897057419526149</v>
      </c>
      <c r="AQ84" s="529">
        <f t="shared" si="650"/>
        <v>0.26732737962124337</v>
      </c>
      <c r="AR84" s="979"/>
      <c r="AS84" s="954">
        <f t="shared" si="755"/>
        <v>176.55530509564744</v>
      </c>
      <c r="AT84" s="950">
        <f t="shared" si="651"/>
        <v>-4.1553183602088746</v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855"/>
        <v>4.1790000000000003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713"/>
        <v>1613</v>
      </c>
      <c r="IM84" s="482" t="str">
        <f t="shared" si="856"/>
        <v/>
      </c>
      <c r="IN84" s="670" t="str">
        <f t="shared" si="714"/>
        <v/>
      </c>
      <c r="IO84" s="702"/>
      <c r="IP84" s="5" t="str">
        <f t="shared" si="715"/>
        <v/>
      </c>
      <c r="IQ84" s="714"/>
      <c r="IR84" s="9" t="str">
        <f t="shared" si="716"/>
        <v/>
      </c>
      <c r="IS84" s="5" t="str">
        <f t="shared" si="717"/>
        <v/>
      </c>
      <c r="IT84" s="5" t="str">
        <f t="shared" si="718"/>
        <v/>
      </c>
      <c r="IU84" s="5" t="str">
        <f t="shared" si="719"/>
        <v/>
      </c>
      <c r="IV84" s="670" t="str">
        <f t="shared" si="720"/>
        <v/>
      </c>
      <c r="IW84" s="9" t="str">
        <f t="shared" si="721"/>
        <v/>
      </c>
      <c r="IX84" s="5" t="str">
        <f t="shared" si="722"/>
        <v/>
      </c>
      <c r="IY84" s="5" t="str">
        <f t="shared" si="723"/>
        <v/>
      </c>
      <c r="IZ84" s="5" t="str">
        <f t="shared" si="724"/>
        <v/>
      </c>
      <c r="JA84" s="705" t="str">
        <f t="shared" si="725"/>
        <v/>
      </c>
      <c r="JM84" s="489">
        <f t="shared" si="752"/>
        <v>79</v>
      </c>
      <c r="JN84" s="960">
        <f>($JO84-SMALL($JO$9:$JO$88,1))/((Settings!$C$19/2)-((Settings!$C$19/2)-LARGE($JO$9:$JO$88,1))-SMALL($JO$9:$JO$88,1))</f>
        <v>0.99999999999999978</v>
      </c>
      <c r="JO84" s="162">
        <f t="shared" si="635"/>
        <v>8.5277837705312702</v>
      </c>
      <c r="JP84" s="961">
        <f t="shared" si="636"/>
        <v>-89.999986977706726</v>
      </c>
      <c r="JQ84" s="961">
        <f t="shared" si="637"/>
        <v>39.897057419526874</v>
      </c>
      <c r="JU84" s="962"/>
      <c r="JV84" s="959"/>
      <c r="JW84" s="959"/>
    </row>
    <row r="85" spans="1:283" ht="15" customHeight="1" x14ac:dyDescent="0.25">
      <c r="A85" s="75">
        <f t="shared" si="640"/>
        <v>0</v>
      </c>
      <c r="B85" s="578">
        <f t="shared" ref="B85:D85" si="877">IFERROR(O240+($A85*-E85),"")</f>
        <v>-1.1128216332335295</v>
      </c>
      <c r="C85" s="572">
        <f t="shared" si="877"/>
        <v>-5.0867121560053432</v>
      </c>
      <c r="D85" s="576">
        <f t="shared" si="877"/>
        <v>-2.1200018699256432E-2</v>
      </c>
      <c r="E85" s="580">
        <f t="shared" ref="E85:K85" si="878">R240</f>
        <v>-5.9670735111285612E-3</v>
      </c>
      <c r="F85" s="572">
        <f t="shared" si="878"/>
        <v>-2.7276578189106841E-2</v>
      </c>
      <c r="G85" s="579">
        <f t="shared" si="878"/>
        <v>0.99961011515290632</v>
      </c>
      <c r="H85" s="580">
        <f t="shared" si="878"/>
        <v>0.255</v>
      </c>
      <c r="I85" s="572">
        <f t="shared" si="878"/>
        <v>0.41499999999999992</v>
      </c>
      <c r="J85" s="483">
        <f t="shared" si="728"/>
        <v>4.2309999999999999</v>
      </c>
      <c r="K85" s="806" t="str">
        <f t="shared" si="878"/>
        <v>CPS-32193r1</v>
      </c>
      <c r="L85" s="309"/>
      <c r="M85" s="164">
        <f t="shared" si="643"/>
        <v>4.2309999999999999</v>
      </c>
      <c r="N85" s="575">
        <f t="shared" si="644"/>
        <v>-1.1128216332335295</v>
      </c>
      <c r="O85" s="572">
        <f t="shared" si="645"/>
        <v>-5.0867121560053432</v>
      </c>
      <c r="P85" s="576">
        <f t="shared" si="646"/>
        <v>-2.1200018699256432E-2</v>
      </c>
      <c r="Q85" s="528">
        <f t="shared" si="729"/>
        <v>257.65980178170418</v>
      </c>
      <c r="R85" s="572">
        <f t="shared" si="95"/>
        <v>5.2070157043593666</v>
      </c>
      <c r="S85" s="577">
        <f t="shared" si="96"/>
        <v>-2.1200018699256432E-2</v>
      </c>
      <c r="T85" s="578">
        <f t="shared" si="97"/>
        <v>-5.0931173364777411</v>
      </c>
      <c r="U85" s="572">
        <f t="shared" si="98"/>
        <v>1.0831289592264377</v>
      </c>
      <c r="V85" s="579">
        <f t="shared" si="145"/>
        <v>-2.1200018699256432E-2</v>
      </c>
      <c r="W85" s="528">
        <f t="shared" si="866"/>
        <v>167.99404315179146</v>
      </c>
      <c r="X85" s="572">
        <f t="shared" si="99"/>
        <v>5.2070157043593666</v>
      </c>
      <c r="Y85" s="573">
        <f t="shared" si="859"/>
        <v>-2.1200018699256432E-2</v>
      </c>
      <c r="Z85" s="575">
        <f t="shared" si="647"/>
        <v>5.9670735111285612E-3</v>
      </c>
      <c r="AA85" s="572">
        <f t="shared" si="648"/>
        <v>2.7276578189106841E-2</v>
      </c>
      <c r="AB85" s="572">
        <f t="shared" si="649"/>
        <v>-0.99961011515290632</v>
      </c>
      <c r="AC85" s="579">
        <f t="shared" si="100"/>
        <v>1</v>
      </c>
      <c r="AD85" s="580">
        <f t="shared" si="146"/>
        <v>5.9670735111285612E-3</v>
      </c>
      <c r="AE85" s="572">
        <f t="shared" si="101"/>
        <v>2.7276578189106841E-2</v>
      </c>
      <c r="AF85" s="576">
        <f t="shared" si="102"/>
        <v>-0.99961011515290632</v>
      </c>
      <c r="AG85" s="545">
        <f t="shared" si="103"/>
        <v>1.5630545032128587</v>
      </c>
      <c r="AH85" s="546">
        <f t="shared" si="104"/>
        <v>89.658109842859318</v>
      </c>
      <c r="AI85" s="528">
        <f t="shared" si="105"/>
        <v>-1.5999997690410599</v>
      </c>
      <c r="AJ85" s="529">
        <f t="shared" si="106"/>
        <v>167.6602671695849</v>
      </c>
      <c r="AK85" s="578">
        <f t="shared" si="247"/>
        <v>2.2679489671342812E-7</v>
      </c>
      <c r="AL85" s="572">
        <f t="shared" si="107"/>
        <v>-2.7921634693230897E-2</v>
      </c>
      <c r="AM85" s="577">
        <f t="shared" si="108"/>
        <v>-0.99961011515290632</v>
      </c>
      <c r="AN85" s="524">
        <f t="shared" si="109"/>
        <v>-1.5999997689886165</v>
      </c>
      <c r="AO85" s="525">
        <f t="shared" si="604"/>
        <v>0</v>
      </c>
      <c r="AP85" s="528">
        <f t="shared" si="111"/>
        <v>-89.999534612119263</v>
      </c>
      <c r="AQ85" s="529">
        <f t="shared" si="650"/>
        <v>0.43780975350378992</v>
      </c>
      <c r="AR85" s="979"/>
      <c r="AS85" s="954">
        <f t="shared" si="755"/>
        <v>167.99404315179146</v>
      </c>
      <c r="AT85" s="950">
        <f t="shared" si="651"/>
        <v>0.11023985573357244</v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>Nose</v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855"/>
        <v>4.2309999999999999</v>
      </c>
      <c r="IJ85" s="674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4.1310000000000002</v>
      </c>
      <c r="IK85" s="677" cm="1">
        <f t="array" ref="IK85">IFERROR(ROUND(VALUE(IF($IJ85&lt;1,$IJ85+LARGE((IF($M$9:$M$150="",0,$M$9:$M$150)-MOD(IF($M$9:$M$150="",0,$M$9:$M$150),1)),1),$IJ85)),4),"")</f>
        <v>4.1310000000000002</v>
      </c>
      <c r="IL85" s="482">
        <f t="shared" si="713"/>
        <v>1613</v>
      </c>
      <c r="IM85" s="482" t="str">
        <f t="shared" si="856"/>
        <v>CPS-32193r1</v>
      </c>
      <c r="IN85" s="670">
        <f t="shared" si="714"/>
        <v>11.548540723096494</v>
      </c>
      <c r="IO85" s="702">
        <v>1.6404144827999002E-2</v>
      </c>
      <c r="IP85" s="5">
        <f t="shared" si="715"/>
        <v>0.5</v>
      </c>
      <c r="IQ85" s="714">
        <v>250</v>
      </c>
      <c r="IR85" s="9">
        <f t="shared" si="716"/>
        <v>-5.1923150977068104</v>
      </c>
      <c r="IS85" s="5">
        <f t="shared" si="717"/>
        <v>-4.7523043205163283E-2</v>
      </c>
      <c r="IT85" s="5">
        <f t="shared" si="718"/>
        <v>0.3125</v>
      </c>
      <c r="IU85" s="5">
        <f t="shared" si="719"/>
        <v>0.30120612106593553</v>
      </c>
      <c r="IV85" s="670">
        <f t="shared" si="720"/>
        <v>15.95679354291808</v>
      </c>
      <c r="IW85" s="9">
        <f t="shared" si="721"/>
        <v>-5.2070157043593666</v>
      </c>
      <c r="IX85" s="5">
        <f t="shared" si="722"/>
        <v>-2.1200018699256432E-2</v>
      </c>
      <c r="IY85" s="5">
        <f t="shared" si="723"/>
        <v>0.255</v>
      </c>
      <c r="IZ85" s="5">
        <f t="shared" si="724"/>
        <v>0.255</v>
      </c>
      <c r="JA85" s="705">
        <f t="shared" si="725"/>
        <v>1.5999997689886165</v>
      </c>
      <c r="JM85" s="489">
        <f t="shared" si="752"/>
        <v>31</v>
      </c>
      <c r="JN85" s="960">
        <f>($JO85-SMALL($JO$9:$JO$88,1))/((Settings!$C$19/2)-((Settings!$C$19/2)-LARGE($JO$9:$JO$88,1))-SMALL($JO$9:$JO$88,1))</f>
        <v>0.59415756417727661</v>
      </c>
      <c r="JO85" s="162">
        <f t="shared" si="635"/>
        <v>5.2070157043593666</v>
      </c>
      <c r="JP85" s="961">
        <f t="shared" si="636"/>
        <v>-1.5999997689886165</v>
      </c>
      <c r="JQ85" s="961">
        <f t="shared" si="637"/>
        <v>0</v>
      </c>
      <c r="JU85" s="962"/>
      <c r="JV85" s="959"/>
      <c r="JW85" s="959"/>
    </row>
    <row r="86" spans="1:283" ht="15" customHeight="1" x14ac:dyDescent="0.25">
      <c r="A86" s="75">
        <f t="shared" si="640"/>
        <v>0</v>
      </c>
      <c r="B86" s="578">
        <f t="shared" ref="B86:D86" si="879">IFERROR(O241+($A86*-E86),"")</f>
        <v>-1.30409896687732</v>
      </c>
      <c r="C86" s="572">
        <f t="shared" si="879"/>
        <v>-5.8336303601779242</v>
      </c>
      <c r="D86" s="576">
        <f t="shared" si="879"/>
        <v>-0.13140035106345899</v>
      </c>
      <c r="E86" s="580">
        <f t="shared" ref="E86:K86" si="880">R241</f>
        <v>-4.0505479367291007E-2</v>
      </c>
      <c r="F86" s="572">
        <f t="shared" si="880"/>
        <v>-0.18119433868555587</v>
      </c>
      <c r="G86" s="579">
        <f t="shared" si="880"/>
        <v>0.98261280154979158</v>
      </c>
      <c r="H86" s="580">
        <f t="shared" si="880"/>
        <v>0.255</v>
      </c>
      <c r="I86" s="572">
        <f t="shared" si="880"/>
        <v>0.41499999999999992</v>
      </c>
      <c r="J86" s="483">
        <f t="shared" si="728"/>
        <v>4.2370000000000001</v>
      </c>
      <c r="K86" s="806" t="str">
        <f t="shared" si="880"/>
        <v>CPS-32193r1</v>
      </c>
      <c r="L86" s="309"/>
      <c r="M86" s="164">
        <f t="shared" si="643"/>
        <v>4.2370000000000001</v>
      </c>
      <c r="N86" s="575">
        <f t="shared" si="644"/>
        <v>-1.30409896687732</v>
      </c>
      <c r="O86" s="572">
        <f t="shared" si="645"/>
        <v>-5.8336303601779242</v>
      </c>
      <c r="P86" s="576">
        <f t="shared" si="646"/>
        <v>-0.13140035106345899</v>
      </c>
      <c r="Q86" s="528">
        <f t="shared" si="729"/>
        <v>257.39880181938793</v>
      </c>
      <c r="R86" s="572">
        <f t="shared" si="95"/>
        <v>5.977618028495975</v>
      </c>
      <c r="S86" s="577">
        <f t="shared" si="96"/>
        <v>-0.13140035106345899</v>
      </c>
      <c r="T86" s="578">
        <f t="shared" si="97"/>
        <v>-5.8411386629844646</v>
      </c>
      <c r="U86" s="572">
        <f t="shared" si="98"/>
        <v>1.2700458316093024</v>
      </c>
      <c r="V86" s="579">
        <f t="shared" si="145"/>
        <v>-0.13140035106345899</v>
      </c>
      <c r="W86" s="528">
        <f t="shared" si="866"/>
        <v>167.73304318947521</v>
      </c>
      <c r="X86" s="572">
        <f t="shared" si="99"/>
        <v>5.977618028495975</v>
      </c>
      <c r="Y86" s="573">
        <f t="shared" si="859"/>
        <v>-0.13140035106345899</v>
      </c>
      <c r="Z86" s="575">
        <f t="shared" si="647"/>
        <v>4.0505479367291007E-2</v>
      </c>
      <c r="AA86" s="572">
        <f t="shared" si="648"/>
        <v>0.18119433868555587</v>
      </c>
      <c r="AB86" s="572">
        <f t="shared" si="649"/>
        <v>-0.98261280154979158</v>
      </c>
      <c r="AC86" s="579">
        <f t="shared" si="100"/>
        <v>1</v>
      </c>
      <c r="AD86" s="580">
        <f t="shared" si="146"/>
        <v>4.0505479367291007E-2</v>
      </c>
      <c r="AE86" s="572">
        <f t="shared" si="101"/>
        <v>0.18119433868555587</v>
      </c>
      <c r="AF86" s="576">
        <f t="shared" si="102"/>
        <v>-0.98261280154979158</v>
      </c>
      <c r="AG86" s="545">
        <f t="shared" si="103"/>
        <v>10.448005089024143</v>
      </c>
      <c r="AH86" s="546">
        <f t="shared" si="104"/>
        <v>87.678571897620799</v>
      </c>
      <c r="AI86" s="528">
        <f t="shared" si="105"/>
        <v>-10.699998455119145</v>
      </c>
      <c r="AJ86" s="529">
        <f t="shared" si="106"/>
        <v>167.39887180715724</v>
      </c>
      <c r="AK86" s="578">
        <f t="shared" si="247"/>
        <v>2.2679489668914199E-7</v>
      </c>
      <c r="AL86" s="572">
        <f t="shared" si="107"/>
        <v>-0.1856665888909971</v>
      </c>
      <c r="AM86" s="577">
        <f t="shared" si="108"/>
        <v>-0.98261280154979158</v>
      </c>
      <c r="AN86" s="524">
        <f t="shared" si="109"/>
        <v>-10.699998455111364</v>
      </c>
      <c r="AO86" s="525">
        <f t="shared" si="604"/>
        <v>0</v>
      </c>
      <c r="AP86" s="528">
        <f t="shared" si="111"/>
        <v>-89.999930012230678</v>
      </c>
      <c r="AQ86" s="529">
        <f t="shared" si="650"/>
        <v>0.38137146825833573</v>
      </c>
      <c r="AR86" s="979"/>
      <c r="AS86" s="954">
        <f t="shared" si="755"/>
        <v>167.73304318947521</v>
      </c>
      <c r="AT86" s="950">
        <f t="shared" si="651"/>
        <v>2.2077334320061426E-4</v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>Nose</v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855"/>
        <v>4.2370000000000001</v>
      </c>
      <c r="IJ86" s="674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4.1369999999999996</v>
      </c>
      <c r="IK86" s="677" cm="1">
        <f t="array" ref="IK86">IFERROR(ROUND(VALUE(IF($IJ86&lt;1,$IJ86+LARGE((IF($M$9:$M$150="",0,$M$9:$M$150)-MOD(IF($M$9:$M$150="",0,$M$9:$M$150),1)),1),$IJ86)),4),"")</f>
        <v>4.1369999999999996</v>
      </c>
      <c r="IL86" s="482">
        <f t="shared" si="713"/>
        <v>1613</v>
      </c>
      <c r="IM86" s="482" t="str">
        <f t="shared" si="856"/>
        <v>CPS-32193r1</v>
      </c>
      <c r="IN86" s="670">
        <f t="shared" si="714"/>
        <v>11.272196564858461</v>
      </c>
      <c r="IO86" s="702">
        <v>1.24615049212717E-2</v>
      </c>
      <c r="IP86" s="5">
        <f t="shared" si="715"/>
        <v>0.46</v>
      </c>
      <c r="IQ86" s="714">
        <v>230</v>
      </c>
      <c r="IR86" s="9">
        <f t="shared" si="716"/>
        <v>-5.9501352031069237</v>
      </c>
      <c r="IS86" s="5">
        <f t="shared" si="717"/>
        <v>-0.15126999589866152</v>
      </c>
      <c r="IT86" s="5">
        <f t="shared" si="718"/>
        <v>0.3125</v>
      </c>
      <c r="IU86" s="5">
        <f t="shared" si="719"/>
        <v>0.30034266903061674</v>
      </c>
      <c r="IV86" s="670">
        <f t="shared" si="720"/>
        <v>32.297802830116758</v>
      </c>
      <c r="IW86" s="9">
        <f t="shared" si="721"/>
        <v>-5.977618028495975</v>
      </c>
      <c r="IX86" s="5">
        <f t="shared" si="722"/>
        <v>-0.13140035106345899</v>
      </c>
      <c r="IY86" s="5">
        <f t="shared" si="723"/>
        <v>0.255</v>
      </c>
      <c r="IZ86" s="5">
        <f t="shared" si="724"/>
        <v>0.255</v>
      </c>
      <c r="JA86" s="705">
        <f t="shared" si="725"/>
        <v>10.699998455111364</v>
      </c>
      <c r="JM86" s="489">
        <f t="shared" si="752"/>
        <v>37</v>
      </c>
      <c r="JN86" s="960">
        <f>($JO86-SMALL($JO$9:$JO$88,1))/((Settings!$C$19/2)-((Settings!$C$19/2)-LARGE($JO$9:$JO$88,1))-SMALL($JO$9:$JO$88,1))</f>
        <v>0.6883355127862486</v>
      </c>
      <c r="JO86" s="162">
        <f t="shared" si="635"/>
        <v>5.977618028495975</v>
      </c>
      <c r="JP86" s="961">
        <f t="shared" si="636"/>
        <v>-10.699998455111364</v>
      </c>
      <c r="JQ86" s="961">
        <f t="shared" si="637"/>
        <v>0</v>
      </c>
      <c r="JU86" s="962"/>
      <c r="JV86" s="959"/>
      <c r="JW86" s="959"/>
    </row>
    <row r="87" spans="1:283" ht="15" customHeight="1" x14ac:dyDescent="0.25">
      <c r="A87" s="75">
        <f t="shared" si="640"/>
        <v>0.02</v>
      </c>
      <c r="B87" s="578">
        <f t="shared" ref="B87:D87" si="881">IFERROR(O242+($A87*-E87),"")</f>
        <v>-1.3501304240848686</v>
      </c>
      <c r="C87" s="572">
        <f t="shared" si="881"/>
        <v>-6.5518724905912133</v>
      </c>
      <c r="D87" s="576">
        <f t="shared" si="881"/>
        <v>-0.39701837943388674</v>
      </c>
      <c r="E87" s="580">
        <f t="shared" ref="E87:K87" si="882">R242</f>
        <v>0.84027388367270617</v>
      </c>
      <c r="F87" s="572">
        <f t="shared" si="882"/>
        <v>-0.46230365785182237</v>
      </c>
      <c r="G87" s="579">
        <f t="shared" si="882"/>
        <v>0.28322275394892393</v>
      </c>
      <c r="H87" s="580">
        <f t="shared" si="882"/>
        <v>0.26450000000000001</v>
      </c>
      <c r="I87" s="572">
        <f t="shared" si="882"/>
        <v>0.52</v>
      </c>
      <c r="J87" s="483">
        <f t="shared" si="728"/>
        <v>4.2430000000000003</v>
      </c>
      <c r="K87" s="806">
        <f t="shared" si="882"/>
        <v>1313</v>
      </c>
      <c r="L87" s="309"/>
      <c r="M87" s="164">
        <f t="shared" si="643"/>
        <v>4.2430000000000003</v>
      </c>
      <c r="N87" s="575">
        <f t="shared" si="644"/>
        <v>-1.3501304240848686</v>
      </c>
      <c r="O87" s="572">
        <f t="shared" si="645"/>
        <v>-6.5518724905912133</v>
      </c>
      <c r="P87" s="576">
        <f t="shared" si="646"/>
        <v>-0.39701837943388674</v>
      </c>
      <c r="Q87" s="528">
        <f t="shared" si="729"/>
        <v>258.35616913140143</v>
      </c>
      <c r="R87" s="572">
        <f t="shared" si="95"/>
        <v>6.689535506670512</v>
      </c>
      <c r="S87" s="577">
        <f t="shared" si="96"/>
        <v>-0.39701837943388674</v>
      </c>
      <c r="T87" s="578">
        <f t="shared" si="97"/>
        <v>-6.5596371003280511</v>
      </c>
      <c r="U87" s="572">
        <f t="shared" si="98"/>
        <v>1.3118865831333524</v>
      </c>
      <c r="V87" s="579">
        <f t="shared" si="145"/>
        <v>-0.39701837943388674</v>
      </c>
      <c r="W87" s="528">
        <f t="shared" si="866"/>
        <v>168.69041050148871</v>
      </c>
      <c r="X87" s="572">
        <f t="shared" si="99"/>
        <v>6.689535506670512</v>
      </c>
      <c r="Y87" s="573">
        <f t="shared" si="859"/>
        <v>-0.39701837943388674</v>
      </c>
      <c r="Z87" s="575">
        <f t="shared" si="647"/>
        <v>-0.84027388367270617</v>
      </c>
      <c r="AA87" s="572">
        <f t="shared" si="648"/>
        <v>0.46230365785182237</v>
      </c>
      <c r="AB87" s="572">
        <f t="shared" si="649"/>
        <v>-0.28322275394892393</v>
      </c>
      <c r="AC87" s="579">
        <f t="shared" si="100"/>
        <v>1</v>
      </c>
      <c r="AD87" s="580">
        <f t="shared" si="146"/>
        <v>-0.84027388367270617</v>
      </c>
      <c r="AE87" s="572">
        <f t="shared" si="101"/>
        <v>0.46230365785182237</v>
      </c>
      <c r="AF87" s="576">
        <f t="shared" si="102"/>
        <v>-0.28322275394892393</v>
      </c>
      <c r="AG87" s="545">
        <f t="shared" si="103"/>
        <v>58.506964556172825</v>
      </c>
      <c r="AH87" s="546">
        <f t="shared" si="104"/>
        <v>147.16905236900467</v>
      </c>
      <c r="AI87" s="528">
        <f t="shared" si="105"/>
        <v>-73.547356713915605</v>
      </c>
      <c r="AJ87" s="529">
        <f t="shared" si="106"/>
        <v>-118.81880395539767</v>
      </c>
      <c r="AK87" s="578">
        <f t="shared" si="247"/>
        <v>0.91628747175596936</v>
      </c>
      <c r="AL87" s="572">
        <f t="shared" si="107"/>
        <v>-0.28319982476802641</v>
      </c>
      <c r="AM87" s="577">
        <f t="shared" si="108"/>
        <v>-0.28322275394892393</v>
      </c>
      <c r="AN87" s="524">
        <f t="shared" si="109"/>
        <v>-44.997680626899836</v>
      </c>
      <c r="AO87" s="525">
        <f t="shared" si="604"/>
        <v>23.610768172507793</v>
      </c>
      <c r="AP87" s="528">
        <f t="shared" si="111"/>
        <v>-17.17497308679912</v>
      </c>
      <c r="AQ87" s="529">
        <f t="shared" si="650"/>
        <v>0.34078595539234802</v>
      </c>
      <c r="AR87" s="979"/>
      <c r="AS87" s="954">
        <f t="shared" si="755"/>
        <v>168.69041050148871</v>
      </c>
      <c r="AT87" s="950">
        <f t="shared" si="651"/>
        <v>-0.26606209343834764</v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>Taper</v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855"/>
        <v>4.2430000000000003</v>
      </c>
      <c r="IJ87" s="674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4.1429999999999998</v>
      </c>
      <c r="IK87" s="677" cm="1">
        <f t="array" ref="IK87">IFERROR(ROUND(VALUE(IF($IJ87&lt;1,$IJ87+LARGE((IF($M$9:$M$150="",0,$M$9:$M$150)-MOD(IF($M$9:$M$150="",0,$M$9:$M$150),1)),1),$IJ87)),4),"")</f>
        <v>4.1429999999999998</v>
      </c>
      <c r="IL87" s="482">
        <f t="shared" si="713"/>
        <v>1613</v>
      </c>
      <c r="IM87" s="482">
        <f t="shared" si="856"/>
        <v>1313</v>
      </c>
      <c r="IN87" s="670">
        <f t="shared" si="714"/>
        <v>9.7148275325328086</v>
      </c>
      <c r="IO87" s="702">
        <v>1.5071786489063601E-2</v>
      </c>
      <c r="IP87" s="5">
        <f t="shared" si="715"/>
        <v>0.7</v>
      </c>
      <c r="IQ87" s="714">
        <v>350</v>
      </c>
      <c r="IR87" s="9">
        <f t="shared" si="716"/>
        <v>-6.6589980770859345</v>
      </c>
      <c r="IS87" s="5">
        <f t="shared" si="717"/>
        <v>-0.42071936448143837</v>
      </c>
      <c r="IT87" s="5">
        <f t="shared" si="718"/>
        <v>0.3125</v>
      </c>
      <c r="IU87" s="5">
        <f t="shared" si="719"/>
        <v>0.29620861935170056</v>
      </c>
      <c r="IV87" s="670">
        <f t="shared" si="720"/>
        <v>44.853438810084242</v>
      </c>
      <c r="IW87" s="9">
        <f t="shared" si="721"/>
        <v>-6.689535506670512</v>
      </c>
      <c r="IX87" s="5">
        <f t="shared" si="722"/>
        <v>-0.39701837943388674</v>
      </c>
      <c r="IY87" s="5">
        <f t="shared" si="723"/>
        <v>0.26450000000000001</v>
      </c>
      <c r="IZ87" s="5">
        <f t="shared" si="724"/>
        <v>0.2423580362794539</v>
      </c>
      <c r="JA87" s="705">
        <f t="shared" si="725"/>
        <v>44.997680626899836</v>
      </c>
      <c r="JM87" s="489">
        <f t="shared" si="752"/>
        <v>43</v>
      </c>
      <c r="JN87" s="960">
        <f>($JO87-SMALL($JO$9:$JO$88,1))/((Settings!$C$19/2)-((Settings!$C$19/2)-LARGE($JO$9:$JO$88,1))-SMALL($JO$9:$JO$88,1))</f>
        <v>0.77534138543070319</v>
      </c>
      <c r="JO87" s="162">
        <f t="shared" si="635"/>
        <v>6.689535506670512</v>
      </c>
      <c r="JP87" s="961">
        <f t="shared" si="636"/>
        <v>-44.997680626899836</v>
      </c>
      <c r="JQ87" s="961">
        <f t="shared" si="637"/>
        <v>23.610768172507793</v>
      </c>
      <c r="JU87" s="962"/>
      <c r="JV87" s="959"/>
      <c r="JW87" s="959"/>
    </row>
    <row r="88" spans="1:283" ht="15" customHeight="1" x14ac:dyDescent="0.25">
      <c r="A88" s="75">
        <f t="shared" si="640"/>
        <v>0.02</v>
      </c>
      <c r="B88" s="578">
        <f t="shared" ref="B88:D88" si="883">IFERROR(O243+($A88*-E88),"")</f>
        <v>-1.5961091904188696</v>
      </c>
      <c r="C88" s="572">
        <f t="shared" si="883"/>
        <v>-7.148935981505022</v>
      </c>
      <c r="D88" s="576">
        <f t="shared" si="883"/>
        <v>-0.82458654950454502</v>
      </c>
      <c r="E88" s="580">
        <f t="shared" ref="E88:K88" si="884">R243</f>
        <v>0.78840369196039128</v>
      </c>
      <c r="F88" s="572">
        <f t="shared" si="884"/>
        <v>-0.5574894479709801</v>
      </c>
      <c r="G88" s="579">
        <f t="shared" si="884"/>
        <v>0.26004832993933369</v>
      </c>
      <c r="H88" s="580">
        <f t="shared" si="884"/>
        <v>0.26450000000000001</v>
      </c>
      <c r="I88" s="572">
        <f t="shared" si="884"/>
        <v>0.52</v>
      </c>
      <c r="J88" s="483">
        <f t="shared" si="728"/>
        <v>4.2489999999999997</v>
      </c>
      <c r="K88" s="806">
        <f t="shared" si="884"/>
        <v>1313</v>
      </c>
      <c r="L88" s="309"/>
      <c r="M88" s="164">
        <f t="shared" si="643"/>
        <v>4.2489999999999997</v>
      </c>
      <c r="N88" s="575">
        <f t="shared" si="644"/>
        <v>-1.5961091904188696</v>
      </c>
      <c r="O88" s="572">
        <f t="shared" si="645"/>
        <v>-7.148935981505022</v>
      </c>
      <c r="P88" s="576">
        <f t="shared" si="646"/>
        <v>-0.82458654950454502</v>
      </c>
      <c r="Q88" s="528">
        <f t="shared" si="729"/>
        <v>257.41425446957197</v>
      </c>
      <c r="R88" s="572">
        <f t="shared" si="95"/>
        <v>7.3249471134880384</v>
      </c>
      <c r="S88" s="577">
        <f t="shared" si="96"/>
        <v>-0.82458654950454502</v>
      </c>
      <c r="T88" s="578">
        <f t="shared" si="97"/>
        <v>-7.1581253685705271</v>
      </c>
      <c r="U88" s="572">
        <f t="shared" si="98"/>
        <v>1.5543781467917659</v>
      </c>
      <c r="V88" s="579">
        <f t="shared" si="145"/>
        <v>-0.82458654950454502</v>
      </c>
      <c r="W88" s="528">
        <f t="shared" si="866"/>
        <v>167.74849583965926</v>
      </c>
      <c r="X88" s="572">
        <f t="shared" si="99"/>
        <v>7.3249471134880384</v>
      </c>
      <c r="Y88" s="573">
        <f t="shared" si="859"/>
        <v>-0.82458654950454502</v>
      </c>
      <c r="Z88" s="575">
        <f t="shared" si="647"/>
        <v>-0.78840369196039128</v>
      </c>
      <c r="AA88" s="572">
        <f t="shared" si="648"/>
        <v>0.5574894479709801</v>
      </c>
      <c r="AB88" s="572">
        <f t="shared" si="649"/>
        <v>-0.26004832993933369</v>
      </c>
      <c r="AC88" s="579">
        <f t="shared" si="100"/>
        <v>1</v>
      </c>
      <c r="AD88" s="580">
        <f t="shared" si="146"/>
        <v>-0.78840369196039128</v>
      </c>
      <c r="AE88" s="572">
        <f t="shared" si="101"/>
        <v>0.5574894479709801</v>
      </c>
      <c r="AF88" s="576">
        <f t="shared" si="102"/>
        <v>-0.26004832993933369</v>
      </c>
      <c r="AG88" s="545">
        <f t="shared" si="103"/>
        <v>64.99267873837745</v>
      </c>
      <c r="AH88" s="546">
        <f t="shared" si="104"/>
        <v>142.03658327673728</v>
      </c>
      <c r="AI88" s="528">
        <f t="shared" si="105"/>
        <v>-74.927070109151003</v>
      </c>
      <c r="AJ88" s="529">
        <f t="shared" si="106"/>
        <v>-125.26457626207483</v>
      </c>
      <c r="AK88" s="578">
        <f t="shared" si="247"/>
        <v>0.8909363373911714</v>
      </c>
      <c r="AL88" s="572">
        <f t="shared" si="107"/>
        <v>-0.37230002526425982</v>
      </c>
      <c r="AM88" s="577">
        <f t="shared" si="108"/>
        <v>-0.26004832993933369</v>
      </c>
      <c r="AN88" s="524">
        <f t="shared" si="109"/>
        <v>-55.066035656869786</v>
      </c>
      <c r="AO88" s="525">
        <f t="shared" si="604"/>
        <v>27.008856567206934</v>
      </c>
      <c r="AP88" s="528">
        <f t="shared" si="111"/>
        <v>-22.678830731646805</v>
      </c>
      <c r="AQ88" s="529">
        <f t="shared" si="650"/>
        <v>0.31122466484857669</v>
      </c>
      <c r="AR88" s="979"/>
      <c r="AS88" s="954">
        <f t="shared" si="755"/>
        <v>167.74849583965926</v>
      </c>
      <c r="AT88" s="950">
        <f t="shared" si="651"/>
        <v>-0.69297615610495766</v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>Taper</v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855"/>
        <v>4.2489999999999997</v>
      </c>
      <c r="IJ88" s="674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4.149</v>
      </c>
      <c r="IK88" s="677" cm="1">
        <f t="array" ref="IK88">IFERROR(ROUND(VALUE(IF($IJ88&lt;1,$IJ88+LARGE((IF($M$9:$M$150="",0,$M$9:$M$150)-MOD(IF($M$9:$M$150="",0,$M$9:$M$150),1)),1),$IJ88)),4),"")</f>
        <v>4.149</v>
      </c>
      <c r="IL88" s="482">
        <f t="shared" si="713"/>
        <v>1613</v>
      </c>
      <c r="IM88" s="482">
        <f t="shared" si="856"/>
        <v>1313</v>
      </c>
      <c r="IN88" s="670">
        <f t="shared" si="714"/>
        <v>10.067081722877731</v>
      </c>
      <c r="IO88" s="702">
        <v>1.38919650001871E-2</v>
      </c>
      <c r="IP88" s="5">
        <f t="shared" si="715"/>
        <v>0.72</v>
      </c>
      <c r="IQ88" s="714">
        <v>360</v>
      </c>
      <c r="IR88" s="9">
        <f t="shared" si="716"/>
        <v>-7.2891697986824822</v>
      </c>
      <c r="IS88" s="5">
        <f t="shared" si="717"/>
        <v>-0.84259765600815228</v>
      </c>
      <c r="IT88" s="5">
        <f t="shared" si="718"/>
        <v>0.3125</v>
      </c>
      <c r="IU88" s="5">
        <f t="shared" si="719"/>
        <v>0.28979712380903966</v>
      </c>
      <c r="IV88" s="670">
        <f t="shared" si="720"/>
        <v>54.976066522376357</v>
      </c>
      <c r="IW88" s="9">
        <f t="shared" si="721"/>
        <v>-7.3249471134880384</v>
      </c>
      <c r="IX88" s="5">
        <f t="shared" si="722"/>
        <v>-0.82458654950454502</v>
      </c>
      <c r="IY88" s="5">
        <f t="shared" si="723"/>
        <v>0.26450000000000001</v>
      </c>
      <c r="IZ88" s="5">
        <f t="shared" si="724"/>
        <v>0.23565266123996484</v>
      </c>
      <c r="JA88" s="705">
        <f t="shared" si="725"/>
        <v>55.066035656869786</v>
      </c>
      <c r="JM88" s="489">
        <f t="shared" si="752"/>
        <v>49</v>
      </c>
      <c r="JN88" s="960">
        <f>($JO88-SMALL($JO$9:$JO$88,1))/((Settings!$C$19/2)-((Settings!$C$19/2)-LARGE($JO$9:$JO$88,1))-SMALL($JO$9:$JO$88,1))</f>
        <v>0.85299721357715053</v>
      </c>
      <c r="JO88" s="162">
        <f t="shared" si="635"/>
        <v>7.3249471134880384</v>
      </c>
      <c r="JP88" s="961">
        <f t="shared" si="636"/>
        <v>-55.066035656869786</v>
      </c>
      <c r="JQ88" s="961">
        <f t="shared" si="637"/>
        <v>27.008856567206934</v>
      </c>
      <c r="JU88" s="962"/>
      <c r="JV88" s="959"/>
      <c r="JW88" s="959"/>
    </row>
    <row r="89" spans="1:283" ht="15" customHeight="1" x14ac:dyDescent="0.25">
      <c r="A89" s="75">
        <f t="shared" si="640"/>
        <v>0.02</v>
      </c>
      <c r="B89" s="578">
        <f t="shared" ref="B89:D89" si="885">IFERROR(O244+($A89*-E89),"")</f>
        <v>-1.845612399959184</v>
      </c>
      <c r="C89" s="572">
        <f t="shared" si="885"/>
        <v>-7.6260982202517882</v>
      </c>
      <c r="D89" s="576">
        <f t="shared" si="885"/>
        <v>-1.3827310566267883</v>
      </c>
      <c r="E89" s="580">
        <f t="shared" ref="E89:K89" si="886">R244</f>
        <v>0.73259623588228528</v>
      </c>
      <c r="F89" s="572">
        <f t="shared" si="886"/>
        <v>-0.64440215145993129</v>
      </c>
      <c r="G89" s="579">
        <f t="shared" si="886"/>
        <v>0.21919995977399059</v>
      </c>
      <c r="H89" s="580">
        <f t="shared" si="886"/>
        <v>0.26450000000000001</v>
      </c>
      <c r="I89" s="572">
        <f t="shared" si="886"/>
        <v>0.52</v>
      </c>
      <c r="J89" s="483">
        <f t="shared" si="728"/>
        <v>4.2549999999999999</v>
      </c>
      <c r="K89" s="806">
        <f t="shared" si="886"/>
        <v>1313</v>
      </c>
      <c r="L89" s="309"/>
      <c r="M89" s="164">
        <f t="shared" si="643"/>
        <v>4.2549999999999999</v>
      </c>
      <c r="N89" s="575">
        <f t="shared" si="644"/>
        <v>-1.845612399959184</v>
      </c>
      <c r="O89" s="572">
        <f t="shared" si="645"/>
        <v>-7.6260982202517882</v>
      </c>
      <c r="P89" s="576">
        <f t="shared" si="646"/>
        <v>-1.3827310566267883</v>
      </c>
      <c r="Q89" s="528">
        <f t="shared" si="729"/>
        <v>256.39527960472242</v>
      </c>
      <c r="R89" s="572">
        <f t="shared" si="95"/>
        <v>7.8462512829892583</v>
      </c>
      <c r="S89" s="577">
        <f t="shared" si="96"/>
        <v>-1.3827310566267883</v>
      </c>
      <c r="T89" s="578">
        <f t="shared" si="97"/>
        <v>-7.6367349849409427</v>
      </c>
      <c r="U89" s="572">
        <f t="shared" si="98"/>
        <v>1.8010935471511851</v>
      </c>
      <c r="V89" s="579">
        <f t="shared" si="145"/>
        <v>-1.3827310566267883</v>
      </c>
      <c r="W89" s="528">
        <f t="shared" si="866"/>
        <v>166.7295209748097</v>
      </c>
      <c r="X89" s="572">
        <f t="shared" si="99"/>
        <v>7.8462512829892583</v>
      </c>
      <c r="Y89" s="573">
        <f t="shared" si="859"/>
        <v>-1.3827310566267883</v>
      </c>
      <c r="Z89" s="575">
        <f t="shared" si="647"/>
        <v>-0.73259623588228528</v>
      </c>
      <c r="AA89" s="572">
        <f t="shared" si="648"/>
        <v>0.64440215145993129</v>
      </c>
      <c r="AB89" s="572">
        <f t="shared" si="649"/>
        <v>-0.21919995977399059</v>
      </c>
      <c r="AC89" s="579">
        <f t="shared" si="100"/>
        <v>1</v>
      </c>
      <c r="AD89" s="580">
        <f t="shared" si="146"/>
        <v>-0.73259623588228528</v>
      </c>
      <c r="AE89" s="572">
        <f t="shared" si="101"/>
        <v>0.64440215145993129</v>
      </c>
      <c r="AF89" s="576">
        <f t="shared" si="102"/>
        <v>-0.21919995977399059</v>
      </c>
      <c r="AG89" s="545">
        <f t="shared" si="103"/>
        <v>71.213739907818166</v>
      </c>
      <c r="AH89" s="546">
        <f t="shared" si="104"/>
        <v>137.10448953370121</v>
      </c>
      <c r="AI89" s="528">
        <f t="shared" si="105"/>
        <v>-77.337952860167476</v>
      </c>
      <c r="AJ89" s="529">
        <f t="shared" si="106"/>
        <v>-131.33532165391892</v>
      </c>
      <c r="AK89" s="578">
        <f t="shared" si="247"/>
        <v>0.86361846027168065</v>
      </c>
      <c r="AL89" s="572">
        <f t="shared" si="107"/>
        <v>-0.45399838404233628</v>
      </c>
      <c r="AM89" s="577">
        <f t="shared" si="108"/>
        <v>-0.21919995977399059</v>
      </c>
      <c r="AN89" s="524">
        <f t="shared" si="109"/>
        <v>-64.227773285547329</v>
      </c>
      <c r="AO89" s="525">
        <f t="shared" si="604"/>
        <v>30.27467608365588</v>
      </c>
      <c r="AP89" s="528">
        <f t="shared" si="111"/>
        <v>-27.730601258641336</v>
      </c>
      <c r="AQ89" s="529">
        <f t="shared" si="650"/>
        <v>0.29054729558816145</v>
      </c>
      <c r="AR89" s="979"/>
      <c r="AS89" s="954">
        <f t="shared" si="755"/>
        <v>166.7295209748097</v>
      </c>
      <c r="AT89" s="950">
        <f t="shared" si="651"/>
        <v>-1.2504130417932777</v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>Taper</v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855"/>
        <v>4.2549999999999999</v>
      </c>
      <c r="IJ89" s="674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4.1550000000000002</v>
      </c>
      <c r="IK89" s="677" cm="1">
        <f t="array" ref="IK89">IFERROR(ROUND(VALUE(IF($IJ89&lt;1,$IJ89+LARGE((IF($M$9:$M$150="",0,$M$9:$M$150)-MOD(IF($M$9:$M$150="",0,$M$9:$M$150),1)),1),$IJ89)),4),"")</f>
        <v>4.1550000000000002</v>
      </c>
      <c r="IL89" s="482">
        <f t="shared" si="713"/>
        <v>1613</v>
      </c>
      <c r="IM89" s="482">
        <f t="shared" si="856"/>
        <v>1313</v>
      </c>
      <c r="IN89" s="670">
        <f t="shared" si="714"/>
        <v>10.571072881278837</v>
      </c>
      <c r="IO89" s="702">
        <v>1.2614548212258299E-2</v>
      </c>
      <c r="IP89" s="5">
        <f t="shared" si="715"/>
        <v>0.74</v>
      </c>
      <c r="IQ89" s="714">
        <v>370</v>
      </c>
      <c r="IR89" s="9">
        <f t="shared" si="716"/>
        <v>-7.8066276089627875</v>
      </c>
      <c r="IS89" s="5">
        <f t="shared" si="717"/>
        <v>-1.3946190788623809</v>
      </c>
      <c r="IT89" s="5">
        <f t="shared" si="718"/>
        <v>0.3125</v>
      </c>
      <c r="IU89" s="5">
        <f t="shared" si="719"/>
        <v>0.28267596419371538</v>
      </c>
      <c r="IV89" s="670">
        <f t="shared" si="720"/>
        <v>64.171955670269369</v>
      </c>
      <c r="IW89" s="9">
        <f t="shared" si="721"/>
        <v>-7.8462512829892583</v>
      </c>
      <c r="IX89" s="5">
        <f t="shared" si="722"/>
        <v>-1.3827310566267883</v>
      </c>
      <c r="IY89" s="5">
        <f t="shared" si="723"/>
        <v>0.26450000000000001</v>
      </c>
      <c r="IZ89" s="5">
        <f t="shared" si="724"/>
        <v>0.22842708274185958</v>
      </c>
      <c r="JA89" s="705">
        <f t="shared" si="725"/>
        <v>64.227773285547329</v>
      </c>
      <c r="JN89" s="960"/>
      <c r="JO89" s="162"/>
      <c r="JP89" s="961"/>
      <c r="JQ89" s="961"/>
    </row>
    <row r="90" spans="1:283" ht="15" customHeight="1" x14ac:dyDescent="0.25">
      <c r="A90" s="75">
        <f t="shared" si="640"/>
        <v>0.02</v>
      </c>
      <c r="B90" s="578">
        <f t="shared" ref="B90:D90" si="887">IFERROR(O245+($A90*-E90),"")</f>
        <v>-2.0845700667151323</v>
      </c>
      <c r="C90" s="572">
        <f t="shared" si="887"/>
        <v>-7.9625915675965135</v>
      </c>
      <c r="D90" s="576">
        <f t="shared" si="887"/>
        <v>-2.0438153768230642</v>
      </c>
      <c r="E90" s="580">
        <f t="shared" ref="E90:K90" si="888">R245</f>
        <v>0.66350194172684074</v>
      </c>
      <c r="F90" s="572">
        <f t="shared" si="888"/>
        <v>-0.72776686777126909</v>
      </c>
      <c r="G90" s="579">
        <f t="shared" si="888"/>
        <v>0.17355275710604071</v>
      </c>
      <c r="H90" s="580">
        <f t="shared" si="888"/>
        <v>0.26450000000000001</v>
      </c>
      <c r="I90" s="572">
        <f t="shared" si="888"/>
        <v>0.52</v>
      </c>
      <c r="J90" s="483">
        <f t="shared" si="728"/>
        <v>4.2610000000000001</v>
      </c>
      <c r="K90" s="806">
        <f t="shared" si="888"/>
        <v>1313</v>
      </c>
      <c r="L90" s="309"/>
      <c r="M90" s="164">
        <f t="shared" si="643"/>
        <v>4.2610000000000001</v>
      </c>
      <c r="N90" s="575">
        <f t="shared" si="644"/>
        <v>-2.0845700667151323</v>
      </c>
      <c r="O90" s="572">
        <f t="shared" si="645"/>
        <v>-7.9625915675965135</v>
      </c>
      <c r="P90" s="576">
        <f t="shared" si="646"/>
        <v>-2.0438153768230642</v>
      </c>
      <c r="Q90" s="528">
        <f t="shared" si="729"/>
        <v>255.32946927958437</v>
      </c>
      <c r="R90" s="572">
        <f t="shared" si="95"/>
        <v>8.230935356045741</v>
      </c>
      <c r="S90" s="577">
        <f t="shared" si="96"/>
        <v>-2.0438153768230642</v>
      </c>
      <c r="T90" s="578">
        <f t="shared" si="97"/>
        <v>-7.9746165851961495</v>
      </c>
      <c r="U90" s="572">
        <f t="shared" si="98"/>
        <v>2.038084187299027</v>
      </c>
      <c r="V90" s="579">
        <f t="shared" si="145"/>
        <v>-2.0438153768230642</v>
      </c>
      <c r="W90" s="528">
        <f t="shared" si="866"/>
        <v>165.66371064967166</v>
      </c>
      <c r="X90" s="572">
        <f t="shared" si="99"/>
        <v>8.230935356045741</v>
      </c>
      <c r="Y90" s="573">
        <f t="shared" si="859"/>
        <v>-2.0438153768230642</v>
      </c>
      <c r="Z90" s="575">
        <f t="shared" si="647"/>
        <v>-0.66350194172684074</v>
      </c>
      <c r="AA90" s="572">
        <f t="shared" si="648"/>
        <v>0.72776686777126909</v>
      </c>
      <c r="AB90" s="572">
        <f t="shared" si="649"/>
        <v>-0.17355275710604071</v>
      </c>
      <c r="AC90" s="579">
        <f t="shared" si="100"/>
        <v>1</v>
      </c>
      <c r="AD90" s="580">
        <f t="shared" si="146"/>
        <v>-0.66350194172684074</v>
      </c>
      <c r="AE90" s="572">
        <f t="shared" si="101"/>
        <v>0.72776686777126909</v>
      </c>
      <c r="AF90" s="576">
        <f t="shared" si="102"/>
        <v>-0.17355275710604071</v>
      </c>
      <c r="AG90" s="545">
        <f t="shared" si="103"/>
        <v>76.58702033606771</v>
      </c>
      <c r="AH90" s="546">
        <f t="shared" si="104"/>
        <v>131.56750083268722</v>
      </c>
      <c r="AI90" s="528">
        <f t="shared" si="105"/>
        <v>-80.005551488305684</v>
      </c>
      <c r="AJ90" s="529">
        <f t="shared" si="106"/>
        <v>-137.64470356953834</v>
      </c>
      <c r="AK90" s="578">
        <f t="shared" si="247"/>
        <v>0.826185081065686</v>
      </c>
      <c r="AL90" s="572">
        <f t="shared" si="107"/>
        <v>-0.5360015413460838</v>
      </c>
      <c r="AM90" s="577">
        <f t="shared" si="108"/>
        <v>-0.17355275710604071</v>
      </c>
      <c r="AN90" s="524">
        <f t="shared" si="109"/>
        <v>-72.058486242380297</v>
      </c>
      <c r="AO90" s="525">
        <f t="shared" si="604"/>
        <v>34.291175091836479</v>
      </c>
      <c r="AP90" s="528">
        <f t="shared" si="111"/>
        <v>-32.974172849122688</v>
      </c>
      <c r="AQ90" s="529">
        <f t="shared" si="650"/>
        <v>0.27696838524699785</v>
      </c>
      <c r="AR90" s="979"/>
      <c r="AS90" s="954">
        <f t="shared" si="755"/>
        <v>165.66371064967166</v>
      </c>
      <c r="AT90" s="950">
        <f t="shared" si="651"/>
        <v>-1.91075721593043</v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>Taper</v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855"/>
        <v>4.2610000000000001</v>
      </c>
      <c r="IJ90" s="674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4.1609999999999996</v>
      </c>
      <c r="IK90" s="677" cm="1">
        <f t="array" ref="IK90">IFERROR(ROUND(VALUE(IF($IJ90&lt;1,$IJ90+LARGE((IF($M$9:$M$150="",0,$M$9:$M$150)-MOD(IF($M$9:$M$150="",0,$M$9:$M$150),1)),1),$IJ90)),4),"")</f>
        <v>4.1609999999999996</v>
      </c>
      <c r="IL90" s="482">
        <f t="shared" si="713"/>
        <v>1613</v>
      </c>
      <c r="IM90" s="482">
        <f t="shared" si="856"/>
        <v>1313</v>
      </c>
      <c r="IN90" s="670">
        <f t="shared" si="714"/>
        <v>11.242572113519145</v>
      </c>
      <c r="IO90" s="702">
        <v>1.1246880402046199E-2</v>
      </c>
      <c r="IP90" s="5">
        <f t="shared" si="715"/>
        <v>0.78</v>
      </c>
      <c r="IQ90" s="714">
        <v>390</v>
      </c>
      <c r="IR90" s="9">
        <f t="shared" si="716"/>
        <v>-8.1888115115991003</v>
      </c>
      <c r="IS90" s="5">
        <f t="shared" si="717"/>
        <v>-2.049821586264339</v>
      </c>
      <c r="IT90" s="5">
        <f t="shared" si="718"/>
        <v>0.3125</v>
      </c>
      <c r="IU90" s="5">
        <f t="shared" si="719"/>
        <v>0.27266270672363252</v>
      </c>
      <c r="IV90" s="670">
        <f t="shared" si="720"/>
        <v>72.025646670065584</v>
      </c>
      <c r="IW90" s="9">
        <f t="shared" si="721"/>
        <v>-8.230935356045741</v>
      </c>
      <c r="IX90" s="5">
        <f t="shared" si="722"/>
        <v>-2.0438153768230642</v>
      </c>
      <c r="IY90" s="5">
        <f t="shared" si="723"/>
        <v>0.26450000000000001</v>
      </c>
      <c r="IZ90" s="5">
        <f t="shared" si="724"/>
        <v>0.21852595394187399</v>
      </c>
      <c r="JA90" s="705">
        <f t="shared" si="725"/>
        <v>72.058486242380297</v>
      </c>
      <c r="JN90" s="960"/>
      <c r="JO90" s="162"/>
      <c r="JP90" s="961"/>
      <c r="JQ90" s="961"/>
    </row>
    <row r="91" spans="1:283" ht="15" customHeight="1" x14ac:dyDescent="0.25">
      <c r="A91" s="75">
        <f t="shared" si="640"/>
        <v>0</v>
      </c>
      <c r="B91" s="578">
        <f t="shared" ref="B91:D91" si="889">IFERROR(O246+($A91*-E91),"")</f>
        <v>-2.3555296755868484</v>
      </c>
      <c r="C91" s="572">
        <f t="shared" si="889"/>
        <v>-8.0837156214235879</v>
      </c>
      <c r="D91" s="576">
        <f t="shared" si="889"/>
        <v>-2.7863713442499449</v>
      </c>
      <c r="E91" s="580">
        <f t="shared" ref="E91:K91" si="890">R246</f>
        <v>-0.232473418410964</v>
      </c>
      <c r="F91" s="572">
        <f t="shared" si="890"/>
        <v>-0.79780396525243324</v>
      </c>
      <c r="G91" s="579">
        <f t="shared" si="890"/>
        <v>0.5562957331849806</v>
      </c>
      <c r="H91" s="580">
        <f t="shared" si="890"/>
        <v>0.255</v>
      </c>
      <c r="I91" s="572">
        <f t="shared" si="890"/>
        <v>0.41499999999999992</v>
      </c>
      <c r="J91" s="483">
        <f t="shared" si="728"/>
        <v>4.2670000000000003</v>
      </c>
      <c r="K91" s="806" t="str">
        <f t="shared" si="890"/>
        <v>CPS-32193r1</v>
      </c>
      <c r="L91" s="309"/>
      <c r="M91" s="164">
        <f t="shared" si="643"/>
        <v>4.2670000000000003</v>
      </c>
      <c r="N91" s="575">
        <f t="shared" si="644"/>
        <v>-2.3555296755868484</v>
      </c>
      <c r="O91" s="572">
        <f t="shared" si="645"/>
        <v>-8.0837156214235879</v>
      </c>
      <c r="P91" s="576">
        <f t="shared" si="646"/>
        <v>-2.7863713442499449</v>
      </c>
      <c r="Q91" s="528">
        <f t="shared" si="729"/>
        <v>253.75430233015561</v>
      </c>
      <c r="R91" s="572">
        <f t="shared" si="95"/>
        <v>8.4199155756229533</v>
      </c>
      <c r="S91" s="577">
        <f t="shared" si="96"/>
        <v>-2.7863713442499449</v>
      </c>
      <c r="T91" s="578">
        <f t="shared" si="97"/>
        <v>-8.0973192424107854</v>
      </c>
      <c r="U91" s="572">
        <f t="shared" si="98"/>
        <v>2.3083325988908183</v>
      </c>
      <c r="V91" s="579">
        <f t="shared" si="145"/>
        <v>-2.7863713442499449</v>
      </c>
      <c r="W91" s="528">
        <f t="shared" si="866"/>
        <v>164.08854370024289</v>
      </c>
      <c r="X91" s="572">
        <f t="shared" si="99"/>
        <v>8.4199155756229533</v>
      </c>
      <c r="Y91" s="573">
        <f t="shared" si="859"/>
        <v>-2.7863713442499449</v>
      </c>
      <c r="Z91" s="575">
        <f t="shared" si="647"/>
        <v>0.232473418410964</v>
      </c>
      <c r="AA91" s="572">
        <f t="shared" si="648"/>
        <v>0.79780396525243324</v>
      </c>
      <c r="AB91" s="572">
        <f t="shared" si="649"/>
        <v>-0.5562957331849806</v>
      </c>
      <c r="AC91" s="579">
        <f t="shared" si="100"/>
        <v>1</v>
      </c>
      <c r="AD91" s="580">
        <f t="shared" si="146"/>
        <v>0.232473418410964</v>
      </c>
      <c r="AE91" s="572">
        <f t="shared" si="101"/>
        <v>0.79780396525243324</v>
      </c>
      <c r="AF91" s="576">
        <f t="shared" si="102"/>
        <v>-0.5562957331849806</v>
      </c>
      <c r="AG91" s="545">
        <f t="shared" si="103"/>
        <v>55.112562940543938</v>
      </c>
      <c r="AH91" s="546">
        <f t="shared" si="104"/>
        <v>76.55726390721874</v>
      </c>
      <c r="AI91" s="528">
        <f t="shared" si="105"/>
        <v>-56.199991885726142</v>
      </c>
      <c r="AJ91" s="529">
        <f t="shared" si="106"/>
        <v>163.75431798293448</v>
      </c>
      <c r="AK91" s="578">
        <f t="shared" si="247"/>
        <v>2.2701872695596315E-7</v>
      </c>
      <c r="AL91" s="572">
        <f t="shared" si="107"/>
        <v>-0.83098439049126149</v>
      </c>
      <c r="AM91" s="577">
        <f t="shared" si="108"/>
        <v>-0.5562957331849806</v>
      </c>
      <c r="AN91" s="524">
        <f t="shared" si="109"/>
        <v>-56.199991885725154</v>
      </c>
      <c r="AO91" s="525">
        <f t="shared" si="604"/>
        <v>0</v>
      </c>
      <c r="AP91" s="528">
        <f t="shared" si="111"/>
        <v>-89.999984347221115</v>
      </c>
      <c r="AQ91" s="529">
        <f t="shared" si="650"/>
        <v>0.27075208086247737</v>
      </c>
      <c r="AS91" s="954">
        <f t="shared" si="755"/>
        <v>164.08854370024289</v>
      </c>
      <c r="AT91" s="950">
        <f t="shared" si="651"/>
        <v>-2.6522193174202071</v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>Taper</v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855"/>
        <v>4.2670000000000003</v>
      </c>
      <c r="IJ91" s="674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4.1669999999999998</v>
      </c>
      <c r="IK91" s="677" cm="1">
        <f t="array" ref="IK91">IFERROR(ROUND(VALUE(IF($IJ91&lt;1,$IJ91+LARGE((IF($M$9:$M$150="",0,$M$9:$M$150)-MOD(IF($M$9:$M$150="",0,$M$9:$M$150),1)),1),$IJ91)),4),"")</f>
        <v>4.1669999999999998</v>
      </c>
      <c r="IL91" s="482">
        <f t="shared" si="713"/>
        <v>1613</v>
      </c>
      <c r="IM91" s="482" t="str">
        <f t="shared" si="856"/>
        <v>CPS-32193r1</v>
      </c>
      <c r="IN91" s="670">
        <f t="shared" si="714"/>
        <v>12.586518564067376</v>
      </c>
      <c r="IO91" s="702">
        <v>1.5692153632409399E-4</v>
      </c>
      <c r="IP91" s="5">
        <f t="shared" si="715"/>
        <v>0</v>
      </c>
      <c r="IQ91" s="714">
        <v>0</v>
      </c>
      <c r="IR91" s="9">
        <f t="shared" si="716"/>
        <v>-8.4087064145304939</v>
      </c>
      <c r="IS91" s="5">
        <f t="shared" si="717"/>
        <v>-2.7756133976900212</v>
      </c>
      <c r="IT91" s="5">
        <f t="shared" si="718"/>
        <v>0.3125</v>
      </c>
      <c r="IU91" s="5">
        <f t="shared" si="719"/>
        <v>0.26445079025994583</v>
      </c>
      <c r="IV91" s="670">
        <f t="shared" si="720"/>
        <v>80.247540861376947</v>
      </c>
      <c r="IW91" s="9">
        <f t="shared" si="721"/>
        <v>-8.4199155756229533</v>
      </c>
      <c r="IX91" s="5">
        <f t="shared" si="722"/>
        <v>-2.7863713442499449</v>
      </c>
      <c r="IY91" s="5">
        <f t="shared" si="723"/>
        <v>0.255</v>
      </c>
      <c r="IZ91" s="5">
        <f t="shared" si="724"/>
        <v>0.255</v>
      </c>
      <c r="JA91" s="705">
        <f t="shared" si="725"/>
        <v>56.199991885725154</v>
      </c>
      <c r="JN91" s="960"/>
      <c r="JO91" s="162"/>
      <c r="JP91" s="961"/>
      <c r="JQ91" s="961"/>
    </row>
    <row r="92" spans="1:283" ht="15" customHeight="1" x14ac:dyDescent="0.25">
      <c r="A92" s="75">
        <f t="shared" si="640"/>
        <v>0</v>
      </c>
      <c r="B92" s="578">
        <f t="shared" ref="B92:D92" si="891">IFERROR(O247+($A92*-E92),"")</f>
        <v>-2.4939218658809792</v>
      </c>
      <c r="C92" s="572">
        <f t="shared" si="891"/>
        <v>-8.092597215121744</v>
      </c>
      <c r="D92" s="576">
        <f t="shared" si="891"/>
        <v>-3.5385368435828539</v>
      </c>
      <c r="E92" s="580">
        <f t="shared" ref="E92:K92" si="892">R247</f>
        <v>-0.26691254448418311</v>
      </c>
      <c r="F92" s="572">
        <f t="shared" si="892"/>
        <v>-0.86611279459720736</v>
      </c>
      <c r="G92" s="579">
        <f t="shared" si="892"/>
        <v>0.4226184101905579</v>
      </c>
      <c r="H92" s="580">
        <f t="shared" si="892"/>
        <v>0.255</v>
      </c>
      <c r="I92" s="572">
        <f t="shared" si="892"/>
        <v>0.41499999999999992</v>
      </c>
      <c r="J92" s="483">
        <f t="shared" si="728"/>
        <v>4.2729999999999997</v>
      </c>
      <c r="K92" s="806" t="str">
        <f t="shared" si="892"/>
        <v>CPS-32193r1</v>
      </c>
      <c r="L92" s="309"/>
      <c r="M92" s="164">
        <f t="shared" si="643"/>
        <v>4.2729999999999997</v>
      </c>
      <c r="N92" s="575">
        <f t="shared" si="644"/>
        <v>-2.4939218658809792</v>
      </c>
      <c r="O92" s="572">
        <f t="shared" si="645"/>
        <v>-8.092597215121744</v>
      </c>
      <c r="P92" s="576">
        <f t="shared" si="646"/>
        <v>-3.5385368435828539</v>
      </c>
      <c r="Q92" s="528">
        <f t="shared" si="729"/>
        <v>252.87210245761742</v>
      </c>
      <c r="R92" s="572">
        <f t="shared" si="95"/>
        <v>8.4681624901341781</v>
      </c>
      <c r="S92" s="577">
        <f t="shared" si="96"/>
        <v>-3.5385368435828539</v>
      </c>
      <c r="T92" s="578">
        <f t="shared" si="97"/>
        <v>-8.1070080068034169</v>
      </c>
      <c r="U92" s="572">
        <f t="shared" si="98"/>
        <v>2.4466706228956845</v>
      </c>
      <c r="V92" s="579">
        <f t="shared" si="145"/>
        <v>-3.5385368435828539</v>
      </c>
      <c r="W92" s="528">
        <f t="shared" si="866"/>
        <v>163.2063438277047</v>
      </c>
      <c r="X92" s="572">
        <f t="shared" si="99"/>
        <v>8.4681624901341781</v>
      </c>
      <c r="Y92" s="573">
        <f t="shared" si="859"/>
        <v>-3.5385368435828539</v>
      </c>
      <c r="Z92" s="575">
        <f t="shared" si="647"/>
        <v>0.26691254448418311</v>
      </c>
      <c r="AA92" s="572">
        <f t="shared" si="648"/>
        <v>0.86611279459720736</v>
      </c>
      <c r="AB92" s="572">
        <f t="shared" si="649"/>
        <v>-0.4226184101905579</v>
      </c>
      <c r="AC92" s="579">
        <f t="shared" si="100"/>
        <v>1</v>
      </c>
      <c r="AD92" s="580">
        <f t="shared" si="146"/>
        <v>0.26691254448418311</v>
      </c>
      <c r="AE92" s="572">
        <f t="shared" si="101"/>
        <v>0.86611279459720736</v>
      </c>
      <c r="AF92" s="576">
        <f t="shared" si="102"/>
        <v>-0.4226184101905579</v>
      </c>
      <c r="AG92" s="545">
        <f t="shared" si="103"/>
        <v>63.990008863334197</v>
      </c>
      <c r="AH92" s="546">
        <f t="shared" si="104"/>
        <v>74.519372468199023</v>
      </c>
      <c r="AI92" s="528">
        <f t="shared" si="105"/>
        <v>-64.999990615163185</v>
      </c>
      <c r="AJ92" s="529">
        <f t="shared" si="106"/>
        <v>162.87211681068698</v>
      </c>
      <c r="AK92" s="578">
        <f t="shared" si="247"/>
        <v>2.2703762486697698E-7</v>
      </c>
      <c r="AL92" s="572">
        <f t="shared" si="107"/>
        <v>-0.90630771781330088</v>
      </c>
      <c r="AM92" s="577">
        <f t="shared" si="108"/>
        <v>-0.4226184101905579</v>
      </c>
      <c r="AN92" s="524">
        <f t="shared" si="109"/>
        <v>-64.999990615162503</v>
      </c>
      <c r="AO92" s="525">
        <f t="shared" si="604"/>
        <v>0</v>
      </c>
      <c r="AP92" s="528">
        <f t="shared" si="111"/>
        <v>-89.999985646930469</v>
      </c>
      <c r="AQ92" s="529">
        <f t="shared" si="650"/>
        <v>0.26920950775930014</v>
      </c>
      <c r="AS92" s="954">
        <f t="shared" si="755"/>
        <v>163.2063438277047</v>
      </c>
      <c r="AT92" s="950">
        <f t="shared" si="651"/>
        <v>-3.4037721779527423</v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>Taper</v>
      </c>
      <c r="IH92" s="482" t="str">
        <f>IFERROR(IF((((($IY92*COS(RADIANS(180-$JA92)))*COS(RADIANS($JA92)))-(($IZ92*SIN(RADIANS(180-$JA92)))*SIN(RADIANS($JA92))))+$IW92)&lt;(((Settings!$C$19+$IH$8)/2)*-1),"Gage",""),"")</f>
        <v>Gage</v>
      </c>
      <c r="II92" s="788">
        <f t="shared" si="855"/>
        <v>4.2729999999999997</v>
      </c>
      <c r="IJ92" s="674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4.173</v>
      </c>
      <c r="IK92" s="677" cm="1">
        <f t="array" ref="IK92">IFERROR(ROUND(VALUE(IF($IJ92&lt;1,$IJ92+LARGE((IF($M$9:$M$150="",0,$M$9:$M$150)-MOD(IF($M$9:$M$150="",0,$M$9:$M$150),1)),1),$IJ92)),4),"")</f>
        <v>4.173</v>
      </c>
      <c r="IL92" s="482">
        <f t="shared" si="713"/>
        <v>1613</v>
      </c>
      <c r="IM92" s="482" t="str">
        <f t="shared" si="856"/>
        <v>CPS-32193r1</v>
      </c>
      <c r="IN92" s="670">
        <f t="shared" si="714"/>
        <v>13.40947668623329</v>
      </c>
      <c r="IO92" s="702">
        <v>3.6423408624403498E-4</v>
      </c>
      <c r="IP92" s="5">
        <f t="shared" si="715"/>
        <v>0</v>
      </c>
      <c r="IQ92" s="714">
        <v>0</v>
      </c>
      <c r="IR92" s="9">
        <f t="shared" si="716"/>
        <v>-8.4677887815245061</v>
      </c>
      <c r="IS92" s="5">
        <f t="shared" si="717"/>
        <v>-3.5256179079946675</v>
      </c>
      <c r="IT92" s="5">
        <f t="shared" si="718"/>
        <v>0.3125</v>
      </c>
      <c r="IU92" s="5">
        <f t="shared" si="719"/>
        <v>0.25302932716683252</v>
      </c>
      <c r="IV92" s="670">
        <f t="shared" si="720"/>
        <v>87.034184380429409</v>
      </c>
      <c r="IW92" s="9">
        <f t="shared" si="721"/>
        <v>-8.4681624901341781</v>
      </c>
      <c r="IX92" s="5">
        <f t="shared" si="722"/>
        <v>-3.5385368435828539</v>
      </c>
      <c r="IY92" s="5">
        <f t="shared" si="723"/>
        <v>0.255</v>
      </c>
      <c r="IZ92" s="5">
        <f t="shared" si="724"/>
        <v>0.255</v>
      </c>
      <c r="JA92" s="705">
        <f t="shared" si="725"/>
        <v>64.999990615162503</v>
      </c>
      <c r="JN92" s="960"/>
      <c r="JO92" s="162"/>
      <c r="JP92" s="961"/>
      <c r="JQ92" s="961"/>
    </row>
    <row r="93" spans="1:283" ht="15" customHeight="1" x14ac:dyDescent="0.25">
      <c r="A93" s="75">
        <f t="shared" si="640"/>
        <v>0.02</v>
      </c>
      <c r="B93" s="578">
        <f t="shared" ref="B93:D93" si="893">IFERROR(O248+($A93*-E93),"")</f>
        <v>-0.49569495387700657</v>
      </c>
      <c r="C93" s="572">
        <f t="shared" si="893"/>
        <v>-0.32414628590315248</v>
      </c>
      <c r="D93" s="576">
        <f t="shared" si="893"/>
        <v>-1.1462107589018735</v>
      </c>
      <c r="E93" s="580">
        <f t="shared" ref="E93:K93" si="894">R248</f>
        <v>0.61149796036098536</v>
      </c>
      <c r="F93" s="572">
        <f t="shared" si="894"/>
        <v>-0.71897739125746807</v>
      </c>
      <c r="G93" s="579">
        <f t="shared" si="894"/>
        <v>0.33036609289538266</v>
      </c>
      <c r="H93" s="580">
        <f t="shared" si="894"/>
        <v>0.3125</v>
      </c>
      <c r="I93" s="572">
        <f t="shared" si="894"/>
        <v>0.52</v>
      </c>
      <c r="J93" s="483">
        <f t="shared" si="728"/>
        <v>5.1020000000000003</v>
      </c>
      <c r="K93" s="806">
        <f t="shared" si="894"/>
        <v>1613</v>
      </c>
      <c r="L93" s="309"/>
      <c r="M93" s="164">
        <f t="shared" si="643"/>
        <v>5.1020000000000003</v>
      </c>
      <c r="N93" s="575">
        <f t="shared" si="644"/>
        <v>-0.49569495387700657</v>
      </c>
      <c r="O93" s="572">
        <f t="shared" si="645"/>
        <v>-0.32414628590315248</v>
      </c>
      <c r="P93" s="576">
        <f t="shared" si="646"/>
        <v>-1.1462107589018735</v>
      </c>
      <c r="Q93" s="528">
        <f t="shared" si="729"/>
        <v>213.18159222685324</v>
      </c>
      <c r="R93" s="572">
        <f t="shared" si="95"/>
        <v>0.59227046352484602</v>
      </c>
      <c r="S93" s="577">
        <f t="shared" si="96"/>
        <v>-1.1462107589018735</v>
      </c>
      <c r="T93" s="578">
        <f t="shared" si="97"/>
        <v>-0.32703244623275729</v>
      </c>
      <c r="U93" s="572">
        <f t="shared" si="98"/>
        <v>0.49379558632591553</v>
      </c>
      <c r="V93" s="579">
        <f t="shared" si="145"/>
        <v>-1.1462107589018735</v>
      </c>
      <c r="W93" s="528">
        <f t="shared" si="866"/>
        <v>123.51583359694051</v>
      </c>
      <c r="X93" s="572">
        <f t="shared" si="99"/>
        <v>0.59227046352484602</v>
      </c>
      <c r="Y93" s="573">
        <f t="shared" si="859"/>
        <v>-1.1462107589018735</v>
      </c>
      <c r="Z93" s="575">
        <f t="shared" si="647"/>
        <v>-0.61149796036098536</v>
      </c>
      <c r="AA93" s="572">
        <f t="shared" si="648"/>
        <v>0.71897739125746807</v>
      </c>
      <c r="AB93" s="572">
        <f t="shared" si="649"/>
        <v>-0.33036609289538266</v>
      </c>
      <c r="AC93" s="579">
        <f t="shared" si="100"/>
        <v>1</v>
      </c>
      <c r="AD93" s="580">
        <f t="shared" si="146"/>
        <v>-0.61149796036098536</v>
      </c>
      <c r="AE93" s="572">
        <f t="shared" si="101"/>
        <v>0.71897739125746807</v>
      </c>
      <c r="AF93" s="576">
        <f t="shared" si="102"/>
        <v>-0.33036609289538266</v>
      </c>
      <c r="AG93" s="545">
        <f t="shared" si="103"/>
        <v>65.321483339084864</v>
      </c>
      <c r="AH93" s="546">
        <f t="shared" si="104"/>
        <v>127.69789423911197</v>
      </c>
      <c r="AI93" s="528">
        <f t="shared" si="105"/>
        <v>-70.709002660911167</v>
      </c>
      <c r="AJ93" s="529">
        <f t="shared" si="106"/>
        <v>-139.6184803988204</v>
      </c>
      <c r="AK93" s="578">
        <f t="shared" si="247"/>
        <v>0.93641046049408749</v>
      </c>
      <c r="AL93" s="572">
        <f t="shared" si="107"/>
        <v>0.11829494554836456</v>
      </c>
      <c r="AM93" s="577">
        <f t="shared" si="108"/>
        <v>-0.33036609289538266</v>
      </c>
      <c r="AN93" s="524">
        <f t="shared" si="109"/>
        <v>19.701039007324457</v>
      </c>
      <c r="AO93" s="525">
        <f t="shared" si="604"/>
        <v>20.542777501157364</v>
      </c>
      <c r="AP93" s="528">
        <f t="shared" si="111"/>
        <v>7.1999273743263403</v>
      </c>
      <c r="AQ93" s="529">
        <f t="shared" si="650"/>
        <v>3.8433561077935687</v>
      </c>
      <c r="AS93" s="954">
        <f t="shared" si="755"/>
        <v>123.51583359694051</v>
      </c>
      <c r="AT93" s="950">
        <f t="shared" si="651"/>
        <v>-0.98388323894484264</v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855"/>
        <v>5.1020000000000003</v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>
        <f t="shared" si="713"/>
        <v>1613</v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>
        <f t="shared" si="640"/>
        <v>0.02</v>
      </c>
      <c r="B94" s="578">
        <f t="shared" ref="B94:D94" si="895">IFERROR(O249+($A94*-E94),"")</f>
        <v>-1.1032919151029685</v>
      </c>
      <c r="C94" s="572">
        <f t="shared" si="895"/>
        <v>-0.74894976149482384</v>
      </c>
      <c r="D94" s="576">
        <f t="shared" si="895"/>
        <v>-0.945802836806657</v>
      </c>
      <c r="E94" s="580">
        <f t="shared" ref="E94:K94" si="896">R249</f>
        <v>0.6089050655384618</v>
      </c>
      <c r="F94" s="572">
        <f t="shared" si="896"/>
        <v>-0.75281779836100626</v>
      </c>
      <c r="G94" s="579">
        <f t="shared" si="896"/>
        <v>0.24999996726497573</v>
      </c>
      <c r="H94" s="580">
        <f t="shared" si="896"/>
        <v>0.3125</v>
      </c>
      <c r="I94" s="572">
        <f t="shared" si="896"/>
        <v>0.52</v>
      </c>
      <c r="J94" s="483">
        <f t="shared" si="728"/>
        <v>5.1050000000000004</v>
      </c>
      <c r="K94" s="806">
        <f t="shared" si="896"/>
        <v>1613</v>
      </c>
      <c r="L94" s="309"/>
      <c r="M94" s="164">
        <f t="shared" si="643"/>
        <v>5.1050000000000004</v>
      </c>
      <c r="N94" s="575">
        <f t="shared" si="644"/>
        <v>-1.1032919151029685</v>
      </c>
      <c r="O94" s="572">
        <f t="shared" si="645"/>
        <v>-0.74894976149482384</v>
      </c>
      <c r="P94" s="576">
        <f t="shared" si="646"/>
        <v>-0.945802836806657</v>
      </c>
      <c r="Q94" s="528">
        <f t="shared" si="729"/>
        <v>214.1699124696126</v>
      </c>
      <c r="R94" s="572">
        <f t="shared" si="95"/>
        <v>1.3334837063776706</v>
      </c>
      <c r="S94" s="577">
        <f t="shared" si="96"/>
        <v>-0.945802836806657</v>
      </c>
      <c r="T94" s="578">
        <f t="shared" si="97"/>
        <v>-0.75537315866040211</v>
      </c>
      <c r="U94" s="572">
        <f t="shared" si="98"/>
        <v>1.0989040842358064</v>
      </c>
      <c r="V94" s="579">
        <f t="shared" si="145"/>
        <v>-0.945802836806657</v>
      </c>
      <c r="W94" s="528">
        <f t="shared" si="866"/>
        <v>124.50415383969987</v>
      </c>
      <c r="X94" s="572">
        <f t="shared" si="99"/>
        <v>1.3334837063776706</v>
      </c>
      <c r="Y94" s="573">
        <f t="shared" si="859"/>
        <v>-0.945802836806657</v>
      </c>
      <c r="Z94" s="575">
        <f t="shared" si="647"/>
        <v>-0.6089050655384618</v>
      </c>
      <c r="AA94" s="572">
        <f t="shared" si="648"/>
        <v>0.75281779836100626</v>
      </c>
      <c r="AB94" s="572">
        <f t="shared" si="649"/>
        <v>-0.24999996726497573</v>
      </c>
      <c r="AC94" s="579">
        <f t="shared" si="100"/>
        <v>1</v>
      </c>
      <c r="AD94" s="580">
        <f t="shared" si="146"/>
        <v>-0.6089050655384618</v>
      </c>
      <c r="AE94" s="572">
        <f t="shared" si="101"/>
        <v>0.75281779836100626</v>
      </c>
      <c r="AF94" s="576">
        <f t="shared" si="102"/>
        <v>-0.24999996726497573</v>
      </c>
      <c r="AG94" s="545">
        <f t="shared" si="103"/>
        <v>71.629414945944262</v>
      </c>
      <c r="AH94" s="546">
        <f t="shared" si="104"/>
        <v>127.51037411491508</v>
      </c>
      <c r="AI94" s="528">
        <f t="shared" si="105"/>
        <v>-75.522489751159455</v>
      </c>
      <c r="AJ94" s="529">
        <f t="shared" si="106"/>
        <v>-141.03287035491343</v>
      </c>
      <c r="AK94" s="578">
        <f t="shared" si="247"/>
        <v>0.96485400453849945</v>
      </c>
      <c r="AL94" s="572">
        <f t="shared" si="107"/>
        <v>8.0973861792138668E-2</v>
      </c>
      <c r="AM94" s="577">
        <f t="shared" si="108"/>
        <v>-0.24999996726497573</v>
      </c>
      <c r="AN94" s="524">
        <f t="shared" si="109"/>
        <v>17.946905015639086</v>
      </c>
      <c r="AO94" s="525">
        <f t="shared" si="604"/>
        <v>15.235468260043104</v>
      </c>
      <c r="AP94" s="528">
        <f t="shared" si="111"/>
        <v>4.7972171754739641</v>
      </c>
      <c r="AQ94" s="529">
        <f t="shared" si="650"/>
        <v>1.7090950734160097</v>
      </c>
      <c r="AS94" s="954">
        <f t="shared" si="755"/>
        <v>124.50415383969987</v>
      </c>
      <c r="AT94" s="950">
        <f t="shared" si="651"/>
        <v>-0.78416165035154228</v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855"/>
        <v>5.1050000000000004</v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>
        <f t="shared" si="713"/>
        <v>1613</v>
      </c>
      <c r="IM94" s="482" t="str">
        <f t="shared" si="856"/>
        <v/>
      </c>
      <c r="IN94" s="670" t="str">
        <f t="shared" si="714"/>
        <v/>
      </c>
      <c r="IO94" s="702"/>
      <c r="IP94" s="5" t="str">
        <f t="shared" si="715"/>
        <v/>
      </c>
      <c r="IQ94" s="714"/>
      <c r="IR94" s="9" t="str">
        <f t="shared" si="716"/>
        <v/>
      </c>
      <c r="IS94" s="5" t="str">
        <f t="shared" si="717"/>
        <v/>
      </c>
      <c r="IT94" s="5" t="str">
        <f t="shared" si="718"/>
        <v/>
      </c>
      <c r="IU94" s="5" t="str">
        <f t="shared" si="719"/>
        <v/>
      </c>
      <c r="IV94" s="670" t="str">
        <f t="shared" si="720"/>
        <v/>
      </c>
      <c r="IW94" s="9" t="str">
        <f t="shared" si="721"/>
        <v/>
      </c>
      <c r="IX94" s="5" t="str">
        <f t="shared" si="722"/>
        <v/>
      </c>
      <c r="IY94" s="5" t="str">
        <f t="shared" si="723"/>
        <v/>
      </c>
      <c r="IZ94" s="5" t="str">
        <f t="shared" si="724"/>
        <v/>
      </c>
      <c r="JA94" s="705" t="str">
        <f t="shared" si="725"/>
        <v/>
      </c>
      <c r="JN94" s="960"/>
      <c r="JO94" s="162"/>
      <c r="JP94" s="961"/>
      <c r="JQ94" s="961"/>
    </row>
    <row r="95" spans="1:283" ht="15" customHeight="1" x14ac:dyDescent="0.25">
      <c r="A95" s="75">
        <f t="shared" si="640"/>
        <v>0.02</v>
      </c>
      <c r="B95" s="578">
        <f t="shared" ref="B95:D95" si="897">IFERROR(O250+($A95*-E95),"")</f>
        <v>-1.7110226496768668</v>
      </c>
      <c r="C95" s="572">
        <f t="shared" si="897"/>
        <v>-1.1744874030451919</v>
      </c>
      <c r="D95" s="576">
        <f t="shared" si="897"/>
        <v>-0.7470022372240489</v>
      </c>
      <c r="E95" s="580">
        <f t="shared" ref="E95:K95" si="898">R250</f>
        <v>0.6089050655384618</v>
      </c>
      <c r="F95" s="572">
        <f t="shared" si="898"/>
        <v>-0.75281779836100626</v>
      </c>
      <c r="G95" s="579">
        <f t="shared" si="898"/>
        <v>0.24999996726497573</v>
      </c>
      <c r="H95" s="580">
        <f t="shared" si="898"/>
        <v>0.3125</v>
      </c>
      <c r="I95" s="572">
        <f t="shared" si="898"/>
        <v>0.52</v>
      </c>
      <c r="J95" s="483">
        <f t="shared" si="728"/>
        <v>5.1079999999999997</v>
      </c>
      <c r="K95" s="806">
        <f t="shared" si="898"/>
        <v>1613</v>
      </c>
      <c r="L95" s="309"/>
      <c r="M95" s="164">
        <f t="shared" si="643"/>
        <v>5.1079999999999997</v>
      </c>
      <c r="N95" s="575">
        <f t="shared" si="644"/>
        <v>-1.7110226496768668</v>
      </c>
      <c r="O95" s="572">
        <f t="shared" si="645"/>
        <v>-1.1744874030451919</v>
      </c>
      <c r="P95" s="576">
        <f t="shared" si="646"/>
        <v>-0.7470022372240489</v>
      </c>
      <c r="Q95" s="528">
        <f t="shared" si="729"/>
        <v>214.46664756709143</v>
      </c>
      <c r="R95" s="572">
        <f t="shared" si="95"/>
        <v>2.075335916814212</v>
      </c>
      <c r="S95" s="577">
        <f t="shared" si="96"/>
        <v>-0.7470022372240489</v>
      </c>
      <c r="T95" s="578">
        <f t="shared" si="97"/>
        <v>-1.1844488049320017</v>
      </c>
      <c r="U95" s="572">
        <f t="shared" si="98"/>
        <v>1.7041420704020658</v>
      </c>
      <c r="V95" s="579">
        <f t="shared" si="145"/>
        <v>-0.7470022372240489</v>
      </c>
      <c r="W95" s="528">
        <f t="shared" si="866"/>
        <v>124.8008889371787</v>
      </c>
      <c r="X95" s="572">
        <f t="shared" si="99"/>
        <v>2.075335916814212</v>
      </c>
      <c r="Y95" s="573">
        <f t="shared" si="859"/>
        <v>-0.7470022372240489</v>
      </c>
      <c r="Z95" s="575">
        <f t="shared" si="647"/>
        <v>-0.6089050655384618</v>
      </c>
      <c r="AA95" s="572">
        <f t="shared" si="648"/>
        <v>0.75281779836100626</v>
      </c>
      <c r="AB95" s="572">
        <f t="shared" si="649"/>
        <v>-0.24999996726497573</v>
      </c>
      <c r="AC95" s="579">
        <f t="shared" si="100"/>
        <v>1</v>
      </c>
      <c r="AD95" s="580">
        <f t="shared" si="146"/>
        <v>-0.6089050655384618</v>
      </c>
      <c r="AE95" s="572">
        <f t="shared" si="101"/>
        <v>0.75281779836100626</v>
      </c>
      <c r="AF95" s="576">
        <f t="shared" si="102"/>
        <v>-0.24999996726497573</v>
      </c>
      <c r="AG95" s="545">
        <f t="shared" si="103"/>
        <v>71.629414945944262</v>
      </c>
      <c r="AH95" s="546">
        <f t="shared" si="104"/>
        <v>127.51037411491508</v>
      </c>
      <c r="AI95" s="528">
        <f t="shared" si="105"/>
        <v>-75.522489751159455</v>
      </c>
      <c r="AJ95" s="529">
        <f t="shared" si="106"/>
        <v>-141.03287035491343</v>
      </c>
      <c r="AK95" s="578">
        <f t="shared" si="247"/>
        <v>0.96526042698475512</v>
      </c>
      <c r="AL95" s="572">
        <f t="shared" si="107"/>
        <v>7.5975814998716529E-2</v>
      </c>
      <c r="AM95" s="577">
        <f t="shared" si="108"/>
        <v>-0.24999996726497573</v>
      </c>
      <c r="AN95" s="524">
        <f t="shared" si="109"/>
        <v>16.904199875389249</v>
      </c>
      <c r="AO95" s="525">
        <f t="shared" si="604"/>
        <v>15.146602229933988</v>
      </c>
      <c r="AP95" s="528">
        <f t="shared" si="111"/>
        <v>4.5004820779951373</v>
      </c>
      <c r="AQ95" s="529">
        <f t="shared" si="650"/>
        <v>1.0983510443620166</v>
      </c>
      <c r="AS95" s="954">
        <f t="shared" si="755"/>
        <v>124.8008889371787</v>
      </c>
      <c r="AT95" s="950">
        <f t="shared" si="651"/>
        <v>-0.5855671168088501</v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855"/>
        <v>5.1079999999999997</v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>
        <f t="shared" si="713"/>
        <v>1613</v>
      </c>
      <c r="IM95" s="482" t="str">
        <f t="shared" si="856"/>
        <v/>
      </c>
      <c r="IN95" s="670" t="str">
        <f t="shared" si="714"/>
        <v/>
      </c>
      <c r="IO95" s="702"/>
      <c r="IP95" s="5" t="str">
        <f t="shared" si="715"/>
        <v/>
      </c>
      <c r="IQ95" s="714"/>
      <c r="IR95" s="9" t="str">
        <f t="shared" si="716"/>
        <v/>
      </c>
      <c r="IS95" s="5" t="str">
        <f t="shared" si="717"/>
        <v/>
      </c>
      <c r="IT95" s="5" t="str">
        <f t="shared" si="718"/>
        <v/>
      </c>
      <c r="IU95" s="5" t="str">
        <f t="shared" si="719"/>
        <v/>
      </c>
      <c r="IV95" s="670" t="str">
        <f t="shared" si="720"/>
        <v/>
      </c>
      <c r="IW95" s="9" t="str">
        <f t="shared" si="721"/>
        <v/>
      </c>
      <c r="IX95" s="5" t="str">
        <f t="shared" si="722"/>
        <v/>
      </c>
      <c r="IY95" s="5" t="str">
        <f t="shared" si="723"/>
        <v/>
      </c>
      <c r="IZ95" s="5" t="str">
        <f t="shared" si="724"/>
        <v/>
      </c>
      <c r="JA95" s="705" t="str">
        <f t="shared" si="725"/>
        <v/>
      </c>
      <c r="JN95" s="960"/>
      <c r="JO95" s="162"/>
      <c r="JP95" s="961"/>
      <c r="JQ95" s="961"/>
    </row>
    <row r="96" spans="1:283" ht="15" customHeight="1" x14ac:dyDescent="0.25">
      <c r="A96" s="75">
        <f t="shared" si="640"/>
        <v>0.02</v>
      </c>
      <c r="B96" s="578">
        <f t="shared" ref="B96:D96" si="899">IFERROR(O251+($A96*-E96),"")</f>
        <v>-2.3186714687992791</v>
      </c>
      <c r="C96" s="572">
        <f t="shared" si="899"/>
        <v>-1.5999676867789332</v>
      </c>
      <c r="D96" s="576">
        <f t="shared" si="899"/>
        <v>-0.54830163794304165</v>
      </c>
      <c r="E96" s="580">
        <f t="shared" ref="E96:K96" si="900">R251</f>
        <v>0.60890506553846202</v>
      </c>
      <c r="F96" s="572">
        <f t="shared" si="900"/>
        <v>-0.75281779836100604</v>
      </c>
      <c r="G96" s="579">
        <f t="shared" si="900"/>
        <v>0.24999996726497561</v>
      </c>
      <c r="H96" s="580">
        <f t="shared" si="900"/>
        <v>0.3125</v>
      </c>
      <c r="I96" s="572">
        <f t="shared" si="900"/>
        <v>0.52</v>
      </c>
      <c r="J96" s="483">
        <f t="shared" si="728"/>
        <v>5.1120000000000001</v>
      </c>
      <c r="K96" s="806">
        <f t="shared" si="900"/>
        <v>1613</v>
      </c>
      <c r="L96" s="309"/>
      <c r="M96" s="164">
        <f t="shared" si="643"/>
        <v>5.1120000000000001</v>
      </c>
      <c r="N96" s="575">
        <f t="shared" si="644"/>
        <v>-2.3186714687992791</v>
      </c>
      <c r="O96" s="572">
        <f t="shared" si="645"/>
        <v>-1.5999676867789332</v>
      </c>
      <c r="P96" s="576">
        <f t="shared" si="646"/>
        <v>-0.54830163794304165</v>
      </c>
      <c r="Q96" s="528">
        <f t="shared" si="729"/>
        <v>214.60708797639333</v>
      </c>
      <c r="R96" s="572">
        <f t="shared" si="95"/>
        <v>2.8171144774326331</v>
      </c>
      <c r="S96" s="577">
        <f t="shared" si="96"/>
        <v>-0.54830163794304165</v>
      </c>
      <c r="T96" s="578">
        <f t="shared" si="97"/>
        <v>-1.6134666165026614</v>
      </c>
      <c r="U96" s="572">
        <f t="shared" si="98"/>
        <v>2.3092984771120411</v>
      </c>
      <c r="V96" s="579">
        <f t="shared" si="145"/>
        <v>-0.54830163794304165</v>
      </c>
      <c r="W96" s="528">
        <f t="shared" si="866"/>
        <v>124.9413293464806</v>
      </c>
      <c r="X96" s="572">
        <f t="shared" si="99"/>
        <v>2.8171144774326331</v>
      </c>
      <c r="Y96" s="573">
        <f t="shared" si="859"/>
        <v>-0.54830163794304165</v>
      </c>
      <c r="Z96" s="575">
        <f t="shared" si="647"/>
        <v>-0.60890506553846202</v>
      </c>
      <c r="AA96" s="572">
        <f t="shared" si="648"/>
        <v>0.75281779836100604</v>
      </c>
      <c r="AB96" s="572">
        <f t="shared" si="649"/>
        <v>-0.24999996726497561</v>
      </c>
      <c r="AC96" s="579">
        <f t="shared" si="100"/>
        <v>1</v>
      </c>
      <c r="AD96" s="580">
        <f t="shared" si="146"/>
        <v>-0.60890506553846202</v>
      </c>
      <c r="AE96" s="572">
        <f t="shared" si="101"/>
        <v>0.75281779836100604</v>
      </c>
      <c r="AF96" s="576">
        <f t="shared" si="102"/>
        <v>-0.24999996726497561</v>
      </c>
      <c r="AG96" s="545">
        <f t="shared" si="103"/>
        <v>71.629414945944262</v>
      </c>
      <c r="AH96" s="546">
        <f t="shared" si="104"/>
        <v>127.51037411491511</v>
      </c>
      <c r="AI96" s="528">
        <f t="shared" si="105"/>
        <v>-75.522489751159469</v>
      </c>
      <c r="AJ96" s="529">
        <f t="shared" si="106"/>
        <v>-141.0328703549134</v>
      </c>
      <c r="AK96" s="578">
        <f t="shared" si="247"/>
        <v>0.96544375502984514</v>
      </c>
      <c r="AL96" s="572">
        <f t="shared" si="107"/>
        <v>7.3609593405909945E-2</v>
      </c>
      <c r="AM96" s="577">
        <f t="shared" si="108"/>
        <v>-0.24999996726497561</v>
      </c>
      <c r="AN96" s="524">
        <f t="shared" si="109"/>
        <v>16.406454097035326</v>
      </c>
      <c r="AO96" s="525">
        <f t="shared" si="604"/>
        <v>15.106349696644759</v>
      </c>
      <c r="AP96" s="528">
        <f t="shared" si="111"/>
        <v>4.3600416686932562</v>
      </c>
      <c r="AQ96" s="529">
        <f t="shared" si="650"/>
        <v>0.80918793949211865</v>
      </c>
      <c r="AS96" s="954">
        <f t="shared" si="755"/>
        <v>124.9413293464806</v>
      </c>
      <c r="AT96" s="950">
        <f t="shared" si="651"/>
        <v>-0.38696404558985797</v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855"/>
        <v>5.1120000000000001</v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>
        <f t="shared" si="713"/>
        <v>1613</v>
      </c>
      <c r="IM96" s="482" t="str">
        <f t="shared" si="856"/>
        <v/>
      </c>
      <c r="IN96" s="670" t="str">
        <f t="shared" si="714"/>
        <v/>
      </c>
      <c r="IO96" s="702"/>
      <c r="IP96" s="5" t="str">
        <f t="shared" si="715"/>
        <v/>
      </c>
      <c r="IQ96" s="714"/>
      <c r="IR96" s="9" t="str">
        <f t="shared" si="716"/>
        <v/>
      </c>
      <c r="IS96" s="5" t="str">
        <f t="shared" si="717"/>
        <v/>
      </c>
      <c r="IT96" s="5" t="str">
        <f t="shared" si="718"/>
        <v/>
      </c>
      <c r="IU96" s="5" t="str">
        <f t="shared" si="719"/>
        <v/>
      </c>
      <c r="IV96" s="670" t="str">
        <f t="shared" si="720"/>
        <v/>
      </c>
      <c r="IW96" s="9" t="str">
        <f t="shared" si="721"/>
        <v/>
      </c>
      <c r="IX96" s="5" t="str">
        <f t="shared" si="722"/>
        <v/>
      </c>
      <c r="IY96" s="5" t="str">
        <f t="shared" si="723"/>
        <v/>
      </c>
      <c r="IZ96" s="5" t="str">
        <f t="shared" si="724"/>
        <v/>
      </c>
      <c r="JA96" s="705" t="str">
        <f t="shared" si="725"/>
        <v/>
      </c>
      <c r="JN96" s="960"/>
      <c r="JO96" s="162"/>
      <c r="JP96" s="961"/>
      <c r="JQ96" s="961"/>
    </row>
    <row r="97" spans="1:277" ht="15" customHeight="1" x14ac:dyDescent="0.25">
      <c r="A97" s="75">
        <f t="shared" si="640"/>
        <v>0.02</v>
      </c>
      <c r="B97" s="578">
        <f t="shared" ref="B97:D97" si="901">IFERROR(O252+($A97*-E97),"")</f>
        <v>-2.9263202879216923</v>
      </c>
      <c r="C97" s="572">
        <f t="shared" si="901"/>
        <v>-2.0254479705126753</v>
      </c>
      <c r="D97" s="576">
        <f t="shared" si="901"/>
        <v>-0.34950103836043317</v>
      </c>
      <c r="E97" s="580">
        <f t="shared" ref="E97:K97" si="902">R252</f>
        <v>0.60890506553846202</v>
      </c>
      <c r="F97" s="572">
        <f t="shared" si="902"/>
        <v>-0.75281779836100604</v>
      </c>
      <c r="G97" s="579">
        <f t="shared" si="902"/>
        <v>0.24999996726497561</v>
      </c>
      <c r="H97" s="580">
        <f t="shared" si="902"/>
        <v>0.3125</v>
      </c>
      <c r="I97" s="572">
        <f t="shared" si="902"/>
        <v>0.52</v>
      </c>
      <c r="J97" s="483">
        <f t="shared" si="728"/>
        <v>5.1180000000000003</v>
      </c>
      <c r="K97" s="806">
        <f t="shared" si="902"/>
        <v>1613</v>
      </c>
      <c r="L97" s="309"/>
      <c r="M97" s="164">
        <f t="shared" si="643"/>
        <v>5.1180000000000003</v>
      </c>
      <c r="N97" s="575">
        <f t="shared" si="644"/>
        <v>-2.9263202879216923</v>
      </c>
      <c r="O97" s="572">
        <f t="shared" si="645"/>
        <v>-2.0254479705126753</v>
      </c>
      <c r="P97" s="576">
        <f t="shared" si="646"/>
        <v>-0.34950103836043317</v>
      </c>
      <c r="Q97" s="528">
        <f t="shared" si="729"/>
        <v>214.688984235021</v>
      </c>
      <c r="R97" s="572">
        <f t="shared" si="95"/>
        <v>3.5589029080260128</v>
      </c>
      <c r="S97" s="577">
        <f t="shared" si="96"/>
        <v>-0.34950103836043317</v>
      </c>
      <c r="T97" s="578">
        <f t="shared" si="97"/>
        <v>-2.0424844280733225</v>
      </c>
      <c r="U97" s="572">
        <f t="shared" si="98"/>
        <v>2.9144548838220161</v>
      </c>
      <c r="V97" s="579">
        <f t="shared" si="145"/>
        <v>-0.34950103836043317</v>
      </c>
      <c r="W97" s="528">
        <f t="shared" si="866"/>
        <v>125.02322560510827</v>
      </c>
      <c r="X97" s="572">
        <f t="shared" si="99"/>
        <v>3.5589029080260128</v>
      </c>
      <c r="Y97" s="573">
        <f t="shared" si="859"/>
        <v>-0.34950103836043317</v>
      </c>
      <c r="Z97" s="575">
        <f t="shared" si="647"/>
        <v>-0.60890506553846202</v>
      </c>
      <c r="AA97" s="572">
        <f t="shared" si="648"/>
        <v>0.75281779836100604</v>
      </c>
      <c r="AB97" s="572">
        <f t="shared" si="649"/>
        <v>-0.24999996726497561</v>
      </c>
      <c r="AC97" s="579">
        <f t="shared" si="100"/>
        <v>1</v>
      </c>
      <c r="AD97" s="580">
        <f t="shared" si="146"/>
        <v>-0.60890506553846202</v>
      </c>
      <c r="AE97" s="572">
        <f t="shared" si="101"/>
        <v>0.75281779836100604</v>
      </c>
      <c r="AF97" s="576">
        <f t="shared" si="102"/>
        <v>-0.24999996726497561</v>
      </c>
      <c r="AG97" s="545">
        <f t="shared" si="103"/>
        <v>71.629414945944262</v>
      </c>
      <c r="AH97" s="546">
        <f t="shared" si="104"/>
        <v>127.51037411491511</v>
      </c>
      <c r="AI97" s="528">
        <f t="shared" si="105"/>
        <v>-75.522489751159469</v>
      </c>
      <c r="AJ97" s="529">
        <f t="shared" si="106"/>
        <v>-141.0328703549134</v>
      </c>
      <c r="AK97" s="578">
        <f t="shared" si="247"/>
        <v>0.96554798332166314</v>
      </c>
      <c r="AL97" s="572">
        <f t="shared" si="107"/>
        <v>7.2229552615120152E-2</v>
      </c>
      <c r="AM97" s="577">
        <f t="shared" si="108"/>
        <v>-0.24999996726497561</v>
      </c>
      <c r="AN97" s="524">
        <f t="shared" si="109"/>
        <v>16.114970816176243</v>
      </c>
      <c r="AO97" s="525">
        <f t="shared" si="604"/>
        <v>15.083417969720058</v>
      </c>
      <c r="AP97" s="528">
        <f t="shared" si="111"/>
        <v>4.2781454100656049</v>
      </c>
      <c r="AQ97" s="529">
        <f t="shared" si="650"/>
        <v>0.64054336805286838</v>
      </c>
      <c r="AS97" s="954">
        <f t="shared" si="755"/>
        <v>125.02322560510827</v>
      </c>
      <c r="AT97" s="950">
        <f t="shared" si="651"/>
        <v>-0.1882203184090743</v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855"/>
        <v>5.1180000000000003</v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>
        <f t="shared" si="713"/>
        <v>1613</v>
      </c>
      <c r="IM97" s="482" t="str">
        <f t="shared" si="856"/>
        <v/>
      </c>
      <c r="IN97" s="670" t="str">
        <f t="shared" si="714"/>
        <v/>
      </c>
      <c r="IO97" s="702"/>
      <c r="IP97" s="5" t="str">
        <f t="shared" si="715"/>
        <v/>
      </c>
      <c r="IQ97" s="714"/>
      <c r="IR97" s="9" t="str">
        <f t="shared" si="716"/>
        <v/>
      </c>
      <c r="IS97" s="5" t="str">
        <f t="shared" si="717"/>
        <v/>
      </c>
      <c r="IT97" s="5" t="str">
        <f t="shared" si="718"/>
        <v/>
      </c>
      <c r="IU97" s="5" t="str">
        <f t="shared" si="719"/>
        <v/>
      </c>
      <c r="IV97" s="670" t="str">
        <f t="shared" si="720"/>
        <v/>
      </c>
      <c r="IW97" s="9" t="str">
        <f t="shared" si="721"/>
        <v/>
      </c>
      <c r="IX97" s="5" t="str">
        <f t="shared" si="722"/>
        <v/>
      </c>
      <c r="IY97" s="5" t="str">
        <f t="shared" si="723"/>
        <v/>
      </c>
      <c r="IZ97" s="5" t="str">
        <f t="shared" si="724"/>
        <v/>
      </c>
      <c r="JA97" s="705" t="str">
        <f t="shared" si="725"/>
        <v/>
      </c>
      <c r="JN97" s="960"/>
      <c r="JO97" s="162"/>
      <c r="JP97" s="961"/>
      <c r="JQ97" s="961"/>
    </row>
    <row r="98" spans="1:277" ht="15" customHeight="1" x14ac:dyDescent="0.25">
      <c r="A98" s="75">
        <f t="shared" si="640"/>
        <v>0.02</v>
      </c>
      <c r="B98" s="578">
        <f t="shared" ref="B98:D98" si="903">IFERROR(O253+($A98*-E98),"")</f>
        <v>-3.5345090319367118</v>
      </c>
      <c r="C98" s="572">
        <f t="shared" si="903"/>
        <v>-2.4513063137262883</v>
      </c>
      <c r="D98" s="576">
        <f t="shared" si="903"/>
        <v>-0.15309818571775102</v>
      </c>
      <c r="E98" s="580">
        <f t="shared" ref="E98:K98" si="904">R253</f>
        <v>0.59084781185157942</v>
      </c>
      <c r="F98" s="572">
        <f t="shared" si="904"/>
        <v>-0.76546162351192648</v>
      </c>
      <c r="G98" s="579">
        <f t="shared" si="904"/>
        <v>0.2548869674202402</v>
      </c>
      <c r="H98" s="580">
        <f t="shared" si="904"/>
        <v>0.3125</v>
      </c>
      <c r="I98" s="572">
        <f t="shared" si="904"/>
        <v>0.52</v>
      </c>
      <c r="J98" s="483">
        <f t="shared" si="728"/>
        <v>5.1239999999999997</v>
      </c>
      <c r="K98" s="806">
        <f t="shared" si="904"/>
        <v>1613</v>
      </c>
      <c r="L98" s="309"/>
      <c r="M98" s="164">
        <f t="shared" si="643"/>
        <v>5.1239999999999997</v>
      </c>
      <c r="N98" s="575">
        <f t="shared" si="644"/>
        <v>-3.5345090319367118</v>
      </c>
      <c r="O98" s="572">
        <f t="shared" si="645"/>
        <v>-2.4513063137262883</v>
      </c>
      <c r="P98" s="576">
        <f t="shared" si="646"/>
        <v>-0.15309818571775102</v>
      </c>
      <c r="Q98" s="528">
        <f t="shared" si="729"/>
        <v>214.7426687314003</v>
      </c>
      <c r="R98" s="572">
        <f t="shared" si="95"/>
        <v>4.3013552213873893</v>
      </c>
      <c r="S98" s="577">
        <f t="shared" si="96"/>
        <v>-0.15309818571775102</v>
      </c>
      <c r="T98" s="578">
        <f t="shared" si="97"/>
        <v>-2.4718834423856797</v>
      </c>
      <c r="U98" s="572">
        <f t="shared" si="98"/>
        <v>3.5201490007975624</v>
      </c>
      <c r="V98" s="579">
        <f t="shared" si="145"/>
        <v>-0.15309818571775102</v>
      </c>
      <c r="W98" s="528">
        <f t="shared" si="866"/>
        <v>125.07691010148757</v>
      </c>
      <c r="X98" s="572">
        <f t="shared" si="99"/>
        <v>4.3013552213873893</v>
      </c>
      <c r="Y98" s="573">
        <f t="shared" si="859"/>
        <v>-0.15309818571775102</v>
      </c>
      <c r="Z98" s="575">
        <f t="shared" si="647"/>
        <v>-0.59084781185157942</v>
      </c>
      <c r="AA98" s="572">
        <f t="shared" si="648"/>
        <v>0.76546162351192648</v>
      </c>
      <c r="AB98" s="572">
        <f t="shared" si="649"/>
        <v>-0.2548869674202402</v>
      </c>
      <c r="AC98" s="579">
        <f t="shared" si="100"/>
        <v>1</v>
      </c>
      <c r="AD98" s="580">
        <f t="shared" si="146"/>
        <v>-0.59084781185157942</v>
      </c>
      <c r="AE98" s="572">
        <f t="shared" si="101"/>
        <v>0.76546162351192648</v>
      </c>
      <c r="AF98" s="576">
        <f t="shared" si="102"/>
        <v>-0.2548869674202402</v>
      </c>
      <c r="AG98" s="545">
        <f t="shared" si="103"/>
        <v>71.583033559853362</v>
      </c>
      <c r="AH98" s="546">
        <f t="shared" si="104"/>
        <v>126.21719460834969</v>
      </c>
      <c r="AI98" s="528">
        <f t="shared" si="105"/>
        <v>-75.233112454846449</v>
      </c>
      <c r="AJ98" s="529">
        <f t="shared" si="106"/>
        <v>-142.33601316575349</v>
      </c>
      <c r="AK98" s="578">
        <f t="shared" si="247"/>
        <v>0.96571424115192239</v>
      </c>
      <c r="AL98" s="572">
        <f t="shared" si="107"/>
        <v>4.9281216256098659E-2</v>
      </c>
      <c r="AM98" s="577">
        <f t="shared" si="108"/>
        <v>-0.2548869674202402</v>
      </c>
      <c r="AN98" s="524">
        <f t="shared" si="109"/>
        <v>10.942850475890594</v>
      </c>
      <c r="AO98" s="525">
        <f t="shared" si="604"/>
        <v>15.046768195194966</v>
      </c>
      <c r="AP98" s="528">
        <f t="shared" si="111"/>
        <v>2.9213181028462372</v>
      </c>
      <c r="AQ98" s="529">
        <f t="shared" si="650"/>
        <v>0.52998682841407874</v>
      </c>
      <c r="AS98" s="954">
        <f t="shared" si="755"/>
        <v>125.07691010148757</v>
      </c>
      <c r="AT98" s="950">
        <f t="shared" si="651"/>
        <v>8.1452533333444543E-3</v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855"/>
        <v>5.1239999999999997</v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>
        <f t="shared" si="713"/>
        <v>1613</v>
      </c>
      <c r="IM98" s="482" t="str">
        <f t="shared" si="856"/>
        <v/>
      </c>
      <c r="IN98" s="670" t="str">
        <f t="shared" si="714"/>
        <v/>
      </c>
      <c r="IO98" s="702"/>
      <c r="IP98" s="5" t="str">
        <f t="shared" si="715"/>
        <v/>
      </c>
      <c r="IQ98" s="714"/>
      <c r="IR98" s="9" t="str">
        <f t="shared" si="716"/>
        <v/>
      </c>
      <c r="IS98" s="5" t="str">
        <f t="shared" si="717"/>
        <v/>
      </c>
      <c r="IT98" s="5" t="str">
        <f t="shared" si="718"/>
        <v/>
      </c>
      <c r="IU98" s="5" t="str">
        <f t="shared" si="719"/>
        <v/>
      </c>
      <c r="IV98" s="670" t="str">
        <f t="shared" si="720"/>
        <v/>
      </c>
      <c r="IW98" s="9" t="str">
        <f t="shared" si="721"/>
        <v/>
      </c>
      <c r="IX98" s="5" t="str">
        <f t="shared" si="722"/>
        <v/>
      </c>
      <c r="IY98" s="5" t="str">
        <f t="shared" si="723"/>
        <v/>
      </c>
      <c r="IZ98" s="5" t="str">
        <f t="shared" si="724"/>
        <v/>
      </c>
      <c r="JA98" s="705" t="str">
        <f t="shared" si="725"/>
        <v/>
      </c>
      <c r="JN98" s="960"/>
      <c r="JO98" s="162"/>
      <c r="JP98" s="961"/>
      <c r="JQ98" s="961"/>
    </row>
    <row r="99" spans="1:277" ht="15" customHeight="1" x14ac:dyDescent="0.25">
      <c r="A99" s="75">
        <f t="shared" si="640"/>
        <v>0.02</v>
      </c>
      <c r="B99" s="578">
        <f t="shared" ref="B99:D99" si="905">IFERROR(O254+($A99*-E99),"")</f>
        <v>-4.1830594385947508</v>
      </c>
      <c r="C99" s="572">
        <f t="shared" si="905"/>
        <v>-2.8519722935070604</v>
      </c>
      <c r="D99" s="576">
        <f t="shared" si="905"/>
        <v>-4.736601319011749E-2</v>
      </c>
      <c r="E99" s="580">
        <f t="shared" ref="E99:K99" si="906">R254</f>
        <v>0.4936045318723481</v>
      </c>
      <c r="F99" s="572">
        <f t="shared" si="906"/>
        <v>-0.83044483435694882</v>
      </c>
      <c r="G99" s="579">
        <f t="shared" si="906"/>
        <v>0.25829429572667684</v>
      </c>
      <c r="H99" s="580">
        <f t="shared" si="906"/>
        <v>0.3125</v>
      </c>
      <c r="I99" s="572">
        <f t="shared" si="906"/>
        <v>0.52</v>
      </c>
      <c r="J99" s="483">
        <f t="shared" si="728"/>
        <v>5.13</v>
      </c>
      <c r="K99" s="806">
        <f t="shared" si="906"/>
        <v>1613</v>
      </c>
      <c r="L99" s="309"/>
      <c r="M99" s="164">
        <f t="shared" si="643"/>
        <v>5.13</v>
      </c>
      <c r="N99" s="575">
        <f t="shared" si="644"/>
        <v>-4.1830594385947508</v>
      </c>
      <c r="O99" s="572">
        <f t="shared" si="645"/>
        <v>-2.8519722935070604</v>
      </c>
      <c r="P99" s="576">
        <f t="shared" si="646"/>
        <v>-4.736601319011749E-2</v>
      </c>
      <c r="Q99" s="528">
        <f t="shared" si="729"/>
        <v>214.28581394757421</v>
      </c>
      <c r="R99" s="572">
        <f t="shared" si="95"/>
        <v>5.0627791014173784</v>
      </c>
      <c r="S99" s="577">
        <f t="shared" si="96"/>
        <v>-4.736601319011749E-2</v>
      </c>
      <c r="T99" s="578">
        <f t="shared" si="97"/>
        <v>-2.8763259748854657</v>
      </c>
      <c r="U99" s="572">
        <f t="shared" si="98"/>
        <v>4.1663510552937968</v>
      </c>
      <c r="V99" s="579">
        <f t="shared" si="145"/>
        <v>-4.736601319011749E-2</v>
      </c>
      <c r="W99" s="528">
        <f t="shared" si="866"/>
        <v>124.62005531766148</v>
      </c>
      <c r="X99" s="572">
        <f t="shared" si="99"/>
        <v>5.0627791014173784</v>
      </c>
      <c r="Y99" s="573">
        <f t="shared" si="859"/>
        <v>-4.736601319011749E-2</v>
      </c>
      <c r="Z99" s="575">
        <f t="shared" si="647"/>
        <v>-0.4936045318723481</v>
      </c>
      <c r="AA99" s="572">
        <f t="shared" si="648"/>
        <v>0.83044483435694882</v>
      </c>
      <c r="AB99" s="572">
        <f t="shared" si="649"/>
        <v>-0.25829429572667684</v>
      </c>
      <c r="AC99" s="579">
        <f t="shared" si="100"/>
        <v>1</v>
      </c>
      <c r="AD99" s="580">
        <f t="shared" si="146"/>
        <v>-0.4936045318723481</v>
      </c>
      <c r="AE99" s="572">
        <f t="shared" si="101"/>
        <v>0.83044483435694882</v>
      </c>
      <c r="AF99" s="576">
        <f t="shared" si="102"/>
        <v>-0.25829429572667684</v>
      </c>
      <c r="AG99" s="545">
        <f t="shared" si="103"/>
        <v>72.722673575181787</v>
      </c>
      <c r="AH99" s="546">
        <f t="shared" si="104"/>
        <v>119.57777361812484</v>
      </c>
      <c r="AI99" s="528">
        <f t="shared" si="105"/>
        <v>-75.031124271890405</v>
      </c>
      <c r="AJ99" s="529">
        <f t="shared" si="106"/>
        <v>-149.27335578410899</v>
      </c>
      <c r="AK99" s="578">
        <f t="shared" si="247"/>
        <v>0.96420295131421185</v>
      </c>
      <c r="AL99" s="572">
        <f t="shared" si="107"/>
        <v>-5.9972706058873004E-2</v>
      </c>
      <c r="AM99" s="577">
        <f t="shared" si="108"/>
        <v>-0.25829429572667684</v>
      </c>
      <c r="AN99" s="524">
        <f t="shared" si="109"/>
        <v>-13.071744771419109</v>
      </c>
      <c r="AO99" s="525">
        <f t="shared" si="604"/>
        <v>15.376778804121708</v>
      </c>
      <c r="AP99" s="528">
        <f t="shared" si="111"/>
        <v>-3.5591697316831938</v>
      </c>
      <c r="AQ99" s="529">
        <f t="shared" si="650"/>
        <v>0.45028227624925055</v>
      </c>
      <c r="AS99" s="954">
        <f t="shared" si="755"/>
        <v>124.62005531766148</v>
      </c>
      <c r="AT99" s="950">
        <f t="shared" si="651"/>
        <v>0.11419468612752387</v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>
        <f t="shared" si="855"/>
        <v>5.13</v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>
        <f t="shared" si="713"/>
        <v>1613</v>
      </c>
      <c r="IM99" s="482" t="str">
        <f t="shared" si="856"/>
        <v/>
      </c>
      <c r="IN99" s="670" t="str">
        <f t="shared" si="714"/>
        <v/>
      </c>
      <c r="IO99" s="702"/>
      <c r="IP99" s="5" t="str">
        <f t="shared" si="715"/>
        <v/>
      </c>
      <c r="IQ99" s="714"/>
      <c r="IR99" s="9" t="str">
        <f t="shared" si="716"/>
        <v/>
      </c>
      <c r="IS99" s="5" t="str">
        <f t="shared" si="717"/>
        <v/>
      </c>
      <c r="IT99" s="5" t="str">
        <f t="shared" si="718"/>
        <v/>
      </c>
      <c r="IU99" s="5" t="str">
        <f t="shared" si="719"/>
        <v/>
      </c>
      <c r="IV99" s="670" t="str">
        <f t="shared" si="720"/>
        <v/>
      </c>
      <c r="IW99" s="9" t="str">
        <f t="shared" si="721"/>
        <v/>
      </c>
      <c r="IX99" s="5" t="str">
        <f t="shared" si="722"/>
        <v/>
      </c>
      <c r="IY99" s="5" t="str">
        <f t="shared" si="723"/>
        <v/>
      </c>
      <c r="IZ99" s="5" t="str">
        <f t="shared" si="724"/>
        <v/>
      </c>
      <c r="JA99" s="705" t="str">
        <f t="shared" si="725"/>
        <v/>
      </c>
      <c r="JN99" s="960"/>
      <c r="JO99" s="162"/>
      <c r="JP99" s="961"/>
      <c r="JQ99" s="961"/>
    </row>
    <row r="100" spans="1:277" ht="15" customHeight="1" x14ac:dyDescent="0.25">
      <c r="A100" s="75">
        <f t="shared" si="640"/>
        <v>0.02</v>
      </c>
      <c r="B100" s="578">
        <f t="shared" ref="B100:D100" si="907">IFERROR(O255+($A100*-E100),"")</f>
        <v>-4.8444606181557486</v>
      </c>
      <c r="C100" s="572">
        <f t="shared" si="907"/>
        <v>-3.2389215121946004</v>
      </c>
      <c r="D100" s="576">
        <f t="shared" si="907"/>
        <v>-0.12216832464883659</v>
      </c>
      <c r="E100" s="580">
        <f t="shared" ref="E100:K100" si="908">R255</f>
        <v>0.42160583051107009</v>
      </c>
      <c r="F100" s="572">
        <f t="shared" si="908"/>
        <v>-0.87487980048870495</v>
      </c>
      <c r="G100" s="579">
        <f t="shared" si="908"/>
        <v>0.23839852846843385</v>
      </c>
      <c r="H100" s="580">
        <f t="shared" si="908"/>
        <v>0.3125</v>
      </c>
      <c r="I100" s="572">
        <f t="shared" si="908"/>
        <v>0.52</v>
      </c>
      <c r="J100" s="483">
        <f t="shared" si="728"/>
        <v>5.1360000000000001</v>
      </c>
      <c r="K100" s="806">
        <f t="shared" si="908"/>
        <v>1613</v>
      </c>
      <c r="L100" s="309"/>
      <c r="M100" s="164">
        <f t="shared" si="643"/>
        <v>5.1360000000000001</v>
      </c>
      <c r="N100" s="575">
        <f t="shared" si="644"/>
        <v>-4.8444606181557486</v>
      </c>
      <c r="O100" s="572">
        <f t="shared" si="645"/>
        <v>-3.2389215121946004</v>
      </c>
      <c r="P100" s="576">
        <f t="shared" si="646"/>
        <v>-0.12216832464883659</v>
      </c>
      <c r="Q100" s="528">
        <f t="shared" si="729"/>
        <v>213.76599373536087</v>
      </c>
      <c r="R100" s="572">
        <f t="shared" si="95"/>
        <v>5.8274703982962395</v>
      </c>
      <c r="S100" s="577">
        <f t="shared" si="96"/>
        <v>-0.12216832464883659</v>
      </c>
      <c r="T100" s="578">
        <f t="shared" si="97"/>
        <v>-3.2671269456921541</v>
      </c>
      <c r="U100" s="572">
        <f t="shared" si="98"/>
        <v>4.8254836818448767</v>
      </c>
      <c r="V100" s="579">
        <f t="shared" si="145"/>
        <v>-0.12216832464883659</v>
      </c>
      <c r="W100" s="528">
        <f t="shared" si="866"/>
        <v>124.10023510544814</v>
      </c>
      <c r="X100" s="572">
        <f t="shared" si="99"/>
        <v>5.8274703982962395</v>
      </c>
      <c r="Y100" s="573">
        <f t="shared" si="859"/>
        <v>-0.12216832464883659</v>
      </c>
      <c r="Z100" s="575">
        <f t="shared" si="647"/>
        <v>-0.42160583051107009</v>
      </c>
      <c r="AA100" s="572">
        <f t="shared" si="648"/>
        <v>0.87487980048870495</v>
      </c>
      <c r="AB100" s="572">
        <f t="shared" si="649"/>
        <v>-0.23839852846843385</v>
      </c>
      <c r="AC100" s="579">
        <f t="shared" si="100"/>
        <v>1</v>
      </c>
      <c r="AD100" s="580">
        <f t="shared" si="146"/>
        <v>-0.42160583051107009</v>
      </c>
      <c r="AE100" s="572">
        <f t="shared" si="101"/>
        <v>0.87487980048870495</v>
      </c>
      <c r="AF100" s="576">
        <f t="shared" si="102"/>
        <v>-0.23839852846843385</v>
      </c>
      <c r="AG100" s="545">
        <f t="shared" si="103"/>
        <v>74.75738127481587</v>
      </c>
      <c r="AH100" s="546">
        <f t="shared" si="104"/>
        <v>114.93601186177779</v>
      </c>
      <c r="AI100" s="528">
        <f t="shared" si="105"/>
        <v>-76.207960522884449</v>
      </c>
      <c r="AJ100" s="529">
        <f t="shared" si="106"/>
        <v>-154.27051619381578</v>
      </c>
      <c r="AK100" s="578">
        <f t="shared" si="247"/>
        <v>0.96162975531112971</v>
      </c>
      <c r="AL100" s="572">
        <f t="shared" si="107"/>
        <v>-0.13577317601183997</v>
      </c>
      <c r="AM100" s="577">
        <f t="shared" si="108"/>
        <v>-0.23839852846843385</v>
      </c>
      <c r="AN100" s="524">
        <f t="shared" si="109"/>
        <v>-29.66245907074461</v>
      </c>
      <c r="AO100" s="525">
        <f t="shared" si="604"/>
        <v>15.923313781845629</v>
      </c>
      <c r="AP100" s="528">
        <f t="shared" si="111"/>
        <v>-8.0365099291766615</v>
      </c>
      <c r="AQ100" s="529">
        <f t="shared" si="650"/>
        <v>0.39119738946223986</v>
      </c>
      <c r="AS100" s="954">
        <f t="shared" si="755"/>
        <v>124.10023510544814</v>
      </c>
      <c r="AT100" s="950">
        <f t="shared" si="651"/>
        <v>3.9753360927286263E-2</v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>
        <f t="shared" si="855"/>
        <v>5.1360000000000001</v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>
        <f t="shared" si="713"/>
        <v>1613</v>
      </c>
      <c r="IM100" s="482" t="str">
        <f t="shared" si="856"/>
        <v/>
      </c>
      <c r="IN100" s="670" t="str">
        <f t="shared" si="714"/>
        <v/>
      </c>
      <c r="IO100" s="702"/>
      <c r="IP100" s="5" t="str">
        <f t="shared" si="715"/>
        <v/>
      </c>
      <c r="IQ100" s="714"/>
      <c r="IR100" s="9" t="str">
        <f t="shared" si="716"/>
        <v/>
      </c>
      <c r="IS100" s="5" t="str">
        <f t="shared" si="717"/>
        <v/>
      </c>
      <c r="IT100" s="5" t="str">
        <f t="shared" si="718"/>
        <v/>
      </c>
      <c r="IU100" s="5" t="str">
        <f t="shared" si="719"/>
        <v/>
      </c>
      <c r="IV100" s="670" t="str">
        <f t="shared" si="720"/>
        <v/>
      </c>
      <c r="IW100" s="9" t="str">
        <f t="shared" si="721"/>
        <v/>
      </c>
      <c r="IX100" s="5" t="str">
        <f t="shared" si="722"/>
        <v/>
      </c>
      <c r="IY100" s="5" t="str">
        <f t="shared" si="723"/>
        <v/>
      </c>
      <c r="IZ100" s="5" t="str">
        <f t="shared" si="724"/>
        <v/>
      </c>
      <c r="JA100" s="705" t="str">
        <f t="shared" si="725"/>
        <v/>
      </c>
      <c r="JN100" s="960"/>
      <c r="JO100" s="162"/>
      <c r="JP100" s="961"/>
      <c r="JQ100" s="961"/>
    </row>
    <row r="101" spans="1:277" ht="15" customHeight="1" x14ac:dyDescent="0.25">
      <c r="A101" s="75">
        <f t="shared" si="640"/>
        <v>0.02</v>
      </c>
      <c r="B101" s="578">
        <f t="shared" ref="B101:D101" si="909">IFERROR(O256+($A101*-E101),"")</f>
        <v>-5.4782128454244727</v>
      </c>
      <c r="C101" s="572">
        <f t="shared" si="909"/>
        <v>-3.5810432397425003</v>
      </c>
      <c r="D101" s="576">
        <f t="shared" si="909"/>
        <v>-0.36525886526828638</v>
      </c>
      <c r="E101" s="580">
        <f t="shared" ref="E101:K101" si="910">R256</f>
        <v>0.34713154711411026</v>
      </c>
      <c r="F101" s="572">
        <f t="shared" si="910"/>
        <v>-0.91215357402487562</v>
      </c>
      <c r="G101" s="579">
        <f t="shared" si="910"/>
        <v>0.21788883953018401</v>
      </c>
      <c r="H101" s="580">
        <f t="shared" si="910"/>
        <v>0.3125</v>
      </c>
      <c r="I101" s="572">
        <f t="shared" si="910"/>
        <v>0.52</v>
      </c>
      <c r="J101" s="483">
        <f t="shared" si="728"/>
        <v>5.1420000000000003</v>
      </c>
      <c r="K101" s="806">
        <f t="shared" si="910"/>
        <v>1613</v>
      </c>
      <c r="L101" s="309"/>
      <c r="M101" s="164">
        <f t="shared" si="643"/>
        <v>5.1420000000000003</v>
      </c>
      <c r="N101" s="575">
        <f t="shared" si="644"/>
        <v>-5.4782128454244727</v>
      </c>
      <c r="O101" s="572">
        <f t="shared" si="645"/>
        <v>-3.5810432397425003</v>
      </c>
      <c r="P101" s="576">
        <f t="shared" si="646"/>
        <v>-0.36525886526828638</v>
      </c>
      <c r="Q101" s="528">
        <f t="shared" si="729"/>
        <v>213.17217251634327</v>
      </c>
      <c r="R101" s="572">
        <f t="shared" si="95"/>
        <v>6.5448213623199187</v>
      </c>
      <c r="S101" s="577">
        <f t="shared" si="96"/>
        <v>-0.36525886526828638</v>
      </c>
      <c r="T101" s="578">
        <f t="shared" si="97"/>
        <v>-3.6129398957637346</v>
      </c>
      <c r="U101" s="572">
        <f t="shared" si="98"/>
        <v>5.4572293312887163</v>
      </c>
      <c r="V101" s="579">
        <f t="shared" si="145"/>
        <v>-0.36525886526828638</v>
      </c>
      <c r="W101" s="528">
        <f t="shared" si="866"/>
        <v>123.50641388643054</v>
      </c>
      <c r="X101" s="572">
        <f t="shared" si="99"/>
        <v>6.5448213623199187</v>
      </c>
      <c r="Y101" s="573">
        <f t="shared" si="859"/>
        <v>-0.36525886526828638</v>
      </c>
      <c r="Z101" s="575">
        <f t="shared" si="647"/>
        <v>-0.34713154711411026</v>
      </c>
      <c r="AA101" s="572">
        <f t="shared" si="648"/>
        <v>0.91215357402487562</v>
      </c>
      <c r="AB101" s="572">
        <f t="shared" si="649"/>
        <v>-0.21788883953018401</v>
      </c>
      <c r="AC101" s="579">
        <f t="shared" si="100"/>
        <v>1</v>
      </c>
      <c r="AD101" s="580">
        <f t="shared" si="146"/>
        <v>-0.34713154711411026</v>
      </c>
      <c r="AE101" s="572">
        <f t="shared" si="101"/>
        <v>0.91215357402487562</v>
      </c>
      <c r="AF101" s="576">
        <f t="shared" si="102"/>
        <v>-0.21788883953018401</v>
      </c>
      <c r="AG101" s="545">
        <f t="shared" si="103"/>
        <v>76.565339116388344</v>
      </c>
      <c r="AH101" s="546">
        <f t="shared" si="104"/>
        <v>110.31196775120792</v>
      </c>
      <c r="AI101" s="528">
        <f t="shared" si="105"/>
        <v>-77.414935422090238</v>
      </c>
      <c r="AJ101" s="529">
        <f t="shared" si="106"/>
        <v>-159.16504637189092</v>
      </c>
      <c r="AK101" s="578">
        <f t="shared" si="247"/>
        <v>0.95343542029164907</v>
      </c>
      <c r="AL101" s="572">
        <f t="shared" si="107"/>
        <v>-0.20853141955464716</v>
      </c>
      <c r="AM101" s="577">
        <f t="shared" si="108"/>
        <v>-0.21788883953018401</v>
      </c>
      <c r="AN101" s="524">
        <f t="shared" si="109"/>
        <v>-43.742895942199134</v>
      </c>
      <c r="AO101" s="525">
        <f t="shared" si="604"/>
        <v>17.553562756781783</v>
      </c>
      <c r="AP101" s="528">
        <f t="shared" si="111"/>
        <v>-12.337218888234181</v>
      </c>
      <c r="AQ101" s="529">
        <f t="shared" si="650"/>
        <v>0.348320973271879</v>
      </c>
      <c r="AS101" s="954">
        <f t="shared" si="755"/>
        <v>123.50641388643054</v>
      </c>
      <c r="AT101" s="950">
        <f t="shared" si="651"/>
        <v>-0.20292480384562353</v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>
        <f t="shared" si="855"/>
        <v>5.1420000000000003</v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>
        <f t="shared" si="713"/>
        <v>1613</v>
      </c>
      <c r="IM101" s="482" t="str">
        <f t="shared" si="856"/>
        <v/>
      </c>
      <c r="IN101" s="670" t="str">
        <f t="shared" si="714"/>
        <v/>
      </c>
      <c r="IO101" s="702"/>
      <c r="IP101" s="5" t="str">
        <f t="shared" si="715"/>
        <v/>
      </c>
      <c r="IQ101" s="714"/>
      <c r="IR101" s="9" t="str">
        <f t="shared" si="716"/>
        <v/>
      </c>
      <c r="IS101" s="5" t="str">
        <f t="shared" si="717"/>
        <v/>
      </c>
      <c r="IT101" s="5" t="str">
        <f t="shared" si="718"/>
        <v/>
      </c>
      <c r="IU101" s="5" t="str">
        <f t="shared" si="719"/>
        <v/>
      </c>
      <c r="IV101" s="670" t="str">
        <f t="shared" si="720"/>
        <v/>
      </c>
      <c r="IW101" s="9" t="str">
        <f t="shared" si="721"/>
        <v/>
      </c>
      <c r="IX101" s="5" t="str">
        <f t="shared" si="722"/>
        <v/>
      </c>
      <c r="IY101" s="5" t="str">
        <f t="shared" si="723"/>
        <v/>
      </c>
      <c r="IZ101" s="5" t="str">
        <f t="shared" si="724"/>
        <v/>
      </c>
      <c r="JA101" s="705" t="str">
        <f t="shared" si="725"/>
        <v/>
      </c>
      <c r="JN101" s="960"/>
      <c r="JO101" s="162"/>
      <c r="JP101" s="961"/>
      <c r="JQ101" s="961"/>
    </row>
    <row r="102" spans="1:277" ht="15" customHeight="1" x14ac:dyDescent="0.25">
      <c r="A102" s="75">
        <f t="shared" si="640"/>
        <v>0.02</v>
      </c>
      <c r="B102" s="578">
        <f t="shared" ref="B102:D102" si="911">IFERROR(O257+($A102*-E102),"")</f>
        <v>-6.0593499852349462</v>
      </c>
      <c r="C102" s="572">
        <f t="shared" si="911"/>
        <v>-3.8715869081628576</v>
      </c>
      <c r="D102" s="576">
        <f t="shared" si="911"/>
        <v>-0.76301576869863086</v>
      </c>
      <c r="E102" s="580">
        <f t="shared" ref="E102:K102" si="912">R257</f>
        <v>0.25902499032752668</v>
      </c>
      <c r="F102" s="572">
        <f t="shared" si="912"/>
        <v>-0.9426147234847051</v>
      </c>
      <c r="G102" s="579">
        <f t="shared" si="912"/>
        <v>0.21067400754644125</v>
      </c>
      <c r="H102" s="580">
        <f t="shared" si="912"/>
        <v>0.3125</v>
      </c>
      <c r="I102" s="572">
        <f t="shared" si="912"/>
        <v>0.52</v>
      </c>
      <c r="J102" s="483">
        <f t="shared" si="728"/>
        <v>5.1479999999999997</v>
      </c>
      <c r="K102" s="806">
        <f t="shared" si="912"/>
        <v>1613</v>
      </c>
      <c r="L102" s="309"/>
      <c r="M102" s="164">
        <f t="shared" si="643"/>
        <v>5.1479999999999997</v>
      </c>
      <c r="N102" s="575">
        <f t="shared" si="644"/>
        <v>-6.0593499852349462</v>
      </c>
      <c r="O102" s="572">
        <f t="shared" si="645"/>
        <v>-3.8715869081628576</v>
      </c>
      <c r="P102" s="576">
        <f t="shared" si="646"/>
        <v>-0.76301576869863086</v>
      </c>
      <c r="Q102" s="528">
        <f t="shared" si="729"/>
        <v>212.57631011542057</v>
      </c>
      <c r="R102" s="572">
        <f t="shared" si="95"/>
        <v>7.1906124517334948</v>
      </c>
      <c r="S102" s="577">
        <f t="shared" si="96"/>
        <v>-0.76301576869863086</v>
      </c>
      <c r="T102" s="578">
        <f t="shared" si="97"/>
        <v>-3.9068687300466496</v>
      </c>
      <c r="U102" s="572">
        <f t="shared" si="98"/>
        <v>6.0366616732436196</v>
      </c>
      <c r="V102" s="579">
        <f t="shared" si="145"/>
        <v>-0.76301576869863086</v>
      </c>
      <c r="W102" s="528">
        <f t="shared" si="866"/>
        <v>122.91055148550784</v>
      </c>
      <c r="X102" s="572">
        <f t="shared" si="99"/>
        <v>7.1906124517334948</v>
      </c>
      <c r="Y102" s="573">
        <f t="shared" si="859"/>
        <v>-0.76301576869863086</v>
      </c>
      <c r="Z102" s="575">
        <f t="shared" si="647"/>
        <v>-0.25902499032752668</v>
      </c>
      <c r="AA102" s="572">
        <f t="shared" si="648"/>
        <v>0.9426147234847051</v>
      </c>
      <c r="AB102" s="572">
        <f t="shared" si="649"/>
        <v>-0.21067400754644125</v>
      </c>
      <c r="AC102" s="579">
        <f t="shared" si="100"/>
        <v>1</v>
      </c>
      <c r="AD102" s="580">
        <f t="shared" si="146"/>
        <v>-0.25902499032752668</v>
      </c>
      <c r="AE102" s="572">
        <f t="shared" si="101"/>
        <v>0.9426147234847051</v>
      </c>
      <c r="AF102" s="576">
        <f t="shared" si="102"/>
        <v>-0.21067400754644125</v>
      </c>
      <c r="AG102" s="545">
        <f t="shared" si="103"/>
        <v>77.401467342131454</v>
      </c>
      <c r="AH102" s="546">
        <f t="shared" si="104"/>
        <v>105.01221639286301</v>
      </c>
      <c r="AI102" s="528">
        <f t="shared" si="105"/>
        <v>-77.838146276631903</v>
      </c>
      <c r="AJ102" s="529">
        <f t="shared" si="106"/>
        <v>-164.63471563751645</v>
      </c>
      <c r="AK102" s="578">
        <f t="shared" si="247"/>
        <v>0.9337828060320017</v>
      </c>
      <c r="AL102" s="572">
        <f t="shared" si="107"/>
        <v>-0.2892509873852176</v>
      </c>
      <c r="AM102" s="577">
        <f t="shared" si="108"/>
        <v>-0.21067400754644125</v>
      </c>
      <c r="AN102" s="524">
        <f t="shared" si="109"/>
        <v>-53.932529265446725</v>
      </c>
      <c r="AO102" s="525">
        <f t="shared" si="604"/>
        <v>20.967619772295336</v>
      </c>
      <c r="AP102" s="528">
        <f t="shared" si="111"/>
        <v>-17.211025752937005</v>
      </c>
      <c r="AQ102" s="529">
        <f t="shared" si="650"/>
        <v>0.31703883085978185</v>
      </c>
      <c r="AS102" s="954">
        <f t="shared" si="755"/>
        <v>122.91055148550784</v>
      </c>
      <c r="AT102" s="950">
        <f t="shared" si="651"/>
        <v>-0.60026791394199397</v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>
        <f t="shared" si="855"/>
        <v>5.1479999999999997</v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>
        <f t="shared" si="713"/>
        <v>1613</v>
      </c>
      <c r="IM102" s="482" t="str">
        <f t="shared" si="856"/>
        <v/>
      </c>
      <c r="IN102" s="670" t="str">
        <f t="shared" si="714"/>
        <v/>
      </c>
      <c r="IO102" s="702"/>
      <c r="IP102" s="5" t="str">
        <f t="shared" si="715"/>
        <v/>
      </c>
      <c r="IQ102" s="714"/>
      <c r="IR102" s="9" t="str">
        <f t="shared" si="716"/>
        <v/>
      </c>
      <c r="IS102" s="5" t="str">
        <f t="shared" si="717"/>
        <v/>
      </c>
      <c r="IT102" s="5" t="str">
        <f t="shared" si="718"/>
        <v/>
      </c>
      <c r="IU102" s="5" t="str">
        <f t="shared" si="719"/>
        <v/>
      </c>
      <c r="IV102" s="670" t="str">
        <f t="shared" si="720"/>
        <v/>
      </c>
      <c r="IW102" s="9" t="str">
        <f t="shared" si="721"/>
        <v/>
      </c>
      <c r="IX102" s="5" t="str">
        <f t="shared" si="722"/>
        <v/>
      </c>
      <c r="IY102" s="5" t="str">
        <f t="shared" si="723"/>
        <v/>
      </c>
      <c r="IZ102" s="5" t="str">
        <f t="shared" si="724"/>
        <v/>
      </c>
      <c r="JA102" s="705" t="str">
        <f t="shared" si="725"/>
        <v/>
      </c>
      <c r="JN102" s="960"/>
      <c r="JO102" s="162"/>
      <c r="JP102" s="961"/>
      <c r="JQ102" s="961"/>
    </row>
    <row r="103" spans="1:277" ht="15" customHeight="1" x14ac:dyDescent="0.25">
      <c r="A103" s="75">
        <f t="shared" si="640"/>
        <v>0.02</v>
      </c>
      <c r="B103" s="578">
        <f t="shared" ref="B103:D103" si="913">IFERROR(O258+($A103*-E103),"")</f>
        <v>-6.5520956849849084</v>
      </c>
      <c r="C103" s="572">
        <f t="shared" si="913"/>
        <v>-4.101353608898231</v>
      </c>
      <c r="D103" s="576">
        <f t="shared" si="913"/>
        <v>-1.2939654524954518</v>
      </c>
      <c r="E103" s="580">
        <f t="shared" ref="E103:K103" si="914">R258</f>
        <v>0.1615106249634336</v>
      </c>
      <c r="F103" s="572">
        <f t="shared" si="914"/>
        <v>-0.96678818125789534</v>
      </c>
      <c r="G103" s="579">
        <f t="shared" si="914"/>
        <v>0.19807809218581468</v>
      </c>
      <c r="H103" s="580">
        <f t="shared" si="914"/>
        <v>0.3125</v>
      </c>
      <c r="I103" s="572">
        <f t="shared" si="914"/>
        <v>0.52</v>
      </c>
      <c r="J103" s="483">
        <f t="shared" si="728"/>
        <v>5.1539999999999999</v>
      </c>
      <c r="K103" s="806">
        <f t="shared" si="914"/>
        <v>1613</v>
      </c>
      <c r="L103" s="309"/>
      <c r="M103" s="164">
        <f t="shared" si="643"/>
        <v>5.1539999999999999</v>
      </c>
      <c r="N103" s="575">
        <f t="shared" si="644"/>
        <v>-6.5520956849849084</v>
      </c>
      <c r="O103" s="572">
        <f t="shared" si="645"/>
        <v>-4.101353608898231</v>
      </c>
      <c r="P103" s="576">
        <f t="shared" si="646"/>
        <v>-1.2939654524954518</v>
      </c>
      <c r="Q103" s="528">
        <f t="shared" si="729"/>
        <v>212.04494338117874</v>
      </c>
      <c r="R103" s="572">
        <f t="shared" si="95"/>
        <v>7.7298809363676746</v>
      </c>
      <c r="S103" s="577">
        <f t="shared" si="96"/>
        <v>-1.2939654524954518</v>
      </c>
      <c r="T103" s="578">
        <f t="shared" si="97"/>
        <v>-4.1395059923166233</v>
      </c>
      <c r="U103" s="572">
        <f t="shared" si="98"/>
        <v>6.5280586264214238</v>
      </c>
      <c r="V103" s="579">
        <f t="shared" si="145"/>
        <v>-1.2939654524954518</v>
      </c>
      <c r="W103" s="528">
        <f t="shared" si="866"/>
        <v>122.37918475126601</v>
      </c>
      <c r="X103" s="572">
        <f t="shared" si="99"/>
        <v>7.7298809363676746</v>
      </c>
      <c r="Y103" s="573">
        <f t="shared" si="859"/>
        <v>-1.2939654524954518</v>
      </c>
      <c r="Z103" s="575">
        <f t="shared" si="647"/>
        <v>-0.1615106249634336</v>
      </c>
      <c r="AA103" s="572">
        <f t="shared" si="648"/>
        <v>0.96678818125789534</v>
      </c>
      <c r="AB103" s="572">
        <f t="shared" si="649"/>
        <v>-0.19807809218581468</v>
      </c>
      <c r="AC103" s="579">
        <f t="shared" si="100"/>
        <v>1</v>
      </c>
      <c r="AD103" s="580">
        <f t="shared" si="146"/>
        <v>-0.1615106249634336</v>
      </c>
      <c r="AE103" s="572">
        <f t="shared" si="101"/>
        <v>0.96678818125789534</v>
      </c>
      <c r="AF103" s="576">
        <f t="shared" si="102"/>
        <v>-0.19807809218581468</v>
      </c>
      <c r="AG103" s="545">
        <f t="shared" si="103"/>
        <v>78.421328259370569</v>
      </c>
      <c r="AH103" s="546">
        <f t="shared" si="104"/>
        <v>99.294589174368951</v>
      </c>
      <c r="AI103" s="528">
        <f t="shared" si="105"/>
        <v>-78.575406451403865</v>
      </c>
      <c r="AJ103" s="529">
        <f t="shared" si="106"/>
        <v>-170.51581009253593</v>
      </c>
      <c r="AK103" s="578">
        <f t="shared" si="247"/>
        <v>0.90517576051712689</v>
      </c>
      <c r="AL103" s="572">
        <f t="shared" si="107"/>
        <v>-0.37606104819333397</v>
      </c>
      <c r="AM103" s="577">
        <f t="shared" si="108"/>
        <v>-0.19807809218581468</v>
      </c>
      <c r="AN103" s="524">
        <f t="shared" si="109"/>
        <v>-62.223420029760355</v>
      </c>
      <c r="AO103" s="525">
        <f t="shared" si="604"/>
        <v>25.153034543688609</v>
      </c>
      <c r="AP103" s="528">
        <f t="shared" si="111"/>
        <v>-22.560753473714662</v>
      </c>
      <c r="AQ103" s="529">
        <f t="shared" si="650"/>
        <v>0.29492129526382499</v>
      </c>
      <c r="AS103" s="954">
        <f t="shared" si="755"/>
        <v>122.37918475126601</v>
      </c>
      <c r="AT103" s="950">
        <f t="shared" si="651"/>
        <v>-1.130848593062258</v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>
        <f t="shared" si="855"/>
        <v>5.1539999999999999</v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>
        <f t="shared" si="713"/>
        <v>1613</v>
      </c>
      <c r="IM103" s="482" t="str">
        <f t="shared" si="856"/>
        <v/>
      </c>
      <c r="IN103" s="670" t="str">
        <f t="shared" si="714"/>
        <v/>
      </c>
      <c r="IO103" s="702"/>
      <c r="IP103" s="5" t="str">
        <f t="shared" si="715"/>
        <v/>
      </c>
      <c r="IQ103" s="714"/>
      <c r="IR103" s="9" t="str">
        <f t="shared" si="716"/>
        <v/>
      </c>
      <c r="IS103" s="5" t="str">
        <f t="shared" si="717"/>
        <v/>
      </c>
      <c r="IT103" s="5" t="str">
        <f t="shared" si="718"/>
        <v/>
      </c>
      <c r="IU103" s="5" t="str">
        <f t="shared" si="719"/>
        <v/>
      </c>
      <c r="IV103" s="670" t="str">
        <f t="shared" si="720"/>
        <v/>
      </c>
      <c r="IW103" s="9" t="str">
        <f t="shared" si="721"/>
        <v/>
      </c>
      <c r="IX103" s="5" t="str">
        <f t="shared" si="722"/>
        <v/>
      </c>
      <c r="IY103" s="5" t="str">
        <f t="shared" si="723"/>
        <v/>
      </c>
      <c r="IZ103" s="5" t="str">
        <f t="shared" si="724"/>
        <v/>
      </c>
      <c r="JA103" s="705" t="str">
        <f t="shared" si="725"/>
        <v/>
      </c>
      <c r="JN103" s="960"/>
      <c r="JO103" s="162"/>
      <c r="JP103" s="961"/>
      <c r="JQ103" s="961"/>
    </row>
    <row r="104" spans="1:277" ht="15" customHeight="1" x14ac:dyDescent="0.25">
      <c r="A104" s="75">
        <f t="shared" si="640"/>
        <v>0.02</v>
      </c>
      <c r="B104" s="578">
        <f t="shared" ref="B104:D104" si="915">IFERROR(O259+($A104*-E104),"")</f>
        <v>-6.9266593764290851</v>
      </c>
      <c r="C104" s="572">
        <f t="shared" si="915"/>
        <v>-4.2659925994096763</v>
      </c>
      <c r="D104" s="576">
        <f t="shared" si="915"/>
        <v>-1.9350888509326025</v>
      </c>
      <c r="E104" s="580">
        <f t="shared" ref="E104:K104" si="916">R259</f>
        <v>8.0231723519274434E-2</v>
      </c>
      <c r="F104" s="572">
        <f t="shared" si="916"/>
        <v>-0.98478438149322411</v>
      </c>
      <c r="G104" s="579">
        <f t="shared" si="916"/>
        <v>0.15415120015145795</v>
      </c>
      <c r="H104" s="580">
        <f t="shared" si="916"/>
        <v>0.3125</v>
      </c>
      <c r="I104" s="572">
        <f t="shared" si="916"/>
        <v>0.52</v>
      </c>
      <c r="J104" s="483">
        <f t="shared" si="728"/>
        <v>5.16</v>
      </c>
      <c r="K104" s="806">
        <f t="shared" si="916"/>
        <v>1613</v>
      </c>
      <c r="L104" s="309"/>
      <c r="M104" s="164">
        <f t="shared" si="643"/>
        <v>5.16</v>
      </c>
      <c r="N104" s="575">
        <f t="shared" si="644"/>
        <v>-6.9266593764290851</v>
      </c>
      <c r="O104" s="572">
        <f t="shared" si="645"/>
        <v>-4.2659925994096763</v>
      </c>
      <c r="P104" s="576">
        <f t="shared" si="646"/>
        <v>-1.9350888509326025</v>
      </c>
      <c r="Q104" s="528">
        <f t="shared" si="729"/>
        <v>211.62809456124594</v>
      </c>
      <c r="R104" s="572">
        <f t="shared" si="95"/>
        <v>8.1349433295685039</v>
      </c>
      <c r="S104" s="577">
        <f t="shared" si="96"/>
        <v>-1.9350888509326025</v>
      </c>
      <c r="T104" s="578">
        <f t="shared" si="97"/>
        <v>-4.3063272284218597</v>
      </c>
      <c r="U104" s="572">
        <f t="shared" si="98"/>
        <v>6.9016555098790322</v>
      </c>
      <c r="V104" s="579">
        <f t="shared" si="145"/>
        <v>-1.9350888509326025</v>
      </c>
      <c r="W104" s="528">
        <f t="shared" si="866"/>
        <v>121.96233593133321</v>
      </c>
      <c r="X104" s="572">
        <f t="shared" si="99"/>
        <v>8.1349433295685039</v>
      </c>
      <c r="Y104" s="573">
        <f t="shared" si="859"/>
        <v>-1.9350888509326025</v>
      </c>
      <c r="Z104" s="575">
        <f t="shared" si="647"/>
        <v>-8.0231723519274434E-2</v>
      </c>
      <c r="AA104" s="572">
        <f t="shared" si="648"/>
        <v>0.98478438149322411</v>
      </c>
      <c r="AB104" s="572">
        <f t="shared" si="649"/>
        <v>-0.15415120015145795</v>
      </c>
      <c r="AC104" s="579">
        <f t="shared" si="100"/>
        <v>1</v>
      </c>
      <c r="AD104" s="580">
        <f t="shared" si="146"/>
        <v>-8.0231723519274434E-2</v>
      </c>
      <c r="AE104" s="572">
        <f t="shared" si="101"/>
        <v>0.98478438149322411</v>
      </c>
      <c r="AF104" s="576">
        <f t="shared" si="102"/>
        <v>-0.15415120015145795</v>
      </c>
      <c r="AG104" s="545">
        <f t="shared" si="103"/>
        <v>81.103516294579805</v>
      </c>
      <c r="AH104" s="546">
        <f t="shared" si="104"/>
        <v>94.601885330549095</v>
      </c>
      <c r="AI104" s="528">
        <f t="shared" si="105"/>
        <v>-81.132428026002643</v>
      </c>
      <c r="AJ104" s="529">
        <f t="shared" si="106"/>
        <v>-175.34232194645125</v>
      </c>
      <c r="AK104" s="578">
        <f t="shared" si="247"/>
        <v>0.88058805309244059</v>
      </c>
      <c r="AL104" s="572">
        <f t="shared" si="107"/>
        <v>-0.44810946011296204</v>
      </c>
      <c r="AM104" s="577">
        <f t="shared" si="108"/>
        <v>-0.15415120015145795</v>
      </c>
      <c r="AN104" s="524">
        <f t="shared" si="109"/>
        <v>-71.016606198900817</v>
      </c>
      <c r="AO104" s="525">
        <f t="shared" si="604"/>
        <v>28.286618534888557</v>
      </c>
      <c r="AP104" s="528">
        <f t="shared" si="111"/>
        <v>-26.970416507697188</v>
      </c>
      <c r="AQ104" s="529">
        <f t="shared" si="650"/>
        <v>0.28023654999690567</v>
      </c>
      <c r="AS104" s="954">
        <f t="shared" si="755"/>
        <v>121.96233593133321</v>
      </c>
      <c r="AT104" s="950">
        <f t="shared" si="651"/>
        <v>-1.7716825131522331</v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>
        <f t="shared" si="855"/>
        <v>5.16</v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>
        <f t="shared" si="713"/>
        <v>1613</v>
      </c>
      <c r="IM104" s="482" t="str">
        <f t="shared" si="856"/>
        <v/>
      </c>
      <c r="IN104" s="670" t="str">
        <f t="shared" si="714"/>
        <v/>
      </c>
      <c r="IO104" s="702"/>
      <c r="IP104" s="5" t="str">
        <f t="shared" si="715"/>
        <v/>
      </c>
      <c r="IQ104" s="714"/>
      <c r="IR104" s="9" t="str">
        <f t="shared" si="716"/>
        <v/>
      </c>
      <c r="IS104" s="5" t="str">
        <f t="shared" si="717"/>
        <v/>
      </c>
      <c r="IT104" s="5" t="str">
        <f t="shared" si="718"/>
        <v/>
      </c>
      <c r="IU104" s="5" t="str">
        <f t="shared" si="719"/>
        <v/>
      </c>
      <c r="IV104" s="670" t="str">
        <f t="shared" si="720"/>
        <v/>
      </c>
      <c r="IW104" s="9" t="str">
        <f t="shared" si="721"/>
        <v/>
      </c>
      <c r="IX104" s="5" t="str">
        <f t="shared" si="722"/>
        <v/>
      </c>
      <c r="IY104" s="5" t="str">
        <f t="shared" si="723"/>
        <v/>
      </c>
      <c r="IZ104" s="5" t="str">
        <f t="shared" si="724"/>
        <v/>
      </c>
      <c r="JA104" s="705" t="str">
        <f t="shared" si="725"/>
        <v/>
      </c>
      <c r="JN104" s="960"/>
      <c r="JO104" s="162"/>
      <c r="JP104" s="961"/>
      <c r="JQ104" s="961"/>
    </row>
    <row r="105" spans="1:277" ht="15" customHeight="1" x14ac:dyDescent="0.25">
      <c r="A105" s="75">
        <f t="shared" ref="A105:A136" si="917">IF($K105="","",IF(AND($A$8="Y",ISNUMBER($K105)),$A$5,0))</f>
        <v>0.02</v>
      </c>
      <c r="B105" s="578">
        <f t="shared" ref="B105:D105" si="918">IFERROR(O260+($A105*-E105),"")</f>
        <v>-7.1578182795536405</v>
      </c>
      <c r="C105" s="572">
        <f t="shared" si="918"/>
        <v>-4.3635438873313497</v>
      </c>
      <c r="D105" s="576">
        <f t="shared" si="918"/>
        <v>-2.6516378247927275</v>
      </c>
      <c r="E105" s="580">
        <f t="shared" ref="E105:K105" si="919">R260</f>
        <v>9.6469061020945084E-3</v>
      </c>
      <c r="F105" s="572">
        <f t="shared" si="919"/>
        <v>-0.99528704203591878</v>
      </c>
      <c r="G105" s="579">
        <f t="shared" si="919"/>
        <v>9.6491663671265507E-2</v>
      </c>
      <c r="H105" s="580">
        <f t="shared" si="919"/>
        <v>0.3125</v>
      </c>
      <c r="I105" s="572">
        <f t="shared" si="919"/>
        <v>0.52</v>
      </c>
      <c r="J105" s="483">
        <f t="shared" si="728"/>
        <v>5.1660000000000004</v>
      </c>
      <c r="K105" s="806">
        <f t="shared" si="919"/>
        <v>1613</v>
      </c>
      <c r="L105" s="309"/>
      <c r="M105" s="164">
        <f t="shared" ref="M105:M136" si="920">IF(J105="","",VALUE(J105))</f>
        <v>5.1660000000000004</v>
      </c>
      <c r="N105" s="575">
        <f t="shared" ref="N105:N136" si="921">IF(M105="","",B105)</f>
        <v>-7.1578182795536405</v>
      </c>
      <c r="O105" s="572">
        <f t="shared" ref="O105:O136" si="922">IF(M105="","",C105)</f>
        <v>-4.3635438873313497</v>
      </c>
      <c r="P105" s="576">
        <f t="shared" ref="P105:P136" si="923">IF(M105="","",D105)</f>
        <v>-2.6516378247927275</v>
      </c>
      <c r="Q105" s="528">
        <f t="shared" si="729"/>
        <v>211.36728955401404</v>
      </c>
      <c r="R105" s="572">
        <f t="shared" si="95"/>
        <v>8.383011259671493</v>
      </c>
      <c r="S105" s="577">
        <f t="shared" si="96"/>
        <v>-2.6516378247927275</v>
      </c>
      <c r="T105" s="578">
        <f t="shared" si="97"/>
        <v>-4.4052253402589017</v>
      </c>
      <c r="U105" s="572">
        <f t="shared" si="98"/>
        <v>7.1322414065509498</v>
      </c>
      <c r="V105" s="579">
        <f t="shared" si="145"/>
        <v>-2.6516378247927275</v>
      </c>
      <c r="W105" s="528">
        <f t="shared" si="866"/>
        <v>121.70153092410131</v>
      </c>
      <c r="X105" s="572">
        <f t="shared" si="99"/>
        <v>8.383011259671493</v>
      </c>
      <c r="Y105" s="573">
        <f t="shared" si="859"/>
        <v>-2.6516378247927275</v>
      </c>
      <c r="Z105" s="575">
        <f t="shared" ref="Z105:Z136" si="924">IF(M105="","",-E105)</f>
        <v>-9.6469061020945084E-3</v>
      </c>
      <c r="AA105" s="572">
        <f t="shared" ref="AA105:AA136" si="925">IF(M105="","",-F105)</f>
        <v>0.99528704203591878</v>
      </c>
      <c r="AB105" s="572">
        <f t="shared" ref="AB105:AB136" si="926">IF(M105="","",-G105)</f>
        <v>-9.6491663671265507E-2</v>
      </c>
      <c r="AC105" s="579">
        <f t="shared" si="100"/>
        <v>1</v>
      </c>
      <c r="AD105" s="580">
        <f t="shared" si="146"/>
        <v>-9.6469061020945084E-3</v>
      </c>
      <c r="AE105" s="572">
        <f t="shared" si="101"/>
        <v>0.99528704203591878</v>
      </c>
      <c r="AF105" s="576">
        <f t="shared" si="102"/>
        <v>-9.6491663671265507E-2</v>
      </c>
      <c r="AG105" s="545">
        <f t="shared" si="103"/>
        <v>84.462561211506809</v>
      </c>
      <c r="AH105" s="546">
        <f t="shared" si="104"/>
        <v>90.552735578421604</v>
      </c>
      <c r="AI105" s="528">
        <f t="shared" si="105"/>
        <v>-84.462819687488533</v>
      </c>
      <c r="AJ105" s="529">
        <f t="shared" si="106"/>
        <v>-179.44467307041455</v>
      </c>
      <c r="AK105" s="578">
        <f t="shared" si="247"/>
        <v>0.85484538420169642</v>
      </c>
      <c r="AL105" s="572">
        <f t="shared" si="107"/>
        <v>-0.50983205857517955</v>
      </c>
      <c r="AM105" s="577">
        <f t="shared" si="108"/>
        <v>-9.6491663671265507E-2</v>
      </c>
      <c r="AN105" s="524">
        <f t="shared" si="109"/>
        <v>-79.282868032457088</v>
      </c>
      <c r="AO105" s="525">
        <f t="shared" si="604"/>
        <v>31.25734230601833</v>
      </c>
      <c r="AP105" s="528">
        <f t="shared" si="111"/>
        <v>-30.811962624428578</v>
      </c>
      <c r="AQ105" s="529">
        <f t="shared" ref="AQ105:AQ136" si="927">IF(M105="","",DEGREES(ATAN(($AS$5*SIN(RADIANS(90)))/(($X105*2*PI())-($AS$5*COS(RADIANS(90)))))))</f>
        <v>0.27194398795820562</v>
      </c>
      <c r="AS105" s="954">
        <f t="shared" si="755"/>
        <v>121.70153092410131</v>
      </c>
      <c r="AT105" s="950">
        <f t="shared" ref="AT105:AT136" si="928">IF(M105="","",Y105+(((AS105-$AS$9)*$AS$6)*-1))</f>
        <v>-2.4880503724240026</v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>
        <f t="shared" si="855"/>
        <v>5.1660000000000004</v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>
        <f t="shared" ref="IL105:IL136" si="990">IF(ISNUMBER($IK105),INDEX($K$9:$K$150,MATCH($IK105,$M$9:$M$150,0)),$K105)</f>
        <v>1613</v>
      </c>
      <c r="IM105" s="482" t="str">
        <f t="shared" si="856"/>
        <v/>
      </c>
      <c r="IN105" s="670" t="str">
        <f t="shared" ref="IN105:IN136" si="991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92">IF(ISNUMBER($IK105),(($IQ105*12)/60)/$AS$3,"")</f>
        <v/>
      </c>
      <c r="IQ105" s="714"/>
      <c r="IR105" s="9" t="str">
        <f t="shared" ref="IR105:IR136" si="993">IF(ISNUMBER($IK105),(INDEX($X$9:$X$150,MATCH($IK105,$M$9:$M$150,0))*-1),"")</f>
        <v/>
      </c>
      <c r="IS105" s="5" t="str">
        <f t="shared" ref="IS105:IS136" si="994">IF(ISNUMBER($IK105),INDEX($Y$9:$Y$150,MATCH($IK105,$M$9:$M$150,0)),"")</f>
        <v/>
      </c>
      <c r="IT105" s="5" t="str">
        <f t="shared" ref="IT105:IT136" si="995">IF(ISNUMBER($IK105),INDEX($H$9:$H$150,MATCH($IK105,$M$9:$M$150,0)),"")</f>
        <v/>
      </c>
      <c r="IU105" s="5" t="str">
        <f t="shared" ref="IU105:IU136" si="996">IF(ISNUMBER($IK105),$IT105*COS(RADIANS(INDEX($AO$9:$AO$150,MATCH($IK105,$M$9:$M$150,0)))),"")</f>
        <v/>
      </c>
      <c r="IV105" s="670" t="str">
        <f t="shared" ref="IV105:IV136" si="997">IF(ISNUMBER($IK105),(-1*INDEX($AN$9:$AN$150,MATCH($IK105,$M$9:$M$150,0))),"")</f>
        <v/>
      </c>
      <c r="IW105" s="9" t="str">
        <f t="shared" ref="IW105:IW136" si="998">IF(ISNUMBER($IK105),-$X105,"")</f>
        <v/>
      </c>
      <c r="IX105" s="5" t="str">
        <f t="shared" ref="IX105:IX136" si="999">IF(ISNUMBER($IK105),$Y105,"")</f>
        <v/>
      </c>
      <c r="IY105" s="5" t="str">
        <f t="shared" ref="IY105:IY136" si="1000">IF(ISNUMBER($IK105),$H105,"")</f>
        <v/>
      </c>
      <c r="IZ105" s="5" t="str">
        <f t="shared" ref="IZ105:IZ136" si="1001">IF(ISNUMBER($IK105),$IY105*COS(RADIANS($AO105)),"")</f>
        <v/>
      </c>
      <c r="JA105" s="705" t="str">
        <f t="shared" ref="JA105:JA136" si="1002">IF(ISNUMBER($IK105),(-1*$AN105),"")</f>
        <v/>
      </c>
      <c r="JN105" s="960"/>
      <c r="JO105" s="162"/>
      <c r="JP105" s="961"/>
      <c r="JQ105" s="961"/>
    </row>
    <row r="106" spans="1:277" ht="15" customHeight="1" x14ac:dyDescent="0.25">
      <c r="A106" s="75">
        <f t="shared" si="917"/>
        <v>0.02</v>
      </c>
      <c r="B106" s="578">
        <f t="shared" ref="B106:D106" si="1003">IFERROR(O261+($A106*-E106),"")</f>
        <v>-7.226051706411134</v>
      </c>
      <c r="C106" s="572">
        <f t="shared" si="1003"/>
        <v>-4.406170734524598</v>
      </c>
      <c r="D106" s="576">
        <f t="shared" si="1003"/>
        <v>-3.4009420665466177</v>
      </c>
      <c r="E106" s="580">
        <f t="shared" ref="E106:K106" si="1004">R261</f>
        <v>-6.2323213129158714E-2</v>
      </c>
      <c r="F106" s="572">
        <f t="shared" si="1004"/>
        <v>-0.99738505447030235</v>
      </c>
      <c r="G106" s="579">
        <f t="shared" si="1004"/>
        <v>3.6590575624462315E-2</v>
      </c>
      <c r="H106" s="580">
        <f t="shared" si="1004"/>
        <v>0.3125</v>
      </c>
      <c r="I106" s="572">
        <f t="shared" si="1004"/>
        <v>0.52</v>
      </c>
      <c r="J106" s="483">
        <f t="shared" si="728"/>
        <v>5.1719999999999997</v>
      </c>
      <c r="K106" s="806">
        <f t="shared" si="1004"/>
        <v>1613</v>
      </c>
      <c r="L106" s="309"/>
      <c r="M106" s="164">
        <f t="shared" si="920"/>
        <v>5.1719999999999997</v>
      </c>
      <c r="N106" s="575">
        <f t="shared" si="921"/>
        <v>-7.226051706411134</v>
      </c>
      <c r="O106" s="572">
        <f t="shared" si="922"/>
        <v>-4.406170734524598</v>
      </c>
      <c r="P106" s="576">
        <f t="shared" si="923"/>
        <v>-3.4009420665466177</v>
      </c>
      <c r="Q106" s="528">
        <f t="shared" si="729"/>
        <v>211.37324585021994</v>
      </c>
      <c r="R106" s="572">
        <f t="shared" ref="R106:R129" si="1005">IF(M106="","",SQRT(N106^2+O106^2))</f>
        <v>8.463460510069643</v>
      </c>
      <c r="S106" s="577">
        <f t="shared" ref="S106:S129" si="1006">IF(M106="","",P106)</f>
        <v>-3.4009420665466177</v>
      </c>
      <c r="T106" s="578">
        <f t="shared" ref="T106:T129" si="1007">IF(M106="","",X106*COS(RADIANS(W106)))</f>
        <v>-4.4482495072440233</v>
      </c>
      <c r="U106" s="572">
        <f t="shared" ref="U106:U129" si="1008">IF(M106="","",X106*SIN(RADIANS(W106)))</f>
        <v>7.2002250052905712</v>
      </c>
      <c r="V106" s="579">
        <f t="shared" ref="V106:V129" si="1009">IF(M106="","",Y106)</f>
        <v>-3.4009420665466177</v>
      </c>
      <c r="W106" s="528">
        <f t="shared" si="866"/>
        <v>121.70748722030721</v>
      </c>
      <c r="X106" s="572">
        <f t="shared" ref="X106:X129" si="1010">IF(M106="","",R106)</f>
        <v>8.463460510069643</v>
      </c>
      <c r="Y106" s="573">
        <f t="shared" si="859"/>
        <v>-3.4009420665466177</v>
      </c>
      <c r="Z106" s="575">
        <f t="shared" si="924"/>
        <v>6.2323213129158714E-2</v>
      </c>
      <c r="AA106" s="572">
        <f t="shared" si="925"/>
        <v>0.99738505447030235</v>
      </c>
      <c r="AB106" s="572">
        <f t="shared" si="926"/>
        <v>-3.6590575624462315E-2</v>
      </c>
      <c r="AC106" s="579">
        <f t="shared" ref="AC106:AC129" si="1011">IF(M106="","",SQRT(Z106^2+AA106^2+AB106^2))</f>
        <v>1</v>
      </c>
      <c r="AD106" s="580">
        <f t="shared" ref="AD106:AD129" si="1012">IF(M106="","",Z106*(1/SQRT(Z106^2+AA106^2+AB106^2)))</f>
        <v>6.2323213129158714E-2</v>
      </c>
      <c r="AE106" s="572">
        <f t="shared" ref="AE106:AE129" si="1013">IF(M106="","",AA106*(1/SQRT(Z106^2+AA106^2+AB106^2)))</f>
        <v>0.99738505447030235</v>
      </c>
      <c r="AF106" s="576">
        <f t="shared" ref="AF106:AF129" si="1014">IF(M106="","",AB106*(1/SQRT(Z106^2+AA106^2+AB106^2)))</f>
        <v>-3.6590575624462315E-2</v>
      </c>
      <c r="AG106" s="545">
        <f t="shared" ref="AG106:AG129" si="1015">IF(M106="","",DEGREES(ATAN2(-AF106,AE106)))</f>
        <v>87.898960136414189</v>
      </c>
      <c r="AH106" s="546">
        <f t="shared" ref="AH106:AH129" si="1016">IF(M106="","",DEGREES(ACOS(AD106)))</f>
        <v>86.426827228493778</v>
      </c>
      <c r="AI106" s="528">
        <f t="shared" ref="AI106:AI129" si="1017">IF(M106="","",DEGREES(-ACOS(-AF106)))</f>
        <v>-87.903046344334157</v>
      </c>
      <c r="AJ106" s="529">
        <f t="shared" ref="AJ106:AJ129" si="1018">IF(M106="","",DEGREES(ATAN2(-AE106,AD106)))</f>
        <v>176.42442970445163</v>
      </c>
      <c r="AK106" s="578">
        <f t="shared" ref="AK106:AK129" si="1019">IF(M106="","",(COS(RADIANS((90-$Q$8)-W106))*AD106)+(-SIN(RADIANS((90-$Q$8)-W106))*AE106))</f>
        <v>0.81911521283577249</v>
      </c>
      <c r="AL106" s="572">
        <f t="shared" ref="AL106:AL129" si="1020">IF(M106="","",(SIN(RADIANS((90-$Q$8)-W106))*AD106)+(COS(RADIANS((90-$Q$8)-W106))*AE106))</f>
        <v>-0.5724608264994886</v>
      </c>
      <c r="AM106" s="577">
        <f t="shared" ref="AM106:AM129" si="1021">IF(M106="","",AF106)</f>
        <v>-3.6590575624462315E-2</v>
      </c>
      <c r="AN106" s="524">
        <f t="shared" ref="AN106:AN129" si="1022">IF(M106="","",DEGREES(ATAN2(-AM106,AL106)))</f>
        <v>-86.34274109352863</v>
      </c>
      <c r="AO106" s="525">
        <f t="shared" si="604"/>
        <v>35.003679004114765</v>
      </c>
      <c r="AP106" s="528">
        <f t="shared" ref="AP106:AP129" si="1023">IF(M106="","",DEGREES(ATAN2(AK106,AL106)))</f>
        <v>-34.948816145768319</v>
      </c>
      <c r="AQ106" s="529">
        <f t="shared" si="927"/>
        <v>0.26935906822473915</v>
      </c>
      <c r="AS106" s="954">
        <f t="shared" si="755"/>
        <v>121.70748722030721</v>
      </c>
      <c r="AT106" s="950">
        <f t="shared" si="928"/>
        <v>-3.2373587504947023</v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>
        <f t="shared" si="855"/>
        <v>5.1719999999999997</v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>
        <f t="shared" si="990"/>
        <v>1613</v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>
        <f t="shared" si="917"/>
        <v>0.02</v>
      </c>
      <c r="B107" s="578">
        <f t="shared" ref="B107:D107" si="1027">IFERROR(O262+($A107*-E107),"")</f>
        <v>-7.2927369062798126</v>
      </c>
      <c r="C107" s="572">
        <f t="shared" si="1027"/>
        <v>-4.4203036606912951</v>
      </c>
      <c r="D107" s="576">
        <f t="shared" si="1027"/>
        <v>-4.152012525385385</v>
      </c>
      <c r="E107" s="580">
        <f t="shared" ref="E107:K107" si="1028">R262</f>
        <v>-0.1508466388365407</v>
      </c>
      <c r="F107" s="572">
        <f t="shared" si="1028"/>
        <v>-0.98855717667300214</v>
      </c>
      <c r="G107" s="579">
        <f t="shared" si="1028"/>
        <v>1.4578093197128142E-7</v>
      </c>
      <c r="H107" s="580">
        <f t="shared" si="1028"/>
        <v>0.3125</v>
      </c>
      <c r="I107" s="572">
        <f t="shared" si="1028"/>
        <v>0.52</v>
      </c>
      <c r="J107" s="483">
        <f t="shared" si="728"/>
        <v>5.1779999999999999</v>
      </c>
      <c r="K107" s="806">
        <f t="shared" si="1028"/>
        <v>1613</v>
      </c>
      <c r="L107" s="309"/>
      <c r="M107" s="164">
        <f t="shared" si="920"/>
        <v>5.1779999999999999</v>
      </c>
      <c r="N107" s="575">
        <f t="shared" si="921"/>
        <v>-7.2927369062798126</v>
      </c>
      <c r="O107" s="572">
        <f t="shared" si="922"/>
        <v>-4.4203036606912951</v>
      </c>
      <c r="P107" s="576">
        <f t="shared" si="923"/>
        <v>-4.152012525385385</v>
      </c>
      <c r="Q107" s="528">
        <f t="shared" si="729"/>
        <v>211.22106372556016</v>
      </c>
      <c r="R107" s="572">
        <f t="shared" si="1005"/>
        <v>8.5277837705312685</v>
      </c>
      <c r="S107" s="577">
        <f t="shared" si="1006"/>
        <v>-4.152012525385385</v>
      </c>
      <c r="T107" s="578">
        <f t="shared" si="1007"/>
        <v>-4.4627712063350664</v>
      </c>
      <c r="U107" s="572">
        <f t="shared" si="1008"/>
        <v>7.2668266249335511</v>
      </c>
      <c r="V107" s="579">
        <f t="shared" si="1009"/>
        <v>-4.152012525385385</v>
      </c>
      <c r="W107" s="528">
        <f t="shared" si="866"/>
        <v>121.55530509564743</v>
      </c>
      <c r="X107" s="572">
        <f t="shared" si="1010"/>
        <v>8.5277837705312685</v>
      </c>
      <c r="Y107" s="573">
        <f t="shared" si="859"/>
        <v>-4.152012525385385</v>
      </c>
      <c r="Z107" s="575">
        <f t="shared" si="924"/>
        <v>0.1508466388365407</v>
      </c>
      <c r="AA107" s="572">
        <f t="shared" si="925"/>
        <v>0.98855717667300214</v>
      </c>
      <c r="AB107" s="572">
        <f t="shared" si="926"/>
        <v>-1.4578093197128142E-7</v>
      </c>
      <c r="AC107" s="579">
        <f t="shared" si="1011"/>
        <v>1</v>
      </c>
      <c r="AD107" s="580">
        <f t="shared" si="1012"/>
        <v>0.1508466388365407</v>
      </c>
      <c r="AE107" s="572">
        <f t="shared" si="1013"/>
        <v>0.98855717667300214</v>
      </c>
      <c r="AF107" s="576">
        <f t="shared" si="1014"/>
        <v>-1.4578093197128142E-7</v>
      </c>
      <c r="AG107" s="545">
        <f t="shared" si="1015"/>
        <v>89.999991550683831</v>
      </c>
      <c r="AH107" s="546">
        <f t="shared" si="1016"/>
        <v>81.324006306034093</v>
      </c>
      <c r="AI107" s="528">
        <f t="shared" si="1017"/>
        <v>-89.999991647367864</v>
      </c>
      <c r="AJ107" s="529">
        <f t="shared" si="1018"/>
        <v>171.32400630603399</v>
      </c>
      <c r="AK107" s="578">
        <f t="shared" si="1019"/>
        <v>0.7671980941926777</v>
      </c>
      <c r="AL107" s="572">
        <f t="shared" si="1020"/>
        <v>-0.64141023087186722</v>
      </c>
      <c r="AM107" s="577">
        <f t="shared" si="1021"/>
        <v>-1.4578093197128142E-7</v>
      </c>
      <c r="AN107" s="524">
        <f t="shared" si="1022"/>
        <v>-89.999986977706726</v>
      </c>
      <c r="AO107" s="525">
        <f t="shared" si="604"/>
        <v>39.897057419526881</v>
      </c>
      <c r="AP107" s="528">
        <f t="shared" si="1023"/>
        <v>-39.897057419526163</v>
      </c>
      <c r="AQ107" s="529">
        <f t="shared" si="927"/>
        <v>0.26732737962124337</v>
      </c>
      <c r="AS107" s="954">
        <f t="shared" ref="AS107:AS138" si="1029">IF(G107="","",IF(AND(W107&lt;(AS106+180),W107&gt;(AS106-180)),W107,IF(W107&gt;(AS106+180),W107-360,IF(W107&lt;(AS106-180),W107+360,"Error"))))</f>
        <v>121.55530509564743</v>
      </c>
      <c r="AT107" s="950">
        <f t="shared" si="928"/>
        <v>-3.9883235273024562</v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>
        <f t="shared" si="855"/>
        <v>5.1779999999999999</v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>
        <f t="shared" si="990"/>
        <v>1613</v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>
        <f t="shared" si="917"/>
        <v>0</v>
      </c>
      <c r="B108" s="578">
        <f t="shared" ref="B108:D108" si="1032">IFERROR(O263+($A108*-E108),"")</f>
        <v>-4.6912083298435148</v>
      </c>
      <c r="C108" s="572">
        <f t="shared" si="1032"/>
        <v>-1.9363263621513349</v>
      </c>
      <c r="D108" s="576">
        <f t="shared" si="1032"/>
        <v>-2.0500016588050028E-2</v>
      </c>
      <c r="E108" s="580">
        <f t="shared" ref="E108:K108" si="1033">R263</f>
        <v>8.652984434653371E-8</v>
      </c>
      <c r="F108" s="572">
        <f t="shared" si="1033"/>
        <v>-2.0963900212950019E-7</v>
      </c>
      <c r="G108" s="579">
        <f t="shared" si="1033"/>
        <v>0.99999999999997435</v>
      </c>
      <c r="H108" s="580">
        <f t="shared" si="1033"/>
        <v>0.255</v>
      </c>
      <c r="I108" s="572">
        <f t="shared" si="1033"/>
        <v>0.41499999999999992</v>
      </c>
      <c r="J108" s="483">
        <f t="shared" si="728"/>
        <v>5.23</v>
      </c>
      <c r="K108" s="806" t="str">
        <f t="shared" si="1033"/>
        <v>CPS-32193r1</v>
      </c>
      <c r="L108" s="309"/>
      <c r="M108" s="164">
        <f t="shared" si="920"/>
        <v>5.23</v>
      </c>
      <c r="N108" s="575">
        <f t="shared" si="921"/>
        <v>-4.6912083298435148</v>
      </c>
      <c r="O108" s="572">
        <f t="shared" si="922"/>
        <v>-1.9363263621513349</v>
      </c>
      <c r="P108" s="576">
        <f t="shared" si="923"/>
        <v>-2.0500016588050028E-2</v>
      </c>
      <c r="Q108" s="528">
        <f t="shared" si="729"/>
        <v>202.42870181507089</v>
      </c>
      <c r="R108" s="572">
        <f t="shared" si="1005"/>
        <v>5.0751153065477634</v>
      </c>
      <c r="S108" s="577">
        <f t="shared" si="1006"/>
        <v>-2.0500016588050028E-2</v>
      </c>
      <c r="T108" s="578">
        <f t="shared" si="1007"/>
        <v>-1.9636599505363426</v>
      </c>
      <c r="U108" s="572">
        <f t="shared" si="1008"/>
        <v>4.6798327933180488</v>
      </c>
      <c r="V108" s="579">
        <f t="shared" si="1009"/>
        <v>-2.0500016588050028E-2</v>
      </c>
      <c r="W108" s="528">
        <f t="shared" si="866"/>
        <v>112.76294318515816</v>
      </c>
      <c r="X108" s="572">
        <f t="shared" si="1010"/>
        <v>5.0751153065477634</v>
      </c>
      <c r="Y108" s="573">
        <f t="shared" si="859"/>
        <v>-2.0500016588050028E-2</v>
      </c>
      <c r="Z108" s="575">
        <f t="shared" si="924"/>
        <v>-8.652984434653371E-8</v>
      </c>
      <c r="AA108" s="572">
        <f t="shared" si="925"/>
        <v>2.0963900212950019E-7</v>
      </c>
      <c r="AB108" s="572">
        <f t="shared" si="926"/>
        <v>-0.99999999999997435</v>
      </c>
      <c r="AC108" s="579">
        <f t="shared" si="1011"/>
        <v>1</v>
      </c>
      <c r="AD108" s="580">
        <f t="shared" si="1012"/>
        <v>-8.652984434653371E-8</v>
      </c>
      <c r="AE108" s="572">
        <f t="shared" si="1013"/>
        <v>2.0963900212950019E-7</v>
      </c>
      <c r="AF108" s="576">
        <f t="shared" si="1014"/>
        <v>-0.99999999999997435</v>
      </c>
      <c r="AG108" s="545">
        <f t="shared" si="1015"/>
        <v>1.201143004335457E-5</v>
      </c>
      <c r="AH108" s="546">
        <f t="shared" si="1016"/>
        <v>90.000004957794886</v>
      </c>
      <c r="AI108" s="528">
        <f t="shared" si="1017"/>
        <v>-1.2976235990044085E-5</v>
      </c>
      <c r="AJ108" s="529">
        <f t="shared" si="1018"/>
        <v>-157.57129817397427</v>
      </c>
      <c r="AK108" s="578">
        <f t="shared" si="1019"/>
        <v>2.2679489671614731E-7</v>
      </c>
      <c r="AL108" s="572">
        <f t="shared" si="1020"/>
        <v>4.3362700299271232E-17</v>
      </c>
      <c r="AM108" s="577">
        <f t="shared" si="1021"/>
        <v>-0.99999999999997435</v>
      </c>
      <c r="AN108" s="524">
        <f t="shared" si="1022"/>
        <v>2.4844997154389767E-15</v>
      </c>
      <c r="AO108" s="525">
        <f t="shared" si="604"/>
        <v>0</v>
      </c>
      <c r="AP108" s="528">
        <f t="shared" si="1023"/>
        <v>1.0954830780643497E-8</v>
      </c>
      <c r="AQ108" s="529">
        <f t="shared" si="927"/>
        <v>0.44918780916637924</v>
      </c>
      <c r="AS108" s="954">
        <f t="shared" si="1029"/>
        <v>112.76294318515816</v>
      </c>
      <c r="AT108" s="950">
        <f t="shared" si="928"/>
        <v>0.14929478837716306</v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>Nose</v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>
        <f t="shared" si="855"/>
        <v>5.23</v>
      </c>
      <c r="IJ108" s="674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5.13</v>
      </c>
      <c r="IK108" s="677" cm="1">
        <f t="array" ref="IK108">IFERROR(ROUND(VALUE(IF($IJ108&lt;1,$IJ108+LARGE((IF($M$9:$M$150="",0,$M$9:$M$150)-MOD(IF($M$9:$M$150="",0,$M$9:$M$150),1)),1),$IJ108)),4),"")</f>
        <v>5.13</v>
      </c>
      <c r="IL108" s="482">
        <f t="shared" si="990"/>
        <v>1613</v>
      </c>
      <c r="IM108" s="482" t="str">
        <f t="shared" si="856"/>
        <v>CPS-32193r1</v>
      </c>
      <c r="IN108" s="670">
        <f t="shared" si="991"/>
        <v>11.857112132503318</v>
      </c>
      <c r="IO108" s="702">
        <v>1.7020127572882401E-2</v>
      </c>
      <c r="IP108" s="5">
        <f t="shared" si="992"/>
        <v>0.5</v>
      </c>
      <c r="IQ108" s="714">
        <v>250</v>
      </c>
      <c r="IR108" s="9">
        <f t="shared" si="993"/>
        <v>-5.0627791014173784</v>
      </c>
      <c r="IS108" s="5">
        <f t="shared" si="994"/>
        <v>-4.736601319011749E-2</v>
      </c>
      <c r="IT108" s="5">
        <f t="shared" si="995"/>
        <v>0.3125</v>
      </c>
      <c r="IU108" s="5">
        <f t="shared" si="996"/>
        <v>0.30131342228569119</v>
      </c>
      <c r="IV108" s="670">
        <f t="shared" si="997"/>
        <v>13.071744771419109</v>
      </c>
      <c r="IW108" s="9">
        <f t="shared" si="998"/>
        <v>-5.0751153065477634</v>
      </c>
      <c r="IX108" s="5">
        <f t="shared" si="999"/>
        <v>-2.0500016588050028E-2</v>
      </c>
      <c r="IY108" s="5">
        <f t="shared" si="1000"/>
        <v>0.255</v>
      </c>
      <c r="IZ108" s="5">
        <f t="shared" si="1001"/>
        <v>0.255</v>
      </c>
      <c r="JA108" s="705">
        <f t="shared" si="1002"/>
        <v>-2.4844997154389767E-15</v>
      </c>
      <c r="JN108" s="960"/>
      <c r="JO108" s="162"/>
      <c r="JP108" s="961"/>
      <c r="JQ108" s="961"/>
    </row>
    <row r="109" spans="1:277" ht="15" customHeight="1" x14ac:dyDescent="0.25">
      <c r="A109" s="75">
        <f t="shared" si="917"/>
        <v>0</v>
      </c>
      <c r="B109" s="578">
        <f t="shared" ref="B109:D109" si="1034">IFERROR(O264+($A109*-E109),"")</f>
        <v>-5.4172473847942824</v>
      </c>
      <c r="C109" s="572">
        <f t="shared" si="1034"/>
        <v>-2.2161332123254396</v>
      </c>
      <c r="D109" s="576">
        <f t="shared" si="1034"/>
        <v>-0.10110025967838331</v>
      </c>
      <c r="E109" s="580">
        <f t="shared" ref="E109:K109" si="1035">R264</f>
        <v>-0.14797756827520833</v>
      </c>
      <c r="F109" s="572">
        <f t="shared" si="1035"/>
        <v>-6.0536155703148124E-2</v>
      </c>
      <c r="G109" s="579">
        <f t="shared" si="1035"/>
        <v>0.9871362687795644</v>
      </c>
      <c r="H109" s="580">
        <f t="shared" si="1035"/>
        <v>0.255</v>
      </c>
      <c r="I109" s="572">
        <f t="shared" si="1035"/>
        <v>0.41499999999999992</v>
      </c>
      <c r="J109" s="483">
        <f t="shared" si="728"/>
        <v>5.2359999999999998</v>
      </c>
      <c r="K109" s="806" t="str">
        <f t="shared" si="1035"/>
        <v>CPS-32193r1</v>
      </c>
      <c r="L109" s="309"/>
      <c r="M109" s="164">
        <f t="shared" si="920"/>
        <v>5.2359999999999998</v>
      </c>
      <c r="N109" s="575">
        <f t="shared" si="921"/>
        <v>-5.4172473847942824</v>
      </c>
      <c r="O109" s="572">
        <f t="shared" si="922"/>
        <v>-2.2161332123254396</v>
      </c>
      <c r="P109" s="576">
        <f t="shared" si="923"/>
        <v>-0.10110025967838331</v>
      </c>
      <c r="Q109" s="528">
        <f t="shared" si="729"/>
        <v>202.2489018410308</v>
      </c>
      <c r="R109" s="572">
        <f t="shared" si="1005"/>
        <v>5.8530176527012427</v>
      </c>
      <c r="S109" s="577">
        <f t="shared" si="1006"/>
        <v>-0.10110025967838331</v>
      </c>
      <c r="T109" s="578">
        <f t="shared" si="1007"/>
        <v>-2.24769744608018</v>
      </c>
      <c r="U109" s="572">
        <f t="shared" si="1008"/>
        <v>5.4042272189201119</v>
      </c>
      <c r="V109" s="579">
        <f t="shared" si="1009"/>
        <v>-0.10110025967838331</v>
      </c>
      <c r="W109" s="528">
        <f t="shared" si="866"/>
        <v>112.58314321111807</v>
      </c>
      <c r="X109" s="572">
        <f t="shared" si="1010"/>
        <v>5.8530176527012427</v>
      </c>
      <c r="Y109" s="573">
        <f t="shared" si="859"/>
        <v>-0.10110025967838331</v>
      </c>
      <c r="Z109" s="575">
        <f t="shared" si="924"/>
        <v>0.14797756827520833</v>
      </c>
      <c r="AA109" s="572">
        <f t="shared" si="925"/>
        <v>6.0536155703148124E-2</v>
      </c>
      <c r="AB109" s="572">
        <f t="shared" si="926"/>
        <v>-0.9871362687795644</v>
      </c>
      <c r="AC109" s="579">
        <f t="shared" si="1011"/>
        <v>1</v>
      </c>
      <c r="AD109" s="580">
        <f t="shared" si="1012"/>
        <v>0.14797756827520833</v>
      </c>
      <c r="AE109" s="572">
        <f t="shared" si="1013"/>
        <v>6.0536155703148124E-2</v>
      </c>
      <c r="AF109" s="576">
        <f t="shared" si="1014"/>
        <v>-0.9871362687795644</v>
      </c>
      <c r="AG109" s="545">
        <f t="shared" si="1015"/>
        <v>3.5092703031217511</v>
      </c>
      <c r="AH109" s="546">
        <f t="shared" si="1016"/>
        <v>81.490258177290457</v>
      </c>
      <c r="AI109" s="528">
        <f t="shared" si="1017"/>
        <v>-9.1999986716936011</v>
      </c>
      <c r="AJ109" s="529">
        <f t="shared" si="1018"/>
        <v>112.24898311633557</v>
      </c>
      <c r="AK109" s="578">
        <f t="shared" si="1019"/>
        <v>2.2679489670995867E-7</v>
      </c>
      <c r="AL109" s="572">
        <f t="shared" si="1020"/>
        <v>-0.15988116480657844</v>
      </c>
      <c r="AM109" s="577">
        <f t="shared" si="1021"/>
        <v>-0.9871362687795644</v>
      </c>
      <c r="AN109" s="524">
        <f t="shared" si="1022"/>
        <v>-9.1999986716845328</v>
      </c>
      <c r="AO109" s="525">
        <f t="shared" si="604"/>
        <v>0</v>
      </c>
      <c r="AP109" s="528">
        <f t="shared" si="1023"/>
        <v>-89.999918724695235</v>
      </c>
      <c r="AQ109" s="529">
        <f t="shared" si="927"/>
        <v>0.38948994361776212</v>
      </c>
      <c r="AS109" s="954">
        <f t="shared" si="1029"/>
        <v>112.58314321111807</v>
      </c>
      <c r="AT109" s="950">
        <f t="shared" si="928"/>
        <v>6.8819406379913226E-2</v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>Nose</v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>
        <f t="shared" si="855"/>
        <v>5.2359999999999998</v>
      </c>
      <c r="IJ109" s="674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5.1360000000000001</v>
      </c>
      <c r="IK109" s="677" cm="1">
        <f t="array" ref="IK109">IFERROR(ROUND(VALUE(IF($IJ109&lt;1,$IJ109+LARGE((IF($M$9:$M$150="",0,$M$9:$M$150)-MOD(IF($M$9:$M$150="",0,$M$9:$M$150),1)),1),$IJ109)),4),"")</f>
        <v>5.1360000000000001</v>
      </c>
      <c r="IL109" s="482">
        <f t="shared" si="990"/>
        <v>1613</v>
      </c>
      <c r="IM109" s="482" t="str">
        <f t="shared" si="856"/>
        <v>CPS-32193r1</v>
      </c>
      <c r="IN109" s="670">
        <f t="shared" si="991"/>
        <v>11.517091894330065</v>
      </c>
      <c r="IO109" s="702">
        <v>1.33160716584316E-2</v>
      </c>
      <c r="IP109" s="5">
        <f t="shared" si="992"/>
        <v>0.46</v>
      </c>
      <c r="IQ109" s="714">
        <v>230</v>
      </c>
      <c r="IR109" s="9">
        <f t="shared" si="993"/>
        <v>-5.8274703982962395</v>
      </c>
      <c r="IS109" s="5">
        <f t="shared" si="994"/>
        <v>-0.12216832464883659</v>
      </c>
      <c r="IT109" s="5">
        <f t="shared" si="995"/>
        <v>0.3125</v>
      </c>
      <c r="IU109" s="5">
        <f t="shared" si="996"/>
        <v>0.30050929853472802</v>
      </c>
      <c r="IV109" s="670">
        <f t="shared" si="997"/>
        <v>29.66245907074461</v>
      </c>
      <c r="IW109" s="9">
        <f t="shared" si="998"/>
        <v>-5.8530176527012427</v>
      </c>
      <c r="IX109" s="5">
        <f t="shared" si="999"/>
        <v>-0.10110025967838331</v>
      </c>
      <c r="IY109" s="5">
        <f t="shared" si="1000"/>
        <v>0.255</v>
      </c>
      <c r="IZ109" s="5">
        <f t="shared" si="1001"/>
        <v>0.255</v>
      </c>
      <c r="JA109" s="705">
        <f t="shared" si="1002"/>
        <v>9.1999986716845328</v>
      </c>
      <c r="JN109" s="960"/>
      <c r="JO109" s="162"/>
      <c r="JP109" s="961"/>
      <c r="JQ109" s="961"/>
    </row>
    <row r="110" spans="1:277" ht="15" customHeight="1" x14ac:dyDescent="0.25">
      <c r="A110" s="75">
        <f t="shared" si="917"/>
        <v>0.02</v>
      </c>
      <c r="B110" s="578">
        <f t="shared" ref="B110:D110" si="1036">IFERROR(O265+($A110*-E110),"")</f>
        <v>-6.0366034800906565</v>
      </c>
      <c r="C110" s="572">
        <f t="shared" si="1036"/>
        <v>-2.6048772715516959</v>
      </c>
      <c r="D110" s="576">
        <f t="shared" si="1036"/>
        <v>-0.34115855500845194</v>
      </c>
      <c r="E110" s="580">
        <f t="shared" ref="E110:K110" si="1037">R265</f>
        <v>0.1213507837053239</v>
      </c>
      <c r="F110" s="572">
        <f t="shared" si="1037"/>
        <v>-0.95327085138988776</v>
      </c>
      <c r="G110" s="579">
        <f t="shared" si="1037"/>
        <v>0.27667430524807007</v>
      </c>
      <c r="H110" s="580">
        <f t="shared" si="1037"/>
        <v>0.26450000000000001</v>
      </c>
      <c r="I110" s="572">
        <f t="shared" si="1037"/>
        <v>0.52</v>
      </c>
      <c r="J110" s="483">
        <f t="shared" si="728"/>
        <v>5.242</v>
      </c>
      <c r="K110" s="806">
        <f t="shared" si="1037"/>
        <v>1313</v>
      </c>
      <c r="L110" s="309"/>
      <c r="M110" s="164">
        <f t="shared" si="920"/>
        <v>5.242</v>
      </c>
      <c r="N110" s="575">
        <f t="shared" si="921"/>
        <v>-6.0366034800906565</v>
      </c>
      <c r="O110" s="572">
        <f t="shared" si="922"/>
        <v>-2.6048772715516959</v>
      </c>
      <c r="P110" s="576">
        <f t="shared" si="923"/>
        <v>-0.34115855500845194</v>
      </c>
      <c r="Q110" s="528">
        <f t="shared" si="729"/>
        <v>203.3408608193738</v>
      </c>
      <c r="R110" s="572">
        <f t="shared" si="1005"/>
        <v>6.5746457832866732</v>
      </c>
      <c r="S110" s="577">
        <f t="shared" si="1006"/>
        <v>-0.34115855500845194</v>
      </c>
      <c r="T110" s="578">
        <f t="shared" si="1007"/>
        <v>-2.6400479535515755</v>
      </c>
      <c r="U110" s="572">
        <f t="shared" si="1008"/>
        <v>6.0213050062787365</v>
      </c>
      <c r="V110" s="579">
        <f t="shared" si="1009"/>
        <v>-0.34115855500845194</v>
      </c>
      <c r="W110" s="528">
        <f t="shared" si="866"/>
        <v>113.67510218946107</v>
      </c>
      <c r="X110" s="572">
        <f t="shared" si="1010"/>
        <v>6.5746457832866732</v>
      </c>
      <c r="Y110" s="573">
        <f t="shared" si="859"/>
        <v>-0.34115855500845194</v>
      </c>
      <c r="Z110" s="575">
        <f t="shared" si="924"/>
        <v>-0.1213507837053239</v>
      </c>
      <c r="AA110" s="572">
        <f t="shared" si="925"/>
        <v>0.95327085138988776</v>
      </c>
      <c r="AB110" s="572">
        <f t="shared" si="926"/>
        <v>-0.27667430524807007</v>
      </c>
      <c r="AC110" s="579">
        <f t="shared" si="1011"/>
        <v>1</v>
      </c>
      <c r="AD110" s="580">
        <f t="shared" si="1012"/>
        <v>-0.1213507837053239</v>
      </c>
      <c r="AE110" s="572">
        <f t="shared" si="1013"/>
        <v>0.95327085138988776</v>
      </c>
      <c r="AF110" s="576">
        <f t="shared" si="1014"/>
        <v>-0.27667430524807007</v>
      </c>
      <c r="AG110" s="545">
        <f t="shared" si="1015"/>
        <v>73.815325338301875</v>
      </c>
      <c r="AH110" s="546">
        <f t="shared" si="1016"/>
        <v>96.970066549943112</v>
      </c>
      <c r="AI110" s="528">
        <f t="shared" si="1017"/>
        <v>-73.938183296521075</v>
      </c>
      <c r="AJ110" s="529">
        <f t="shared" si="1018"/>
        <v>-172.74530292047049</v>
      </c>
      <c r="AK110" s="578">
        <f t="shared" si="1019"/>
        <v>0.92333826603407554</v>
      </c>
      <c r="AL110" s="572">
        <f t="shared" si="1020"/>
        <v>-0.26626636154926597</v>
      </c>
      <c r="AM110" s="577">
        <f t="shared" si="1021"/>
        <v>-0.27667430524807007</v>
      </c>
      <c r="AN110" s="524">
        <f t="shared" si="1022"/>
        <v>-43.901798567031584</v>
      </c>
      <c r="AO110" s="525">
        <f t="shared" si="604"/>
        <v>22.580901142418849</v>
      </c>
      <c r="AP110" s="528">
        <f t="shared" si="1023"/>
        <v>-16.086163739844284</v>
      </c>
      <c r="AQ110" s="529">
        <f t="shared" si="927"/>
        <v>0.34674093117374166</v>
      </c>
      <c r="AS110" s="954">
        <f t="shared" si="1029"/>
        <v>113.67510218946107</v>
      </c>
      <c r="AT110" s="950">
        <f t="shared" si="928"/>
        <v>-0.17199719379622697</v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>Taper</v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>
        <f t="shared" si="855"/>
        <v>5.242</v>
      </c>
      <c r="IJ110" s="674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5.1420000000000003</v>
      </c>
      <c r="IK110" s="677" cm="1">
        <f t="array" ref="IK110">IFERROR(ROUND(VALUE(IF($IJ110&lt;1,$IJ110+LARGE((IF($M$9:$M$150="",0,$M$9:$M$150)-MOD(IF($M$9:$M$150="",0,$M$9:$M$150),1)),1),$IJ110)),4),"")</f>
        <v>5.1420000000000003</v>
      </c>
      <c r="IL110" s="482">
        <f t="shared" si="990"/>
        <v>1613</v>
      </c>
      <c r="IM110" s="482">
        <f t="shared" si="856"/>
        <v>1313</v>
      </c>
      <c r="IN110" s="670">
        <f t="shared" si="991"/>
        <v>9.8313116969694647</v>
      </c>
      <c r="IO110" s="702">
        <v>1.52614126134069E-2</v>
      </c>
      <c r="IP110" s="5">
        <f t="shared" si="992"/>
        <v>0.68</v>
      </c>
      <c r="IQ110" s="714">
        <v>340</v>
      </c>
      <c r="IR110" s="9">
        <f t="shared" si="993"/>
        <v>-6.5448213623199187</v>
      </c>
      <c r="IS110" s="5">
        <f t="shared" si="994"/>
        <v>-0.36525886526828638</v>
      </c>
      <c r="IT110" s="5">
        <f t="shared" si="995"/>
        <v>0.3125</v>
      </c>
      <c r="IU110" s="5">
        <f t="shared" si="996"/>
        <v>0.29794856884114035</v>
      </c>
      <c r="IV110" s="670">
        <f t="shared" si="997"/>
        <v>43.742895942199134</v>
      </c>
      <c r="IW110" s="9">
        <f t="shared" si="998"/>
        <v>-6.5746457832866732</v>
      </c>
      <c r="IX110" s="5">
        <f t="shared" si="999"/>
        <v>-0.34115855500845194</v>
      </c>
      <c r="IY110" s="5">
        <f t="shared" si="1000"/>
        <v>0.26450000000000001</v>
      </c>
      <c r="IZ110" s="5">
        <f t="shared" si="1001"/>
        <v>0.24422297136601298</v>
      </c>
      <c r="JA110" s="705">
        <f t="shared" si="1002"/>
        <v>43.901798567031584</v>
      </c>
      <c r="JN110" s="960"/>
      <c r="JO110" s="162"/>
      <c r="JP110" s="961"/>
      <c r="JQ110" s="961"/>
    </row>
    <row r="111" spans="1:277" ht="15" customHeight="1" x14ac:dyDescent="0.25">
      <c r="A111" s="75">
        <f t="shared" si="917"/>
        <v>0.02</v>
      </c>
      <c r="B111" s="578">
        <f t="shared" ref="B111:D111" si="1038">IFERROR(O266+($A111*-E111),"")</f>
        <v>-6.6792202274348691</v>
      </c>
      <c r="C111" s="572">
        <f t="shared" si="1038"/>
        <v>-2.7569101059801691</v>
      </c>
      <c r="D111" s="576">
        <f t="shared" si="1038"/>
        <v>-0.74451070460248159</v>
      </c>
      <c r="E111" s="580">
        <f t="shared" ref="E111:K111" si="1039">R266</f>
        <v>1.4960589838305102E-2</v>
      </c>
      <c r="F111" s="572">
        <f t="shared" si="1039"/>
        <v>-0.96616597153243755</v>
      </c>
      <c r="G111" s="579">
        <f t="shared" si="1039"/>
        <v>0.25748688549996313</v>
      </c>
      <c r="H111" s="580">
        <f t="shared" si="1039"/>
        <v>0.26450000000000001</v>
      </c>
      <c r="I111" s="572">
        <f t="shared" si="1039"/>
        <v>0.52</v>
      </c>
      <c r="J111" s="483">
        <f t="shared" si="728"/>
        <v>5.2480000000000002</v>
      </c>
      <c r="K111" s="806">
        <f t="shared" si="1039"/>
        <v>1313</v>
      </c>
      <c r="L111" s="309"/>
      <c r="M111" s="164">
        <f t="shared" si="920"/>
        <v>5.2480000000000002</v>
      </c>
      <c r="N111" s="575">
        <f t="shared" si="921"/>
        <v>-6.6792202274348691</v>
      </c>
      <c r="O111" s="572">
        <f t="shared" si="922"/>
        <v>-2.7569101059801691</v>
      </c>
      <c r="P111" s="576">
        <f t="shared" si="923"/>
        <v>-0.74451070460248159</v>
      </c>
      <c r="Q111" s="528">
        <f t="shared" si="729"/>
        <v>202.42884156895229</v>
      </c>
      <c r="R111" s="572">
        <f t="shared" si="1005"/>
        <v>7.2258242560299442</v>
      </c>
      <c r="S111" s="577">
        <f t="shared" si="1006"/>
        <v>-0.74451070460248159</v>
      </c>
      <c r="T111" s="578">
        <f t="shared" si="1007"/>
        <v>-2.7958269568362915</v>
      </c>
      <c r="U111" s="572">
        <f t="shared" si="1008"/>
        <v>6.6630239235994209</v>
      </c>
      <c r="V111" s="579">
        <f t="shared" si="1009"/>
        <v>-0.74451070460248159</v>
      </c>
      <c r="W111" s="528">
        <f t="shared" si="866"/>
        <v>112.76308293903956</v>
      </c>
      <c r="X111" s="572">
        <f t="shared" si="1010"/>
        <v>7.2258242560299442</v>
      </c>
      <c r="Y111" s="573">
        <f t="shared" si="859"/>
        <v>-0.74451070460248159</v>
      </c>
      <c r="Z111" s="575">
        <f t="shared" si="924"/>
        <v>-1.4960589838305102E-2</v>
      </c>
      <c r="AA111" s="572">
        <f t="shared" si="925"/>
        <v>0.96616597153243755</v>
      </c>
      <c r="AB111" s="572">
        <f t="shared" si="926"/>
        <v>-0.25748688549996313</v>
      </c>
      <c r="AC111" s="579">
        <f t="shared" si="1011"/>
        <v>1</v>
      </c>
      <c r="AD111" s="580">
        <f t="shared" si="1012"/>
        <v>-1.4960589838305102E-2</v>
      </c>
      <c r="AE111" s="572">
        <f t="shared" si="1013"/>
        <v>0.96616597153243755</v>
      </c>
      <c r="AF111" s="576">
        <f t="shared" si="1014"/>
        <v>-0.25748688549996313</v>
      </c>
      <c r="AG111" s="545">
        <f t="shared" si="1015"/>
        <v>75.077296184530638</v>
      </c>
      <c r="AH111" s="546">
        <f t="shared" si="1016"/>
        <v>90.857210635495917</v>
      </c>
      <c r="AI111" s="528">
        <f t="shared" si="1017"/>
        <v>-75.079005082064924</v>
      </c>
      <c r="AJ111" s="529">
        <f t="shared" si="1018"/>
        <v>-179.11287482333915</v>
      </c>
      <c r="AK111" s="578">
        <f t="shared" si="1019"/>
        <v>0.89878746995759384</v>
      </c>
      <c r="AL111" s="572">
        <f t="shared" si="1020"/>
        <v>-0.35479795326742847</v>
      </c>
      <c r="AM111" s="577">
        <f t="shared" si="1021"/>
        <v>-0.25748688549996313</v>
      </c>
      <c r="AN111" s="524">
        <f t="shared" si="1022"/>
        <v>-54.030549012083689</v>
      </c>
      <c r="AO111" s="525">
        <f t="shared" si="604"/>
        <v>26.000859524685737</v>
      </c>
      <c r="AP111" s="528">
        <f t="shared" si="1023"/>
        <v>-21.541716392291441</v>
      </c>
      <c r="AQ111" s="529">
        <f t="shared" si="927"/>
        <v>0.31549391602871096</v>
      </c>
      <c r="AS111" s="954">
        <f t="shared" si="1029"/>
        <v>112.76308293903956</v>
      </c>
      <c r="AT111" s="950">
        <f t="shared" si="928"/>
        <v>-0.57471599668857498</v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>Taper</v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>
        <f t="shared" si="855"/>
        <v>5.2480000000000002</v>
      </c>
      <c r="IJ111" s="674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5.1479999999999997</v>
      </c>
      <c r="IK111" s="677" cm="1">
        <f t="array" ref="IK111">IFERROR(ROUND(VALUE(IF($IJ111&lt;1,$IJ111+LARGE((IF($M$9:$M$150="",0,$M$9:$M$150)-MOD(IF($M$9:$M$150="",0,$M$9:$M$150),1)),1),$IJ111)),4),"")</f>
        <v>5.1479999999999997</v>
      </c>
      <c r="IL111" s="482">
        <f t="shared" si="990"/>
        <v>1613</v>
      </c>
      <c r="IM111" s="482">
        <f t="shared" si="856"/>
        <v>1313</v>
      </c>
      <c r="IN111" s="670">
        <f t="shared" si="991"/>
        <v>10.147468546468275</v>
      </c>
      <c r="IO111" s="702">
        <v>1.4108410684331E-2</v>
      </c>
      <c r="IP111" s="5">
        <f t="shared" si="992"/>
        <v>0.72</v>
      </c>
      <c r="IQ111" s="714">
        <v>360</v>
      </c>
      <c r="IR111" s="9">
        <f t="shared" si="993"/>
        <v>-7.1906124517334948</v>
      </c>
      <c r="IS111" s="5">
        <f t="shared" si="994"/>
        <v>-0.76301576869863086</v>
      </c>
      <c r="IT111" s="5">
        <f t="shared" si="995"/>
        <v>0.3125</v>
      </c>
      <c r="IU111" s="5">
        <f t="shared" si="996"/>
        <v>0.29180712688500055</v>
      </c>
      <c r="IV111" s="670">
        <f t="shared" si="997"/>
        <v>53.932529265446725</v>
      </c>
      <c r="IW111" s="9">
        <f t="shared" si="998"/>
        <v>-7.2258242560299442</v>
      </c>
      <c r="IX111" s="5">
        <f t="shared" si="999"/>
        <v>-0.74451070460248159</v>
      </c>
      <c r="IY111" s="5">
        <f t="shared" si="1000"/>
        <v>0.26450000000000001</v>
      </c>
      <c r="IZ111" s="5">
        <f t="shared" si="1001"/>
        <v>0.23772928580378358</v>
      </c>
      <c r="JA111" s="705">
        <f t="shared" si="1002"/>
        <v>54.030549012083689</v>
      </c>
      <c r="JN111" s="960"/>
      <c r="JO111" s="162"/>
      <c r="JP111" s="961"/>
      <c r="JQ111" s="961"/>
    </row>
    <row r="112" spans="1:277" ht="15" customHeight="1" x14ac:dyDescent="0.25">
      <c r="A112" s="75">
        <f t="shared" si="917"/>
        <v>0.02</v>
      </c>
      <c r="B112" s="578">
        <f t="shared" ref="B112:D112" si="1040">IFERROR(O267+($A112*-E112),"")</f>
        <v>-7.2346932811641498</v>
      </c>
      <c r="C112" s="572">
        <f t="shared" si="1040"/>
        <v>-2.8309478285999035</v>
      </c>
      <c r="D112" s="576">
        <f t="shared" si="1040"/>
        <v>-1.2807888204739155</v>
      </c>
      <c r="E112" s="580">
        <f t="shared" ref="E112:K112" si="1041">R267</f>
        <v>-9.9620310595604875E-2</v>
      </c>
      <c r="F112" s="572">
        <f t="shared" si="1041"/>
        <v>-0.96714530798656884</v>
      </c>
      <c r="G112" s="579">
        <f t="shared" si="1041"/>
        <v>0.23389259705343443</v>
      </c>
      <c r="H112" s="580">
        <f t="shared" si="1041"/>
        <v>0.26450000000000001</v>
      </c>
      <c r="I112" s="572">
        <f t="shared" si="1041"/>
        <v>0.52</v>
      </c>
      <c r="J112" s="483">
        <f t="shared" si="728"/>
        <v>5.2539999999999996</v>
      </c>
      <c r="K112" s="806">
        <f t="shared" si="1041"/>
        <v>1313</v>
      </c>
      <c r="L112" s="309"/>
      <c r="M112" s="164">
        <f t="shared" si="920"/>
        <v>5.2539999999999996</v>
      </c>
      <c r="N112" s="575">
        <f t="shared" si="921"/>
        <v>-7.2346932811641498</v>
      </c>
      <c r="O112" s="572">
        <f t="shared" si="922"/>
        <v>-2.8309478285999035</v>
      </c>
      <c r="P112" s="576">
        <f t="shared" si="923"/>
        <v>-1.2807888204739155</v>
      </c>
      <c r="Q112" s="528">
        <f t="shared" si="729"/>
        <v>201.37049103944838</v>
      </c>
      <c r="R112" s="572">
        <f t="shared" si="1005"/>
        <v>7.768851426097438</v>
      </c>
      <c r="S112" s="577">
        <f t="shared" si="1006"/>
        <v>-1.2807888204739155</v>
      </c>
      <c r="T112" s="578">
        <f t="shared" si="1007"/>
        <v>-2.8731038157869468</v>
      </c>
      <c r="U112" s="572">
        <f t="shared" si="1008"/>
        <v>7.2180556207670419</v>
      </c>
      <c r="V112" s="579">
        <f t="shared" si="1009"/>
        <v>-1.2807888204739155</v>
      </c>
      <c r="W112" s="528">
        <f t="shared" si="866"/>
        <v>111.70473240953565</v>
      </c>
      <c r="X112" s="572">
        <f t="shared" si="1010"/>
        <v>7.768851426097438</v>
      </c>
      <c r="Y112" s="573">
        <f t="shared" si="859"/>
        <v>-1.2807888204739155</v>
      </c>
      <c r="Z112" s="575">
        <f t="shared" si="924"/>
        <v>9.9620310595604875E-2</v>
      </c>
      <c r="AA112" s="572">
        <f t="shared" si="925"/>
        <v>0.96714530798656884</v>
      </c>
      <c r="AB112" s="572">
        <f t="shared" si="926"/>
        <v>-0.23389259705343443</v>
      </c>
      <c r="AC112" s="579">
        <f t="shared" si="1011"/>
        <v>1</v>
      </c>
      <c r="AD112" s="580">
        <f t="shared" si="1012"/>
        <v>9.9620310595604875E-2</v>
      </c>
      <c r="AE112" s="572">
        <f t="shared" si="1013"/>
        <v>0.96714530798656884</v>
      </c>
      <c r="AF112" s="576">
        <f t="shared" si="1014"/>
        <v>-0.23389259705343443</v>
      </c>
      <c r="AG112" s="545">
        <f t="shared" si="1015"/>
        <v>76.404728003449648</v>
      </c>
      <c r="AH112" s="546">
        <f t="shared" si="1016"/>
        <v>84.28269330006249</v>
      </c>
      <c r="AI112" s="528">
        <f t="shared" si="1017"/>
        <v>-76.47364584202019</v>
      </c>
      <c r="AJ112" s="529">
        <f t="shared" si="1018"/>
        <v>174.11901777513128</v>
      </c>
      <c r="AK112" s="578">
        <f t="shared" si="1019"/>
        <v>0.86434652837838488</v>
      </c>
      <c r="AL112" s="572">
        <f t="shared" si="1020"/>
        <v>-0.44519583547449493</v>
      </c>
      <c r="AM112" s="577">
        <f t="shared" si="1021"/>
        <v>-0.23389259705343443</v>
      </c>
      <c r="AN112" s="524">
        <f t="shared" si="1022"/>
        <v>-62.283904709279305</v>
      </c>
      <c r="AO112" s="525">
        <f t="shared" si="604"/>
        <v>30.191829101408651</v>
      </c>
      <c r="AP112" s="528">
        <f t="shared" si="1023"/>
        <v>-27.251473264317095</v>
      </c>
      <c r="AQ112" s="529">
        <f t="shared" si="927"/>
        <v>0.29344192267788238</v>
      </c>
      <c r="AS112" s="954">
        <f t="shared" si="1029"/>
        <v>111.70473240953565</v>
      </c>
      <c r="AT112" s="950">
        <f t="shared" si="928"/>
        <v>-1.1102591469145202</v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>Taper</v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>
        <f t="shared" si="855"/>
        <v>5.2539999999999996</v>
      </c>
      <c r="IJ112" s="674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5.1539999999999999</v>
      </c>
      <c r="IK112" s="677" cm="1">
        <f t="array" ref="IK112">IFERROR(ROUND(VALUE(IF($IJ112&lt;1,$IJ112+LARGE((IF($M$9:$M$150="",0,$M$9:$M$150)-MOD(IF($M$9:$M$150="",0,$M$9:$M$150),1)),1),$IJ112)),4),"")</f>
        <v>5.1539999999999999</v>
      </c>
      <c r="IL112" s="482">
        <f t="shared" si="990"/>
        <v>1613</v>
      </c>
      <c r="IM112" s="482">
        <f t="shared" si="856"/>
        <v>1313</v>
      </c>
      <c r="IN112" s="670">
        <f t="shared" si="991"/>
        <v>10.674452341730358</v>
      </c>
      <c r="IO112" s="702">
        <v>1.28469014119168E-2</v>
      </c>
      <c r="IP112" s="5">
        <f t="shared" si="992"/>
        <v>0.72</v>
      </c>
      <c r="IQ112" s="714">
        <v>360</v>
      </c>
      <c r="IR112" s="9">
        <f t="shared" si="993"/>
        <v>-7.7298809363676746</v>
      </c>
      <c r="IS112" s="5">
        <f t="shared" si="994"/>
        <v>-1.2939654524954518</v>
      </c>
      <c r="IT112" s="5">
        <f t="shared" si="995"/>
        <v>0.3125</v>
      </c>
      <c r="IU112" s="5">
        <f t="shared" si="996"/>
        <v>0.28286742516160213</v>
      </c>
      <c r="IV112" s="670">
        <f t="shared" si="997"/>
        <v>62.223420029760355</v>
      </c>
      <c r="IW112" s="9">
        <f t="shared" si="998"/>
        <v>-7.768851426097438</v>
      </c>
      <c r="IX112" s="5">
        <f t="shared" si="999"/>
        <v>-1.2807888204739155</v>
      </c>
      <c r="IY112" s="5">
        <f t="shared" si="1000"/>
        <v>0.26450000000000001</v>
      </c>
      <c r="IZ112" s="5">
        <f t="shared" si="1001"/>
        <v>0.22861965675608284</v>
      </c>
      <c r="JA112" s="705">
        <f t="shared" si="1002"/>
        <v>62.283904709279305</v>
      </c>
      <c r="JN112" s="960"/>
      <c r="JO112" s="162"/>
      <c r="JP112" s="961"/>
      <c r="JQ112" s="961"/>
    </row>
    <row r="113" spans="1:277" ht="15" customHeight="1" x14ac:dyDescent="0.25">
      <c r="A113" s="75">
        <f t="shared" si="917"/>
        <v>0.02</v>
      </c>
      <c r="B113" s="578">
        <f t="shared" ref="B113:D113" si="1042">IFERROR(O268+($A113*-E113),"")</f>
        <v>-7.665620486972867</v>
      </c>
      <c r="C113" s="572">
        <f t="shared" si="1042"/>
        <v>-2.8458072444387152</v>
      </c>
      <c r="D113" s="576">
        <f t="shared" si="1042"/>
        <v>-1.9283792823454637</v>
      </c>
      <c r="E113" s="580">
        <f t="shared" ref="E113:K113" si="1043">R268</f>
        <v>-0.1964041128278948</v>
      </c>
      <c r="F113" s="572">
        <f t="shared" si="1043"/>
        <v>-0.96415550220482915</v>
      </c>
      <c r="G113" s="579">
        <f t="shared" si="1043"/>
        <v>0.17840849764638819</v>
      </c>
      <c r="H113" s="580">
        <f t="shared" si="1043"/>
        <v>0.26450000000000001</v>
      </c>
      <c r="I113" s="572">
        <f t="shared" si="1043"/>
        <v>0.52</v>
      </c>
      <c r="J113" s="483">
        <f t="shared" si="728"/>
        <v>5.26</v>
      </c>
      <c r="K113" s="806">
        <f t="shared" si="1043"/>
        <v>1313</v>
      </c>
      <c r="L113" s="309"/>
      <c r="M113" s="164">
        <f t="shared" si="920"/>
        <v>5.26</v>
      </c>
      <c r="N113" s="575">
        <f t="shared" si="921"/>
        <v>-7.665620486972867</v>
      </c>
      <c r="O113" s="572">
        <f t="shared" si="922"/>
        <v>-2.8458072444387152</v>
      </c>
      <c r="P113" s="576">
        <f t="shared" si="923"/>
        <v>-1.9283792823454637</v>
      </c>
      <c r="Q113" s="528">
        <f t="shared" si="729"/>
        <v>200.36708659091107</v>
      </c>
      <c r="R113" s="572">
        <f t="shared" si="1005"/>
        <v>8.1768182273301147</v>
      </c>
      <c r="S113" s="577">
        <f t="shared" si="1006"/>
        <v>-1.9283792823454637</v>
      </c>
      <c r="T113" s="578">
        <f t="shared" si="1007"/>
        <v>-2.8904768268208367</v>
      </c>
      <c r="U113" s="572">
        <f t="shared" si="1008"/>
        <v>7.6488888105665218</v>
      </c>
      <c r="V113" s="579">
        <f t="shared" si="1009"/>
        <v>-1.9283792823454637</v>
      </c>
      <c r="W113" s="528">
        <f t="shared" si="866"/>
        <v>110.70132796099834</v>
      </c>
      <c r="X113" s="572">
        <f t="shared" si="1010"/>
        <v>8.1768182273301147</v>
      </c>
      <c r="Y113" s="573">
        <f t="shared" si="859"/>
        <v>-1.9283792823454637</v>
      </c>
      <c r="Z113" s="575">
        <f t="shared" si="924"/>
        <v>0.1964041128278948</v>
      </c>
      <c r="AA113" s="572">
        <f t="shared" si="925"/>
        <v>0.96415550220482915</v>
      </c>
      <c r="AB113" s="572">
        <f t="shared" si="926"/>
        <v>-0.17840849764638819</v>
      </c>
      <c r="AC113" s="579">
        <f t="shared" si="1011"/>
        <v>1</v>
      </c>
      <c r="AD113" s="580">
        <f t="shared" si="1012"/>
        <v>0.1964041128278948</v>
      </c>
      <c r="AE113" s="572">
        <f t="shared" si="1013"/>
        <v>0.96415550220482915</v>
      </c>
      <c r="AF113" s="576">
        <f t="shared" si="1014"/>
        <v>-0.17840849764638819</v>
      </c>
      <c r="AG113" s="545">
        <f t="shared" si="1015"/>
        <v>79.516499028756741</v>
      </c>
      <c r="AH113" s="546">
        <f t="shared" si="1016"/>
        <v>78.673240362790054</v>
      </c>
      <c r="AI113" s="528">
        <f t="shared" si="1017"/>
        <v>-79.722926997455346</v>
      </c>
      <c r="AJ113" s="529">
        <f t="shared" si="1018"/>
        <v>168.48605092855902</v>
      </c>
      <c r="AK113" s="578">
        <f t="shared" si="1019"/>
        <v>0.83552327241063307</v>
      </c>
      <c r="AL113" s="572">
        <f t="shared" si="1020"/>
        <v>-0.51968381659215246</v>
      </c>
      <c r="AM113" s="577">
        <f t="shared" si="1021"/>
        <v>-0.17840849764638819</v>
      </c>
      <c r="AN113" s="524">
        <f t="shared" si="1022"/>
        <v>-71.052550895498683</v>
      </c>
      <c r="AO113" s="525">
        <f t="shared" si="604"/>
        <v>33.329635731888501</v>
      </c>
      <c r="AP113" s="528">
        <f t="shared" si="1023"/>
        <v>-31.881035662352048</v>
      </c>
      <c r="AQ113" s="529">
        <f t="shared" si="927"/>
        <v>0.27880143295758225</v>
      </c>
      <c r="AS113" s="954">
        <f t="shared" si="1029"/>
        <v>110.70132796099834</v>
      </c>
      <c r="AT113" s="950">
        <f t="shared" si="928"/>
        <v>-1.7571528001412509</v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>Taper</v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>
        <f t="shared" si="855"/>
        <v>5.26</v>
      </c>
      <c r="IJ113" s="674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5.16</v>
      </c>
      <c r="IK113" s="677" cm="1">
        <f t="array" ref="IK113">IFERROR(ROUND(VALUE(IF($IJ113&lt;1,$IJ113+LARGE((IF($M$9:$M$150="",0,$M$9:$M$150)-MOD(IF($M$9:$M$150="",0,$M$9:$M$150),1)),1),$IJ113)),4),"")</f>
        <v>5.16</v>
      </c>
      <c r="IL113" s="482">
        <f t="shared" si="990"/>
        <v>1613</v>
      </c>
      <c r="IM113" s="482">
        <f t="shared" si="856"/>
        <v>1313</v>
      </c>
      <c r="IN113" s="670">
        <f t="shared" si="991"/>
        <v>11.261007970334873</v>
      </c>
      <c r="IO113" s="702">
        <v>1.1446601923484101E-2</v>
      </c>
      <c r="IP113" s="5">
        <f t="shared" si="992"/>
        <v>0.76</v>
      </c>
      <c r="IQ113" s="714">
        <v>380</v>
      </c>
      <c r="IR113" s="9">
        <f t="shared" si="993"/>
        <v>-8.1349433295685039</v>
      </c>
      <c r="IS113" s="5">
        <f t="shared" si="994"/>
        <v>-1.9350888509326025</v>
      </c>
      <c r="IT113" s="5">
        <f t="shared" si="995"/>
        <v>0.3125</v>
      </c>
      <c r="IU113" s="5">
        <f t="shared" si="996"/>
        <v>0.27518376659138766</v>
      </c>
      <c r="IV113" s="670">
        <f t="shared" si="997"/>
        <v>71.016606198900817</v>
      </c>
      <c r="IW113" s="9">
        <f t="shared" si="998"/>
        <v>-8.1768182273301147</v>
      </c>
      <c r="IX113" s="5">
        <f t="shared" si="999"/>
        <v>-1.9283792823454637</v>
      </c>
      <c r="IY113" s="5">
        <f t="shared" si="1000"/>
        <v>0.26450000000000001</v>
      </c>
      <c r="IZ113" s="5">
        <f t="shared" si="1001"/>
        <v>0.22099590555261245</v>
      </c>
      <c r="JA113" s="705">
        <f t="shared" si="1002"/>
        <v>71.052550895498683</v>
      </c>
      <c r="JN113" s="960"/>
      <c r="JO113" s="162"/>
      <c r="JP113" s="961"/>
      <c r="JQ113" s="961"/>
    </row>
    <row r="114" spans="1:277" ht="15" customHeight="1" x14ac:dyDescent="0.25">
      <c r="A114" s="75">
        <f t="shared" si="917"/>
        <v>0</v>
      </c>
      <c r="B114" s="578">
        <f t="shared" ref="B114:D114" si="1044">IFERROR(O269+($A114*-E114),"")</f>
        <v>-7.9507383245691239</v>
      </c>
      <c r="C114" s="572">
        <f t="shared" si="1044"/>
        <v>-2.6999492558122258</v>
      </c>
      <c r="D114" s="576">
        <f t="shared" si="1044"/>
        <v>-2.661886588190566</v>
      </c>
      <c r="E114" s="580">
        <f t="shared" ref="E114:K114" si="1045">R269</f>
        <v>-0.7727944323549879</v>
      </c>
      <c r="F114" s="572">
        <f t="shared" si="1045"/>
        <v>-0.26242942146096243</v>
      </c>
      <c r="G114" s="579">
        <f t="shared" si="1045"/>
        <v>0.57785773688062414</v>
      </c>
      <c r="H114" s="580">
        <f t="shared" si="1045"/>
        <v>0.255</v>
      </c>
      <c r="I114" s="572">
        <f t="shared" si="1045"/>
        <v>0.41499999999999992</v>
      </c>
      <c r="J114" s="483">
        <f t="shared" si="728"/>
        <v>5.266</v>
      </c>
      <c r="K114" s="806" t="str">
        <f t="shared" si="1045"/>
        <v>CPS-32193r1</v>
      </c>
      <c r="L114" s="309"/>
      <c r="M114" s="164">
        <f t="shared" si="920"/>
        <v>5.266</v>
      </c>
      <c r="N114" s="575">
        <f t="shared" si="921"/>
        <v>-7.9507383245691239</v>
      </c>
      <c r="O114" s="572">
        <f t="shared" si="922"/>
        <v>-2.6999492558122258</v>
      </c>
      <c r="P114" s="576">
        <f t="shared" si="923"/>
        <v>-2.661886588190566</v>
      </c>
      <c r="Q114" s="528">
        <f t="shared" si="729"/>
        <v>198.75670232976637</v>
      </c>
      <c r="R114" s="572">
        <f t="shared" si="1005"/>
        <v>8.3966639738489732</v>
      </c>
      <c r="S114" s="577">
        <f t="shared" si="1006"/>
        <v>-2.661886588190566</v>
      </c>
      <c r="T114" s="578">
        <f t="shared" si="1007"/>
        <v>-2.7462845775567213</v>
      </c>
      <c r="U114" s="572">
        <f t="shared" si="1008"/>
        <v>7.9348526708948617</v>
      </c>
      <c r="V114" s="579">
        <f t="shared" si="1009"/>
        <v>-2.661886588190566</v>
      </c>
      <c r="W114" s="528">
        <f t="shared" si="866"/>
        <v>109.09094369985364</v>
      </c>
      <c r="X114" s="572">
        <f t="shared" si="1010"/>
        <v>8.3966639738489732</v>
      </c>
      <c r="Y114" s="573">
        <f t="shared" si="859"/>
        <v>-2.661886588190566</v>
      </c>
      <c r="Z114" s="575">
        <f t="shared" si="924"/>
        <v>0.7727944323549879</v>
      </c>
      <c r="AA114" s="572">
        <f t="shared" si="925"/>
        <v>0.26242942146096243</v>
      </c>
      <c r="AB114" s="572">
        <f t="shared" si="926"/>
        <v>-0.57785773688062414</v>
      </c>
      <c r="AC114" s="579">
        <f t="shared" si="1011"/>
        <v>1</v>
      </c>
      <c r="AD114" s="580">
        <f t="shared" si="1012"/>
        <v>0.7727944323549879</v>
      </c>
      <c r="AE114" s="572">
        <f t="shared" si="1013"/>
        <v>0.26242942146096243</v>
      </c>
      <c r="AF114" s="576">
        <f t="shared" si="1014"/>
        <v>-0.57785773688062414</v>
      </c>
      <c r="AG114" s="545">
        <f t="shared" si="1015"/>
        <v>24.424790033382681</v>
      </c>
      <c r="AH114" s="546">
        <f t="shared" si="1016"/>
        <v>39.394506079103287</v>
      </c>
      <c r="AI114" s="528">
        <f t="shared" si="1017"/>
        <v>-54.699992102299277</v>
      </c>
      <c r="AJ114" s="529">
        <f t="shared" si="1018"/>
        <v>108.75671826705694</v>
      </c>
      <c r="AK114" s="578">
        <f t="shared" si="1019"/>
        <v>2.2701533622382364E-7</v>
      </c>
      <c r="AL114" s="572">
        <f t="shared" si="1020"/>
        <v>-0.81613751042771698</v>
      </c>
      <c r="AM114" s="577">
        <f t="shared" si="1021"/>
        <v>-0.57785773688062414</v>
      </c>
      <c r="AN114" s="524">
        <f t="shared" si="1022"/>
        <v>-54.699992102298239</v>
      </c>
      <c r="AO114" s="525">
        <f t="shared" si="604"/>
        <v>0</v>
      </c>
      <c r="AP114" s="528">
        <f t="shared" si="1023"/>
        <v>-89.99998406270943</v>
      </c>
      <c r="AQ114" s="529">
        <f t="shared" si="927"/>
        <v>0.27150182212569696</v>
      </c>
      <c r="AS114" s="954">
        <f t="shared" si="1029"/>
        <v>109.09094369985364</v>
      </c>
      <c r="AT114" s="950">
        <f t="shared" si="928"/>
        <v>-2.4895417835827804</v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>Taper</v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>
        <f t="shared" si="855"/>
        <v>5.266</v>
      </c>
      <c r="IJ114" s="674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5.1660000000000004</v>
      </c>
      <c r="IK114" s="677" cm="1">
        <f t="array" ref="IK114">IFERROR(ROUND(VALUE(IF($IJ114&lt;1,$IJ114+LARGE((IF($M$9:$M$150="",0,$M$9:$M$150)-MOD(IF($M$9:$M$150="",0,$M$9:$M$150),1)),1),$IJ114)),4),"")</f>
        <v>5.1660000000000004</v>
      </c>
      <c r="IL114" s="482">
        <f t="shared" si="990"/>
        <v>1613</v>
      </c>
      <c r="IM114" s="482" t="str">
        <f t="shared" si="856"/>
        <v>CPS-32193r1</v>
      </c>
      <c r="IN114" s="670">
        <f t="shared" si="991"/>
        <v>12.610587224247666</v>
      </c>
      <c r="IO114" s="702">
        <v>6.76599905676444E-5</v>
      </c>
      <c r="IP114" s="5">
        <f t="shared" si="992"/>
        <v>0</v>
      </c>
      <c r="IQ114" s="714">
        <v>0</v>
      </c>
      <c r="IR114" s="9">
        <f t="shared" si="993"/>
        <v>-8.383011259671493</v>
      </c>
      <c r="IS114" s="5">
        <f t="shared" si="994"/>
        <v>-2.6516378247927275</v>
      </c>
      <c r="IT114" s="5">
        <f t="shared" si="995"/>
        <v>0.3125</v>
      </c>
      <c r="IU114" s="5">
        <f t="shared" si="996"/>
        <v>0.26713918256303015</v>
      </c>
      <c r="IV114" s="670">
        <f t="shared" si="997"/>
        <v>79.282868032457088</v>
      </c>
      <c r="IW114" s="9">
        <f t="shared" si="998"/>
        <v>-8.3966639738489732</v>
      </c>
      <c r="IX114" s="5">
        <f t="shared" si="999"/>
        <v>-2.661886588190566</v>
      </c>
      <c r="IY114" s="5">
        <f t="shared" si="1000"/>
        <v>0.255</v>
      </c>
      <c r="IZ114" s="5">
        <f t="shared" si="1001"/>
        <v>0.255</v>
      </c>
      <c r="JA114" s="705">
        <f t="shared" si="1002"/>
        <v>54.699992102298239</v>
      </c>
      <c r="JN114" s="960"/>
      <c r="JO114" s="162"/>
      <c r="JP114" s="961"/>
      <c r="JQ114" s="961"/>
    </row>
    <row r="115" spans="1:277" ht="15" customHeight="1" x14ac:dyDescent="0.25">
      <c r="A115" s="75">
        <f t="shared" si="917"/>
        <v>0</v>
      </c>
      <c r="B115" s="578">
        <f t="shared" ref="B115:D115" si="1046">IFERROR(O270+($A115*-E115),"")</f>
        <v>-8.0536074439063903</v>
      </c>
      <c r="C115" s="572">
        <f t="shared" si="1046"/>
        <v>-2.6118817907832335</v>
      </c>
      <c r="D115" s="576">
        <f t="shared" si="1046"/>
        <v>-3.4137253424502729</v>
      </c>
      <c r="E115" s="580">
        <f t="shared" ref="E115:K115" si="1047">R270</f>
        <v>-0.85349557703359336</v>
      </c>
      <c r="F115" s="572">
        <f t="shared" si="1047"/>
        <v>-0.2767991231135461</v>
      </c>
      <c r="G115" s="579">
        <f t="shared" si="1047"/>
        <v>0.44150599704609395</v>
      </c>
      <c r="H115" s="580">
        <f t="shared" si="1047"/>
        <v>0.255</v>
      </c>
      <c r="I115" s="572">
        <f t="shared" si="1047"/>
        <v>0.41499999999999992</v>
      </c>
      <c r="J115" s="483">
        <f t="shared" si="728"/>
        <v>5.2720000000000002</v>
      </c>
      <c r="K115" s="806" t="str">
        <f t="shared" si="1047"/>
        <v>CPS-32193r1</v>
      </c>
      <c r="L115" s="309"/>
      <c r="M115" s="164">
        <f t="shared" si="920"/>
        <v>5.2720000000000002</v>
      </c>
      <c r="N115" s="575">
        <f t="shared" si="921"/>
        <v>-8.0536074439063903</v>
      </c>
      <c r="O115" s="572">
        <f t="shared" si="922"/>
        <v>-2.6118817907832335</v>
      </c>
      <c r="P115" s="576">
        <f t="shared" si="923"/>
        <v>-3.4137253424502729</v>
      </c>
      <c r="Q115" s="528">
        <f t="shared" si="729"/>
        <v>197.96850244369608</v>
      </c>
      <c r="R115" s="572">
        <f t="shared" si="1005"/>
        <v>8.4665529791981715</v>
      </c>
      <c r="S115" s="577">
        <f t="shared" si="1006"/>
        <v>-3.4137253424502729</v>
      </c>
      <c r="T115" s="578">
        <f t="shared" si="1007"/>
        <v>-2.6588187062038502</v>
      </c>
      <c r="U115" s="572">
        <f t="shared" si="1008"/>
        <v>8.0382337884083661</v>
      </c>
      <c r="V115" s="579">
        <f t="shared" si="1009"/>
        <v>-3.4137253424502729</v>
      </c>
      <c r="W115" s="528">
        <f t="shared" si="866"/>
        <v>108.30274381378335</v>
      </c>
      <c r="X115" s="572">
        <f t="shared" si="1010"/>
        <v>8.4665529791981715</v>
      </c>
      <c r="Y115" s="573">
        <f t="shared" si="859"/>
        <v>-3.4137253424502729</v>
      </c>
      <c r="Z115" s="575">
        <f t="shared" si="924"/>
        <v>0.85349557703359336</v>
      </c>
      <c r="AA115" s="572">
        <f t="shared" si="925"/>
        <v>0.2767991231135461</v>
      </c>
      <c r="AB115" s="572">
        <f t="shared" si="926"/>
        <v>-0.44150599704609395</v>
      </c>
      <c r="AC115" s="579">
        <f t="shared" si="1011"/>
        <v>1</v>
      </c>
      <c r="AD115" s="580">
        <f t="shared" si="1012"/>
        <v>0.85349557703359336</v>
      </c>
      <c r="AE115" s="572">
        <f t="shared" si="1013"/>
        <v>0.2767991231135461</v>
      </c>
      <c r="AF115" s="576">
        <f t="shared" si="1014"/>
        <v>-0.44150599704609395</v>
      </c>
      <c r="AG115" s="545">
        <f t="shared" si="1015"/>
        <v>32.085370428199894</v>
      </c>
      <c r="AH115" s="546">
        <f t="shared" si="1016"/>
        <v>31.406072080006339</v>
      </c>
      <c r="AI115" s="528">
        <f t="shared" si="1017"/>
        <v>-63.799990788421745</v>
      </c>
      <c r="AJ115" s="529">
        <f t="shared" si="1018"/>
        <v>107.96851694137358</v>
      </c>
      <c r="AK115" s="578">
        <f t="shared" si="1019"/>
        <v>2.2703524693579169E-7</v>
      </c>
      <c r="AL115" s="572">
        <f t="shared" si="1020"/>
        <v>-0.89725829869234586</v>
      </c>
      <c r="AM115" s="577">
        <f t="shared" si="1021"/>
        <v>-0.44150599704609395</v>
      </c>
      <c r="AN115" s="524">
        <f t="shared" si="1022"/>
        <v>-63.79999078842102</v>
      </c>
      <c r="AO115" s="525">
        <f t="shared" si="604"/>
        <v>0</v>
      </c>
      <c r="AP115" s="528">
        <f t="shared" si="1023"/>
        <v>-89.999985502322502</v>
      </c>
      <c r="AQ115" s="529">
        <f t="shared" si="927"/>
        <v>0.26926068434425871</v>
      </c>
      <c r="AS115" s="954">
        <f t="shared" si="1029"/>
        <v>108.30274381378335</v>
      </c>
      <c r="AT115" s="950">
        <f t="shared" si="928"/>
        <v>-3.2408331768104941</v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>Taper</v>
      </c>
      <c r="IH115" s="482" t="str">
        <f>IFERROR(IF((((($IY115*COS(RADIANS(180-$JA115)))*COS(RADIANS($JA115)))-(($IZ115*SIN(RADIANS(180-$JA115)))*SIN(RADIANS($JA115))))+$IW115)&lt;(((Settings!$C$19+$IH$8)/2)*-1),"Gage",""),"")</f>
        <v>Gage</v>
      </c>
      <c r="II115" s="788">
        <f t="shared" si="855"/>
        <v>5.2720000000000002</v>
      </c>
      <c r="IJ115" s="674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5.1719999999999997</v>
      </c>
      <c r="IK115" s="677" cm="1">
        <f t="array" ref="IK115">IFERROR(ROUND(VALUE(IF($IJ115&lt;1,$IJ115+LARGE((IF($M$9:$M$150="",0,$M$9:$M$150)-MOD(IF($M$9:$M$150="",0,$M$9:$M$150),1)),1),$IJ115)),4),"")</f>
        <v>5.1719999999999997</v>
      </c>
      <c r="IL115" s="482">
        <f t="shared" si="990"/>
        <v>1613</v>
      </c>
      <c r="IM115" s="482" t="str">
        <f t="shared" si="856"/>
        <v>CPS-32193r1</v>
      </c>
      <c r="IN115" s="670">
        <f t="shared" si="991"/>
        <v>13.404743406523863</v>
      </c>
      <c r="IO115" s="702">
        <v>2.1529795734874001E-4</v>
      </c>
      <c r="IP115" s="5">
        <f t="shared" si="992"/>
        <v>0</v>
      </c>
      <c r="IQ115" s="714">
        <v>0</v>
      </c>
      <c r="IR115" s="9">
        <f t="shared" si="993"/>
        <v>-8.463460510069643</v>
      </c>
      <c r="IS115" s="5">
        <f t="shared" si="994"/>
        <v>-3.4009420665466177</v>
      </c>
      <c r="IT115" s="5">
        <f t="shared" si="995"/>
        <v>0.3125</v>
      </c>
      <c r="IU115" s="5">
        <f t="shared" si="996"/>
        <v>0.25597350401117891</v>
      </c>
      <c r="IV115" s="670">
        <f t="shared" si="997"/>
        <v>86.34274109352863</v>
      </c>
      <c r="IW115" s="9">
        <f t="shared" si="998"/>
        <v>-8.4665529791981715</v>
      </c>
      <c r="IX115" s="5">
        <f t="shared" si="999"/>
        <v>-3.4137253424502729</v>
      </c>
      <c r="IY115" s="5">
        <f t="shared" si="1000"/>
        <v>0.255</v>
      </c>
      <c r="IZ115" s="5">
        <f t="shared" si="1001"/>
        <v>0.255</v>
      </c>
      <c r="JA115" s="705">
        <f t="shared" si="1002"/>
        <v>63.79999078842102</v>
      </c>
      <c r="JN115" s="960"/>
      <c r="JO115" s="162"/>
      <c r="JP115" s="961"/>
      <c r="JQ115" s="961"/>
    </row>
    <row r="116" spans="1:277" ht="15" customHeight="1" x14ac:dyDescent="0.25">
      <c r="A116" s="75">
        <f t="shared" si="917"/>
        <v>0.02</v>
      </c>
      <c r="B116" s="578">
        <f t="shared" ref="B116:D116" si="1048">IFERROR(O271+($A116*-E116),"")</f>
        <v>-2.3229350164828668</v>
      </c>
      <c r="C116" s="572">
        <f t="shared" si="1048"/>
        <v>1.3634542587353313</v>
      </c>
      <c r="D116" s="576">
        <f t="shared" si="1048"/>
        <v>-0.58140173777294279</v>
      </c>
      <c r="E116" s="580">
        <f t="shared" ref="E116:K116" si="1049">R271</f>
        <v>-0.42495023251139524</v>
      </c>
      <c r="F116" s="572">
        <f t="shared" si="1049"/>
        <v>-0.87000995181435847</v>
      </c>
      <c r="G116" s="579">
        <f t="shared" si="1049"/>
        <v>0.24999996726497567</v>
      </c>
      <c r="H116" s="580">
        <f t="shared" si="1049"/>
        <v>0.3125</v>
      </c>
      <c r="I116" s="572">
        <f t="shared" si="1049"/>
        <v>0.52</v>
      </c>
      <c r="J116" s="483">
        <f t="shared" si="728"/>
        <v>6.1109999999999998</v>
      </c>
      <c r="K116" s="806">
        <f t="shared" si="1049"/>
        <v>1613</v>
      </c>
      <c r="L116" s="309"/>
      <c r="M116" s="164">
        <f t="shared" si="920"/>
        <v>6.1109999999999998</v>
      </c>
      <c r="N116" s="575">
        <f t="shared" si="921"/>
        <v>-2.3229350164828668</v>
      </c>
      <c r="O116" s="572">
        <f t="shared" si="922"/>
        <v>1.3634542587353313</v>
      </c>
      <c r="P116" s="576">
        <f t="shared" si="923"/>
        <v>-0.58140173777294279</v>
      </c>
      <c r="Q116" s="528">
        <f t="shared" si="729"/>
        <v>149.58905813282715</v>
      </c>
      <c r="R116" s="572">
        <f t="shared" si="1005"/>
        <v>2.6935171442680237</v>
      </c>
      <c r="S116" s="577">
        <f t="shared" si="1006"/>
        <v>-0.58140173777294279</v>
      </c>
      <c r="T116" s="578">
        <f t="shared" si="1007"/>
        <v>1.3498800332549914</v>
      </c>
      <c r="U116" s="572">
        <f t="shared" si="1008"/>
        <v>2.3308493092186962</v>
      </c>
      <c r="V116" s="579">
        <f t="shared" si="1009"/>
        <v>-0.58140173777294279</v>
      </c>
      <c r="W116" s="528">
        <f t="shared" si="866"/>
        <v>59.923299502914418</v>
      </c>
      <c r="X116" s="572">
        <f t="shared" si="1010"/>
        <v>2.6935171442680237</v>
      </c>
      <c r="Y116" s="573">
        <f t="shared" si="859"/>
        <v>-0.58140173777294279</v>
      </c>
      <c r="Z116" s="575">
        <f t="shared" si="924"/>
        <v>0.42495023251139524</v>
      </c>
      <c r="AA116" s="572">
        <f t="shared" si="925"/>
        <v>0.87000995181435847</v>
      </c>
      <c r="AB116" s="572">
        <f t="shared" si="926"/>
        <v>-0.24999996726497567</v>
      </c>
      <c r="AC116" s="579">
        <f t="shared" si="1011"/>
        <v>1</v>
      </c>
      <c r="AD116" s="580">
        <f t="shared" si="1012"/>
        <v>0.42495023251139524</v>
      </c>
      <c r="AE116" s="572">
        <f t="shared" si="1013"/>
        <v>0.87000995181435847</v>
      </c>
      <c r="AF116" s="576">
        <f t="shared" si="1014"/>
        <v>-0.24999996726497567</v>
      </c>
      <c r="AG116" s="545">
        <f t="shared" si="1015"/>
        <v>73.967836603437476</v>
      </c>
      <c r="AH116" s="546">
        <f t="shared" si="1016"/>
        <v>64.852486666115553</v>
      </c>
      <c r="AI116" s="528">
        <f t="shared" si="1017"/>
        <v>-75.522489751159455</v>
      </c>
      <c r="AJ116" s="529">
        <f t="shared" si="1018"/>
        <v>153.96712964508657</v>
      </c>
      <c r="AK116" s="578">
        <f t="shared" si="1019"/>
        <v>0.96542054375267072</v>
      </c>
      <c r="AL116" s="572">
        <f t="shared" si="1020"/>
        <v>7.3913395726409536E-2</v>
      </c>
      <c r="AM116" s="577">
        <f t="shared" si="1021"/>
        <v>-0.24999996726497567</v>
      </c>
      <c r="AN116" s="524">
        <f t="shared" si="1022"/>
        <v>16.470504719362417</v>
      </c>
      <c r="AO116" s="525">
        <f t="shared" si="604"/>
        <v>15.111451884680942</v>
      </c>
      <c r="AP116" s="528">
        <f t="shared" si="1023"/>
        <v>4.3780715122594192</v>
      </c>
      <c r="AQ116" s="529">
        <f t="shared" si="927"/>
        <v>0.84631383781959113</v>
      </c>
      <c r="AS116" s="954">
        <f t="shared" si="1029"/>
        <v>59.923299502914418</v>
      </c>
      <c r="AT116" s="950">
        <f t="shared" si="928"/>
        <v>-0.37491273580617152</v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>
        <f t="shared" si="855"/>
        <v>6.1109999999999998</v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>
        <f t="shared" si="990"/>
        <v>1613</v>
      </c>
      <c r="IM116" s="482" t="str">
        <f t="shared" si="856"/>
        <v/>
      </c>
      <c r="IN116" s="670" t="str">
        <f t="shared" si="991"/>
        <v/>
      </c>
      <c r="IO116" s="702"/>
      <c r="IP116" s="5" t="str">
        <f t="shared" si="992"/>
        <v/>
      </c>
      <c r="IQ116" s="714"/>
      <c r="IR116" s="9" t="str">
        <f t="shared" si="993"/>
        <v/>
      </c>
      <c r="IS116" s="5" t="str">
        <f t="shared" si="994"/>
        <v/>
      </c>
      <c r="IT116" s="5" t="str">
        <f t="shared" si="995"/>
        <v/>
      </c>
      <c r="IU116" s="5" t="str">
        <f t="shared" si="996"/>
        <v/>
      </c>
      <c r="IV116" s="670" t="str">
        <f t="shared" si="997"/>
        <v/>
      </c>
      <c r="IW116" s="9" t="str">
        <f t="shared" si="998"/>
        <v/>
      </c>
      <c r="IX116" s="5" t="str">
        <f t="shared" si="999"/>
        <v/>
      </c>
      <c r="IY116" s="5" t="str">
        <f t="shared" si="1000"/>
        <v/>
      </c>
      <c r="IZ116" s="5" t="str">
        <f t="shared" si="1001"/>
        <v/>
      </c>
      <c r="JA116" s="705" t="str">
        <f t="shared" si="1002"/>
        <v/>
      </c>
      <c r="JN116" s="960"/>
      <c r="JO116" s="162"/>
      <c r="JP116" s="961"/>
      <c r="JQ116" s="961"/>
    </row>
    <row r="117" spans="1:277" ht="15" customHeight="1" x14ac:dyDescent="0.25">
      <c r="A117" s="75">
        <f t="shared" si="917"/>
        <v>0.02</v>
      </c>
      <c r="B117" s="578">
        <f t="shared" ref="B117:D117" si="1050">IFERROR(O272+($A117*-E117),"")</f>
        <v>-2.9653545985476231</v>
      </c>
      <c r="C117" s="572">
        <f t="shared" si="1050"/>
        <v>1.7343553773731053</v>
      </c>
      <c r="D117" s="576">
        <f t="shared" si="1050"/>
        <v>-0.38260113819033414</v>
      </c>
      <c r="E117" s="580">
        <f t="shared" ref="E117:K117" si="1051">R272</f>
        <v>-0.42495023251139524</v>
      </c>
      <c r="F117" s="572">
        <f t="shared" si="1051"/>
        <v>-0.87000995181435847</v>
      </c>
      <c r="G117" s="579">
        <f t="shared" si="1051"/>
        <v>0.24999996726497567</v>
      </c>
      <c r="H117" s="580">
        <f t="shared" si="1051"/>
        <v>0.3125</v>
      </c>
      <c r="I117" s="572">
        <f t="shared" si="1051"/>
        <v>0.52</v>
      </c>
      <c r="J117" s="483">
        <f t="shared" si="728"/>
        <v>6.117</v>
      </c>
      <c r="K117" s="806">
        <f t="shared" si="1051"/>
        <v>1613</v>
      </c>
      <c r="L117" s="309"/>
      <c r="M117" s="164">
        <f t="shared" si="920"/>
        <v>6.117</v>
      </c>
      <c r="N117" s="575">
        <f t="shared" si="921"/>
        <v>-2.9653545985476231</v>
      </c>
      <c r="O117" s="572">
        <f t="shared" si="922"/>
        <v>1.7343553773731053</v>
      </c>
      <c r="P117" s="576">
        <f t="shared" si="923"/>
        <v>-0.38260113819033414</v>
      </c>
      <c r="Q117" s="528">
        <f t="shared" si="729"/>
        <v>149.67779411291525</v>
      </c>
      <c r="R117" s="572">
        <f t="shared" si="1005"/>
        <v>3.4353044217580688</v>
      </c>
      <c r="S117" s="577">
        <f t="shared" si="1006"/>
        <v>-0.38260113819033414</v>
      </c>
      <c r="T117" s="578">
        <f t="shared" si="1007"/>
        <v>1.7170272352495699</v>
      </c>
      <c r="U117" s="572">
        <f t="shared" si="1008"/>
        <v>2.9754216413076247</v>
      </c>
      <c r="V117" s="579">
        <f t="shared" si="1009"/>
        <v>-0.38260113819033414</v>
      </c>
      <c r="W117" s="528">
        <f t="shared" si="866"/>
        <v>60.012035483002521</v>
      </c>
      <c r="X117" s="572">
        <f t="shared" si="1010"/>
        <v>3.4353044217580688</v>
      </c>
      <c r="Y117" s="573">
        <f t="shared" si="859"/>
        <v>-0.38260113819033414</v>
      </c>
      <c r="Z117" s="575">
        <f t="shared" si="924"/>
        <v>0.42495023251139524</v>
      </c>
      <c r="AA117" s="572">
        <f t="shared" si="925"/>
        <v>0.87000995181435847</v>
      </c>
      <c r="AB117" s="572">
        <f t="shared" si="926"/>
        <v>-0.24999996726497567</v>
      </c>
      <c r="AC117" s="579">
        <f t="shared" si="1011"/>
        <v>1</v>
      </c>
      <c r="AD117" s="580">
        <f t="shared" si="1012"/>
        <v>0.42495023251139524</v>
      </c>
      <c r="AE117" s="572">
        <f t="shared" si="1013"/>
        <v>0.87000995181435847</v>
      </c>
      <c r="AF117" s="576">
        <f t="shared" si="1014"/>
        <v>-0.24999996726497567</v>
      </c>
      <c r="AG117" s="545">
        <f t="shared" si="1015"/>
        <v>73.967836603437476</v>
      </c>
      <c r="AH117" s="546">
        <f t="shared" si="1016"/>
        <v>64.852486666115553</v>
      </c>
      <c r="AI117" s="528">
        <f t="shared" si="1017"/>
        <v>-75.522489751159455</v>
      </c>
      <c r="AJ117" s="529">
        <f t="shared" si="1018"/>
        <v>153.96712964508657</v>
      </c>
      <c r="AK117" s="578">
        <f t="shared" si="1019"/>
        <v>0.96553385815208737</v>
      </c>
      <c r="AL117" s="572">
        <f t="shared" si="1020"/>
        <v>7.241812707779921E-2</v>
      </c>
      <c r="AM117" s="577">
        <f t="shared" si="1021"/>
        <v>-0.24999996726497567</v>
      </c>
      <c r="AN117" s="524">
        <f t="shared" si="1022"/>
        <v>16.154851238471657</v>
      </c>
      <c r="AO117" s="525">
        <f t="shared" si="604"/>
        <v>15.086527705034317</v>
      </c>
      <c r="AP117" s="528">
        <f t="shared" si="1023"/>
        <v>4.2893355321713216</v>
      </c>
      <c r="AQ117" s="529">
        <f t="shared" si="927"/>
        <v>0.66358739101637254</v>
      </c>
      <c r="AS117" s="954">
        <f t="shared" si="1029"/>
        <v>60.012035483002521</v>
      </c>
      <c r="AT117" s="950">
        <f t="shared" si="928"/>
        <v>-0.1761737584319574</v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>
        <f t="shared" si="855"/>
        <v>6.117</v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>
        <f t="shared" si="990"/>
        <v>1613</v>
      </c>
      <c r="IM117" s="482" t="str">
        <f t="shared" si="856"/>
        <v/>
      </c>
      <c r="IN117" s="670" t="str">
        <f t="shared" si="991"/>
        <v/>
      </c>
      <c r="IO117" s="702"/>
      <c r="IP117" s="5" t="str">
        <f t="shared" si="992"/>
        <v/>
      </c>
      <c r="IQ117" s="714"/>
      <c r="IR117" s="9" t="str">
        <f t="shared" si="993"/>
        <v/>
      </c>
      <c r="IS117" s="5" t="str">
        <f t="shared" si="994"/>
        <v/>
      </c>
      <c r="IT117" s="5" t="str">
        <f t="shared" si="995"/>
        <v/>
      </c>
      <c r="IU117" s="5" t="str">
        <f t="shared" si="996"/>
        <v/>
      </c>
      <c r="IV117" s="670" t="str">
        <f t="shared" si="997"/>
        <v/>
      </c>
      <c r="IW117" s="9" t="str">
        <f t="shared" si="998"/>
        <v/>
      </c>
      <c r="IX117" s="5" t="str">
        <f t="shared" si="999"/>
        <v/>
      </c>
      <c r="IY117" s="5" t="str">
        <f t="shared" si="1000"/>
        <v/>
      </c>
      <c r="IZ117" s="5" t="str">
        <f t="shared" si="1001"/>
        <v/>
      </c>
      <c r="JA117" s="705" t="str">
        <f t="shared" si="1002"/>
        <v/>
      </c>
      <c r="JN117" s="960"/>
      <c r="JO117" s="162"/>
      <c r="JP117" s="961"/>
      <c r="JQ117" s="961"/>
    </row>
    <row r="118" spans="1:277" ht="15" customHeight="1" x14ac:dyDescent="0.25">
      <c r="A118" s="75">
        <f t="shared" si="917"/>
        <v>0.02</v>
      </c>
      <c r="B118" s="578">
        <f t="shared" ref="B118:D118" si="1052">IFERROR(O273+($A118*-E118),"")</f>
        <v>-3.6077191748527735</v>
      </c>
      <c r="C118" s="572">
        <f t="shared" si="1052"/>
        <v>2.1052247384207643</v>
      </c>
      <c r="D118" s="576">
        <f t="shared" si="1052"/>
        <v>-0.18386380314052916</v>
      </c>
      <c r="E118" s="580">
        <f t="shared" ref="E118:K118" si="1053">R273</f>
        <v>-0.43636080064898414</v>
      </c>
      <c r="F118" s="572">
        <f t="shared" si="1053"/>
        <v>-0.86342205722851495</v>
      </c>
      <c r="G118" s="579">
        <f t="shared" si="1053"/>
        <v>0.2531631939051503</v>
      </c>
      <c r="H118" s="580">
        <f t="shared" si="1053"/>
        <v>0.3125</v>
      </c>
      <c r="I118" s="572">
        <f t="shared" si="1053"/>
        <v>0.52</v>
      </c>
      <c r="J118" s="483">
        <f t="shared" si="728"/>
        <v>6.1230000000000002</v>
      </c>
      <c r="K118" s="806">
        <f t="shared" si="1053"/>
        <v>1613</v>
      </c>
      <c r="L118" s="309"/>
      <c r="M118" s="164">
        <f t="shared" si="920"/>
        <v>6.1230000000000002</v>
      </c>
      <c r="N118" s="575">
        <f t="shared" si="921"/>
        <v>-3.6077191748527735</v>
      </c>
      <c r="O118" s="572">
        <f t="shared" si="922"/>
        <v>2.1052247384207643</v>
      </c>
      <c r="P118" s="576">
        <f t="shared" si="923"/>
        <v>-0.18386380314052916</v>
      </c>
      <c r="Q118" s="528">
        <f t="shared" si="729"/>
        <v>149.73500968542794</v>
      </c>
      <c r="R118" s="572">
        <f t="shared" si="1005"/>
        <v>4.1770334980532713</v>
      </c>
      <c r="S118" s="577">
        <f t="shared" si="1006"/>
        <v>-0.18386380314052916</v>
      </c>
      <c r="T118" s="578">
        <f t="shared" si="1007"/>
        <v>2.0841430010748656</v>
      </c>
      <c r="U118" s="572">
        <f t="shared" si="1008"/>
        <v>3.6199387833124752</v>
      </c>
      <c r="V118" s="579">
        <f t="shared" si="1009"/>
        <v>-0.18386380314052916</v>
      </c>
      <c r="W118" s="528">
        <f t="shared" si="866"/>
        <v>60.06925105551521</v>
      </c>
      <c r="X118" s="572">
        <f t="shared" si="1010"/>
        <v>4.1770334980532713</v>
      </c>
      <c r="Y118" s="573">
        <f t="shared" si="859"/>
        <v>-0.18386380314052916</v>
      </c>
      <c r="Z118" s="575">
        <f t="shared" si="924"/>
        <v>0.43636080064898414</v>
      </c>
      <c r="AA118" s="572">
        <f t="shared" si="925"/>
        <v>0.86342205722851495</v>
      </c>
      <c r="AB118" s="572">
        <f t="shared" si="926"/>
        <v>-0.2531631939051503</v>
      </c>
      <c r="AC118" s="579">
        <f t="shared" si="1011"/>
        <v>1</v>
      </c>
      <c r="AD118" s="580">
        <f t="shared" si="1012"/>
        <v>0.43636080064898414</v>
      </c>
      <c r="AE118" s="572">
        <f t="shared" si="1013"/>
        <v>0.86342205722851495</v>
      </c>
      <c r="AF118" s="576">
        <f t="shared" si="1014"/>
        <v>-0.2531631939051503</v>
      </c>
      <c r="AG118" s="545">
        <f t="shared" si="1015"/>
        <v>73.658383410601203</v>
      </c>
      <c r="AH118" s="546">
        <f t="shared" si="1016"/>
        <v>64.128084610184445</v>
      </c>
      <c r="AI118" s="528">
        <f t="shared" si="1017"/>
        <v>-75.33522701738265</v>
      </c>
      <c r="AJ118" s="529">
        <f t="shared" si="1018"/>
        <v>153.18863774046523</v>
      </c>
      <c r="AK118" s="578">
        <f t="shared" si="1019"/>
        <v>0.96566663066919756</v>
      </c>
      <c r="AL118" s="572">
        <f t="shared" si="1020"/>
        <v>5.8278260644455571E-2</v>
      </c>
      <c r="AM118" s="577">
        <f t="shared" si="1021"/>
        <v>-0.2531631939051503</v>
      </c>
      <c r="AN118" s="524">
        <f t="shared" si="1022"/>
        <v>12.963667536683145</v>
      </c>
      <c r="AO118" s="525">
        <f t="shared" si="604"/>
        <v>15.057272325017225</v>
      </c>
      <c r="AP118" s="528">
        <f t="shared" si="1023"/>
        <v>3.4536280550372873</v>
      </c>
      <c r="AQ118" s="529">
        <f t="shared" si="927"/>
        <v>0.54575997174193946</v>
      </c>
      <c r="AS118" s="954">
        <f t="shared" si="1029"/>
        <v>60.06925105551521</v>
      </c>
      <c r="AT118" s="950">
        <f t="shared" si="928"/>
        <v>2.2523843581380432E-2</v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>
        <f t="shared" si="855"/>
        <v>6.1230000000000002</v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>
        <f t="shared" si="990"/>
        <v>1613</v>
      </c>
      <c r="IM118" s="482" t="str">
        <f t="shared" si="856"/>
        <v/>
      </c>
      <c r="IN118" s="670" t="str">
        <f t="shared" si="991"/>
        <v/>
      </c>
      <c r="IO118" s="702"/>
      <c r="IP118" s="5" t="str">
        <f t="shared" si="992"/>
        <v/>
      </c>
      <c r="IQ118" s="714"/>
      <c r="IR118" s="9" t="str">
        <f t="shared" si="993"/>
        <v/>
      </c>
      <c r="IS118" s="5" t="str">
        <f t="shared" si="994"/>
        <v/>
      </c>
      <c r="IT118" s="5" t="str">
        <f t="shared" si="995"/>
        <v/>
      </c>
      <c r="IU118" s="5" t="str">
        <f t="shared" si="996"/>
        <v/>
      </c>
      <c r="IV118" s="670" t="str">
        <f t="shared" si="997"/>
        <v/>
      </c>
      <c r="IW118" s="9" t="str">
        <f t="shared" si="998"/>
        <v/>
      </c>
      <c r="IX118" s="5" t="str">
        <f t="shared" si="999"/>
        <v/>
      </c>
      <c r="IY118" s="5" t="str">
        <f t="shared" si="1000"/>
        <v/>
      </c>
      <c r="IZ118" s="5" t="str">
        <f t="shared" si="1001"/>
        <v/>
      </c>
      <c r="JA118" s="705" t="str">
        <f t="shared" si="1002"/>
        <v/>
      </c>
      <c r="JN118" s="960"/>
      <c r="JO118" s="162"/>
      <c r="JP118" s="961"/>
      <c r="JQ118" s="961"/>
    </row>
    <row r="119" spans="1:277" ht="15" customHeight="1" x14ac:dyDescent="0.25">
      <c r="A119" s="75">
        <f t="shared" si="917"/>
        <v>0.02</v>
      </c>
      <c r="B119" s="578">
        <f t="shared" ref="B119:D119" si="1054">IFERROR(O274+($A119*-E119),"")</f>
        <v>-4.2447149424476223</v>
      </c>
      <c r="C119" s="572">
        <f t="shared" si="1054"/>
        <v>2.5145170932252476</v>
      </c>
      <c r="D119" s="576">
        <f t="shared" si="1054"/>
        <v>-5.2367907910317382E-2</v>
      </c>
      <c r="E119" s="580">
        <f t="shared" ref="E119:K119" si="1055">R274</f>
        <v>-0.53796966048394357</v>
      </c>
      <c r="F119" s="572">
        <f t="shared" si="1055"/>
        <v>-0.80238652925397336</v>
      </c>
      <c r="G119" s="579">
        <f t="shared" si="1055"/>
        <v>0.25838827773440692</v>
      </c>
      <c r="H119" s="580">
        <f t="shared" si="1055"/>
        <v>0.3125</v>
      </c>
      <c r="I119" s="572">
        <f t="shared" si="1055"/>
        <v>0.52</v>
      </c>
      <c r="J119" s="483">
        <f t="shared" si="728"/>
        <v>6.1289999999999996</v>
      </c>
      <c r="K119" s="806">
        <f t="shared" si="1055"/>
        <v>1613</v>
      </c>
      <c r="L119" s="309"/>
      <c r="M119" s="164">
        <f t="shared" si="920"/>
        <v>6.1289999999999996</v>
      </c>
      <c r="N119" s="575">
        <f t="shared" si="921"/>
        <v>-4.2447149424476223</v>
      </c>
      <c r="O119" s="572">
        <f t="shared" si="922"/>
        <v>2.5145170932252476</v>
      </c>
      <c r="P119" s="576">
        <f t="shared" si="923"/>
        <v>-5.2367907910317382E-2</v>
      </c>
      <c r="Q119" s="528">
        <f t="shared" si="729"/>
        <v>149.35801951960363</v>
      </c>
      <c r="R119" s="572">
        <f t="shared" si="1005"/>
        <v>4.9335992089710805</v>
      </c>
      <c r="S119" s="577">
        <f t="shared" si="1006"/>
        <v>-5.2367907910317382E-2</v>
      </c>
      <c r="T119" s="578">
        <f t="shared" si="1007"/>
        <v>2.4897124262431909</v>
      </c>
      <c r="U119" s="572">
        <f t="shared" si="1008"/>
        <v>4.2593113515415038</v>
      </c>
      <c r="V119" s="579">
        <f t="shared" si="1009"/>
        <v>-5.2367907910317382E-2</v>
      </c>
      <c r="W119" s="528">
        <f t="shared" si="866"/>
        <v>59.6922608896909</v>
      </c>
      <c r="X119" s="572">
        <f t="shared" si="1010"/>
        <v>4.9335992089710805</v>
      </c>
      <c r="Y119" s="573">
        <f t="shared" si="859"/>
        <v>-5.2367907910317382E-2</v>
      </c>
      <c r="Z119" s="575">
        <f t="shared" si="924"/>
        <v>0.53796966048394357</v>
      </c>
      <c r="AA119" s="572">
        <f t="shared" si="925"/>
        <v>0.80238652925397336</v>
      </c>
      <c r="AB119" s="572">
        <f t="shared" si="926"/>
        <v>-0.25838827773440692</v>
      </c>
      <c r="AC119" s="579">
        <f t="shared" si="1011"/>
        <v>1</v>
      </c>
      <c r="AD119" s="580">
        <f t="shared" si="1012"/>
        <v>0.53796966048394357</v>
      </c>
      <c r="AE119" s="572">
        <f t="shared" si="1013"/>
        <v>0.80238652925397336</v>
      </c>
      <c r="AF119" s="576">
        <f t="shared" si="1014"/>
        <v>-0.25838827773440692</v>
      </c>
      <c r="AG119" s="545">
        <f t="shared" si="1015"/>
        <v>72.15015943818824</v>
      </c>
      <c r="AH119" s="546">
        <f t="shared" si="1016"/>
        <v>57.454468492385026</v>
      </c>
      <c r="AI119" s="528">
        <f t="shared" si="1017"/>
        <v>-75.025550283287004</v>
      </c>
      <c r="AJ119" s="529">
        <f t="shared" si="1018"/>
        <v>146.15965002727964</v>
      </c>
      <c r="AK119" s="578">
        <f t="shared" si="1019"/>
        <v>0.96453639537916902</v>
      </c>
      <c r="AL119" s="572">
        <f t="shared" si="1020"/>
        <v>-5.3898422225572451E-2</v>
      </c>
      <c r="AM119" s="577">
        <f t="shared" si="1021"/>
        <v>-0.25838827773440692</v>
      </c>
      <c r="AN119" s="524">
        <f t="shared" si="1022"/>
        <v>-11.782639812401721</v>
      </c>
      <c r="AO119" s="525">
        <f t="shared" si="604"/>
        <v>15.304564158154312</v>
      </c>
      <c r="AP119" s="528">
        <f t="shared" si="1023"/>
        <v>-3.1983694923239843</v>
      </c>
      <c r="AQ119" s="529">
        <f t="shared" si="927"/>
        <v>0.4620718285942545</v>
      </c>
      <c r="AS119" s="954">
        <f t="shared" si="1029"/>
        <v>59.6922608896909</v>
      </c>
      <c r="AT119" s="950">
        <f t="shared" si="928"/>
        <v>0.15428153753785911</v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>
        <f t="shared" si="855"/>
        <v>6.1289999999999996</v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>
        <f t="shared" si="990"/>
        <v>1613</v>
      </c>
      <c r="IM119" s="482" t="str">
        <f t="shared" si="856"/>
        <v/>
      </c>
      <c r="IN119" s="670" t="str">
        <f t="shared" si="991"/>
        <v/>
      </c>
      <c r="IO119" s="702"/>
      <c r="IP119" s="5" t="str">
        <f t="shared" si="992"/>
        <v/>
      </c>
      <c r="IQ119" s="714"/>
      <c r="IR119" s="9" t="str">
        <f t="shared" si="993"/>
        <v/>
      </c>
      <c r="IS119" s="5" t="str">
        <f t="shared" si="994"/>
        <v/>
      </c>
      <c r="IT119" s="5" t="str">
        <f t="shared" si="995"/>
        <v/>
      </c>
      <c r="IU119" s="5" t="str">
        <f t="shared" si="996"/>
        <v/>
      </c>
      <c r="IV119" s="670" t="str">
        <f t="shared" si="997"/>
        <v/>
      </c>
      <c r="IW119" s="9" t="str">
        <f t="shared" si="998"/>
        <v/>
      </c>
      <c r="IX119" s="5" t="str">
        <f t="shared" si="999"/>
        <v/>
      </c>
      <c r="IY119" s="5" t="str">
        <f t="shared" si="1000"/>
        <v/>
      </c>
      <c r="IZ119" s="5" t="str">
        <f t="shared" si="1001"/>
        <v/>
      </c>
      <c r="JA119" s="705" t="str">
        <f t="shared" si="1002"/>
        <v/>
      </c>
      <c r="JN119" s="960"/>
      <c r="JO119" s="162"/>
      <c r="JP119" s="961"/>
      <c r="JQ119" s="961"/>
    </row>
    <row r="120" spans="1:277" ht="15" customHeight="1" x14ac:dyDescent="0.25">
      <c r="A120" s="75">
        <f t="shared" si="917"/>
        <v>0.02</v>
      </c>
      <c r="B120" s="578">
        <f t="shared" ref="B120:D120" si="1056">IFERROR(O275+($A120*-E120),"")</f>
        <v>-4.8814870815585376</v>
      </c>
      <c r="C120" s="572">
        <f t="shared" si="1056"/>
        <v>2.9493778866662272</v>
      </c>
      <c r="D120" s="576">
        <f t="shared" si="1056"/>
        <v>-9.7757618771585966E-2</v>
      </c>
      <c r="E120" s="580">
        <f t="shared" ref="E120:K120" si="1057">R275</f>
        <v>-0.60345746693328461</v>
      </c>
      <c r="F120" s="572">
        <f t="shared" si="1057"/>
        <v>-0.75950953930490117</v>
      </c>
      <c r="G120" s="579">
        <f t="shared" si="1057"/>
        <v>0.24286692921705239</v>
      </c>
      <c r="H120" s="580">
        <f t="shared" si="1057"/>
        <v>0.3125</v>
      </c>
      <c r="I120" s="572">
        <f t="shared" si="1057"/>
        <v>0.52</v>
      </c>
      <c r="J120" s="483">
        <f t="shared" si="728"/>
        <v>6.1349999999999998</v>
      </c>
      <c r="K120" s="806">
        <f t="shared" si="1057"/>
        <v>1613</v>
      </c>
      <c r="L120" s="309"/>
      <c r="M120" s="164">
        <f t="shared" si="920"/>
        <v>6.1349999999999998</v>
      </c>
      <c r="N120" s="575">
        <f t="shared" si="921"/>
        <v>-4.8814870815585376</v>
      </c>
      <c r="O120" s="572">
        <f t="shared" si="922"/>
        <v>2.9493778866662272</v>
      </c>
      <c r="P120" s="576">
        <f t="shared" si="923"/>
        <v>-9.7757618771585966E-2</v>
      </c>
      <c r="Q120" s="528">
        <f t="shared" si="729"/>
        <v>148.85977124027411</v>
      </c>
      <c r="R120" s="572">
        <f t="shared" si="1005"/>
        <v>5.7033100955303695</v>
      </c>
      <c r="S120" s="577">
        <f t="shared" si="1006"/>
        <v>-9.7757618771585966E-2</v>
      </c>
      <c r="T120" s="578">
        <f t="shared" si="1007"/>
        <v>2.9208511595435471</v>
      </c>
      <c r="U120" s="572">
        <f t="shared" si="1008"/>
        <v>4.8986094506065445</v>
      </c>
      <c r="V120" s="579">
        <f t="shared" si="1009"/>
        <v>-9.7757618771585966E-2</v>
      </c>
      <c r="W120" s="528">
        <f t="shared" si="866"/>
        <v>59.194012610361384</v>
      </c>
      <c r="X120" s="572">
        <f t="shared" si="1010"/>
        <v>5.7033100955303695</v>
      </c>
      <c r="Y120" s="573">
        <f t="shared" si="859"/>
        <v>-9.7757618771585966E-2</v>
      </c>
      <c r="Z120" s="575">
        <f t="shared" si="924"/>
        <v>0.60345746693328461</v>
      </c>
      <c r="AA120" s="572">
        <f t="shared" si="925"/>
        <v>0.75950953930490117</v>
      </c>
      <c r="AB120" s="572">
        <f t="shared" si="926"/>
        <v>-0.24286692921705239</v>
      </c>
      <c r="AC120" s="579">
        <f t="shared" si="1011"/>
        <v>1</v>
      </c>
      <c r="AD120" s="580">
        <f t="shared" si="1012"/>
        <v>0.60345746693328461</v>
      </c>
      <c r="AE120" s="572">
        <f t="shared" si="1013"/>
        <v>0.75950953930490117</v>
      </c>
      <c r="AF120" s="576">
        <f t="shared" si="1014"/>
        <v>-0.24286692921705239</v>
      </c>
      <c r="AG120" s="545">
        <f t="shared" si="1015"/>
        <v>72.267381409072186</v>
      </c>
      <c r="AH120" s="546">
        <f t="shared" si="1016"/>
        <v>52.88207612340139</v>
      </c>
      <c r="AI120" s="528">
        <f t="shared" si="1017"/>
        <v>-75.944189157141324</v>
      </c>
      <c r="AJ120" s="529">
        <f t="shared" si="1018"/>
        <v>141.53160341237265</v>
      </c>
      <c r="AK120" s="578">
        <f t="shared" si="1019"/>
        <v>0.96213602645495122</v>
      </c>
      <c r="AL120" s="572">
        <f t="shared" si="1020"/>
        <v>-0.12373326670769325</v>
      </c>
      <c r="AM120" s="577">
        <f t="shared" si="1021"/>
        <v>-0.24286692921705239</v>
      </c>
      <c r="AN120" s="524">
        <f t="shared" si="1022"/>
        <v>-26.997450061168376</v>
      </c>
      <c r="AO120" s="525">
        <f t="shared" ref="AO120:AO150" si="1058">IF(ROUND(IF(M120="",0,DEGREES(ACOS(AK120))),4)=90,0,IF(M120="","",DEGREES(ACOS(AK120))))</f>
        <v>15.817239120640036</v>
      </c>
      <c r="AP120" s="528">
        <f t="shared" si="1023"/>
        <v>-7.3281678279014653</v>
      </c>
      <c r="AQ120" s="529">
        <f t="shared" si="927"/>
        <v>0.39971343126361131</v>
      </c>
      <c r="AS120" s="954">
        <f t="shared" si="1029"/>
        <v>59.194012610361384</v>
      </c>
      <c r="AT120" s="950">
        <f t="shared" si="928"/>
        <v>0.10923783242612491</v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>
        <f t="shared" si="855"/>
        <v>6.1349999999999998</v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>
        <f t="shared" si="990"/>
        <v>1613</v>
      </c>
      <c r="IM120" s="482" t="str">
        <f t="shared" si="856"/>
        <v/>
      </c>
      <c r="IN120" s="670" t="str">
        <f t="shared" si="991"/>
        <v/>
      </c>
      <c r="IO120" s="702"/>
      <c r="IP120" s="5" t="str">
        <f t="shared" si="992"/>
        <v/>
      </c>
      <c r="IQ120" s="714"/>
      <c r="IR120" s="9" t="str">
        <f t="shared" si="993"/>
        <v/>
      </c>
      <c r="IS120" s="5" t="str">
        <f t="shared" si="994"/>
        <v/>
      </c>
      <c r="IT120" s="5" t="str">
        <f t="shared" si="995"/>
        <v/>
      </c>
      <c r="IU120" s="5" t="str">
        <f t="shared" si="996"/>
        <v/>
      </c>
      <c r="IV120" s="670" t="str">
        <f t="shared" si="997"/>
        <v/>
      </c>
      <c r="IW120" s="9" t="str">
        <f t="shared" si="998"/>
        <v/>
      </c>
      <c r="IX120" s="5" t="str">
        <f t="shared" si="999"/>
        <v/>
      </c>
      <c r="IY120" s="5" t="str">
        <f t="shared" si="1000"/>
        <v/>
      </c>
      <c r="IZ120" s="5" t="str">
        <f t="shared" si="1001"/>
        <v/>
      </c>
      <c r="JA120" s="705" t="str">
        <f t="shared" si="1002"/>
        <v/>
      </c>
      <c r="JN120" s="960"/>
      <c r="JO120" s="162"/>
      <c r="JP120" s="961"/>
      <c r="JQ120" s="961"/>
    </row>
    <row r="121" spans="1:277" ht="15" customHeight="1" x14ac:dyDescent="0.25">
      <c r="A121" s="75">
        <f t="shared" si="917"/>
        <v>0.02</v>
      </c>
      <c r="B121" s="578">
        <f t="shared" ref="B121:D121" si="1059">IFERROR(O276+($A121*-E121),"")</f>
        <v>-5.4685369511572848</v>
      </c>
      <c r="C121" s="572">
        <f t="shared" si="1059"/>
        <v>3.3808592615384572</v>
      </c>
      <c r="D121" s="576">
        <f t="shared" si="1059"/>
        <v>-0.31310244081775784</v>
      </c>
      <c r="E121" s="580">
        <f t="shared" ref="E121:K121" si="1060">R276</f>
        <v>-0.66981812070357039</v>
      </c>
      <c r="F121" s="572">
        <f t="shared" si="1060"/>
        <v>-0.70759077349546506</v>
      </c>
      <c r="G121" s="579">
        <f t="shared" si="1060"/>
        <v>0.22507550386753938</v>
      </c>
      <c r="H121" s="580">
        <f t="shared" si="1060"/>
        <v>0.3125</v>
      </c>
      <c r="I121" s="572">
        <f t="shared" si="1060"/>
        <v>0.52</v>
      </c>
      <c r="J121" s="483">
        <f t="shared" si="728"/>
        <v>6.141</v>
      </c>
      <c r="K121" s="806">
        <f t="shared" si="1060"/>
        <v>1613</v>
      </c>
      <c r="L121" s="309"/>
      <c r="M121" s="164">
        <f t="shared" si="920"/>
        <v>6.141</v>
      </c>
      <c r="N121" s="575">
        <f t="shared" si="921"/>
        <v>-5.4685369511572848</v>
      </c>
      <c r="O121" s="572">
        <f t="shared" si="922"/>
        <v>3.3808592615384572</v>
      </c>
      <c r="P121" s="576">
        <f t="shared" si="923"/>
        <v>-0.31310244081775784</v>
      </c>
      <c r="Q121" s="528">
        <f t="shared" si="729"/>
        <v>148.27405362446748</v>
      </c>
      <c r="R121" s="572">
        <f t="shared" si="1005"/>
        <v>6.4292383477751835</v>
      </c>
      <c r="S121" s="577">
        <f t="shared" si="1006"/>
        <v>-0.31310244081775784</v>
      </c>
      <c r="T121" s="578">
        <f t="shared" si="1007"/>
        <v>3.3489005905805729</v>
      </c>
      <c r="U121" s="572">
        <f t="shared" si="1008"/>
        <v>5.4881664121008633</v>
      </c>
      <c r="V121" s="579">
        <f t="shared" si="1009"/>
        <v>-0.31310244081775784</v>
      </c>
      <c r="W121" s="528">
        <f t="shared" si="866"/>
        <v>58.608294994554754</v>
      </c>
      <c r="X121" s="572">
        <f t="shared" si="1010"/>
        <v>6.4292383477751835</v>
      </c>
      <c r="Y121" s="573">
        <f t="shared" si="859"/>
        <v>-0.31310244081775784</v>
      </c>
      <c r="Z121" s="575">
        <f t="shared" si="924"/>
        <v>0.66981812070357039</v>
      </c>
      <c r="AA121" s="572">
        <f t="shared" si="925"/>
        <v>0.70759077349546506</v>
      </c>
      <c r="AB121" s="572">
        <f t="shared" si="926"/>
        <v>-0.22507550386753938</v>
      </c>
      <c r="AC121" s="579">
        <f t="shared" si="1011"/>
        <v>1</v>
      </c>
      <c r="AD121" s="580">
        <f t="shared" si="1012"/>
        <v>0.66981812070357039</v>
      </c>
      <c r="AE121" s="572">
        <f t="shared" si="1013"/>
        <v>0.70759077349546506</v>
      </c>
      <c r="AF121" s="576">
        <f t="shared" si="1014"/>
        <v>-0.22507550386753938</v>
      </c>
      <c r="AG121" s="545">
        <f t="shared" si="1015"/>
        <v>72.354803458363151</v>
      </c>
      <c r="AH121" s="546">
        <f t="shared" si="1016"/>
        <v>47.946971175839387</v>
      </c>
      <c r="AI121" s="528">
        <f t="shared" si="1017"/>
        <v>-76.992681899950171</v>
      </c>
      <c r="AJ121" s="529">
        <f t="shared" si="1018"/>
        <v>136.57082717365358</v>
      </c>
      <c r="AK121" s="578">
        <f t="shared" si="1019"/>
        <v>0.95408612284650052</v>
      </c>
      <c r="AL121" s="572">
        <f t="shared" si="1020"/>
        <v>-0.19763776903847535</v>
      </c>
      <c r="AM121" s="577">
        <f t="shared" si="1021"/>
        <v>-0.22507550386753938</v>
      </c>
      <c r="AN121" s="524">
        <f t="shared" si="1022"/>
        <v>-41.286219768349376</v>
      </c>
      <c r="AO121" s="525">
        <f t="shared" si="1058"/>
        <v>17.429521313983404</v>
      </c>
      <c r="AP121" s="528">
        <f t="shared" si="1023"/>
        <v>-11.703226450813913</v>
      </c>
      <c r="AQ121" s="529">
        <f t="shared" si="927"/>
        <v>0.35458282997640739</v>
      </c>
      <c r="AS121" s="954">
        <f t="shared" si="1029"/>
        <v>58.608294994554754</v>
      </c>
      <c r="AT121" s="950">
        <f t="shared" si="928"/>
        <v>-0.10570024127573679</v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>
        <f t="shared" si="855"/>
        <v>6.141</v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>
        <f t="shared" si="990"/>
        <v>1613</v>
      </c>
      <c r="IM121" s="482" t="str">
        <f t="shared" si="856"/>
        <v/>
      </c>
      <c r="IN121" s="670" t="str">
        <f t="shared" si="991"/>
        <v/>
      </c>
      <c r="IO121" s="702"/>
      <c r="IP121" s="5" t="str">
        <f t="shared" si="992"/>
        <v/>
      </c>
      <c r="IQ121" s="714"/>
      <c r="IR121" s="9" t="str">
        <f t="shared" si="993"/>
        <v/>
      </c>
      <c r="IS121" s="5" t="str">
        <f t="shared" si="994"/>
        <v/>
      </c>
      <c r="IT121" s="5" t="str">
        <f t="shared" si="995"/>
        <v/>
      </c>
      <c r="IU121" s="5" t="str">
        <f t="shared" si="996"/>
        <v/>
      </c>
      <c r="IV121" s="670" t="str">
        <f t="shared" si="997"/>
        <v/>
      </c>
      <c r="IW121" s="9" t="str">
        <f t="shared" si="998"/>
        <v/>
      </c>
      <c r="IX121" s="5" t="str">
        <f t="shared" si="999"/>
        <v/>
      </c>
      <c r="IY121" s="5" t="str">
        <f t="shared" si="1000"/>
        <v/>
      </c>
      <c r="IZ121" s="5" t="str">
        <f t="shared" si="1001"/>
        <v/>
      </c>
      <c r="JA121" s="705" t="str">
        <f t="shared" si="1002"/>
        <v/>
      </c>
      <c r="JN121" s="960"/>
      <c r="JO121" s="162"/>
      <c r="JP121" s="961"/>
      <c r="JQ121" s="961"/>
    </row>
    <row r="122" spans="1:277" ht="15" customHeight="1" x14ac:dyDescent="0.25">
      <c r="A122" s="75">
        <f t="shared" si="917"/>
        <v>0.02</v>
      </c>
      <c r="B122" s="578">
        <f t="shared" ref="B122:D122" si="1061">IFERROR(O277+($A122*-E122),"")</f>
        <v>-5.991488019492917</v>
      </c>
      <c r="C122" s="572">
        <f t="shared" si="1061"/>
        <v>3.7917467500556858</v>
      </c>
      <c r="D122" s="576">
        <f t="shared" si="1061"/>
        <v>-0.68651150921544324</v>
      </c>
      <c r="E122" s="580">
        <f t="shared" ref="E122:K122" si="1062">R277</f>
        <v>-0.73594433874123244</v>
      </c>
      <c r="F122" s="572">
        <f t="shared" si="1062"/>
        <v>-0.64013886229483175</v>
      </c>
      <c r="G122" s="579">
        <f t="shared" si="1062"/>
        <v>0.22047259978194245</v>
      </c>
      <c r="H122" s="580">
        <f t="shared" si="1062"/>
        <v>0.3125</v>
      </c>
      <c r="I122" s="572">
        <f t="shared" si="1062"/>
        <v>0.52</v>
      </c>
      <c r="J122" s="483">
        <f t="shared" si="728"/>
        <v>6.1470000000000002</v>
      </c>
      <c r="K122" s="806">
        <f t="shared" si="1062"/>
        <v>1613</v>
      </c>
      <c r="L122" s="309"/>
      <c r="M122" s="164">
        <f t="shared" si="920"/>
        <v>6.1470000000000002</v>
      </c>
      <c r="N122" s="575">
        <f t="shared" si="921"/>
        <v>-5.991488019492917</v>
      </c>
      <c r="O122" s="572">
        <f t="shared" si="922"/>
        <v>3.7917467500556858</v>
      </c>
      <c r="P122" s="576">
        <f t="shared" si="923"/>
        <v>-0.68651150921544324</v>
      </c>
      <c r="Q122" s="528">
        <f t="shared" si="729"/>
        <v>147.67209668602112</v>
      </c>
      <c r="R122" s="572">
        <f t="shared" si="1005"/>
        <v>7.0905057721071643</v>
      </c>
      <c r="S122" s="577">
        <f t="shared" si="1006"/>
        <v>-0.68651150921544324</v>
      </c>
      <c r="T122" s="578">
        <f t="shared" si="1007"/>
        <v>3.7567304111185229</v>
      </c>
      <c r="U122" s="572">
        <f t="shared" si="1008"/>
        <v>6.0135055269337094</v>
      </c>
      <c r="V122" s="579">
        <f t="shared" si="1009"/>
        <v>-0.68651150921544324</v>
      </c>
      <c r="W122" s="528">
        <f t="shared" si="866"/>
        <v>58.00633805610839</v>
      </c>
      <c r="X122" s="572">
        <f t="shared" si="1010"/>
        <v>7.0905057721071643</v>
      </c>
      <c r="Y122" s="573">
        <f t="shared" si="859"/>
        <v>-0.68651150921544324</v>
      </c>
      <c r="Z122" s="575">
        <f t="shared" si="924"/>
        <v>0.73594433874123244</v>
      </c>
      <c r="AA122" s="572">
        <f t="shared" si="925"/>
        <v>0.64013886229483175</v>
      </c>
      <c r="AB122" s="572">
        <f t="shared" si="926"/>
        <v>-0.22047259978194245</v>
      </c>
      <c r="AC122" s="579">
        <f t="shared" si="1011"/>
        <v>1</v>
      </c>
      <c r="AD122" s="580">
        <f t="shared" si="1012"/>
        <v>0.73594433874123244</v>
      </c>
      <c r="AE122" s="572">
        <f t="shared" si="1013"/>
        <v>0.64013886229483175</v>
      </c>
      <c r="AF122" s="576">
        <f t="shared" si="1014"/>
        <v>-0.22047259978194245</v>
      </c>
      <c r="AG122" s="545">
        <f t="shared" si="1015"/>
        <v>70.995590063619545</v>
      </c>
      <c r="AH122" s="546">
        <f t="shared" si="1016"/>
        <v>42.612928164461366</v>
      </c>
      <c r="AI122" s="528">
        <f t="shared" si="1017"/>
        <v>-77.263207439275547</v>
      </c>
      <c r="AJ122" s="529">
        <f t="shared" si="1018"/>
        <v>131.01738762192858</v>
      </c>
      <c r="AK122" s="578">
        <f t="shared" si="1019"/>
        <v>0.93447478809768558</v>
      </c>
      <c r="AL122" s="572">
        <f t="shared" si="1020"/>
        <v>-0.27955089546480988</v>
      </c>
      <c r="AM122" s="577">
        <f t="shared" si="1021"/>
        <v>-0.22047259978194245</v>
      </c>
      <c r="AN122" s="524">
        <f t="shared" si="1022"/>
        <v>-51.738316888198291</v>
      </c>
      <c r="AO122" s="525">
        <f t="shared" si="1058"/>
        <v>20.856541671941869</v>
      </c>
      <c r="AP122" s="528">
        <f t="shared" si="1023"/>
        <v>-16.65470906409255</v>
      </c>
      <c r="AQ122" s="529">
        <f t="shared" si="927"/>
        <v>0.32151482228775974</v>
      </c>
      <c r="AS122" s="954">
        <f t="shared" si="1029"/>
        <v>58.00633805610839</v>
      </c>
      <c r="AT122" s="950">
        <f t="shared" si="928"/>
        <v>-0.47869128402172334</v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>
        <f t="shared" si="855"/>
        <v>6.1470000000000002</v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>
        <f t="shared" si="990"/>
        <v>1613</v>
      </c>
      <c r="IM122" s="482" t="str">
        <f t="shared" si="856"/>
        <v/>
      </c>
      <c r="IN122" s="670" t="str">
        <f t="shared" si="991"/>
        <v/>
      </c>
      <c r="IO122" s="702"/>
      <c r="IP122" s="5" t="str">
        <f t="shared" si="992"/>
        <v/>
      </c>
      <c r="IQ122" s="714"/>
      <c r="IR122" s="9" t="str">
        <f t="shared" si="993"/>
        <v/>
      </c>
      <c r="IS122" s="5" t="str">
        <f t="shared" si="994"/>
        <v/>
      </c>
      <c r="IT122" s="5" t="str">
        <f t="shared" si="995"/>
        <v/>
      </c>
      <c r="IU122" s="5" t="str">
        <f t="shared" si="996"/>
        <v/>
      </c>
      <c r="IV122" s="670" t="str">
        <f t="shared" si="997"/>
        <v/>
      </c>
      <c r="IW122" s="9" t="str">
        <f t="shared" si="998"/>
        <v/>
      </c>
      <c r="IX122" s="5" t="str">
        <f t="shared" si="999"/>
        <v/>
      </c>
      <c r="IY122" s="5" t="str">
        <f t="shared" si="1000"/>
        <v/>
      </c>
      <c r="IZ122" s="5" t="str">
        <f t="shared" si="1001"/>
        <v/>
      </c>
      <c r="JA122" s="705" t="str">
        <f t="shared" si="1002"/>
        <v/>
      </c>
      <c r="JN122" s="960"/>
      <c r="JO122" s="162"/>
      <c r="JP122" s="961"/>
      <c r="JQ122" s="961"/>
    </row>
    <row r="123" spans="1:277" ht="15" customHeight="1" x14ac:dyDescent="0.25">
      <c r="A123" s="75">
        <f t="shared" si="917"/>
        <v>0.02</v>
      </c>
      <c r="B123" s="578">
        <f t="shared" ref="B123:D123" si="1063">IFERROR(O278+($A123*-E123),"")</f>
        <v>-6.4233396746140485</v>
      </c>
      <c r="C123" s="572">
        <f t="shared" si="1063"/>
        <v>4.1510847977003484</v>
      </c>
      <c r="D123" s="576">
        <f t="shared" si="1063"/>
        <v>-1.197349504695316</v>
      </c>
      <c r="E123" s="580">
        <f t="shared" ref="E123:K123" si="1064">R278</f>
        <v>-0.79646100447322343</v>
      </c>
      <c r="F123" s="572">
        <f t="shared" si="1064"/>
        <v>-0.57159814991413338</v>
      </c>
      <c r="G123" s="579">
        <f t="shared" si="1064"/>
        <v>0.19729526950295598</v>
      </c>
      <c r="H123" s="580">
        <f t="shared" si="1064"/>
        <v>0.3125</v>
      </c>
      <c r="I123" s="572">
        <f t="shared" si="1064"/>
        <v>0.52</v>
      </c>
      <c r="J123" s="483">
        <f t="shared" si="728"/>
        <v>6.1529999999999996</v>
      </c>
      <c r="K123" s="806">
        <f t="shared" si="1064"/>
        <v>1613</v>
      </c>
      <c r="L123" s="309"/>
      <c r="M123" s="164">
        <f t="shared" si="920"/>
        <v>6.1529999999999996</v>
      </c>
      <c r="N123" s="575">
        <f t="shared" si="921"/>
        <v>-6.4233396746140485</v>
      </c>
      <c r="O123" s="572">
        <f t="shared" si="922"/>
        <v>4.1510847977003484</v>
      </c>
      <c r="P123" s="576">
        <f t="shared" si="923"/>
        <v>-1.197349504695316</v>
      </c>
      <c r="Q123" s="528">
        <f t="shared" si="729"/>
        <v>147.12742506426247</v>
      </c>
      <c r="R123" s="572">
        <f t="shared" si="1005"/>
        <v>7.6479276652678827</v>
      </c>
      <c r="S123" s="577">
        <f t="shared" si="1006"/>
        <v>-1.197349504695316</v>
      </c>
      <c r="T123" s="578">
        <f t="shared" si="1007"/>
        <v>4.1135431035745365</v>
      </c>
      <c r="U123" s="572">
        <f t="shared" si="1008"/>
        <v>6.4474460608991695</v>
      </c>
      <c r="V123" s="579">
        <f t="shared" si="1009"/>
        <v>-1.197349504695316</v>
      </c>
      <c r="W123" s="528">
        <f t="shared" si="866"/>
        <v>57.461666434349738</v>
      </c>
      <c r="X123" s="572">
        <f t="shared" si="1010"/>
        <v>7.6479276652678827</v>
      </c>
      <c r="Y123" s="573">
        <f t="shared" si="859"/>
        <v>-1.197349504695316</v>
      </c>
      <c r="Z123" s="575">
        <f t="shared" si="924"/>
        <v>0.79646100447322343</v>
      </c>
      <c r="AA123" s="572">
        <f t="shared" si="925"/>
        <v>0.57159814991413338</v>
      </c>
      <c r="AB123" s="572">
        <f t="shared" si="926"/>
        <v>-0.19729526950295598</v>
      </c>
      <c r="AC123" s="579">
        <f t="shared" si="1011"/>
        <v>1</v>
      </c>
      <c r="AD123" s="580">
        <f t="shared" si="1012"/>
        <v>0.79646100447322343</v>
      </c>
      <c r="AE123" s="572">
        <f t="shared" si="1013"/>
        <v>0.57159814991413338</v>
      </c>
      <c r="AF123" s="576">
        <f t="shared" si="1014"/>
        <v>-0.19729526950295598</v>
      </c>
      <c r="AG123" s="545">
        <f t="shared" si="1015"/>
        <v>70.95715418070121</v>
      </c>
      <c r="AH123" s="546">
        <f t="shared" si="1016"/>
        <v>37.206530210045045</v>
      </c>
      <c r="AI123" s="528">
        <f t="shared" si="1017"/>
        <v>-78.621161859750771</v>
      </c>
      <c r="AJ123" s="529">
        <f t="shared" si="1018"/>
        <v>125.66596318408742</v>
      </c>
      <c r="AK123" s="578">
        <f t="shared" si="1019"/>
        <v>0.91237084702016202</v>
      </c>
      <c r="AL123" s="572">
        <f t="shared" si="1020"/>
        <v>-0.35868372438607832</v>
      </c>
      <c r="AM123" s="577">
        <f t="shared" si="1021"/>
        <v>-0.19729526950295598</v>
      </c>
      <c r="AN123" s="524">
        <f t="shared" si="1022"/>
        <v>-61.186849029910029</v>
      </c>
      <c r="AO123" s="525">
        <f t="shared" si="1058"/>
        <v>24.164930954617446</v>
      </c>
      <c r="AP123" s="528">
        <f t="shared" si="1023"/>
        <v>-21.461461880175047</v>
      </c>
      <c r="AQ123" s="529">
        <f t="shared" si="927"/>
        <v>0.29808154103441997</v>
      </c>
      <c r="AS123" s="954">
        <f t="shared" si="1029"/>
        <v>57.461666434349738</v>
      </c>
      <c r="AT123" s="950">
        <f t="shared" si="928"/>
        <v>-0.98915103531981918</v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>
        <f t="shared" si="855"/>
        <v>6.1529999999999996</v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>
        <f t="shared" si="990"/>
        <v>1613</v>
      </c>
      <c r="IM123" s="482" t="str">
        <f t="shared" si="856"/>
        <v/>
      </c>
      <c r="IN123" s="670" t="str">
        <f t="shared" si="991"/>
        <v/>
      </c>
      <c r="IO123" s="702"/>
      <c r="IP123" s="5" t="str">
        <f t="shared" si="992"/>
        <v/>
      </c>
      <c r="IQ123" s="714"/>
      <c r="IR123" s="9" t="str">
        <f t="shared" si="993"/>
        <v/>
      </c>
      <c r="IS123" s="5" t="str">
        <f t="shared" si="994"/>
        <v/>
      </c>
      <c r="IT123" s="5" t="str">
        <f t="shared" si="995"/>
        <v/>
      </c>
      <c r="IU123" s="5" t="str">
        <f t="shared" si="996"/>
        <v/>
      </c>
      <c r="IV123" s="670" t="str">
        <f t="shared" si="997"/>
        <v/>
      </c>
      <c r="IW123" s="9" t="str">
        <f t="shared" si="998"/>
        <v/>
      </c>
      <c r="IX123" s="5" t="str">
        <f t="shared" si="999"/>
        <v/>
      </c>
      <c r="IY123" s="5" t="str">
        <f t="shared" si="1000"/>
        <v/>
      </c>
      <c r="IZ123" s="5" t="str">
        <f t="shared" si="1001"/>
        <v/>
      </c>
      <c r="JA123" s="705" t="str">
        <f t="shared" si="1002"/>
        <v/>
      </c>
      <c r="JN123" s="960"/>
      <c r="JO123" s="162"/>
      <c r="JP123" s="961"/>
      <c r="JQ123" s="961"/>
    </row>
    <row r="124" spans="1:277" ht="15" customHeight="1" x14ac:dyDescent="0.25">
      <c r="A124" s="75">
        <f t="shared" si="917"/>
        <v>0.02</v>
      </c>
      <c r="B124" s="578">
        <f t="shared" ref="B124:D124" si="1065">IFERROR(O279+($A124*-E124),"")</f>
        <v>-6.7513777344969608</v>
      </c>
      <c r="C124" s="572">
        <f t="shared" si="1065"/>
        <v>4.4369914122121248</v>
      </c>
      <c r="D124" s="576">
        <f t="shared" si="1065"/>
        <v>-1.8219622886522597</v>
      </c>
      <c r="E124" s="580">
        <f t="shared" ref="E124:K124" si="1066">R279</f>
        <v>-0.85344063870197839</v>
      </c>
      <c r="F124" s="572">
        <f t="shared" si="1066"/>
        <v>-0.49342552413850421</v>
      </c>
      <c r="G124" s="579">
        <f t="shared" si="1066"/>
        <v>0.16784018690588293</v>
      </c>
      <c r="H124" s="580">
        <f t="shared" si="1066"/>
        <v>0.3125</v>
      </c>
      <c r="I124" s="572">
        <f t="shared" si="1066"/>
        <v>0.52</v>
      </c>
      <c r="J124" s="483">
        <f t="shared" si="728"/>
        <v>6.1589999999999998</v>
      </c>
      <c r="K124" s="806">
        <f t="shared" si="1066"/>
        <v>1613</v>
      </c>
      <c r="L124" s="309"/>
      <c r="M124" s="164">
        <f t="shared" si="920"/>
        <v>6.1589999999999998</v>
      </c>
      <c r="N124" s="575">
        <f t="shared" si="921"/>
        <v>-6.7513777344969608</v>
      </c>
      <c r="O124" s="572">
        <f t="shared" si="922"/>
        <v>4.4369914122121248</v>
      </c>
      <c r="P124" s="576">
        <f t="shared" si="923"/>
        <v>-1.8219622886522597</v>
      </c>
      <c r="Q124" s="528">
        <f t="shared" si="729"/>
        <v>146.68716581165975</v>
      </c>
      <c r="R124" s="572">
        <f t="shared" si="1005"/>
        <v>8.0788609411169752</v>
      </c>
      <c r="S124" s="577">
        <f t="shared" si="1006"/>
        <v>-1.8219622886522597</v>
      </c>
      <c r="T124" s="578">
        <f t="shared" si="1007"/>
        <v>4.3975312172099272</v>
      </c>
      <c r="U124" s="572">
        <f t="shared" si="1008"/>
        <v>6.7771463979738282</v>
      </c>
      <c r="V124" s="579">
        <f t="shared" si="1009"/>
        <v>-1.8219622886522597</v>
      </c>
      <c r="W124" s="528">
        <f t="shared" si="866"/>
        <v>57.021407181747023</v>
      </c>
      <c r="X124" s="572">
        <f t="shared" si="1010"/>
        <v>8.0788609411169752</v>
      </c>
      <c r="Y124" s="573">
        <f t="shared" si="859"/>
        <v>-1.8219622886522597</v>
      </c>
      <c r="Z124" s="575">
        <f t="shared" si="924"/>
        <v>0.85344063870197839</v>
      </c>
      <c r="AA124" s="572">
        <f t="shared" si="925"/>
        <v>0.49342552413850421</v>
      </c>
      <c r="AB124" s="572">
        <f t="shared" si="926"/>
        <v>-0.16784018690588293</v>
      </c>
      <c r="AC124" s="579">
        <f t="shared" si="1011"/>
        <v>1</v>
      </c>
      <c r="AD124" s="580">
        <f t="shared" si="1012"/>
        <v>0.85344063870197839</v>
      </c>
      <c r="AE124" s="572">
        <f t="shared" si="1013"/>
        <v>0.49342552413850421</v>
      </c>
      <c r="AF124" s="576">
        <f t="shared" si="1014"/>
        <v>-0.16784018690588293</v>
      </c>
      <c r="AG124" s="545">
        <f t="shared" si="1015"/>
        <v>71.214107742156784</v>
      </c>
      <c r="AH124" s="546">
        <f t="shared" si="1016"/>
        <v>31.412112115115963</v>
      </c>
      <c r="AI124" s="528">
        <f t="shared" si="1017"/>
        <v>-80.337733364874012</v>
      </c>
      <c r="AJ124" s="529">
        <f t="shared" si="1018"/>
        <v>120.03479773152735</v>
      </c>
      <c r="AK124" s="578">
        <f t="shared" si="1019"/>
        <v>0.88106614706386699</v>
      </c>
      <c r="AL124" s="572">
        <f t="shared" si="1020"/>
        <v>-0.44221274988112969</v>
      </c>
      <c r="AM124" s="577">
        <f t="shared" si="1021"/>
        <v>-0.16784018690588293</v>
      </c>
      <c r="AN124" s="524">
        <f t="shared" si="1022"/>
        <v>-69.215930410260441</v>
      </c>
      <c r="AO124" s="525">
        <f t="shared" si="1058"/>
        <v>28.228759268965543</v>
      </c>
      <c r="AP124" s="528">
        <f t="shared" si="1023"/>
        <v>-26.652368080132387</v>
      </c>
      <c r="AQ124" s="529">
        <f t="shared" si="927"/>
        <v>0.28218188386352694</v>
      </c>
      <c r="AS124" s="954">
        <f t="shared" si="1029"/>
        <v>57.021407181747023</v>
      </c>
      <c r="AT124" s="950">
        <f t="shared" si="928"/>
        <v>-1.6134580836846777</v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>
        <f t="shared" si="855"/>
        <v>6.1589999999999998</v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>
        <f t="shared" si="990"/>
        <v>1613</v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>
        <f t="shared" si="917"/>
        <v>0.02</v>
      </c>
      <c r="B125" s="578">
        <f t="shared" ref="B125:D125" si="1067">IFERROR(O280+($A125*-E125),"")</f>
        <v>-6.9576165019173049</v>
      </c>
      <c r="C125" s="572">
        <f t="shared" si="1067"/>
        <v>4.6228324278677162</v>
      </c>
      <c r="D125" s="576">
        <f t="shared" si="1067"/>
        <v>-2.5285456450557486</v>
      </c>
      <c r="E125" s="580">
        <f t="shared" ref="E125:K125" si="1068">R280</f>
        <v>-0.89487214629348033</v>
      </c>
      <c r="F125" s="572">
        <f t="shared" si="1068"/>
        <v>-0.43206705969041537</v>
      </c>
      <c r="G125" s="579">
        <f t="shared" si="1068"/>
        <v>0.11190128559842012</v>
      </c>
      <c r="H125" s="580">
        <f t="shared" si="1068"/>
        <v>0.3125</v>
      </c>
      <c r="I125" s="572">
        <f t="shared" si="1068"/>
        <v>0.52</v>
      </c>
      <c r="J125" s="483">
        <f t="shared" si="728"/>
        <v>6.165</v>
      </c>
      <c r="K125" s="806">
        <f t="shared" si="1068"/>
        <v>1613</v>
      </c>
      <c r="L125" s="309"/>
      <c r="M125" s="164">
        <f t="shared" si="920"/>
        <v>6.165</v>
      </c>
      <c r="N125" s="575">
        <f t="shared" si="921"/>
        <v>-6.9576165019173049</v>
      </c>
      <c r="O125" s="572">
        <f t="shared" si="922"/>
        <v>4.6228324278677162</v>
      </c>
      <c r="P125" s="576">
        <f t="shared" si="923"/>
        <v>-2.5285456450557486</v>
      </c>
      <c r="Q125" s="528">
        <f t="shared" si="729"/>
        <v>146.39883982650147</v>
      </c>
      <c r="R125" s="572">
        <f t="shared" si="1005"/>
        <v>8.3533829700246187</v>
      </c>
      <c r="S125" s="577">
        <f t="shared" si="1006"/>
        <v>-2.5285456450557486</v>
      </c>
      <c r="T125" s="578">
        <f t="shared" si="1007"/>
        <v>4.5821659604855354</v>
      </c>
      <c r="U125" s="572">
        <f t="shared" si="1008"/>
        <v>6.9844657744501104</v>
      </c>
      <c r="V125" s="579">
        <f t="shared" si="1009"/>
        <v>-2.5285456450557486</v>
      </c>
      <c r="W125" s="528">
        <f t="shared" si="866"/>
        <v>56.733081196588742</v>
      </c>
      <c r="X125" s="572">
        <f t="shared" si="1010"/>
        <v>8.3533829700246187</v>
      </c>
      <c r="Y125" s="573">
        <f t="shared" si="859"/>
        <v>-2.5285456450557486</v>
      </c>
      <c r="Z125" s="575">
        <f t="shared" si="924"/>
        <v>0.89487214629348033</v>
      </c>
      <c r="AA125" s="572">
        <f t="shared" si="925"/>
        <v>0.43206705969041537</v>
      </c>
      <c r="AB125" s="572">
        <f t="shared" si="926"/>
        <v>-0.11190128559842012</v>
      </c>
      <c r="AC125" s="579">
        <f t="shared" si="1011"/>
        <v>1</v>
      </c>
      <c r="AD125" s="580">
        <f t="shared" si="1012"/>
        <v>0.89487214629348033</v>
      </c>
      <c r="AE125" s="572">
        <f t="shared" si="1013"/>
        <v>0.43206705969041537</v>
      </c>
      <c r="AF125" s="576">
        <f t="shared" si="1014"/>
        <v>-0.11190128559842012</v>
      </c>
      <c r="AG125" s="545">
        <f t="shared" si="1015"/>
        <v>75.479972080925108</v>
      </c>
      <c r="AH125" s="546">
        <f t="shared" si="1016"/>
        <v>26.50798788383706</v>
      </c>
      <c r="AI125" s="528">
        <f t="shared" si="1017"/>
        <v>-83.575072016916508</v>
      </c>
      <c r="AJ125" s="529">
        <f t="shared" si="1018"/>
        <v>115.77243353971123</v>
      </c>
      <c r="AK125" s="578">
        <f t="shared" si="1019"/>
        <v>0.85510276575969746</v>
      </c>
      <c r="AL125" s="572">
        <f t="shared" si="1020"/>
        <v>-0.50623844408691143</v>
      </c>
      <c r="AM125" s="577">
        <f t="shared" si="1021"/>
        <v>-0.11190128559842012</v>
      </c>
      <c r="AN125" s="524">
        <f t="shared" si="1022"/>
        <v>-77.535504684909853</v>
      </c>
      <c r="AO125" s="525">
        <f t="shared" si="1058"/>
        <v>31.228910244222714</v>
      </c>
      <c r="AP125" s="528">
        <f t="shared" si="1023"/>
        <v>-30.626406286790257</v>
      </c>
      <c r="AQ125" s="529">
        <f t="shared" si="927"/>
        <v>0.272908520964946</v>
      </c>
      <c r="AS125" s="954">
        <f t="shared" si="1029"/>
        <v>56.733081196588742</v>
      </c>
      <c r="AT125" s="950">
        <f t="shared" si="928"/>
        <v>-2.3198412137095845</v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>
        <f t="shared" si="855"/>
        <v>6.165</v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>
        <f t="shared" si="990"/>
        <v>1613</v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>
        <f t="shared" si="917"/>
        <v>0.02</v>
      </c>
      <c r="B126" s="578">
        <f t="shared" ref="B126:D126" si="1069">IFERROR(O281+($A126*-E126),"")</f>
        <v>-7.0382966038609363</v>
      </c>
      <c r="C126" s="572">
        <f t="shared" si="1069"/>
        <v>4.696449649810174</v>
      </c>
      <c r="D126" s="576">
        <f t="shared" si="1069"/>
        <v>-3.2762107401858218</v>
      </c>
      <c r="E126" s="580">
        <f t="shared" ref="E126:K126" si="1070">R281</f>
        <v>-0.92431331064886146</v>
      </c>
      <c r="F126" s="572">
        <f t="shared" si="1070"/>
        <v>-0.37896704813194942</v>
      </c>
      <c r="G126" s="579">
        <f t="shared" si="1070"/>
        <v>4.5043092561434989E-2</v>
      </c>
      <c r="H126" s="580">
        <f t="shared" si="1070"/>
        <v>0.3125</v>
      </c>
      <c r="I126" s="572">
        <f t="shared" si="1070"/>
        <v>0.52</v>
      </c>
      <c r="J126" s="483">
        <f t="shared" si="728"/>
        <v>6.1710000000000003</v>
      </c>
      <c r="K126" s="806">
        <f t="shared" si="1070"/>
        <v>1613</v>
      </c>
      <c r="L126" s="309"/>
      <c r="M126" s="164">
        <f t="shared" si="920"/>
        <v>6.1710000000000003</v>
      </c>
      <c r="N126" s="575">
        <f t="shared" si="921"/>
        <v>-7.0382966038609363</v>
      </c>
      <c r="O126" s="572">
        <f t="shared" si="922"/>
        <v>4.696449649810174</v>
      </c>
      <c r="P126" s="576">
        <f t="shared" si="923"/>
        <v>-3.2762107401858218</v>
      </c>
      <c r="Q126" s="528">
        <f t="shared" si="729"/>
        <v>146.28597629288851</v>
      </c>
      <c r="R126" s="572">
        <f t="shared" si="1005"/>
        <v>8.4613390427947337</v>
      </c>
      <c r="S126" s="577">
        <f t="shared" si="1006"/>
        <v>-3.2762107401858218</v>
      </c>
      <c r="T126" s="578">
        <f t="shared" si="1007"/>
        <v>4.6553112760224629</v>
      </c>
      <c r="U126" s="572">
        <f t="shared" si="1008"/>
        <v>7.065573955487312</v>
      </c>
      <c r="V126" s="579">
        <f t="shared" si="1009"/>
        <v>-3.2762107401858218</v>
      </c>
      <c r="W126" s="528">
        <f t="shared" si="866"/>
        <v>56.620217662975776</v>
      </c>
      <c r="X126" s="572">
        <f t="shared" si="1010"/>
        <v>8.4613390427947337</v>
      </c>
      <c r="Y126" s="573">
        <f t="shared" si="859"/>
        <v>-3.2762107401858218</v>
      </c>
      <c r="Z126" s="575">
        <f t="shared" si="924"/>
        <v>0.92431331064886146</v>
      </c>
      <c r="AA126" s="572">
        <f t="shared" si="925"/>
        <v>0.37896704813194942</v>
      </c>
      <c r="AB126" s="572">
        <f t="shared" si="926"/>
        <v>-4.5043092561434989E-2</v>
      </c>
      <c r="AC126" s="579">
        <f t="shared" si="1011"/>
        <v>1</v>
      </c>
      <c r="AD126" s="580">
        <f t="shared" si="1012"/>
        <v>0.92431331064886146</v>
      </c>
      <c r="AE126" s="572">
        <f t="shared" si="1013"/>
        <v>0.37896704813194942</v>
      </c>
      <c r="AF126" s="576">
        <f t="shared" si="1014"/>
        <v>-4.5043092561434989E-2</v>
      </c>
      <c r="AG126" s="545">
        <f t="shared" si="1015"/>
        <v>83.221763981537933</v>
      </c>
      <c r="AH126" s="546">
        <f t="shared" si="1016"/>
        <v>22.434965143982989</v>
      </c>
      <c r="AI126" s="528">
        <f t="shared" si="1017"/>
        <v>-87.418347420363219</v>
      </c>
      <c r="AJ126" s="529">
        <f t="shared" si="1018"/>
        <v>112.29355437602443</v>
      </c>
      <c r="AK126" s="578">
        <f t="shared" si="1019"/>
        <v>0.82827001453415794</v>
      </c>
      <c r="AL126" s="572">
        <f t="shared" si="1020"/>
        <v>-0.55851580356878672</v>
      </c>
      <c r="AM126" s="577">
        <f t="shared" si="1021"/>
        <v>-4.5043092561434989E-2</v>
      </c>
      <c r="AN126" s="524">
        <f t="shared" si="1022"/>
        <v>-85.389198255717432</v>
      </c>
      <c r="AO126" s="525">
        <f t="shared" si="1058"/>
        <v>34.078565361290664</v>
      </c>
      <c r="AP126" s="528">
        <f t="shared" si="1023"/>
        <v>-33.992421916864068</v>
      </c>
      <c r="AQ126" s="529">
        <f t="shared" si="927"/>
        <v>0.26942660221938924</v>
      </c>
      <c r="AS126" s="954">
        <f t="shared" si="1029"/>
        <v>56.620217662975776</v>
      </c>
      <c r="AT126" s="950">
        <f t="shared" si="928"/>
        <v>-3.06742793138576</v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>
        <f t="shared" si="855"/>
        <v>6.1710000000000003</v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>
        <f t="shared" si="990"/>
        <v>1613</v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>
        <f t="shared" si="917"/>
        <v>0.02</v>
      </c>
      <c r="B127" s="578">
        <f t="shared" ref="B127:D127" si="1071">IFERROR(O282+($A127*-E127),"")</f>
        <v>-7.0881994234153494</v>
      </c>
      <c r="C127" s="572">
        <f t="shared" si="1071"/>
        <v>4.7413631975235591</v>
      </c>
      <c r="D127" s="576">
        <f t="shared" si="1071"/>
        <v>-4.0232121369234157</v>
      </c>
      <c r="E127" s="580">
        <f t="shared" ref="E127:K127" si="1072">R282</f>
        <v>-0.95968761144423309</v>
      </c>
      <c r="F127" s="572">
        <f t="shared" si="1072"/>
        <v>-0.28106883221097551</v>
      </c>
      <c r="G127" s="579">
        <f t="shared" si="1072"/>
        <v>1.4578093222521901E-7</v>
      </c>
      <c r="H127" s="580">
        <f t="shared" si="1072"/>
        <v>0.3125</v>
      </c>
      <c r="I127" s="572">
        <f t="shared" si="1072"/>
        <v>0.52</v>
      </c>
      <c r="J127" s="483">
        <f t="shared" si="728"/>
        <v>6.1779999999999999</v>
      </c>
      <c r="K127" s="806">
        <f t="shared" si="1072"/>
        <v>1613</v>
      </c>
      <c r="L127" s="309"/>
      <c r="M127" s="164">
        <f t="shared" si="920"/>
        <v>6.1779999999999999</v>
      </c>
      <c r="N127" s="575">
        <f t="shared" si="921"/>
        <v>-7.0881994234153494</v>
      </c>
      <c r="O127" s="572">
        <f t="shared" si="922"/>
        <v>4.7413631975235591</v>
      </c>
      <c r="P127" s="576">
        <f t="shared" si="923"/>
        <v>-4.0232121369234157</v>
      </c>
      <c r="Q127" s="528">
        <f t="shared" si="729"/>
        <v>146.22106372556013</v>
      </c>
      <c r="R127" s="572">
        <f t="shared" si="1005"/>
        <v>8.5277837705312685</v>
      </c>
      <c r="S127" s="577">
        <f t="shared" si="1006"/>
        <v>-4.0232121369234157</v>
      </c>
      <c r="T127" s="578">
        <f t="shared" si="1007"/>
        <v>4.6999329474547675</v>
      </c>
      <c r="U127" s="572">
        <f t="shared" si="1008"/>
        <v>7.1157379326648647</v>
      </c>
      <c r="V127" s="579">
        <f t="shared" si="1009"/>
        <v>-4.0232121369234157</v>
      </c>
      <c r="W127" s="528">
        <f t="shared" si="866"/>
        <v>56.555305095647398</v>
      </c>
      <c r="X127" s="572">
        <f t="shared" si="1010"/>
        <v>8.5277837705312685</v>
      </c>
      <c r="Y127" s="573">
        <f t="shared" si="859"/>
        <v>-4.0232121369234157</v>
      </c>
      <c r="Z127" s="575">
        <f t="shared" si="924"/>
        <v>0.95968761144423309</v>
      </c>
      <c r="AA127" s="572">
        <f t="shared" si="925"/>
        <v>0.28106883221097551</v>
      </c>
      <c r="AB127" s="572">
        <f t="shared" si="926"/>
        <v>-1.4578093222521901E-7</v>
      </c>
      <c r="AC127" s="579">
        <f t="shared" si="1011"/>
        <v>1</v>
      </c>
      <c r="AD127" s="580">
        <f t="shared" si="1012"/>
        <v>0.95968761144423309</v>
      </c>
      <c r="AE127" s="572">
        <f t="shared" si="1013"/>
        <v>0.28106883221097551</v>
      </c>
      <c r="AF127" s="576">
        <f t="shared" si="1014"/>
        <v>-1.4578093222521901E-7</v>
      </c>
      <c r="AG127" s="545">
        <f t="shared" si="1015"/>
        <v>89.999970282609837</v>
      </c>
      <c r="AH127" s="546">
        <f t="shared" si="1016"/>
        <v>16.324006306036065</v>
      </c>
      <c r="AI127" s="528">
        <f t="shared" si="1017"/>
        <v>-89.99999164736785</v>
      </c>
      <c r="AJ127" s="529">
        <f t="shared" si="1018"/>
        <v>106.32400630603399</v>
      </c>
      <c r="AK127" s="578">
        <f t="shared" si="1019"/>
        <v>0.76719809419267793</v>
      </c>
      <c r="AL127" s="572">
        <f t="shared" si="1020"/>
        <v>-0.64141023087186688</v>
      </c>
      <c r="AM127" s="577">
        <f t="shared" si="1021"/>
        <v>-1.4578093222521901E-7</v>
      </c>
      <c r="AN127" s="524">
        <f t="shared" si="1022"/>
        <v>-89.999986977706698</v>
      </c>
      <c r="AO127" s="525">
        <f t="shared" si="1058"/>
        <v>39.897057419526867</v>
      </c>
      <c r="AP127" s="528">
        <f t="shared" si="1023"/>
        <v>-39.897057419526142</v>
      </c>
      <c r="AQ127" s="529">
        <f t="shared" si="927"/>
        <v>0.26732737962124337</v>
      </c>
      <c r="AS127" s="954">
        <f t="shared" si="1029"/>
        <v>56.555305095647398</v>
      </c>
      <c r="AT127" s="950">
        <f t="shared" si="928"/>
        <v>-3.8143842499515981</v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>
        <f t="shared" si="855"/>
        <v>6.1779999999999999</v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>
        <f t="shared" si="990"/>
        <v>1613</v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>
        <f t="shared" si="917"/>
        <v>0</v>
      </c>
      <c r="B128" s="578">
        <f t="shared" ref="B128:D128" si="1073">IFERROR(O283+($A128*-E128),"")</f>
        <v>-3.6272260007270498</v>
      </c>
      <c r="C128" s="572">
        <f t="shared" si="1073"/>
        <v>3.3607180883008665</v>
      </c>
      <c r="D128" s="576">
        <f t="shared" si="1073"/>
        <v>-2.5300031064893692E-2</v>
      </c>
      <c r="E128" s="580">
        <f t="shared" ref="E128:K128" si="1074">R283</f>
        <v>-1.5413998805203605E-7</v>
      </c>
      <c r="F128" s="572">
        <f t="shared" si="1074"/>
        <v>-1.6636342520165549E-7</v>
      </c>
      <c r="G128" s="579">
        <f t="shared" si="1074"/>
        <v>0.99999999999997435</v>
      </c>
      <c r="H128" s="580">
        <f t="shared" si="1074"/>
        <v>0.255</v>
      </c>
      <c r="I128" s="572">
        <f t="shared" si="1074"/>
        <v>0.41499999999999992</v>
      </c>
      <c r="J128" s="483">
        <f t="shared" si="728"/>
        <v>6.2290000000000001</v>
      </c>
      <c r="K128" s="806" t="str">
        <f t="shared" si="1074"/>
        <v>CPS-32193r1</v>
      </c>
      <c r="L128" s="309"/>
      <c r="M128" s="164">
        <f t="shared" si="920"/>
        <v>6.2290000000000001</v>
      </c>
      <c r="N128" s="575">
        <f t="shared" si="921"/>
        <v>-3.6272260007270498</v>
      </c>
      <c r="O128" s="572">
        <f t="shared" si="922"/>
        <v>3.3607180883008665</v>
      </c>
      <c r="P128" s="576">
        <f t="shared" si="923"/>
        <v>-2.5300031064893692E-2</v>
      </c>
      <c r="Q128" s="528">
        <f t="shared" si="729"/>
        <v>137.18410185038672</v>
      </c>
      <c r="R128" s="572">
        <f t="shared" si="1005"/>
        <v>4.9448149135617783</v>
      </c>
      <c r="S128" s="577">
        <f t="shared" si="1006"/>
        <v>-2.5300031064893692E-2</v>
      </c>
      <c r="T128" s="578">
        <f t="shared" si="1007"/>
        <v>3.3395011935313477</v>
      </c>
      <c r="U128" s="572">
        <f t="shared" si="1008"/>
        <v>3.6467692973076433</v>
      </c>
      <c r="V128" s="579">
        <f t="shared" si="1009"/>
        <v>-2.5300031064893692E-2</v>
      </c>
      <c r="W128" s="528">
        <f t="shared" si="866"/>
        <v>47.518343220473994</v>
      </c>
      <c r="X128" s="572">
        <f t="shared" si="1010"/>
        <v>4.9448149135617783</v>
      </c>
      <c r="Y128" s="573">
        <f t="shared" si="859"/>
        <v>-2.5300031064893692E-2</v>
      </c>
      <c r="Z128" s="575">
        <f t="shared" si="924"/>
        <v>1.5413998805203605E-7</v>
      </c>
      <c r="AA128" s="572">
        <f t="shared" si="925"/>
        <v>1.6636342520165549E-7</v>
      </c>
      <c r="AB128" s="572">
        <f t="shared" si="926"/>
        <v>-0.99999999999997435</v>
      </c>
      <c r="AC128" s="579">
        <f t="shared" si="1011"/>
        <v>1</v>
      </c>
      <c r="AD128" s="580">
        <f t="shared" si="1012"/>
        <v>1.5413998805203605E-7</v>
      </c>
      <c r="AE128" s="572">
        <f t="shared" si="1013"/>
        <v>1.6636342520165549E-7</v>
      </c>
      <c r="AF128" s="576">
        <f t="shared" si="1014"/>
        <v>-0.99999999999997435</v>
      </c>
      <c r="AG128" s="545">
        <f t="shared" si="1015"/>
        <v>9.5319221293953716E-6</v>
      </c>
      <c r="AH128" s="546">
        <f t="shared" si="1016"/>
        <v>89.999991168429233</v>
      </c>
      <c r="AI128" s="528">
        <f t="shared" si="1017"/>
        <v>-1.2976235990044085E-5</v>
      </c>
      <c r="AJ128" s="529">
        <f t="shared" si="1018"/>
        <v>137.18410184490935</v>
      </c>
      <c r="AK128" s="578">
        <f t="shared" si="1019"/>
        <v>2.2679489668312342E-7</v>
      </c>
      <c r="AL128" s="572">
        <f t="shared" si="1020"/>
        <v>-2.1681264122851911E-17</v>
      </c>
      <c r="AM128" s="577">
        <f t="shared" si="1021"/>
        <v>-0.99999999999997435</v>
      </c>
      <c r="AN128" s="524">
        <f t="shared" si="1022"/>
        <v>-1.242244928747857E-15</v>
      </c>
      <c r="AO128" s="525">
        <f t="shared" si="1058"/>
        <v>0</v>
      </c>
      <c r="AP128" s="528">
        <f t="shared" si="1023"/>
        <v>-5.4773936579511444E-9</v>
      </c>
      <c r="AQ128" s="529">
        <f t="shared" si="927"/>
        <v>0.46102381420370447</v>
      </c>
      <c r="AS128" s="954">
        <f t="shared" si="1029"/>
        <v>47.518343220473994</v>
      </c>
      <c r="AT128" s="950">
        <f t="shared" si="928"/>
        <v>0.18980352387579455</v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>Nose</v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>
        <f t="shared" si="855"/>
        <v>6.2290000000000001</v>
      </c>
      <c r="IJ128" s="674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>0.129</v>
      </c>
      <c r="IK128" s="677" cm="1">
        <f t="array" ref="IK128">IFERROR(ROUND(VALUE(IF($IJ128&lt;1,$IJ128+LARGE((IF($M$9:$M$150="",0,$M$9:$M$150)-MOD(IF($M$9:$M$150="",0,$M$9:$M$150),1)),1),$IJ128)),4),"")</f>
        <v>6.1289999999999996</v>
      </c>
      <c r="IL128" s="482">
        <f t="shared" si="990"/>
        <v>1613</v>
      </c>
      <c r="IM128" s="482" t="str">
        <f t="shared" si="856"/>
        <v>CPS-32193r1</v>
      </c>
      <c r="IN128" s="670">
        <f t="shared" si="991"/>
        <v>12.173917669216905</v>
      </c>
      <c r="IO128" s="702">
        <v>1.73418351727559E-2</v>
      </c>
      <c r="IP128" s="5">
        <f t="shared" si="992"/>
        <v>0.5</v>
      </c>
      <c r="IQ128" s="714">
        <v>250</v>
      </c>
      <c r="IR128" s="9">
        <f t="shared" si="993"/>
        <v>-4.9335992089710805</v>
      </c>
      <c r="IS128" s="5">
        <f t="shared" si="994"/>
        <v>-5.2367907910317382E-2</v>
      </c>
      <c r="IT128" s="5">
        <f t="shared" si="995"/>
        <v>0.3125</v>
      </c>
      <c r="IU128" s="5">
        <f t="shared" si="996"/>
        <v>0.30141762355599033</v>
      </c>
      <c r="IV128" s="670">
        <f t="shared" si="997"/>
        <v>11.782639812401721</v>
      </c>
      <c r="IW128" s="9">
        <f t="shared" si="998"/>
        <v>-4.9448149135617783</v>
      </c>
      <c r="IX128" s="5">
        <f t="shared" si="999"/>
        <v>-2.5300031064893692E-2</v>
      </c>
      <c r="IY128" s="5">
        <f t="shared" si="1000"/>
        <v>0.255</v>
      </c>
      <c r="IZ128" s="5">
        <f t="shared" si="1001"/>
        <v>0.255</v>
      </c>
      <c r="JA128" s="705">
        <f t="shared" si="1002"/>
        <v>1.242244928747857E-15</v>
      </c>
      <c r="JN128" s="960"/>
      <c r="JO128" s="162"/>
      <c r="JP128" s="961"/>
      <c r="JQ128" s="961"/>
    </row>
    <row r="129" spans="1:277" ht="15" customHeight="1" x14ac:dyDescent="0.25">
      <c r="A129" s="75">
        <f t="shared" si="917"/>
        <v>0</v>
      </c>
      <c r="B129" s="578">
        <f t="shared" ref="B129:D129" si="1075">IFERROR(O284+($A129*-E129),"")</f>
        <v>-4.1941102833670572</v>
      </c>
      <c r="C129" s="572">
        <f t="shared" si="1075"/>
        <v>3.8996179781701219</v>
      </c>
      <c r="D129" s="576">
        <f t="shared" si="1075"/>
        <v>-7.5600182770151084E-2</v>
      </c>
      <c r="E129" s="580">
        <f t="shared" ref="E129:K129" si="1076">R284</f>
        <v>-9.8124979833129747E-2</v>
      </c>
      <c r="F129" s="572">
        <f t="shared" si="1076"/>
        <v>9.1234757976380573E-2</v>
      </c>
      <c r="G129" s="579">
        <f t="shared" si="1076"/>
        <v>0.99098320231462012</v>
      </c>
      <c r="H129" s="580">
        <f t="shared" si="1076"/>
        <v>0.255</v>
      </c>
      <c r="I129" s="572">
        <f t="shared" si="1076"/>
        <v>0.41499999999999992</v>
      </c>
      <c r="J129" s="483">
        <f t="shared" si="728"/>
        <v>6.2350000000000003</v>
      </c>
      <c r="K129" s="806" t="str">
        <f t="shared" si="1076"/>
        <v>CPS-32193r1</v>
      </c>
      <c r="L129" s="309"/>
      <c r="M129" s="164">
        <f t="shared" si="920"/>
        <v>6.2350000000000003</v>
      </c>
      <c r="N129" s="575">
        <f t="shared" si="921"/>
        <v>-4.1941102833670572</v>
      </c>
      <c r="O129" s="572">
        <f t="shared" si="922"/>
        <v>3.8996179781701219</v>
      </c>
      <c r="P129" s="576">
        <f t="shared" si="923"/>
        <v>-7.5600182770151084E-2</v>
      </c>
      <c r="Q129" s="528">
        <f t="shared" si="729"/>
        <v>137.08380186486826</v>
      </c>
      <c r="R129" s="572">
        <f t="shared" si="1005"/>
        <v>5.7269172723824919</v>
      </c>
      <c r="S129" s="577">
        <f t="shared" si="1006"/>
        <v>-7.5600182770151084E-2</v>
      </c>
      <c r="T129" s="578">
        <f t="shared" si="1007"/>
        <v>3.8750849493400312</v>
      </c>
      <c r="U129" s="572">
        <f t="shared" si="1008"/>
        <v>4.2167876493974994</v>
      </c>
      <c r="V129" s="579">
        <f t="shared" si="1009"/>
        <v>-7.5600182770151084E-2</v>
      </c>
      <c r="W129" s="528">
        <f t="shared" si="866"/>
        <v>47.418043234955533</v>
      </c>
      <c r="X129" s="572">
        <f t="shared" si="1010"/>
        <v>5.7269172723824919</v>
      </c>
      <c r="Y129" s="573">
        <f t="shared" si="859"/>
        <v>-7.5600182770151084E-2</v>
      </c>
      <c r="Z129" s="575">
        <f t="shared" si="924"/>
        <v>9.8124979833129747E-2</v>
      </c>
      <c r="AA129" s="572">
        <f t="shared" si="925"/>
        <v>-9.1234757976380573E-2</v>
      </c>
      <c r="AB129" s="572">
        <f t="shared" si="926"/>
        <v>-0.99098320231462012</v>
      </c>
      <c r="AC129" s="579">
        <f t="shared" si="1011"/>
        <v>1</v>
      </c>
      <c r="AD129" s="580">
        <f t="shared" si="1012"/>
        <v>9.8124979833129747E-2</v>
      </c>
      <c r="AE129" s="572">
        <f t="shared" si="1013"/>
        <v>-9.1234757976380573E-2</v>
      </c>
      <c r="AF129" s="576">
        <f t="shared" si="1014"/>
        <v>-0.99098320231462012</v>
      </c>
      <c r="AG129" s="545">
        <f t="shared" si="1015"/>
        <v>-5.2601015502679367</v>
      </c>
      <c r="AH129" s="546">
        <f t="shared" si="1016"/>
        <v>84.368791322115399</v>
      </c>
      <c r="AI129" s="528">
        <f t="shared" si="1017"/>
        <v>-7.6999988882685777</v>
      </c>
      <c r="AJ129" s="529">
        <f t="shared" si="1018"/>
        <v>47.083898847943203</v>
      </c>
      <c r="AK129" s="578">
        <f t="shared" si="1019"/>
        <v>2.2679489669608088E-7</v>
      </c>
      <c r="AL129" s="572">
        <f t="shared" si="1020"/>
        <v>-0.13398616618968326</v>
      </c>
      <c r="AM129" s="577">
        <f t="shared" si="1021"/>
        <v>-0.99098320231462012</v>
      </c>
      <c r="AN129" s="524">
        <f t="shared" si="1022"/>
        <v>-7.69999888825771</v>
      </c>
      <c r="AO129" s="525">
        <f t="shared" si="1058"/>
        <v>0</v>
      </c>
      <c r="AP129" s="528">
        <f t="shared" si="1023"/>
        <v>-89.99990301692506</v>
      </c>
      <c r="AQ129" s="529">
        <f t="shared" si="927"/>
        <v>0.39806580812836267</v>
      </c>
      <c r="AS129" s="954">
        <f t="shared" si="1029"/>
        <v>47.418043234955533</v>
      </c>
      <c r="AT129" s="950">
        <f t="shared" si="928"/>
        <v>0.13957302493825829</v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>Nose</v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>
        <f t="shared" si="855"/>
        <v>6.2350000000000003</v>
      </c>
      <c r="IJ129" s="674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>0.13500000000000001</v>
      </c>
      <c r="IK129" s="677" cm="1">
        <f t="array" ref="IK129">IFERROR(ROUND(VALUE(IF($IJ129&lt;1,$IJ129+LARGE((IF($M$9:$M$150="",0,$M$9:$M$150)-MOD(IF($M$9:$M$150="",0,$M$9:$M$150),1)),1),$IJ129)),4),"")</f>
        <v>6.1349999999999998</v>
      </c>
      <c r="IL129" s="482">
        <f t="shared" si="990"/>
        <v>1613</v>
      </c>
      <c r="IM129" s="482" t="str">
        <f t="shared" si="856"/>
        <v>CPS-32193r1</v>
      </c>
      <c r="IN129" s="670">
        <f t="shared" si="991"/>
        <v>11.77596937540585</v>
      </c>
      <c r="IO129" s="702">
        <v>1.4115374484038001E-2</v>
      </c>
      <c r="IP129" s="5">
        <f t="shared" si="992"/>
        <v>0.48</v>
      </c>
      <c r="IQ129" s="714">
        <v>240</v>
      </c>
      <c r="IR129" s="9">
        <f t="shared" si="993"/>
        <v>-5.7033100955303695</v>
      </c>
      <c r="IS129" s="5">
        <f t="shared" si="994"/>
        <v>-9.7757618771585966E-2</v>
      </c>
      <c r="IT129" s="5">
        <f t="shared" si="995"/>
        <v>0.3125</v>
      </c>
      <c r="IU129" s="5">
        <f t="shared" si="996"/>
        <v>0.30066750826717226</v>
      </c>
      <c r="IV129" s="670">
        <f t="shared" si="997"/>
        <v>26.997450061168376</v>
      </c>
      <c r="IW129" s="9">
        <f t="shared" si="998"/>
        <v>-5.7269172723824919</v>
      </c>
      <c r="IX129" s="5">
        <f t="shared" si="999"/>
        <v>-7.5600182770151084E-2</v>
      </c>
      <c r="IY129" s="5">
        <f t="shared" si="1000"/>
        <v>0.255</v>
      </c>
      <c r="IZ129" s="5">
        <f t="shared" si="1001"/>
        <v>0.255</v>
      </c>
      <c r="JA129" s="705">
        <f t="shared" si="1002"/>
        <v>7.69999888825771</v>
      </c>
      <c r="JN129" s="960"/>
      <c r="JO129" s="162"/>
      <c r="JP129" s="961"/>
      <c r="JQ129" s="961"/>
    </row>
    <row r="130" spans="1:277" ht="15" customHeight="1" x14ac:dyDescent="0.25">
      <c r="A130" s="75">
        <f t="shared" si="917"/>
        <v>0.02</v>
      </c>
      <c r="B130" s="585">
        <f t="shared" ref="B130:D130" si="1077">IFERROR(O285+($A130*-E130),"")</f>
        <v>-4.8187572587154985</v>
      </c>
      <c r="C130" s="582">
        <f t="shared" si="1077"/>
        <v>4.2989982921302596</v>
      </c>
      <c r="D130" s="583">
        <f t="shared" si="1077"/>
        <v>-0.287923322197909</v>
      </c>
      <c r="E130" s="588">
        <f t="shared" ref="E130:K130" si="1078">R285</f>
        <v>-0.80393967306043945</v>
      </c>
      <c r="F130" s="582">
        <f t="shared" si="1078"/>
        <v>-0.52127447774067959</v>
      </c>
      <c r="G130" s="586">
        <f t="shared" si="1078"/>
        <v>0.28627595242293008</v>
      </c>
      <c r="H130" s="588">
        <f t="shared" si="1078"/>
        <v>0.26450000000000001</v>
      </c>
      <c r="I130" s="582">
        <f t="shared" si="1078"/>
        <v>0.52</v>
      </c>
      <c r="J130" s="491">
        <f t="shared" si="728"/>
        <v>6.2409999999999997</v>
      </c>
      <c r="K130" s="807">
        <f t="shared" si="1078"/>
        <v>1313</v>
      </c>
      <c r="L130" s="309"/>
      <c r="M130" s="492">
        <f t="shared" si="920"/>
        <v>6.2409999999999997</v>
      </c>
      <c r="N130" s="581">
        <f t="shared" si="921"/>
        <v>-4.8187572587154985</v>
      </c>
      <c r="O130" s="582">
        <f t="shared" si="922"/>
        <v>4.2989982921302596</v>
      </c>
      <c r="P130" s="583">
        <f t="shared" si="923"/>
        <v>-0.287923322197909</v>
      </c>
      <c r="Q130" s="536">
        <f t="shared" ref="Q130:Q150" si="1079">IF(M130="","",IF(DEGREES(ATAN2(N130,O130))&lt;0,DEGREES(ATAN2(N130,O130))+360,IF(DEGREES(ATAN2(N130,O130))&gt;360,DEGREES(ATAN2(N130,O130))-360,DEGREES(ATAN2(N130,O130)))))</f>
        <v>138.26262315063877</v>
      </c>
      <c r="R130" s="582">
        <f t="shared" ref="R130:R150" si="1080">IF(M130="","",SQRT(N130^2+O130^2))</f>
        <v>6.4576936931200288</v>
      </c>
      <c r="S130" s="584">
        <f t="shared" ref="S130:S150" si="1081">IF(M130="","",P130)</f>
        <v>-0.287923322197909</v>
      </c>
      <c r="T130" s="585">
        <f t="shared" ref="T130:T150" si="1082">IF(M130="","",X130*COS(RADIANS(W130)))</f>
        <v>4.2708145399810693</v>
      </c>
      <c r="U130" s="582">
        <f t="shared" ref="U130:U150" si="1083">IF(M130="","",X130*SIN(RADIANS(W130)))</f>
        <v>4.8437538128241489</v>
      </c>
      <c r="V130" s="586">
        <f t="shared" ref="V130:V150" si="1084">IF(M130="","",Y130)</f>
        <v>-0.287923322197909</v>
      </c>
      <c r="W130" s="536">
        <f t="shared" ref="W130:W150" si="1085">IF(M130="","",IF(Q130-$Q$8&lt;0,360+Q130-$Q$8,Q130-$Q$8))</f>
        <v>48.596864520726044</v>
      </c>
      <c r="X130" s="582">
        <f t="shared" ref="X130:X150" si="1086">IF(M130="","",R130)</f>
        <v>6.4576936931200288</v>
      </c>
      <c r="Y130" s="587">
        <f t="shared" ref="Y130:Y150" si="1087">IF(M130="","",S130)</f>
        <v>-0.287923322197909</v>
      </c>
      <c r="Z130" s="581">
        <f t="shared" si="924"/>
        <v>0.80393967306043945</v>
      </c>
      <c r="AA130" s="582">
        <f t="shared" si="925"/>
        <v>0.52127447774067959</v>
      </c>
      <c r="AB130" s="582">
        <f t="shared" si="926"/>
        <v>-0.28627595242293008</v>
      </c>
      <c r="AC130" s="586">
        <f t="shared" ref="AC130:AC150" si="1088">IF(M130="","",SQRT(Z130^2+AA130^2+AB130^2))</f>
        <v>1</v>
      </c>
      <c r="AD130" s="588">
        <f t="shared" ref="AD130:AD150" si="1089">IF(M130="","",Z130*(1/SQRT(Z130^2+AA130^2+AB130^2)))</f>
        <v>0.80393967306043945</v>
      </c>
      <c r="AE130" s="582">
        <f t="shared" ref="AE130:AE150" si="1090">IF(M130="","",AA130*(1/SQRT(Z130^2+AA130^2+AB130^2)))</f>
        <v>0.52127447774067959</v>
      </c>
      <c r="AF130" s="583">
        <f t="shared" ref="AF130:AF150" si="1091">IF(M130="","",AB130*(1/SQRT(Z130^2+AA130^2+AB130^2)))</f>
        <v>-0.28627595242293008</v>
      </c>
      <c r="AG130" s="547">
        <f t="shared" ref="AG130:AG150" si="1092">IF(M130="","",DEGREES(ATAN2(-AF130,AE130)))</f>
        <v>61.225084190396714</v>
      </c>
      <c r="AH130" s="548">
        <f t="shared" ref="AH130:AH150" si="1093">IF(M130="","",DEGREES(ACOS(AD130)))</f>
        <v>36.492022413977786</v>
      </c>
      <c r="AI130" s="536">
        <f t="shared" ref="AI130:AI150" si="1094">IF(M130="","",DEGREES(-ACOS(-AF130)))</f>
        <v>-73.364866505254369</v>
      </c>
      <c r="AJ130" s="537">
        <f t="shared" ref="AJ130:AJ150" si="1095">IF(M130="","",DEGREES(ATAN2(-AE130,AD130)))</f>
        <v>122.95937495255195</v>
      </c>
      <c r="AK130" s="585">
        <f t="shared" ref="AK130:AK150" si="1096">IF(M130="","",(COS(RADIANS((90-$Q$8)-W130))*AD130)+(-SIN(RADIANS((90-$Q$8)-W130))*AE130))</f>
        <v>0.92417366609024942</v>
      </c>
      <c r="AL130" s="582">
        <f t="shared" ref="AL130:AL150" si="1097">IF(M130="","",(SIN(RADIANS((90-$Q$8)-W130))*AD130)+(COS(RADIANS((90-$Q$8)-W130))*AE130))</f>
        <v>-0.25288162046628232</v>
      </c>
      <c r="AM130" s="584">
        <f t="shared" ref="AM130:AM150" si="1098">IF(M130="","",AF130)</f>
        <v>-0.28627595242293008</v>
      </c>
      <c r="AN130" s="534">
        <f t="shared" ref="AN130:AN150" si="1099">IF(M130="","",DEGREES(ATAN2(-AM130,AL130)))</f>
        <v>-41.45574271602144</v>
      </c>
      <c r="AO130" s="535">
        <f t="shared" si="1058"/>
        <v>22.455921062351166</v>
      </c>
      <c r="AP130" s="536">
        <f t="shared" ref="AP130:AP150" si="1100">IF(M130="","",DEGREES(ATAN2(AK130,AL130)))</f>
        <v>-15.303248198086818</v>
      </c>
      <c r="AQ130" s="537">
        <f t="shared" si="927"/>
        <v>0.35302042682731527</v>
      </c>
      <c r="AS130" s="955">
        <f t="shared" si="1029"/>
        <v>48.596864520726044</v>
      </c>
      <c r="AT130" s="951">
        <f t="shared" si="928"/>
        <v>-7.3568740382395831E-2</v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>Nose</v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>
        <f t="shared" si="855"/>
        <v>6.2409999999999997</v>
      </c>
      <c r="IJ130" s="674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>0.14099999999999999</v>
      </c>
      <c r="IK130" s="677" cm="1">
        <f t="array" ref="IK130">IFERROR(ROUND(VALUE(IF($IJ130&lt;1,$IJ130+LARGE((IF($M$9:$M$150="",0,$M$9:$M$150)-MOD(IF($M$9:$M$150="",0,$M$9:$M$150),1)),1),$IJ130)),4),"")</f>
        <v>6.141</v>
      </c>
      <c r="IL130" s="482">
        <f t="shared" si="990"/>
        <v>1613</v>
      </c>
      <c r="IM130" s="482">
        <f t="shared" si="856"/>
        <v>1313</v>
      </c>
      <c r="IN130" s="670">
        <f t="shared" si="991"/>
        <v>10.01143047382871</v>
      </c>
      <c r="IO130" s="702">
        <v>1.55968704011044E-2</v>
      </c>
      <c r="IP130" s="5">
        <f t="shared" si="992"/>
        <v>0.66</v>
      </c>
      <c r="IQ130" s="714">
        <v>330</v>
      </c>
      <c r="IR130" s="9">
        <f t="shared" si="993"/>
        <v>-6.4292383477751835</v>
      </c>
      <c r="IS130" s="5">
        <f t="shared" si="994"/>
        <v>-0.31310244081775784</v>
      </c>
      <c r="IT130" s="5">
        <f t="shared" si="995"/>
        <v>0.3125</v>
      </c>
      <c r="IU130" s="5">
        <f t="shared" si="996"/>
        <v>0.2981519133895314</v>
      </c>
      <c r="IV130" s="670">
        <f t="shared" si="997"/>
        <v>41.286219768349376</v>
      </c>
      <c r="IW130" s="9">
        <f t="shared" si="998"/>
        <v>-6.4576936931200288</v>
      </c>
      <c r="IX130" s="5">
        <f t="shared" si="999"/>
        <v>-0.287923322197909</v>
      </c>
      <c r="IY130" s="5">
        <f t="shared" si="1000"/>
        <v>0.26450000000000001</v>
      </c>
      <c r="IZ130" s="5">
        <f t="shared" si="1001"/>
        <v>0.24444393468087097</v>
      </c>
      <c r="JA130" s="705">
        <f t="shared" si="1002"/>
        <v>41.45574271602144</v>
      </c>
      <c r="JN130" s="960"/>
      <c r="JO130" s="162"/>
      <c r="JP130" s="961"/>
      <c r="JQ130" s="961"/>
    </row>
    <row r="131" spans="1:277" ht="15" customHeight="1" x14ac:dyDescent="0.25">
      <c r="A131" s="75">
        <f t="shared" si="917"/>
        <v>0.02</v>
      </c>
      <c r="B131" s="585">
        <f t="shared" ref="B131:D131" si="1222">IFERROR(O286+($A131*-E131),"")</f>
        <v>-5.2429372097940714</v>
      </c>
      <c r="C131" s="582">
        <f t="shared" si="1222"/>
        <v>4.8242810904491193</v>
      </c>
      <c r="D131" s="583">
        <f t="shared" si="1222"/>
        <v>-0.66673400531194926</v>
      </c>
      <c r="E131" s="588">
        <f t="shared" ref="E131:K131" si="1223">R286</f>
        <v>-0.86181242889355159</v>
      </c>
      <c r="F131" s="582">
        <f t="shared" si="1223"/>
        <v>-0.42954724382858983</v>
      </c>
      <c r="G131" s="586">
        <f t="shared" si="1223"/>
        <v>0.2697563766138979</v>
      </c>
      <c r="H131" s="588">
        <f t="shared" si="1223"/>
        <v>0.26450000000000001</v>
      </c>
      <c r="I131" s="582">
        <f t="shared" si="1223"/>
        <v>0.52</v>
      </c>
      <c r="J131" s="491">
        <f t="shared" si="728"/>
        <v>6.2469999999999999</v>
      </c>
      <c r="K131" s="807">
        <f t="shared" si="1223"/>
        <v>1313</v>
      </c>
      <c r="L131" s="309"/>
      <c r="M131" s="492">
        <f t="shared" si="920"/>
        <v>6.2469999999999999</v>
      </c>
      <c r="N131" s="581">
        <f t="shared" si="921"/>
        <v>-5.2429372097940714</v>
      </c>
      <c r="O131" s="582">
        <f t="shared" si="922"/>
        <v>4.8242810904491193</v>
      </c>
      <c r="P131" s="583">
        <f t="shared" si="923"/>
        <v>-0.66673400531194926</v>
      </c>
      <c r="Q131" s="536">
        <f t="shared" si="1079"/>
        <v>137.38133459204224</v>
      </c>
      <c r="R131" s="582">
        <f t="shared" si="1080"/>
        <v>7.1247511272681088</v>
      </c>
      <c r="S131" s="584">
        <f t="shared" si="1081"/>
        <v>-0.66673400531194926</v>
      </c>
      <c r="T131" s="585">
        <f t="shared" si="1082"/>
        <v>4.7936139129776159</v>
      </c>
      <c r="U131" s="582">
        <f t="shared" si="1083"/>
        <v>5.2709908251500144</v>
      </c>
      <c r="V131" s="586">
        <f t="shared" si="1084"/>
        <v>-0.66673400531194926</v>
      </c>
      <c r="W131" s="536">
        <f t="shared" si="1085"/>
        <v>47.715575962129506</v>
      </c>
      <c r="X131" s="582">
        <f t="shared" si="1086"/>
        <v>7.1247511272681088</v>
      </c>
      <c r="Y131" s="587">
        <f t="shared" si="1087"/>
        <v>-0.66673400531194926</v>
      </c>
      <c r="Z131" s="581">
        <f t="shared" si="924"/>
        <v>0.86181242889355159</v>
      </c>
      <c r="AA131" s="582">
        <f t="shared" si="925"/>
        <v>0.42954724382858983</v>
      </c>
      <c r="AB131" s="582">
        <f t="shared" si="926"/>
        <v>-0.2697563766138979</v>
      </c>
      <c r="AC131" s="586">
        <f t="shared" si="1088"/>
        <v>1</v>
      </c>
      <c r="AD131" s="588">
        <f t="shared" si="1089"/>
        <v>0.86181242889355159</v>
      </c>
      <c r="AE131" s="582">
        <f t="shared" si="1090"/>
        <v>0.42954724382858983</v>
      </c>
      <c r="AF131" s="583">
        <f t="shared" si="1091"/>
        <v>-0.2697563766138979</v>
      </c>
      <c r="AG131" s="547">
        <f t="shared" si="1092"/>
        <v>57.871111359568744</v>
      </c>
      <c r="AH131" s="548">
        <f t="shared" si="1093"/>
        <v>30.47930456046743</v>
      </c>
      <c r="AI131" s="536">
        <f t="shared" si="1094"/>
        <v>-74.35022964047657</v>
      </c>
      <c r="AJ131" s="537">
        <f t="shared" si="1095"/>
        <v>116.49272696343024</v>
      </c>
      <c r="AK131" s="585">
        <f t="shared" si="1096"/>
        <v>0.89964049519246958</v>
      </c>
      <c r="AL131" s="582">
        <f t="shared" si="1097"/>
        <v>-0.34333435115931676</v>
      </c>
      <c r="AM131" s="584">
        <f t="shared" si="1098"/>
        <v>-0.2697563766138979</v>
      </c>
      <c r="AN131" s="534">
        <f t="shared" si="1099"/>
        <v>-51.843426337954227</v>
      </c>
      <c r="AO131" s="535">
        <f t="shared" si="1058"/>
        <v>25.889147901995987</v>
      </c>
      <c r="AP131" s="536">
        <f t="shared" si="1100"/>
        <v>-20.888607628611982</v>
      </c>
      <c r="AQ131" s="537">
        <f t="shared" si="927"/>
        <v>0.31996948272277509</v>
      </c>
      <c r="AS131" s="955">
        <f t="shared" si="1029"/>
        <v>47.715575962129506</v>
      </c>
      <c r="AT131" s="951">
        <f t="shared" si="928"/>
        <v>-0.45176741755296623</v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>Taper</v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>
        <f t="shared" si="855"/>
        <v>6.2469999999999999</v>
      </c>
      <c r="IJ131" s="674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>0.14699999999999999</v>
      </c>
      <c r="IK131" s="677" cm="1">
        <f t="array" ref="IK131">IFERROR(ROUND(VALUE(IF($IJ131&lt;1,$IJ131+LARGE((IF($M$9:$M$150="",0,$M$9:$M$150)-MOD(IF($M$9:$M$150="",0,$M$9:$M$150),1)),1),$IJ131)),4),"")</f>
        <v>6.1470000000000002</v>
      </c>
      <c r="IL131" s="482">
        <f t="shared" si="990"/>
        <v>1613</v>
      </c>
      <c r="IM131" s="482">
        <f t="shared" si="856"/>
        <v>1313</v>
      </c>
      <c r="IN131" s="670">
        <f t="shared" si="991"/>
        <v>10.290762093978884</v>
      </c>
      <c r="IO131" s="702">
        <v>1.4338049945478999E-2</v>
      </c>
      <c r="IP131" s="5">
        <f t="shared" si="992"/>
        <v>0.7</v>
      </c>
      <c r="IQ131" s="714">
        <v>350</v>
      </c>
      <c r="IR131" s="9">
        <f t="shared" si="993"/>
        <v>-7.0905057721071643</v>
      </c>
      <c r="IS131" s="5">
        <f t="shared" si="994"/>
        <v>-0.68651150921544324</v>
      </c>
      <c r="IT131" s="5">
        <f t="shared" si="995"/>
        <v>0.3125</v>
      </c>
      <c r="IU131" s="5">
        <f t="shared" si="996"/>
        <v>0.29202337128052674</v>
      </c>
      <c r="IV131" s="670">
        <f t="shared" si="997"/>
        <v>51.738316888198291</v>
      </c>
      <c r="IW131" s="9">
        <f t="shared" si="998"/>
        <v>-7.1247511272681088</v>
      </c>
      <c r="IX131" s="5">
        <f t="shared" si="999"/>
        <v>-0.66673400531194926</v>
      </c>
      <c r="IY131" s="5">
        <f t="shared" si="1000"/>
        <v>0.26450000000000001</v>
      </c>
      <c r="IZ131" s="5">
        <f t="shared" si="1001"/>
        <v>0.23795491097840824</v>
      </c>
      <c r="JA131" s="705">
        <f t="shared" si="1002"/>
        <v>51.843426337954227</v>
      </c>
      <c r="JN131" s="960"/>
      <c r="JO131" s="162"/>
      <c r="JP131" s="961"/>
      <c r="JQ131" s="961"/>
    </row>
    <row r="132" spans="1:277" ht="15" customHeight="1" x14ac:dyDescent="0.25">
      <c r="A132" s="75">
        <f t="shared" si="917"/>
        <v>0.02</v>
      </c>
      <c r="B132" s="585">
        <f t="shared" ref="B132:D132" si="1224">IFERROR(O287+($A132*-E132),"")</f>
        <v>-5.5669414282323482</v>
      </c>
      <c r="C132" s="582">
        <f t="shared" si="1224"/>
        <v>5.2999867155004683</v>
      </c>
      <c r="D132" s="583">
        <f t="shared" si="1224"/>
        <v>-1.1835807785046724</v>
      </c>
      <c r="E132" s="588">
        <f t="shared" ref="E132:K132" si="1225">R287</f>
        <v>-0.91170148883904556</v>
      </c>
      <c r="F132" s="582">
        <f t="shared" si="1225"/>
        <v>-0.33724958160020641</v>
      </c>
      <c r="G132" s="586">
        <f t="shared" si="1225"/>
        <v>0.23465531095450062</v>
      </c>
      <c r="H132" s="588">
        <f t="shared" si="1225"/>
        <v>0.26450000000000001</v>
      </c>
      <c r="I132" s="582">
        <f t="shared" si="1225"/>
        <v>0.52</v>
      </c>
      <c r="J132" s="491">
        <f t="shared" si="728"/>
        <v>6.2530000000000001</v>
      </c>
      <c r="K132" s="807">
        <f t="shared" si="1225"/>
        <v>1313</v>
      </c>
      <c r="L132" s="309"/>
      <c r="M132" s="492">
        <f t="shared" si="920"/>
        <v>6.2530000000000001</v>
      </c>
      <c r="N132" s="581">
        <f t="shared" si="921"/>
        <v>-5.5669414282323482</v>
      </c>
      <c r="O132" s="582">
        <f t="shared" si="922"/>
        <v>5.2999867155004683</v>
      </c>
      <c r="P132" s="583">
        <f t="shared" si="923"/>
        <v>-1.1835807785046724</v>
      </c>
      <c r="Q132" s="536">
        <f t="shared" si="1079"/>
        <v>136.40723325513935</v>
      </c>
      <c r="R132" s="582">
        <f t="shared" si="1080"/>
        <v>7.6863968183961893</v>
      </c>
      <c r="S132" s="584">
        <f t="shared" si="1081"/>
        <v>-1.1835807785046724</v>
      </c>
      <c r="T132" s="585">
        <f t="shared" si="1082"/>
        <v>5.2674213393674982</v>
      </c>
      <c r="U132" s="582">
        <f t="shared" si="1083"/>
        <v>5.5977645970000358</v>
      </c>
      <c r="V132" s="586">
        <f t="shared" si="1084"/>
        <v>-1.1835807785046724</v>
      </c>
      <c r="W132" s="536">
        <f t="shared" si="1085"/>
        <v>46.741474625226616</v>
      </c>
      <c r="X132" s="582">
        <f t="shared" si="1086"/>
        <v>7.6863968183961893</v>
      </c>
      <c r="Y132" s="587">
        <f t="shared" si="1087"/>
        <v>-1.1835807785046724</v>
      </c>
      <c r="Z132" s="581">
        <f t="shared" si="924"/>
        <v>0.91170148883904556</v>
      </c>
      <c r="AA132" s="582">
        <f t="shared" si="925"/>
        <v>0.33724958160020641</v>
      </c>
      <c r="AB132" s="582">
        <f t="shared" si="926"/>
        <v>-0.23465531095450062</v>
      </c>
      <c r="AC132" s="586">
        <f t="shared" si="1088"/>
        <v>1</v>
      </c>
      <c r="AD132" s="588">
        <f t="shared" si="1089"/>
        <v>0.91170148883904556</v>
      </c>
      <c r="AE132" s="582">
        <f t="shared" si="1090"/>
        <v>0.33724958160020641</v>
      </c>
      <c r="AF132" s="583">
        <f t="shared" si="1091"/>
        <v>-0.23465531095450062</v>
      </c>
      <c r="AG132" s="547">
        <f t="shared" si="1092"/>
        <v>55.170141011375534</v>
      </c>
      <c r="AH132" s="548">
        <f t="shared" si="1093"/>
        <v>24.258446077686159</v>
      </c>
      <c r="AI132" s="536">
        <f t="shared" si="1094"/>
        <v>-76.428694587660004</v>
      </c>
      <c r="AJ132" s="537">
        <f t="shared" si="1095"/>
        <v>110.300053089478</v>
      </c>
      <c r="AK132" s="585">
        <f t="shared" si="1096"/>
        <v>0.87289982619100881</v>
      </c>
      <c r="AL132" s="582">
        <f t="shared" si="1097"/>
        <v>-0.42776486353667864</v>
      </c>
      <c r="AM132" s="584">
        <f t="shared" si="1098"/>
        <v>-0.23465531095450062</v>
      </c>
      <c r="AN132" s="534">
        <f t="shared" si="1099"/>
        <v>-61.25252548148363</v>
      </c>
      <c r="AO132" s="535">
        <f t="shared" si="1058"/>
        <v>29.20261313036341</v>
      </c>
      <c r="AP132" s="536">
        <f t="shared" si="1100"/>
        <v>-26.10718016566134</v>
      </c>
      <c r="AQ132" s="537">
        <f t="shared" si="927"/>
        <v>0.296589718616248</v>
      </c>
      <c r="AS132" s="955">
        <f t="shared" si="1029"/>
        <v>46.741474625226616</v>
      </c>
      <c r="AT132" s="951">
        <f t="shared" si="928"/>
        <v>-0.96793773148395124</v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>Taper</v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>
        <f t="shared" si="855"/>
        <v>6.2530000000000001</v>
      </c>
      <c r="IJ132" s="674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>0.153</v>
      </c>
      <c r="IK132" s="677" cm="1">
        <f t="array" ref="IK132">IFERROR(ROUND(VALUE(IF($IJ132&lt;1,$IJ132+LARGE((IF($M$9:$M$150="",0,$M$9:$M$150)-MOD(IF($M$9:$M$150="",0,$M$9:$M$150),1)),1),$IJ132)),4),"")</f>
        <v>6.1529999999999996</v>
      </c>
      <c r="IL132" s="482">
        <f t="shared" si="990"/>
        <v>1613</v>
      </c>
      <c r="IM132" s="482">
        <f t="shared" si="856"/>
        <v>1313</v>
      </c>
      <c r="IN132" s="670">
        <f t="shared" si="991"/>
        <v>10.720191809123122</v>
      </c>
      <c r="IO132" s="702">
        <v>1.31161395389625E-2</v>
      </c>
      <c r="IP132" s="5">
        <f t="shared" si="992"/>
        <v>0.72</v>
      </c>
      <c r="IQ132" s="714">
        <v>360</v>
      </c>
      <c r="IR132" s="9">
        <f t="shared" si="993"/>
        <v>-7.6479276652678827</v>
      </c>
      <c r="IS132" s="5">
        <f t="shared" si="994"/>
        <v>-1.197349504695316</v>
      </c>
      <c r="IT132" s="5">
        <f t="shared" si="995"/>
        <v>0.3125</v>
      </c>
      <c r="IU132" s="5">
        <f t="shared" si="996"/>
        <v>0.28511588969380064</v>
      </c>
      <c r="IV132" s="670">
        <f t="shared" si="997"/>
        <v>61.186849029910029</v>
      </c>
      <c r="IW132" s="9">
        <f t="shared" si="998"/>
        <v>-7.6863968183961893</v>
      </c>
      <c r="IX132" s="5">
        <f t="shared" si="999"/>
        <v>-1.1835807785046724</v>
      </c>
      <c r="IY132" s="5">
        <f t="shared" si="1000"/>
        <v>0.26450000000000001</v>
      </c>
      <c r="IZ132" s="5">
        <f t="shared" si="1001"/>
        <v>0.23088200402752185</v>
      </c>
      <c r="JA132" s="705">
        <f t="shared" si="1002"/>
        <v>61.25252548148363</v>
      </c>
      <c r="JN132" s="960"/>
      <c r="JO132" s="162"/>
      <c r="JP132" s="961"/>
      <c r="JQ132" s="961"/>
    </row>
    <row r="133" spans="1:277" ht="15" customHeight="1" x14ac:dyDescent="0.25">
      <c r="A133" s="75">
        <f t="shared" si="917"/>
        <v>0.02</v>
      </c>
      <c r="B133" s="585">
        <f t="shared" ref="B133:D133" si="1226">IFERROR(O288+($A133*-E133),"")</f>
        <v>-5.7769002073647515</v>
      </c>
      <c r="C133" s="582">
        <f t="shared" si="1226"/>
        <v>5.7066299408555103</v>
      </c>
      <c r="D133" s="583">
        <f t="shared" si="1226"/>
        <v>-1.8140448884611657</v>
      </c>
      <c r="E133" s="588">
        <f t="shared" ref="E133:K133" si="1227">R288</f>
        <v>-0.95255683335684771</v>
      </c>
      <c r="F133" s="582">
        <f t="shared" si="1227"/>
        <v>-0.23425667028617497</v>
      </c>
      <c r="G133" s="586">
        <f t="shared" si="1227"/>
        <v>0.19431750217520075</v>
      </c>
      <c r="H133" s="588">
        <f t="shared" si="1227"/>
        <v>0.26450000000000001</v>
      </c>
      <c r="I133" s="582">
        <f t="shared" si="1227"/>
        <v>0.52</v>
      </c>
      <c r="J133" s="491">
        <f t="shared" si="728"/>
        <v>6.2590000000000003</v>
      </c>
      <c r="K133" s="807">
        <f t="shared" si="1227"/>
        <v>1313</v>
      </c>
      <c r="L133" s="309"/>
      <c r="M133" s="492">
        <f t="shared" si="920"/>
        <v>6.2590000000000003</v>
      </c>
      <c r="N133" s="581">
        <f t="shared" si="921"/>
        <v>-5.7769002073647515</v>
      </c>
      <c r="O133" s="582">
        <f t="shared" si="922"/>
        <v>5.7066299408555103</v>
      </c>
      <c r="P133" s="583">
        <f t="shared" si="923"/>
        <v>-1.8140448884611657</v>
      </c>
      <c r="Q133" s="536">
        <f t="shared" si="1079"/>
        <v>135.35060119945811</v>
      </c>
      <c r="R133" s="582">
        <f t="shared" si="1080"/>
        <v>8.1202340660672743</v>
      </c>
      <c r="S133" s="584">
        <f t="shared" si="1081"/>
        <v>-1.8140448884611657</v>
      </c>
      <c r="T133" s="585">
        <f t="shared" si="1082"/>
        <v>5.6728328343061118</v>
      </c>
      <c r="U133" s="582">
        <f t="shared" si="1083"/>
        <v>5.8100919890943166</v>
      </c>
      <c r="V133" s="586">
        <f t="shared" si="1084"/>
        <v>-1.8140448884611657</v>
      </c>
      <c r="W133" s="536">
        <f t="shared" si="1085"/>
        <v>45.684842569545381</v>
      </c>
      <c r="X133" s="582">
        <f t="shared" si="1086"/>
        <v>8.1202340660672743</v>
      </c>
      <c r="Y133" s="587">
        <f t="shared" si="1087"/>
        <v>-1.8140448884611657</v>
      </c>
      <c r="Z133" s="581">
        <f t="shared" si="924"/>
        <v>0.95255683335684771</v>
      </c>
      <c r="AA133" s="582">
        <f t="shared" si="925"/>
        <v>0.23425667028617497</v>
      </c>
      <c r="AB133" s="582">
        <f t="shared" si="926"/>
        <v>-0.19431750217520075</v>
      </c>
      <c r="AC133" s="586">
        <f t="shared" si="1088"/>
        <v>1</v>
      </c>
      <c r="AD133" s="588">
        <f t="shared" si="1089"/>
        <v>0.95255683335684771</v>
      </c>
      <c r="AE133" s="582">
        <f t="shared" si="1090"/>
        <v>0.23425667028617497</v>
      </c>
      <c r="AF133" s="583">
        <f t="shared" si="1091"/>
        <v>-0.19431750217520075</v>
      </c>
      <c r="AG133" s="547">
        <f t="shared" si="1092"/>
        <v>50.324062492765634</v>
      </c>
      <c r="AH133" s="548">
        <f t="shared" si="1093"/>
        <v>17.71971053103891</v>
      </c>
      <c r="AI133" s="536">
        <f t="shared" si="1094"/>
        <v>-78.795143265460609</v>
      </c>
      <c r="AJ133" s="537">
        <f t="shared" si="1095"/>
        <v>103.81623819582155</v>
      </c>
      <c r="AK133" s="585">
        <f t="shared" si="1096"/>
        <v>0.83608017915689903</v>
      </c>
      <c r="AL133" s="582">
        <f t="shared" si="1097"/>
        <v>-0.51304058549919684</v>
      </c>
      <c r="AM133" s="584">
        <f t="shared" si="1098"/>
        <v>-0.19431750217520075</v>
      </c>
      <c r="AN133" s="534">
        <f t="shared" si="1099"/>
        <v>-69.255487562627764</v>
      </c>
      <c r="AO133" s="535">
        <f t="shared" si="1058"/>
        <v>33.271518077450168</v>
      </c>
      <c r="AP133" s="536">
        <f t="shared" si="1100"/>
        <v>-31.534363003636557</v>
      </c>
      <c r="AQ133" s="537">
        <f t="shared" si="927"/>
        <v>0.28074417173598054</v>
      </c>
      <c r="AS133" s="955">
        <f t="shared" si="1029"/>
        <v>45.684842569545381</v>
      </c>
      <c r="AT133" s="951">
        <f t="shared" si="928"/>
        <v>-1.5976680691795548</v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>Taper</v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>
        <f t="shared" si="855"/>
        <v>6.2590000000000003</v>
      </c>
      <c r="IJ133" s="674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>0.159</v>
      </c>
      <c r="IK133" s="677" cm="1">
        <f t="array" ref="IK133">IFERROR(ROUND(VALUE(IF($IJ133&lt;1,$IJ133+LARGE((IF($M$9:$M$150="",0,$M$9:$M$150)-MOD(IF($M$9:$M$150="",0,$M$9:$M$150),1)),1),$IJ133)),4),"")</f>
        <v>6.1589999999999998</v>
      </c>
      <c r="IL133" s="482">
        <f t="shared" si="990"/>
        <v>1613</v>
      </c>
      <c r="IM133" s="482">
        <f t="shared" si="856"/>
        <v>1313</v>
      </c>
      <c r="IN133" s="670">
        <f t="shared" si="991"/>
        <v>11.336564612201641</v>
      </c>
      <c r="IO133" s="702">
        <v>1.1730242888603399E-2</v>
      </c>
      <c r="IP133" s="5">
        <f t="shared" si="992"/>
        <v>0.74</v>
      </c>
      <c r="IQ133" s="714">
        <v>370</v>
      </c>
      <c r="IR133" s="9">
        <f t="shared" si="993"/>
        <v>-8.0788609411169752</v>
      </c>
      <c r="IS133" s="5">
        <f t="shared" si="994"/>
        <v>-1.8219622886522597</v>
      </c>
      <c r="IT133" s="5">
        <f t="shared" si="995"/>
        <v>0.3125</v>
      </c>
      <c r="IU133" s="5">
        <f t="shared" si="996"/>
        <v>0.27533317095745846</v>
      </c>
      <c r="IV133" s="670">
        <f t="shared" si="997"/>
        <v>69.215930410260441</v>
      </c>
      <c r="IW133" s="9">
        <f t="shared" si="998"/>
        <v>-8.1202340660672743</v>
      </c>
      <c r="IX133" s="5">
        <f t="shared" si="999"/>
        <v>-1.8140448884611657</v>
      </c>
      <c r="IY133" s="5">
        <f t="shared" si="1000"/>
        <v>0.26450000000000001</v>
      </c>
      <c r="IZ133" s="5">
        <f t="shared" si="1001"/>
        <v>0.22114320738699983</v>
      </c>
      <c r="JA133" s="705">
        <f t="shared" si="1002"/>
        <v>69.255487562627764</v>
      </c>
      <c r="JN133" s="960"/>
      <c r="JO133" s="162"/>
      <c r="JP133" s="961"/>
      <c r="JQ133" s="961"/>
    </row>
    <row r="134" spans="1:277" ht="15" customHeight="1" x14ac:dyDescent="0.25">
      <c r="A134" s="75">
        <f t="shared" si="917"/>
        <v>0</v>
      </c>
      <c r="B134" s="585">
        <f t="shared" ref="B134:D134" si="1228">IFERROR(O289+($A134*-E134),"")</f>
        <v>-5.7853458137312979</v>
      </c>
      <c r="C134" s="582">
        <f t="shared" si="1228"/>
        <v>6.044717669598203</v>
      </c>
      <c r="D134" s="583">
        <f t="shared" si="1228"/>
        <v>-2.5384118410647432</v>
      </c>
      <c r="E134" s="588">
        <f t="shared" ref="E134:K134" si="1229">R289</f>
        <v>-0.55293201801262137</v>
      </c>
      <c r="F134" s="582">
        <f t="shared" si="1229"/>
        <v>0.57772104685582604</v>
      </c>
      <c r="G134" s="586">
        <f t="shared" si="1229"/>
        <v>0.60042033233085867</v>
      </c>
      <c r="H134" s="588">
        <f t="shared" si="1229"/>
        <v>0.255</v>
      </c>
      <c r="I134" s="582">
        <f t="shared" si="1229"/>
        <v>0.41499999999999992</v>
      </c>
      <c r="J134" s="491">
        <f t="shared" si="728"/>
        <v>6.2649999999999997</v>
      </c>
      <c r="K134" s="807" t="str">
        <f t="shared" si="1229"/>
        <v>CPS-32193r1</v>
      </c>
      <c r="L134" s="309"/>
      <c r="M134" s="492">
        <f t="shared" si="920"/>
        <v>6.2649999999999997</v>
      </c>
      <c r="N134" s="581">
        <f t="shared" si="921"/>
        <v>-5.7853458137312979</v>
      </c>
      <c r="O134" s="582">
        <f t="shared" si="922"/>
        <v>6.044717669598203</v>
      </c>
      <c r="P134" s="583">
        <f t="shared" si="923"/>
        <v>-2.5384118410647432</v>
      </c>
      <c r="Q134" s="536">
        <f t="shared" si="1079"/>
        <v>133.74400233154537</v>
      </c>
      <c r="R134" s="582">
        <f t="shared" si="1080"/>
        <v>8.3671284135963262</v>
      </c>
      <c r="S134" s="584">
        <f t="shared" si="1081"/>
        <v>-2.5384118410647432</v>
      </c>
      <c r="T134" s="585">
        <f t="shared" si="1082"/>
        <v>6.0108655422130539</v>
      </c>
      <c r="U134" s="582">
        <f t="shared" si="1083"/>
        <v>5.8205097133366888</v>
      </c>
      <c r="V134" s="586">
        <f t="shared" si="1084"/>
        <v>-2.5384118410647432</v>
      </c>
      <c r="W134" s="536">
        <f t="shared" si="1085"/>
        <v>44.078243701632644</v>
      </c>
      <c r="X134" s="582">
        <f t="shared" si="1086"/>
        <v>8.3671284135963262</v>
      </c>
      <c r="Y134" s="587">
        <f t="shared" si="1087"/>
        <v>-2.5384118410647432</v>
      </c>
      <c r="Z134" s="581">
        <f t="shared" si="924"/>
        <v>0.55293201801262137</v>
      </c>
      <c r="AA134" s="582">
        <f t="shared" si="925"/>
        <v>-0.57772104685582604</v>
      </c>
      <c r="AB134" s="582">
        <f t="shared" si="926"/>
        <v>-0.60042033233085867</v>
      </c>
      <c r="AC134" s="586">
        <f t="shared" si="1088"/>
        <v>1</v>
      </c>
      <c r="AD134" s="588">
        <f t="shared" si="1089"/>
        <v>0.55293201801262137</v>
      </c>
      <c r="AE134" s="582">
        <f t="shared" si="1090"/>
        <v>-0.57772104685582604</v>
      </c>
      <c r="AF134" s="583">
        <f t="shared" si="1091"/>
        <v>-0.60042033233085867</v>
      </c>
      <c r="AG134" s="547">
        <f t="shared" si="1092"/>
        <v>-43.896217056605074</v>
      </c>
      <c r="AH134" s="548">
        <f t="shared" si="1093"/>
        <v>56.431604882112453</v>
      </c>
      <c r="AI134" s="536">
        <f t="shared" si="1094"/>
        <v>-53.099992333310794</v>
      </c>
      <c r="AJ134" s="537">
        <f t="shared" si="1095"/>
        <v>43.744018596470426</v>
      </c>
      <c r="AK134" s="585">
        <f t="shared" si="1096"/>
        <v>2.2701165486305186E-7</v>
      </c>
      <c r="AL134" s="582">
        <f t="shared" si="1097"/>
        <v>-0.79968457814543981</v>
      </c>
      <c r="AM134" s="584">
        <f t="shared" si="1098"/>
        <v>-0.60042033233085867</v>
      </c>
      <c r="AN134" s="534">
        <f t="shared" si="1099"/>
        <v>-53.099992333309693</v>
      </c>
      <c r="AO134" s="535">
        <f t="shared" si="1058"/>
        <v>0</v>
      </c>
      <c r="AP134" s="536">
        <f t="shared" si="1100"/>
        <v>-89.999983735074963</v>
      </c>
      <c r="AQ134" s="537">
        <f t="shared" si="927"/>
        <v>0.27246019605683031</v>
      </c>
      <c r="AS134" s="955">
        <f t="shared" si="1029"/>
        <v>44.078243701632644</v>
      </c>
      <c r="AT134" s="951">
        <f t="shared" si="928"/>
        <v>-2.3209193281248597</v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>Taper</v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>
        <f t="shared" si="855"/>
        <v>6.2649999999999997</v>
      </c>
      <c r="IJ134" s="674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>0.16500000000000001</v>
      </c>
      <c r="IK134" s="677" cm="1">
        <f t="array" ref="IK134">IFERROR(ROUND(VALUE(IF($IJ134&lt;1,$IJ134+LARGE((IF($M$9:$M$150="",0,$M$9:$M$150)-MOD(IF($M$9:$M$150="",0,$M$9:$M$150),1)),1),$IJ134)),4),"")</f>
        <v>6.165</v>
      </c>
      <c r="IL134" s="482">
        <f t="shared" si="990"/>
        <v>1613</v>
      </c>
      <c r="IM134" s="482" t="str">
        <f t="shared" si="856"/>
        <v>CPS-32193r1</v>
      </c>
      <c r="IN134" s="670">
        <f t="shared" si="991"/>
        <v>12.654837494956098</v>
      </c>
      <c r="IO134" s="702">
        <v>2.1269691619692099E-4</v>
      </c>
      <c r="IP134" s="5">
        <f t="shared" si="992"/>
        <v>0</v>
      </c>
      <c r="IQ134" s="714">
        <v>0</v>
      </c>
      <c r="IR134" s="9">
        <f t="shared" si="993"/>
        <v>-8.3533829700246187</v>
      </c>
      <c r="IS134" s="5">
        <f t="shared" si="994"/>
        <v>-2.5285456450557486</v>
      </c>
      <c r="IT134" s="5">
        <f t="shared" si="995"/>
        <v>0.3125</v>
      </c>
      <c r="IU134" s="5">
        <f t="shared" si="996"/>
        <v>0.26721961429990548</v>
      </c>
      <c r="IV134" s="670">
        <f t="shared" si="997"/>
        <v>77.535504684909853</v>
      </c>
      <c r="IW134" s="9">
        <f t="shared" si="998"/>
        <v>-8.3671284135963262</v>
      </c>
      <c r="IX134" s="5">
        <f t="shared" si="999"/>
        <v>-2.5384118410647432</v>
      </c>
      <c r="IY134" s="5">
        <f t="shared" si="1000"/>
        <v>0.255</v>
      </c>
      <c r="IZ134" s="5">
        <f t="shared" si="1001"/>
        <v>0.255</v>
      </c>
      <c r="JA134" s="705">
        <f t="shared" si="1002"/>
        <v>53.099992333309693</v>
      </c>
      <c r="JN134" s="960"/>
      <c r="JO134" s="162"/>
      <c r="JP134" s="961"/>
      <c r="JQ134" s="961"/>
    </row>
    <row r="135" spans="1:277" ht="15" customHeight="1" x14ac:dyDescent="0.25">
      <c r="A135" s="75">
        <f t="shared" si="917"/>
        <v>0</v>
      </c>
      <c r="B135" s="585">
        <f t="shared" ref="B135:D135" si="1230">IFERROR(O290+($A135*-E135),"")</f>
        <v>-5.762730536057763</v>
      </c>
      <c r="C135" s="582">
        <f t="shared" si="1230"/>
        <v>6.2035419035898558</v>
      </c>
      <c r="D135" s="583">
        <f t="shared" si="1230"/>
        <v>-3.2887583267227209</v>
      </c>
      <c r="E135" s="588">
        <f t="shared" ref="E135:K135" si="1231">R290</f>
        <v>-0.60259625002180728</v>
      </c>
      <c r="F135" s="582">
        <f t="shared" si="1231"/>
        <v>0.64869060634480746</v>
      </c>
      <c r="G135" s="586">
        <f t="shared" si="1231"/>
        <v>0.46484218472473193</v>
      </c>
      <c r="H135" s="588">
        <f t="shared" si="1231"/>
        <v>0.255</v>
      </c>
      <c r="I135" s="582">
        <f t="shared" si="1231"/>
        <v>0.41499999999999992</v>
      </c>
      <c r="J135" s="491">
        <f t="shared" si="728"/>
        <v>6.2709999999999999</v>
      </c>
      <c r="K135" s="807" t="str">
        <f t="shared" si="1231"/>
        <v>CPS-32193r1</v>
      </c>
      <c r="L135" s="309"/>
      <c r="M135" s="492">
        <f t="shared" si="920"/>
        <v>6.2709999999999999</v>
      </c>
      <c r="N135" s="581">
        <f t="shared" si="921"/>
        <v>-5.762730536057763</v>
      </c>
      <c r="O135" s="582">
        <f t="shared" si="922"/>
        <v>6.2035419035898558</v>
      </c>
      <c r="P135" s="583">
        <f t="shared" si="923"/>
        <v>-3.2887583267227209</v>
      </c>
      <c r="Q135" s="536">
        <f t="shared" si="1079"/>
        <v>132.8903024549879</v>
      </c>
      <c r="R135" s="582">
        <f t="shared" si="1080"/>
        <v>8.4671716281653246</v>
      </c>
      <c r="S135" s="584">
        <f t="shared" si="1081"/>
        <v>-3.2887583267227209</v>
      </c>
      <c r="T135" s="585">
        <f t="shared" si="1082"/>
        <v>6.1698190017520282</v>
      </c>
      <c r="U135" s="582">
        <f t="shared" si="1083"/>
        <v>5.7988213342391779</v>
      </c>
      <c r="V135" s="586">
        <f t="shared" si="1084"/>
        <v>-3.2887583267227209</v>
      </c>
      <c r="W135" s="536">
        <f t="shared" si="1085"/>
        <v>43.224543825075173</v>
      </c>
      <c r="X135" s="582">
        <f t="shared" si="1086"/>
        <v>8.4671716281653246</v>
      </c>
      <c r="Y135" s="587">
        <f t="shared" si="1087"/>
        <v>-3.2887583267227209</v>
      </c>
      <c r="Z135" s="581">
        <f t="shared" si="924"/>
        <v>0.60259625002180728</v>
      </c>
      <c r="AA135" s="582">
        <f t="shared" si="925"/>
        <v>-0.64869060634480746</v>
      </c>
      <c r="AB135" s="582">
        <f t="shared" si="926"/>
        <v>-0.46484218472473193</v>
      </c>
      <c r="AC135" s="586">
        <f t="shared" si="1088"/>
        <v>1</v>
      </c>
      <c r="AD135" s="588">
        <f t="shared" si="1089"/>
        <v>0.60259625002180728</v>
      </c>
      <c r="AE135" s="582">
        <f t="shared" si="1090"/>
        <v>-0.64869060634480746</v>
      </c>
      <c r="AF135" s="583">
        <f t="shared" si="1091"/>
        <v>-0.46484218472473193</v>
      </c>
      <c r="AG135" s="547">
        <f t="shared" si="1092"/>
        <v>-54.375170990836331</v>
      </c>
      <c r="AH135" s="548">
        <f t="shared" si="1093"/>
        <v>52.943932471653852</v>
      </c>
      <c r="AI135" s="536">
        <f t="shared" si="1094"/>
        <v>-62.299991004994965</v>
      </c>
      <c r="AJ135" s="537">
        <f t="shared" si="1095"/>
        <v>42.890317146735207</v>
      </c>
      <c r="AK135" s="585">
        <f t="shared" si="1096"/>
        <v>2.27032051047793E-7</v>
      </c>
      <c r="AL135" s="582">
        <f t="shared" si="1097"/>
        <v>-0.8853935527776825</v>
      </c>
      <c r="AM135" s="584">
        <f t="shared" si="1098"/>
        <v>-0.46484218472473193</v>
      </c>
      <c r="AN135" s="534">
        <f t="shared" si="1099"/>
        <v>-62.299991004994205</v>
      </c>
      <c r="AO135" s="535">
        <f t="shared" si="1058"/>
        <v>0</v>
      </c>
      <c r="AP135" s="536">
        <f t="shared" si="1100"/>
        <v>-89.999985308252704</v>
      </c>
      <c r="AQ135" s="537">
        <f t="shared" si="927"/>
        <v>0.26924101125869249</v>
      </c>
      <c r="AS135" s="955">
        <f t="shared" si="1029"/>
        <v>43.224543825075173</v>
      </c>
      <c r="AT135" s="951">
        <f t="shared" si="928"/>
        <v>-3.070672966646339</v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>Taper</v>
      </c>
      <c r="IH135" s="482" t="str">
        <f>IFERROR(IF((((($IY135*COS(RADIANS(180-$JA135)))*COS(RADIANS($JA135)))-(($IZ135*SIN(RADIANS(180-$JA135)))*SIN(RADIANS($JA135))))+$IW135)&lt;(((Settings!$C$19+$IH$8)/2)*-1),"Gage",""),"")</f>
        <v>Gage</v>
      </c>
      <c r="II135" s="788">
        <f t="shared" si="855"/>
        <v>6.2709999999999999</v>
      </c>
      <c r="IJ135" s="674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>0.17100000000000001</v>
      </c>
      <c r="IK135" s="677" cm="1">
        <f t="array" ref="IK135">IFERROR(ROUND(VALUE(IF($IJ135&lt;1,$IJ135+LARGE((IF($M$9:$M$150="",0,$M$9:$M$150)-MOD(IF($M$9:$M$150="",0,$M$9:$M$150),1)),1),$IJ135)),4),"")</f>
        <v>6.1710000000000003</v>
      </c>
      <c r="IL135" s="482">
        <f t="shared" si="990"/>
        <v>1613</v>
      </c>
      <c r="IM135" s="482" t="str">
        <f t="shared" si="856"/>
        <v>CPS-32193r1</v>
      </c>
      <c r="IN135" s="670">
        <f t="shared" si="991"/>
        <v>13.395673837900603</v>
      </c>
      <c r="IO135" s="702">
        <v>8.3773287758044104E-5</v>
      </c>
      <c r="IP135" s="5">
        <f t="shared" si="992"/>
        <v>0</v>
      </c>
      <c r="IQ135" s="714">
        <v>0</v>
      </c>
      <c r="IR135" s="9">
        <f t="shared" si="993"/>
        <v>-8.4613390427947337</v>
      </c>
      <c r="IS135" s="5">
        <f t="shared" si="994"/>
        <v>-3.2762107401858218</v>
      </c>
      <c r="IT135" s="5">
        <f t="shared" si="995"/>
        <v>0.3125</v>
      </c>
      <c r="IU135" s="5">
        <f t="shared" si="996"/>
        <v>0.25883437954192434</v>
      </c>
      <c r="IV135" s="670">
        <f t="shared" si="997"/>
        <v>85.389198255717432</v>
      </c>
      <c r="IW135" s="9">
        <f t="shared" si="998"/>
        <v>-8.4671716281653246</v>
      </c>
      <c r="IX135" s="5">
        <f t="shared" si="999"/>
        <v>-3.2887583267227209</v>
      </c>
      <c r="IY135" s="5">
        <f t="shared" si="1000"/>
        <v>0.255</v>
      </c>
      <c r="IZ135" s="5">
        <f t="shared" si="1001"/>
        <v>0.255</v>
      </c>
      <c r="JA135" s="705">
        <f t="shared" si="1002"/>
        <v>62.299991004994205</v>
      </c>
      <c r="JN135" s="960"/>
      <c r="JO135" s="162"/>
      <c r="JP135" s="961"/>
      <c r="JQ135" s="961"/>
    </row>
    <row r="136" spans="1:277" ht="15" customHeight="1" x14ac:dyDescent="0.25">
      <c r="A136" s="75" t="str">
        <f t="shared" si="917"/>
        <v/>
      </c>
      <c r="B136" s="585" t="str">
        <f t="shared" ref="B136:D136" si="1232">IFERROR(O291+($A136*-E136),"")</f>
        <v/>
      </c>
      <c r="C136" s="582" t="str">
        <f t="shared" si="1232"/>
        <v/>
      </c>
      <c r="D136" s="583" t="str">
        <f t="shared" si="1232"/>
        <v/>
      </c>
      <c r="E136" s="588" t="str">
        <f t="shared" ref="E136:K136" si="1233">R291</f>
        <v/>
      </c>
      <c r="F136" s="582" t="str">
        <f t="shared" si="1233"/>
        <v/>
      </c>
      <c r="G136" s="586" t="str">
        <f t="shared" si="1233"/>
        <v/>
      </c>
      <c r="H136" s="588" t="str">
        <f t="shared" si="1233"/>
        <v/>
      </c>
      <c r="I136" s="582" t="str">
        <f t="shared" si="1233"/>
        <v/>
      </c>
      <c r="J136" s="491" t="str">
        <f t="shared" si="728"/>
        <v/>
      </c>
      <c r="K136" s="807" t="str">
        <f t="shared" si="1233"/>
        <v/>
      </c>
      <c r="L136" s="309"/>
      <c r="M136" s="492" t="str">
        <f t="shared" si="920"/>
        <v/>
      </c>
      <c r="N136" s="581" t="str">
        <f t="shared" si="921"/>
        <v/>
      </c>
      <c r="O136" s="582" t="str">
        <f t="shared" si="922"/>
        <v/>
      </c>
      <c r="P136" s="583" t="str">
        <f t="shared" si="923"/>
        <v/>
      </c>
      <c r="Q136" s="536" t="str">
        <f t="shared" si="1079"/>
        <v/>
      </c>
      <c r="R136" s="582" t="str">
        <f t="shared" si="1080"/>
        <v/>
      </c>
      <c r="S136" s="584" t="str">
        <f t="shared" si="1081"/>
        <v/>
      </c>
      <c r="T136" s="585" t="str">
        <f t="shared" si="1082"/>
        <v/>
      </c>
      <c r="U136" s="582" t="str">
        <f t="shared" si="1083"/>
        <v/>
      </c>
      <c r="V136" s="586" t="str">
        <f t="shared" si="1084"/>
        <v/>
      </c>
      <c r="W136" s="536" t="str">
        <f t="shared" si="1085"/>
        <v/>
      </c>
      <c r="X136" s="582" t="str">
        <f t="shared" si="1086"/>
        <v/>
      </c>
      <c r="Y136" s="587" t="str">
        <f t="shared" si="1087"/>
        <v/>
      </c>
      <c r="Z136" s="581" t="str">
        <f t="shared" si="924"/>
        <v/>
      </c>
      <c r="AA136" s="582" t="str">
        <f t="shared" si="925"/>
        <v/>
      </c>
      <c r="AB136" s="582" t="str">
        <f t="shared" si="926"/>
        <v/>
      </c>
      <c r="AC136" s="586" t="str">
        <f t="shared" si="1088"/>
        <v/>
      </c>
      <c r="AD136" s="588" t="str">
        <f t="shared" si="1089"/>
        <v/>
      </c>
      <c r="AE136" s="582" t="str">
        <f t="shared" si="1090"/>
        <v/>
      </c>
      <c r="AF136" s="583" t="str">
        <f t="shared" si="1091"/>
        <v/>
      </c>
      <c r="AG136" s="547" t="str">
        <f t="shared" si="1092"/>
        <v/>
      </c>
      <c r="AH136" s="548" t="str">
        <f t="shared" si="1093"/>
        <v/>
      </c>
      <c r="AI136" s="536" t="str">
        <f t="shared" si="1094"/>
        <v/>
      </c>
      <c r="AJ136" s="537" t="str">
        <f t="shared" si="1095"/>
        <v/>
      </c>
      <c r="AK136" s="585" t="str">
        <f t="shared" si="1096"/>
        <v/>
      </c>
      <c r="AL136" s="582" t="str">
        <f t="shared" si="1097"/>
        <v/>
      </c>
      <c r="AM136" s="584" t="str">
        <f t="shared" si="1098"/>
        <v/>
      </c>
      <c r="AN136" s="534" t="str">
        <f t="shared" si="1099"/>
        <v/>
      </c>
      <c r="AO136" s="535" t="str">
        <f t="shared" si="1058"/>
        <v/>
      </c>
      <c r="AP136" s="536" t="str">
        <f t="shared" si="1100"/>
        <v/>
      </c>
      <c r="AQ136" s="537" t="str">
        <f t="shared" si="927"/>
        <v/>
      </c>
      <c r="AS136" s="955" t="str">
        <f t="shared" si="1029"/>
        <v/>
      </c>
      <c r="AT136" s="951" t="str">
        <f t="shared" si="928"/>
        <v/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55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90"/>
        <v/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 t="str">
        <f t="shared" ref="A137:A150" si="1234">IF($K137="","",IF(AND($A$8="Y",ISNUMBER($K137)),$A$5,0))</f>
        <v/>
      </c>
      <c r="B137" s="585" t="str">
        <f t="shared" ref="B137:D137" si="1235">IFERROR(O292+($A137*-E137),"")</f>
        <v/>
      </c>
      <c r="C137" s="582" t="str">
        <f t="shared" si="1235"/>
        <v/>
      </c>
      <c r="D137" s="583" t="str">
        <f t="shared" si="1235"/>
        <v/>
      </c>
      <c r="E137" s="588" t="str">
        <f t="shared" ref="E137:K137" si="1236">R292</f>
        <v/>
      </c>
      <c r="F137" s="582" t="str">
        <f t="shared" si="1236"/>
        <v/>
      </c>
      <c r="G137" s="586" t="str">
        <f t="shared" si="1236"/>
        <v/>
      </c>
      <c r="H137" s="588" t="str">
        <f t="shared" si="1236"/>
        <v/>
      </c>
      <c r="I137" s="582" t="str">
        <f t="shared" si="1236"/>
        <v/>
      </c>
      <c r="J137" s="491" t="str">
        <f t="shared" si="728"/>
        <v/>
      </c>
      <c r="K137" s="807" t="str">
        <f t="shared" si="1236"/>
        <v/>
      </c>
      <c r="L137" s="309"/>
      <c r="M137" s="492" t="str">
        <f t="shared" ref="M137:M150" si="1237">IF(J137="","",VALUE(J137))</f>
        <v/>
      </c>
      <c r="N137" s="581" t="str">
        <f t="shared" ref="N137:N150" si="1238">IF(M137="","",B137)</f>
        <v/>
      </c>
      <c r="O137" s="582" t="str">
        <f t="shared" ref="O137:O150" si="1239">IF(M137="","",C137)</f>
        <v/>
      </c>
      <c r="P137" s="583" t="str">
        <f t="shared" ref="P137:P150" si="1240">IF(M137="","",D137)</f>
        <v/>
      </c>
      <c r="Q137" s="536" t="str">
        <f t="shared" si="1079"/>
        <v/>
      </c>
      <c r="R137" s="582" t="str">
        <f t="shared" si="1080"/>
        <v/>
      </c>
      <c r="S137" s="584" t="str">
        <f t="shared" si="1081"/>
        <v/>
      </c>
      <c r="T137" s="585" t="str">
        <f t="shared" si="1082"/>
        <v/>
      </c>
      <c r="U137" s="582" t="str">
        <f t="shared" si="1083"/>
        <v/>
      </c>
      <c r="V137" s="586" t="str">
        <f t="shared" si="1084"/>
        <v/>
      </c>
      <c r="W137" s="536" t="str">
        <f t="shared" si="1085"/>
        <v/>
      </c>
      <c r="X137" s="582" t="str">
        <f t="shared" si="1086"/>
        <v/>
      </c>
      <c r="Y137" s="587" t="str">
        <f t="shared" si="1087"/>
        <v/>
      </c>
      <c r="Z137" s="581" t="str">
        <f t="shared" ref="Z137:Z150" si="1241">IF(M137="","",-E137)</f>
        <v/>
      </c>
      <c r="AA137" s="582" t="str">
        <f t="shared" ref="AA137:AA150" si="1242">IF(M137="","",-F137)</f>
        <v/>
      </c>
      <c r="AB137" s="582" t="str">
        <f t="shared" ref="AB137:AB150" si="1243">IF(M137="","",-G137)</f>
        <v/>
      </c>
      <c r="AC137" s="586" t="str">
        <f t="shared" si="1088"/>
        <v/>
      </c>
      <c r="AD137" s="588" t="str">
        <f t="shared" si="1089"/>
        <v/>
      </c>
      <c r="AE137" s="582" t="str">
        <f t="shared" si="1090"/>
        <v/>
      </c>
      <c r="AF137" s="583" t="str">
        <f t="shared" si="1091"/>
        <v/>
      </c>
      <c r="AG137" s="547" t="str">
        <f t="shared" si="1092"/>
        <v/>
      </c>
      <c r="AH137" s="548" t="str">
        <f t="shared" si="1093"/>
        <v/>
      </c>
      <c r="AI137" s="536" t="str">
        <f t="shared" si="1094"/>
        <v/>
      </c>
      <c r="AJ137" s="537" t="str">
        <f t="shared" si="1095"/>
        <v/>
      </c>
      <c r="AK137" s="585" t="str">
        <f t="shared" si="1096"/>
        <v/>
      </c>
      <c r="AL137" s="582" t="str">
        <f t="shared" si="1097"/>
        <v/>
      </c>
      <c r="AM137" s="584" t="str">
        <f t="shared" si="1098"/>
        <v/>
      </c>
      <c r="AN137" s="534" t="str">
        <f t="shared" si="1099"/>
        <v/>
      </c>
      <c r="AO137" s="535" t="str">
        <f t="shared" si="1058"/>
        <v/>
      </c>
      <c r="AP137" s="536" t="str">
        <f t="shared" si="1100"/>
        <v/>
      </c>
      <c r="AQ137" s="537" t="str">
        <f t="shared" ref="AQ137:AQ150" si="1244">IF(M137="","",DEGREES(ATAN(($AS$5*SIN(RADIANS(90)))/(($X137*2*PI())-($AS$5*COS(RADIANS(90)))))))</f>
        <v/>
      </c>
      <c r="AS137" s="955" t="str">
        <f t="shared" si="1029"/>
        <v/>
      </c>
      <c r="AT137" s="951" t="str">
        <f t="shared" ref="AT137:AT150" si="1245">IF(M137="","",Y137+(((AS137-$AS$9)*$AS$6)*-1))</f>
        <v/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55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78">IF(ISNUMBER($IK137),INDEX($K$9:$K$150,MATCH($IK137,$M$9:$M$150,0)),$K137)</f>
        <v/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 t="str">
        <f t="shared" si="1234"/>
        <v/>
      </c>
      <c r="B138" s="585" t="str">
        <f t="shared" ref="B138:D138" si="1291">IFERROR(O293+($A138*-E138),"")</f>
        <v/>
      </c>
      <c r="C138" s="582" t="str">
        <f t="shared" si="1291"/>
        <v/>
      </c>
      <c r="D138" s="583" t="str">
        <f t="shared" si="1291"/>
        <v/>
      </c>
      <c r="E138" s="588" t="str">
        <f t="shared" ref="E138:K138" si="1292">R293</f>
        <v/>
      </c>
      <c r="F138" s="582" t="str">
        <f t="shared" si="1292"/>
        <v/>
      </c>
      <c r="G138" s="586" t="str">
        <f t="shared" si="1292"/>
        <v/>
      </c>
      <c r="H138" s="588" t="str">
        <f t="shared" si="1292"/>
        <v/>
      </c>
      <c r="I138" s="582" t="str">
        <f t="shared" si="1292"/>
        <v/>
      </c>
      <c r="J138" s="491" t="str">
        <f t="shared" ref="J138:J150" si="1293">IF(W293=0,"",W293)</f>
        <v/>
      </c>
      <c r="K138" s="807" t="str">
        <f t="shared" si="1292"/>
        <v/>
      </c>
      <c r="L138" s="309"/>
      <c r="M138" s="492" t="str">
        <f t="shared" si="1237"/>
        <v/>
      </c>
      <c r="N138" s="581" t="str">
        <f t="shared" si="1238"/>
        <v/>
      </c>
      <c r="O138" s="582" t="str">
        <f t="shared" si="1239"/>
        <v/>
      </c>
      <c r="P138" s="583" t="str">
        <f t="shared" si="1240"/>
        <v/>
      </c>
      <c r="Q138" s="536" t="str">
        <f t="shared" si="1079"/>
        <v/>
      </c>
      <c r="R138" s="582" t="str">
        <f t="shared" si="1080"/>
        <v/>
      </c>
      <c r="S138" s="584" t="str">
        <f t="shared" si="1081"/>
        <v/>
      </c>
      <c r="T138" s="585" t="str">
        <f t="shared" si="1082"/>
        <v/>
      </c>
      <c r="U138" s="582" t="str">
        <f t="shared" si="1083"/>
        <v/>
      </c>
      <c r="V138" s="586" t="str">
        <f t="shared" si="1084"/>
        <v/>
      </c>
      <c r="W138" s="536" t="str">
        <f t="shared" si="1085"/>
        <v/>
      </c>
      <c r="X138" s="582" t="str">
        <f t="shared" si="1086"/>
        <v/>
      </c>
      <c r="Y138" s="587" t="str">
        <f t="shared" si="1087"/>
        <v/>
      </c>
      <c r="Z138" s="581" t="str">
        <f t="shared" si="1241"/>
        <v/>
      </c>
      <c r="AA138" s="582" t="str">
        <f t="shared" si="1242"/>
        <v/>
      </c>
      <c r="AB138" s="582" t="str">
        <f t="shared" si="1243"/>
        <v/>
      </c>
      <c r="AC138" s="586" t="str">
        <f t="shared" si="1088"/>
        <v/>
      </c>
      <c r="AD138" s="588" t="str">
        <f t="shared" si="1089"/>
        <v/>
      </c>
      <c r="AE138" s="582" t="str">
        <f t="shared" si="1090"/>
        <v/>
      </c>
      <c r="AF138" s="583" t="str">
        <f t="shared" si="1091"/>
        <v/>
      </c>
      <c r="AG138" s="547" t="str">
        <f t="shared" si="1092"/>
        <v/>
      </c>
      <c r="AH138" s="548" t="str">
        <f t="shared" si="1093"/>
        <v/>
      </c>
      <c r="AI138" s="536" t="str">
        <f t="shared" si="1094"/>
        <v/>
      </c>
      <c r="AJ138" s="537" t="str">
        <f t="shared" si="1095"/>
        <v/>
      </c>
      <c r="AK138" s="585" t="str">
        <f t="shared" si="1096"/>
        <v/>
      </c>
      <c r="AL138" s="582" t="str">
        <f t="shared" si="1097"/>
        <v/>
      </c>
      <c r="AM138" s="584" t="str">
        <f t="shared" si="1098"/>
        <v/>
      </c>
      <c r="AN138" s="534" t="str">
        <f t="shared" si="1099"/>
        <v/>
      </c>
      <c r="AO138" s="535" t="str">
        <f t="shared" si="1058"/>
        <v/>
      </c>
      <c r="AP138" s="536" t="str">
        <f t="shared" si="1100"/>
        <v/>
      </c>
      <c r="AQ138" s="537" t="str">
        <f t="shared" si="1244"/>
        <v/>
      </c>
      <c r="AS138" s="955" t="str">
        <f t="shared" si="1029"/>
        <v/>
      </c>
      <c r="AT138" s="951" t="str">
        <f t="shared" si="1245"/>
        <v/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55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78"/>
        <v/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 t="str">
        <f t="shared" si="1234"/>
        <v/>
      </c>
      <c r="B139" s="585" t="str">
        <f t="shared" ref="B139:D139" si="1295">IFERROR(O294+($A139*-E139),"")</f>
        <v/>
      </c>
      <c r="C139" s="582" t="str">
        <f t="shared" si="1295"/>
        <v/>
      </c>
      <c r="D139" s="583" t="str">
        <f t="shared" si="1295"/>
        <v/>
      </c>
      <c r="E139" s="588" t="str">
        <f t="shared" ref="E139:K139" si="1296">R294</f>
        <v/>
      </c>
      <c r="F139" s="582" t="str">
        <f t="shared" si="1296"/>
        <v/>
      </c>
      <c r="G139" s="586" t="str">
        <f t="shared" si="1296"/>
        <v/>
      </c>
      <c r="H139" s="588" t="str">
        <f t="shared" si="1296"/>
        <v/>
      </c>
      <c r="I139" s="582" t="str">
        <f t="shared" si="1296"/>
        <v/>
      </c>
      <c r="J139" s="491" t="str">
        <f t="shared" si="1293"/>
        <v/>
      </c>
      <c r="K139" s="807" t="str">
        <f t="shared" si="1296"/>
        <v/>
      </c>
      <c r="L139" s="309"/>
      <c r="M139" s="492" t="str">
        <f t="shared" si="1237"/>
        <v/>
      </c>
      <c r="N139" s="581" t="str">
        <f t="shared" si="1238"/>
        <v/>
      </c>
      <c r="O139" s="582" t="str">
        <f t="shared" si="1239"/>
        <v/>
      </c>
      <c r="P139" s="583" t="str">
        <f t="shared" si="1240"/>
        <v/>
      </c>
      <c r="Q139" s="536" t="str">
        <f t="shared" si="1079"/>
        <v/>
      </c>
      <c r="R139" s="582" t="str">
        <f t="shared" si="1080"/>
        <v/>
      </c>
      <c r="S139" s="584" t="str">
        <f t="shared" si="1081"/>
        <v/>
      </c>
      <c r="T139" s="585" t="str">
        <f t="shared" si="1082"/>
        <v/>
      </c>
      <c r="U139" s="582" t="str">
        <f t="shared" si="1083"/>
        <v/>
      </c>
      <c r="V139" s="586" t="str">
        <f t="shared" si="1084"/>
        <v/>
      </c>
      <c r="W139" s="536" t="str">
        <f t="shared" si="1085"/>
        <v/>
      </c>
      <c r="X139" s="582" t="str">
        <f t="shared" si="1086"/>
        <v/>
      </c>
      <c r="Y139" s="587" t="str">
        <f t="shared" si="1087"/>
        <v/>
      </c>
      <c r="Z139" s="581" t="str">
        <f t="shared" si="1241"/>
        <v/>
      </c>
      <c r="AA139" s="582" t="str">
        <f t="shared" si="1242"/>
        <v/>
      </c>
      <c r="AB139" s="582" t="str">
        <f t="shared" si="1243"/>
        <v/>
      </c>
      <c r="AC139" s="586" t="str">
        <f t="shared" si="1088"/>
        <v/>
      </c>
      <c r="AD139" s="588" t="str">
        <f t="shared" si="1089"/>
        <v/>
      </c>
      <c r="AE139" s="582" t="str">
        <f t="shared" si="1090"/>
        <v/>
      </c>
      <c r="AF139" s="583" t="str">
        <f t="shared" si="1091"/>
        <v/>
      </c>
      <c r="AG139" s="547" t="str">
        <f t="shared" si="1092"/>
        <v/>
      </c>
      <c r="AH139" s="548" t="str">
        <f t="shared" si="1093"/>
        <v/>
      </c>
      <c r="AI139" s="536" t="str">
        <f t="shared" si="1094"/>
        <v/>
      </c>
      <c r="AJ139" s="537" t="str">
        <f t="shared" si="1095"/>
        <v/>
      </c>
      <c r="AK139" s="585" t="str">
        <f t="shared" si="1096"/>
        <v/>
      </c>
      <c r="AL139" s="582" t="str">
        <f t="shared" si="1097"/>
        <v/>
      </c>
      <c r="AM139" s="584" t="str">
        <f t="shared" si="1098"/>
        <v/>
      </c>
      <c r="AN139" s="534" t="str">
        <f t="shared" si="1099"/>
        <v/>
      </c>
      <c r="AO139" s="535" t="str">
        <f t="shared" si="1058"/>
        <v/>
      </c>
      <c r="AP139" s="536" t="str">
        <f t="shared" si="1100"/>
        <v/>
      </c>
      <c r="AQ139" s="537" t="str">
        <f t="shared" si="1244"/>
        <v/>
      </c>
      <c r="AS139" s="955" t="str">
        <f t="shared" ref="AS139:AS150" si="1297">IF(G139="","",IF(AND(W139&lt;(AS138+180),W139&gt;(AS138-180)),W139,IF(W139&gt;(AS138+180),W139-360,IF(W139&lt;(AS138-180),W139+360,"Error"))))</f>
        <v/>
      </c>
      <c r="AT139" s="951" t="str">
        <f t="shared" si="1245"/>
        <v/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98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78"/>
        <v/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 t="str">
        <f t="shared" si="1234"/>
        <v/>
      </c>
      <c r="B140" s="585" t="str">
        <f t="shared" ref="B140:D140" si="1300">IFERROR(O295+($A140*-E140),"")</f>
        <v/>
      </c>
      <c r="C140" s="582" t="str">
        <f t="shared" si="1300"/>
        <v/>
      </c>
      <c r="D140" s="583" t="str">
        <f t="shared" si="1300"/>
        <v/>
      </c>
      <c r="E140" s="588" t="str">
        <f t="shared" ref="E140:K140" si="1301">R295</f>
        <v/>
      </c>
      <c r="F140" s="582" t="str">
        <f t="shared" si="1301"/>
        <v/>
      </c>
      <c r="G140" s="586" t="str">
        <f t="shared" si="1301"/>
        <v/>
      </c>
      <c r="H140" s="588" t="str">
        <f t="shared" si="1301"/>
        <v/>
      </c>
      <c r="I140" s="582" t="str">
        <f t="shared" si="1301"/>
        <v/>
      </c>
      <c r="J140" s="491" t="str">
        <f t="shared" si="1293"/>
        <v/>
      </c>
      <c r="K140" s="807" t="str">
        <f t="shared" si="1301"/>
        <v/>
      </c>
      <c r="L140" s="309"/>
      <c r="M140" s="492" t="str">
        <f t="shared" si="1237"/>
        <v/>
      </c>
      <c r="N140" s="581" t="str">
        <f t="shared" si="1238"/>
        <v/>
      </c>
      <c r="O140" s="582" t="str">
        <f t="shared" si="1239"/>
        <v/>
      </c>
      <c r="P140" s="583" t="str">
        <f t="shared" si="1240"/>
        <v/>
      </c>
      <c r="Q140" s="536" t="str">
        <f t="shared" si="1079"/>
        <v/>
      </c>
      <c r="R140" s="582" t="str">
        <f t="shared" si="1080"/>
        <v/>
      </c>
      <c r="S140" s="584" t="str">
        <f t="shared" si="1081"/>
        <v/>
      </c>
      <c r="T140" s="585" t="str">
        <f t="shared" si="1082"/>
        <v/>
      </c>
      <c r="U140" s="582" t="str">
        <f t="shared" si="1083"/>
        <v/>
      </c>
      <c r="V140" s="586" t="str">
        <f t="shared" si="1084"/>
        <v/>
      </c>
      <c r="W140" s="536" t="str">
        <f t="shared" si="1085"/>
        <v/>
      </c>
      <c r="X140" s="582" t="str">
        <f t="shared" si="1086"/>
        <v/>
      </c>
      <c r="Y140" s="587" t="str">
        <f t="shared" si="1087"/>
        <v/>
      </c>
      <c r="Z140" s="581" t="str">
        <f t="shared" si="1241"/>
        <v/>
      </c>
      <c r="AA140" s="582" t="str">
        <f t="shared" si="1242"/>
        <v/>
      </c>
      <c r="AB140" s="582" t="str">
        <f t="shared" si="1243"/>
        <v/>
      </c>
      <c r="AC140" s="586" t="str">
        <f t="shared" si="1088"/>
        <v/>
      </c>
      <c r="AD140" s="588" t="str">
        <f t="shared" si="1089"/>
        <v/>
      </c>
      <c r="AE140" s="582" t="str">
        <f t="shared" si="1090"/>
        <v/>
      </c>
      <c r="AF140" s="583" t="str">
        <f t="shared" si="1091"/>
        <v/>
      </c>
      <c r="AG140" s="547" t="str">
        <f t="shared" si="1092"/>
        <v/>
      </c>
      <c r="AH140" s="548" t="str">
        <f t="shared" si="1093"/>
        <v/>
      </c>
      <c r="AI140" s="536" t="str">
        <f t="shared" si="1094"/>
        <v/>
      </c>
      <c r="AJ140" s="537" t="str">
        <f t="shared" si="1095"/>
        <v/>
      </c>
      <c r="AK140" s="585" t="str">
        <f t="shared" si="1096"/>
        <v/>
      </c>
      <c r="AL140" s="582" t="str">
        <f t="shared" si="1097"/>
        <v/>
      </c>
      <c r="AM140" s="584" t="str">
        <f t="shared" si="1098"/>
        <v/>
      </c>
      <c r="AN140" s="534" t="str">
        <f t="shared" si="1099"/>
        <v/>
      </c>
      <c r="AO140" s="535" t="str">
        <f t="shared" si="1058"/>
        <v/>
      </c>
      <c r="AP140" s="536" t="str">
        <f t="shared" si="1100"/>
        <v/>
      </c>
      <c r="AQ140" s="537" t="str">
        <f t="shared" si="1244"/>
        <v/>
      </c>
      <c r="AS140" s="955" t="str">
        <f t="shared" si="1297"/>
        <v/>
      </c>
      <c r="AT140" s="951" t="str">
        <f t="shared" si="1245"/>
        <v/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98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78"/>
        <v/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147" t="s">
        <v>42</v>
      </c>
      <c r="C157" s="1340"/>
      <c r="D157" s="1340"/>
      <c r="E157" s="1340"/>
      <c r="F157" s="1340"/>
      <c r="G157" s="1340"/>
      <c r="H157" s="1340"/>
      <c r="I157" s="1340"/>
      <c r="J157" s="1340"/>
      <c r="K157" s="1340"/>
      <c r="L157" s="1340"/>
      <c r="M157" s="1341"/>
      <c r="Z157" t="s">
        <v>101</v>
      </c>
      <c r="AA157" s="219">
        <v>0</v>
      </c>
    </row>
    <row r="158" spans="1:261" x14ac:dyDescent="0.25">
      <c r="B158" s="1342"/>
      <c r="C158" s="1343"/>
      <c r="D158" s="1343"/>
      <c r="E158" s="1343"/>
      <c r="F158" s="1343"/>
      <c r="G158" s="1343"/>
      <c r="H158" s="1343"/>
      <c r="I158" s="1343"/>
      <c r="J158" s="1343"/>
      <c r="K158" s="1343"/>
      <c r="L158" s="1343"/>
      <c r="M158" s="1344"/>
      <c r="Z158" t="s">
        <v>102</v>
      </c>
      <c r="AA158" s="219">
        <v>0.01</v>
      </c>
    </row>
    <row r="159" spans="1:261" x14ac:dyDescent="0.25">
      <c r="B159" s="1345"/>
      <c r="C159" s="1346"/>
      <c r="D159" s="1346"/>
      <c r="E159" s="1346"/>
      <c r="F159" s="1346"/>
      <c r="G159" s="1346"/>
      <c r="H159" s="1346"/>
      <c r="I159" s="1346"/>
      <c r="J159" s="1346"/>
      <c r="K159" s="1346"/>
      <c r="L159" s="1346"/>
      <c r="M159" s="1347"/>
    </row>
    <row r="160" spans="1:261" ht="15" customHeight="1" x14ac:dyDescent="0.25">
      <c r="B160" s="1348" t="str">
        <f>CONCATENATE(B162," ; ",E162," ; ",H163)</f>
        <v>Absolute-Point ; Incremental-Vector Point ; Radius</v>
      </c>
      <c r="C160" s="1349"/>
      <c r="D160" s="1349"/>
      <c r="E160" s="1349"/>
      <c r="F160" s="1349"/>
      <c r="G160" s="1349"/>
      <c r="H160" s="1349"/>
      <c r="I160" s="1349"/>
      <c r="J160" s="1349"/>
      <c r="K160" s="1349"/>
      <c r="L160" s="1349"/>
      <c r="M160" s="1350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5"/>
      <c r="L161" s="1145"/>
      <c r="M161" s="1146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338" t="s">
        <v>40</v>
      </c>
      <c r="C162" s="1137"/>
      <c r="D162" s="1339"/>
      <c r="E162" s="1136" t="s">
        <v>41</v>
      </c>
      <c r="F162" s="1137"/>
      <c r="G162" s="1138"/>
      <c r="H162" s="1003" t="s">
        <v>305</v>
      </c>
      <c r="I162" s="1023"/>
      <c r="J162" s="1004"/>
      <c r="K162" s="155"/>
      <c r="L162" s="1351" t="s">
        <v>399</v>
      </c>
      <c r="M162" s="1352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0</v>
      </c>
      <c r="C164" s="646">
        <v>0.34290103418951912</v>
      </c>
      <c r="D164" s="647">
        <v>-1.2058036367037683</v>
      </c>
      <c r="E164" s="648">
        <v>-0.92387953251128674</v>
      </c>
      <c r="F164" s="646">
        <v>-9.9045746569065923E-2</v>
      </c>
      <c r="G164" s="649">
        <v>0.36964381435823135</v>
      </c>
      <c r="H164" s="648">
        <v>0.314</v>
      </c>
      <c r="I164" s="941">
        <v>0.52</v>
      </c>
      <c r="J164" s="945">
        <v>1.101</v>
      </c>
      <c r="K164" s="930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0</v>
      </c>
      <c r="P164" s="162">
        <f t="shared" ref="P164:P195" si="1325">IFERROR(INDEX(C$164:C$305,MATCH($W164,$J$164:$J$305,0)),"")</f>
        <v>0.34290103418951912</v>
      </c>
      <c r="Q164" s="162">
        <f t="shared" ref="Q164:Q195" si="1326">IFERROR(INDEX(D$164:D$305,MATCH($W164,$J$164:$J$305,0)),"")</f>
        <v>-1.2058036367037683</v>
      </c>
      <c r="R164" s="162">
        <f>IFERROR(IF($L164="Y",-1*INDEX(E$164:E$305,MATCH($W164,$J$164:$J$305,0)),INDEX(E$164:E$305,MATCH($W164,$J$164:$J$305,0))),"")</f>
        <v>-0.92387953251128674</v>
      </c>
      <c r="S164" s="162">
        <f t="shared" ref="S164:S227" si="1327">IFERROR(IF($L164="Y",-1*INDEX(F$164:F$305,MATCH($W164,$J$164:$J$305,0)),INDEX(F$164:F$305,MATCH($W164,$J$164:$J$305,0))),"")</f>
        <v>-9.9045746569065923E-2</v>
      </c>
      <c r="T164" s="162">
        <f t="shared" ref="T164:T227" si="1328">IFERROR(IF($L164="Y",-1*INDEX(G$164:G$305,MATCH($W164,$J$164:$J$305,0)),INDEX(G$164:G$305,MATCH($W164,$J$164:$J$305,0))),"")</f>
        <v>0.36964381435823135</v>
      </c>
      <c r="U164" s="162">
        <f>IFERROR(IF(ISNUMBER(MATCH($X164,Settings!$AK$28:$AK$36,0)),INDEX(Settings!$AO$14:$AO$36,MATCH($X164,Settings!$AK$14:$AK$36,0))/2,INDEX(Settings!$AM$14:$AM$36,MATCH($X164,Settings!$AK$14:$AK$36,0))/2),"")</f>
        <v>0.3125</v>
      </c>
      <c r="V164" s="162">
        <f t="shared" ref="V164:V195" si="1329">IFERROR(INDEX(I$164:I$305,MATCH($W164,$J$164:$J$305,0)),"")</f>
        <v>0.52</v>
      </c>
      <c r="W164" s="75" cm="1">
        <f t="array" ref="W164:W290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1613</v>
      </c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2.2623116197532178E-16</v>
      </c>
      <c r="C165" s="651">
        <v>1.0848032717666678</v>
      </c>
      <c r="D165" s="652">
        <v>-1.0071030374227612</v>
      </c>
      <c r="E165" s="653">
        <v>-0.96592583607220739</v>
      </c>
      <c r="F165" s="651">
        <v>-6.6987279208207198E-2</v>
      </c>
      <c r="G165" s="654">
        <v>0.24999996726497561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2.2623116197532178E-16</v>
      </c>
      <c r="P165" s="162">
        <f t="shared" si="1325"/>
        <v>1.0848032717666678</v>
      </c>
      <c r="Q165" s="162">
        <f t="shared" si="1326"/>
        <v>-1.0071030374227612</v>
      </c>
      <c r="R165" s="162">
        <f t="shared" ref="R165:R228" si="1331">IFERROR(IF($L165="Y",-1*INDEX(E$164:E$305,MATCH($W165,$J$164:$J$305,0)),INDEX(E$164:E$305,MATCH($W165,$J$164:$J$305,0))),"")</f>
        <v>-0.96592583607220739</v>
      </c>
      <c r="S165" s="162">
        <f t="shared" si="1327"/>
        <v>-6.6987279208207198E-2</v>
      </c>
      <c r="T165" s="162">
        <f t="shared" si="1328"/>
        <v>0.24999996726497561</v>
      </c>
      <c r="U165" s="162">
        <f>IFERROR(IF(ISNUMBER(MATCH($X165,Settings!$AK$28:$AK$36,0)),INDEX(Settings!$AO$14:$AO$36,MATCH($X165,Settings!$AK$14:$AK$36,0))/2,INDEX(Settings!$AM$14:$AM$36,MATCH($X165,Settings!$AK$14:$AK$36,0))/2),"")</f>
        <v>0.3125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1613</v>
      </c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7.4698968576757196E-17</v>
      </c>
      <c r="C166" s="651">
        <v>1.8266055090422153</v>
      </c>
      <c r="D166" s="652">
        <v>-0.80830243784015254</v>
      </c>
      <c r="E166" s="653">
        <v>-0.96592583607220739</v>
      </c>
      <c r="F166" s="651">
        <v>-6.6987279208207226E-2</v>
      </c>
      <c r="G166" s="654">
        <v>0.24999996726497561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683"/>
      <c r="M166" s="934"/>
      <c r="N166" s="31" t="str">
        <f t="shared" si="1330"/>
        <v>Y</v>
      </c>
      <c r="O166" s="162">
        <f t="shared" si="1324"/>
        <v>7.4698968576757196E-17</v>
      </c>
      <c r="P166" s="162">
        <f t="shared" si="1325"/>
        <v>1.8266055090422153</v>
      </c>
      <c r="Q166" s="162">
        <f t="shared" si="1326"/>
        <v>-0.80830243784015254</v>
      </c>
      <c r="R166" s="162">
        <f>IFERROR(IF($L166="Y",-1*INDEX(E$164:E$305,MATCH($W166,$J$164:$J$305,0)),INDEX(E$164:E$305,MATCH($W166,$J$164:$J$305,0))),"")</f>
        <v>-0.96592583607220739</v>
      </c>
      <c r="S166" s="162">
        <f t="shared" si="1327"/>
        <v>-6.6987279208207226E-2</v>
      </c>
      <c r="T166" s="162">
        <f t="shared" si="1328"/>
        <v>0.24999996726497561</v>
      </c>
      <c r="U166" s="162">
        <f>IFERROR(IF(ISNUMBER(MATCH($X166,Settings!$AK$28:$AK$36,0)),INDEX(Settings!$AO$14:$AO$36,MATCH($X166,Settings!$AK$14:$AK$36,0))/2,INDEX(Settings!$AM$14:$AM$36,MATCH($X166,Settings!$AK$14:$AK$36,0))/2),"")</f>
        <v>0.3125</v>
      </c>
      <c r="V166" s="162">
        <f t="shared" si="1329"/>
        <v>0.52</v>
      </c>
      <c r="W166" s="75">
        <v>1.107</v>
      </c>
      <c r="X166" s="937">
        <f t="shared" si="1332"/>
        <v>1613</v>
      </c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-3.4574951169813333E-16</v>
      </c>
      <c r="C167" s="651">
        <v>2.5684077463177637</v>
      </c>
      <c r="D167" s="652">
        <v>-0.60950183825754412</v>
      </c>
      <c r="E167" s="653">
        <v>-0.96592583607220739</v>
      </c>
      <c r="F167" s="651">
        <v>-6.6987279208207226E-2</v>
      </c>
      <c r="G167" s="654">
        <v>0.24999996726497564</v>
      </c>
      <c r="H167" s="653">
        <v>0.314</v>
      </c>
      <c r="I167" s="942">
        <v>0.52</v>
      </c>
      <c r="J167" s="946">
        <v>1.1100000000000001</v>
      </c>
      <c r="K167" s="931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683"/>
      <c r="M167" s="934"/>
      <c r="N167" s="31" t="str">
        <f t="shared" si="1330"/>
        <v>Y</v>
      </c>
      <c r="O167" s="162">
        <f t="shared" si="1324"/>
        <v>-3.4574951169813333E-16</v>
      </c>
      <c r="P167" s="162">
        <f t="shared" si="1325"/>
        <v>2.5684077463177637</v>
      </c>
      <c r="Q167" s="162">
        <f t="shared" si="1326"/>
        <v>-0.60950183825754412</v>
      </c>
      <c r="R167" s="162">
        <f>IFERROR(IF($L167="Y",-1*INDEX(E$164:E$305,MATCH($W167,$J$164:$J$305,0)),INDEX(E$164:E$305,MATCH($W167,$J$164:$J$305,0))),"")</f>
        <v>-0.96592583607220739</v>
      </c>
      <c r="S167" s="162">
        <f t="shared" si="1327"/>
        <v>-6.6987279208207226E-2</v>
      </c>
      <c r="T167" s="162">
        <f t="shared" si="1328"/>
        <v>0.24999996726497564</v>
      </c>
      <c r="U167" s="162">
        <f>IFERROR(IF(ISNUMBER(MATCH($X167,Settings!$AK$28:$AK$36,0)),INDEX(Settings!$AO$14:$AO$36,MATCH($X167,Settings!$AK$14:$AK$36,0))/2,INDEX(Settings!$AM$14:$AM$36,MATCH($X167,Settings!$AK$14:$AK$36,0))/2),"")</f>
        <v>0.3125</v>
      </c>
      <c r="V167" s="162">
        <f t="shared" si="1329"/>
        <v>0.52</v>
      </c>
      <c r="W167" s="75">
        <v>1.1100000000000001</v>
      </c>
      <c r="X167" s="937">
        <f t="shared" si="1332"/>
        <v>1613</v>
      </c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4.6099934893084441E-16</v>
      </c>
      <c r="C168" s="651">
        <v>3.3102099835933108</v>
      </c>
      <c r="D168" s="652">
        <v>-0.4108012389765372</v>
      </c>
      <c r="E168" s="653">
        <v>-0.96592583607220739</v>
      </c>
      <c r="F168" s="651">
        <v>-6.6987279208207226E-2</v>
      </c>
      <c r="G168" s="654">
        <v>0.24999996726497564</v>
      </c>
      <c r="H168" s="653">
        <v>0.314</v>
      </c>
      <c r="I168" s="942">
        <v>0.52</v>
      </c>
      <c r="J168" s="946">
        <v>1.1160000000000001</v>
      </c>
      <c r="K168" s="931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683"/>
      <c r="M168" s="934"/>
      <c r="N168" s="31" t="str">
        <f t="shared" si="1330"/>
        <v>Y</v>
      </c>
      <c r="O168" s="162">
        <f t="shared" si="1324"/>
        <v>4.6099934893084441E-16</v>
      </c>
      <c r="P168" s="162">
        <f t="shared" si="1325"/>
        <v>3.3102099835933108</v>
      </c>
      <c r="Q168" s="162">
        <f t="shared" si="1326"/>
        <v>-0.4108012389765372</v>
      </c>
      <c r="R168" s="162">
        <f t="shared" si="1331"/>
        <v>-0.96592583607220739</v>
      </c>
      <c r="S168" s="162">
        <f t="shared" si="1327"/>
        <v>-6.6987279208207226E-2</v>
      </c>
      <c r="T168" s="162">
        <f t="shared" si="1328"/>
        <v>0.24999996726497564</v>
      </c>
      <c r="U168" s="162">
        <f>IFERROR(IF(ISNUMBER(MATCH($X168,Settings!$AK$28:$AK$36,0)),INDEX(Settings!$AO$14:$AO$36,MATCH($X168,Settings!$AK$14:$AK$36,0))/2,INDEX(Settings!$AM$14:$AM$36,MATCH($X168,Settings!$AK$14:$AK$36,0))/2),"")</f>
        <v>0.3125</v>
      </c>
      <c r="V168" s="162">
        <f t="shared" si="1329"/>
        <v>0.52</v>
      </c>
      <c r="W168" s="75">
        <v>1.1160000000000001</v>
      </c>
      <c r="X168" s="937">
        <f t="shared" si="1332"/>
        <v>1613</v>
      </c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-3.1160141177733001E-16</v>
      </c>
      <c r="C169" s="651">
        <v>4.0521122211704599</v>
      </c>
      <c r="D169" s="652">
        <v>-0.21200063939392838</v>
      </c>
      <c r="E169" s="653">
        <v>-0.96592583607220739</v>
      </c>
      <c r="F169" s="651">
        <v>-6.6987279208207226E-2</v>
      </c>
      <c r="G169" s="654">
        <v>0.24999996726497564</v>
      </c>
      <c r="H169" s="653">
        <v>0.314</v>
      </c>
      <c r="I169" s="942">
        <v>0.52</v>
      </c>
      <c r="J169" s="946">
        <v>1.1220000000000001</v>
      </c>
      <c r="K169" s="931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683"/>
      <c r="M169" s="934"/>
      <c r="N169" s="31" t="str">
        <f t="shared" si="1330"/>
        <v>Y</v>
      </c>
      <c r="O169" s="162">
        <f t="shared" si="1324"/>
        <v>-3.1160141177733001E-16</v>
      </c>
      <c r="P169" s="162">
        <f t="shared" si="1325"/>
        <v>4.0521122211704599</v>
      </c>
      <c r="Q169" s="162">
        <f t="shared" si="1326"/>
        <v>-0.21200063939392838</v>
      </c>
      <c r="R169" s="162">
        <f t="shared" si="1331"/>
        <v>-0.96592583607220739</v>
      </c>
      <c r="S169" s="162">
        <f t="shared" si="1327"/>
        <v>-6.6987279208207226E-2</v>
      </c>
      <c r="T169" s="162">
        <f t="shared" si="1328"/>
        <v>0.24999996726497564</v>
      </c>
      <c r="U169" s="162">
        <f>IFERROR(IF(ISNUMBER(MATCH($X169,Settings!$AK$28:$AK$36,0)),INDEX(Settings!$AO$14:$AO$36,MATCH($X169,Settings!$AK$14:$AK$36,0))/2,INDEX(Settings!$AM$14:$AM$36,MATCH($X169,Settings!$AK$14:$AK$36,0))/2),"")</f>
        <v>0.3125</v>
      </c>
      <c r="V169" s="162">
        <f t="shared" si="1329"/>
        <v>0.52</v>
      </c>
      <c r="W169" s="75">
        <v>1.1220000000000001</v>
      </c>
      <c r="X169" s="937">
        <f t="shared" si="1332"/>
        <v>1613</v>
      </c>
      <c r="AK169" s="82" t="str">
        <f t="shared" si="1333"/>
        <v>Y</v>
      </c>
      <c r="AL169" s="419" t="s">
        <v>400</v>
      </c>
    </row>
    <row r="170" spans="2:38" x14ac:dyDescent="0.25">
      <c r="B170" s="650">
        <v>2.9029814780625614E-2</v>
      </c>
      <c r="C170" s="651">
        <v>4.8071268451133013</v>
      </c>
      <c r="D170" s="652">
        <v>-5.5700167991706996E-2</v>
      </c>
      <c r="E170" s="653">
        <v>-0.96435454875286175</v>
      </c>
      <c r="F170" s="651">
        <v>4.8550554386698169E-2</v>
      </c>
      <c r="G170" s="654">
        <v>0.26012141005386064</v>
      </c>
      <c r="H170" s="653">
        <v>0.314</v>
      </c>
      <c r="I170" s="942">
        <v>0.52</v>
      </c>
      <c r="J170" s="946">
        <v>1.1279999999999999</v>
      </c>
      <c r="K170" s="931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683"/>
      <c r="M170" s="934"/>
      <c r="N170" s="31" t="str">
        <f t="shared" si="1330"/>
        <v>Y</v>
      </c>
      <c r="O170" s="162">
        <f t="shared" si="1324"/>
        <v>2.9029814780625614E-2</v>
      </c>
      <c r="P170" s="162">
        <f t="shared" si="1325"/>
        <v>4.8071268451133013</v>
      </c>
      <c r="Q170" s="162">
        <f t="shared" si="1326"/>
        <v>-5.5700167991706996E-2</v>
      </c>
      <c r="R170" s="162">
        <f t="shared" si="1331"/>
        <v>-0.96435454875286175</v>
      </c>
      <c r="S170" s="162">
        <f t="shared" si="1327"/>
        <v>4.8550554386698169E-2</v>
      </c>
      <c r="T170" s="162">
        <f t="shared" si="1328"/>
        <v>0.26012141005386064</v>
      </c>
      <c r="U170" s="162">
        <f>IFERROR(IF(ISNUMBER(MATCH($X170,Settings!$AK$28:$AK$36,0)),INDEX(Settings!$AO$14:$AO$36,MATCH($X170,Settings!$AK$14:$AK$36,0))/2,INDEX(Settings!$AM$14:$AM$36,MATCH($X170,Settings!$AK$14:$AK$36,0))/2),"")</f>
        <v>0.3125</v>
      </c>
      <c r="V170" s="162">
        <f t="shared" si="1329"/>
        <v>0.52</v>
      </c>
      <c r="W170" s="75">
        <v>1.1279999999999999</v>
      </c>
      <c r="X170" s="937">
        <f t="shared" si="1332"/>
        <v>1613</v>
      </c>
      <c r="AK170" s="82" t="str">
        <f t="shared" si="1333"/>
        <v>Y</v>
      </c>
      <c r="AL170" s="419" t="s">
        <v>400</v>
      </c>
    </row>
    <row r="171" spans="2:38" x14ac:dyDescent="0.25">
      <c r="B171" s="650">
        <v>8.2990769133436643E-2</v>
      </c>
      <c r="C171" s="651">
        <v>5.5805997767840969</v>
      </c>
      <c r="D171" s="652">
        <v>-7.3200220771865721E-2</v>
      </c>
      <c r="E171" s="653">
        <v>-0.96040332432878683</v>
      </c>
      <c r="F171" s="651">
        <v>0.1291663454032993</v>
      </c>
      <c r="G171" s="654">
        <v>0.24686334242525923</v>
      </c>
      <c r="H171" s="653">
        <v>0.314</v>
      </c>
      <c r="I171" s="942">
        <v>0.52</v>
      </c>
      <c r="J171" s="946">
        <v>1.1339999999999999</v>
      </c>
      <c r="K171" s="931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8.2990769133436643E-2</v>
      </c>
      <c r="P171" s="162">
        <f t="shared" si="1325"/>
        <v>5.5805997767840969</v>
      </c>
      <c r="Q171" s="162">
        <f t="shared" si="1326"/>
        <v>-7.3200220771865721E-2</v>
      </c>
      <c r="R171" s="162">
        <f>IFERROR(IF($L171="Y",-1*INDEX(E$164:E$305,MATCH($W171,$J$164:$J$305,0)),INDEX(E$164:E$305,MATCH($W171,$J$164:$J$305,0))),"")</f>
        <v>-0.96040332432878683</v>
      </c>
      <c r="S171" s="162">
        <f t="shared" si="1327"/>
        <v>0.1291663454032993</v>
      </c>
      <c r="T171" s="162">
        <f t="shared" si="1328"/>
        <v>0.24686334242525923</v>
      </c>
      <c r="U171" s="162">
        <f>IFERROR(IF(ISNUMBER(MATCH($X171,Settings!$AK$28:$AK$36,0)),INDEX(Settings!$AO$14:$AO$36,MATCH($X171,Settings!$AK$14:$AK$36,0))/2,INDEX(Settings!$AM$14:$AM$36,MATCH($X171,Settings!$AK$14:$AK$36,0))/2),"")</f>
        <v>0.3125</v>
      </c>
      <c r="V171" s="162">
        <f t="shared" si="1329"/>
        <v>0.52</v>
      </c>
      <c r="W171" s="75">
        <v>1.1339999999999999</v>
      </c>
      <c r="X171" s="937">
        <f t="shared" si="1332"/>
        <v>1613</v>
      </c>
      <c r="AK171" s="82" t="str">
        <f t="shared" si="1333"/>
        <v>Y</v>
      </c>
      <c r="AL171" s="419" t="s">
        <v>400</v>
      </c>
    </row>
    <row r="172" spans="2:38" x14ac:dyDescent="0.25">
      <c r="B172" s="650">
        <v>0.1599064868640355</v>
      </c>
      <c r="C172" s="651">
        <v>6.3128941437674895</v>
      </c>
      <c r="D172" s="652">
        <v>-0.26220079079758485</v>
      </c>
      <c r="E172" s="653">
        <v>-0.9537921404105234</v>
      </c>
      <c r="F172" s="651">
        <v>0.20910799683085315</v>
      </c>
      <c r="G172" s="654">
        <v>0.21576468328366549</v>
      </c>
      <c r="H172" s="653">
        <v>0.314</v>
      </c>
      <c r="I172" s="942">
        <v>0.52</v>
      </c>
      <c r="J172" s="946">
        <v>1.1399999999999999</v>
      </c>
      <c r="K172" s="931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683"/>
      <c r="M172" s="934"/>
      <c r="N172" s="31" t="str">
        <f t="shared" si="1330"/>
        <v>Y</v>
      </c>
      <c r="O172" s="162">
        <f t="shared" si="1324"/>
        <v>0.1599064868640355</v>
      </c>
      <c r="P172" s="162">
        <f t="shared" si="1325"/>
        <v>6.3128941437674895</v>
      </c>
      <c r="Q172" s="162">
        <f t="shared" si="1326"/>
        <v>-0.26220079079758485</v>
      </c>
      <c r="R172" s="162">
        <f t="shared" si="1331"/>
        <v>-0.9537921404105234</v>
      </c>
      <c r="S172" s="162">
        <f t="shared" si="1327"/>
        <v>0.20910799683085315</v>
      </c>
      <c r="T172" s="162">
        <f t="shared" si="1328"/>
        <v>0.21576468328366549</v>
      </c>
      <c r="U172" s="162">
        <f>IFERROR(IF(ISNUMBER(MATCH($X172,Settings!$AK$28:$AK$36,0)),INDEX(Settings!$AO$14:$AO$36,MATCH($X172,Settings!$AK$14:$AK$36,0))/2,INDEX(Settings!$AM$14:$AM$36,MATCH($X172,Settings!$AK$14:$AK$36,0))/2),"")</f>
        <v>0.3125</v>
      </c>
      <c r="V172" s="162">
        <f t="shared" si="1329"/>
        <v>0.52</v>
      </c>
      <c r="W172" s="75">
        <v>1.1399999999999999</v>
      </c>
      <c r="X172" s="937">
        <f t="shared" si="1332"/>
        <v>1613</v>
      </c>
      <c r="AK172" s="82" t="str">
        <f t="shared" si="1333"/>
        <v>Y</v>
      </c>
      <c r="AL172" s="419" t="s">
        <v>400</v>
      </c>
    </row>
    <row r="173" spans="2:38" x14ac:dyDescent="0.25">
      <c r="B173" s="650">
        <v>0.25315024431143857</v>
      </c>
      <c r="C173" s="651">
        <v>6.9870365945944091</v>
      </c>
      <c r="D173" s="652">
        <v>-0.61030184067035176</v>
      </c>
      <c r="E173" s="653">
        <v>-0.92970672149467037</v>
      </c>
      <c r="F173" s="651">
        <v>0.29896494126418371</v>
      </c>
      <c r="G173" s="654">
        <v>0.2150938769526799</v>
      </c>
      <c r="H173" s="653">
        <v>0.314</v>
      </c>
      <c r="I173" s="942">
        <v>0.52</v>
      </c>
      <c r="J173" s="946">
        <v>1.1459999999999999</v>
      </c>
      <c r="K173" s="931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683"/>
      <c r="M173" s="934"/>
      <c r="N173" s="31" t="str">
        <f t="shared" si="1330"/>
        <v>Y</v>
      </c>
      <c r="O173" s="162">
        <f t="shared" si="1324"/>
        <v>0.25315024431143857</v>
      </c>
      <c r="P173" s="162">
        <f t="shared" si="1325"/>
        <v>6.9870365945944091</v>
      </c>
      <c r="Q173" s="162">
        <f t="shared" si="1326"/>
        <v>-0.61030184067035176</v>
      </c>
      <c r="R173" s="162">
        <f t="shared" si="1331"/>
        <v>-0.92970672149467037</v>
      </c>
      <c r="S173" s="162">
        <f t="shared" si="1327"/>
        <v>0.29896494126418371</v>
      </c>
      <c r="T173" s="162">
        <f t="shared" si="1328"/>
        <v>0.2150938769526799</v>
      </c>
      <c r="U173" s="162">
        <f>IFERROR(IF(ISNUMBER(MATCH($X173,Settings!$AK$28:$AK$36,0)),INDEX(Settings!$AO$14:$AO$36,MATCH($X173,Settings!$AK$14:$AK$36,0))/2,INDEX(Settings!$AM$14:$AM$36,MATCH($X173,Settings!$AK$14:$AK$36,0))/2),"")</f>
        <v>0.3125</v>
      </c>
      <c r="V173" s="162">
        <f t="shared" si="1329"/>
        <v>0.52</v>
      </c>
      <c r="W173" s="75">
        <v>1.1459999999999999</v>
      </c>
      <c r="X173" s="937">
        <f t="shared" si="1332"/>
        <v>1613</v>
      </c>
      <c r="AK173" s="82" t="str">
        <f t="shared" si="1333"/>
        <v>Y</v>
      </c>
      <c r="AL173" s="419" t="s">
        <v>400</v>
      </c>
    </row>
    <row r="174" spans="2:38" x14ac:dyDescent="0.25">
      <c r="B174" s="650">
        <v>0.35003032877963391</v>
      </c>
      <c r="C174" s="651">
        <v>7.5626267253901522</v>
      </c>
      <c r="D174" s="652">
        <v>-1.0986033133875923</v>
      </c>
      <c r="E174" s="653">
        <v>-0.89490351737967855</v>
      </c>
      <c r="F174" s="651">
        <v>0.39427532892141687</v>
      </c>
      <c r="G174" s="654">
        <v>0.20903267587960514</v>
      </c>
      <c r="H174" s="653">
        <v>0.314</v>
      </c>
      <c r="I174" s="942">
        <v>0.52</v>
      </c>
      <c r="J174" s="946">
        <v>1.1519999999999999</v>
      </c>
      <c r="K174" s="931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683"/>
      <c r="M174" s="934"/>
      <c r="N174" s="31" t="str">
        <f t="shared" si="1330"/>
        <v>Y</v>
      </c>
      <c r="O174" s="162">
        <f>IFERROR(INDEX(B$164:B$305,MATCH($W174,$J$164:$J$305,0)),"")</f>
        <v>0.35003032877963391</v>
      </c>
      <c r="P174" s="162">
        <f t="shared" si="1325"/>
        <v>7.5626267253901522</v>
      </c>
      <c r="Q174" s="162">
        <f t="shared" si="1326"/>
        <v>-1.0986033133875923</v>
      </c>
      <c r="R174" s="162">
        <f t="shared" si="1331"/>
        <v>-0.89490351737967855</v>
      </c>
      <c r="S174" s="162">
        <f t="shared" si="1327"/>
        <v>0.39427532892141687</v>
      </c>
      <c r="T174" s="162">
        <f t="shared" si="1328"/>
        <v>0.20903267587960514</v>
      </c>
      <c r="U174" s="162">
        <f>IFERROR(IF(ISNUMBER(MATCH($X174,Settings!$AK$28:$AK$36,0)),INDEX(Settings!$AO$14:$AO$36,MATCH($X174,Settings!$AK$14:$AK$36,0))/2,INDEX(Settings!$AM$14:$AM$36,MATCH($X174,Settings!$AK$14:$AK$36,0))/2),"")</f>
        <v>0.3125</v>
      </c>
      <c r="V174" s="162">
        <f t="shared" si="1329"/>
        <v>0.52</v>
      </c>
      <c r="W174" s="75">
        <v>1.1519999999999999</v>
      </c>
      <c r="X174" s="937">
        <f t="shared" si="1332"/>
        <v>1613</v>
      </c>
      <c r="AK174" s="82" t="str">
        <f t="shared" si="1333"/>
        <v>Y</v>
      </c>
      <c r="AL174" s="419" t="s">
        <v>400</v>
      </c>
    </row>
    <row r="175" spans="2:38" x14ac:dyDescent="0.25">
      <c r="B175" s="650">
        <v>0.43689893374654559</v>
      </c>
      <c r="C175" s="651">
        <v>8.0127219413438961</v>
      </c>
      <c r="D175" s="652">
        <v>-1.7075051498355311</v>
      </c>
      <c r="E175" s="653">
        <v>-0.86350216792321077</v>
      </c>
      <c r="F175" s="651">
        <v>0.47341810093176845</v>
      </c>
      <c r="G175" s="654">
        <v>0.17389453039722982</v>
      </c>
      <c r="H175" s="653">
        <v>0.314</v>
      </c>
      <c r="I175" s="942">
        <v>0.52</v>
      </c>
      <c r="J175" s="946">
        <v>1.1579999999999999</v>
      </c>
      <c r="K175" s="931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1613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0.43689893374654559</v>
      </c>
      <c r="P175" s="162">
        <f t="shared" si="1325"/>
        <v>8.0127219413438961</v>
      </c>
      <c r="Q175" s="162">
        <f t="shared" si="1326"/>
        <v>-1.7075051498355311</v>
      </c>
      <c r="R175" s="162">
        <f t="shared" si="1331"/>
        <v>-0.86350216792321077</v>
      </c>
      <c r="S175" s="162">
        <f t="shared" si="1327"/>
        <v>0.47341810093176845</v>
      </c>
      <c r="T175" s="162">
        <f t="shared" si="1328"/>
        <v>0.17389453039722982</v>
      </c>
      <c r="U175" s="162">
        <f>IFERROR(IF(ISNUMBER(MATCH($X175,Settings!$AK$28:$AK$36,0)),INDEX(Settings!$AO$14:$AO$36,MATCH($X175,Settings!$AK$14:$AK$36,0))/2,INDEX(Settings!$AM$14:$AM$36,MATCH($X175,Settings!$AK$14:$AK$36,0))/2),"")</f>
        <v>0.3125</v>
      </c>
      <c r="V175" s="162">
        <f t="shared" si="1329"/>
        <v>0.52</v>
      </c>
      <c r="W175" s="75">
        <v>1.1579999999999999</v>
      </c>
      <c r="X175" s="937">
        <f t="shared" si="1332"/>
        <v>1613</v>
      </c>
      <c r="AK175" s="82" t="str">
        <f t="shared" si="1333"/>
        <v>Y</v>
      </c>
      <c r="AL175" s="419" t="s">
        <v>9</v>
      </c>
    </row>
    <row r="176" spans="2:38" x14ac:dyDescent="0.25">
      <c r="B176" s="650">
        <v>0.50039198287777586</v>
      </c>
      <c r="C176" s="651">
        <v>8.3122771511735163</v>
      </c>
      <c r="D176" s="652">
        <v>-2.4045072519938722</v>
      </c>
      <c r="E176" s="653">
        <v>-0.83138071065349184</v>
      </c>
      <c r="F176" s="651">
        <v>0.54319098579268044</v>
      </c>
      <c r="G176" s="654">
        <v>0.11725897367311017</v>
      </c>
      <c r="H176" s="653">
        <v>0.314</v>
      </c>
      <c r="I176" s="942">
        <v>0.52</v>
      </c>
      <c r="J176" s="946">
        <v>1.1639999999999999</v>
      </c>
      <c r="K176" s="931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683"/>
      <c r="M176" s="934"/>
      <c r="N176" s="31" t="str">
        <f t="shared" si="1330"/>
        <v>Y</v>
      </c>
      <c r="O176" s="162">
        <f t="shared" si="1324"/>
        <v>0.50039198287777586</v>
      </c>
      <c r="P176" s="162">
        <f t="shared" si="1325"/>
        <v>8.3122771511735163</v>
      </c>
      <c r="Q176" s="162">
        <f t="shared" si="1326"/>
        <v>-2.4045072519938722</v>
      </c>
      <c r="R176" s="162">
        <f t="shared" si="1331"/>
        <v>-0.83138071065349184</v>
      </c>
      <c r="S176" s="162">
        <f t="shared" si="1327"/>
        <v>0.54319098579268044</v>
      </c>
      <c r="T176" s="162">
        <f t="shared" si="1328"/>
        <v>0.11725897367311017</v>
      </c>
      <c r="U176" s="162">
        <f>IFERROR(IF(ISNUMBER(MATCH($X176,Settings!$AK$28:$AK$36,0)),INDEX(Settings!$AO$14:$AO$36,MATCH($X176,Settings!$AK$14:$AK$36,0))/2,INDEX(Settings!$AM$14:$AM$36,MATCH($X176,Settings!$AK$14:$AK$36,0))/2),"")</f>
        <v>0.3125</v>
      </c>
      <c r="V176" s="162">
        <f t="shared" si="1329"/>
        <v>0.52</v>
      </c>
      <c r="W176" s="75">
        <v>1.1639999999999999</v>
      </c>
      <c r="X176" s="937">
        <f t="shared" si="1332"/>
        <v>1613</v>
      </c>
      <c r="AK176" s="82" t="str">
        <f t="shared" si="1333"/>
        <v>Y</v>
      </c>
      <c r="AL176" s="419" t="s">
        <v>9</v>
      </c>
    </row>
    <row r="177" spans="2:38" x14ac:dyDescent="0.25">
      <c r="B177" s="650">
        <v>0.53127540966561504</v>
      </c>
      <c r="C177" s="651">
        <v>8.4514434623930423</v>
      </c>
      <c r="D177" s="652">
        <v>-3.1500095004286535</v>
      </c>
      <c r="E177" s="653">
        <v>-0.79053139593550781</v>
      </c>
      <c r="F177" s="651">
        <v>0.60948858387768856</v>
      </c>
      <c r="G177" s="654">
        <v>5.986466539643498E-2</v>
      </c>
      <c r="H177" s="653">
        <v>0.314</v>
      </c>
      <c r="I177" s="942">
        <v>0.52</v>
      </c>
      <c r="J177" s="946">
        <v>1.17</v>
      </c>
      <c r="K177" s="931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1613</v>
      </c>
      <c r="L177" s="683"/>
      <c r="M177" s="934"/>
      <c r="N177" s="31" t="str">
        <f t="shared" si="1330"/>
        <v>Y</v>
      </c>
      <c r="O177" s="162">
        <f t="shared" si="1324"/>
        <v>0.53127540966561504</v>
      </c>
      <c r="P177" s="162">
        <f t="shared" si="1325"/>
        <v>8.4514434623930423</v>
      </c>
      <c r="Q177" s="162">
        <f t="shared" si="1326"/>
        <v>-3.1500095004286535</v>
      </c>
      <c r="R177" s="162">
        <f t="shared" si="1331"/>
        <v>-0.79053139593550781</v>
      </c>
      <c r="S177" s="162">
        <f t="shared" si="1327"/>
        <v>0.60948858387768856</v>
      </c>
      <c r="T177" s="162">
        <f t="shared" si="1328"/>
        <v>5.986466539643498E-2</v>
      </c>
      <c r="U177" s="162">
        <f>IFERROR(IF(ISNUMBER(MATCH($X177,Settings!$AK$28:$AK$36,0)),INDEX(Settings!$AO$14:$AO$36,MATCH($X177,Settings!$AK$14:$AK$36,0))/2,INDEX(Settings!$AM$14:$AM$36,MATCH($X177,Settings!$AK$14:$AK$36,0))/2),"")</f>
        <v>0.3125</v>
      </c>
      <c r="V177" s="162">
        <f t="shared" si="1329"/>
        <v>0.52</v>
      </c>
      <c r="W177" s="75">
        <v>1.17</v>
      </c>
      <c r="X177" s="937">
        <f t="shared" si="1332"/>
        <v>1613</v>
      </c>
      <c r="AK177" s="82" t="str">
        <f t="shared" si="1333"/>
        <v>Y</v>
      </c>
      <c r="AL177" s="419" t="s">
        <v>9</v>
      </c>
    </row>
    <row r="178" spans="2:38" x14ac:dyDescent="0.25">
      <c r="B178" s="650">
        <v>0.54757613482376533</v>
      </c>
      <c r="C178" s="651">
        <v>8.5230539552317328</v>
      </c>
      <c r="D178" s="652">
        <v>-3.9047117766107187</v>
      </c>
      <c r="E178" s="653">
        <v>-0.72325655462884741</v>
      </c>
      <c r="F178" s="651">
        <v>0.69057943510242759</v>
      </c>
      <c r="G178" s="654">
        <v>1.4578093227447363E-7</v>
      </c>
      <c r="H178" s="653">
        <v>0.314</v>
      </c>
      <c r="I178" s="942">
        <v>0.52</v>
      </c>
      <c r="J178" s="946">
        <v>1.1759999999999999</v>
      </c>
      <c r="K178" s="931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1613</v>
      </c>
      <c r="L178" s="683"/>
      <c r="M178" s="934"/>
      <c r="N178" s="31" t="str">
        <f t="shared" si="1330"/>
        <v>Y</v>
      </c>
      <c r="O178" s="162">
        <f t="shared" si="1324"/>
        <v>0.54757613482376533</v>
      </c>
      <c r="P178" s="162">
        <f t="shared" si="1325"/>
        <v>8.5230539552317328</v>
      </c>
      <c r="Q178" s="162">
        <f t="shared" si="1326"/>
        <v>-3.9047117766107187</v>
      </c>
      <c r="R178" s="162">
        <f>IFERROR(IF($L178="Y",-1*INDEX(E$164:E$305,MATCH($W178,$J$164:$J$305,0)),INDEX(E$164:E$305,MATCH($W178,$J$164:$J$305,0))),"")</f>
        <v>-0.72325655462884741</v>
      </c>
      <c r="S178" s="162">
        <f t="shared" si="1327"/>
        <v>0.69057943510242759</v>
      </c>
      <c r="T178" s="162">
        <f t="shared" si="1328"/>
        <v>1.4578093227447363E-7</v>
      </c>
      <c r="U178" s="162">
        <f>IFERROR(IF(ISNUMBER(MATCH($X178,Settings!$AK$28:$AK$36,0)),INDEX(Settings!$AO$14:$AO$36,MATCH($X178,Settings!$AK$14:$AK$36,0))/2,INDEX(Settings!$AM$14:$AM$36,MATCH($X178,Settings!$AK$14:$AK$36,0))/2),"")</f>
        <v>0.3125</v>
      </c>
      <c r="V178" s="162">
        <f t="shared" si="1329"/>
        <v>0.52</v>
      </c>
      <c r="W178" s="75">
        <v>1.1759999999999999</v>
      </c>
      <c r="X178" s="937">
        <f t="shared" si="1332"/>
        <v>1613</v>
      </c>
      <c r="AK178" s="82" t="str">
        <f t="shared" si="1333"/>
        <v>Y</v>
      </c>
      <c r="AL178" s="419" t="s">
        <v>9</v>
      </c>
    </row>
    <row r="179" spans="2:38" x14ac:dyDescent="0.25">
      <c r="B179" s="650">
        <v>1.0905573006849381</v>
      </c>
      <c r="C179" s="651">
        <v>4.6895800125783831</v>
      </c>
      <c r="D179" s="652">
        <v>-3.3500055796168278E-2</v>
      </c>
      <c r="E179" s="653">
        <v>-7.90513307312328E-3</v>
      </c>
      <c r="F179" s="651">
        <v>-3.3992401940297928E-2</v>
      </c>
      <c r="G179" s="654">
        <v>0.99939082719495964</v>
      </c>
      <c r="H179" s="653">
        <v>0.25700000000000001</v>
      </c>
      <c r="I179" s="942">
        <v>0.41499999999999992</v>
      </c>
      <c r="J179" s="946">
        <v>1.228</v>
      </c>
      <c r="K179" s="931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683"/>
      <c r="M179" s="934"/>
      <c r="N179" s="31" t="str">
        <f t="shared" si="1330"/>
        <v>Y</v>
      </c>
      <c r="O179" s="162">
        <f>IFERROR(INDEX(B$164:B$305,MATCH($W179,$J$164:$J$305,0)),"")</f>
        <v>1.0905573006849381</v>
      </c>
      <c r="P179" s="162">
        <f t="shared" si="1325"/>
        <v>4.6895800125783831</v>
      </c>
      <c r="Q179" s="162">
        <f t="shared" si="1326"/>
        <v>-3.3500055796168278E-2</v>
      </c>
      <c r="R179" s="162">
        <f>IFERROR(IF($L179="Y",-1*INDEX(E$164:E$305,MATCH($W179,$J$164:$J$305,0)),INDEX(E$164:E$305,MATCH($W179,$J$164:$J$305,0))),"")</f>
        <v>-7.90513307312328E-3</v>
      </c>
      <c r="S179" s="162">
        <f t="shared" si="1327"/>
        <v>-3.3992401940297928E-2</v>
      </c>
      <c r="T179" s="162">
        <f t="shared" si="1328"/>
        <v>0.99939082719495964</v>
      </c>
      <c r="U179" s="162">
        <f>IFERROR(IF(ISNUMBER(MATCH($X179,Settings!$AK$28:$AK$36,0)),INDEX(Settings!$AO$14:$AO$36,MATCH($X179,Settings!$AK$14:$AK$36,0))/2,INDEX(Settings!$AM$14:$AM$36,MATCH($X179,Settings!$AK$14:$AK$36,0))/2),"")</f>
        <v>0.255</v>
      </c>
      <c r="V179" s="162">
        <f t="shared" si="1329"/>
        <v>0.41499999999999992</v>
      </c>
      <c r="W179" s="75">
        <v>1.228</v>
      </c>
      <c r="X179" s="937" t="str">
        <f t="shared" si="1332"/>
        <v>CPS-32193r1</v>
      </c>
      <c r="AK179" s="82" t="str">
        <f t="shared" si="1333"/>
        <v>Y</v>
      </c>
      <c r="AL179" s="419" t="s">
        <v>9</v>
      </c>
    </row>
    <row r="180" spans="2:38" x14ac:dyDescent="0.25">
      <c r="B180" s="650">
        <v>1.2691167648027206</v>
      </c>
      <c r="C180" s="651">
        <v>5.4548264945324645</v>
      </c>
      <c r="D180" s="652">
        <v>-5.50001206403639E-2</v>
      </c>
      <c r="E180" s="653">
        <v>2.4473193946027001E-2</v>
      </c>
      <c r="F180" s="651">
        <v>0.1051899246890976</v>
      </c>
      <c r="G180" s="654">
        <v>0.99415096565963368</v>
      </c>
      <c r="H180" s="653">
        <v>0.25700000000000001</v>
      </c>
      <c r="I180" s="942">
        <v>0.41499999999999992</v>
      </c>
      <c r="J180" s="946">
        <v>1.234</v>
      </c>
      <c r="K180" s="931" t="str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CPS-32193r1</v>
      </c>
      <c r="L180" s="683"/>
      <c r="M180" s="934"/>
      <c r="N180" s="31" t="s">
        <v>9</v>
      </c>
      <c r="O180" s="162">
        <f t="shared" si="1324"/>
        <v>1.2691167648027206</v>
      </c>
      <c r="P180" s="162">
        <f t="shared" si="1325"/>
        <v>5.4548264945324645</v>
      </c>
      <c r="Q180" s="162">
        <f t="shared" si="1326"/>
        <v>-5.50001206403639E-2</v>
      </c>
      <c r="R180" s="162">
        <f t="shared" si="1331"/>
        <v>2.4473193946027001E-2</v>
      </c>
      <c r="S180" s="162">
        <f t="shared" si="1327"/>
        <v>0.1051899246890976</v>
      </c>
      <c r="T180" s="162">
        <f t="shared" si="1328"/>
        <v>0.99415096565963368</v>
      </c>
      <c r="U180" s="162">
        <f>IFERROR(IF(ISNUMBER(MATCH($X180,Settings!$AK$28:$AK$36,0)),INDEX(Settings!$AO$14:$AO$36,MATCH($X180,Settings!$AK$14:$AK$36,0))/2,INDEX(Settings!$AM$14:$AM$36,MATCH($X180,Settings!$AK$14:$AK$36,0))/2),"")</f>
        <v>0.255</v>
      </c>
      <c r="V180" s="162">
        <f t="shared" si="1329"/>
        <v>0.41499999999999992</v>
      </c>
      <c r="W180" s="75">
        <v>1.234</v>
      </c>
      <c r="X180" s="937" t="str">
        <f t="shared" si="1332"/>
        <v>CPS-32193r1</v>
      </c>
      <c r="AK180" s="82" t="str">
        <f t="shared" si="1333"/>
        <v>Y</v>
      </c>
      <c r="AL180" s="419" t="s">
        <v>9</v>
      </c>
    </row>
    <row r="181" spans="2:38" x14ac:dyDescent="0.25">
      <c r="B181" s="650">
        <v>1.2768168241352886</v>
      </c>
      <c r="C181" s="651">
        <v>6.2138428288914263</v>
      </c>
      <c r="D181" s="652">
        <v>-0.23546541360944689</v>
      </c>
      <c r="E181" s="653">
        <v>-0.8630687979944931</v>
      </c>
      <c r="F181" s="651">
        <v>0.42143474779039974</v>
      </c>
      <c r="G181" s="654">
        <v>0.27839720415834479</v>
      </c>
      <c r="H181" s="653">
        <v>0.26600000000000001</v>
      </c>
      <c r="I181" s="942">
        <v>0.52</v>
      </c>
      <c r="J181" s="946">
        <v>1.24</v>
      </c>
      <c r="K181" s="931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1313</v>
      </c>
      <c r="L181" s="683"/>
      <c r="M181" s="934"/>
      <c r="N181" s="31" t="str">
        <f t="shared" si="1330"/>
        <v>Y</v>
      </c>
      <c r="O181" s="162">
        <f t="shared" si="1324"/>
        <v>1.2768168241352886</v>
      </c>
      <c r="P181" s="162">
        <f t="shared" si="1325"/>
        <v>6.2138428288914263</v>
      </c>
      <c r="Q181" s="162">
        <f t="shared" si="1326"/>
        <v>-0.23546541360944689</v>
      </c>
      <c r="R181" s="162">
        <f t="shared" si="1331"/>
        <v>-0.8630687979944931</v>
      </c>
      <c r="S181" s="162">
        <f t="shared" si="1327"/>
        <v>0.42143474779039974</v>
      </c>
      <c r="T181" s="162">
        <f t="shared" si="1328"/>
        <v>0.27839720415834479</v>
      </c>
      <c r="U181" s="162">
        <f>IFERROR(IF(ISNUMBER(MATCH($X181,Settings!$AK$28:$AK$36,0)),INDEX(Settings!$AO$14:$AO$36,MATCH($X181,Settings!$AK$14:$AK$36,0))/2,INDEX(Settings!$AM$14:$AM$36,MATCH($X181,Settings!$AK$14:$AK$36,0))/2),"")</f>
        <v>0.26450000000000001</v>
      </c>
      <c r="V181" s="162">
        <f t="shared" si="1329"/>
        <v>0.52</v>
      </c>
      <c r="W181" s="75">
        <v>1.24</v>
      </c>
      <c r="X181" s="937">
        <f t="shared" si="1332"/>
        <v>1313</v>
      </c>
      <c r="AK181" s="82" t="str">
        <f t="shared" si="1333"/>
        <v>Y</v>
      </c>
      <c r="AL181" s="419" t="s">
        <v>9</v>
      </c>
    </row>
    <row r="182" spans="2:38" x14ac:dyDescent="0.25">
      <c r="B182" s="650">
        <v>1.5172872825554389</v>
      </c>
      <c r="C182" s="651">
        <v>6.8607064742074382</v>
      </c>
      <c r="D182" s="652">
        <v>-0.58911377581350544</v>
      </c>
      <c r="E182" s="653">
        <v>-0.81412639729477232</v>
      </c>
      <c r="F182" s="651">
        <v>0.51623749844273759</v>
      </c>
      <c r="G182" s="654">
        <v>0.26588917696931363</v>
      </c>
      <c r="H182" s="653">
        <v>0.26600000000000001</v>
      </c>
      <c r="I182" s="942">
        <v>0.52</v>
      </c>
      <c r="J182" s="946">
        <v>1.246</v>
      </c>
      <c r="K182" s="931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1313</v>
      </c>
      <c r="L182" s="683"/>
      <c r="M182" s="934"/>
      <c r="N182" s="31" t="str">
        <f t="shared" si="1330"/>
        <v>Y</v>
      </c>
      <c r="O182" s="162">
        <f t="shared" si="1324"/>
        <v>1.5172872825554389</v>
      </c>
      <c r="P182" s="162">
        <f t="shared" si="1325"/>
        <v>6.8607064742074382</v>
      </c>
      <c r="Q182" s="162">
        <f t="shared" si="1326"/>
        <v>-0.58911377581350544</v>
      </c>
      <c r="R182" s="162">
        <f t="shared" si="1331"/>
        <v>-0.81412639729477232</v>
      </c>
      <c r="S182" s="162">
        <f t="shared" si="1327"/>
        <v>0.51623749844273759</v>
      </c>
      <c r="T182" s="162">
        <f t="shared" si="1328"/>
        <v>0.26588917696931363</v>
      </c>
      <c r="U182" s="162">
        <f>IFERROR(IF(ISNUMBER(MATCH($X182,Settings!$AK$28:$AK$36,0)),INDEX(Settings!$AO$14:$AO$36,MATCH($X182,Settings!$AK$14:$AK$36,0))/2,INDEX(Settings!$AM$14:$AM$36,MATCH($X182,Settings!$AK$14:$AK$36,0))/2),"")</f>
        <v>0.26450000000000001</v>
      </c>
      <c r="V182" s="162">
        <f t="shared" si="1329"/>
        <v>0.52</v>
      </c>
      <c r="W182" s="75">
        <v>1.246</v>
      </c>
      <c r="X182" s="937">
        <f t="shared" si="1332"/>
        <v>1313</v>
      </c>
      <c r="AK182" s="82" t="str">
        <f t="shared" si="1333"/>
        <v>Y</v>
      </c>
      <c r="AL182" s="419" t="s">
        <v>400</v>
      </c>
    </row>
    <row r="183" spans="2:38" x14ac:dyDescent="0.25">
      <c r="B183" s="650">
        <v>1.7758659927198566</v>
      </c>
      <c r="C183" s="651">
        <v>7.3997024163532741</v>
      </c>
      <c r="D183" s="652">
        <v>-1.0827562393074102</v>
      </c>
      <c r="E183" s="653">
        <v>-0.75059130928693052</v>
      </c>
      <c r="F183" s="651">
        <v>0.61214078926577142</v>
      </c>
      <c r="G183" s="654">
        <v>0.24878975167801815</v>
      </c>
      <c r="H183" s="653">
        <v>0.26600000000000001</v>
      </c>
      <c r="I183" s="942">
        <v>0.52</v>
      </c>
      <c r="J183" s="946">
        <v>1.252</v>
      </c>
      <c r="K183" s="931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1313</v>
      </c>
      <c r="L183" s="683"/>
      <c r="M183" s="934"/>
      <c r="N183" s="31" t="str">
        <f t="shared" si="1330"/>
        <v>Y</v>
      </c>
      <c r="O183" s="162">
        <f t="shared" si="1324"/>
        <v>1.7758659927198566</v>
      </c>
      <c r="P183" s="162">
        <f t="shared" si="1325"/>
        <v>7.3997024163532741</v>
      </c>
      <c r="Q183" s="162">
        <f t="shared" si="1326"/>
        <v>-1.0827562393074102</v>
      </c>
      <c r="R183" s="162">
        <f t="shared" si="1331"/>
        <v>-0.75059130928693052</v>
      </c>
      <c r="S183" s="162">
        <f t="shared" si="1327"/>
        <v>0.61214078926577142</v>
      </c>
      <c r="T183" s="162">
        <f t="shared" si="1328"/>
        <v>0.24878975167801815</v>
      </c>
      <c r="U183" s="162">
        <f>IFERROR(IF(ISNUMBER(MATCH($X183,Settings!$AK$28:$AK$36,0)),INDEX(Settings!$AO$14:$AO$36,MATCH($X183,Settings!$AK$14:$AK$36,0))/2,INDEX(Settings!$AM$14:$AM$36,MATCH($X183,Settings!$AK$14:$AK$36,0))/2),"")</f>
        <v>0.26450000000000001</v>
      </c>
      <c r="V183" s="162">
        <f t="shared" si="1329"/>
        <v>0.52</v>
      </c>
      <c r="W183" s="75">
        <v>1.252</v>
      </c>
      <c r="X183" s="937">
        <f t="shared" si="1332"/>
        <v>1313</v>
      </c>
      <c r="AK183" s="82" t="str">
        <f t="shared" si="1333"/>
        <v>Y</v>
      </c>
      <c r="AL183" s="419" t="s">
        <v>400</v>
      </c>
    </row>
    <row r="184" spans="2:38" x14ac:dyDescent="0.25">
      <c r="B184" s="650">
        <v>2.0190105517677126</v>
      </c>
      <c r="C184" s="651">
        <v>7.8101599907457784</v>
      </c>
      <c r="D184" s="652">
        <v>-1.697898776126501</v>
      </c>
      <c r="E184" s="653">
        <v>-0.6931276779197586</v>
      </c>
      <c r="F184" s="651">
        <v>0.6917860032643206</v>
      </c>
      <c r="G184" s="654">
        <v>0.20249974762735085</v>
      </c>
      <c r="H184" s="653">
        <v>0.26600000000000001</v>
      </c>
      <c r="I184" s="942">
        <v>0.52</v>
      </c>
      <c r="J184" s="946">
        <v>1.258</v>
      </c>
      <c r="K184" s="931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1313</v>
      </c>
      <c r="L184" s="683"/>
      <c r="M184" s="934"/>
      <c r="N184" s="31" t="str">
        <f t="shared" si="1330"/>
        <v>Y</v>
      </c>
      <c r="O184" s="162">
        <f t="shared" si="1324"/>
        <v>2.0190105517677126</v>
      </c>
      <c r="P184" s="162">
        <f t="shared" si="1325"/>
        <v>7.8101599907457784</v>
      </c>
      <c r="Q184" s="162">
        <f t="shared" si="1326"/>
        <v>-1.697898776126501</v>
      </c>
      <c r="R184" s="162">
        <f t="shared" si="1331"/>
        <v>-0.6931276779197586</v>
      </c>
      <c r="S184" s="162">
        <f t="shared" si="1327"/>
        <v>0.6917860032643206</v>
      </c>
      <c r="T184" s="162">
        <f t="shared" si="1328"/>
        <v>0.20249974762735085</v>
      </c>
      <c r="U184" s="162">
        <f>IFERROR(IF(ISNUMBER(MATCH($X184,Settings!$AK$28:$AK$36,0)),INDEX(Settings!$AO$14:$AO$36,MATCH($X184,Settings!$AK$14:$AK$36,0))/2,INDEX(Settings!$AM$14:$AM$36,MATCH($X184,Settings!$AK$14:$AK$36,0))/2),"")</f>
        <v>0.26450000000000001</v>
      </c>
      <c r="V184" s="162">
        <f t="shared" si="1329"/>
        <v>0.52</v>
      </c>
      <c r="W184" s="75">
        <v>1.258</v>
      </c>
      <c r="X184" s="937">
        <f t="shared" si="1332"/>
        <v>1313</v>
      </c>
      <c r="AK184" s="82" t="str">
        <f t="shared" si="1333"/>
        <v>Y</v>
      </c>
      <c r="AL184" s="419" t="s">
        <v>400</v>
      </c>
    </row>
    <row r="185" spans="2:38" x14ac:dyDescent="0.25">
      <c r="B185" s="650">
        <v>2.3330686041800477</v>
      </c>
      <c r="C185" s="651">
        <v>8.0003427160919589</v>
      </c>
      <c r="D185" s="652">
        <v>-2.4160187468005327</v>
      </c>
      <c r="E185" s="653">
        <v>0.21940232068939078</v>
      </c>
      <c r="F185" s="651">
        <v>0.75235492298375461</v>
      </c>
      <c r="G185" s="654">
        <v>0.62114788218122285</v>
      </c>
      <c r="H185" s="653">
        <v>0.25700000000000001</v>
      </c>
      <c r="I185" s="942">
        <v>0.41499999999999992</v>
      </c>
      <c r="J185" s="946">
        <v>1.264</v>
      </c>
      <c r="K185" s="931" t="str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CPS-32193r1</v>
      </c>
      <c r="L185" s="683"/>
      <c r="M185" s="934"/>
      <c r="N185" s="31" t="str">
        <f t="shared" si="1330"/>
        <v>Y</v>
      </c>
      <c r="O185" s="162">
        <f t="shared" si="1324"/>
        <v>2.3330686041800477</v>
      </c>
      <c r="P185" s="162">
        <f t="shared" si="1325"/>
        <v>8.0003427160919589</v>
      </c>
      <c r="Q185" s="162">
        <f t="shared" si="1326"/>
        <v>-2.4160187468005327</v>
      </c>
      <c r="R185" s="162">
        <f t="shared" si="1331"/>
        <v>0.21940232068939078</v>
      </c>
      <c r="S185" s="162">
        <f t="shared" si="1327"/>
        <v>0.75235492298375461</v>
      </c>
      <c r="T185" s="162">
        <f t="shared" si="1328"/>
        <v>0.62114788218122285</v>
      </c>
      <c r="U185" s="162">
        <f>IFERROR(IF(ISNUMBER(MATCH($X185,Settings!$AK$28:$AK$36,0)),INDEX(Settings!$AO$14:$AO$36,MATCH($X185,Settings!$AK$14:$AK$36,0))/2,INDEX(Settings!$AM$14:$AM$36,MATCH($X185,Settings!$AK$14:$AK$36,0))/2),"")</f>
        <v>0.255</v>
      </c>
      <c r="V185" s="162">
        <f t="shared" si="1329"/>
        <v>0.41499999999999992</v>
      </c>
      <c r="W185" s="75">
        <v>1.264</v>
      </c>
      <c r="X185" s="937" t="str">
        <f t="shared" si="1332"/>
        <v>CPS-32193r1</v>
      </c>
      <c r="AK185" s="82" t="str">
        <f t="shared" si="1333"/>
        <v>Y</v>
      </c>
      <c r="AL185" s="419" t="s">
        <v>400</v>
      </c>
    </row>
    <row r="186" spans="2:38" x14ac:dyDescent="0.25">
      <c r="B186" s="650">
        <v>2.4900700310025217</v>
      </c>
      <c r="C186" s="651">
        <v>8.0882733348816362</v>
      </c>
      <c r="D186" s="652">
        <v>-3.1636881248983464</v>
      </c>
      <c r="E186" s="653">
        <v>0.25684292903459338</v>
      </c>
      <c r="F186" s="651">
        <v>0.83428084737378083</v>
      </c>
      <c r="G186" s="654">
        <v>0.48785979288133313</v>
      </c>
      <c r="H186" s="653">
        <v>0.25700000000000001</v>
      </c>
      <c r="I186" s="942">
        <v>0.41499999999999992</v>
      </c>
      <c r="J186" s="946">
        <v>1.27</v>
      </c>
      <c r="K186" s="931" t="str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CPS-32193r1</v>
      </c>
      <c r="L186" s="683"/>
      <c r="M186" s="934"/>
      <c r="N186" s="31" t="str">
        <f t="shared" si="1330"/>
        <v>Y</v>
      </c>
      <c r="O186" s="162">
        <f t="shared" si="1324"/>
        <v>2.4900700310025217</v>
      </c>
      <c r="P186" s="162">
        <f t="shared" si="1325"/>
        <v>8.0882733348816362</v>
      </c>
      <c r="Q186" s="162">
        <f t="shared" si="1326"/>
        <v>-3.1636881248983464</v>
      </c>
      <c r="R186" s="162">
        <f t="shared" si="1331"/>
        <v>0.25684292903459338</v>
      </c>
      <c r="S186" s="162">
        <f t="shared" si="1327"/>
        <v>0.83428084737378083</v>
      </c>
      <c r="T186" s="162">
        <f t="shared" si="1328"/>
        <v>0.48785979288133313</v>
      </c>
      <c r="U186" s="162">
        <f>IFERROR(IF(ISNUMBER(MATCH($X186,Settings!$AK$28:$AK$36,0)),INDEX(Settings!$AO$14:$AO$36,MATCH($X186,Settings!$AK$14:$AK$36,0))/2,INDEX(Settings!$AM$14:$AM$36,MATCH($X186,Settings!$AK$14:$AK$36,0))/2),"")</f>
        <v>0.255</v>
      </c>
      <c r="V186" s="162">
        <f t="shared" si="1329"/>
        <v>0.41499999999999992</v>
      </c>
      <c r="W186" s="75">
        <v>1.27</v>
      </c>
      <c r="X186" s="937" t="str">
        <f t="shared" si="1332"/>
        <v>CPS-32193r1</v>
      </c>
      <c r="AK186" s="82" t="str">
        <f t="shared" si="1333"/>
        <v>Y</v>
      </c>
      <c r="AL186" s="419" t="s">
        <v>400</v>
      </c>
    </row>
    <row r="187" spans="2:38" x14ac:dyDescent="0.25">
      <c r="B187" s="650">
        <v>2.7596848749090745</v>
      </c>
      <c r="C187" s="651">
        <v>1.5933048054072929</v>
      </c>
      <c r="D187" s="652">
        <v>-0.44390133880643806</v>
      </c>
      <c r="E187" s="653">
        <v>-0.54097560356081231</v>
      </c>
      <c r="F187" s="651">
        <v>0.80302267260615134</v>
      </c>
      <c r="G187" s="654">
        <v>0.24999996726497564</v>
      </c>
      <c r="H187" s="653">
        <v>0.314</v>
      </c>
      <c r="I187" s="942">
        <v>0.52</v>
      </c>
      <c r="J187" s="946">
        <v>2.1150000000000002</v>
      </c>
      <c r="K187" s="931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683"/>
      <c r="M187" s="934"/>
      <c r="N187" s="31" t="str">
        <f t="shared" si="1330"/>
        <v>Y</v>
      </c>
      <c r="O187" s="162">
        <f t="shared" si="1324"/>
        <v>2.7596848749090745</v>
      </c>
      <c r="P187" s="162">
        <f t="shared" si="1325"/>
        <v>1.5933048054072929</v>
      </c>
      <c r="Q187" s="162">
        <f t="shared" si="1326"/>
        <v>-0.44390133880643806</v>
      </c>
      <c r="R187" s="162">
        <f t="shared" si="1331"/>
        <v>-0.54097560356081231</v>
      </c>
      <c r="S187" s="162">
        <f t="shared" si="1327"/>
        <v>0.80302267260615134</v>
      </c>
      <c r="T187" s="162">
        <f t="shared" si="1328"/>
        <v>0.24999996726497564</v>
      </c>
      <c r="U187" s="162">
        <f>IFERROR(IF(ISNUMBER(MATCH($X187,Settings!$AK$28:$AK$36,0)),INDEX(Settings!$AO$14:$AO$36,MATCH($X187,Settings!$AK$14:$AK$36,0))/2,INDEX(Settings!$AM$14:$AM$36,MATCH($X187,Settings!$AK$14:$AK$36,0))/2),"")</f>
        <v>0.3125</v>
      </c>
      <c r="V187" s="162">
        <f t="shared" si="1329"/>
        <v>0.52</v>
      </c>
      <c r="W187" s="75">
        <v>2.1150000000000002</v>
      </c>
      <c r="X187" s="937">
        <f t="shared" si="1332"/>
        <v>1613</v>
      </c>
      <c r="AK187" s="82" t="str">
        <f t="shared" si="1333"/>
        <v>Y</v>
      </c>
      <c r="AL187" s="419" t="s">
        <v>400</v>
      </c>
    </row>
    <row r="188" spans="2:38" x14ac:dyDescent="0.25">
      <c r="B188" s="650">
        <v>3.4021044569738308</v>
      </c>
      <c r="C188" s="651">
        <v>1.9642059240450673</v>
      </c>
      <c r="D188" s="652">
        <v>-0.24510073922382952</v>
      </c>
      <c r="E188" s="653">
        <v>-0.5409756035608122</v>
      </c>
      <c r="F188" s="651">
        <v>0.80302267260615123</v>
      </c>
      <c r="G188" s="654">
        <v>0.24999996726497559</v>
      </c>
      <c r="H188" s="653">
        <v>0.314</v>
      </c>
      <c r="I188" s="942">
        <v>0.52</v>
      </c>
      <c r="J188" s="946">
        <v>2.121</v>
      </c>
      <c r="K188" s="931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1613</v>
      </c>
      <c r="L188" s="683"/>
      <c r="M188" s="934"/>
      <c r="N188" s="31" t="str">
        <f t="shared" si="1330"/>
        <v>Y</v>
      </c>
      <c r="O188" s="162">
        <f t="shared" si="1324"/>
        <v>3.4021044569738308</v>
      </c>
      <c r="P188" s="162">
        <f t="shared" si="1325"/>
        <v>1.9642059240450673</v>
      </c>
      <c r="Q188" s="162">
        <f t="shared" si="1326"/>
        <v>-0.24510073922382952</v>
      </c>
      <c r="R188" s="162">
        <f t="shared" si="1331"/>
        <v>-0.5409756035608122</v>
      </c>
      <c r="S188" s="162">
        <f t="shared" si="1327"/>
        <v>0.80302267260615123</v>
      </c>
      <c r="T188" s="162">
        <f t="shared" si="1328"/>
        <v>0.24999996726497559</v>
      </c>
      <c r="U188" s="162">
        <f>IFERROR(IF(ISNUMBER(MATCH($X188,Settings!$AK$28:$AK$36,0)),INDEX(Settings!$AO$14:$AO$36,MATCH($X188,Settings!$AK$14:$AK$36,0))/2,INDEX(Settings!$AM$14:$AM$36,MATCH($X188,Settings!$AK$14:$AK$36,0))/2),"")</f>
        <v>0.3125</v>
      </c>
      <c r="V188" s="162">
        <f t="shared" si="1329"/>
        <v>0.52</v>
      </c>
      <c r="W188" s="75">
        <v>2.121</v>
      </c>
      <c r="X188" s="937">
        <f t="shared" si="1332"/>
        <v>1613</v>
      </c>
      <c r="AK188" s="82" t="str">
        <f t="shared" si="1333"/>
        <v>Y</v>
      </c>
      <c r="AL188" s="419" t="s">
        <v>400</v>
      </c>
    </row>
    <row r="189" spans="2:38" x14ac:dyDescent="0.25">
      <c r="B189" s="650">
        <v>4.0624933774685381</v>
      </c>
      <c r="C189" s="651">
        <v>2.3192731545378269</v>
      </c>
      <c r="D189" s="652">
        <v>-7.2100217454255808E-2</v>
      </c>
      <c r="E189" s="653">
        <v>-0.45438185629400468</v>
      </c>
      <c r="F189" s="651">
        <v>0.85167919546419191</v>
      </c>
      <c r="G189" s="654">
        <v>0.26111238324576153</v>
      </c>
      <c r="H189" s="653">
        <v>0.314</v>
      </c>
      <c r="I189" s="942">
        <v>0.52</v>
      </c>
      <c r="J189" s="946">
        <v>2.1269999999999998</v>
      </c>
      <c r="K189" s="931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1613</v>
      </c>
      <c r="L189" s="683"/>
      <c r="M189" s="934"/>
      <c r="N189" s="31" t="str">
        <f t="shared" si="1330"/>
        <v>Y</v>
      </c>
      <c r="O189" s="162">
        <f t="shared" si="1324"/>
        <v>4.0624933774685381</v>
      </c>
      <c r="P189" s="162">
        <f t="shared" si="1325"/>
        <v>2.3192731545378269</v>
      </c>
      <c r="Q189" s="162">
        <f t="shared" si="1326"/>
        <v>-7.2100217454255808E-2</v>
      </c>
      <c r="R189" s="162">
        <f t="shared" si="1331"/>
        <v>-0.45438185629400468</v>
      </c>
      <c r="S189" s="162">
        <f t="shared" si="1327"/>
        <v>0.85167919546419191</v>
      </c>
      <c r="T189" s="162">
        <f t="shared" si="1328"/>
        <v>0.26111238324576153</v>
      </c>
      <c r="U189" s="162">
        <f>IFERROR(IF(ISNUMBER(MATCH($X189,Settings!$AK$28:$AK$36,0)),INDEX(Settings!$AO$14:$AO$36,MATCH($X189,Settings!$AK$14:$AK$36,0))/2,INDEX(Settings!$AM$14:$AM$36,MATCH($X189,Settings!$AK$14:$AK$36,0))/2),"")</f>
        <v>0.3125</v>
      </c>
      <c r="V189" s="162">
        <f t="shared" si="1329"/>
        <v>0.52</v>
      </c>
      <c r="W189" s="75">
        <v>2.1269999999999998</v>
      </c>
      <c r="X189" s="937">
        <f t="shared" si="1332"/>
        <v>1613</v>
      </c>
      <c r="AK189" s="82" t="str">
        <f t="shared" si="1333"/>
        <v>Y</v>
      </c>
      <c r="AL189" s="419" t="s">
        <v>400</v>
      </c>
    </row>
    <row r="190" spans="2:38" x14ac:dyDescent="0.25">
      <c r="B190" s="650">
        <v>4.7576707697551388</v>
      </c>
      <c r="C190" s="651">
        <v>2.6635510934311974</v>
      </c>
      <c r="D190" s="652">
        <v>-5.7900174626926718E-2</v>
      </c>
      <c r="E190" s="653">
        <v>-0.38088438332883939</v>
      </c>
      <c r="F190" s="651">
        <v>0.8900703841756834</v>
      </c>
      <c r="G190" s="654">
        <v>0.25040327024534104</v>
      </c>
      <c r="H190" s="653">
        <v>0.314</v>
      </c>
      <c r="I190" s="942">
        <v>0.52</v>
      </c>
      <c r="J190" s="946">
        <v>2.133</v>
      </c>
      <c r="K190" s="931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683"/>
      <c r="M190" s="934"/>
      <c r="N190" s="31" t="str">
        <f t="shared" si="1330"/>
        <v>Y</v>
      </c>
      <c r="O190" s="162">
        <f t="shared" si="1324"/>
        <v>4.7576707697551388</v>
      </c>
      <c r="P190" s="162">
        <f t="shared" si="1325"/>
        <v>2.6635510934311974</v>
      </c>
      <c r="Q190" s="162">
        <f t="shared" si="1326"/>
        <v>-5.7900174626926718E-2</v>
      </c>
      <c r="R190" s="162">
        <f t="shared" si="1331"/>
        <v>-0.38088438332883939</v>
      </c>
      <c r="S190" s="162">
        <f t="shared" si="1327"/>
        <v>0.8900703841756834</v>
      </c>
      <c r="T190" s="162">
        <f t="shared" si="1328"/>
        <v>0.25040327024534104</v>
      </c>
      <c r="U190" s="162">
        <f>IFERROR(IF(ISNUMBER(MATCH($X190,Settings!$AK$28:$AK$36,0)),INDEX(Settings!$AO$14:$AO$36,MATCH($X190,Settings!$AK$14:$AK$36,0))/2,INDEX(Settings!$AM$14:$AM$36,MATCH($X190,Settings!$AK$14:$AK$36,0))/2),"")</f>
        <v>0.3125</v>
      </c>
      <c r="V190" s="162">
        <f t="shared" si="1329"/>
        <v>0.52</v>
      </c>
      <c r="W190" s="75">
        <v>2.133</v>
      </c>
      <c r="X190" s="937">
        <f t="shared" si="1332"/>
        <v>1613</v>
      </c>
      <c r="AK190" s="82" t="str">
        <f t="shared" si="1333"/>
        <v>Y</v>
      </c>
      <c r="AL190" s="419" t="s">
        <v>9</v>
      </c>
    </row>
    <row r="191" spans="2:38" x14ac:dyDescent="0.25">
      <c r="B191" s="650">
        <v>5.437041565982625</v>
      </c>
      <c r="C191" s="651">
        <v>2.9707758329079703</v>
      </c>
      <c r="D191" s="652">
        <v>-0.21900066050599207</v>
      </c>
      <c r="E191" s="653">
        <v>-0.30743788253473808</v>
      </c>
      <c r="F191" s="651">
        <v>0.92530821330727864</v>
      </c>
      <c r="G191" s="654">
        <v>0.22200598813691616</v>
      </c>
      <c r="H191" s="653">
        <v>0.314</v>
      </c>
      <c r="I191" s="942">
        <v>0.52</v>
      </c>
      <c r="J191" s="946">
        <v>2.1389999999999998</v>
      </c>
      <c r="K191" s="931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1613</v>
      </c>
      <c r="L191" s="683"/>
      <c r="M191" s="934"/>
      <c r="N191" s="31" t="str">
        <f t="shared" si="1330"/>
        <v>Y</v>
      </c>
      <c r="O191" s="162">
        <f t="shared" si="1324"/>
        <v>5.437041565982625</v>
      </c>
      <c r="P191" s="162">
        <f t="shared" si="1325"/>
        <v>2.9707758329079703</v>
      </c>
      <c r="Q191" s="162">
        <f t="shared" si="1326"/>
        <v>-0.21900066050599207</v>
      </c>
      <c r="R191" s="162">
        <f t="shared" si="1331"/>
        <v>-0.30743788253473808</v>
      </c>
      <c r="S191" s="162">
        <f t="shared" si="1327"/>
        <v>0.92530821330727864</v>
      </c>
      <c r="T191" s="162">
        <f t="shared" si="1328"/>
        <v>0.22200598813691616</v>
      </c>
      <c r="U191" s="162">
        <f>IFERROR(IF(ISNUMBER(MATCH($X191,Settings!$AK$28:$AK$36,0)),INDEX(Settings!$AO$14:$AO$36,MATCH($X191,Settings!$AK$14:$AK$36,0))/2,INDEX(Settings!$AM$14:$AM$36,MATCH($X191,Settings!$AK$14:$AK$36,0))/2),"")</f>
        <v>0.3125</v>
      </c>
      <c r="V191" s="162">
        <f t="shared" si="1329"/>
        <v>0.52</v>
      </c>
      <c r="W191" s="75">
        <v>2.1389999999999998</v>
      </c>
      <c r="X191" s="937">
        <f t="shared" si="1332"/>
        <v>1613</v>
      </c>
      <c r="AK191" s="82" t="str">
        <f t="shared" si="1333"/>
        <v>Y</v>
      </c>
      <c r="AL191" s="419" t="s">
        <v>9</v>
      </c>
    </row>
    <row r="192" spans="2:38" x14ac:dyDescent="0.25">
      <c r="B192" s="650">
        <v>6.0775886248239885</v>
      </c>
      <c r="C192" s="651">
        <v>3.2351858439596382</v>
      </c>
      <c r="D192" s="652">
        <v>-0.5409016313593199</v>
      </c>
      <c r="E192" s="653">
        <v>-0.21727568443878581</v>
      </c>
      <c r="F192" s="651">
        <v>0.94993715189597416</v>
      </c>
      <c r="G192" s="654">
        <v>0.22452323799424914</v>
      </c>
      <c r="H192" s="653">
        <v>0.314</v>
      </c>
      <c r="I192" s="942">
        <v>0.52</v>
      </c>
      <c r="J192" s="946">
        <v>2.145</v>
      </c>
      <c r="K192" s="931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1613</v>
      </c>
      <c r="L192" s="683"/>
      <c r="M192" s="934"/>
      <c r="N192" s="31" t="str">
        <f t="shared" si="1330"/>
        <v>Y</v>
      </c>
      <c r="O192" s="162">
        <f t="shared" si="1324"/>
        <v>6.0775886248239885</v>
      </c>
      <c r="P192" s="162">
        <f t="shared" si="1325"/>
        <v>3.2351858439596382</v>
      </c>
      <c r="Q192" s="162">
        <f t="shared" si="1326"/>
        <v>-0.5409016313593199</v>
      </c>
      <c r="R192" s="162">
        <f t="shared" si="1331"/>
        <v>-0.21727568443878581</v>
      </c>
      <c r="S192" s="162">
        <f t="shared" si="1327"/>
        <v>0.94993715189597416</v>
      </c>
      <c r="T192" s="162">
        <f t="shared" si="1328"/>
        <v>0.22452323799424914</v>
      </c>
      <c r="U192" s="162">
        <f>IFERROR(IF(ISNUMBER(MATCH($X192,Settings!$AK$28:$AK$36,0)),INDEX(Settings!$AO$14:$AO$36,MATCH($X192,Settings!$AK$14:$AK$36,0))/2,INDEX(Settings!$AM$14:$AM$36,MATCH($X192,Settings!$AK$14:$AK$36,0))/2),"")</f>
        <v>0.3125</v>
      </c>
      <c r="V192" s="162">
        <f t="shared" si="1329"/>
        <v>0.52</v>
      </c>
      <c r="W192" s="75">
        <v>2.145</v>
      </c>
      <c r="X192" s="937">
        <f t="shared" si="1332"/>
        <v>1613</v>
      </c>
      <c r="AK192" s="82" t="str">
        <f t="shared" si="1333"/>
        <v>Y</v>
      </c>
      <c r="AL192" s="419" t="s">
        <v>9</v>
      </c>
    </row>
    <row r="193" spans="2:38" x14ac:dyDescent="0.25">
      <c r="B193" s="650">
        <v>6.6399830313995176</v>
      </c>
      <c r="C193" s="651">
        <v>3.4477235794782106</v>
      </c>
      <c r="D193" s="652">
        <v>-1.0087030422483745</v>
      </c>
      <c r="E193" s="653">
        <v>-0.12615517930951842</v>
      </c>
      <c r="F193" s="651">
        <v>0.97017117510034157</v>
      </c>
      <c r="G193" s="654">
        <v>0.20700908612378754</v>
      </c>
      <c r="H193" s="653">
        <v>0.314</v>
      </c>
      <c r="I193" s="942">
        <v>0.52</v>
      </c>
      <c r="J193" s="946">
        <v>2.1509999999999998</v>
      </c>
      <c r="K193" s="931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683"/>
      <c r="M193" s="934"/>
      <c r="N193" s="31" t="str">
        <f t="shared" si="1330"/>
        <v>Y</v>
      </c>
      <c r="O193" s="162">
        <f t="shared" si="1324"/>
        <v>6.6399830313995176</v>
      </c>
      <c r="P193" s="162">
        <f t="shared" si="1325"/>
        <v>3.4477235794782106</v>
      </c>
      <c r="Q193" s="162">
        <f t="shared" si="1326"/>
        <v>-1.0087030422483745</v>
      </c>
      <c r="R193" s="162">
        <f t="shared" si="1331"/>
        <v>-0.12615517930951842</v>
      </c>
      <c r="S193" s="162">
        <f t="shared" si="1327"/>
        <v>0.97017117510034157</v>
      </c>
      <c r="T193" s="162">
        <f t="shared" si="1328"/>
        <v>0.20700908612378754</v>
      </c>
      <c r="U193" s="162">
        <f>IFERROR(IF(ISNUMBER(MATCH($X193,Settings!$AK$28:$AK$36,0)),INDEX(Settings!$AO$14:$AO$36,MATCH($X193,Settings!$AK$14:$AK$36,0))/2,INDEX(Settings!$AM$14:$AM$36,MATCH($X193,Settings!$AK$14:$AK$36,0))/2),"")</f>
        <v>0.3125</v>
      </c>
      <c r="V193" s="162">
        <f t="shared" si="1329"/>
        <v>0.52</v>
      </c>
      <c r="W193" s="75">
        <v>2.1509999999999998</v>
      </c>
      <c r="X193" s="937">
        <f t="shared" si="1332"/>
        <v>1613</v>
      </c>
      <c r="AK193" s="82" t="str">
        <f t="shared" si="1333"/>
        <v>Y</v>
      </c>
      <c r="AL193" s="419" t="s">
        <v>9</v>
      </c>
    </row>
    <row r="194" spans="2:38" x14ac:dyDescent="0.25">
      <c r="B194" s="650">
        <v>7.0940426282530753</v>
      </c>
      <c r="C194" s="651">
        <v>3.6066450413915443</v>
      </c>
      <c r="D194" s="652">
        <v>-1.6002048262177555</v>
      </c>
      <c r="E194" s="653">
        <v>-4.0183878853474284E-2</v>
      </c>
      <c r="F194" s="651">
        <v>0.98432445213172126</v>
      </c>
      <c r="G194" s="654">
        <v>0.17172835763459743</v>
      </c>
      <c r="H194" s="653">
        <v>0.314</v>
      </c>
      <c r="I194" s="942">
        <v>0.52</v>
      </c>
      <c r="J194" s="946">
        <v>2.157</v>
      </c>
      <c r="K194" s="931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683"/>
      <c r="M194" s="934"/>
      <c r="N194" s="31" t="str">
        <f t="shared" si="1330"/>
        <v>Y</v>
      </c>
      <c r="O194" s="162">
        <f t="shared" si="1324"/>
        <v>7.0940426282530753</v>
      </c>
      <c r="P194" s="162">
        <f t="shared" si="1325"/>
        <v>3.6066450413915443</v>
      </c>
      <c r="Q194" s="162">
        <f t="shared" si="1326"/>
        <v>-1.6002048262177555</v>
      </c>
      <c r="R194" s="162">
        <f t="shared" si="1331"/>
        <v>-4.0183878853474284E-2</v>
      </c>
      <c r="S194" s="162">
        <f t="shared" si="1327"/>
        <v>0.98432445213172126</v>
      </c>
      <c r="T194" s="162">
        <f t="shared" si="1328"/>
        <v>0.17172835763459743</v>
      </c>
      <c r="U194" s="162">
        <f>IFERROR(IF(ISNUMBER(MATCH($X194,Settings!$AK$28:$AK$36,0)),INDEX(Settings!$AO$14:$AO$36,MATCH($X194,Settings!$AK$14:$AK$36,0))/2,INDEX(Settings!$AM$14:$AM$36,MATCH($X194,Settings!$AK$14:$AK$36,0))/2),"")</f>
        <v>0.3125</v>
      </c>
      <c r="V194" s="162">
        <f t="shared" si="1329"/>
        <v>0.52</v>
      </c>
      <c r="W194" s="75">
        <v>2.157</v>
      </c>
      <c r="X194" s="937">
        <f t="shared" si="1332"/>
        <v>1613</v>
      </c>
      <c r="AK194" s="82" t="str">
        <f t="shared" si="1333"/>
        <v>Y</v>
      </c>
      <c r="AL194" s="419" t="s">
        <v>9</v>
      </c>
    </row>
    <row r="195" spans="2:38" x14ac:dyDescent="0.25">
      <c r="B195" s="650">
        <v>7.4121941399329669</v>
      </c>
      <c r="C195" s="651">
        <v>3.7111032049223875</v>
      </c>
      <c r="D195" s="652">
        <v>-2.2837068876599735</v>
      </c>
      <c r="E195" s="653">
        <v>5.0096296714281091E-2</v>
      </c>
      <c r="F195" s="651">
        <v>0.9900425069887645</v>
      </c>
      <c r="G195" s="654">
        <v>0.13155301368998393</v>
      </c>
      <c r="H195" s="653">
        <v>0.314</v>
      </c>
      <c r="I195" s="942">
        <v>0.52</v>
      </c>
      <c r="J195" s="946">
        <v>2.1629999999999998</v>
      </c>
      <c r="K195" s="931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683"/>
      <c r="M195" s="934"/>
      <c r="N195" s="31" t="str">
        <f t="shared" si="1330"/>
        <v>Y</v>
      </c>
      <c r="O195" s="162">
        <f t="shared" si="1324"/>
        <v>7.4121941399329669</v>
      </c>
      <c r="P195" s="162">
        <f t="shared" si="1325"/>
        <v>3.7111032049223875</v>
      </c>
      <c r="Q195" s="162">
        <f t="shared" si="1326"/>
        <v>-2.2837068876599735</v>
      </c>
      <c r="R195" s="162">
        <f t="shared" si="1331"/>
        <v>5.0096296714281091E-2</v>
      </c>
      <c r="S195" s="162">
        <f t="shared" si="1327"/>
        <v>0.9900425069887645</v>
      </c>
      <c r="T195" s="162">
        <f t="shared" si="1328"/>
        <v>0.13155301368998393</v>
      </c>
      <c r="U195" s="162">
        <f>IFERROR(IF(ISNUMBER(MATCH($X195,Settings!$AK$28:$AK$36,0)),INDEX(Settings!$AO$14:$AO$36,MATCH($X195,Settings!$AK$14:$AK$36,0))/2,INDEX(Settings!$AM$14:$AM$36,MATCH($X195,Settings!$AK$14:$AK$36,0))/2),"")</f>
        <v>0.3125</v>
      </c>
      <c r="V195" s="162">
        <f t="shared" si="1329"/>
        <v>0.52</v>
      </c>
      <c r="W195" s="75">
        <v>2.1629999999999998</v>
      </c>
      <c r="X195" s="937">
        <f t="shared" si="1332"/>
        <v>1613</v>
      </c>
      <c r="AK195" s="82" t="str">
        <f t="shared" si="1333"/>
        <v>Y</v>
      </c>
      <c r="AL195" s="419" t="s">
        <v>400</v>
      </c>
    </row>
    <row r="196" spans="2:38" x14ac:dyDescent="0.25">
      <c r="B196" s="650">
        <v>7.5750337359455093</v>
      </c>
      <c r="C196" s="651">
        <v>3.7625867986043939</v>
      </c>
      <c r="D196" s="652">
        <v>-3.0239091201099062</v>
      </c>
      <c r="E196" s="653">
        <v>0.11534415385000925</v>
      </c>
      <c r="F196" s="651">
        <v>0.99096460667118713</v>
      </c>
      <c r="G196" s="654">
        <v>6.8446143044330179E-2</v>
      </c>
      <c r="H196" s="653">
        <v>0.314</v>
      </c>
      <c r="I196" s="942">
        <v>0.52</v>
      </c>
      <c r="J196" s="946">
        <v>2.169</v>
      </c>
      <c r="K196" s="931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683"/>
      <c r="M196" s="934"/>
      <c r="N196" s="31" t="str">
        <f t="shared" si="1330"/>
        <v>Y</v>
      </c>
      <c r="O196" s="162">
        <f t="shared" ref="O196:O227" si="1334">IFERROR(INDEX(B$164:B$305,MATCH($W196,$J$164:$J$305,0)),"")</f>
        <v>7.5750337359455093</v>
      </c>
      <c r="P196" s="162">
        <f t="shared" ref="P196:P227" si="1335">IFERROR(INDEX(C$164:C$305,MATCH($W196,$J$164:$J$305,0)),"")</f>
        <v>3.7625867986043939</v>
      </c>
      <c r="Q196" s="162">
        <f t="shared" ref="Q196:Q227" si="1336">IFERROR(INDEX(D$164:D$305,MATCH($W196,$J$164:$J$305,0)),"")</f>
        <v>-3.0239091201099062</v>
      </c>
      <c r="R196" s="162">
        <f t="shared" si="1331"/>
        <v>0.11534415385000925</v>
      </c>
      <c r="S196" s="162">
        <f t="shared" si="1327"/>
        <v>0.99096460667118713</v>
      </c>
      <c r="T196" s="162">
        <f t="shared" si="1328"/>
        <v>6.8446143044330179E-2</v>
      </c>
      <c r="U196" s="162">
        <f>IFERROR(IF(ISNUMBER(MATCH($X196,Settings!$AK$28:$AK$36,0)),INDEX(Settings!$AO$14:$AO$36,MATCH($X196,Settings!$AK$14:$AK$36,0))/2,INDEX(Settings!$AM$14:$AM$36,MATCH($X196,Settings!$AK$14:$AK$36,0))/2),"")</f>
        <v>0.3125</v>
      </c>
      <c r="V196" s="162">
        <f t="shared" ref="V196:V227" si="1337">IFERROR(INDEX(I$164:I$305,MATCH($W196,$J$164:$J$305,0)),"")</f>
        <v>0.52</v>
      </c>
      <c r="W196" s="75">
        <v>2.169</v>
      </c>
      <c r="X196" s="937">
        <f t="shared" si="1332"/>
        <v>1613</v>
      </c>
      <c r="AK196" s="82" t="str">
        <f t="shared" si="1333"/>
        <v>Y</v>
      </c>
      <c r="AL196" s="419" t="s">
        <v>400</v>
      </c>
    </row>
    <row r="197" spans="2:38" x14ac:dyDescent="0.25">
      <c r="B197" s="650">
        <v>7.654969310468001</v>
      </c>
      <c r="C197" s="651">
        <v>3.7873121343523937</v>
      </c>
      <c r="D197" s="652">
        <v>-3.7759113881487476</v>
      </c>
      <c r="E197" s="653">
        <v>0.23643105681538573</v>
      </c>
      <c r="F197" s="651">
        <v>0.97164826731340326</v>
      </c>
      <c r="G197" s="654">
        <v>1.457809319200666E-7</v>
      </c>
      <c r="H197" s="653">
        <v>0.314</v>
      </c>
      <c r="I197" s="942">
        <v>0.52</v>
      </c>
      <c r="J197" s="946">
        <v>2.1749999999999998</v>
      </c>
      <c r="K197" s="931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683"/>
      <c r="M197" s="934"/>
      <c r="N197" s="31" t="str">
        <f t="shared" si="1330"/>
        <v>Y</v>
      </c>
      <c r="O197" s="162">
        <f t="shared" si="1334"/>
        <v>7.654969310468001</v>
      </c>
      <c r="P197" s="162">
        <f t="shared" si="1335"/>
        <v>3.7873121343523937</v>
      </c>
      <c r="Q197" s="162">
        <f t="shared" si="1336"/>
        <v>-3.7759113881487476</v>
      </c>
      <c r="R197" s="162">
        <f t="shared" si="1331"/>
        <v>0.23643105681538573</v>
      </c>
      <c r="S197" s="162">
        <f t="shared" si="1327"/>
        <v>0.97164826731340326</v>
      </c>
      <c r="T197" s="162">
        <f t="shared" si="1328"/>
        <v>1.457809319200666E-7</v>
      </c>
      <c r="U197" s="162">
        <f>IFERROR(IF(ISNUMBER(MATCH($X197,Settings!$AK$28:$AK$36,0)),INDEX(Settings!$AO$14:$AO$36,MATCH($X197,Settings!$AK$14:$AK$36,0))/2,INDEX(Settings!$AM$14:$AM$36,MATCH($X197,Settings!$AK$14:$AK$36,0))/2),"")</f>
        <v>0.3125</v>
      </c>
      <c r="V197" s="162">
        <f t="shared" si="1337"/>
        <v>0.52</v>
      </c>
      <c r="W197" s="75">
        <v>2.1749999999999998</v>
      </c>
      <c r="X197" s="937">
        <f t="shared" si="1332"/>
        <v>1613</v>
      </c>
      <c r="AK197" s="82" t="str">
        <f t="shared" si="1333"/>
        <v>Y</v>
      </c>
      <c r="AL197" s="419" t="s">
        <v>400</v>
      </c>
    </row>
    <row r="198" spans="2:38" x14ac:dyDescent="0.25">
      <c r="B198" s="650">
        <v>4.48757872209179</v>
      </c>
      <c r="C198" s="651">
        <v>1.3380528117522765</v>
      </c>
      <c r="D198" s="652">
        <v>-4.9700104655515644E-2</v>
      </c>
      <c r="E198" s="653">
        <v>-6.684824923547035E-2</v>
      </c>
      <c r="F198" s="651">
        <v>-1.9931778660854254E-2</v>
      </c>
      <c r="G198" s="654">
        <v>0.99756405096292811</v>
      </c>
      <c r="H198" s="653">
        <v>0.25700000000000001</v>
      </c>
      <c r="I198" s="942">
        <v>0.41499999999999992</v>
      </c>
      <c r="J198" s="946">
        <v>2.2269999999999999</v>
      </c>
      <c r="K198" s="931" t="str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CPS-32193r1</v>
      </c>
      <c r="L198" s="683"/>
      <c r="M198" s="934"/>
      <c r="N198" s="31" t="str">
        <f t="shared" si="1330"/>
        <v>Y</v>
      </c>
      <c r="O198" s="162">
        <f t="shared" si="1334"/>
        <v>4.48757872209179</v>
      </c>
      <c r="P198" s="162">
        <f t="shared" si="1335"/>
        <v>1.3380528117522765</v>
      </c>
      <c r="Q198" s="162">
        <f t="shared" si="1336"/>
        <v>-4.9700104655515644E-2</v>
      </c>
      <c r="R198" s="162">
        <f t="shared" si="1331"/>
        <v>-6.684824923547035E-2</v>
      </c>
      <c r="S198" s="162">
        <f t="shared" si="1327"/>
        <v>-1.9931778660854254E-2</v>
      </c>
      <c r="T198" s="162">
        <f t="shared" si="1328"/>
        <v>0.99756405096292811</v>
      </c>
      <c r="U198" s="162">
        <f>IFERROR(IF(ISNUMBER(MATCH($X198,Settings!$AK$28:$AK$36,0)),INDEX(Settings!$AO$14:$AO$36,MATCH($X198,Settings!$AK$14:$AK$36,0))/2,INDEX(Settings!$AM$14:$AM$36,MATCH($X198,Settings!$AK$14:$AK$36,0))/2),"")</f>
        <v>0.255</v>
      </c>
      <c r="V198" s="162">
        <f t="shared" si="1337"/>
        <v>0.41499999999999992</v>
      </c>
      <c r="W198" s="75">
        <v>2.2269999999999999</v>
      </c>
      <c r="X198" s="937" t="str">
        <f t="shared" si="1332"/>
        <v>CPS-32193r1</v>
      </c>
      <c r="AK198" s="82" t="str">
        <f t="shared" si="1333"/>
        <v>Y</v>
      </c>
      <c r="AL198" s="419" t="s">
        <v>400</v>
      </c>
    </row>
    <row r="199" spans="2:38" x14ac:dyDescent="0.25">
      <c r="B199" s="650">
        <v>5.2393077644806123</v>
      </c>
      <c r="C199" s="651">
        <v>1.5715090315169975</v>
      </c>
      <c r="D199" s="652">
        <v>-3.8900072082617296E-2</v>
      </c>
      <c r="E199" s="653">
        <v>7.8483948783349355E-2</v>
      </c>
      <c r="F199" s="651">
        <v>2.3541177658519329E-2</v>
      </c>
      <c r="G199" s="654">
        <v>0.99663738778846889</v>
      </c>
      <c r="H199" s="653">
        <v>0.25700000000000001</v>
      </c>
      <c r="I199" s="942">
        <v>0.41499999999999992</v>
      </c>
      <c r="J199" s="946">
        <v>2.2330000000000001</v>
      </c>
      <c r="K199" s="931" t="str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CPS-32193r1</v>
      </c>
      <c r="L199" s="683"/>
      <c r="M199" s="934"/>
      <c r="N199" s="31" t="str">
        <f t="shared" si="1330"/>
        <v>Y</v>
      </c>
      <c r="O199" s="162">
        <f t="shared" si="1334"/>
        <v>5.2393077644806123</v>
      </c>
      <c r="P199" s="162">
        <f t="shared" si="1335"/>
        <v>1.5715090315169975</v>
      </c>
      <c r="Q199" s="162">
        <f t="shared" si="1336"/>
        <v>-3.8900072082617296E-2</v>
      </c>
      <c r="R199" s="162">
        <f t="shared" si="1331"/>
        <v>7.8483948783349355E-2</v>
      </c>
      <c r="S199" s="162">
        <f t="shared" si="1327"/>
        <v>2.3541177658519329E-2</v>
      </c>
      <c r="T199" s="162">
        <f t="shared" si="1328"/>
        <v>0.99663738778846889</v>
      </c>
      <c r="U199" s="162">
        <f>IFERROR(IF(ISNUMBER(MATCH($X199,Settings!$AK$28:$AK$36,0)),INDEX(Settings!$AO$14:$AO$36,MATCH($X199,Settings!$AK$14:$AK$36,0))/2,INDEX(Settings!$AM$14:$AM$36,MATCH($X199,Settings!$AK$14:$AK$36,0))/2),"")</f>
        <v>0.255</v>
      </c>
      <c r="V199" s="162">
        <f t="shared" si="1337"/>
        <v>0.41499999999999992</v>
      </c>
      <c r="W199" s="75">
        <v>2.2330000000000001</v>
      </c>
      <c r="X199" s="937" t="str">
        <f t="shared" si="1332"/>
        <v>CPS-32193r1</v>
      </c>
      <c r="AK199" s="82" t="str">
        <f t="shared" si="1333"/>
        <v>Y</v>
      </c>
      <c r="AL199" s="419" t="s">
        <v>400</v>
      </c>
    </row>
    <row r="200" spans="2:38" x14ac:dyDescent="0.25">
      <c r="B200" s="650">
        <v>5.9085516827197742</v>
      </c>
      <c r="C200" s="651">
        <v>1.9530674461341566</v>
      </c>
      <c r="D200" s="652">
        <v>-0.19123146634395966</v>
      </c>
      <c r="E200" s="653">
        <v>-7.8267304438537341E-2</v>
      </c>
      <c r="F200" s="651">
        <v>0.9547304804545943</v>
      </c>
      <c r="G200" s="654">
        <v>0.2869911823503728</v>
      </c>
      <c r="H200" s="653">
        <v>0.26600000000000001</v>
      </c>
      <c r="I200" s="942">
        <v>0.52</v>
      </c>
      <c r="J200" s="946">
        <v>2.2389999999999999</v>
      </c>
      <c r="K200" s="931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1313</v>
      </c>
      <c r="L200" s="683"/>
      <c r="M200" s="934"/>
      <c r="N200" s="31" t="str">
        <f t="shared" si="1330"/>
        <v>Y</v>
      </c>
      <c r="O200" s="162">
        <f t="shared" si="1334"/>
        <v>5.9085516827197742</v>
      </c>
      <c r="P200" s="162">
        <f t="shared" si="1335"/>
        <v>1.9530674461341566</v>
      </c>
      <c r="Q200" s="162">
        <f t="shared" si="1336"/>
        <v>-0.19123146634395966</v>
      </c>
      <c r="R200" s="162">
        <f t="shared" si="1331"/>
        <v>-7.8267304438537341E-2</v>
      </c>
      <c r="S200" s="162">
        <f t="shared" si="1327"/>
        <v>0.9547304804545943</v>
      </c>
      <c r="T200" s="162">
        <f t="shared" si="1328"/>
        <v>0.2869911823503728</v>
      </c>
      <c r="U200" s="162">
        <f>IFERROR(IF(ISNUMBER(MATCH($X200,Settings!$AK$28:$AK$36,0)),INDEX(Settings!$AO$14:$AO$36,MATCH($X200,Settings!$AK$14:$AK$36,0))/2,INDEX(Settings!$AM$14:$AM$36,MATCH($X200,Settings!$AK$14:$AK$36,0))/2),"")</f>
        <v>0.26450000000000001</v>
      </c>
      <c r="V200" s="162">
        <f t="shared" si="1337"/>
        <v>0.52</v>
      </c>
      <c r="W200" s="75">
        <v>2.2389999999999999</v>
      </c>
      <c r="X200" s="937">
        <f t="shared" si="1332"/>
        <v>1313</v>
      </c>
      <c r="AK200" s="82" t="str">
        <f t="shared" si="1333"/>
        <v>Y</v>
      </c>
      <c r="AL200" s="419" t="s">
        <v>400</v>
      </c>
    </row>
    <row r="201" spans="2:38" x14ac:dyDescent="0.25">
      <c r="B201" s="650">
        <v>6.599526591938826</v>
      </c>
      <c r="C201" s="651">
        <v>2.0768969849596939</v>
      </c>
      <c r="D201" s="652">
        <v>-0.5184040942822461</v>
      </c>
      <c r="E201" s="653">
        <v>2.872335735959896E-2</v>
      </c>
      <c r="F201" s="651">
        <v>0.96018152833543358</v>
      </c>
      <c r="G201" s="654">
        <v>0.2778963860603873</v>
      </c>
      <c r="H201" s="653">
        <v>0.26600000000000001</v>
      </c>
      <c r="I201" s="942">
        <v>0.52</v>
      </c>
      <c r="J201" s="946">
        <v>2.2450000000000001</v>
      </c>
      <c r="K201" s="931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1313</v>
      </c>
      <c r="L201" s="683"/>
      <c r="M201" s="934"/>
      <c r="N201" s="31" t="str">
        <f t="shared" si="1330"/>
        <v>Y</v>
      </c>
      <c r="O201" s="162">
        <f t="shared" si="1334"/>
        <v>6.599526591938826</v>
      </c>
      <c r="P201" s="162">
        <f t="shared" si="1335"/>
        <v>2.0768969849596939</v>
      </c>
      <c r="Q201" s="162">
        <f t="shared" si="1336"/>
        <v>-0.5184040942822461</v>
      </c>
      <c r="R201" s="162">
        <f t="shared" si="1331"/>
        <v>2.872335735959896E-2</v>
      </c>
      <c r="S201" s="162">
        <f t="shared" si="1327"/>
        <v>0.96018152833543358</v>
      </c>
      <c r="T201" s="162">
        <f t="shared" si="1328"/>
        <v>0.2778963860603873</v>
      </c>
      <c r="U201" s="162">
        <f>IFERROR(IF(ISNUMBER(MATCH($X201,Settings!$AK$28:$AK$36,0)),INDEX(Settings!$AO$14:$AO$36,MATCH($X201,Settings!$AK$14:$AK$36,0))/2,INDEX(Settings!$AM$14:$AM$36,MATCH($X201,Settings!$AK$14:$AK$36,0))/2),"")</f>
        <v>0.26450000000000001</v>
      </c>
      <c r="V201" s="162">
        <f t="shared" si="1337"/>
        <v>0.52</v>
      </c>
      <c r="W201" s="75">
        <v>2.2450000000000001</v>
      </c>
      <c r="X201" s="937">
        <f t="shared" si="1332"/>
        <v>1313</v>
      </c>
      <c r="AK201" s="82" t="str">
        <f t="shared" si="1333"/>
        <v>Y</v>
      </c>
      <c r="AL201" s="419" t="s">
        <v>400</v>
      </c>
    </row>
    <row r="202" spans="2:38" x14ac:dyDescent="0.25">
      <c r="B202" s="650">
        <v>7.2092874107283809</v>
      </c>
      <c r="C202" s="651">
        <v>2.1400879380084974</v>
      </c>
      <c r="D202" s="652">
        <v>-0.99223475215078882</v>
      </c>
      <c r="E202" s="653">
        <v>0.13516659658694291</v>
      </c>
      <c r="F202" s="651">
        <v>0.95920064257564219</v>
      </c>
      <c r="G202" s="654">
        <v>0.24832260962219632</v>
      </c>
      <c r="H202" s="653">
        <v>0.26600000000000001</v>
      </c>
      <c r="I202" s="942">
        <v>0.52</v>
      </c>
      <c r="J202" s="946">
        <v>2.2509999999999999</v>
      </c>
      <c r="K202" s="931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1313</v>
      </c>
      <c r="L202" s="683"/>
      <c r="M202" s="934"/>
      <c r="N202" s="31" t="str">
        <f t="shared" si="1330"/>
        <v>Y</v>
      </c>
      <c r="O202" s="162">
        <f t="shared" si="1334"/>
        <v>7.2092874107283809</v>
      </c>
      <c r="P202" s="162">
        <f t="shared" si="1335"/>
        <v>2.1400879380084974</v>
      </c>
      <c r="Q202" s="162">
        <f t="shared" si="1336"/>
        <v>-0.99223475215078882</v>
      </c>
      <c r="R202" s="162">
        <f t="shared" si="1331"/>
        <v>0.13516659658694291</v>
      </c>
      <c r="S202" s="162">
        <f t="shared" si="1327"/>
        <v>0.95920064257564219</v>
      </c>
      <c r="T202" s="162">
        <f t="shared" si="1328"/>
        <v>0.24832260962219632</v>
      </c>
      <c r="U202" s="162">
        <f>IFERROR(IF(ISNUMBER(MATCH($X202,Settings!$AK$28:$AK$36,0)),INDEX(Settings!$AO$14:$AO$36,MATCH($X202,Settings!$AK$14:$AK$36,0))/2,INDEX(Settings!$AM$14:$AM$36,MATCH($X202,Settings!$AK$14:$AK$36,0))/2),"")</f>
        <v>0.26450000000000001</v>
      </c>
      <c r="V202" s="162">
        <f t="shared" si="1337"/>
        <v>0.52</v>
      </c>
      <c r="W202" s="75">
        <v>2.2509999999999999</v>
      </c>
      <c r="X202" s="937">
        <f t="shared" si="1332"/>
        <v>1313</v>
      </c>
      <c r="AK202" s="82" t="str">
        <f t="shared" si="1333"/>
        <v>Y</v>
      </c>
      <c r="AL202" s="419" t="s">
        <v>400</v>
      </c>
    </row>
    <row r="203" spans="2:38" x14ac:dyDescent="0.25">
      <c r="B203" s="650">
        <v>7.7076348576791407</v>
      </c>
      <c r="C203" s="651">
        <v>2.14392444437875</v>
      </c>
      <c r="D203" s="652">
        <v>-1.5903001594920279</v>
      </c>
      <c r="E203" s="653">
        <v>0.23503927312559603</v>
      </c>
      <c r="F203" s="651">
        <v>0.9509306026137081</v>
      </c>
      <c r="G203" s="654">
        <v>0.20121513139255132</v>
      </c>
      <c r="H203" s="653">
        <v>0.26600000000000001</v>
      </c>
      <c r="I203" s="942">
        <v>0.52</v>
      </c>
      <c r="J203" s="946">
        <v>2.2570000000000001</v>
      </c>
      <c r="K203" s="931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1313</v>
      </c>
      <c r="L203" s="683"/>
      <c r="M203" s="934"/>
      <c r="N203" s="31" t="str">
        <f t="shared" si="1330"/>
        <v>Y</v>
      </c>
      <c r="O203" s="162">
        <f t="shared" si="1334"/>
        <v>7.7076348576791407</v>
      </c>
      <c r="P203" s="162">
        <f t="shared" si="1335"/>
        <v>2.14392444437875</v>
      </c>
      <c r="Q203" s="162">
        <f t="shared" si="1336"/>
        <v>-1.5903001594920279</v>
      </c>
      <c r="R203" s="162">
        <f t="shared" si="1331"/>
        <v>0.23503927312559603</v>
      </c>
      <c r="S203" s="162">
        <f t="shared" si="1327"/>
        <v>0.9509306026137081</v>
      </c>
      <c r="T203" s="162">
        <f t="shared" si="1328"/>
        <v>0.20121513139255132</v>
      </c>
      <c r="U203" s="162">
        <f>IFERROR(IF(ISNUMBER(MATCH($X203,Settings!$AK$28:$AK$36,0)),INDEX(Settings!$AO$14:$AO$36,MATCH($X203,Settings!$AK$14:$AK$36,0))/2,INDEX(Settings!$AM$14:$AM$36,MATCH($X203,Settings!$AK$14:$AK$36,0))/2),"")</f>
        <v>0.26450000000000001</v>
      </c>
      <c r="V203" s="162">
        <f t="shared" si="1337"/>
        <v>0.52</v>
      </c>
      <c r="W203" s="75">
        <v>2.2570000000000001</v>
      </c>
      <c r="X203" s="937">
        <f t="shared" si="1332"/>
        <v>1313</v>
      </c>
      <c r="AK203" s="82" t="str">
        <f t="shared" si="1333"/>
        <v>Y</v>
      </c>
      <c r="AL203" s="419" t="s">
        <v>400</v>
      </c>
    </row>
    <row r="204" spans="2:38" x14ac:dyDescent="0.25">
      <c r="B204" s="650">
        <v>8.0588875173557213</v>
      </c>
      <c r="C204" s="651">
        <v>1.9682114547178802</v>
      </c>
      <c r="D204" s="652">
        <v>-2.2950213997226485</v>
      </c>
      <c r="E204" s="653">
        <v>0.74526040901125523</v>
      </c>
      <c r="F204" s="651">
        <v>0.18201419907885832</v>
      </c>
      <c r="G204" s="654">
        <v>0.64144972842309178</v>
      </c>
      <c r="H204" s="653">
        <v>0.25700000000000001</v>
      </c>
      <c r="I204" s="942">
        <v>0.41499999999999992</v>
      </c>
      <c r="J204" s="946">
        <v>2.2629999999999999</v>
      </c>
      <c r="K204" s="931" t="str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CPS-32193r1</v>
      </c>
      <c r="L204" s="683"/>
      <c r="M204" s="934"/>
      <c r="N204" s="31" t="str">
        <f t="shared" si="1330"/>
        <v>Y</v>
      </c>
      <c r="O204" s="162">
        <f t="shared" si="1334"/>
        <v>8.0588875173557213</v>
      </c>
      <c r="P204" s="162">
        <f t="shared" si="1335"/>
        <v>1.9682114547178802</v>
      </c>
      <c r="Q204" s="162">
        <f t="shared" si="1336"/>
        <v>-2.2950213997226485</v>
      </c>
      <c r="R204" s="162">
        <f t="shared" si="1331"/>
        <v>0.74526040901125523</v>
      </c>
      <c r="S204" s="162">
        <f t="shared" si="1327"/>
        <v>0.18201419907885832</v>
      </c>
      <c r="T204" s="162">
        <f t="shared" si="1328"/>
        <v>0.64144972842309178</v>
      </c>
      <c r="U204" s="162">
        <f>IFERROR(IF(ISNUMBER(MATCH($X204,Settings!$AK$28:$AK$36,0)),INDEX(Settings!$AO$14:$AO$36,MATCH($X204,Settings!$AK$14:$AK$36,0))/2,INDEX(Settings!$AM$14:$AM$36,MATCH($X204,Settings!$AK$14:$AK$36,0))/2),"")</f>
        <v>0.255</v>
      </c>
      <c r="V204" s="162">
        <f t="shared" si="1337"/>
        <v>0.41499999999999992</v>
      </c>
      <c r="W204" s="75">
        <v>2.2629999999999999</v>
      </c>
      <c r="X204" s="937" t="str">
        <f t="shared" si="1332"/>
        <v>CPS-32193r1</v>
      </c>
      <c r="AK204" s="82" t="str">
        <f t="shared" si="1333"/>
        <v>Y</v>
      </c>
      <c r="AL204" s="419" t="s">
        <v>400</v>
      </c>
    </row>
    <row r="205" spans="2:38" x14ac:dyDescent="0.25">
      <c r="B205" s="650">
        <v>8.2424582352816671</v>
      </c>
      <c r="C205" s="651">
        <v>1.8871545673099306</v>
      </c>
      <c r="D205" s="652">
        <v>-3.0373295750728886</v>
      </c>
      <c r="E205" s="653">
        <v>0.83729436167684734</v>
      </c>
      <c r="F205" s="651">
        <v>0.19170322170678888</v>
      </c>
      <c r="G205" s="654">
        <v>0.51204299301074174</v>
      </c>
      <c r="H205" s="653">
        <v>0.25700000000000001</v>
      </c>
      <c r="I205" s="942">
        <v>0.41499999999999992</v>
      </c>
      <c r="J205" s="946">
        <v>2.2690000000000001</v>
      </c>
      <c r="K205" s="931" t="str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CPS-32193r1</v>
      </c>
      <c r="L205" s="683"/>
      <c r="M205" s="934"/>
      <c r="N205" s="31" t="str">
        <f t="shared" si="1330"/>
        <v>Y</v>
      </c>
      <c r="O205" s="162">
        <f t="shared" si="1334"/>
        <v>8.2424582352816671</v>
      </c>
      <c r="P205" s="162">
        <f t="shared" si="1335"/>
        <v>1.8871545673099306</v>
      </c>
      <c r="Q205" s="162">
        <f t="shared" si="1336"/>
        <v>-3.0373295750728886</v>
      </c>
      <c r="R205" s="162">
        <f t="shared" si="1331"/>
        <v>0.83729436167684734</v>
      </c>
      <c r="S205" s="162">
        <f t="shared" si="1327"/>
        <v>0.19170322170678888</v>
      </c>
      <c r="T205" s="162">
        <f t="shared" si="1328"/>
        <v>0.51204299301074174</v>
      </c>
      <c r="U205" s="162">
        <f>IFERROR(IF(ISNUMBER(MATCH($X205,Settings!$AK$28:$AK$36,0)),INDEX(Settings!$AO$14:$AO$36,MATCH($X205,Settings!$AK$14:$AK$36,0))/2,INDEX(Settings!$AM$14:$AM$36,MATCH($X205,Settings!$AK$14:$AK$36,0))/2),"")</f>
        <v>0.255</v>
      </c>
      <c r="V205" s="162">
        <f t="shared" si="1337"/>
        <v>0.41499999999999992</v>
      </c>
      <c r="W205" s="75">
        <v>2.2690000000000001</v>
      </c>
      <c r="X205" s="937" t="str">
        <f t="shared" si="1332"/>
        <v>CPS-32193r1</v>
      </c>
      <c r="AK205" s="82" t="str">
        <f t="shared" si="1333"/>
        <v>Y</v>
      </c>
      <c r="AL205" s="419" t="s">
        <v>400</v>
      </c>
    </row>
    <row r="206" spans="2:38" x14ac:dyDescent="0.25">
      <c r="B206" s="650">
        <v>0.75903506089293815</v>
      </c>
      <c r="C206" s="651">
        <v>-0.35394386170252251</v>
      </c>
      <c r="D206" s="652">
        <v>-1.0733032370825628</v>
      </c>
      <c r="E206" s="653">
        <v>0.33252173587610084</v>
      </c>
      <c r="F206" s="651">
        <v>0.89725279245381229</v>
      </c>
      <c r="G206" s="654">
        <v>0.29045950079792671</v>
      </c>
      <c r="H206" s="653">
        <v>0.314</v>
      </c>
      <c r="I206" s="942">
        <v>0.52</v>
      </c>
      <c r="J206" s="946">
        <v>3.1030000000000002</v>
      </c>
      <c r="K206" s="931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1613</v>
      </c>
      <c r="L206" s="683"/>
      <c r="M206" s="934"/>
      <c r="N206" s="31" t="str">
        <f t="shared" si="1330"/>
        <v>Y</v>
      </c>
      <c r="O206" s="162">
        <f t="shared" si="1334"/>
        <v>0.75903506089293815</v>
      </c>
      <c r="P206" s="162">
        <f t="shared" si="1335"/>
        <v>-0.35394386170252251</v>
      </c>
      <c r="Q206" s="162">
        <f t="shared" si="1336"/>
        <v>-1.0733032370825628</v>
      </c>
      <c r="R206" s="162">
        <f t="shared" si="1331"/>
        <v>0.33252173587610084</v>
      </c>
      <c r="S206" s="162">
        <f t="shared" si="1327"/>
        <v>0.89725279245381229</v>
      </c>
      <c r="T206" s="162">
        <f t="shared" si="1328"/>
        <v>0.29045950079792671</v>
      </c>
      <c r="U206" s="162">
        <f>IFERROR(IF(ISNUMBER(MATCH($X206,Settings!$AK$28:$AK$36,0)),INDEX(Settings!$AO$14:$AO$36,MATCH($X206,Settings!$AK$14:$AK$36,0))/2,INDEX(Settings!$AM$14:$AM$36,MATCH($X206,Settings!$AK$14:$AK$36,0))/2),"")</f>
        <v>0.3125</v>
      </c>
      <c r="V206" s="162">
        <f t="shared" si="1337"/>
        <v>0.52</v>
      </c>
      <c r="W206" s="75">
        <v>3.1030000000000002</v>
      </c>
      <c r="X206" s="937">
        <f t="shared" si="1332"/>
        <v>1613</v>
      </c>
      <c r="AK206" s="82" t="str">
        <f t="shared" si="1333"/>
        <v>Y</v>
      </c>
      <c r="AL206" s="419" t="s">
        <v>9</v>
      </c>
    </row>
    <row r="207" spans="2:38" x14ac:dyDescent="0.25">
      <c r="B207" s="650">
        <v>1.4313362049769753</v>
      </c>
      <c r="C207" s="651">
        <v>-0.66744303377527603</v>
      </c>
      <c r="D207" s="652">
        <v>-0.87460263780155556</v>
      </c>
      <c r="E207" s="653">
        <v>0.34750680503247128</v>
      </c>
      <c r="F207" s="651">
        <v>0.90373615442983979</v>
      </c>
      <c r="G207" s="654">
        <v>0.2499999672649757</v>
      </c>
      <c r="H207" s="653">
        <v>0.314</v>
      </c>
      <c r="I207" s="942">
        <v>0.52</v>
      </c>
      <c r="J207" s="946">
        <v>3.1059999999999999</v>
      </c>
      <c r="K207" s="931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1613</v>
      </c>
      <c r="L207" s="683"/>
      <c r="M207" s="934"/>
      <c r="N207" s="31" t="str">
        <f t="shared" si="1330"/>
        <v>Y</v>
      </c>
      <c r="O207" s="162">
        <f t="shared" si="1334"/>
        <v>1.4313362049769753</v>
      </c>
      <c r="P207" s="162">
        <f t="shared" si="1335"/>
        <v>-0.66744303377527603</v>
      </c>
      <c r="Q207" s="162">
        <f t="shared" si="1336"/>
        <v>-0.87460263780155556</v>
      </c>
      <c r="R207" s="162">
        <f t="shared" si="1331"/>
        <v>0.34750680503247128</v>
      </c>
      <c r="S207" s="162">
        <f t="shared" si="1327"/>
        <v>0.90373615442983979</v>
      </c>
      <c r="T207" s="162">
        <f t="shared" si="1328"/>
        <v>0.2499999672649757</v>
      </c>
      <c r="U207" s="162">
        <f>IFERROR(IF(ISNUMBER(MATCH($X207,Settings!$AK$28:$AK$36,0)),INDEX(Settings!$AO$14:$AO$36,MATCH($X207,Settings!$AK$14:$AK$36,0))/2,INDEX(Settings!$AM$14:$AM$36,MATCH($X207,Settings!$AK$14:$AK$36,0))/2),"")</f>
        <v>0.3125</v>
      </c>
      <c r="V207" s="162">
        <f t="shared" si="1337"/>
        <v>0.52</v>
      </c>
      <c r="W207" s="75">
        <v>3.1059999999999999</v>
      </c>
      <c r="X207" s="937">
        <f t="shared" si="1332"/>
        <v>1613</v>
      </c>
      <c r="AK207" s="82" t="str">
        <f t="shared" si="1333"/>
        <v>Y</v>
      </c>
      <c r="AL207" s="419" t="s">
        <v>9</v>
      </c>
    </row>
    <row r="208" spans="2:38" x14ac:dyDescent="0.25">
      <c r="B208" s="650">
        <v>2.103637349061013</v>
      </c>
      <c r="C208" s="651">
        <v>-0.9809422058480296</v>
      </c>
      <c r="D208" s="652">
        <v>-0.67580203821894724</v>
      </c>
      <c r="E208" s="653">
        <v>0.34750680503247122</v>
      </c>
      <c r="F208" s="651">
        <v>0.90373615442983979</v>
      </c>
      <c r="G208" s="654">
        <v>0.2499999672649757</v>
      </c>
      <c r="H208" s="653">
        <v>0.314</v>
      </c>
      <c r="I208" s="942">
        <v>0.52</v>
      </c>
      <c r="J208" s="946">
        <v>3.109</v>
      </c>
      <c r="K208" s="931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1613</v>
      </c>
      <c r="L208" s="683"/>
      <c r="M208" s="934"/>
      <c r="N208" s="31" t="str">
        <f t="shared" si="1330"/>
        <v>Y</v>
      </c>
      <c r="O208" s="162">
        <f t="shared" si="1334"/>
        <v>2.103637349061013</v>
      </c>
      <c r="P208" s="162">
        <f t="shared" si="1335"/>
        <v>-0.9809422058480296</v>
      </c>
      <c r="Q208" s="162">
        <f t="shared" si="1336"/>
        <v>-0.67580203821894724</v>
      </c>
      <c r="R208" s="162">
        <f t="shared" si="1331"/>
        <v>0.34750680503247122</v>
      </c>
      <c r="S208" s="162">
        <f t="shared" si="1327"/>
        <v>0.90373615442983979</v>
      </c>
      <c r="T208" s="162">
        <f t="shared" si="1328"/>
        <v>0.2499999672649757</v>
      </c>
      <c r="U208" s="162">
        <f>IFERROR(IF(ISNUMBER(MATCH($X208,Settings!$AK$28:$AK$36,0)),INDEX(Settings!$AO$14:$AO$36,MATCH($X208,Settings!$AK$14:$AK$36,0))/2,INDEX(Settings!$AM$14:$AM$36,MATCH($X208,Settings!$AK$14:$AK$36,0))/2),"")</f>
        <v>0.3125</v>
      </c>
      <c r="V208" s="162">
        <f t="shared" si="1337"/>
        <v>0.52</v>
      </c>
      <c r="W208" s="75">
        <v>3.109</v>
      </c>
      <c r="X208" s="937">
        <f t="shared" si="1332"/>
        <v>1613</v>
      </c>
      <c r="AK208" s="82" t="str">
        <f t="shared" si="1333"/>
        <v>Y</v>
      </c>
      <c r="AL208" s="419" t="s">
        <v>9</v>
      </c>
    </row>
    <row r="209" spans="2:38" x14ac:dyDescent="0.25">
      <c r="B209" s="650">
        <v>2.7760291241970978</v>
      </c>
      <c r="C209" s="651">
        <v>-1.2944836398744197</v>
      </c>
      <c r="D209" s="652">
        <v>-0.47700143863633876</v>
      </c>
      <c r="E209" s="653">
        <v>0.34750680503247133</v>
      </c>
      <c r="F209" s="651">
        <v>0.90373615442983968</v>
      </c>
      <c r="G209" s="654">
        <v>0.24999996726497575</v>
      </c>
      <c r="H209" s="653">
        <v>0.314</v>
      </c>
      <c r="I209" s="942">
        <v>0.52</v>
      </c>
      <c r="J209" s="946">
        <v>3.1139999999999999</v>
      </c>
      <c r="K209" s="931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1613</v>
      </c>
      <c r="L209" s="683"/>
      <c r="M209" s="934"/>
      <c r="N209" s="31" t="str">
        <f t="shared" si="1330"/>
        <v>Y</v>
      </c>
      <c r="O209" s="162">
        <f t="shared" si="1334"/>
        <v>2.7760291241970978</v>
      </c>
      <c r="P209" s="162">
        <f t="shared" si="1335"/>
        <v>-1.2944836398744197</v>
      </c>
      <c r="Q209" s="162">
        <f t="shared" si="1336"/>
        <v>-0.47700143863633876</v>
      </c>
      <c r="R209" s="162">
        <f t="shared" si="1331"/>
        <v>0.34750680503247133</v>
      </c>
      <c r="S209" s="162">
        <f t="shared" si="1327"/>
        <v>0.90373615442983968</v>
      </c>
      <c r="T209" s="162">
        <f t="shared" si="1328"/>
        <v>0.24999996726497575</v>
      </c>
      <c r="U209" s="162">
        <f>IFERROR(IF(ISNUMBER(MATCH($X209,Settings!$AK$28:$AK$36,0)),INDEX(Settings!$AO$14:$AO$36,MATCH($X209,Settings!$AK$14:$AK$36,0))/2,INDEX(Settings!$AM$14:$AM$36,MATCH($X209,Settings!$AK$14:$AK$36,0))/2),"")</f>
        <v>0.3125</v>
      </c>
      <c r="V209" s="162">
        <f t="shared" si="1337"/>
        <v>0.52</v>
      </c>
      <c r="W209" s="75">
        <v>3.1139999999999999</v>
      </c>
      <c r="X209" s="937">
        <f t="shared" si="1332"/>
        <v>1613</v>
      </c>
      <c r="AK209" s="82" t="str">
        <f t="shared" si="1333"/>
        <v>Y</v>
      </c>
      <c r="AL209" s="419" t="s">
        <v>9</v>
      </c>
    </row>
    <row r="210" spans="2:38" x14ac:dyDescent="0.25">
      <c r="B210" s="650">
        <v>3.4483302682811354</v>
      </c>
      <c r="C210" s="651">
        <v>-1.6079828119471729</v>
      </c>
      <c r="D210" s="652">
        <v>-0.27820083905373061</v>
      </c>
      <c r="E210" s="653">
        <v>0.34750680503247133</v>
      </c>
      <c r="F210" s="651">
        <v>0.90373615442983968</v>
      </c>
      <c r="G210" s="654">
        <v>0.24999996726497575</v>
      </c>
      <c r="H210" s="653">
        <v>0.314</v>
      </c>
      <c r="I210" s="942">
        <v>0.52</v>
      </c>
      <c r="J210" s="946">
        <v>3.12</v>
      </c>
      <c r="K210" s="931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683"/>
      <c r="M210" s="934"/>
      <c r="N210" s="31" t="str">
        <f t="shared" si="1330"/>
        <v>Y</v>
      </c>
      <c r="O210" s="162">
        <f t="shared" si="1334"/>
        <v>3.4483302682811354</v>
      </c>
      <c r="P210" s="162">
        <f t="shared" si="1335"/>
        <v>-1.6079828119471729</v>
      </c>
      <c r="Q210" s="162">
        <f t="shared" si="1336"/>
        <v>-0.27820083905373061</v>
      </c>
      <c r="R210" s="162">
        <f t="shared" si="1331"/>
        <v>0.34750680503247133</v>
      </c>
      <c r="S210" s="162">
        <f t="shared" si="1327"/>
        <v>0.90373615442983968</v>
      </c>
      <c r="T210" s="162">
        <f t="shared" si="1328"/>
        <v>0.24999996726497575</v>
      </c>
      <c r="U210" s="162">
        <f>IFERROR(IF(ISNUMBER(MATCH($X210,Settings!$AK$28:$AK$36,0)),INDEX(Settings!$AO$14:$AO$36,MATCH($X210,Settings!$AK$14:$AK$36,0))/2,INDEX(Settings!$AM$14:$AM$36,MATCH($X210,Settings!$AK$14:$AK$36,0))/2),"")</f>
        <v>0.3125</v>
      </c>
      <c r="V210" s="162">
        <f t="shared" si="1337"/>
        <v>0.52</v>
      </c>
      <c r="W210" s="75">
        <v>3.12</v>
      </c>
      <c r="X210" s="937">
        <f t="shared" si="1332"/>
        <v>1613</v>
      </c>
      <c r="AK210" s="82" t="str">
        <f t="shared" si="1333"/>
        <v>Y</v>
      </c>
      <c r="AL210" s="419" t="s">
        <v>9</v>
      </c>
    </row>
    <row r="211" spans="2:38" x14ac:dyDescent="0.25">
      <c r="B211" s="650">
        <v>4.1172147494766582</v>
      </c>
      <c r="C211" s="651">
        <v>-1.9389065073241649</v>
      </c>
      <c r="D211" s="652">
        <v>-9.2000277472836928E-2</v>
      </c>
      <c r="E211" s="653">
        <v>0.42266629352281004</v>
      </c>
      <c r="F211" s="651">
        <v>0.86777845556910049</v>
      </c>
      <c r="G211" s="654">
        <v>0.26136900422543707</v>
      </c>
      <c r="H211" s="653">
        <v>0.314</v>
      </c>
      <c r="I211" s="942">
        <v>0.52</v>
      </c>
      <c r="J211" s="946">
        <v>3.1259999999999999</v>
      </c>
      <c r="K211" s="931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683"/>
      <c r="M211" s="934"/>
      <c r="N211" s="31" t="str">
        <f t="shared" si="1330"/>
        <v>Y</v>
      </c>
      <c r="O211" s="162">
        <f t="shared" si="1334"/>
        <v>4.1172147494766582</v>
      </c>
      <c r="P211" s="162">
        <f t="shared" si="1335"/>
        <v>-1.9389065073241649</v>
      </c>
      <c r="Q211" s="162">
        <f t="shared" si="1336"/>
        <v>-9.2000277472836928E-2</v>
      </c>
      <c r="R211" s="162">
        <f t="shared" si="1331"/>
        <v>0.42266629352281004</v>
      </c>
      <c r="S211" s="162">
        <f t="shared" si="1327"/>
        <v>0.86777845556910049</v>
      </c>
      <c r="T211" s="162">
        <f t="shared" si="1328"/>
        <v>0.26136900422543707</v>
      </c>
      <c r="U211" s="162">
        <f>IFERROR(IF(ISNUMBER(MATCH($X211,Settings!$AK$28:$AK$36,0)),INDEX(Settings!$AO$14:$AO$36,MATCH($X211,Settings!$AK$14:$AK$36,0))/2,INDEX(Settings!$AM$14:$AM$36,MATCH($X211,Settings!$AK$14:$AK$36,0))/2),"")</f>
        <v>0.3125</v>
      </c>
      <c r="V211" s="162">
        <f t="shared" si="1337"/>
        <v>0.52</v>
      </c>
      <c r="W211" s="75">
        <v>3.1259999999999999</v>
      </c>
      <c r="X211" s="937">
        <f t="shared" si="1332"/>
        <v>1613</v>
      </c>
      <c r="AK211" s="82" t="str">
        <f t="shared" si="1333"/>
        <v>Y</v>
      </c>
      <c r="AL211" s="419" t="s">
        <v>9</v>
      </c>
    </row>
    <row r="212" spans="2:38" x14ac:dyDescent="0.25">
      <c r="B212" s="650">
        <v>4.7979564528332279</v>
      </c>
      <c r="C212" s="651">
        <v>-2.3056979513816125</v>
      </c>
      <c r="D212" s="652">
        <v>-4.7600143562033119E-2</v>
      </c>
      <c r="E212" s="653">
        <v>0.49782348841829377</v>
      </c>
      <c r="F212" s="651">
        <v>0.82936928707315283</v>
      </c>
      <c r="G212" s="654">
        <v>0.25361064654073784</v>
      </c>
      <c r="H212" s="653">
        <v>0.314</v>
      </c>
      <c r="I212" s="942">
        <v>0.52</v>
      </c>
      <c r="J212" s="946">
        <v>3.1320000000000001</v>
      </c>
      <c r="K212" s="931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683"/>
      <c r="M212" s="934"/>
      <c r="N212" s="31" t="str">
        <f t="shared" si="1330"/>
        <v>Y</v>
      </c>
      <c r="O212" s="162">
        <f t="shared" si="1334"/>
        <v>4.7979564528332279</v>
      </c>
      <c r="P212" s="162">
        <f t="shared" si="1335"/>
        <v>-2.3056979513816125</v>
      </c>
      <c r="Q212" s="162">
        <f t="shared" si="1336"/>
        <v>-4.7600143562033119E-2</v>
      </c>
      <c r="R212" s="162">
        <f t="shared" si="1331"/>
        <v>0.49782348841829377</v>
      </c>
      <c r="S212" s="162">
        <f t="shared" si="1327"/>
        <v>0.82936928707315283</v>
      </c>
      <c r="T212" s="162">
        <f t="shared" si="1328"/>
        <v>0.25361064654073784</v>
      </c>
      <c r="U212" s="162">
        <f>IFERROR(IF(ISNUMBER(MATCH($X212,Settings!$AK$28:$AK$36,0)),INDEX(Settings!$AO$14:$AO$36,MATCH($X212,Settings!$AK$14:$AK$36,0))/2,INDEX(Settings!$AM$14:$AM$36,MATCH($X212,Settings!$AK$14:$AK$36,0))/2),"")</f>
        <v>0.3125</v>
      </c>
      <c r="V212" s="162">
        <f t="shared" si="1337"/>
        <v>0.52</v>
      </c>
      <c r="W212" s="75">
        <v>3.1320000000000001</v>
      </c>
      <c r="X212" s="937">
        <f t="shared" si="1332"/>
        <v>1613</v>
      </c>
      <c r="AK212" s="82" t="str">
        <f t="shared" si="1333"/>
        <v>Y</v>
      </c>
      <c r="AL212" s="419" t="s">
        <v>9</v>
      </c>
    </row>
    <row r="213" spans="2:38" x14ac:dyDescent="0.25">
      <c r="B213" s="650">
        <v>5.4491706687355119</v>
      </c>
      <c r="C213" s="651">
        <v>-2.6858148960899455</v>
      </c>
      <c r="D213" s="652">
        <v>-0.18050054438964178</v>
      </c>
      <c r="E213" s="653">
        <v>0.56992582627942023</v>
      </c>
      <c r="F213" s="651">
        <v>0.78945007710685389</v>
      </c>
      <c r="G213" s="654">
        <v>0.22793228883969646</v>
      </c>
      <c r="H213" s="653">
        <v>0.314</v>
      </c>
      <c r="I213" s="942">
        <v>0.52</v>
      </c>
      <c r="J213" s="946">
        <v>3.1379999999999999</v>
      </c>
      <c r="K213" s="931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683"/>
      <c r="M213" s="934"/>
      <c r="N213" s="31" t="str">
        <f t="shared" si="1330"/>
        <v>Y</v>
      </c>
      <c r="O213" s="162">
        <f t="shared" si="1334"/>
        <v>5.4491706687355119</v>
      </c>
      <c r="P213" s="162">
        <f t="shared" si="1335"/>
        <v>-2.6858148960899455</v>
      </c>
      <c r="Q213" s="162">
        <f t="shared" si="1336"/>
        <v>-0.18050054438964178</v>
      </c>
      <c r="R213" s="162">
        <f t="shared" si="1331"/>
        <v>0.56992582627942023</v>
      </c>
      <c r="S213" s="162">
        <f t="shared" si="1327"/>
        <v>0.78945007710685389</v>
      </c>
      <c r="T213" s="162">
        <f t="shared" si="1328"/>
        <v>0.22793228883969646</v>
      </c>
      <c r="U213" s="162">
        <f>IFERROR(IF(ISNUMBER(MATCH($X213,Settings!$AK$28:$AK$36,0)),INDEX(Settings!$AO$14:$AO$36,MATCH($X213,Settings!$AK$14:$AK$36,0))/2,INDEX(Settings!$AM$14:$AM$36,MATCH($X213,Settings!$AK$14:$AK$36,0))/2),"")</f>
        <v>0.3125</v>
      </c>
      <c r="V213" s="162">
        <f t="shared" si="1337"/>
        <v>0.52</v>
      </c>
      <c r="W213" s="75">
        <v>3.1379999999999999</v>
      </c>
      <c r="X213" s="937">
        <f t="shared" si="1332"/>
        <v>1613</v>
      </c>
      <c r="AK213" s="82" t="str">
        <f t="shared" si="1333"/>
        <v>Y</v>
      </c>
      <c r="AL213" s="419" t="s">
        <v>400</v>
      </c>
    </row>
    <row r="214" spans="2:38" x14ac:dyDescent="0.25">
      <c r="B214" s="650">
        <v>6.0436398388754702</v>
      </c>
      <c r="C214" s="651">
        <v>-3.0621355930058551</v>
      </c>
      <c r="D214" s="652">
        <v>-0.47220142415949556</v>
      </c>
      <c r="E214" s="653">
        <v>0.64009523116045752</v>
      </c>
      <c r="F214" s="651">
        <v>0.73677406918722954</v>
      </c>
      <c r="G214" s="654">
        <v>0.21781199695823</v>
      </c>
      <c r="H214" s="653">
        <v>0.314</v>
      </c>
      <c r="I214" s="942">
        <v>0.52</v>
      </c>
      <c r="J214" s="946">
        <v>3.1440000000000001</v>
      </c>
      <c r="K214" s="931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683"/>
      <c r="M214" s="934"/>
      <c r="N214" s="31" t="str">
        <f t="shared" si="1330"/>
        <v>Y</v>
      </c>
      <c r="O214" s="162">
        <f t="shared" si="1334"/>
        <v>6.0436398388754702</v>
      </c>
      <c r="P214" s="162">
        <f t="shared" si="1335"/>
        <v>-3.0621355930058551</v>
      </c>
      <c r="Q214" s="162">
        <f t="shared" si="1336"/>
        <v>-0.47220142415949556</v>
      </c>
      <c r="R214" s="162">
        <f t="shared" si="1331"/>
        <v>0.64009523116045752</v>
      </c>
      <c r="S214" s="162">
        <f t="shared" si="1327"/>
        <v>0.73677406918722954</v>
      </c>
      <c r="T214" s="162">
        <f t="shared" si="1328"/>
        <v>0.21781199695823</v>
      </c>
      <c r="U214" s="162">
        <f>IFERROR(IF(ISNUMBER(MATCH($X214,Settings!$AK$28:$AK$36,0)),INDEX(Settings!$AO$14:$AO$36,MATCH($X214,Settings!$AK$14:$AK$36,0))/2,INDEX(Settings!$AM$14:$AM$36,MATCH($X214,Settings!$AK$14:$AK$36,0))/2),"")</f>
        <v>0.3125</v>
      </c>
      <c r="V214" s="162">
        <f t="shared" si="1337"/>
        <v>0.52</v>
      </c>
      <c r="W214" s="75">
        <v>3.1440000000000001</v>
      </c>
      <c r="X214" s="937">
        <f t="shared" si="1332"/>
        <v>1613</v>
      </c>
      <c r="AK214" s="82" t="str">
        <f t="shared" si="1333"/>
        <v>Y</v>
      </c>
      <c r="AL214" s="419" t="s">
        <v>400</v>
      </c>
    </row>
    <row r="215" spans="2:38" x14ac:dyDescent="0.25">
      <c r="B215" s="650">
        <v>6.557733176062059</v>
      </c>
      <c r="C215" s="651">
        <v>-3.4090860803880334</v>
      </c>
      <c r="D215" s="652">
        <v>-0.92120277834758013</v>
      </c>
      <c r="E215" s="653">
        <v>0.71362514112905018</v>
      </c>
      <c r="F215" s="651">
        <v>0.66572737237655344</v>
      </c>
      <c r="G215" s="654">
        <v>0.21805096564141419</v>
      </c>
      <c r="H215" s="653">
        <v>0.314</v>
      </c>
      <c r="I215" s="942">
        <v>0.52</v>
      </c>
      <c r="J215" s="946">
        <v>3.15</v>
      </c>
      <c r="K215" s="931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683"/>
      <c r="M215" s="934"/>
      <c r="N215" s="31" t="str">
        <f t="shared" si="1330"/>
        <v>Y</v>
      </c>
      <c r="O215" s="162">
        <f t="shared" si="1334"/>
        <v>6.557733176062059</v>
      </c>
      <c r="P215" s="162">
        <f t="shared" si="1335"/>
        <v>-3.4090860803880334</v>
      </c>
      <c r="Q215" s="162">
        <f t="shared" si="1336"/>
        <v>-0.92120277834758013</v>
      </c>
      <c r="R215" s="162">
        <f t="shared" si="1331"/>
        <v>0.71362514112905018</v>
      </c>
      <c r="S215" s="162">
        <f t="shared" si="1327"/>
        <v>0.66572737237655344</v>
      </c>
      <c r="T215" s="162">
        <f t="shared" si="1328"/>
        <v>0.21805096564141419</v>
      </c>
      <c r="U215" s="162">
        <f>IFERROR(IF(ISNUMBER(MATCH($X215,Settings!$AK$28:$AK$36,0)),INDEX(Settings!$AO$14:$AO$36,MATCH($X215,Settings!$AK$14:$AK$36,0))/2,INDEX(Settings!$AM$14:$AM$36,MATCH($X215,Settings!$AK$14:$AK$36,0))/2),"")</f>
        <v>0.3125</v>
      </c>
      <c r="V215" s="162">
        <f t="shared" si="1337"/>
        <v>0.52</v>
      </c>
      <c r="W215" s="75">
        <v>3.15</v>
      </c>
      <c r="X215" s="937">
        <f t="shared" si="1332"/>
        <v>1613</v>
      </c>
      <c r="AK215" s="82" t="str">
        <f t="shared" si="1333"/>
        <v>Y</v>
      </c>
      <c r="AL215" s="419" t="s">
        <v>400</v>
      </c>
    </row>
    <row r="216" spans="2:38" x14ac:dyDescent="0.25">
      <c r="B216" s="650">
        <v>6.9669515949925493</v>
      </c>
      <c r="C216" s="651">
        <v>-3.7011190043306326</v>
      </c>
      <c r="D216" s="652">
        <v>-1.4934045041079824</v>
      </c>
      <c r="E216" s="653">
        <v>0.77666456760965918</v>
      </c>
      <c r="F216" s="651">
        <v>0.60224801106241532</v>
      </c>
      <c r="G216" s="654">
        <v>0.18463337344875144</v>
      </c>
      <c r="H216" s="653">
        <v>0.314</v>
      </c>
      <c r="I216" s="942">
        <v>0.52</v>
      </c>
      <c r="J216" s="946">
        <v>3.1560000000000001</v>
      </c>
      <c r="K216" s="931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1613</v>
      </c>
      <c r="L216" s="683"/>
      <c r="M216" s="934"/>
      <c r="N216" s="31" t="str">
        <f t="shared" si="1330"/>
        <v>Y</v>
      </c>
      <c r="O216" s="162">
        <f t="shared" si="1334"/>
        <v>6.9669515949925493</v>
      </c>
      <c r="P216" s="162">
        <f t="shared" si="1335"/>
        <v>-3.7011190043306326</v>
      </c>
      <c r="Q216" s="162">
        <f t="shared" si="1336"/>
        <v>-1.4934045041079824</v>
      </c>
      <c r="R216" s="162">
        <f t="shared" si="1331"/>
        <v>0.77666456760965918</v>
      </c>
      <c r="S216" s="162">
        <f t="shared" si="1327"/>
        <v>0.60224801106241532</v>
      </c>
      <c r="T216" s="162">
        <f t="shared" si="1328"/>
        <v>0.18463337344875144</v>
      </c>
      <c r="U216" s="162">
        <f>IFERROR(IF(ISNUMBER(MATCH($X216,Settings!$AK$28:$AK$36,0)),INDEX(Settings!$AO$14:$AO$36,MATCH($X216,Settings!$AK$14:$AK$36,0))/2,INDEX(Settings!$AM$14:$AM$36,MATCH($X216,Settings!$AK$14:$AK$36,0))/2),"")</f>
        <v>0.3125</v>
      </c>
      <c r="V216" s="162">
        <f t="shared" si="1337"/>
        <v>0.52</v>
      </c>
      <c r="W216" s="75">
        <v>3.1560000000000001</v>
      </c>
      <c r="X216" s="937">
        <f t="shared" si="1332"/>
        <v>1613</v>
      </c>
      <c r="AK216" s="82" t="str">
        <f t="shared" si="1333"/>
        <v>Y</v>
      </c>
      <c r="AL216" s="419" t="s">
        <v>400</v>
      </c>
    </row>
    <row r="217" spans="2:38" x14ac:dyDescent="0.25">
      <c r="B217" s="650">
        <v>7.2561934304255562</v>
      </c>
      <c r="C217" s="651">
        <v>-3.9163741365321441</v>
      </c>
      <c r="D217" s="652">
        <v>-2.1646065284532892</v>
      </c>
      <c r="E217" s="653">
        <v>0.82902349602528436</v>
      </c>
      <c r="F217" s="651">
        <v>0.54244803374821282</v>
      </c>
      <c r="G217" s="654">
        <v>0.13590501727571819</v>
      </c>
      <c r="H217" s="653">
        <v>0.314</v>
      </c>
      <c r="I217" s="942">
        <v>0.52</v>
      </c>
      <c r="J217" s="946">
        <v>3.1619999999999999</v>
      </c>
      <c r="K217" s="931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1613</v>
      </c>
      <c r="L217" s="683"/>
      <c r="M217" s="934"/>
      <c r="N217" s="31" t="str">
        <f t="shared" si="1330"/>
        <v>Y</v>
      </c>
      <c r="O217" s="162">
        <f t="shared" si="1334"/>
        <v>7.2561934304255562</v>
      </c>
      <c r="P217" s="162">
        <f t="shared" si="1335"/>
        <v>-3.9163741365321441</v>
      </c>
      <c r="Q217" s="162">
        <f t="shared" si="1336"/>
        <v>-2.1646065284532892</v>
      </c>
      <c r="R217" s="162">
        <f t="shared" si="1331"/>
        <v>0.82902349602528436</v>
      </c>
      <c r="S217" s="162">
        <f t="shared" si="1327"/>
        <v>0.54244803374821282</v>
      </c>
      <c r="T217" s="162">
        <f t="shared" si="1328"/>
        <v>0.13590501727571819</v>
      </c>
      <c r="U217" s="162">
        <f>IFERROR(IF(ISNUMBER(MATCH($X217,Settings!$AK$28:$AK$36,0)),INDEX(Settings!$AO$14:$AO$36,MATCH($X217,Settings!$AK$14:$AK$36,0))/2,INDEX(Settings!$AM$14:$AM$36,MATCH($X217,Settings!$AK$14:$AK$36,0))/2),"")</f>
        <v>0.3125</v>
      </c>
      <c r="V217" s="162">
        <f t="shared" si="1337"/>
        <v>0.52</v>
      </c>
      <c r="W217" s="75">
        <v>3.1619999999999999</v>
      </c>
      <c r="X217" s="937">
        <f t="shared" si="1332"/>
        <v>1613</v>
      </c>
      <c r="AK217" s="82" t="str">
        <f t="shared" si="1333"/>
        <v>Y</v>
      </c>
      <c r="AL217" s="419" t="s">
        <v>400</v>
      </c>
    </row>
    <row r="218" spans="2:38" x14ac:dyDescent="0.25">
      <c r="B218" s="650">
        <v>7.4131392233823412</v>
      </c>
      <c r="C218" s="651">
        <v>-4.0362374928944336</v>
      </c>
      <c r="D218" s="652">
        <v>-2.8986087422039661</v>
      </c>
      <c r="E218" s="653">
        <v>0.87578679903101886</v>
      </c>
      <c r="F218" s="651">
        <v>0.47544267950328239</v>
      </c>
      <c r="G218" s="654">
        <v>8.3377102070898129E-2</v>
      </c>
      <c r="H218" s="653">
        <v>0.314</v>
      </c>
      <c r="I218" s="942">
        <v>0.52</v>
      </c>
      <c r="J218" s="946">
        <v>3.1680000000000001</v>
      </c>
      <c r="K218" s="931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1613</v>
      </c>
      <c r="L218" s="683"/>
      <c r="M218" s="934"/>
      <c r="N218" s="31" t="str">
        <f t="shared" si="1330"/>
        <v>Y</v>
      </c>
      <c r="O218" s="162">
        <f t="shared" si="1334"/>
        <v>7.4131392233823412</v>
      </c>
      <c r="P218" s="162">
        <f t="shared" si="1335"/>
        <v>-4.0362374928944336</v>
      </c>
      <c r="Q218" s="162">
        <f t="shared" si="1336"/>
        <v>-2.8986087422039661</v>
      </c>
      <c r="R218" s="162">
        <f t="shared" si="1331"/>
        <v>0.87578679903101886</v>
      </c>
      <c r="S218" s="162">
        <f t="shared" si="1327"/>
        <v>0.47544267950328239</v>
      </c>
      <c r="T218" s="162">
        <f t="shared" si="1328"/>
        <v>8.3377102070898129E-2</v>
      </c>
      <c r="U218" s="162">
        <f>IFERROR(IF(ISNUMBER(MATCH($X218,Settings!$AK$28:$AK$36,0)),INDEX(Settings!$AO$14:$AO$36,MATCH($X218,Settings!$AK$14:$AK$36,0))/2,INDEX(Settings!$AM$14:$AM$36,MATCH($X218,Settings!$AK$14:$AK$36,0))/2),"")</f>
        <v>0.3125</v>
      </c>
      <c r="V218" s="162">
        <f t="shared" si="1337"/>
        <v>0.52</v>
      </c>
      <c r="W218" s="75">
        <v>3.1680000000000001</v>
      </c>
      <c r="X218" s="937">
        <f t="shared" si="1332"/>
        <v>1613</v>
      </c>
      <c r="AK218" s="82" t="str">
        <f t="shared" si="1333"/>
        <v>Y</v>
      </c>
      <c r="AL218" s="419" t="s">
        <v>400</v>
      </c>
    </row>
    <row r="219" spans="2:38" x14ac:dyDescent="0.25">
      <c r="B219" s="650">
        <v>7.493094494690129</v>
      </c>
      <c r="C219" s="651">
        <v>-4.0982707622684336</v>
      </c>
      <c r="D219" s="652">
        <v>-3.657411030751669</v>
      </c>
      <c r="E219" s="653">
        <v>0.93153894751051158</v>
      </c>
      <c r="F219" s="651">
        <v>0.36364156702856076</v>
      </c>
      <c r="G219" s="654">
        <v>1.4578093199527977E-7</v>
      </c>
      <c r="H219" s="653">
        <v>0.314</v>
      </c>
      <c r="I219" s="942">
        <v>0.52</v>
      </c>
      <c r="J219" s="946">
        <v>3.1739999999999999</v>
      </c>
      <c r="K219" s="931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1613</v>
      </c>
      <c r="L219" s="683"/>
      <c r="M219" s="934"/>
      <c r="N219" s="31" t="str">
        <f t="shared" si="1330"/>
        <v>Y</v>
      </c>
      <c r="O219" s="162">
        <f t="shared" si="1334"/>
        <v>7.493094494690129</v>
      </c>
      <c r="P219" s="162">
        <f t="shared" si="1335"/>
        <v>-4.0982707622684336</v>
      </c>
      <c r="Q219" s="162">
        <f t="shared" si="1336"/>
        <v>-3.657411030751669</v>
      </c>
      <c r="R219" s="162">
        <f t="shared" si="1331"/>
        <v>0.93153894751051158</v>
      </c>
      <c r="S219" s="162">
        <f t="shared" si="1327"/>
        <v>0.36364156702856076</v>
      </c>
      <c r="T219" s="162">
        <f t="shared" si="1328"/>
        <v>1.4578093199527977E-7</v>
      </c>
      <c r="U219" s="162">
        <f>IFERROR(IF(ISNUMBER(MATCH($X219,Settings!$AK$28:$AK$36,0)),INDEX(Settings!$AO$14:$AO$36,MATCH($X219,Settings!$AK$14:$AK$36,0))/2,INDEX(Settings!$AM$14:$AM$36,MATCH($X219,Settings!$AK$14:$AK$36,0))/2),"")</f>
        <v>0.3125</v>
      </c>
      <c r="V219" s="162">
        <f t="shared" si="1337"/>
        <v>0.52</v>
      </c>
      <c r="W219" s="75">
        <v>3.1739999999999999</v>
      </c>
      <c r="X219" s="937">
        <f t="shared" si="1332"/>
        <v>1613</v>
      </c>
      <c r="AK219" s="82" t="str">
        <f t="shared" si="1333"/>
        <v>Y</v>
      </c>
      <c r="AL219" s="419" t="s">
        <v>400</v>
      </c>
    </row>
    <row r="220" spans="2:38" x14ac:dyDescent="0.25">
      <c r="B220" s="650">
        <v>3.552248886683147</v>
      </c>
      <c r="C220" s="651">
        <v>-2.8483825481872498</v>
      </c>
      <c r="D220" s="652">
        <v>-6.9600164674096687E-2</v>
      </c>
      <c r="E220" s="653">
        <v>-8.1549085914037145E-2</v>
      </c>
      <c r="F220" s="651">
        <v>6.5390695639205618E-2</v>
      </c>
      <c r="G220" s="654">
        <v>0.99452189694868243</v>
      </c>
      <c r="H220" s="653">
        <v>0.25700000000000001</v>
      </c>
      <c r="I220" s="942">
        <v>0.41499999999999992</v>
      </c>
      <c r="J220" s="946">
        <v>3.226</v>
      </c>
      <c r="K220" s="931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683"/>
      <c r="M220" s="934"/>
      <c r="N220" s="31" t="str">
        <f t="shared" si="1330"/>
        <v>Y</v>
      </c>
      <c r="O220" s="162">
        <f t="shared" si="1334"/>
        <v>3.552248886683147</v>
      </c>
      <c r="P220" s="162">
        <f t="shared" si="1335"/>
        <v>-2.8483825481872498</v>
      </c>
      <c r="Q220" s="162">
        <f t="shared" si="1336"/>
        <v>-6.9600164674096687E-2</v>
      </c>
      <c r="R220" s="162">
        <f t="shared" si="1331"/>
        <v>-8.1549085914037145E-2</v>
      </c>
      <c r="S220" s="162">
        <f t="shared" si="1327"/>
        <v>6.5390695639205618E-2</v>
      </c>
      <c r="T220" s="162">
        <f t="shared" si="1328"/>
        <v>0.99452189694868243</v>
      </c>
      <c r="U220" s="162">
        <f>IFERROR(IF(ISNUMBER(MATCH($X220,Settings!$AK$28:$AK$36,0)),INDEX(Settings!$AO$14:$AO$36,MATCH($X220,Settings!$AK$14:$AK$36,0))/2,INDEX(Settings!$AM$14:$AM$36,MATCH($X220,Settings!$AK$14:$AK$36,0))/2),"")</f>
        <v>0.255</v>
      </c>
      <c r="V220" s="162">
        <f t="shared" si="1337"/>
        <v>0.41499999999999992</v>
      </c>
      <c r="W220" s="75">
        <v>3.226</v>
      </c>
      <c r="X220" s="937" t="str">
        <f t="shared" si="1332"/>
        <v>CPS-32193r1</v>
      </c>
      <c r="AK220" s="82" t="str">
        <f t="shared" si="1333"/>
        <v>Y</v>
      </c>
      <c r="AL220" s="419" t="s">
        <v>400</v>
      </c>
    </row>
    <row r="221" spans="2:38" x14ac:dyDescent="0.25">
      <c r="B221" s="650">
        <v>4.176115428986483</v>
      </c>
      <c r="C221" s="651">
        <v>-3.3256298777884026</v>
      </c>
      <c r="D221" s="652">
        <v>-2.7900038906517335E-2</v>
      </c>
      <c r="E221" s="653">
        <v>4.2303906680496488E-2</v>
      </c>
      <c r="F221" s="651">
        <v>-3.3688227168990732E-2</v>
      </c>
      <c r="G221" s="654">
        <v>0.99853667074864028</v>
      </c>
      <c r="H221" s="653">
        <v>0.25700000000000001</v>
      </c>
      <c r="I221" s="942">
        <v>0.41499999999999992</v>
      </c>
      <c r="J221" s="946">
        <v>3.2320000000000002</v>
      </c>
      <c r="K221" s="931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CPS-32193r1</v>
      </c>
      <c r="L221" s="683"/>
      <c r="M221" s="934"/>
      <c r="N221" s="31" t="str">
        <f t="shared" si="1330"/>
        <v>Y</v>
      </c>
      <c r="O221" s="162">
        <f t="shared" si="1334"/>
        <v>4.176115428986483</v>
      </c>
      <c r="P221" s="162">
        <f t="shared" si="1335"/>
        <v>-3.3256298777884026</v>
      </c>
      <c r="Q221" s="162">
        <f t="shared" si="1336"/>
        <v>-2.7900038906517335E-2</v>
      </c>
      <c r="R221" s="162">
        <f t="shared" si="1331"/>
        <v>4.2303906680496488E-2</v>
      </c>
      <c r="S221" s="162">
        <f t="shared" si="1327"/>
        <v>-3.3688227168990732E-2</v>
      </c>
      <c r="T221" s="162">
        <f t="shared" si="1328"/>
        <v>0.99853667074864028</v>
      </c>
      <c r="U221" s="162">
        <f>IFERROR(IF(ISNUMBER(MATCH($X221,Settings!$AK$28:$AK$36,0)),INDEX(Settings!$AO$14:$AO$36,MATCH($X221,Settings!$AK$14:$AK$36,0))/2,INDEX(Settings!$AM$14:$AM$36,MATCH($X221,Settings!$AK$14:$AK$36,0))/2),"")</f>
        <v>0.255</v>
      </c>
      <c r="V221" s="162">
        <f t="shared" si="1337"/>
        <v>0.41499999999999992</v>
      </c>
      <c r="W221" s="75">
        <v>3.2320000000000002</v>
      </c>
      <c r="X221" s="937" t="str">
        <f t="shared" si="1332"/>
        <v>CPS-32193r1</v>
      </c>
      <c r="AK221" s="82" t="str">
        <f t="shared" si="1333"/>
        <v>Y</v>
      </c>
      <c r="AL221" s="419" t="s">
        <v>9</v>
      </c>
    </row>
    <row r="222" spans="2:38" x14ac:dyDescent="0.25">
      <c r="B222" s="650">
        <v>4.8839649151822924</v>
      </c>
      <c r="C222" s="651">
        <v>-3.655902152900067</v>
      </c>
      <c r="D222" s="652">
        <v>-0.15169453284280332</v>
      </c>
      <c r="E222" s="653">
        <v>0.72708292421701082</v>
      </c>
      <c r="F222" s="651">
        <v>0.61982430388838616</v>
      </c>
      <c r="G222" s="654">
        <v>0.29524270290951865</v>
      </c>
      <c r="H222" s="653">
        <v>0.26600000000000001</v>
      </c>
      <c r="I222" s="942">
        <v>0.52</v>
      </c>
      <c r="J222" s="946">
        <v>3.238</v>
      </c>
      <c r="K222" s="931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1313</v>
      </c>
      <c r="L222" s="683"/>
      <c r="M222" s="934"/>
      <c r="N222" s="31" t="str">
        <f t="shared" si="1330"/>
        <v>Y</v>
      </c>
      <c r="O222" s="162">
        <f t="shared" si="1334"/>
        <v>4.8839649151822924</v>
      </c>
      <c r="P222" s="162">
        <f t="shared" si="1335"/>
        <v>-3.655902152900067</v>
      </c>
      <c r="Q222" s="162">
        <f t="shared" si="1336"/>
        <v>-0.15169453284280332</v>
      </c>
      <c r="R222" s="162">
        <f t="shared" si="1331"/>
        <v>0.72708292421701082</v>
      </c>
      <c r="S222" s="162">
        <f t="shared" si="1327"/>
        <v>0.61982430388838616</v>
      </c>
      <c r="T222" s="162">
        <f t="shared" si="1328"/>
        <v>0.29524270290951865</v>
      </c>
      <c r="U222" s="162">
        <f>IFERROR(IF(ISNUMBER(MATCH($X222,Settings!$AK$28:$AK$36,0)),INDEX(Settings!$AO$14:$AO$36,MATCH($X222,Settings!$AK$14:$AK$36,0))/2,INDEX(Settings!$AM$14:$AM$36,MATCH($X222,Settings!$AK$14:$AK$36,0))/2),"")</f>
        <v>0.26450000000000001</v>
      </c>
      <c r="V222" s="162">
        <f t="shared" si="1337"/>
        <v>0.52</v>
      </c>
      <c r="W222" s="75">
        <v>3.238</v>
      </c>
      <c r="X222" s="937">
        <f t="shared" si="1332"/>
        <v>1313</v>
      </c>
      <c r="AK222" s="82" t="str">
        <f t="shared" si="1333"/>
        <v>Y</v>
      </c>
      <c r="AL222" s="419" t="s">
        <v>9</v>
      </c>
    </row>
    <row r="223" spans="2:38" x14ac:dyDescent="0.25">
      <c r="B223" s="650">
        <v>5.3978417818479993</v>
      </c>
      <c r="C223" s="651">
        <v>-4.1488753303255796</v>
      </c>
      <c r="D223" s="652">
        <v>-0.44927762762970186</v>
      </c>
      <c r="E223" s="653">
        <v>0.79403627566232537</v>
      </c>
      <c r="F223" s="651">
        <v>0.54327916595992876</v>
      </c>
      <c r="G223" s="654">
        <v>0.27267955692751866</v>
      </c>
      <c r="H223" s="653">
        <v>0.26600000000000001</v>
      </c>
      <c r="I223" s="942">
        <v>0.52</v>
      </c>
      <c r="J223" s="946">
        <v>3.2440000000000002</v>
      </c>
      <c r="K223" s="931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1313</v>
      </c>
      <c r="L223" s="683"/>
      <c r="M223" s="934"/>
      <c r="N223" s="31" t="str">
        <f t="shared" si="1330"/>
        <v>Y</v>
      </c>
      <c r="O223" s="162">
        <f t="shared" si="1334"/>
        <v>5.3978417818479993</v>
      </c>
      <c r="P223" s="162">
        <f t="shared" si="1335"/>
        <v>-4.1488753303255796</v>
      </c>
      <c r="Q223" s="162">
        <f t="shared" si="1336"/>
        <v>-0.44927762762970186</v>
      </c>
      <c r="R223" s="162">
        <f t="shared" si="1331"/>
        <v>0.79403627566232537</v>
      </c>
      <c r="S223" s="162">
        <f t="shared" si="1327"/>
        <v>0.54327916595992876</v>
      </c>
      <c r="T223" s="162">
        <f t="shared" si="1328"/>
        <v>0.27267955692751866</v>
      </c>
      <c r="U223" s="162">
        <f>IFERROR(IF(ISNUMBER(MATCH($X223,Settings!$AK$28:$AK$36,0)),INDEX(Settings!$AO$14:$AO$36,MATCH($X223,Settings!$AK$14:$AK$36,0))/2,INDEX(Settings!$AM$14:$AM$36,MATCH($X223,Settings!$AK$14:$AK$36,0))/2),"")</f>
        <v>0.26450000000000001</v>
      </c>
      <c r="V223" s="162">
        <f t="shared" si="1337"/>
        <v>0.52</v>
      </c>
      <c r="W223" s="75">
        <v>3.2440000000000002</v>
      </c>
      <c r="X223" s="937">
        <f t="shared" si="1332"/>
        <v>1313</v>
      </c>
      <c r="AK223" s="82" t="str">
        <f t="shared" si="1333"/>
        <v>Y</v>
      </c>
      <c r="AL223" s="419" t="s">
        <v>9</v>
      </c>
    </row>
    <row r="224" spans="2:38" x14ac:dyDescent="0.25">
      <c r="B224" s="650">
        <v>5.813015971867169</v>
      </c>
      <c r="C224" s="651">
        <v>-4.6252356693355763</v>
      </c>
      <c r="D224" s="652">
        <v>-0.90350604195288697</v>
      </c>
      <c r="E224" s="653">
        <v>0.8558979834449294</v>
      </c>
      <c r="F224" s="651">
        <v>0.44599166864413431</v>
      </c>
      <c r="G224" s="654">
        <v>0.26178249260583542</v>
      </c>
      <c r="H224" s="653">
        <v>0.26600000000000001</v>
      </c>
      <c r="I224" s="942">
        <v>0.52</v>
      </c>
      <c r="J224" s="946">
        <v>3.25</v>
      </c>
      <c r="K224" s="931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1313</v>
      </c>
      <c r="L224" s="683"/>
      <c r="M224" s="934"/>
      <c r="N224" s="31" t="str">
        <f t="shared" si="1330"/>
        <v>Y</v>
      </c>
      <c r="O224" s="162">
        <f t="shared" si="1334"/>
        <v>5.813015971867169</v>
      </c>
      <c r="P224" s="162">
        <f t="shared" si="1335"/>
        <v>-4.6252356693355763</v>
      </c>
      <c r="Q224" s="162">
        <f t="shared" si="1336"/>
        <v>-0.90350604195288697</v>
      </c>
      <c r="R224" s="162">
        <f t="shared" si="1331"/>
        <v>0.8558979834449294</v>
      </c>
      <c r="S224" s="162">
        <f t="shared" si="1327"/>
        <v>0.44599166864413431</v>
      </c>
      <c r="T224" s="162">
        <f t="shared" si="1328"/>
        <v>0.26178249260583542</v>
      </c>
      <c r="U224" s="162">
        <f>IFERROR(IF(ISNUMBER(MATCH($X224,Settings!$AK$28:$AK$36,0)),INDEX(Settings!$AO$14:$AO$36,MATCH($X224,Settings!$AK$14:$AK$36,0))/2,INDEX(Settings!$AM$14:$AM$36,MATCH($X224,Settings!$AK$14:$AK$36,0))/2),"")</f>
        <v>0.26450000000000001</v>
      </c>
      <c r="V224" s="162">
        <f t="shared" si="1337"/>
        <v>0.52</v>
      </c>
      <c r="W224" s="75">
        <v>3.25</v>
      </c>
      <c r="X224" s="937">
        <f t="shared" si="1332"/>
        <v>1313</v>
      </c>
      <c r="AK224" s="82" t="str">
        <f t="shared" si="1333"/>
        <v>Y</v>
      </c>
      <c r="AL224" s="419" t="s">
        <v>9</v>
      </c>
    </row>
    <row r="225" spans="2:38" x14ac:dyDescent="0.25">
      <c r="B225" s="650">
        <v>6.1209456157134907</v>
      </c>
      <c r="C225" s="651">
        <v>-5.0424405488807116</v>
      </c>
      <c r="D225" s="652">
        <v>-1.4822596344133696</v>
      </c>
      <c r="E225" s="653">
        <v>0.90828003450708017</v>
      </c>
      <c r="F225" s="651">
        <v>0.35802243222071339</v>
      </c>
      <c r="G225" s="654">
        <v>0.21644241022170829</v>
      </c>
      <c r="H225" s="653">
        <v>0.26600000000000001</v>
      </c>
      <c r="I225" s="942">
        <v>0.52</v>
      </c>
      <c r="J225" s="946">
        <v>3.2559999999999998</v>
      </c>
      <c r="K225" s="931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1313</v>
      </c>
      <c r="L225" s="683"/>
      <c r="M225" s="934"/>
      <c r="N225" s="31" t="str">
        <f t="shared" si="1330"/>
        <v>Y</v>
      </c>
      <c r="O225" s="162">
        <f t="shared" si="1334"/>
        <v>6.1209456157134907</v>
      </c>
      <c r="P225" s="162">
        <f t="shared" si="1335"/>
        <v>-5.0424405488807116</v>
      </c>
      <c r="Q225" s="162">
        <f t="shared" si="1336"/>
        <v>-1.4822596344133696</v>
      </c>
      <c r="R225" s="162">
        <f t="shared" si="1331"/>
        <v>0.90828003450708017</v>
      </c>
      <c r="S225" s="162">
        <f t="shared" si="1327"/>
        <v>0.35802243222071339</v>
      </c>
      <c r="T225" s="162">
        <f t="shared" si="1328"/>
        <v>0.21644241022170829</v>
      </c>
      <c r="U225" s="162">
        <f>IFERROR(IF(ISNUMBER(MATCH($X225,Settings!$AK$28:$AK$36,0)),INDEX(Settings!$AO$14:$AO$36,MATCH($X225,Settings!$AK$14:$AK$36,0))/2,INDEX(Settings!$AM$14:$AM$36,MATCH($X225,Settings!$AK$14:$AK$36,0))/2),"")</f>
        <v>0.26450000000000001</v>
      </c>
      <c r="V225" s="162">
        <f t="shared" si="1337"/>
        <v>0.52</v>
      </c>
      <c r="W225" s="75">
        <v>3.2559999999999998</v>
      </c>
      <c r="X225" s="937">
        <f t="shared" si="1332"/>
        <v>1313</v>
      </c>
      <c r="AK225" s="82" t="str">
        <f t="shared" si="1333"/>
        <v>Y</v>
      </c>
      <c r="AL225" s="419" t="s">
        <v>9</v>
      </c>
    </row>
    <row r="226" spans="2:38" x14ac:dyDescent="0.25">
      <c r="B226" s="650">
        <v>6.2033700253725028</v>
      </c>
      <c r="C226" s="651">
        <v>-5.4459770005864403</v>
      </c>
      <c r="D226" s="652">
        <v>-2.1752196600892177</v>
      </c>
      <c r="E226" s="653">
        <v>0.56370356738165017</v>
      </c>
      <c r="F226" s="651">
        <v>-0.49487855419267879</v>
      </c>
      <c r="G226" s="654">
        <v>0.66131195718916602</v>
      </c>
      <c r="H226" s="653">
        <v>0.25700000000000001</v>
      </c>
      <c r="I226" s="942">
        <v>0.41499999999999992</v>
      </c>
      <c r="J226" s="946">
        <v>3.262</v>
      </c>
      <c r="K226" s="931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CPS-32193r1</v>
      </c>
      <c r="L226" s="683"/>
      <c r="M226" s="934"/>
      <c r="N226" s="31" t="str">
        <f t="shared" si="1330"/>
        <v>Y</v>
      </c>
      <c r="O226" s="162">
        <f t="shared" si="1334"/>
        <v>6.2033700253725028</v>
      </c>
      <c r="P226" s="162">
        <f t="shared" si="1335"/>
        <v>-5.4459770005864403</v>
      </c>
      <c r="Q226" s="162">
        <f t="shared" si="1336"/>
        <v>-2.1752196600892177</v>
      </c>
      <c r="R226" s="162">
        <f t="shared" si="1331"/>
        <v>0.56370356738165017</v>
      </c>
      <c r="S226" s="162">
        <f t="shared" si="1327"/>
        <v>-0.49487855419267879</v>
      </c>
      <c r="T226" s="162">
        <f t="shared" si="1328"/>
        <v>0.66131195718916602</v>
      </c>
      <c r="U226" s="162">
        <f>IFERROR(IF(ISNUMBER(MATCH($X226,Settings!$AK$28:$AK$36,0)),INDEX(Settings!$AO$14:$AO$36,MATCH($X226,Settings!$AK$14:$AK$36,0))/2,INDEX(Settings!$AM$14:$AM$36,MATCH($X226,Settings!$AK$14:$AK$36,0))/2),"")</f>
        <v>0.255</v>
      </c>
      <c r="V226" s="162">
        <f t="shared" si="1337"/>
        <v>0.41499999999999992</v>
      </c>
      <c r="W226" s="75">
        <v>3.262</v>
      </c>
      <c r="X226" s="937" t="str">
        <f t="shared" si="1332"/>
        <v>CPS-32193r1</v>
      </c>
      <c r="AK226" s="82" t="str">
        <f t="shared" si="1333"/>
        <v>Y</v>
      </c>
      <c r="AL226" s="419" t="s">
        <v>400</v>
      </c>
    </row>
    <row r="227" spans="2:38" x14ac:dyDescent="0.25">
      <c r="B227" s="650">
        <v>6.2599929006434039</v>
      </c>
      <c r="C227" s="651">
        <v>-5.6587985275176926</v>
      </c>
      <c r="D227" s="652">
        <v>-2.9121522916581557</v>
      </c>
      <c r="E227" s="653">
        <v>0.62704132109440669</v>
      </c>
      <c r="F227" s="651">
        <v>-0.56682150364656336</v>
      </c>
      <c r="G227" s="654">
        <v>0.53435247229149241</v>
      </c>
      <c r="H227" s="653">
        <v>0.25700000000000001</v>
      </c>
      <c r="I227" s="942">
        <v>0.41499999999999992</v>
      </c>
      <c r="J227" s="946">
        <v>3.2679999999999998</v>
      </c>
      <c r="K227" s="931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CPS-32193r1</v>
      </c>
      <c r="L227" s="683"/>
      <c r="M227" s="934"/>
      <c r="N227" s="31" t="str">
        <f t="shared" si="1330"/>
        <v>Y</v>
      </c>
      <c r="O227" s="162">
        <f t="shared" si="1334"/>
        <v>6.2599929006434039</v>
      </c>
      <c r="P227" s="162">
        <f t="shared" si="1335"/>
        <v>-5.6587985275176926</v>
      </c>
      <c r="Q227" s="162">
        <f t="shared" si="1336"/>
        <v>-2.9121522916581557</v>
      </c>
      <c r="R227" s="162">
        <f t="shared" si="1331"/>
        <v>0.62704132109440669</v>
      </c>
      <c r="S227" s="162">
        <f t="shared" si="1327"/>
        <v>-0.56682150364656336</v>
      </c>
      <c r="T227" s="162">
        <f t="shared" si="1328"/>
        <v>0.53435247229149241</v>
      </c>
      <c r="U227" s="162">
        <f>IFERROR(IF(ISNUMBER(MATCH($X227,Settings!$AK$28:$AK$36,0)),INDEX(Settings!$AO$14:$AO$36,MATCH($X227,Settings!$AK$14:$AK$36,0))/2,INDEX(Settings!$AM$14:$AM$36,MATCH($X227,Settings!$AK$14:$AK$36,0))/2),"")</f>
        <v>0.255</v>
      </c>
      <c r="V227" s="162">
        <f t="shared" si="1337"/>
        <v>0.41499999999999992</v>
      </c>
      <c r="W227" s="75">
        <v>3.2679999999999998</v>
      </c>
      <c r="X227" s="937" t="str">
        <f t="shared" si="1332"/>
        <v>CPS-32193r1</v>
      </c>
      <c r="AK227" s="82" t="str">
        <f t="shared" si="1333"/>
        <v>Y</v>
      </c>
      <c r="AL227" s="419" t="s">
        <v>400</v>
      </c>
    </row>
    <row r="228" spans="2:38" x14ac:dyDescent="0.25">
      <c r="B228" s="650">
        <v>-4.2685124901004114E-16</v>
      </c>
      <c r="C228" s="651">
        <v>-2.9393088649555374</v>
      </c>
      <c r="D228" s="652">
        <v>-0.51010153846623973</v>
      </c>
      <c r="E228" s="653">
        <v>0.96592583607220739</v>
      </c>
      <c r="F228" s="651">
        <v>6.6987279208207087E-2</v>
      </c>
      <c r="G228" s="654">
        <v>0.24999996726497567</v>
      </c>
      <c r="H228" s="653">
        <v>0.314</v>
      </c>
      <c r="I228" s="942">
        <v>0.52</v>
      </c>
      <c r="J228" s="946">
        <v>4.1130000000000004</v>
      </c>
      <c r="K228" s="931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683"/>
      <c r="M228" s="934"/>
      <c r="N228" s="31" t="str">
        <f t="shared" si="1330"/>
        <v>Y</v>
      </c>
      <c r="O228" s="162">
        <f t="shared" ref="O228:O259" si="1338">IFERROR(INDEX(B$164:B$305,MATCH($W228,$J$164:$J$305,0)),"")</f>
        <v>-4.2685124901004114E-16</v>
      </c>
      <c r="P228" s="162">
        <f t="shared" ref="P228:P259" si="1339">IFERROR(INDEX(C$164:C$305,MATCH($W228,$J$164:$J$305,0)),"")</f>
        <v>-2.9393088649555374</v>
      </c>
      <c r="Q228" s="162">
        <f t="shared" ref="Q228:Q259" si="1340">IFERROR(INDEX(D$164:D$305,MATCH($W228,$J$164:$J$305,0)),"")</f>
        <v>-0.51010153846623973</v>
      </c>
      <c r="R228" s="162">
        <f t="shared" si="1331"/>
        <v>0.96592583607220739</v>
      </c>
      <c r="S228" s="162">
        <f t="shared" ref="S228:S291" si="1341">IFERROR(IF($L228="Y",-1*INDEX(F$164:F$305,MATCH($W228,$J$164:$J$305,0)),INDEX(F$164:F$305,MATCH($W228,$J$164:$J$305,0))),"")</f>
        <v>6.6987279208207087E-2</v>
      </c>
      <c r="T228" s="162">
        <f t="shared" ref="T228:T291" si="1342">IFERROR(IF($L228="Y",-1*INDEX(G$164:G$305,MATCH($W228,$J$164:$J$305,0)),INDEX(G$164:G$305,MATCH($W228,$J$164:$J$305,0))),"")</f>
        <v>0.24999996726497567</v>
      </c>
      <c r="U228" s="162">
        <f>IFERROR(IF(ISNUMBER(MATCH($X228,Settings!$AK$28:$AK$36,0)),INDEX(Settings!$AO$14:$AO$36,MATCH($X228,Settings!$AK$14:$AK$36,0))/2,INDEX(Settings!$AM$14:$AM$36,MATCH($X228,Settings!$AK$14:$AK$36,0))/2),"")</f>
        <v>0.3125</v>
      </c>
      <c r="V228" s="162">
        <f t="shared" ref="V228:V259" si="1343">IFERROR(INDEX(I$164:I$305,MATCH($W228,$J$164:$J$305,0)),"")</f>
        <v>0.52</v>
      </c>
      <c r="W228" s="75">
        <v>4.1130000000000004</v>
      </c>
      <c r="X228" s="937">
        <f t="shared" si="1332"/>
        <v>1613</v>
      </c>
      <c r="AK228" s="82" t="str">
        <f t="shared" si="1333"/>
        <v>Y</v>
      </c>
      <c r="AL228" s="419" t="s">
        <v>400</v>
      </c>
    </row>
    <row r="229" spans="2:38" x14ac:dyDescent="0.25">
      <c r="B229" s="650">
        <v>-4.2685124901004114E-16</v>
      </c>
      <c r="C229" s="651">
        <v>-3.6812111025326848</v>
      </c>
      <c r="D229" s="652">
        <v>-0.31140093918523276</v>
      </c>
      <c r="E229" s="653">
        <v>0.96592583607220739</v>
      </c>
      <c r="F229" s="651">
        <v>6.6987279208207087E-2</v>
      </c>
      <c r="G229" s="654">
        <v>0.24999996726497567</v>
      </c>
      <c r="H229" s="653">
        <v>0.314</v>
      </c>
      <c r="I229" s="942">
        <v>0.52</v>
      </c>
      <c r="J229" s="946">
        <v>4.1189999999999998</v>
      </c>
      <c r="K229" s="931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683"/>
      <c r="M229" s="934"/>
      <c r="N229" s="31" t="str">
        <f t="shared" ref="N229:N290" si="1344">IF(M229="Y","N","Y")</f>
        <v>Y</v>
      </c>
      <c r="O229" s="162">
        <f t="shared" si="1338"/>
        <v>-4.2685124901004114E-16</v>
      </c>
      <c r="P229" s="162">
        <f t="shared" si="1339"/>
        <v>-3.6812111025326848</v>
      </c>
      <c r="Q229" s="162">
        <f t="shared" si="1340"/>
        <v>-0.31140093918523276</v>
      </c>
      <c r="R229" s="162">
        <f t="shared" ref="R229:R292" si="1345">IFERROR(IF($L229="Y",-1*INDEX(E$164:E$305,MATCH($W229,$J$164:$J$305,0)),INDEX(E$164:E$305,MATCH($W229,$J$164:$J$305,0))),"")</f>
        <v>0.96592583607220739</v>
      </c>
      <c r="S229" s="162">
        <f t="shared" si="1341"/>
        <v>6.6987279208207087E-2</v>
      </c>
      <c r="T229" s="162">
        <f t="shared" si="1342"/>
        <v>0.24999996726497567</v>
      </c>
      <c r="U229" s="162">
        <f>IFERROR(IF(ISNUMBER(MATCH($X229,Settings!$AK$28:$AK$36,0)),INDEX(Settings!$AO$14:$AO$36,MATCH($X229,Settings!$AK$14:$AK$36,0))/2,INDEX(Settings!$AM$14:$AM$36,MATCH($X229,Settings!$AK$14:$AK$36,0))/2),"")</f>
        <v>0.3125</v>
      </c>
      <c r="V229" s="162">
        <f t="shared" si="1343"/>
        <v>0.52</v>
      </c>
      <c r="W229" s="75">
        <v>4.1189999999999998</v>
      </c>
      <c r="X229" s="937">
        <f t="shared" ref="X229:X292" si="1346">IFERROR(INDEX(K$164:K$305,MATCH($W229,$J$164:$J$305,0)),"")</f>
        <v>1613</v>
      </c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>
        <v>-1.2588358242257111E-2</v>
      </c>
      <c r="C230" s="651">
        <v>-4.4248954393028104</v>
      </c>
      <c r="D230" s="652">
        <v>-0.11680035226986256</v>
      </c>
      <c r="E230" s="653">
        <v>0.96536662367756532</v>
      </c>
      <c r="F230" s="651">
        <v>-5.1195042808499513E-4</v>
      </c>
      <c r="G230" s="654">
        <v>0.26089656915363463</v>
      </c>
      <c r="H230" s="653">
        <v>0.314</v>
      </c>
      <c r="I230" s="942">
        <v>0.52</v>
      </c>
      <c r="J230" s="946">
        <v>4.125</v>
      </c>
      <c r="K230" s="931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683"/>
      <c r="M230" s="934"/>
      <c r="N230" s="31" t="str">
        <f t="shared" si="1344"/>
        <v>Y</v>
      </c>
      <c r="O230" s="162">
        <f t="shared" si="1338"/>
        <v>-1.2588358242257111E-2</v>
      </c>
      <c r="P230" s="162">
        <f t="shared" si="1339"/>
        <v>-4.4248954393028104</v>
      </c>
      <c r="Q230" s="162">
        <f t="shared" si="1340"/>
        <v>-0.11680035226986256</v>
      </c>
      <c r="R230" s="162">
        <f t="shared" si="1345"/>
        <v>0.96536662367756532</v>
      </c>
      <c r="S230" s="162">
        <f t="shared" si="1341"/>
        <v>-5.1195042808499513E-4</v>
      </c>
      <c r="T230" s="162">
        <f t="shared" si="1342"/>
        <v>0.26089656915363463</v>
      </c>
      <c r="U230" s="162">
        <f>IFERROR(IF(ISNUMBER(MATCH($X230,Settings!$AK$28:$AK$36,0)),INDEX(Settings!$AO$14:$AO$36,MATCH($X230,Settings!$AK$14:$AK$36,0))/2,INDEX(Settings!$AM$14:$AM$36,MATCH($X230,Settings!$AK$14:$AK$36,0))/2),"")</f>
        <v>0.3125</v>
      </c>
      <c r="V230" s="162">
        <f t="shared" si="1343"/>
        <v>0.52</v>
      </c>
      <c r="W230" s="75">
        <v>4.125</v>
      </c>
      <c r="X230" s="937">
        <f t="shared" si="1346"/>
        <v>1613</v>
      </c>
      <c r="AK230" s="82" t="str">
        <f t="shared" si="1347"/>
        <v>Y</v>
      </c>
      <c r="AL230" s="419" t="s">
        <v>400</v>
      </c>
    </row>
    <row r="231" spans="2:38" x14ac:dyDescent="0.25">
      <c r="B231" s="650">
        <v>-5.2484976702081125E-2</v>
      </c>
      <c r="C231" s="651">
        <v>-5.1935504700084731</v>
      </c>
      <c r="D231" s="652">
        <v>-4.2400127878785727E-2</v>
      </c>
      <c r="E231" s="653">
        <v>0.96275566166986348</v>
      </c>
      <c r="F231" s="651">
        <v>-8.654988341724279E-2</v>
      </c>
      <c r="G231" s="654">
        <v>0.25614576631887792</v>
      </c>
      <c r="H231" s="653">
        <v>0.314</v>
      </c>
      <c r="I231" s="942">
        <v>0.52</v>
      </c>
      <c r="J231" s="946">
        <v>4.1310000000000002</v>
      </c>
      <c r="K231" s="931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683"/>
      <c r="M231" s="934"/>
      <c r="N231" s="31" t="str">
        <f t="shared" si="1344"/>
        <v>Y</v>
      </c>
      <c r="O231" s="162">
        <f t="shared" si="1338"/>
        <v>-5.2484976702081125E-2</v>
      </c>
      <c r="P231" s="162">
        <f t="shared" si="1339"/>
        <v>-5.1935504700084731</v>
      </c>
      <c r="Q231" s="162">
        <f t="shared" si="1340"/>
        <v>-4.2400127878785727E-2</v>
      </c>
      <c r="R231" s="162">
        <f t="shared" si="1345"/>
        <v>0.96275566166986348</v>
      </c>
      <c r="S231" s="162">
        <f t="shared" si="1341"/>
        <v>-8.654988341724279E-2</v>
      </c>
      <c r="T231" s="162">
        <f t="shared" si="1342"/>
        <v>0.25614576631887792</v>
      </c>
      <c r="U231" s="162">
        <f>IFERROR(IF(ISNUMBER(MATCH($X231,Settings!$AK$28:$AK$36,0)),INDEX(Settings!$AO$14:$AO$36,MATCH($X231,Settings!$AK$14:$AK$36,0))/2,INDEX(Settings!$AM$14:$AM$36,MATCH($X231,Settings!$AK$14:$AK$36,0))/2),"")</f>
        <v>0.3125</v>
      </c>
      <c r="V231" s="162">
        <f t="shared" si="1343"/>
        <v>0.52</v>
      </c>
      <c r="W231" s="75">
        <v>4.1310000000000002</v>
      </c>
      <c r="X231" s="937">
        <f t="shared" si="1346"/>
        <v>1613</v>
      </c>
      <c r="AK231" s="82" t="str">
        <f t="shared" si="1347"/>
        <v>Y</v>
      </c>
      <c r="AL231" s="419" t="s">
        <v>400</v>
      </c>
    </row>
    <row r="232" spans="2:38" x14ac:dyDescent="0.25">
      <c r="B232" s="650">
        <v>-0.11885541162167537</v>
      </c>
      <c r="C232" s="651">
        <v>-5.9519313481048961</v>
      </c>
      <c r="D232" s="652">
        <v>-0.14660044214693341</v>
      </c>
      <c r="E232" s="653">
        <v>0.95741498772931211</v>
      </c>
      <c r="F232" s="651">
        <v>-0.1698373064747136</v>
      </c>
      <c r="G232" s="654">
        <v>0.23347768758640602</v>
      </c>
      <c r="H232" s="653">
        <v>0.314</v>
      </c>
      <c r="I232" s="942">
        <v>0.52</v>
      </c>
      <c r="J232" s="946">
        <v>4.1369999999999996</v>
      </c>
      <c r="K232" s="931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683"/>
      <c r="M232" s="934"/>
      <c r="N232" s="31" t="str">
        <f t="shared" si="1344"/>
        <v>Y</v>
      </c>
      <c r="O232" s="162">
        <f t="shared" si="1338"/>
        <v>-0.11885541162167537</v>
      </c>
      <c r="P232" s="162">
        <f t="shared" si="1339"/>
        <v>-5.9519313481048961</v>
      </c>
      <c r="Q232" s="162">
        <f t="shared" si="1340"/>
        <v>-0.14660044214693341</v>
      </c>
      <c r="R232" s="162">
        <f t="shared" si="1345"/>
        <v>0.95741498772931211</v>
      </c>
      <c r="S232" s="162">
        <f t="shared" si="1341"/>
        <v>-0.1698373064747136</v>
      </c>
      <c r="T232" s="162">
        <f t="shared" si="1342"/>
        <v>0.23347768758640602</v>
      </c>
      <c r="U232" s="162">
        <f>IFERROR(IF(ISNUMBER(MATCH($X232,Settings!$AK$28:$AK$36,0)),INDEX(Settings!$AO$14:$AO$36,MATCH($X232,Settings!$AK$14:$AK$36,0))/2,INDEX(Settings!$AM$14:$AM$36,MATCH($X232,Settings!$AK$14:$AK$36,0))/2),"")</f>
        <v>0.3125</v>
      </c>
      <c r="V232" s="162">
        <f t="shared" si="1343"/>
        <v>0.52</v>
      </c>
      <c r="W232" s="75">
        <v>4.1369999999999996</v>
      </c>
      <c r="X232" s="937">
        <f t="shared" si="1346"/>
        <v>1613</v>
      </c>
      <c r="AK232" s="82" t="str">
        <f t="shared" si="1347"/>
        <v>Y</v>
      </c>
      <c r="AL232" s="419" t="s">
        <v>400</v>
      </c>
    </row>
    <row r="233" spans="2:38" x14ac:dyDescent="0.25">
      <c r="B233" s="650">
        <v>-0.20535389686348715</v>
      </c>
      <c r="C233" s="651">
        <v>-6.6603550853178684</v>
      </c>
      <c r="D233" s="652">
        <v>-0.4162012552629854</v>
      </c>
      <c r="E233" s="653">
        <v>0.93976500721201517</v>
      </c>
      <c r="F233" s="651">
        <v>-0.25653158469304949</v>
      </c>
      <c r="G233" s="654">
        <v>0.22590546092264771</v>
      </c>
      <c r="H233" s="653">
        <v>0.314</v>
      </c>
      <c r="I233" s="942">
        <v>0.52</v>
      </c>
      <c r="J233" s="946">
        <v>4.1429999999999998</v>
      </c>
      <c r="K233" s="931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1613</v>
      </c>
      <c r="L233" s="683"/>
      <c r="M233" s="934"/>
      <c r="N233" s="31" t="str">
        <f t="shared" si="1344"/>
        <v>Y</v>
      </c>
      <c r="O233" s="162">
        <f t="shared" si="1338"/>
        <v>-0.20535389686348715</v>
      </c>
      <c r="P233" s="162">
        <f t="shared" si="1339"/>
        <v>-6.6603550853178684</v>
      </c>
      <c r="Q233" s="162">
        <f t="shared" si="1340"/>
        <v>-0.4162012552629854</v>
      </c>
      <c r="R233" s="162">
        <f t="shared" si="1345"/>
        <v>0.93976500721201517</v>
      </c>
      <c r="S233" s="162">
        <f t="shared" si="1341"/>
        <v>-0.25653158469304949</v>
      </c>
      <c r="T233" s="162">
        <f t="shared" si="1342"/>
        <v>0.22590546092264771</v>
      </c>
      <c r="U233" s="162">
        <f>IFERROR(IF(ISNUMBER(MATCH($X233,Settings!$AK$28:$AK$36,0)),INDEX(Settings!$AO$14:$AO$36,MATCH($X233,Settings!$AK$14:$AK$36,0))/2,INDEX(Settings!$AM$14:$AM$36,MATCH($X233,Settings!$AK$14:$AK$36,0))/2),"")</f>
        <v>0.3125</v>
      </c>
      <c r="V233" s="162">
        <f t="shared" si="1343"/>
        <v>0.52</v>
      </c>
      <c r="W233" s="75">
        <v>4.1429999999999998</v>
      </c>
      <c r="X233" s="937">
        <f t="shared" si="1346"/>
        <v>1613</v>
      </c>
      <c r="AK233" s="82" t="str">
        <f t="shared" si="1347"/>
        <v>Y</v>
      </c>
      <c r="AL233" s="419" t="s">
        <v>400</v>
      </c>
    </row>
    <row r="234" spans="2:38" x14ac:dyDescent="0.25">
      <c r="B234" s="650">
        <v>-0.3020614767152493</v>
      </c>
      <c r="C234" s="651">
        <v>-7.289065920077439</v>
      </c>
      <c r="D234" s="652">
        <v>-0.8383025283204264</v>
      </c>
      <c r="E234" s="653">
        <v>0.91298886582420025</v>
      </c>
      <c r="F234" s="651">
        <v>-0.3468876276928422</v>
      </c>
      <c r="G234" s="654">
        <v>0.21475638438629202</v>
      </c>
      <c r="H234" s="653">
        <v>0.314</v>
      </c>
      <c r="I234" s="942">
        <v>0.52</v>
      </c>
      <c r="J234" s="946">
        <v>4.149</v>
      </c>
      <c r="K234" s="931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1613</v>
      </c>
      <c r="L234" s="683"/>
      <c r="M234" s="934"/>
      <c r="N234" s="31" t="str">
        <f t="shared" si="1344"/>
        <v>Y</v>
      </c>
      <c r="O234" s="162">
        <f t="shared" si="1338"/>
        <v>-0.3020614767152493</v>
      </c>
      <c r="P234" s="162">
        <f t="shared" si="1339"/>
        <v>-7.289065920077439</v>
      </c>
      <c r="Q234" s="162">
        <f t="shared" si="1340"/>
        <v>-0.8383025283204264</v>
      </c>
      <c r="R234" s="162">
        <f t="shared" si="1345"/>
        <v>0.91298886582420025</v>
      </c>
      <c r="S234" s="162">
        <f t="shared" si="1341"/>
        <v>-0.3468876276928422</v>
      </c>
      <c r="T234" s="162">
        <f t="shared" si="1342"/>
        <v>0.21475638438629202</v>
      </c>
      <c r="U234" s="162">
        <f>IFERROR(IF(ISNUMBER(MATCH($X234,Settings!$AK$28:$AK$36,0)),INDEX(Settings!$AO$14:$AO$36,MATCH($X234,Settings!$AK$14:$AK$36,0))/2,INDEX(Settings!$AM$14:$AM$36,MATCH($X234,Settings!$AK$14:$AK$36,0))/2),"")</f>
        <v>0.3125</v>
      </c>
      <c r="V234" s="162">
        <f t="shared" si="1343"/>
        <v>0.52</v>
      </c>
      <c r="W234" s="75">
        <v>4.149</v>
      </c>
      <c r="X234" s="937">
        <f t="shared" si="1346"/>
        <v>1613</v>
      </c>
      <c r="AK234" s="82" t="str">
        <f t="shared" si="1347"/>
        <v>Y</v>
      </c>
      <c r="AL234" s="419" t="s">
        <v>400</v>
      </c>
    </row>
    <row r="235" spans="2:38" x14ac:dyDescent="0.25">
      <c r="B235" s="650">
        <v>-0.39548575791711288</v>
      </c>
      <c r="C235" s="651">
        <v>-7.8043093122122684</v>
      </c>
      <c r="D235" s="652">
        <v>-1.3909041949670531</v>
      </c>
      <c r="E235" s="653">
        <v>0.88298643869854621</v>
      </c>
      <c r="F235" s="651">
        <v>-0.43108472854537788</v>
      </c>
      <c r="G235" s="654">
        <v>0.18574419476639456</v>
      </c>
      <c r="H235" s="653">
        <v>0.314</v>
      </c>
      <c r="I235" s="942">
        <v>0.52</v>
      </c>
      <c r="J235" s="946">
        <v>4.1550000000000002</v>
      </c>
      <c r="K235" s="931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1613</v>
      </c>
      <c r="L235" s="683"/>
      <c r="M235" s="934"/>
      <c r="N235" s="31" t="str">
        <f t="shared" si="1344"/>
        <v>Y</v>
      </c>
      <c r="O235" s="162">
        <f t="shared" si="1338"/>
        <v>-0.39548575791711288</v>
      </c>
      <c r="P235" s="162">
        <f t="shared" si="1339"/>
        <v>-7.8043093122122684</v>
      </c>
      <c r="Q235" s="162">
        <f t="shared" si="1340"/>
        <v>-1.3909041949670531</v>
      </c>
      <c r="R235" s="162">
        <f t="shared" si="1345"/>
        <v>0.88298643869854621</v>
      </c>
      <c r="S235" s="162">
        <f t="shared" si="1341"/>
        <v>-0.43108472854537788</v>
      </c>
      <c r="T235" s="162">
        <f t="shared" si="1342"/>
        <v>0.18574419476639456</v>
      </c>
      <c r="U235" s="162">
        <f>IFERROR(IF(ISNUMBER(MATCH($X235,Settings!$AK$28:$AK$36,0)),INDEX(Settings!$AO$14:$AO$36,MATCH($X235,Settings!$AK$14:$AK$36,0))/2,INDEX(Settings!$AM$14:$AM$36,MATCH($X235,Settings!$AK$14:$AK$36,0))/2),"")</f>
        <v>0.3125</v>
      </c>
      <c r="V235" s="162">
        <f t="shared" si="1343"/>
        <v>0.52</v>
      </c>
      <c r="W235" s="75">
        <v>4.1550000000000002</v>
      </c>
      <c r="X235" s="937">
        <f t="shared" si="1346"/>
        <v>1613</v>
      </c>
      <c r="AK235" s="82" t="str">
        <f t="shared" si="1347"/>
        <v>Y</v>
      </c>
      <c r="AL235" s="419" t="s">
        <v>400</v>
      </c>
    </row>
    <row r="236" spans="2:38" x14ac:dyDescent="0.25">
      <c r="B236" s="650">
        <v>-0.47277408399957294</v>
      </c>
      <c r="C236" s="651">
        <v>-8.1844812713498882</v>
      </c>
      <c r="D236" s="652">
        <v>-2.0468061731674192</v>
      </c>
      <c r="E236" s="653">
        <v>0.84317157380989283</v>
      </c>
      <c r="F236" s="651">
        <v>-0.51607161010489422</v>
      </c>
      <c r="G236" s="654">
        <v>0.150770654845997</v>
      </c>
      <c r="H236" s="653">
        <v>0.314</v>
      </c>
      <c r="I236" s="942">
        <v>0.52</v>
      </c>
      <c r="J236" s="946">
        <v>4.1609999999999996</v>
      </c>
      <c r="K236" s="931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1613</v>
      </c>
      <c r="L236" s="683"/>
      <c r="M236" s="934"/>
      <c r="N236" s="31" t="str">
        <f t="shared" si="1344"/>
        <v>Y</v>
      </c>
      <c r="O236" s="162">
        <f t="shared" si="1338"/>
        <v>-0.47277408399957294</v>
      </c>
      <c r="P236" s="162">
        <f t="shared" si="1339"/>
        <v>-8.1844812713498882</v>
      </c>
      <c r="Q236" s="162">
        <f t="shared" si="1340"/>
        <v>-2.0468061731674192</v>
      </c>
      <c r="R236" s="162">
        <f t="shared" si="1345"/>
        <v>0.84317157380989283</v>
      </c>
      <c r="S236" s="162">
        <f t="shared" si="1341"/>
        <v>-0.51607161010489422</v>
      </c>
      <c r="T236" s="162">
        <f t="shared" si="1342"/>
        <v>0.150770654845997</v>
      </c>
      <c r="U236" s="162">
        <f>IFERROR(IF(ISNUMBER(MATCH($X236,Settings!$AK$28:$AK$36,0)),INDEX(Settings!$AO$14:$AO$36,MATCH($X236,Settings!$AK$14:$AK$36,0))/2,INDEX(Settings!$AM$14:$AM$36,MATCH($X236,Settings!$AK$14:$AK$36,0))/2),"")</f>
        <v>0.3125</v>
      </c>
      <c r="V236" s="162">
        <f t="shared" si="1343"/>
        <v>0.52</v>
      </c>
      <c r="W236" s="75">
        <v>4.1609999999999996</v>
      </c>
      <c r="X236" s="937">
        <f t="shared" si="1346"/>
        <v>1613</v>
      </c>
      <c r="AK236" s="82" t="str">
        <f t="shared" si="1347"/>
        <v>Y</v>
      </c>
      <c r="AL236" s="419" t="s">
        <v>400</v>
      </c>
    </row>
    <row r="237" spans="2:38" x14ac:dyDescent="0.25">
      <c r="B237" s="650">
        <v>-0.52043462847663213</v>
      </c>
      <c r="C237" s="651">
        <v>-8.4031246572475808</v>
      </c>
      <c r="D237" s="652">
        <v>-2.7738083658060328</v>
      </c>
      <c r="E237" s="653">
        <v>0.81100486339030819</v>
      </c>
      <c r="F237" s="651">
        <v>-0.57803612456465836</v>
      </c>
      <c r="G237" s="654">
        <v>9.0251594199429269E-2</v>
      </c>
      <c r="H237" s="653">
        <v>0.314</v>
      </c>
      <c r="I237" s="942">
        <v>0.52</v>
      </c>
      <c r="J237" s="946">
        <v>4.1669999999999998</v>
      </c>
      <c r="K237" s="931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1613</v>
      </c>
      <c r="L237" s="683"/>
      <c r="M237" s="934"/>
      <c r="N237" s="31" t="str">
        <f t="shared" si="1344"/>
        <v>Y</v>
      </c>
      <c r="O237" s="162">
        <f t="shared" si="1338"/>
        <v>-0.52043462847663213</v>
      </c>
      <c r="P237" s="162">
        <f t="shared" si="1339"/>
        <v>-8.4031246572475808</v>
      </c>
      <c r="Q237" s="162">
        <f t="shared" si="1340"/>
        <v>-2.7738083658060328</v>
      </c>
      <c r="R237" s="162">
        <f t="shared" si="1345"/>
        <v>0.81100486339030819</v>
      </c>
      <c r="S237" s="162">
        <f t="shared" si="1341"/>
        <v>-0.57803612456465836</v>
      </c>
      <c r="T237" s="162">
        <f t="shared" si="1342"/>
        <v>9.0251594199429269E-2</v>
      </c>
      <c r="U237" s="162">
        <f>IFERROR(IF(ISNUMBER(MATCH($X237,Settings!$AK$28:$AK$36,0)),INDEX(Settings!$AO$14:$AO$36,MATCH($X237,Settings!$AK$14:$AK$36,0))/2,INDEX(Settings!$AM$14:$AM$36,MATCH($X237,Settings!$AK$14:$AK$36,0))/2),"")</f>
        <v>0.3125</v>
      </c>
      <c r="V237" s="162">
        <f t="shared" si="1343"/>
        <v>0.52</v>
      </c>
      <c r="W237" s="75">
        <v>4.1669999999999998</v>
      </c>
      <c r="X237" s="937">
        <f t="shared" si="1346"/>
        <v>1613</v>
      </c>
      <c r="AK237" s="82" t="str">
        <f t="shared" si="1347"/>
        <v>Y</v>
      </c>
      <c r="AL237" s="419" t="s">
        <v>9</v>
      </c>
    </row>
    <row r="238" spans="2:38" x14ac:dyDescent="0.25">
      <c r="B238" s="650">
        <v>-0.53376306507338744</v>
      </c>
      <c r="C238" s="651">
        <v>-8.4627094334325665</v>
      </c>
      <c r="D238" s="652">
        <v>-3.5250106314320635</v>
      </c>
      <c r="E238" s="653">
        <v>0.76998104431730519</v>
      </c>
      <c r="F238" s="651">
        <v>-0.63734388624455507</v>
      </c>
      <c r="G238" s="654">
        <v>3.0363828130194476E-2</v>
      </c>
      <c r="H238" s="653">
        <v>0.314</v>
      </c>
      <c r="I238" s="942">
        <v>0.52</v>
      </c>
      <c r="J238" s="946">
        <v>4.173</v>
      </c>
      <c r="K238" s="931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683"/>
      <c r="M238" s="934"/>
      <c r="N238" s="31" t="str">
        <f t="shared" si="1344"/>
        <v>Y</v>
      </c>
      <c r="O238" s="162">
        <f t="shared" si="1338"/>
        <v>-0.53376306507338744</v>
      </c>
      <c r="P238" s="162">
        <f t="shared" si="1339"/>
        <v>-8.4627094334325665</v>
      </c>
      <c r="Q238" s="162">
        <f t="shared" si="1340"/>
        <v>-3.5250106314320635</v>
      </c>
      <c r="R238" s="162">
        <f t="shared" si="1345"/>
        <v>0.76998104431730519</v>
      </c>
      <c r="S238" s="162">
        <f t="shared" si="1341"/>
        <v>-0.63734388624455507</v>
      </c>
      <c r="T238" s="162">
        <f t="shared" si="1342"/>
        <v>3.0363828130194476E-2</v>
      </c>
      <c r="U238" s="162">
        <f>IFERROR(IF(ISNUMBER(MATCH($X238,Settings!$AK$28:$AK$36,0)),INDEX(Settings!$AO$14:$AO$36,MATCH($X238,Settings!$AK$14:$AK$36,0))/2,INDEX(Settings!$AM$14:$AM$36,MATCH($X238,Settings!$AK$14:$AK$36,0))/2),"")</f>
        <v>0.3125</v>
      </c>
      <c r="V238" s="162">
        <f t="shared" si="1343"/>
        <v>0.52</v>
      </c>
      <c r="W238" s="75">
        <v>4.173</v>
      </c>
      <c r="X238" s="937">
        <f t="shared" si="1346"/>
        <v>1613</v>
      </c>
      <c r="AK238" s="82" t="str">
        <f t="shared" si="1347"/>
        <v>Y</v>
      </c>
      <c r="AL238" s="419" t="s">
        <v>9</v>
      </c>
    </row>
    <row r="239" spans="2:38" x14ac:dyDescent="0.25">
      <c r="B239" s="650">
        <v>-0.54757613482376521</v>
      </c>
      <c r="C239" s="651">
        <v>-8.5230539552317328</v>
      </c>
      <c r="D239" s="652">
        <v>-4.2808129109317399</v>
      </c>
      <c r="E239" s="653">
        <v>0.7232565546288473</v>
      </c>
      <c r="F239" s="651">
        <v>-0.6905794351024277</v>
      </c>
      <c r="G239" s="654">
        <v>1.457809320388035E-7</v>
      </c>
      <c r="H239" s="653">
        <v>0.314</v>
      </c>
      <c r="I239" s="942">
        <v>0.52</v>
      </c>
      <c r="J239" s="946">
        <v>4.1790000000000003</v>
      </c>
      <c r="K239" s="931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683"/>
      <c r="M239" s="934"/>
      <c r="N239" s="31" t="str">
        <f t="shared" si="1344"/>
        <v>Y</v>
      </c>
      <c r="O239" s="162">
        <f t="shared" si="1338"/>
        <v>-0.54757613482376521</v>
      </c>
      <c r="P239" s="162">
        <f t="shared" si="1339"/>
        <v>-8.5230539552317328</v>
      </c>
      <c r="Q239" s="162">
        <f t="shared" si="1340"/>
        <v>-4.2808129109317399</v>
      </c>
      <c r="R239" s="162">
        <f t="shared" si="1345"/>
        <v>0.7232565546288473</v>
      </c>
      <c r="S239" s="162">
        <f t="shared" si="1341"/>
        <v>-0.6905794351024277</v>
      </c>
      <c r="T239" s="162">
        <f t="shared" si="1342"/>
        <v>1.457809320388035E-7</v>
      </c>
      <c r="U239" s="162">
        <f>IFERROR(IF(ISNUMBER(MATCH($X239,Settings!$AK$28:$AK$36,0)),INDEX(Settings!$AO$14:$AO$36,MATCH($X239,Settings!$AK$14:$AK$36,0))/2,INDEX(Settings!$AM$14:$AM$36,MATCH($X239,Settings!$AK$14:$AK$36,0))/2),"")</f>
        <v>0.3125</v>
      </c>
      <c r="V239" s="162">
        <f t="shared" si="1343"/>
        <v>0.52</v>
      </c>
      <c r="W239" s="75">
        <v>4.1790000000000003</v>
      </c>
      <c r="X239" s="937">
        <f t="shared" si="1346"/>
        <v>1613</v>
      </c>
      <c r="AK239" s="82" t="str">
        <f t="shared" si="1347"/>
        <v>Y</v>
      </c>
      <c r="AL239" s="419" t="s">
        <v>9</v>
      </c>
    </row>
    <row r="240" spans="2:38" x14ac:dyDescent="0.25">
      <c r="B240" s="650">
        <v>-1.1128216332335295</v>
      </c>
      <c r="C240" s="651">
        <v>-5.0867121560053432</v>
      </c>
      <c r="D240" s="652">
        <v>-2.1200018699256432E-2</v>
      </c>
      <c r="E240" s="653">
        <v>-5.9670735111285612E-3</v>
      </c>
      <c r="F240" s="651">
        <v>-2.7276578189106841E-2</v>
      </c>
      <c r="G240" s="654">
        <v>0.99961011515290632</v>
      </c>
      <c r="H240" s="653">
        <v>0.25700000000000001</v>
      </c>
      <c r="I240" s="942">
        <v>0.41499999999999992</v>
      </c>
      <c r="J240" s="946">
        <v>4.2309999999999999</v>
      </c>
      <c r="K240" s="931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CPS-32193r1</v>
      </c>
      <c r="L240" s="683"/>
      <c r="M240" s="934"/>
      <c r="N240" s="31" t="str">
        <f t="shared" si="1344"/>
        <v>Y</v>
      </c>
      <c r="O240" s="162">
        <f t="shared" si="1338"/>
        <v>-1.1128216332335295</v>
      </c>
      <c r="P240" s="162">
        <f t="shared" si="1339"/>
        <v>-5.0867121560053432</v>
      </c>
      <c r="Q240" s="162">
        <f t="shared" si="1340"/>
        <v>-2.1200018699256432E-2</v>
      </c>
      <c r="R240" s="162">
        <f t="shared" si="1345"/>
        <v>-5.9670735111285612E-3</v>
      </c>
      <c r="S240" s="162">
        <f t="shared" si="1341"/>
        <v>-2.7276578189106841E-2</v>
      </c>
      <c r="T240" s="162">
        <f t="shared" si="1342"/>
        <v>0.99961011515290632</v>
      </c>
      <c r="U240" s="162">
        <f>IFERROR(IF(ISNUMBER(MATCH($X240,Settings!$AK$28:$AK$36,0)),INDEX(Settings!$AO$14:$AO$36,MATCH($X240,Settings!$AK$14:$AK$36,0))/2,INDEX(Settings!$AM$14:$AM$36,MATCH($X240,Settings!$AK$14:$AK$36,0))/2),"")</f>
        <v>0.255</v>
      </c>
      <c r="V240" s="162">
        <f t="shared" si="1343"/>
        <v>0.41499999999999992</v>
      </c>
      <c r="W240" s="75">
        <v>4.2309999999999999</v>
      </c>
      <c r="X240" s="937" t="str">
        <f t="shared" si="1346"/>
        <v>CPS-32193r1</v>
      </c>
      <c r="AK240" s="82" t="str">
        <f t="shared" si="1347"/>
        <v>Y</v>
      </c>
      <c r="AL240" s="419" t="s">
        <v>9</v>
      </c>
    </row>
    <row r="241" spans="2:38" x14ac:dyDescent="0.25">
      <c r="B241" s="650">
        <v>-1.30409896687732</v>
      </c>
      <c r="C241" s="651">
        <v>-5.8336303601779242</v>
      </c>
      <c r="D241" s="652">
        <v>-0.13140035106345899</v>
      </c>
      <c r="E241" s="653">
        <v>-4.0505479367291007E-2</v>
      </c>
      <c r="F241" s="651">
        <v>-0.18119433868555587</v>
      </c>
      <c r="G241" s="654">
        <v>0.98261280154979158</v>
      </c>
      <c r="H241" s="653">
        <v>0.25700000000000001</v>
      </c>
      <c r="I241" s="942">
        <v>0.41499999999999992</v>
      </c>
      <c r="J241" s="946">
        <v>4.2370000000000001</v>
      </c>
      <c r="K241" s="931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CPS-32193r1</v>
      </c>
      <c r="L241" s="683"/>
      <c r="M241" s="934"/>
      <c r="N241" s="31" t="str">
        <f t="shared" si="1344"/>
        <v>Y</v>
      </c>
      <c r="O241" s="162">
        <f t="shared" si="1338"/>
        <v>-1.30409896687732</v>
      </c>
      <c r="P241" s="162">
        <f t="shared" si="1339"/>
        <v>-5.8336303601779242</v>
      </c>
      <c r="Q241" s="162">
        <f t="shared" si="1340"/>
        <v>-0.13140035106345899</v>
      </c>
      <c r="R241" s="162">
        <f t="shared" si="1345"/>
        <v>-4.0505479367291007E-2</v>
      </c>
      <c r="S241" s="162">
        <f t="shared" si="1341"/>
        <v>-0.18119433868555587</v>
      </c>
      <c r="T241" s="162">
        <f t="shared" si="1342"/>
        <v>0.98261280154979158</v>
      </c>
      <c r="U241" s="162">
        <f>IFERROR(IF(ISNUMBER(MATCH($X241,Settings!$AK$28:$AK$36,0)),INDEX(Settings!$AO$14:$AO$36,MATCH($X241,Settings!$AK$14:$AK$36,0))/2,INDEX(Settings!$AM$14:$AM$36,MATCH($X241,Settings!$AK$14:$AK$36,0))/2),"")</f>
        <v>0.255</v>
      </c>
      <c r="V241" s="162">
        <f t="shared" si="1343"/>
        <v>0.41499999999999992</v>
      </c>
      <c r="W241" s="75">
        <v>4.2370000000000001</v>
      </c>
      <c r="X241" s="937" t="str">
        <f t="shared" si="1346"/>
        <v>CPS-32193r1</v>
      </c>
      <c r="AK241" s="82" t="str">
        <f t="shared" si="1347"/>
        <v>Y</v>
      </c>
      <c r="AL241" s="419" t="s">
        <v>9</v>
      </c>
    </row>
    <row r="242" spans="2:38" x14ac:dyDescent="0.25">
      <c r="B242" s="650">
        <v>-1.3333249464114145</v>
      </c>
      <c r="C242" s="651">
        <v>-6.5611185637482494</v>
      </c>
      <c r="D242" s="652">
        <v>-0.39135392435490823</v>
      </c>
      <c r="E242" s="653">
        <v>0.84027388367270617</v>
      </c>
      <c r="F242" s="651">
        <v>-0.46230365785182237</v>
      </c>
      <c r="G242" s="654">
        <v>0.28322275394892393</v>
      </c>
      <c r="H242" s="653">
        <v>0.26600000000000001</v>
      </c>
      <c r="I242" s="942">
        <v>0.52</v>
      </c>
      <c r="J242" s="946">
        <v>4.2430000000000003</v>
      </c>
      <c r="K242" s="931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1313</v>
      </c>
      <c r="L242" s="683"/>
      <c r="M242" s="934"/>
      <c r="N242" s="31" t="str">
        <f t="shared" si="1344"/>
        <v>Y</v>
      </c>
      <c r="O242" s="162">
        <f t="shared" si="1338"/>
        <v>-1.3333249464114145</v>
      </c>
      <c r="P242" s="162">
        <f t="shared" si="1339"/>
        <v>-6.5611185637482494</v>
      </c>
      <c r="Q242" s="162">
        <f t="shared" si="1340"/>
        <v>-0.39135392435490823</v>
      </c>
      <c r="R242" s="162">
        <f t="shared" si="1345"/>
        <v>0.84027388367270617</v>
      </c>
      <c r="S242" s="162">
        <f t="shared" si="1341"/>
        <v>-0.46230365785182237</v>
      </c>
      <c r="T242" s="162">
        <f t="shared" si="1342"/>
        <v>0.28322275394892393</v>
      </c>
      <c r="U242" s="162">
        <f>IFERROR(IF(ISNUMBER(MATCH($X242,Settings!$AK$28:$AK$36,0)),INDEX(Settings!$AO$14:$AO$36,MATCH($X242,Settings!$AK$14:$AK$36,0))/2,INDEX(Settings!$AM$14:$AM$36,MATCH($X242,Settings!$AK$14:$AK$36,0))/2),"")</f>
        <v>0.26450000000000001</v>
      </c>
      <c r="V242" s="162">
        <f t="shared" si="1343"/>
        <v>0.52</v>
      </c>
      <c r="W242" s="75">
        <v>4.2430000000000003</v>
      </c>
      <c r="X242" s="937">
        <f t="shared" si="1346"/>
        <v>1313</v>
      </c>
      <c r="AK242" s="82" t="str">
        <f t="shared" si="1347"/>
        <v>Y</v>
      </c>
      <c r="AL242" s="419" t="s">
        <v>9</v>
      </c>
    </row>
    <row r="243" spans="2:38" x14ac:dyDescent="0.25">
      <c r="B243" s="650">
        <v>-1.5803411165796617</v>
      </c>
      <c r="C243" s="651">
        <v>-7.1600857704644412</v>
      </c>
      <c r="D243" s="652">
        <v>-0.81938558290575836</v>
      </c>
      <c r="E243" s="653">
        <v>0.78840369196039128</v>
      </c>
      <c r="F243" s="651">
        <v>-0.5574894479709801</v>
      </c>
      <c r="G243" s="654">
        <v>0.26004832993933369</v>
      </c>
      <c r="H243" s="653">
        <v>0.26600000000000001</v>
      </c>
      <c r="I243" s="942">
        <v>0.52</v>
      </c>
      <c r="J243" s="946">
        <v>4.2489999999999997</v>
      </c>
      <c r="K243" s="931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1313</v>
      </c>
      <c r="L243" s="683"/>
      <c r="M243" s="934"/>
      <c r="N243" s="31" t="str">
        <f t="shared" si="1344"/>
        <v>Y</v>
      </c>
      <c r="O243" s="162">
        <f t="shared" si="1338"/>
        <v>-1.5803411165796617</v>
      </c>
      <c r="P243" s="162">
        <f t="shared" si="1339"/>
        <v>-7.1600857704644412</v>
      </c>
      <c r="Q243" s="162">
        <f t="shared" si="1340"/>
        <v>-0.81938558290575836</v>
      </c>
      <c r="R243" s="162">
        <f t="shared" si="1345"/>
        <v>0.78840369196039128</v>
      </c>
      <c r="S243" s="162">
        <f t="shared" si="1341"/>
        <v>-0.5574894479709801</v>
      </c>
      <c r="T243" s="162">
        <f t="shared" si="1342"/>
        <v>0.26004832993933369</v>
      </c>
      <c r="U243" s="162">
        <f>IFERROR(IF(ISNUMBER(MATCH($X243,Settings!$AK$28:$AK$36,0)),INDEX(Settings!$AO$14:$AO$36,MATCH($X243,Settings!$AK$14:$AK$36,0))/2,INDEX(Settings!$AM$14:$AM$36,MATCH($X243,Settings!$AK$14:$AK$36,0))/2),"")</f>
        <v>0.26450000000000001</v>
      </c>
      <c r="V243" s="162">
        <f t="shared" si="1343"/>
        <v>0.52</v>
      </c>
      <c r="W243" s="75">
        <v>4.2489999999999997</v>
      </c>
      <c r="X243" s="937">
        <f t="shared" si="1346"/>
        <v>1313</v>
      </c>
      <c r="AK243" s="82" t="str">
        <f t="shared" si="1347"/>
        <v>Y</v>
      </c>
      <c r="AL243" s="419" t="s">
        <v>9</v>
      </c>
    </row>
    <row r="244" spans="2:38" x14ac:dyDescent="0.25">
      <c r="B244" s="650">
        <v>-1.8309604752415383</v>
      </c>
      <c r="C244" s="651">
        <v>-7.6389862632809864</v>
      </c>
      <c r="D244" s="652">
        <v>-1.3783470574313086</v>
      </c>
      <c r="E244" s="653">
        <v>0.73259623588228528</v>
      </c>
      <c r="F244" s="651">
        <v>-0.64440215145993129</v>
      </c>
      <c r="G244" s="654">
        <v>0.21919995977399059</v>
      </c>
      <c r="H244" s="653">
        <v>0.26600000000000001</v>
      </c>
      <c r="I244" s="942">
        <v>0.52</v>
      </c>
      <c r="J244" s="946">
        <v>4.2549999999999999</v>
      </c>
      <c r="K244" s="931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1313</v>
      </c>
      <c r="L244" s="683"/>
      <c r="M244" s="934"/>
      <c r="N244" s="31" t="str">
        <f t="shared" si="1344"/>
        <v>Y</v>
      </c>
      <c r="O244" s="162">
        <f t="shared" si="1338"/>
        <v>-1.8309604752415383</v>
      </c>
      <c r="P244" s="162">
        <f t="shared" si="1339"/>
        <v>-7.6389862632809864</v>
      </c>
      <c r="Q244" s="162">
        <f t="shared" si="1340"/>
        <v>-1.3783470574313086</v>
      </c>
      <c r="R244" s="162">
        <f t="shared" si="1345"/>
        <v>0.73259623588228528</v>
      </c>
      <c r="S244" s="162">
        <f t="shared" si="1341"/>
        <v>-0.64440215145993129</v>
      </c>
      <c r="T244" s="162">
        <f t="shared" si="1342"/>
        <v>0.21919995977399059</v>
      </c>
      <c r="U244" s="162">
        <f>IFERROR(IF(ISNUMBER(MATCH($X244,Settings!$AK$28:$AK$36,0)),INDEX(Settings!$AO$14:$AO$36,MATCH($X244,Settings!$AK$14:$AK$36,0))/2,INDEX(Settings!$AM$14:$AM$36,MATCH($X244,Settings!$AK$14:$AK$36,0))/2),"")</f>
        <v>0.26450000000000001</v>
      </c>
      <c r="V244" s="162">
        <f t="shared" si="1343"/>
        <v>0.52</v>
      </c>
      <c r="W244" s="75">
        <v>4.2549999999999999</v>
      </c>
      <c r="X244" s="937">
        <f t="shared" si="1346"/>
        <v>1313</v>
      </c>
      <c r="AK244" s="82" t="str">
        <f t="shared" si="1347"/>
        <v>Y</v>
      </c>
      <c r="AL244" s="419" t="s">
        <v>400</v>
      </c>
    </row>
    <row r="245" spans="2:38" x14ac:dyDescent="0.25">
      <c r="B245" s="650">
        <v>-2.0713000278805955</v>
      </c>
      <c r="C245" s="651">
        <v>-7.9771469049519386</v>
      </c>
      <c r="D245" s="652">
        <v>-2.0403443216809434</v>
      </c>
      <c r="E245" s="653">
        <v>0.66350194172684074</v>
      </c>
      <c r="F245" s="651">
        <v>-0.72776686777126909</v>
      </c>
      <c r="G245" s="654">
        <v>0.17355275710604071</v>
      </c>
      <c r="H245" s="653">
        <v>0.26600000000000001</v>
      </c>
      <c r="I245" s="942">
        <v>0.52</v>
      </c>
      <c r="J245" s="946">
        <v>4.2610000000000001</v>
      </c>
      <c r="K245" s="931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1313</v>
      </c>
      <c r="L245" s="683"/>
      <c r="M245" s="934"/>
      <c r="N245" s="31" t="str">
        <f t="shared" si="1344"/>
        <v>Y</v>
      </c>
      <c r="O245" s="162">
        <f t="shared" si="1338"/>
        <v>-2.0713000278805955</v>
      </c>
      <c r="P245" s="162">
        <f t="shared" si="1339"/>
        <v>-7.9771469049519386</v>
      </c>
      <c r="Q245" s="162">
        <f t="shared" si="1340"/>
        <v>-2.0403443216809434</v>
      </c>
      <c r="R245" s="162">
        <f t="shared" si="1345"/>
        <v>0.66350194172684074</v>
      </c>
      <c r="S245" s="162">
        <f t="shared" si="1341"/>
        <v>-0.72776686777126909</v>
      </c>
      <c r="T245" s="162">
        <f t="shared" si="1342"/>
        <v>0.17355275710604071</v>
      </c>
      <c r="U245" s="162">
        <f>IFERROR(IF(ISNUMBER(MATCH($X245,Settings!$AK$28:$AK$36,0)),INDEX(Settings!$AO$14:$AO$36,MATCH($X245,Settings!$AK$14:$AK$36,0))/2,INDEX(Settings!$AM$14:$AM$36,MATCH($X245,Settings!$AK$14:$AK$36,0))/2),"")</f>
        <v>0.26450000000000001</v>
      </c>
      <c r="V245" s="162">
        <f t="shared" si="1343"/>
        <v>0.52</v>
      </c>
      <c r="W245" s="75">
        <v>4.2610000000000001</v>
      </c>
      <c r="X245" s="937">
        <f t="shared" si="1346"/>
        <v>1313</v>
      </c>
      <c r="AK245" s="82" t="str">
        <f t="shared" si="1347"/>
        <v>Y</v>
      </c>
      <c r="AL245" s="419" t="s">
        <v>400</v>
      </c>
    </row>
    <row r="246" spans="2:38" x14ac:dyDescent="0.25">
      <c r="B246" s="650">
        <v>-2.3555296755868484</v>
      </c>
      <c r="C246" s="651">
        <v>-8.0837156214235879</v>
      </c>
      <c r="D246" s="652">
        <v>-2.7863713442499449</v>
      </c>
      <c r="E246" s="653">
        <v>-0.232473418410964</v>
      </c>
      <c r="F246" s="651">
        <v>-0.79780396525243324</v>
      </c>
      <c r="G246" s="654">
        <v>0.5562957331849806</v>
      </c>
      <c r="H246" s="653">
        <v>0.25700000000000001</v>
      </c>
      <c r="I246" s="942">
        <v>0.41499999999999992</v>
      </c>
      <c r="J246" s="946">
        <v>4.2670000000000003</v>
      </c>
      <c r="K246" s="931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CPS-32193r1</v>
      </c>
      <c r="L246" s="683"/>
      <c r="M246" s="934"/>
      <c r="N246" s="31" t="str">
        <f t="shared" si="1344"/>
        <v>Y</v>
      </c>
      <c r="O246" s="162">
        <f t="shared" si="1338"/>
        <v>-2.3555296755868484</v>
      </c>
      <c r="P246" s="162">
        <f t="shared" si="1339"/>
        <v>-8.0837156214235879</v>
      </c>
      <c r="Q246" s="162">
        <f t="shared" si="1340"/>
        <v>-2.7863713442499449</v>
      </c>
      <c r="R246" s="162">
        <f t="shared" si="1345"/>
        <v>-0.232473418410964</v>
      </c>
      <c r="S246" s="162">
        <f t="shared" si="1341"/>
        <v>-0.79780396525243324</v>
      </c>
      <c r="T246" s="162">
        <f t="shared" si="1342"/>
        <v>0.5562957331849806</v>
      </c>
      <c r="U246" s="162">
        <f>IFERROR(IF(ISNUMBER(MATCH($X246,Settings!$AK$28:$AK$36,0)),INDEX(Settings!$AO$14:$AO$36,MATCH($X246,Settings!$AK$14:$AK$36,0))/2,INDEX(Settings!$AM$14:$AM$36,MATCH($X246,Settings!$AK$14:$AK$36,0))/2),"")</f>
        <v>0.255</v>
      </c>
      <c r="V246" s="162">
        <f t="shared" si="1343"/>
        <v>0.41499999999999992</v>
      </c>
      <c r="W246" s="75">
        <v>4.2670000000000003</v>
      </c>
      <c r="X246" s="937" t="str">
        <f t="shared" si="1346"/>
        <v>CPS-32193r1</v>
      </c>
      <c r="AK246" s="82" t="str">
        <f t="shared" si="1347"/>
        <v>Y</v>
      </c>
      <c r="AL246" s="419" t="s">
        <v>400</v>
      </c>
    </row>
    <row r="247" spans="2:38" x14ac:dyDescent="0.25">
      <c r="B247" s="650">
        <v>-2.4939218658809792</v>
      </c>
      <c r="C247" s="651">
        <v>-8.092597215121744</v>
      </c>
      <c r="D247" s="652">
        <v>-3.5385368435828539</v>
      </c>
      <c r="E247" s="653">
        <v>-0.26691254448418311</v>
      </c>
      <c r="F247" s="651">
        <v>-0.86611279459720736</v>
      </c>
      <c r="G247" s="654">
        <v>0.4226184101905579</v>
      </c>
      <c r="H247" s="653">
        <v>0.25700000000000001</v>
      </c>
      <c r="I247" s="942">
        <v>0.41499999999999992</v>
      </c>
      <c r="J247" s="946">
        <v>4.2729999999999997</v>
      </c>
      <c r="K247" s="931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683"/>
      <c r="M247" s="934"/>
      <c r="N247" s="31" t="str">
        <f t="shared" si="1344"/>
        <v>Y</v>
      </c>
      <c r="O247" s="162">
        <f t="shared" si="1338"/>
        <v>-2.4939218658809792</v>
      </c>
      <c r="P247" s="162">
        <f t="shared" si="1339"/>
        <v>-8.092597215121744</v>
      </c>
      <c r="Q247" s="162">
        <f t="shared" si="1340"/>
        <v>-3.5385368435828539</v>
      </c>
      <c r="R247" s="162">
        <f t="shared" si="1345"/>
        <v>-0.26691254448418311</v>
      </c>
      <c r="S247" s="162">
        <f t="shared" si="1341"/>
        <v>-0.86611279459720736</v>
      </c>
      <c r="T247" s="162">
        <f t="shared" si="1342"/>
        <v>0.4226184101905579</v>
      </c>
      <c r="U247" s="162">
        <f>IFERROR(IF(ISNUMBER(MATCH($X247,Settings!$AK$28:$AK$36,0)),INDEX(Settings!$AO$14:$AO$36,MATCH($X247,Settings!$AK$14:$AK$36,0))/2,INDEX(Settings!$AM$14:$AM$36,MATCH($X247,Settings!$AK$14:$AK$36,0))/2),"")</f>
        <v>0.255</v>
      </c>
      <c r="V247" s="162">
        <f t="shared" si="1343"/>
        <v>0.41499999999999992</v>
      </c>
      <c r="W247" s="75">
        <v>4.2729999999999997</v>
      </c>
      <c r="X247" s="937" t="str">
        <f t="shared" si="1346"/>
        <v>CPS-32193r1</v>
      </c>
      <c r="AK247" s="82" t="str">
        <f t="shared" si="1347"/>
        <v>Y</v>
      </c>
      <c r="AL247" s="419" t="s">
        <v>400</v>
      </c>
    </row>
    <row r="248" spans="2:38" x14ac:dyDescent="0.25">
      <c r="B248" s="650">
        <v>-0.48346499466978687</v>
      </c>
      <c r="C248" s="651">
        <v>-0.33852583372830186</v>
      </c>
      <c r="D248" s="652">
        <v>-1.1396034370439658</v>
      </c>
      <c r="E248" s="653">
        <v>0.61149796036098536</v>
      </c>
      <c r="F248" s="651">
        <v>-0.71897739125746807</v>
      </c>
      <c r="G248" s="654">
        <v>0.33036609289538266</v>
      </c>
      <c r="H248" s="653">
        <v>0.314</v>
      </c>
      <c r="I248" s="942">
        <v>0.52</v>
      </c>
      <c r="J248" s="946">
        <v>5.1020000000000003</v>
      </c>
      <c r="K248" s="931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1613</v>
      </c>
      <c r="L248" s="683"/>
      <c r="M248" s="934"/>
      <c r="N248" s="31" t="str">
        <f t="shared" si="1344"/>
        <v>Y</v>
      </c>
      <c r="O248" s="162">
        <f t="shared" si="1338"/>
        <v>-0.48346499466978687</v>
      </c>
      <c r="P248" s="162">
        <f t="shared" si="1339"/>
        <v>-0.33852583372830186</v>
      </c>
      <c r="Q248" s="162">
        <f t="shared" si="1340"/>
        <v>-1.1396034370439658</v>
      </c>
      <c r="R248" s="162">
        <f t="shared" si="1345"/>
        <v>0.61149796036098536</v>
      </c>
      <c r="S248" s="162">
        <f t="shared" si="1341"/>
        <v>-0.71897739125746807</v>
      </c>
      <c r="T248" s="162">
        <f t="shared" si="1342"/>
        <v>0.33036609289538266</v>
      </c>
      <c r="U248" s="162">
        <f>IFERROR(IF(ISNUMBER(MATCH($X248,Settings!$AK$28:$AK$36,0)),INDEX(Settings!$AO$14:$AO$36,MATCH($X248,Settings!$AK$14:$AK$36,0))/2,INDEX(Settings!$AM$14:$AM$36,MATCH($X248,Settings!$AK$14:$AK$36,0))/2),"")</f>
        <v>0.3125</v>
      </c>
      <c r="V248" s="162">
        <f t="shared" si="1343"/>
        <v>0.52</v>
      </c>
      <c r="W248" s="75">
        <v>5.1020000000000003</v>
      </c>
      <c r="X248" s="937">
        <f t="shared" si="1346"/>
        <v>1613</v>
      </c>
      <c r="AK248" s="82" t="str">
        <f t="shared" si="1347"/>
        <v>Y</v>
      </c>
      <c r="AL248" s="419" t="s">
        <v>400</v>
      </c>
    </row>
    <row r="249" spans="2:38" x14ac:dyDescent="0.25">
      <c r="B249" s="650">
        <v>-1.0911138137921994</v>
      </c>
      <c r="C249" s="651">
        <v>-0.76400611746204394</v>
      </c>
      <c r="D249" s="652">
        <v>-0.94080283746135751</v>
      </c>
      <c r="E249" s="653">
        <v>0.6089050655384618</v>
      </c>
      <c r="F249" s="651">
        <v>-0.75281779836100626</v>
      </c>
      <c r="G249" s="654">
        <v>0.24999996726497573</v>
      </c>
      <c r="H249" s="653">
        <v>0.314</v>
      </c>
      <c r="I249" s="942">
        <v>0.52</v>
      </c>
      <c r="J249" s="946">
        <v>5.1050000000000004</v>
      </c>
      <c r="K249" s="931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1613</v>
      </c>
      <c r="L249" s="683"/>
      <c r="M249" s="934"/>
      <c r="N249" s="31" t="str">
        <f t="shared" si="1344"/>
        <v>Y</v>
      </c>
      <c r="O249" s="162">
        <f t="shared" si="1338"/>
        <v>-1.0911138137921994</v>
      </c>
      <c r="P249" s="162">
        <f t="shared" si="1339"/>
        <v>-0.76400611746204394</v>
      </c>
      <c r="Q249" s="162">
        <f t="shared" si="1340"/>
        <v>-0.94080283746135751</v>
      </c>
      <c r="R249" s="162">
        <f t="shared" si="1345"/>
        <v>0.6089050655384618</v>
      </c>
      <c r="S249" s="162">
        <f t="shared" si="1341"/>
        <v>-0.75281779836100626</v>
      </c>
      <c r="T249" s="162">
        <f t="shared" si="1342"/>
        <v>0.24999996726497573</v>
      </c>
      <c r="U249" s="162">
        <f>IFERROR(IF(ISNUMBER(MATCH($X249,Settings!$AK$28:$AK$36,0)),INDEX(Settings!$AO$14:$AO$36,MATCH($X249,Settings!$AK$14:$AK$36,0))/2,INDEX(Settings!$AM$14:$AM$36,MATCH($X249,Settings!$AK$14:$AK$36,0))/2),"")</f>
        <v>0.3125</v>
      </c>
      <c r="V249" s="162">
        <f t="shared" si="1343"/>
        <v>0.52</v>
      </c>
      <c r="W249" s="75">
        <v>5.1050000000000004</v>
      </c>
      <c r="X249" s="937">
        <f t="shared" si="1346"/>
        <v>1613</v>
      </c>
      <c r="AK249" s="82" t="str">
        <f t="shared" si="1347"/>
        <v>Y</v>
      </c>
      <c r="AL249" s="419" t="s">
        <v>400</v>
      </c>
    </row>
    <row r="250" spans="2:38" x14ac:dyDescent="0.25">
      <c r="B250" s="650">
        <v>-1.6988445483660977</v>
      </c>
      <c r="C250" s="651">
        <v>-1.189543759012412</v>
      </c>
      <c r="D250" s="652">
        <v>-0.74200223787874942</v>
      </c>
      <c r="E250" s="653">
        <v>0.6089050655384618</v>
      </c>
      <c r="F250" s="651">
        <v>-0.75281779836100626</v>
      </c>
      <c r="G250" s="654">
        <v>0.24999996726497573</v>
      </c>
      <c r="H250" s="653">
        <v>0.314</v>
      </c>
      <c r="I250" s="942">
        <v>0.52</v>
      </c>
      <c r="J250" s="946">
        <v>5.1079999999999997</v>
      </c>
      <c r="K250" s="931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1613</v>
      </c>
      <c r="L250" s="683"/>
      <c r="M250" s="934"/>
      <c r="N250" s="31" t="str">
        <f t="shared" si="1344"/>
        <v>Y</v>
      </c>
      <c r="O250" s="162">
        <f t="shared" si="1338"/>
        <v>-1.6988445483660977</v>
      </c>
      <c r="P250" s="162">
        <f t="shared" si="1339"/>
        <v>-1.189543759012412</v>
      </c>
      <c r="Q250" s="162">
        <f t="shared" si="1340"/>
        <v>-0.74200223787874942</v>
      </c>
      <c r="R250" s="162">
        <f t="shared" si="1345"/>
        <v>0.6089050655384618</v>
      </c>
      <c r="S250" s="162">
        <f t="shared" si="1341"/>
        <v>-0.75281779836100626</v>
      </c>
      <c r="T250" s="162">
        <f t="shared" si="1342"/>
        <v>0.24999996726497573</v>
      </c>
      <c r="U250" s="162">
        <f>IFERROR(IF(ISNUMBER(MATCH($X250,Settings!$AK$28:$AK$36,0)),INDEX(Settings!$AO$14:$AO$36,MATCH($X250,Settings!$AK$14:$AK$36,0))/2,INDEX(Settings!$AM$14:$AM$36,MATCH($X250,Settings!$AK$14:$AK$36,0))/2),"")</f>
        <v>0.3125</v>
      </c>
      <c r="V250" s="162">
        <f t="shared" si="1343"/>
        <v>0.52</v>
      </c>
      <c r="W250" s="75">
        <v>5.1079999999999997</v>
      </c>
      <c r="X250" s="937">
        <f t="shared" si="1346"/>
        <v>1613</v>
      </c>
      <c r="AK250" s="82" t="str">
        <f t="shared" si="1347"/>
        <v>Y</v>
      </c>
      <c r="AL250" s="419" t="s">
        <v>400</v>
      </c>
    </row>
    <row r="251" spans="2:38" x14ac:dyDescent="0.25">
      <c r="B251" s="650">
        <v>-2.30649336748851</v>
      </c>
      <c r="C251" s="651">
        <v>-1.6150240427461533</v>
      </c>
      <c r="D251" s="652">
        <v>-0.54330163859774216</v>
      </c>
      <c r="E251" s="653">
        <v>0.60890506553846202</v>
      </c>
      <c r="F251" s="651">
        <v>-0.75281779836100604</v>
      </c>
      <c r="G251" s="654">
        <v>0.24999996726497561</v>
      </c>
      <c r="H251" s="653">
        <v>0.314</v>
      </c>
      <c r="I251" s="942">
        <v>0.52</v>
      </c>
      <c r="J251" s="946">
        <v>5.1120000000000001</v>
      </c>
      <c r="K251" s="931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1613</v>
      </c>
      <c r="L251" s="683"/>
      <c r="M251" s="934"/>
      <c r="N251" s="31" t="str">
        <f t="shared" si="1344"/>
        <v>Y</v>
      </c>
      <c r="O251" s="162">
        <f t="shared" si="1338"/>
        <v>-2.30649336748851</v>
      </c>
      <c r="P251" s="162">
        <f t="shared" si="1339"/>
        <v>-1.6150240427461533</v>
      </c>
      <c r="Q251" s="162">
        <f t="shared" si="1340"/>
        <v>-0.54330163859774216</v>
      </c>
      <c r="R251" s="162">
        <f t="shared" si="1345"/>
        <v>0.60890506553846202</v>
      </c>
      <c r="S251" s="162">
        <f t="shared" si="1341"/>
        <v>-0.75281779836100604</v>
      </c>
      <c r="T251" s="162">
        <f t="shared" si="1342"/>
        <v>0.24999996726497561</v>
      </c>
      <c r="U251" s="162">
        <f>IFERROR(IF(ISNUMBER(MATCH($X251,Settings!$AK$28:$AK$36,0)),INDEX(Settings!$AO$14:$AO$36,MATCH($X251,Settings!$AK$14:$AK$36,0))/2,INDEX(Settings!$AM$14:$AM$36,MATCH($X251,Settings!$AK$14:$AK$36,0))/2),"")</f>
        <v>0.3125</v>
      </c>
      <c r="V251" s="162">
        <f t="shared" si="1343"/>
        <v>0.52</v>
      </c>
      <c r="W251" s="75">
        <v>5.1120000000000001</v>
      </c>
      <c r="X251" s="937">
        <f t="shared" si="1346"/>
        <v>1613</v>
      </c>
      <c r="AK251" s="82" t="str">
        <f t="shared" si="1347"/>
        <v>Y</v>
      </c>
      <c r="AL251" s="419" t="s">
        <v>400</v>
      </c>
    </row>
    <row r="252" spans="2:38" x14ac:dyDescent="0.25">
      <c r="B252" s="650">
        <v>-2.9141421866109232</v>
      </c>
      <c r="C252" s="651">
        <v>-2.0405043264798954</v>
      </c>
      <c r="D252" s="652">
        <v>-0.34450103901513368</v>
      </c>
      <c r="E252" s="653">
        <v>0.60890506553846202</v>
      </c>
      <c r="F252" s="651">
        <v>-0.75281779836100604</v>
      </c>
      <c r="G252" s="654">
        <v>0.24999996726497561</v>
      </c>
      <c r="H252" s="653">
        <v>0.314</v>
      </c>
      <c r="I252" s="942">
        <v>0.52</v>
      </c>
      <c r="J252" s="946">
        <v>5.1180000000000003</v>
      </c>
      <c r="K252" s="931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1613</v>
      </c>
      <c r="L252" s="683"/>
      <c r="M252" s="934"/>
      <c r="N252" s="31" t="str">
        <f t="shared" si="1344"/>
        <v>Y</v>
      </c>
      <c r="O252" s="162">
        <f t="shared" si="1338"/>
        <v>-2.9141421866109232</v>
      </c>
      <c r="P252" s="162">
        <f t="shared" si="1339"/>
        <v>-2.0405043264798954</v>
      </c>
      <c r="Q252" s="162">
        <f t="shared" si="1340"/>
        <v>-0.34450103901513368</v>
      </c>
      <c r="R252" s="162">
        <f t="shared" si="1345"/>
        <v>0.60890506553846202</v>
      </c>
      <c r="S252" s="162">
        <f t="shared" si="1341"/>
        <v>-0.75281779836100604</v>
      </c>
      <c r="T252" s="162">
        <f t="shared" si="1342"/>
        <v>0.24999996726497561</v>
      </c>
      <c r="U252" s="162">
        <f>IFERROR(IF(ISNUMBER(MATCH($X252,Settings!$AK$28:$AK$36,0)),INDEX(Settings!$AO$14:$AO$36,MATCH($X252,Settings!$AK$14:$AK$36,0))/2,INDEX(Settings!$AM$14:$AM$36,MATCH($X252,Settings!$AK$14:$AK$36,0))/2),"")</f>
        <v>0.3125</v>
      </c>
      <c r="V252" s="162">
        <f t="shared" si="1343"/>
        <v>0.52</v>
      </c>
      <c r="W252" s="75">
        <v>5.1180000000000003</v>
      </c>
      <c r="X252" s="937">
        <f t="shared" si="1346"/>
        <v>1613</v>
      </c>
      <c r="AK252" s="82" t="str">
        <f t="shared" si="1347"/>
        <v>Y</v>
      </c>
      <c r="AL252" s="419" t="s">
        <v>9</v>
      </c>
    </row>
    <row r="253" spans="2:38" x14ac:dyDescent="0.25">
      <c r="B253" s="650">
        <v>-3.5226920756996805</v>
      </c>
      <c r="C253" s="651">
        <v>-2.4666155461965267</v>
      </c>
      <c r="D253" s="652">
        <v>-0.14800044636934623</v>
      </c>
      <c r="E253" s="653">
        <v>0.59084781185157942</v>
      </c>
      <c r="F253" s="651">
        <v>-0.76546162351192648</v>
      </c>
      <c r="G253" s="654">
        <v>0.2548869674202402</v>
      </c>
      <c r="H253" s="653">
        <v>0.314</v>
      </c>
      <c r="I253" s="942">
        <v>0.52</v>
      </c>
      <c r="J253" s="946">
        <v>5.1239999999999997</v>
      </c>
      <c r="K253" s="931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1613</v>
      </c>
      <c r="L253" s="683"/>
      <c r="M253" s="934"/>
      <c r="N253" s="31" t="str">
        <f t="shared" si="1344"/>
        <v>Y</v>
      </c>
      <c r="O253" s="162">
        <f t="shared" si="1338"/>
        <v>-3.5226920756996805</v>
      </c>
      <c r="P253" s="162">
        <f t="shared" si="1339"/>
        <v>-2.4666155461965267</v>
      </c>
      <c r="Q253" s="162">
        <f t="shared" si="1340"/>
        <v>-0.14800044636934623</v>
      </c>
      <c r="R253" s="162">
        <f t="shared" si="1345"/>
        <v>0.59084781185157942</v>
      </c>
      <c r="S253" s="162">
        <f t="shared" si="1341"/>
        <v>-0.76546162351192648</v>
      </c>
      <c r="T253" s="162">
        <f t="shared" si="1342"/>
        <v>0.2548869674202402</v>
      </c>
      <c r="U253" s="162">
        <f>IFERROR(IF(ISNUMBER(MATCH($X253,Settings!$AK$28:$AK$36,0)),INDEX(Settings!$AO$14:$AO$36,MATCH($X253,Settings!$AK$14:$AK$36,0))/2,INDEX(Settings!$AM$14:$AM$36,MATCH($X253,Settings!$AK$14:$AK$36,0))/2),"")</f>
        <v>0.3125</v>
      </c>
      <c r="V253" s="162">
        <f t="shared" si="1343"/>
        <v>0.52</v>
      </c>
      <c r="W253" s="75">
        <v>5.1239999999999997</v>
      </c>
      <c r="X253" s="937">
        <f t="shared" si="1346"/>
        <v>1613</v>
      </c>
      <c r="AK253" s="82" t="str">
        <f t="shared" si="1347"/>
        <v>Y</v>
      </c>
      <c r="AL253" s="419" t="s">
        <v>9</v>
      </c>
    </row>
    <row r="254" spans="2:38" x14ac:dyDescent="0.25">
      <c r="B254" s="650">
        <v>-4.1731873479573043</v>
      </c>
      <c r="C254" s="651">
        <v>-2.8685811901941993</v>
      </c>
      <c r="D254" s="652">
        <v>-4.2200127275583955E-2</v>
      </c>
      <c r="E254" s="653">
        <v>0.4936045318723481</v>
      </c>
      <c r="F254" s="651">
        <v>-0.83044483435694882</v>
      </c>
      <c r="G254" s="654">
        <v>0.25829429572667684</v>
      </c>
      <c r="H254" s="653">
        <v>0.314</v>
      </c>
      <c r="I254" s="942">
        <v>0.52</v>
      </c>
      <c r="J254" s="946">
        <v>5.13</v>
      </c>
      <c r="K254" s="931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>1613</v>
      </c>
      <c r="L254" s="683"/>
      <c r="M254" s="934"/>
      <c r="N254" s="31" t="str">
        <f t="shared" si="1344"/>
        <v>Y</v>
      </c>
      <c r="O254" s="162">
        <f t="shared" si="1338"/>
        <v>-4.1731873479573043</v>
      </c>
      <c r="P254" s="162">
        <f t="shared" si="1339"/>
        <v>-2.8685811901941993</v>
      </c>
      <c r="Q254" s="162">
        <f t="shared" si="1340"/>
        <v>-4.2200127275583955E-2</v>
      </c>
      <c r="R254" s="162">
        <f t="shared" si="1345"/>
        <v>0.4936045318723481</v>
      </c>
      <c r="S254" s="162">
        <f t="shared" si="1341"/>
        <v>-0.83044483435694882</v>
      </c>
      <c r="T254" s="162">
        <f t="shared" si="1342"/>
        <v>0.25829429572667684</v>
      </c>
      <c r="U254" s="162">
        <f>IFERROR(IF(ISNUMBER(MATCH($X254,Settings!$AK$28:$AK$36,0)),INDEX(Settings!$AO$14:$AO$36,MATCH($X254,Settings!$AK$14:$AK$36,0))/2,INDEX(Settings!$AM$14:$AM$36,MATCH($X254,Settings!$AK$14:$AK$36,0))/2),"")</f>
        <v>0.3125</v>
      </c>
      <c r="V254" s="162">
        <f t="shared" si="1343"/>
        <v>0.52</v>
      </c>
      <c r="W254" s="75">
        <v>5.13</v>
      </c>
      <c r="X254" s="937">
        <f t="shared" si="1346"/>
        <v>1613</v>
      </c>
      <c r="AK254" s="82" t="str">
        <f t="shared" si="1347"/>
        <v>Y</v>
      </c>
      <c r="AL254" s="419" t="s">
        <v>9</v>
      </c>
    </row>
    <row r="255" spans="2:38" x14ac:dyDescent="0.25">
      <c r="B255" s="650">
        <v>-4.8360285015455275</v>
      </c>
      <c r="C255" s="651">
        <v>-3.2564191082043745</v>
      </c>
      <c r="D255" s="652">
        <v>-0.11740035407946792</v>
      </c>
      <c r="E255" s="653">
        <v>0.42160583051107009</v>
      </c>
      <c r="F255" s="651">
        <v>-0.87487980048870495</v>
      </c>
      <c r="G255" s="654">
        <v>0.23839852846843385</v>
      </c>
      <c r="H255" s="653">
        <v>0.314</v>
      </c>
      <c r="I255" s="942">
        <v>0.52</v>
      </c>
      <c r="J255" s="946">
        <v>5.1360000000000001</v>
      </c>
      <c r="K255" s="931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>1613</v>
      </c>
      <c r="L255" s="683"/>
      <c r="M255" s="934"/>
      <c r="N255" s="31" t="str">
        <f t="shared" si="1344"/>
        <v>Y</v>
      </c>
      <c r="O255" s="162">
        <f t="shared" si="1338"/>
        <v>-4.8360285015455275</v>
      </c>
      <c r="P255" s="162">
        <f t="shared" si="1339"/>
        <v>-3.2564191082043745</v>
      </c>
      <c r="Q255" s="162">
        <f t="shared" si="1340"/>
        <v>-0.11740035407946792</v>
      </c>
      <c r="R255" s="162">
        <f t="shared" si="1345"/>
        <v>0.42160583051107009</v>
      </c>
      <c r="S255" s="162">
        <f t="shared" si="1341"/>
        <v>-0.87487980048870495</v>
      </c>
      <c r="T255" s="162">
        <f t="shared" si="1342"/>
        <v>0.23839852846843385</v>
      </c>
      <c r="U255" s="162">
        <f>IFERROR(IF(ISNUMBER(MATCH($X255,Settings!$AK$28:$AK$36,0)),INDEX(Settings!$AO$14:$AO$36,MATCH($X255,Settings!$AK$14:$AK$36,0))/2,INDEX(Settings!$AM$14:$AM$36,MATCH($X255,Settings!$AK$14:$AK$36,0))/2),"")</f>
        <v>0.3125</v>
      </c>
      <c r="V255" s="162">
        <f t="shared" si="1343"/>
        <v>0.52</v>
      </c>
      <c r="W255" s="75">
        <v>5.1360000000000001</v>
      </c>
      <c r="X255" s="937">
        <f t="shared" si="1346"/>
        <v>1613</v>
      </c>
      <c r="AK255" s="82" t="str">
        <f t="shared" si="1347"/>
        <v>Y</v>
      </c>
      <c r="AL255" s="419" t="s">
        <v>9</v>
      </c>
    </row>
    <row r="256" spans="2:38" x14ac:dyDescent="0.25">
      <c r="B256" s="650">
        <v>-5.4712702144821908</v>
      </c>
      <c r="C256" s="651">
        <v>-3.5992863112229978</v>
      </c>
      <c r="D256" s="652">
        <v>-0.36090108847768271</v>
      </c>
      <c r="E256" s="653">
        <v>0.34713154711411026</v>
      </c>
      <c r="F256" s="651">
        <v>-0.91215357402487562</v>
      </c>
      <c r="G256" s="654">
        <v>0.21788883953018401</v>
      </c>
      <c r="H256" s="653">
        <v>0.314</v>
      </c>
      <c r="I256" s="942">
        <v>0.52</v>
      </c>
      <c r="J256" s="946">
        <v>5.1420000000000003</v>
      </c>
      <c r="K256" s="931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>1613</v>
      </c>
      <c r="L256" s="683"/>
      <c r="M256" s="934"/>
      <c r="N256" s="31" t="str">
        <f t="shared" si="1344"/>
        <v>Y</v>
      </c>
      <c r="O256" s="162">
        <f t="shared" si="1338"/>
        <v>-5.4712702144821908</v>
      </c>
      <c r="P256" s="162">
        <f t="shared" si="1339"/>
        <v>-3.5992863112229978</v>
      </c>
      <c r="Q256" s="162">
        <f t="shared" si="1340"/>
        <v>-0.36090108847768271</v>
      </c>
      <c r="R256" s="162">
        <f t="shared" si="1345"/>
        <v>0.34713154711411026</v>
      </c>
      <c r="S256" s="162">
        <f t="shared" si="1341"/>
        <v>-0.91215357402487562</v>
      </c>
      <c r="T256" s="162">
        <f t="shared" si="1342"/>
        <v>0.21788883953018401</v>
      </c>
      <c r="U256" s="162">
        <f>IFERROR(IF(ISNUMBER(MATCH($X256,Settings!$AK$28:$AK$36,0)),INDEX(Settings!$AO$14:$AO$36,MATCH($X256,Settings!$AK$14:$AK$36,0))/2,INDEX(Settings!$AM$14:$AM$36,MATCH($X256,Settings!$AK$14:$AK$36,0))/2),"")</f>
        <v>0.3125</v>
      </c>
      <c r="V256" s="162">
        <f t="shared" si="1343"/>
        <v>0.52</v>
      </c>
      <c r="W256" s="75">
        <v>5.1420000000000003</v>
      </c>
      <c r="X256" s="937">
        <f t="shared" si="1346"/>
        <v>1613</v>
      </c>
      <c r="AK256" s="82" t="str">
        <f t="shared" si="1347"/>
        <v>Y</v>
      </c>
      <c r="AL256" s="419" t="s">
        <v>9</v>
      </c>
    </row>
    <row r="257" spans="2:24" x14ac:dyDescent="0.25">
      <c r="B257" s="650">
        <v>-6.0541694854283961</v>
      </c>
      <c r="C257" s="651">
        <v>-3.8904392026325518</v>
      </c>
      <c r="D257" s="652">
        <v>-0.75880228854770204</v>
      </c>
      <c r="E257" s="653">
        <v>0.25902499032752668</v>
      </c>
      <c r="F257" s="651">
        <v>-0.9426147234847051</v>
      </c>
      <c r="G257" s="654">
        <v>0.21067400754644125</v>
      </c>
      <c r="H257" s="653">
        <v>0.314</v>
      </c>
      <c r="I257" s="942">
        <v>0.52</v>
      </c>
      <c r="J257" s="946">
        <v>5.1479999999999997</v>
      </c>
      <c r="K257" s="931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>1613</v>
      </c>
      <c r="L257" s="683"/>
      <c r="M257" s="934"/>
      <c r="N257" s="31" t="str">
        <f t="shared" si="1344"/>
        <v>Y</v>
      </c>
      <c r="O257" s="162">
        <f t="shared" si="1338"/>
        <v>-6.0541694854283961</v>
      </c>
      <c r="P257" s="162">
        <f t="shared" si="1339"/>
        <v>-3.8904392026325518</v>
      </c>
      <c r="Q257" s="162">
        <f t="shared" si="1340"/>
        <v>-0.75880228854770204</v>
      </c>
      <c r="R257" s="162">
        <f t="shared" si="1345"/>
        <v>0.25902499032752668</v>
      </c>
      <c r="S257" s="162">
        <f t="shared" si="1341"/>
        <v>-0.9426147234847051</v>
      </c>
      <c r="T257" s="162">
        <f t="shared" si="1342"/>
        <v>0.21067400754644125</v>
      </c>
      <c r="U257" s="162">
        <f>IFERROR(IF(ISNUMBER(MATCH($X257,Settings!$AK$28:$AK$36,0)),INDEX(Settings!$AO$14:$AO$36,MATCH($X257,Settings!$AK$14:$AK$36,0))/2,INDEX(Settings!$AM$14:$AM$36,MATCH($X257,Settings!$AK$14:$AK$36,0))/2),"")</f>
        <v>0.3125</v>
      </c>
      <c r="V257" s="162">
        <f t="shared" si="1343"/>
        <v>0.52</v>
      </c>
      <c r="W257" s="75">
        <v>5.1479999999999997</v>
      </c>
      <c r="X257" s="937">
        <f t="shared" si="1346"/>
        <v>1613</v>
      </c>
    </row>
    <row r="258" spans="2:24" x14ac:dyDescent="0.25">
      <c r="B258" s="650">
        <v>-6.5488654724856401</v>
      </c>
      <c r="C258" s="651">
        <v>-4.1206893725233886</v>
      </c>
      <c r="D258" s="652">
        <v>-1.2900038906517355</v>
      </c>
      <c r="E258" s="653">
        <v>0.1615106249634336</v>
      </c>
      <c r="F258" s="651">
        <v>-0.96678818125789534</v>
      </c>
      <c r="G258" s="654">
        <v>0.19807809218581468</v>
      </c>
      <c r="H258" s="653">
        <v>0.314</v>
      </c>
      <c r="I258" s="942">
        <v>0.52</v>
      </c>
      <c r="J258" s="946">
        <v>5.1539999999999999</v>
      </c>
      <c r="K258" s="931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>1613</v>
      </c>
      <c r="L258" s="683"/>
      <c r="M258" s="934"/>
      <c r="N258" s="31" t="str">
        <f t="shared" si="1344"/>
        <v>Y</v>
      </c>
      <c r="O258" s="162">
        <f t="shared" si="1338"/>
        <v>-6.5488654724856401</v>
      </c>
      <c r="P258" s="162">
        <f t="shared" si="1339"/>
        <v>-4.1206893725233886</v>
      </c>
      <c r="Q258" s="162">
        <f t="shared" si="1340"/>
        <v>-1.2900038906517355</v>
      </c>
      <c r="R258" s="162">
        <f t="shared" si="1345"/>
        <v>0.1615106249634336</v>
      </c>
      <c r="S258" s="162">
        <f t="shared" si="1341"/>
        <v>-0.96678818125789534</v>
      </c>
      <c r="T258" s="162">
        <f t="shared" si="1342"/>
        <v>0.19807809218581468</v>
      </c>
      <c r="U258" s="162">
        <f>IFERROR(IF(ISNUMBER(MATCH($X258,Settings!$AK$28:$AK$36,0)),INDEX(Settings!$AO$14:$AO$36,MATCH($X258,Settings!$AK$14:$AK$36,0))/2,INDEX(Settings!$AM$14:$AM$36,MATCH($X258,Settings!$AK$14:$AK$36,0))/2),"")</f>
        <v>0.3125</v>
      </c>
      <c r="V258" s="162">
        <f t="shared" si="1343"/>
        <v>0.52</v>
      </c>
      <c r="W258" s="75">
        <v>5.1539999999999999</v>
      </c>
      <c r="X258" s="937">
        <f t="shared" si="1346"/>
        <v>1613</v>
      </c>
    </row>
    <row r="259" spans="2:24" x14ac:dyDescent="0.25">
      <c r="B259" s="650">
        <v>-6.9250547419587001</v>
      </c>
      <c r="C259" s="651">
        <v>-4.285688287039541</v>
      </c>
      <c r="D259" s="652">
        <v>-1.9320058269295735</v>
      </c>
      <c r="E259" s="653">
        <v>8.0231723519274434E-2</v>
      </c>
      <c r="F259" s="651">
        <v>-0.98478438149322411</v>
      </c>
      <c r="G259" s="654">
        <v>0.15415120015145795</v>
      </c>
      <c r="H259" s="653">
        <v>0.314</v>
      </c>
      <c r="I259" s="942">
        <v>0.52</v>
      </c>
      <c r="J259" s="946">
        <v>5.16</v>
      </c>
      <c r="K259" s="931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>1613</v>
      </c>
      <c r="L259" s="683"/>
      <c r="M259" s="934"/>
      <c r="N259" s="31" t="str">
        <f t="shared" si="1344"/>
        <v>Y</v>
      </c>
      <c r="O259" s="162">
        <f t="shared" si="1338"/>
        <v>-6.9250547419587001</v>
      </c>
      <c r="P259" s="162">
        <f t="shared" si="1339"/>
        <v>-4.285688287039541</v>
      </c>
      <c r="Q259" s="162">
        <f t="shared" si="1340"/>
        <v>-1.9320058269295735</v>
      </c>
      <c r="R259" s="162">
        <f t="shared" si="1345"/>
        <v>8.0231723519274434E-2</v>
      </c>
      <c r="S259" s="162">
        <f t="shared" si="1341"/>
        <v>-0.98478438149322411</v>
      </c>
      <c r="T259" s="162">
        <f t="shared" si="1342"/>
        <v>0.15415120015145795</v>
      </c>
      <c r="U259" s="162">
        <f>IFERROR(IF(ISNUMBER(MATCH($X259,Settings!$AK$28:$AK$36,0)),INDEX(Settings!$AO$14:$AO$36,MATCH($X259,Settings!$AK$14:$AK$36,0))/2,INDEX(Settings!$AM$14:$AM$36,MATCH($X259,Settings!$AK$14:$AK$36,0))/2),"")</f>
        <v>0.3125</v>
      </c>
      <c r="V259" s="162">
        <f t="shared" si="1343"/>
        <v>0.52</v>
      </c>
      <c r="W259" s="75">
        <v>5.16</v>
      </c>
      <c r="X259" s="937">
        <f t="shared" si="1346"/>
        <v>1613</v>
      </c>
    </row>
    <row r="260" spans="2:24" x14ac:dyDescent="0.25">
      <c r="B260" s="650">
        <v>-7.1576253414315989</v>
      </c>
      <c r="C260" s="651">
        <v>-4.3834496281720678</v>
      </c>
      <c r="D260" s="652">
        <v>-2.649707991519302</v>
      </c>
      <c r="E260" s="653">
        <v>9.6469061020945084E-3</v>
      </c>
      <c r="F260" s="651">
        <v>-0.99528704203591878</v>
      </c>
      <c r="G260" s="654">
        <v>9.6491663671265507E-2</v>
      </c>
      <c r="H260" s="653">
        <v>0.314</v>
      </c>
      <c r="I260" s="942">
        <v>0.52</v>
      </c>
      <c r="J260" s="946">
        <v>5.1660000000000004</v>
      </c>
      <c r="K260" s="931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>1613</v>
      </c>
      <c r="L260" s="683"/>
      <c r="M260" s="934"/>
      <c r="N260" s="31" t="str">
        <f t="shared" si="1344"/>
        <v>Y</v>
      </c>
      <c r="O260" s="162">
        <f t="shared" ref="O260:O291" si="1348">IFERROR(INDEX(B$164:B$305,MATCH($W260,$J$164:$J$305,0)),"")</f>
        <v>-7.1576253414315989</v>
      </c>
      <c r="P260" s="162">
        <f t="shared" ref="P260:P291" si="1349">IFERROR(INDEX(C$164:C$305,MATCH($W260,$J$164:$J$305,0)),"")</f>
        <v>-4.3834496281720678</v>
      </c>
      <c r="Q260" s="162">
        <f t="shared" ref="Q260:Q291" si="1350">IFERROR(INDEX(D$164:D$305,MATCH($W260,$J$164:$J$305,0)),"")</f>
        <v>-2.649707991519302</v>
      </c>
      <c r="R260" s="162">
        <f t="shared" si="1345"/>
        <v>9.6469061020945084E-3</v>
      </c>
      <c r="S260" s="162">
        <f t="shared" si="1341"/>
        <v>-0.99528704203591878</v>
      </c>
      <c r="T260" s="162">
        <f t="shared" si="1342"/>
        <v>9.6491663671265507E-2</v>
      </c>
      <c r="U260" s="162">
        <f>IFERROR(IF(ISNUMBER(MATCH($X260,Settings!$AK$28:$AK$36,0)),INDEX(Settings!$AO$14:$AO$36,MATCH($X260,Settings!$AK$14:$AK$36,0))/2,INDEX(Settings!$AM$14:$AM$36,MATCH($X260,Settings!$AK$14:$AK$36,0))/2),"")</f>
        <v>0.3125</v>
      </c>
      <c r="V260" s="162">
        <f t="shared" ref="V260:V291" si="1351">IFERROR(INDEX(I$164:I$305,MATCH($W260,$J$164:$J$305,0)),"")</f>
        <v>0.52</v>
      </c>
      <c r="W260" s="75">
        <v>5.1660000000000004</v>
      </c>
      <c r="X260" s="937">
        <f t="shared" si="1346"/>
        <v>1613</v>
      </c>
    </row>
    <row r="261" spans="2:24" x14ac:dyDescent="0.25">
      <c r="B261" s="650">
        <v>-7.2272981706737172</v>
      </c>
      <c r="C261" s="651">
        <v>-4.4261184356140042</v>
      </c>
      <c r="D261" s="652">
        <v>-3.4002102550341284</v>
      </c>
      <c r="E261" s="653">
        <v>-6.2323213129158714E-2</v>
      </c>
      <c r="F261" s="651">
        <v>-0.99738505447030235</v>
      </c>
      <c r="G261" s="654">
        <v>3.6590575624462315E-2</v>
      </c>
      <c r="H261" s="653">
        <v>0.314</v>
      </c>
      <c r="I261" s="942">
        <v>0.52</v>
      </c>
      <c r="J261" s="946">
        <v>5.1719999999999997</v>
      </c>
      <c r="K261" s="931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>1613</v>
      </c>
      <c r="L261" s="683"/>
      <c r="M261" s="934"/>
      <c r="N261" s="31" t="str">
        <f t="shared" si="1344"/>
        <v>Y</v>
      </c>
      <c r="O261" s="162">
        <f t="shared" si="1348"/>
        <v>-7.2272981706737172</v>
      </c>
      <c r="P261" s="162">
        <f t="shared" si="1349"/>
        <v>-4.4261184356140042</v>
      </c>
      <c r="Q261" s="162">
        <f t="shared" si="1350"/>
        <v>-3.4002102550341284</v>
      </c>
      <c r="R261" s="162">
        <f t="shared" si="1345"/>
        <v>-6.2323213129158714E-2</v>
      </c>
      <c r="S261" s="162">
        <f t="shared" si="1341"/>
        <v>-0.99738505447030235</v>
      </c>
      <c r="T261" s="162">
        <f t="shared" si="1342"/>
        <v>3.6590575624462315E-2</v>
      </c>
      <c r="U261" s="162">
        <f>IFERROR(IF(ISNUMBER(MATCH($X261,Settings!$AK$28:$AK$36,0)),INDEX(Settings!$AO$14:$AO$36,MATCH($X261,Settings!$AK$14:$AK$36,0))/2,INDEX(Settings!$AM$14:$AM$36,MATCH($X261,Settings!$AK$14:$AK$36,0))/2),"")</f>
        <v>0.3125</v>
      </c>
      <c r="V261" s="162">
        <f t="shared" si="1351"/>
        <v>0.52</v>
      </c>
      <c r="W261" s="75">
        <v>5.1719999999999997</v>
      </c>
      <c r="X261" s="937">
        <f t="shared" si="1346"/>
        <v>1613</v>
      </c>
    </row>
    <row r="262" spans="2:24" x14ac:dyDescent="0.25">
      <c r="B262" s="650">
        <v>-7.2957538390565437</v>
      </c>
      <c r="C262" s="651">
        <v>-4.4400748042247553</v>
      </c>
      <c r="D262" s="652">
        <v>-4.1520125224697662</v>
      </c>
      <c r="E262" s="653">
        <v>-0.1508466388365407</v>
      </c>
      <c r="F262" s="651">
        <v>-0.98855717667300214</v>
      </c>
      <c r="G262" s="654">
        <v>1.4578093197128142E-7</v>
      </c>
      <c r="H262" s="653">
        <v>0.314</v>
      </c>
      <c r="I262" s="942">
        <v>0.52</v>
      </c>
      <c r="J262" s="946">
        <v>5.1779999999999999</v>
      </c>
      <c r="K262" s="931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>1613</v>
      </c>
      <c r="L262" s="683"/>
      <c r="M262" s="934"/>
      <c r="N262" s="31" t="str">
        <f t="shared" si="1344"/>
        <v>Y</v>
      </c>
      <c r="O262" s="162">
        <f t="shared" si="1348"/>
        <v>-7.2957538390565437</v>
      </c>
      <c r="P262" s="162">
        <f t="shared" si="1349"/>
        <v>-4.4400748042247553</v>
      </c>
      <c r="Q262" s="162">
        <f t="shared" si="1350"/>
        <v>-4.1520125224697662</v>
      </c>
      <c r="R262" s="162">
        <f t="shared" si="1345"/>
        <v>-0.1508466388365407</v>
      </c>
      <c r="S262" s="162">
        <f t="shared" si="1341"/>
        <v>-0.98855717667300214</v>
      </c>
      <c r="T262" s="162">
        <f t="shared" si="1342"/>
        <v>1.4578093197128142E-7</v>
      </c>
      <c r="U262" s="162">
        <f>IFERROR(IF(ISNUMBER(MATCH($X262,Settings!$AK$28:$AK$36,0)),INDEX(Settings!$AO$14:$AO$36,MATCH($X262,Settings!$AK$14:$AK$36,0))/2,INDEX(Settings!$AM$14:$AM$36,MATCH($X262,Settings!$AK$14:$AK$36,0))/2),"")</f>
        <v>0.3125</v>
      </c>
      <c r="V262" s="162">
        <f t="shared" si="1351"/>
        <v>0.52</v>
      </c>
      <c r="W262" s="75">
        <v>5.1779999999999999</v>
      </c>
      <c r="X262" s="937">
        <f t="shared" si="1346"/>
        <v>1613</v>
      </c>
    </row>
    <row r="263" spans="2:24" x14ac:dyDescent="0.25">
      <c r="B263" s="650">
        <v>-4.6912083298435148</v>
      </c>
      <c r="C263" s="651">
        <v>-1.9363263621513349</v>
      </c>
      <c r="D263" s="652">
        <v>-2.0500016588050028E-2</v>
      </c>
      <c r="E263" s="653">
        <v>8.652984434653371E-8</v>
      </c>
      <c r="F263" s="651">
        <v>-2.0963900212950019E-7</v>
      </c>
      <c r="G263" s="654">
        <v>0.99999999999997435</v>
      </c>
      <c r="H263" s="653">
        <v>0.25700000000000001</v>
      </c>
      <c r="I263" s="942">
        <v>0.41499999999999992</v>
      </c>
      <c r="J263" s="946">
        <v>5.23</v>
      </c>
      <c r="K263" s="931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>CPS-32193r1</v>
      </c>
      <c r="L263" s="683"/>
      <c r="M263" s="934"/>
      <c r="N263" s="31" t="str">
        <f t="shared" si="1344"/>
        <v>Y</v>
      </c>
      <c r="O263" s="162">
        <f t="shared" si="1348"/>
        <v>-4.6912083298435148</v>
      </c>
      <c r="P263" s="162">
        <f t="shared" si="1349"/>
        <v>-1.9363263621513349</v>
      </c>
      <c r="Q263" s="162">
        <f t="shared" si="1350"/>
        <v>-2.0500016588050028E-2</v>
      </c>
      <c r="R263" s="162">
        <f t="shared" si="1345"/>
        <v>8.652984434653371E-8</v>
      </c>
      <c r="S263" s="162">
        <f t="shared" si="1341"/>
        <v>-2.0963900212950019E-7</v>
      </c>
      <c r="T263" s="162">
        <f t="shared" si="1342"/>
        <v>0.99999999999997435</v>
      </c>
      <c r="U263" s="162">
        <f>IFERROR(IF(ISNUMBER(MATCH($X263,Settings!$AK$28:$AK$36,0)),INDEX(Settings!$AO$14:$AO$36,MATCH($X263,Settings!$AK$14:$AK$36,0))/2,INDEX(Settings!$AM$14:$AM$36,MATCH($X263,Settings!$AK$14:$AK$36,0))/2),"")</f>
        <v>0.255</v>
      </c>
      <c r="V263" s="162">
        <f t="shared" si="1351"/>
        <v>0.41499999999999992</v>
      </c>
      <c r="W263" s="75">
        <v>5.23</v>
      </c>
      <c r="X263" s="937" t="str">
        <f t="shared" si="1346"/>
        <v>CPS-32193r1</v>
      </c>
    </row>
    <row r="264" spans="2:24" x14ac:dyDescent="0.25">
      <c r="B264" s="650">
        <v>-5.4172473847942824</v>
      </c>
      <c r="C264" s="651">
        <v>-2.2161332123254396</v>
      </c>
      <c r="D264" s="652">
        <v>-0.10110025967838331</v>
      </c>
      <c r="E264" s="653">
        <v>-0.14797756827520833</v>
      </c>
      <c r="F264" s="651">
        <v>-6.0536155703148124E-2</v>
      </c>
      <c r="G264" s="654">
        <v>0.9871362687795644</v>
      </c>
      <c r="H264" s="653">
        <v>0.25700000000000001</v>
      </c>
      <c r="I264" s="942">
        <v>0.41499999999999992</v>
      </c>
      <c r="J264" s="946">
        <v>5.2359999999999998</v>
      </c>
      <c r="K264" s="931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>CPS-32193r1</v>
      </c>
      <c r="L264" s="683"/>
      <c r="M264" s="934"/>
      <c r="N264" s="31" t="str">
        <f t="shared" si="1344"/>
        <v>Y</v>
      </c>
      <c r="O264" s="162">
        <f t="shared" si="1348"/>
        <v>-5.4172473847942824</v>
      </c>
      <c r="P264" s="162">
        <f t="shared" si="1349"/>
        <v>-2.2161332123254396</v>
      </c>
      <c r="Q264" s="162">
        <f t="shared" si="1350"/>
        <v>-0.10110025967838331</v>
      </c>
      <c r="R264" s="162">
        <f t="shared" si="1345"/>
        <v>-0.14797756827520833</v>
      </c>
      <c r="S264" s="162">
        <f t="shared" si="1341"/>
        <v>-6.0536155703148124E-2</v>
      </c>
      <c r="T264" s="162">
        <f t="shared" si="1342"/>
        <v>0.9871362687795644</v>
      </c>
      <c r="U264" s="162">
        <f>IFERROR(IF(ISNUMBER(MATCH($X264,Settings!$AK$28:$AK$36,0)),INDEX(Settings!$AO$14:$AO$36,MATCH($X264,Settings!$AK$14:$AK$36,0))/2,INDEX(Settings!$AM$14:$AM$36,MATCH($X264,Settings!$AK$14:$AK$36,0))/2),"")</f>
        <v>0.255</v>
      </c>
      <c r="V264" s="162">
        <f t="shared" si="1351"/>
        <v>0.41499999999999992</v>
      </c>
      <c r="W264" s="75">
        <v>5.2359999999999998</v>
      </c>
      <c r="X264" s="937" t="str">
        <f t="shared" si="1346"/>
        <v>CPS-32193r1</v>
      </c>
    </row>
    <row r="265" spans="2:24" x14ac:dyDescent="0.25">
      <c r="B265" s="650">
        <v>-6.0341764644165501</v>
      </c>
      <c r="C265" s="651">
        <v>-2.6239426885794939</v>
      </c>
      <c r="D265" s="652">
        <v>-0.33562506890349053</v>
      </c>
      <c r="E265" s="653">
        <v>0.1213507837053239</v>
      </c>
      <c r="F265" s="651">
        <v>-0.95327085138988776</v>
      </c>
      <c r="G265" s="654">
        <v>0.27667430524807007</v>
      </c>
      <c r="H265" s="653">
        <v>0.26600000000000001</v>
      </c>
      <c r="I265" s="942">
        <v>0.52</v>
      </c>
      <c r="J265" s="946">
        <v>5.242</v>
      </c>
      <c r="K265" s="931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>1313</v>
      </c>
      <c r="L265" s="683"/>
      <c r="M265" s="934"/>
      <c r="N265" s="31" t="str">
        <f t="shared" si="1344"/>
        <v>Y</v>
      </c>
      <c r="O265" s="162">
        <f t="shared" si="1348"/>
        <v>-6.0341764644165501</v>
      </c>
      <c r="P265" s="162">
        <f t="shared" si="1349"/>
        <v>-2.6239426885794939</v>
      </c>
      <c r="Q265" s="162">
        <f t="shared" si="1350"/>
        <v>-0.33562506890349053</v>
      </c>
      <c r="R265" s="162">
        <f t="shared" si="1345"/>
        <v>0.1213507837053239</v>
      </c>
      <c r="S265" s="162">
        <f t="shared" si="1341"/>
        <v>-0.95327085138988776</v>
      </c>
      <c r="T265" s="162">
        <f t="shared" si="1342"/>
        <v>0.27667430524807007</v>
      </c>
      <c r="U265" s="162">
        <f>IFERROR(IF(ISNUMBER(MATCH($X265,Settings!$AK$28:$AK$36,0)),INDEX(Settings!$AO$14:$AO$36,MATCH($X265,Settings!$AK$14:$AK$36,0))/2,INDEX(Settings!$AM$14:$AM$36,MATCH($X265,Settings!$AK$14:$AK$36,0))/2),"")</f>
        <v>0.26450000000000001</v>
      </c>
      <c r="V265" s="162">
        <f t="shared" si="1351"/>
        <v>0.52</v>
      </c>
      <c r="W265" s="75">
        <v>5.242</v>
      </c>
      <c r="X265" s="937">
        <f t="shared" si="1346"/>
        <v>1313</v>
      </c>
    </row>
    <row r="266" spans="2:24" x14ac:dyDescent="0.25">
      <c r="B266" s="650">
        <v>-6.6789210156381031</v>
      </c>
      <c r="C266" s="651">
        <v>-2.7762334254108176</v>
      </c>
      <c r="D266" s="652">
        <v>-0.73936096689248232</v>
      </c>
      <c r="E266" s="653">
        <v>1.4960589838305102E-2</v>
      </c>
      <c r="F266" s="651">
        <v>-0.96616597153243755</v>
      </c>
      <c r="G266" s="654">
        <v>0.25748688549996313</v>
      </c>
      <c r="H266" s="653">
        <v>0.26600000000000001</v>
      </c>
      <c r="I266" s="942">
        <v>0.52</v>
      </c>
      <c r="J266" s="946">
        <v>5.2480000000000002</v>
      </c>
      <c r="K266" s="931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>1313</v>
      </c>
      <c r="L266" s="683"/>
      <c r="M266" s="934"/>
      <c r="N266" s="31" t="str">
        <f t="shared" si="1344"/>
        <v>Y</v>
      </c>
      <c r="O266" s="162">
        <f t="shared" si="1348"/>
        <v>-6.6789210156381031</v>
      </c>
      <c r="P266" s="162">
        <f t="shared" si="1349"/>
        <v>-2.7762334254108176</v>
      </c>
      <c r="Q266" s="162">
        <f t="shared" si="1350"/>
        <v>-0.73936096689248232</v>
      </c>
      <c r="R266" s="162">
        <f t="shared" si="1345"/>
        <v>1.4960589838305102E-2</v>
      </c>
      <c r="S266" s="162">
        <f t="shared" si="1341"/>
        <v>-0.96616597153243755</v>
      </c>
      <c r="T266" s="162">
        <f t="shared" si="1342"/>
        <v>0.25748688549996313</v>
      </c>
      <c r="U266" s="162">
        <f>IFERROR(IF(ISNUMBER(MATCH($X266,Settings!$AK$28:$AK$36,0)),INDEX(Settings!$AO$14:$AO$36,MATCH($X266,Settings!$AK$14:$AK$36,0))/2,INDEX(Settings!$AM$14:$AM$36,MATCH($X266,Settings!$AK$14:$AK$36,0))/2),"")</f>
        <v>0.26450000000000001</v>
      </c>
      <c r="V266" s="162">
        <f t="shared" si="1351"/>
        <v>0.52</v>
      </c>
      <c r="W266" s="75">
        <v>5.2480000000000002</v>
      </c>
      <c r="X266" s="937">
        <f t="shared" si="1346"/>
        <v>1313</v>
      </c>
    </row>
    <row r="267" spans="2:24" x14ac:dyDescent="0.25">
      <c r="B267" s="650">
        <v>-7.2366856873760614</v>
      </c>
      <c r="C267" s="651">
        <v>-2.8502907347596347</v>
      </c>
      <c r="D267" s="652">
        <v>-1.2761109685328469</v>
      </c>
      <c r="E267" s="653">
        <v>-9.9620310595604875E-2</v>
      </c>
      <c r="F267" s="651">
        <v>-0.96714530798656884</v>
      </c>
      <c r="G267" s="654">
        <v>0.23389259705343443</v>
      </c>
      <c r="H267" s="653">
        <v>0.26600000000000001</v>
      </c>
      <c r="I267" s="942">
        <v>0.52</v>
      </c>
      <c r="J267" s="946">
        <v>5.2539999999999996</v>
      </c>
      <c r="K267" s="931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>1313</v>
      </c>
      <c r="L267" s="683"/>
      <c r="M267" s="934"/>
      <c r="N267" s="31" t="str">
        <f t="shared" si="1344"/>
        <v>Y</v>
      </c>
      <c r="O267" s="162">
        <f t="shared" si="1348"/>
        <v>-7.2366856873760614</v>
      </c>
      <c r="P267" s="162">
        <f t="shared" si="1349"/>
        <v>-2.8502907347596347</v>
      </c>
      <c r="Q267" s="162">
        <f t="shared" si="1350"/>
        <v>-1.2761109685328469</v>
      </c>
      <c r="R267" s="162">
        <f t="shared" si="1345"/>
        <v>-9.9620310595604875E-2</v>
      </c>
      <c r="S267" s="162">
        <f t="shared" si="1341"/>
        <v>-0.96714530798656884</v>
      </c>
      <c r="T267" s="162">
        <f t="shared" si="1342"/>
        <v>0.23389259705343443</v>
      </c>
      <c r="U267" s="162">
        <f>IFERROR(IF(ISNUMBER(MATCH($X267,Settings!$AK$28:$AK$36,0)),INDEX(Settings!$AO$14:$AO$36,MATCH($X267,Settings!$AK$14:$AK$36,0))/2,INDEX(Settings!$AM$14:$AM$36,MATCH($X267,Settings!$AK$14:$AK$36,0))/2),"")</f>
        <v>0.26450000000000001</v>
      </c>
      <c r="V267" s="162">
        <f t="shared" si="1351"/>
        <v>0.52</v>
      </c>
      <c r="W267" s="75">
        <v>5.2539999999999996</v>
      </c>
      <c r="X267" s="937">
        <f t="shared" si="1346"/>
        <v>1313</v>
      </c>
    </row>
    <row r="268" spans="2:24" x14ac:dyDescent="0.25">
      <c r="B268" s="650">
        <v>-7.6695485692294252</v>
      </c>
      <c r="C268" s="651">
        <v>-2.8650903544828119</v>
      </c>
      <c r="D268" s="652">
        <v>-1.924811112392536</v>
      </c>
      <c r="E268" s="653">
        <v>-0.1964041128278948</v>
      </c>
      <c r="F268" s="651">
        <v>-0.96415550220482915</v>
      </c>
      <c r="G268" s="654">
        <v>0.17840849764638819</v>
      </c>
      <c r="H268" s="653">
        <v>0.26600000000000001</v>
      </c>
      <c r="I268" s="942">
        <v>0.52</v>
      </c>
      <c r="J268" s="946">
        <v>5.26</v>
      </c>
      <c r="K268" s="931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>1313</v>
      </c>
      <c r="L268" s="683"/>
      <c r="M268" s="934"/>
      <c r="N268" s="31" t="str">
        <f t="shared" si="1344"/>
        <v>Y</v>
      </c>
      <c r="O268" s="162">
        <f t="shared" si="1348"/>
        <v>-7.6695485692294252</v>
      </c>
      <c r="P268" s="162">
        <f t="shared" si="1349"/>
        <v>-2.8650903544828119</v>
      </c>
      <c r="Q268" s="162">
        <f t="shared" si="1350"/>
        <v>-1.924811112392536</v>
      </c>
      <c r="R268" s="162">
        <f t="shared" si="1345"/>
        <v>-0.1964041128278948</v>
      </c>
      <c r="S268" s="162">
        <f t="shared" si="1341"/>
        <v>-0.96415550220482915</v>
      </c>
      <c r="T268" s="162">
        <f t="shared" si="1342"/>
        <v>0.17840849764638819</v>
      </c>
      <c r="U268" s="162">
        <f>IFERROR(IF(ISNUMBER(MATCH($X268,Settings!$AK$28:$AK$36,0)),INDEX(Settings!$AO$14:$AO$36,MATCH($X268,Settings!$AK$14:$AK$36,0))/2,INDEX(Settings!$AM$14:$AM$36,MATCH($X268,Settings!$AK$14:$AK$36,0))/2),"")</f>
        <v>0.26450000000000001</v>
      </c>
      <c r="V268" s="162">
        <f t="shared" si="1351"/>
        <v>0.52</v>
      </c>
      <c r="W268" s="75">
        <v>5.26</v>
      </c>
      <c r="X268" s="937">
        <f t="shared" si="1346"/>
        <v>1313</v>
      </c>
    </row>
    <row r="269" spans="2:24" x14ac:dyDescent="0.25">
      <c r="B269" s="650">
        <v>-7.9507383245691239</v>
      </c>
      <c r="C269" s="651">
        <v>-2.6999492558122258</v>
      </c>
      <c r="D269" s="652">
        <v>-2.661886588190566</v>
      </c>
      <c r="E269" s="653">
        <v>-0.7727944323549879</v>
      </c>
      <c r="F269" s="651">
        <v>-0.26242942146096243</v>
      </c>
      <c r="G269" s="654">
        <v>0.57785773688062414</v>
      </c>
      <c r="H269" s="653">
        <v>0.25700000000000001</v>
      </c>
      <c r="I269" s="942">
        <v>0.41499999999999992</v>
      </c>
      <c r="J269" s="946">
        <v>5.266</v>
      </c>
      <c r="K269" s="931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>CPS-32193r1</v>
      </c>
      <c r="L269" s="683"/>
      <c r="M269" s="934"/>
      <c r="N269" s="31" t="str">
        <f t="shared" si="1344"/>
        <v>Y</v>
      </c>
      <c r="O269" s="162">
        <f t="shared" si="1348"/>
        <v>-7.9507383245691239</v>
      </c>
      <c r="P269" s="162">
        <f t="shared" si="1349"/>
        <v>-2.6999492558122258</v>
      </c>
      <c r="Q269" s="162">
        <f t="shared" si="1350"/>
        <v>-2.661886588190566</v>
      </c>
      <c r="R269" s="162">
        <f t="shared" si="1345"/>
        <v>-0.7727944323549879</v>
      </c>
      <c r="S269" s="162">
        <f t="shared" si="1341"/>
        <v>-0.26242942146096243</v>
      </c>
      <c r="T269" s="162">
        <f t="shared" si="1342"/>
        <v>0.57785773688062414</v>
      </c>
      <c r="U269" s="162">
        <f>IFERROR(IF(ISNUMBER(MATCH($X269,Settings!$AK$28:$AK$36,0)),INDEX(Settings!$AO$14:$AO$36,MATCH($X269,Settings!$AK$14:$AK$36,0))/2,INDEX(Settings!$AM$14:$AM$36,MATCH($X269,Settings!$AK$14:$AK$36,0))/2),"")</f>
        <v>0.255</v>
      </c>
      <c r="V269" s="162">
        <f t="shared" si="1351"/>
        <v>0.41499999999999992</v>
      </c>
      <c r="W269" s="75">
        <v>5.266</v>
      </c>
      <c r="X269" s="937" t="str">
        <f t="shared" si="1346"/>
        <v>CPS-32193r1</v>
      </c>
    </row>
    <row r="270" spans="2:24" x14ac:dyDescent="0.25">
      <c r="B270" s="650">
        <v>-8.0536074439063903</v>
      </c>
      <c r="C270" s="651">
        <v>-2.6118817907832335</v>
      </c>
      <c r="D270" s="652">
        <v>-3.4137253424502729</v>
      </c>
      <c r="E270" s="653">
        <v>-0.85349557703359336</v>
      </c>
      <c r="F270" s="651">
        <v>-0.2767991231135461</v>
      </c>
      <c r="G270" s="654">
        <v>0.44150599704609395</v>
      </c>
      <c r="H270" s="653">
        <v>0.25700000000000001</v>
      </c>
      <c r="I270" s="942">
        <v>0.41499999999999992</v>
      </c>
      <c r="J270" s="946">
        <v>5.2720000000000002</v>
      </c>
      <c r="K270" s="931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>CPS-32193r1</v>
      </c>
      <c r="L270" s="683"/>
      <c r="M270" s="934"/>
      <c r="N270" s="31" t="str">
        <f t="shared" si="1344"/>
        <v>Y</v>
      </c>
      <c r="O270" s="162">
        <f t="shared" si="1348"/>
        <v>-8.0536074439063903</v>
      </c>
      <c r="P270" s="162">
        <f t="shared" si="1349"/>
        <v>-2.6118817907832335</v>
      </c>
      <c r="Q270" s="162">
        <f t="shared" si="1350"/>
        <v>-3.4137253424502729</v>
      </c>
      <c r="R270" s="162">
        <f t="shared" si="1345"/>
        <v>-0.85349557703359336</v>
      </c>
      <c r="S270" s="162">
        <f t="shared" si="1341"/>
        <v>-0.2767991231135461</v>
      </c>
      <c r="T270" s="162">
        <f t="shared" si="1342"/>
        <v>0.44150599704609395</v>
      </c>
      <c r="U270" s="162">
        <f>IFERROR(IF(ISNUMBER(MATCH($X270,Settings!$AK$28:$AK$36,0)),INDEX(Settings!$AO$14:$AO$36,MATCH($X270,Settings!$AK$14:$AK$36,0))/2,INDEX(Settings!$AM$14:$AM$36,MATCH($X270,Settings!$AK$14:$AK$36,0))/2),"")</f>
        <v>0.255</v>
      </c>
      <c r="V270" s="162">
        <f t="shared" si="1351"/>
        <v>0.41499999999999992</v>
      </c>
      <c r="W270" s="75">
        <v>5.2720000000000002</v>
      </c>
      <c r="X270" s="937" t="str">
        <f t="shared" si="1346"/>
        <v>CPS-32193r1</v>
      </c>
    </row>
    <row r="271" spans="2:24" x14ac:dyDescent="0.25">
      <c r="B271" s="650">
        <v>-2.3314340211330946</v>
      </c>
      <c r="C271" s="651">
        <v>1.3460540596990442</v>
      </c>
      <c r="D271" s="652">
        <v>-0.57640173842764331</v>
      </c>
      <c r="E271" s="653">
        <v>-0.42495023251139524</v>
      </c>
      <c r="F271" s="651">
        <v>-0.87000995181435847</v>
      </c>
      <c r="G271" s="654">
        <v>0.24999996726497567</v>
      </c>
      <c r="H271" s="653">
        <v>0.314</v>
      </c>
      <c r="I271" s="942">
        <v>0.52</v>
      </c>
      <c r="J271" s="946">
        <v>6.1109999999999998</v>
      </c>
      <c r="K271" s="931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>1613</v>
      </c>
      <c r="L271" s="683"/>
      <c r="M271" s="934"/>
      <c r="N271" s="31" t="str">
        <f t="shared" si="1344"/>
        <v>Y</v>
      </c>
      <c r="O271" s="162">
        <f t="shared" si="1348"/>
        <v>-2.3314340211330946</v>
      </c>
      <c r="P271" s="162">
        <f t="shared" si="1349"/>
        <v>1.3460540596990442</v>
      </c>
      <c r="Q271" s="162">
        <f t="shared" si="1350"/>
        <v>-0.57640173842764331</v>
      </c>
      <c r="R271" s="162">
        <f t="shared" si="1345"/>
        <v>-0.42495023251139524</v>
      </c>
      <c r="S271" s="162">
        <f t="shared" si="1341"/>
        <v>-0.87000995181435847</v>
      </c>
      <c r="T271" s="162">
        <f t="shared" si="1342"/>
        <v>0.24999996726497567</v>
      </c>
      <c r="U271" s="162">
        <f>IFERROR(IF(ISNUMBER(MATCH($X271,Settings!$AK$28:$AK$36,0)),INDEX(Settings!$AO$14:$AO$36,MATCH($X271,Settings!$AK$14:$AK$36,0))/2,INDEX(Settings!$AM$14:$AM$36,MATCH($X271,Settings!$AK$14:$AK$36,0))/2),"")</f>
        <v>0.3125</v>
      </c>
      <c r="V271" s="162">
        <f t="shared" si="1351"/>
        <v>0.52</v>
      </c>
      <c r="W271" s="75">
        <v>6.1109999999999998</v>
      </c>
      <c r="X271" s="937">
        <f t="shared" si="1346"/>
        <v>1613</v>
      </c>
    </row>
    <row r="272" spans="2:24" x14ac:dyDescent="0.25">
      <c r="B272" s="650">
        <v>-2.9738536031978509</v>
      </c>
      <c r="C272" s="651">
        <v>1.7169551783368182</v>
      </c>
      <c r="D272" s="652">
        <v>-0.37760113884503466</v>
      </c>
      <c r="E272" s="653">
        <v>-0.42495023251139524</v>
      </c>
      <c r="F272" s="651">
        <v>-0.87000995181435847</v>
      </c>
      <c r="G272" s="654">
        <v>0.24999996726497567</v>
      </c>
      <c r="H272" s="653">
        <v>0.314</v>
      </c>
      <c r="I272" s="942">
        <v>0.52</v>
      </c>
      <c r="J272" s="946">
        <v>6.117</v>
      </c>
      <c r="K272" s="931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>1613</v>
      </c>
      <c r="L272" s="683"/>
      <c r="M272" s="934"/>
      <c r="N272" s="31" t="str">
        <f t="shared" si="1344"/>
        <v>Y</v>
      </c>
      <c r="O272" s="162">
        <f t="shared" si="1348"/>
        <v>-2.9738536031978509</v>
      </c>
      <c r="P272" s="162">
        <f t="shared" si="1349"/>
        <v>1.7169551783368182</v>
      </c>
      <c r="Q272" s="162">
        <f t="shared" si="1350"/>
        <v>-0.37760113884503466</v>
      </c>
      <c r="R272" s="162">
        <f t="shared" si="1345"/>
        <v>-0.42495023251139524</v>
      </c>
      <c r="S272" s="162">
        <f t="shared" si="1341"/>
        <v>-0.87000995181435847</v>
      </c>
      <c r="T272" s="162">
        <f t="shared" si="1342"/>
        <v>0.24999996726497567</v>
      </c>
      <c r="U272" s="162">
        <f>IFERROR(IF(ISNUMBER(MATCH($X272,Settings!$AK$28:$AK$36,0)),INDEX(Settings!$AO$14:$AO$36,MATCH($X272,Settings!$AK$14:$AK$36,0))/2,INDEX(Settings!$AM$14:$AM$36,MATCH($X272,Settings!$AK$14:$AK$36,0))/2),"")</f>
        <v>0.3125</v>
      </c>
      <c r="V272" s="162">
        <f t="shared" si="1351"/>
        <v>0.52</v>
      </c>
      <c r="W272" s="75">
        <v>6.117</v>
      </c>
      <c r="X272" s="937">
        <f t="shared" si="1346"/>
        <v>1613</v>
      </c>
    </row>
    <row r="273" spans="2:24" x14ac:dyDescent="0.25">
      <c r="B273" s="650">
        <v>-3.6164463908657534</v>
      </c>
      <c r="C273" s="651">
        <v>2.087956297276194</v>
      </c>
      <c r="D273" s="652">
        <v>-0.17880053926242614</v>
      </c>
      <c r="E273" s="653">
        <v>-0.43636080064898414</v>
      </c>
      <c r="F273" s="651">
        <v>-0.86342205722851495</v>
      </c>
      <c r="G273" s="654">
        <v>0.2531631939051503</v>
      </c>
      <c r="H273" s="653">
        <v>0.314</v>
      </c>
      <c r="I273" s="942">
        <v>0.52</v>
      </c>
      <c r="J273" s="946">
        <v>6.1230000000000002</v>
      </c>
      <c r="K273" s="931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>1613</v>
      </c>
      <c r="L273" s="683"/>
      <c r="M273" s="934"/>
      <c r="N273" s="31" t="str">
        <f t="shared" si="1344"/>
        <v>Y</v>
      </c>
      <c r="O273" s="162">
        <f t="shared" si="1348"/>
        <v>-3.6164463908657534</v>
      </c>
      <c r="P273" s="162">
        <f t="shared" si="1349"/>
        <v>2.087956297276194</v>
      </c>
      <c r="Q273" s="162">
        <f t="shared" si="1350"/>
        <v>-0.17880053926242614</v>
      </c>
      <c r="R273" s="162">
        <f t="shared" si="1345"/>
        <v>-0.43636080064898414</v>
      </c>
      <c r="S273" s="162">
        <f t="shared" si="1341"/>
        <v>-0.86342205722851495</v>
      </c>
      <c r="T273" s="162">
        <f t="shared" si="1342"/>
        <v>0.2531631939051503</v>
      </c>
      <c r="U273" s="162">
        <f>IFERROR(IF(ISNUMBER(MATCH($X273,Settings!$AK$28:$AK$36,0)),INDEX(Settings!$AO$14:$AO$36,MATCH($X273,Settings!$AK$14:$AK$36,0))/2,INDEX(Settings!$AM$14:$AM$36,MATCH($X273,Settings!$AK$14:$AK$36,0))/2),"")</f>
        <v>0.3125</v>
      </c>
      <c r="V273" s="162">
        <f t="shared" si="1351"/>
        <v>0.52</v>
      </c>
      <c r="W273" s="75">
        <v>6.1230000000000002</v>
      </c>
      <c r="X273" s="937">
        <f t="shared" si="1346"/>
        <v>1613</v>
      </c>
    </row>
    <row r="274" spans="2:24" x14ac:dyDescent="0.25">
      <c r="B274" s="650">
        <v>-4.2554743356573015</v>
      </c>
      <c r="C274" s="651">
        <v>2.4984693626401682</v>
      </c>
      <c r="D274" s="652">
        <v>-4.7200142355629242E-2</v>
      </c>
      <c r="E274" s="653">
        <v>-0.53796966048394357</v>
      </c>
      <c r="F274" s="651">
        <v>-0.80238652925397336</v>
      </c>
      <c r="G274" s="654">
        <v>0.25838827773440692</v>
      </c>
      <c r="H274" s="653">
        <v>0.314</v>
      </c>
      <c r="I274" s="942">
        <v>0.52</v>
      </c>
      <c r="J274" s="946">
        <v>6.1289999999999996</v>
      </c>
      <c r="K274" s="931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>1613</v>
      </c>
      <c r="L274" s="683"/>
      <c r="M274" s="934"/>
      <c r="N274" s="31" t="str">
        <f t="shared" si="1344"/>
        <v>Y</v>
      </c>
      <c r="O274" s="162">
        <f t="shared" si="1348"/>
        <v>-4.2554743356573015</v>
      </c>
      <c r="P274" s="162">
        <f t="shared" si="1349"/>
        <v>2.4984693626401682</v>
      </c>
      <c r="Q274" s="162">
        <f t="shared" si="1350"/>
        <v>-4.7200142355629242E-2</v>
      </c>
      <c r="R274" s="162">
        <f t="shared" si="1345"/>
        <v>-0.53796966048394357</v>
      </c>
      <c r="S274" s="162">
        <f t="shared" si="1341"/>
        <v>-0.80238652925397336</v>
      </c>
      <c r="T274" s="162">
        <f t="shared" si="1342"/>
        <v>0.25838827773440692</v>
      </c>
      <c r="U274" s="162">
        <f>IFERROR(IF(ISNUMBER(MATCH($X274,Settings!$AK$28:$AK$36,0)),INDEX(Settings!$AO$14:$AO$36,MATCH($X274,Settings!$AK$14:$AK$36,0))/2,INDEX(Settings!$AM$14:$AM$36,MATCH($X274,Settings!$AK$14:$AK$36,0))/2),"")</f>
        <v>0.3125</v>
      </c>
      <c r="V274" s="162">
        <f t="shared" si="1351"/>
        <v>0.52</v>
      </c>
      <c r="W274" s="75">
        <v>6.1289999999999996</v>
      </c>
      <c r="X274" s="937">
        <f t="shared" si="1346"/>
        <v>1613</v>
      </c>
    </row>
    <row r="275" spans="2:24" x14ac:dyDescent="0.25">
      <c r="B275" s="650">
        <v>-4.8935562308972029</v>
      </c>
      <c r="C275" s="651">
        <v>2.9341876958801292</v>
      </c>
      <c r="D275" s="652">
        <v>-9.2900280187244916E-2</v>
      </c>
      <c r="E275" s="653">
        <v>-0.60345746693328461</v>
      </c>
      <c r="F275" s="651">
        <v>-0.75950953930490117</v>
      </c>
      <c r="G275" s="654">
        <v>0.24286692921705239</v>
      </c>
      <c r="H275" s="653">
        <v>0.314</v>
      </c>
      <c r="I275" s="942">
        <v>0.52</v>
      </c>
      <c r="J275" s="946">
        <v>6.1349999999999998</v>
      </c>
      <c r="K275" s="931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>1613</v>
      </c>
      <c r="L275" s="683"/>
      <c r="M275" s="934"/>
      <c r="N275" s="31" t="str">
        <f t="shared" si="1344"/>
        <v>Y</v>
      </c>
      <c r="O275" s="162">
        <f t="shared" si="1348"/>
        <v>-4.8935562308972029</v>
      </c>
      <c r="P275" s="162">
        <f t="shared" si="1349"/>
        <v>2.9341876958801292</v>
      </c>
      <c r="Q275" s="162">
        <f t="shared" si="1350"/>
        <v>-9.2900280187244916E-2</v>
      </c>
      <c r="R275" s="162">
        <f t="shared" si="1345"/>
        <v>-0.60345746693328461</v>
      </c>
      <c r="S275" s="162">
        <f t="shared" si="1341"/>
        <v>-0.75950953930490117</v>
      </c>
      <c r="T275" s="162">
        <f t="shared" si="1342"/>
        <v>0.24286692921705239</v>
      </c>
      <c r="U275" s="162">
        <f>IFERROR(IF(ISNUMBER(MATCH($X275,Settings!$AK$28:$AK$36,0)),INDEX(Settings!$AO$14:$AO$36,MATCH($X275,Settings!$AK$14:$AK$36,0))/2,INDEX(Settings!$AM$14:$AM$36,MATCH($X275,Settings!$AK$14:$AK$36,0))/2),"")</f>
        <v>0.3125</v>
      </c>
      <c r="V275" s="162">
        <f t="shared" si="1351"/>
        <v>0.52</v>
      </c>
      <c r="W275" s="75">
        <v>6.1349999999999998</v>
      </c>
      <c r="X275" s="937">
        <f t="shared" si="1346"/>
        <v>1613</v>
      </c>
    </row>
    <row r="276" spans="2:24" x14ac:dyDescent="0.25">
      <c r="B276" s="650">
        <v>-5.4819333135713562</v>
      </c>
      <c r="C276" s="651">
        <v>3.3667074460685478</v>
      </c>
      <c r="D276" s="652">
        <v>-0.30860093074040706</v>
      </c>
      <c r="E276" s="653">
        <v>-0.66981812070357039</v>
      </c>
      <c r="F276" s="651">
        <v>-0.70759077349546506</v>
      </c>
      <c r="G276" s="654">
        <v>0.22507550386753938</v>
      </c>
      <c r="H276" s="653">
        <v>0.314</v>
      </c>
      <c r="I276" s="942">
        <v>0.52</v>
      </c>
      <c r="J276" s="946">
        <v>6.141</v>
      </c>
      <c r="K276" s="931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>1613</v>
      </c>
      <c r="L276" s="683"/>
      <c r="M276" s="934"/>
      <c r="N276" s="31" t="str">
        <f t="shared" si="1344"/>
        <v>Y</v>
      </c>
      <c r="O276" s="162">
        <f t="shared" si="1348"/>
        <v>-5.4819333135713562</v>
      </c>
      <c r="P276" s="162">
        <f t="shared" si="1349"/>
        <v>3.3667074460685478</v>
      </c>
      <c r="Q276" s="162">
        <f t="shared" si="1350"/>
        <v>-0.30860093074040706</v>
      </c>
      <c r="R276" s="162">
        <f t="shared" si="1345"/>
        <v>-0.66981812070357039</v>
      </c>
      <c r="S276" s="162">
        <f t="shared" si="1341"/>
        <v>-0.70759077349546506</v>
      </c>
      <c r="T276" s="162">
        <f t="shared" si="1342"/>
        <v>0.22507550386753938</v>
      </c>
      <c r="U276" s="162">
        <f>IFERROR(IF(ISNUMBER(MATCH($X276,Settings!$AK$28:$AK$36,0)),INDEX(Settings!$AO$14:$AO$36,MATCH($X276,Settings!$AK$14:$AK$36,0))/2,INDEX(Settings!$AM$14:$AM$36,MATCH($X276,Settings!$AK$14:$AK$36,0))/2),"")</f>
        <v>0.3125</v>
      </c>
      <c r="V276" s="162">
        <f t="shared" si="1351"/>
        <v>0.52</v>
      </c>
      <c r="W276" s="75">
        <v>6.141</v>
      </c>
      <c r="X276" s="937">
        <f t="shared" si="1346"/>
        <v>1613</v>
      </c>
    </row>
    <row r="277" spans="2:24" x14ac:dyDescent="0.25">
      <c r="B277" s="650">
        <v>-6.0062069062677415</v>
      </c>
      <c r="C277" s="651">
        <v>3.7789439728097891</v>
      </c>
      <c r="D277" s="652">
        <v>-0.68210205721980444</v>
      </c>
      <c r="E277" s="653">
        <v>-0.73594433874123244</v>
      </c>
      <c r="F277" s="651">
        <v>-0.64013886229483175</v>
      </c>
      <c r="G277" s="654">
        <v>0.22047259978194245</v>
      </c>
      <c r="H277" s="653">
        <v>0.314</v>
      </c>
      <c r="I277" s="942">
        <v>0.52</v>
      </c>
      <c r="J277" s="946">
        <v>6.1470000000000002</v>
      </c>
      <c r="K277" s="931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>1613</v>
      </c>
      <c r="L277" s="683"/>
      <c r="M277" s="934"/>
      <c r="N277" s="31" t="str">
        <f t="shared" si="1344"/>
        <v>Y</v>
      </c>
      <c r="O277" s="162">
        <f t="shared" si="1348"/>
        <v>-6.0062069062677415</v>
      </c>
      <c r="P277" s="162">
        <f t="shared" si="1349"/>
        <v>3.7789439728097891</v>
      </c>
      <c r="Q277" s="162">
        <f t="shared" si="1350"/>
        <v>-0.68210205721980444</v>
      </c>
      <c r="R277" s="162">
        <f t="shared" si="1345"/>
        <v>-0.73594433874123244</v>
      </c>
      <c r="S277" s="162">
        <f t="shared" si="1341"/>
        <v>-0.64013886229483175</v>
      </c>
      <c r="T277" s="162">
        <f t="shared" si="1342"/>
        <v>0.22047259978194245</v>
      </c>
      <c r="U277" s="162">
        <f>IFERROR(IF(ISNUMBER(MATCH($X277,Settings!$AK$28:$AK$36,0)),INDEX(Settings!$AO$14:$AO$36,MATCH($X277,Settings!$AK$14:$AK$36,0))/2,INDEX(Settings!$AM$14:$AM$36,MATCH($X277,Settings!$AK$14:$AK$36,0))/2),"")</f>
        <v>0.3125</v>
      </c>
      <c r="V277" s="162">
        <f t="shared" si="1351"/>
        <v>0.52</v>
      </c>
      <c r="W277" s="75">
        <v>6.1470000000000002</v>
      </c>
      <c r="X277" s="937">
        <f t="shared" si="1346"/>
        <v>1613</v>
      </c>
    </row>
    <row r="278" spans="2:24" x14ac:dyDescent="0.25">
      <c r="B278" s="650">
        <v>-6.4392688947035133</v>
      </c>
      <c r="C278" s="651">
        <v>4.1396528347020656</v>
      </c>
      <c r="D278" s="652">
        <v>-1.193403599305257</v>
      </c>
      <c r="E278" s="653">
        <v>-0.79646100447322343</v>
      </c>
      <c r="F278" s="651">
        <v>-0.57159814991413338</v>
      </c>
      <c r="G278" s="654">
        <v>0.19729526950295598</v>
      </c>
      <c r="H278" s="653">
        <v>0.314</v>
      </c>
      <c r="I278" s="942">
        <v>0.52</v>
      </c>
      <c r="J278" s="946">
        <v>6.1529999999999996</v>
      </c>
      <c r="K278" s="931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>1613</v>
      </c>
      <c r="L278" s="683"/>
      <c r="M278" s="934"/>
      <c r="N278" s="31" t="str">
        <f t="shared" si="1344"/>
        <v>Y</v>
      </c>
      <c r="O278" s="162">
        <f t="shared" si="1348"/>
        <v>-6.4392688947035133</v>
      </c>
      <c r="P278" s="162">
        <f t="shared" si="1349"/>
        <v>4.1396528347020656</v>
      </c>
      <c r="Q278" s="162">
        <f t="shared" si="1350"/>
        <v>-1.193403599305257</v>
      </c>
      <c r="R278" s="162">
        <f t="shared" si="1345"/>
        <v>-0.79646100447322343</v>
      </c>
      <c r="S278" s="162">
        <f t="shared" si="1341"/>
        <v>-0.57159814991413338</v>
      </c>
      <c r="T278" s="162">
        <f t="shared" si="1342"/>
        <v>0.19729526950295598</v>
      </c>
      <c r="U278" s="162">
        <f>IFERROR(IF(ISNUMBER(MATCH($X278,Settings!$AK$28:$AK$36,0)),INDEX(Settings!$AO$14:$AO$36,MATCH($X278,Settings!$AK$14:$AK$36,0))/2,INDEX(Settings!$AM$14:$AM$36,MATCH($X278,Settings!$AK$14:$AK$36,0))/2),"")</f>
        <v>0.3125</v>
      </c>
      <c r="V278" s="162">
        <f t="shared" si="1351"/>
        <v>0.52</v>
      </c>
      <c r="W278" s="75">
        <v>6.1529999999999996</v>
      </c>
      <c r="X278" s="937">
        <f t="shared" si="1346"/>
        <v>1613</v>
      </c>
    </row>
    <row r="279" spans="2:24" x14ac:dyDescent="0.25">
      <c r="B279" s="650">
        <v>-6.768446547271</v>
      </c>
      <c r="C279" s="651">
        <v>4.427122901729355</v>
      </c>
      <c r="D279" s="652">
        <v>-1.818605484914142</v>
      </c>
      <c r="E279" s="653">
        <v>-0.85344063870197839</v>
      </c>
      <c r="F279" s="651">
        <v>-0.49342552413850421</v>
      </c>
      <c r="G279" s="654">
        <v>0.16784018690588293</v>
      </c>
      <c r="H279" s="653">
        <v>0.314</v>
      </c>
      <c r="I279" s="942">
        <v>0.52</v>
      </c>
      <c r="J279" s="946">
        <v>6.1589999999999998</v>
      </c>
      <c r="K279" s="931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>1613</v>
      </c>
      <c r="L279" s="683"/>
      <c r="M279" s="934"/>
      <c r="N279" s="31" t="str">
        <f t="shared" si="1344"/>
        <v>Y</v>
      </c>
      <c r="O279" s="162">
        <f t="shared" si="1348"/>
        <v>-6.768446547271</v>
      </c>
      <c r="P279" s="162">
        <f t="shared" si="1349"/>
        <v>4.427122901729355</v>
      </c>
      <c r="Q279" s="162">
        <f t="shared" si="1350"/>
        <v>-1.818605484914142</v>
      </c>
      <c r="R279" s="162">
        <f t="shared" si="1345"/>
        <v>-0.85344063870197839</v>
      </c>
      <c r="S279" s="162">
        <f t="shared" si="1341"/>
        <v>-0.49342552413850421</v>
      </c>
      <c r="T279" s="162">
        <f t="shared" si="1342"/>
        <v>0.16784018690588293</v>
      </c>
      <c r="U279" s="162">
        <f>IFERROR(IF(ISNUMBER(MATCH($X279,Settings!$AK$28:$AK$36,0)),INDEX(Settings!$AO$14:$AO$36,MATCH($X279,Settings!$AK$14:$AK$36,0))/2,INDEX(Settings!$AM$14:$AM$36,MATCH($X279,Settings!$AK$14:$AK$36,0))/2),"")</f>
        <v>0.3125</v>
      </c>
      <c r="V279" s="162">
        <f t="shared" si="1351"/>
        <v>0.52</v>
      </c>
      <c r="W279" s="75">
        <v>6.1589999999999998</v>
      </c>
      <c r="X279" s="937">
        <f t="shared" si="1346"/>
        <v>1613</v>
      </c>
    </row>
    <row r="280" spans="2:24" x14ac:dyDescent="0.25">
      <c r="B280" s="650">
        <v>-6.9755139448431747</v>
      </c>
      <c r="C280" s="651">
        <v>4.614191086673908</v>
      </c>
      <c r="D280" s="652">
        <v>-2.5263076193437803</v>
      </c>
      <c r="E280" s="653">
        <v>-0.89487214629348033</v>
      </c>
      <c r="F280" s="651">
        <v>-0.43206705969041537</v>
      </c>
      <c r="G280" s="654">
        <v>0.11190128559842012</v>
      </c>
      <c r="H280" s="653">
        <v>0.314</v>
      </c>
      <c r="I280" s="942">
        <v>0.52</v>
      </c>
      <c r="J280" s="946">
        <v>6.165</v>
      </c>
      <c r="K280" s="931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>1613</v>
      </c>
      <c r="L280" s="683"/>
      <c r="M280" s="934"/>
      <c r="N280" s="31" t="str">
        <f t="shared" si="1344"/>
        <v>Y</v>
      </c>
      <c r="O280" s="162">
        <f t="shared" si="1348"/>
        <v>-6.9755139448431747</v>
      </c>
      <c r="P280" s="162">
        <f t="shared" si="1349"/>
        <v>4.614191086673908</v>
      </c>
      <c r="Q280" s="162">
        <f t="shared" si="1350"/>
        <v>-2.5263076193437803</v>
      </c>
      <c r="R280" s="162">
        <f t="shared" si="1345"/>
        <v>-0.89487214629348033</v>
      </c>
      <c r="S280" s="162">
        <f t="shared" si="1341"/>
        <v>-0.43206705969041537</v>
      </c>
      <c r="T280" s="162">
        <f t="shared" si="1342"/>
        <v>0.11190128559842012</v>
      </c>
      <c r="U280" s="162">
        <f>IFERROR(IF(ISNUMBER(MATCH($X280,Settings!$AK$28:$AK$36,0)),INDEX(Settings!$AO$14:$AO$36,MATCH($X280,Settings!$AK$14:$AK$36,0))/2,INDEX(Settings!$AM$14:$AM$36,MATCH($X280,Settings!$AK$14:$AK$36,0))/2),"")</f>
        <v>0.3125</v>
      </c>
      <c r="V280" s="162">
        <f t="shared" si="1351"/>
        <v>0.52</v>
      </c>
      <c r="W280" s="75">
        <v>6.165</v>
      </c>
      <c r="X280" s="937">
        <f t="shared" si="1346"/>
        <v>1613</v>
      </c>
    </row>
    <row r="281" spans="2:24" x14ac:dyDescent="0.25">
      <c r="B281" s="650">
        <v>-7.0567828700739135</v>
      </c>
      <c r="C281" s="651">
        <v>4.6888703088475348</v>
      </c>
      <c r="D281" s="652">
        <v>-3.2753098783345931</v>
      </c>
      <c r="E281" s="653">
        <v>-0.92431331064886146</v>
      </c>
      <c r="F281" s="651">
        <v>-0.37896704813194942</v>
      </c>
      <c r="G281" s="654">
        <v>4.5043092561434989E-2</v>
      </c>
      <c r="H281" s="653">
        <v>0.314</v>
      </c>
      <c r="I281" s="942">
        <v>0.52</v>
      </c>
      <c r="J281" s="946">
        <v>6.1710000000000003</v>
      </c>
      <c r="K281" s="931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>1613</v>
      </c>
      <c r="L281" s="683"/>
      <c r="M281" s="934"/>
      <c r="N281" s="31" t="str">
        <f t="shared" si="1344"/>
        <v>Y</v>
      </c>
      <c r="O281" s="162">
        <f t="shared" si="1348"/>
        <v>-7.0567828700739135</v>
      </c>
      <c r="P281" s="162">
        <f t="shared" si="1349"/>
        <v>4.6888703088475348</v>
      </c>
      <c r="Q281" s="162">
        <f t="shared" si="1350"/>
        <v>-3.2753098783345931</v>
      </c>
      <c r="R281" s="162">
        <f t="shared" si="1345"/>
        <v>-0.92431331064886146</v>
      </c>
      <c r="S281" s="162">
        <f t="shared" si="1341"/>
        <v>-0.37896704813194942</v>
      </c>
      <c r="T281" s="162">
        <f t="shared" si="1342"/>
        <v>4.5043092561434989E-2</v>
      </c>
      <c r="U281" s="162">
        <f>IFERROR(IF(ISNUMBER(MATCH($X281,Settings!$AK$28:$AK$36,0)),INDEX(Settings!$AO$14:$AO$36,MATCH($X281,Settings!$AK$14:$AK$36,0))/2,INDEX(Settings!$AM$14:$AM$36,MATCH($X281,Settings!$AK$14:$AK$36,0))/2),"")</f>
        <v>0.3125</v>
      </c>
      <c r="V281" s="162">
        <f t="shared" si="1351"/>
        <v>0.52</v>
      </c>
      <c r="W281" s="75">
        <v>6.1710000000000003</v>
      </c>
      <c r="X281" s="937">
        <f t="shared" si="1346"/>
        <v>1613</v>
      </c>
    </row>
    <row r="282" spans="2:24" x14ac:dyDescent="0.25">
      <c r="B282" s="650">
        <v>-7.1073931756442343</v>
      </c>
      <c r="C282" s="651">
        <v>4.7357418208793396</v>
      </c>
      <c r="D282" s="652">
        <v>-4.0232121340077969</v>
      </c>
      <c r="E282" s="653">
        <v>-0.95968761144423309</v>
      </c>
      <c r="F282" s="651">
        <v>-0.28106883221097551</v>
      </c>
      <c r="G282" s="654">
        <v>1.4578093222521901E-7</v>
      </c>
      <c r="H282" s="653">
        <v>0.314</v>
      </c>
      <c r="I282" s="942">
        <v>0.52</v>
      </c>
      <c r="J282" s="946">
        <v>6.1779999999999999</v>
      </c>
      <c r="K282" s="931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>1613</v>
      </c>
      <c r="L282" s="683"/>
      <c r="M282" s="934"/>
      <c r="N282" s="31" t="str">
        <f t="shared" si="1344"/>
        <v>Y</v>
      </c>
      <c r="O282" s="162">
        <f t="shared" si="1348"/>
        <v>-7.1073931756442343</v>
      </c>
      <c r="P282" s="162">
        <f t="shared" si="1349"/>
        <v>4.7357418208793396</v>
      </c>
      <c r="Q282" s="162">
        <f t="shared" si="1350"/>
        <v>-4.0232121340077969</v>
      </c>
      <c r="R282" s="162">
        <f t="shared" si="1345"/>
        <v>-0.95968761144423309</v>
      </c>
      <c r="S282" s="162">
        <f t="shared" si="1341"/>
        <v>-0.28106883221097551</v>
      </c>
      <c r="T282" s="162">
        <f t="shared" si="1342"/>
        <v>1.4578093222521901E-7</v>
      </c>
      <c r="U282" s="162">
        <f>IFERROR(IF(ISNUMBER(MATCH($X282,Settings!$AK$28:$AK$36,0)),INDEX(Settings!$AO$14:$AO$36,MATCH($X282,Settings!$AK$14:$AK$36,0))/2,INDEX(Settings!$AM$14:$AM$36,MATCH($X282,Settings!$AK$14:$AK$36,0))/2),"")</f>
        <v>0.3125</v>
      </c>
      <c r="V282" s="162">
        <f t="shared" si="1351"/>
        <v>0.52</v>
      </c>
      <c r="W282" s="75">
        <v>6.1779999999999999</v>
      </c>
      <c r="X282" s="937">
        <f t="shared" si="1346"/>
        <v>1613</v>
      </c>
    </row>
    <row r="283" spans="2:24" x14ac:dyDescent="0.25">
      <c r="B283" s="650">
        <v>-3.6272260007270498</v>
      </c>
      <c r="C283" s="651">
        <v>3.3607180883008665</v>
      </c>
      <c r="D283" s="652">
        <v>-2.5300031064893692E-2</v>
      </c>
      <c r="E283" s="653">
        <v>-1.5413998805203605E-7</v>
      </c>
      <c r="F283" s="651">
        <v>-1.6636342520165549E-7</v>
      </c>
      <c r="G283" s="654">
        <v>0.99999999999997435</v>
      </c>
      <c r="H283" s="653">
        <v>0.25700000000000001</v>
      </c>
      <c r="I283" s="942">
        <v>0.41499999999999992</v>
      </c>
      <c r="J283" s="946">
        <v>6.2290000000000001</v>
      </c>
      <c r="K283" s="931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>CPS-32193r1</v>
      </c>
      <c r="L283" s="683"/>
      <c r="M283" s="934"/>
      <c r="N283" s="31" t="str">
        <f t="shared" si="1344"/>
        <v>Y</v>
      </c>
      <c r="O283" s="162">
        <f t="shared" si="1348"/>
        <v>-3.6272260007270498</v>
      </c>
      <c r="P283" s="162">
        <f t="shared" si="1349"/>
        <v>3.3607180883008665</v>
      </c>
      <c r="Q283" s="162">
        <f t="shared" si="1350"/>
        <v>-2.5300031064893692E-2</v>
      </c>
      <c r="R283" s="162">
        <f t="shared" si="1345"/>
        <v>-1.5413998805203605E-7</v>
      </c>
      <c r="S283" s="162">
        <f t="shared" si="1341"/>
        <v>-1.6636342520165549E-7</v>
      </c>
      <c r="T283" s="162">
        <f t="shared" si="1342"/>
        <v>0.99999999999997435</v>
      </c>
      <c r="U283" s="162">
        <f>IFERROR(IF(ISNUMBER(MATCH($X283,Settings!$AK$28:$AK$36,0)),INDEX(Settings!$AO$14:$AO$36,MATCH($X283,Settings!$AK$14:$AK$36,0))/2,INDEX(Settings!$AM$14:$AM$36,MATCH($X283,Settings!$AK$14:$AK$36,0))/2),"")</f>
        <v>0.255</v>
      </c>
      <c r="V283" s="162">
        <f t="shared" si="1351"/>
        <v>0.41499999999999992</v>
      </c>
      <c r="W283" s="75">
        <v>6.2290000000000001</v>
      </c>
      <c r="X283" s="937" t="str">
        <f t="shared" si="1346"/>
        <v>CPS-32193r1</v>
      </c>
    </row>
    <row r="284" spans="2:24" x14ac:dyDescent="0.25">
      <c r="B284" s="650">
        <v>-4.1941102833670572</v>
      </c>
      <c r="C284" s="651">
        <v>3.8996179781701219</v>
      </c>
      <c r="D284" s="652">
        <v>-7.5600182770151084E-2</v>
      </c>
      <c r="E284" s="653">
        <v>-9.8124979833129747E-2</v>
      </c>
      <c r="F284" s="651">
        <v>9.1234757976380573E-2</v>
      </c>
      <c r="G284" s="654">
        <v>0.99098320231462012</v>
      </c>
      <c r="H284" s="653">
        <v>0.25700000000000001</v>
      </c>
      <c r="I284" s="942">
        <v>0.41499999999999992</v>
      </c>
      <c r="J284" s="946">
        <v>6.2350000000000003</v>
      </c>
      <c r="K284" s="931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>CPS-32193r1</v>
      </c>
      <c r="L284" s="683"/>
      <c r="M284" s="934"/>
      <c r="N284" s="31" t="str">
        <f t="shared" si="1344"/>
        <v>Y</v>
      </c>
      <c r="O284" s="162">
        <f t="shared" si="1348"/>
        <v>-4.1941102833670572</v>
      </c>
      <c r="P284" s="162">
        <f t="shared" si="1349"/>
        <v>3.8996179781701219</v>
      </c>
      <c r="Q284" s="162">
        <f t="shared" si="1350"/>
        <v>-7.5600182770151084E-2</v>
      </c>
      <c r="R284" s="162">
        <f t="shared" si="1345"/>
        <v>-9.8124979833129747E-2</v>
      </c>
      <c r="S284" s="162">
        <f t="shared" si="1341"/>
        <v>9.1234757976380573E-2</v>
      </c>
      <c r="T284" s="162">
        <f t="shared" si="1342"/>
        <v>0.99098320231462012</v>
      </c>
      <c r="U284" s="162">
        <f>IFERROR(IF(ISNUMBER(MATCH($X284,Settings!$AK$28:$AK$36,0)),INDEX(Settings!$AO$14:$AO$36,MATCH($X284,Settings!$AK$14:$AK$36,0))/2,INDEX(Settings!$AM$14:$AM$36,MATCH($X284,Settings!$AK$14:$AK$36,0))/2),"")</f>
        <v>0.255</v>
      </c>
      <c r="V284" s="162">
        <f t="shared" si="1351"/>
        <v>0.41499999999999992</v>
      </c>
      <c r="W284" s="75">
        <v>6.2350000000000003</v>
      </c>
      <c r="X284" s="937" t="str">
        <f t="shared" si="1346"/>
        <v>CPS-32193r1</v>
      </c>
    </row>
    <row r="285" spans="2:24" x14ac:dyDescent="0.25">
      <c r="B285" s="655">
        <v>-4.8348360521767075</v>
      </c>
      <c r="C285" s="656">
        <v>4.2885728025754464</v>
      </c>
      <c r="D285" s="657">
        <v>-0.28219780314945042</v>
      </c>
      <c r="E285" s="658">
        <v>-0.80393967306043945</v>
      </c>
      <c r="F285" s="656">
        <v>-0.52127447774067959</v>
      </c>
      <c r="G285" s="659">
        <v>0.28627595242293008</v>
      </c>
      <c r="H285" s="658">
        <v>0.26600000000000001</v>
      </c>
      <c r="I285" s="943">
        <v>0.52</v>
      </c>
      <c r="J285" s="947">
        <v>6.2409999999999997</v>
      </c>
      <c r="K285" s="932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>1313</v>
      </c>
      <c r="L285" s="683"/>
      <c r="M285" s="934"/>
      <c r="N285" s="31" t="str">
        <f t="shared" si="1344"/>
        <v>Y</v>
      </c>
      <c r="O285" s="162">
        <f t="shared" si="1348"/>
        <v>-4.8348360521767075</v>
      </c>
      <c r="P285" s="162">
        <f t="shared" si="1349"/>
        <v>4.2885728025754464</v>
      </c>
      <c r="Q285" s="162">
        <f t="shared" si="1350"/>
        <v>-0.28219780314945042</v>
      </c>
      <c r="R285" s="162">
        <f t="shared" si="1345"/>
        <v>-0.80393967306043945</v>
      </c>
      <c r="S285" s="162">
        <f t="shared" si="1341"/>
        <v>-0.52127447774067959</v>
      </c>
      <c r="T285" s="162">
        <f t="shared" si="1342"/>
        <v>0.28627595242293008</v>
      </c>
      <c r="U285" s="162">
        <f>IFERROR(IF(ISNUMBER(MATCH($X285,Settings!$AK$28:$AK$36,0)),INDEX(Settings!$AO$14:$AO$36,MATCH($X285,Settings!$AK$14:$AK$36,0))/2,INDEX(Settings!$AM$14:$AM$36,MATCH($X285,Settings!$AK$14:$AK$36,0))/2),"")</f>
        <v>0.26450000000000001</v>
      </c>
      <c r="V285" s="162">
        <f t="shared" si="1351"/>
        <v>0.52</v>
      </c>
      <c r="W285" s="75">
        <v>6.2409999999999997</v>
      </c>
      <c r="X285" s="937">
        <f t="shared" si="1346"/>
        <v>1313</v>
      </c>
    </row>
    <row r="286" spans="2:24" x14ac:dyDescent="0.25">
      <c r="B286" s="655">
        <v>-5.2601734583719422</v>
      </c>
      <c r="C286" s="656">
        <v>4.8156901455725478</v>
      </c>
      <c r="D286" s="657">
        <v>-0.66133887777967126</v>
      </c>
      <c r="E286" s="658">
        <v>-0.86181242889355159</v>
      </c>
      <c r="F286" s="656">
        <v>-0.42954724382858983</v>
      </c>
      <c r="G286" s="659">
        <v>0.2697563766138979</v>
      </c>
      <c r="H286" s="658">
        <v>0.26600000000000001</v>
      </c>
      <c r="I286" s="943">
        <v>0.52</v>
      </c>
      <c r="J286" s="947">
        <v>6.2469999999999999</v>
      </c>
      <c r="K286" s="932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>1313</v>
      </c>
      <c r="L286" s="683"/>
      <c r="M286" s="934"/>
      <c r="N286" s="31" t="str">
        <f t="shared" si="1344"/>
        <v>Y</v>
      </c>
      <c r="O286" s="162">
        <f t="shared" si="1348"/>
        <v>-5.2601734583719422</v>
      </c>
      <c r="P286" s="162">
        <f t="shared" si="1349"/>
        <v>4.8156901455725478</v>
      </c>
      <c r="Q286" s="162">
        <f t="shared" si="1350"/>
        <v>-0.66133887777967126</v>
      </c>
      <c r="R286" s="162">
        <f t="shared" si="1345"/>
        <v>-0.86181242889355159</v>
      </c>
      <c r="S286" s="162">
        <f t="shared" si="1341"/>
        <v>-0.42954724382858983</v>
      </c>
      <c r="T286" s="162">
        <f t="shared" si="1342"/>
        <v>0.2697563766138979</v>
      </c>
      <c r="U286" s="162">
        <f>IFERROR(IF(ISNUMBER(MATCH($X286,Settings!$AK$28:$AK$36,0)),INDEX(Settings!$AO$14:$AO$36,MATCH($X286,Settings!$AK$14:$AK$36,0))/2,INDEX(Settings!$AM$14:$AM$36,MATCH($X286,Settings!$AK$14:$AK$36,0))/2),"")</f>
        <v>0.26450000000000001</v>
      </c>
      <c r="V286" s="162">
        <f t="shared" si="1351"/>
        <v>0.52</v>
      </c>
      <c r="W286" s="75">
        <v>6.2469999999999999</v>
      </c>
      <c r="X286" s="937">
        <f t="shared" si="1346"/>
        <v>1313</v>
      </c>
    </row>
    <row r="287" spans="2:24" x14ac:dyDescent="0.25">
      <c r="B287" s="655">
        <v>-5.5851754580091288</v>
      </c>
      <c r="C287" s="656">
        <v>5.2932417238684639</v>
      </c>
      <c r="D287" s="657">
        <v>-1.1788876722855823</v>
      </c>
      <c r="E287" s="658">
        <v>-0.91170148883904556</v>
      </c>
      <c r="F287" s="656">
        <v>-0.33724958160020641</v>
      </c>
      <c r="G287" s="659">
        <v>0.23465531095450062</v>
      </c>
      <c r="H287" s="658">
        <v>0.26600000000000001</v>
      </c>
      <c r="I287" s="943">
        <v>0.52</v>
      </c>
      <c r="J287" s="947">
        <v>6.2530000000000001</v>
      </c>
      <c r="K287" s="932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>1313</v>
      </c>
      <c r="L287" s="683"/>
      <c r="M287" s="934"/>
      <c r="N287" s="31" t="str">
        <f t="shared" si="1344"/>
        <v>Y</v>
      </c>
      <c r="O287" s="162">
        <f t="shared" si="1348"/>
        <v>-5.5851754580091288</v>
      </c>
      <c r="P287" s="162">
        <f t="shared" si="1349"/>
        <v>5.2932417238684639</v>
      </c>
      <c r="Q287" s="162">
        <f t="shared" si="1350"/>
        <v>-1.1788876722855823</v>
      </c>
      <c r="R287" s="162">
        <f t="shared" si="1345"/>
        <v>-0.91170148883904556</v>
      </c>
      <c r="S287" s="162">
        <f t="shared" si="1341"/>
        <v>-0.33724958160020641</v>
      </c>
      <c r="T287" s="162">
        <f t="shared" si="1342"/>
        <v>0.23465531095450062</v>
      </c>
      <c r="U287" s="162">
        <f>IFERROR(IF(ISNUMBER(MATCH($X287,Settings!$AK$28:$AK$36,0)),INDEX(Settings!$AO$14:$AO$36,MATCH($X287,Settings!$AK$14:$AK$36,0))/2,INDEX(Settings!$AM$14:$AM$36,MATCH($X287,Settings!$AK$14:$AK$36,0))/2),"")</f>
        <v>0.26450000000000001</v>
      </c>
      <c r="V287" s="162">
        <f t="shared" si="1351"/>
        <v>0.52</v>
      </c>
      <c r="W287" s="75">
        <v>6.2530000000000001</v>
      </c>
      <c r="X287" s="937">
        <f t="shared" si="1346"/>
        <v>1313</v>
      </c>
    </row>
    <row r="288" spans="2:24" x14ac:dyDescent="0.25">
      <c r="B288" s="655">
        <v>-5.7959513440318888</v>
      </c>
      <c r="C288" s="656">
        <v>5.7019448074497872</v>
      </c>
      <c r="D288" s="657">
        <v>-1.8101585384176617</v>
      </c>
      <c r="E288" s="658">
        <v>-0.95255683335684771</v>
      </c>
      <c r="F288" s="656">
        <v>-0.23425667028617497</v>
      </c>
      <c r="G288" s="659">
        <v>0.19431750217520075</v>
      </c>
      <c r="H288" s="658">
        <v>0.26600000000000001</v>
      </c>
      <c r="I288" s="943">
        <v>0.52</v>
      </c>
      <c r="J288" s="947">
        <v>6.2590000000000003</v>
      </c>
      <c r="K288" s="932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>1313</v>
      </c>
      <c r="L288" s="683"/>
      <c r="M288" s="934"/>
      <c r="N288" s="31" t="str">
        <f t="shared" si="1344"/>
        <v>Y</v>
      </c>
      <c r="O288" s="162">
        <f t="shared" si="1348"/>
        <v>-5.7959513440318888</v>
      </c>
      <c r="P288" s="162">
        <f t="shared" si="1349"/>
        <v>5.7019448074497872</v>
      </c>
      <c r="Q288" s="162">
        <f t="shared" si="1350"/>
        <v>-1.8101585384176617</v>
      </c>
      <c r="R288" s="162">
        <f t="shared" si="1345"/>
        <v>-0.95255683335684771</v>
      </c>
      <c r="S288" s="162">
        <f t="shared" si="1341"/>
        <v>-0.23425667028617497</v>
      </c>
      <c r="T288" s="162">
        <f t="shared" si="1342"/>
        <v>0.19431750217520075</v>
      </c>
      <c r="U288" s="162">
        <f>IFERROR(IF(ISNUMBER(MATCH($X288,Settings!$AK$28:$AK$36,0)),INDEX(Settings!$AO$14:$AO$36,MATCH($X288,Settings!$AK$14:$AK$36,0))/2,INDEX(Settings!$AM$14:$AM$36,MATCH($X288,Settings!$AK$14:$AK$36,0))/2),"")</f>
        <v>0.26450000000000001</v>
      </c>
      <c r="V288" s="162">
        <f t="shared" si="1351"/>
        <v>0.52</v>
      </c>
      <c r="W288" s="75">
        <v>6.2590000000000003</v>
      </c>
      <c r="X288" s="937">
        <f t="shared" si="1346"/>
        <v>1313</v>
      </c>
    </row>
    <row r="289" spans="2:24" x14ac:dyDescent="0.25">
      <c r="B289" s="655">
        <v>-5.7853458137312979</v>
      </c>
      <c r="C289" s="656">
        <v>6.044717669598203</v>
      </c>
      <c r="D289" s="657">
        <v>-2.5384118410647432</v>
      </c>
      <c r="E289" s="658">
        <v>-0.55293201801262137</v>
      </c>
      <c r="F289" s="656">
        <v>0.57772104685582604</v>
      </c>
      <c r="G289" s="659">
        <v>0.60042033233085867</v>
      </c>
      <c r="H289" s="658">
        <v>0.25700000000000001</v>
      </c>
      <c r="I289" s="943">
        <v>0.41499999999999992</v>
      </c>
      <c r="J289" s="947">
        <v>6.2649999999999997</v>
      </c>
      <c r="K289" s="932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>CPS-32193r1</v>
      </c>
      <c r="L289" s="683"/>
      <c r="M289" s="934"/>
      <c r="N289" s="31" t="str">
        <f t="shared" si="1344"/>
        <v>Y</v>
      </c>
      <c r="O289" s="162">
        <f t="shared" si="1348"/>
        <v>-5.7853458137312979</v>
      </c>
      <c r="P289" s="162">
        <f t="shared" si="1349"/>
        <v>6.044717669598203</v>
      </c>
      <c r="Q289" s="162">
        <f t="shared" si="1350"/>
        <v>-2.5384118410647432</v>
      </c>
      <c r="R289" s="162">
        <f t="shared" si="1345"/>
        <v>-0.55293201801262137</v>
      </c>
      <c r="S289" s="162">
        <f t="shared" si="1341"/>
        <v>0.57772104685582604</v>
      </c>
      <c r="T289" s="162">
        <f t="shared" si="1342"/>
        <v>0.60042033233085867</v>
      </c>
      <c r="U289" s="162">
        <f>IFERROR(IF(ISNUMBER(MATCH($X289,Settings!$AK$28:$AK$36,0)),INDEX(Settings!$AO$14:$AO$36,MATCH($X289,Settings!$AK$14:$AK$36,0))/2,INDEX(Settings!$AM$14:$AM$36,MATCH($X289,Settings!$AK$14:$AK$36,0))/2),"")</f>
        <v>0.255</v>
      </c>
      <c r="V289" s="162">
        <f t="shared" si="1351"/>
        <v>0.41499999999999992</v>
      </c>
      <c r="W289" s="75">
        <v>6.2649999999999997</v>
      </c>
      <c r="X289" s="937" t="str">
        <f t="shared" si="1346"/>
        <v>CPS-32193r1</v>
      </c>
    </row>
    <row r="290" spans="2:24" x14ac:dyDescent="0.25">
      <c r="B290" s="655">
        <v>-5.762730536057763</v>
      </c>
      <c r="C290" s="656">
        <v>6.2035419035898558</v>
      </c>
      <c r="D290" s="657">
        <v>-3.2887583267227209</v>
      </c>
      <c r="E290" s="658">
        <v>-0.60259625002180728</v>
      </c>
      <c r="F290" s="656">
        <v>0.64869060634480746</v>
      </c>
      <c r="G290" s="659">
        <v>0.46484218472473193</v>
      </c>
      <c r="H290" s="658">
        <v>0.25700000000000001</v>
      </c>
      <c r="I290" s="943">
        <v>0.41499999999999992</v>
      </c>
      <c r="J290" s="947">
        <v>6.2709999999999999</v>
      </c>
      <c r="K290" s="932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>CPS-32193r1</v>
      </c>
      <c r="L290" s="683"/>
      <c r="M290" s="934"/>
      <c r="N290" s="31" t="str">
        <f t="shared" si="1344"/>
        <v>Y</v>
      </c>
      <c r="O290" s="162">
        <f t="shared" si="1348"/>
        <v>-5.762730536057763</v>
      </c>
      <c r="P290" s="162">
        <f t="shared" si="1349"/>
        <v>6.2035419035898558</v>
      </c>
      <c r="Q290" s="162">
        <f t="shared" si="1350"/>
        <v>-3.2887583267227209</v>
      </c>
      <c r="R290" s="162">
        <f t="shared" si="1345"/>
        <v>-0.60259625002180728</v>
      </c>
      <c r="S290" s="162">
        <f t="shared" si="1341"/>
        <v>0.64869060634480746</v>
      </c>
      <c r="T290" s="162">
        <f t="shared" si="1342"/>
        <v>0.46484218472473193</v>
      </c>
      <c r="U290" s="162">
        <f>IFERROR(IF(ISNUMBER(MATCH($X290,Settings!$AK$28:$AK$36,0)),INDEX(Settings!$AO$14:$AO$36,MATCH($X290,Settings!$AK$14:$AK$36,0))/2,INDEX(Settings!$AM$14:$AM$36,MATCH($X290,Settings!$AK$14:$AK$36,0))/2),"")</f>
        <v>0.255</v>
      </c>
      <c r="V290" s="162">
        <f t="shared" si="1351"/>
        <v>0.41499999999999992</v>
      </c>
      <c r="W290" s="75">
        <v>6.2709999999999999</v>
      </c>
      <c r="X290" s="937" t="str">
        <f t="shared" si="1346"/>
        <v>CPS-32193r1</v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683"/>
      <c r="M291" s="934"/>
      <c r="O291" s="162" t="str">
        <f t="shared" si="1348"/>
        <v/>
      </c>
      <c r="P291" s="162" t="str">
        <f t="shared" si="1349"/>
        <v/>
      </c>
      <c r="Q291" s="162" t="str">
        <f t="shared" si="1350"/>
        <v/>
      </c>
      <c r="R291" s="162" t="str">
        <f t="shared" si="1345"/>
        <v/>
      </c>
      <c r="S291" s="162" t="str">
        <f t="shared" si="1341"/>
        <v/>
      </c>
      <c r="T291" s="162" t="str">
        <f t="shared" si="1342"/>
        <v/>
      </c>
      <c r="U291" s="162" t="str">
        <f>IFERROR(IF(ISNUMBER(MATCH($X291,Settings!$AK$28:$AK$36,0)),INDEX(Settings!$AO$14:$AO$36,MATCH($X291,Settings!$AK$14:$AK$36,0))/2,INDEX(Settings!$AM$14:$AM$36,MATCH($X291,Settings!$AK$14:$AK$36,0))/2),"")</f>
        <v/>
      </c>
      <c r="V291" s="162" t="str">
        <f t="shared" si="1351"/>
        <v/>
      </c>
      <c r="W291" s="75"/>
      <c r="X291" s="937" t="str">
        <f t="shared" si="134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683"/>
      <c r="M292" s="934"/>
      <c r="O292" s="162" t="str">
        <f t="shared" ref="O292:O305" si="1352">IFERROR(INDEX(B$164:B$305,MATCH($W292,$J$164:$J$305,0)),"")</f>
        <v/>
      </c>
      <c r="P292" s="162" t="str">
        <f t="shared" ref="P292:P305" si="1353">IFERROR(INDEX(C$164:C$305,MATCH($W292,$J$164:$J$305,0)),"")</f>
        <v/>
      </c>
      <c r="Q292" s="162" t="str">
        <f t="shared" ref="Q292:Q305" si="1354">IFERROR(INDEX(D$164:D$305,MATCH($W292,$J$164:$J$305,0)),"")</f>
        <v/>
      </c>
      <c r="R292" s="162" t="str">
        <f t="shared" si="1345"/>
        <v/>
      </c>
      <c r="S292" s="162" t="str">
        <f t="shared" ref="S292:S305" si="1355">IFERROR(IF($L292="Y",-1*INDEX(F$164:F$305,MATCH($W292,$J$164:$J$305,0)),INDEX(F$164:F$305,MATCH($W292,$J$164:$J$305,0))),"")</f>
        <v/>
      </c>
      <c r="T292" s="162" t="str">
        <f t="shared" ref="T292:T305" si="1356">IFERROR(IF($L292="Y",-1*INDEX(G$164:G$305,MATCH($W292,$J$164:$J$305,0)),INDEX(G$164:G$305,MATCH($W292,$J$164:$J$305,0))),"")</f>
        <v/>
      </c>
      <c r="U292" s="162" t="str">
        <f>IFERROR(IF(ISNUMBER(MATCH($X292,Settings!$AK$28:$AK$36,0)),INDEX(Settings!$AO$14:$AO$36,MATCH($X292,Settings!$AK$14:$AK$36,0))/2,INDEX(Settings!$AM$14:$AM$36,MATCH($X292,Settings!$AK$14:$AK$36,0))/2),"")</f>
        <v/>
      </c>
      <c r="V292" s="162" t="str">
        <f t="shared" ref="V292:V305" si="1357">IFERROR(INDEX(I$164:I$305,MATCH($W292,$J$164:$J$305,0)),"")</f>
        <v/>
      </c>
      <c r="W292" s="75"/>
      <c r="X292" s="937" t="str">
        <f t="shared" si="134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683"/>
      <c r="M293" s="934"/>
      <c r="O293" s="162" t="str">
        <f t="shared" si="1352"/>
        <v/>
      </c>
      <c r="P293" s="162" t="str">
        <f t="shared" si="1353"/>
        <v/>
      </c>
      <c r="Q293" s="162" t="str">
        <f t="shared" si="1354"/>
        <v/>
      </c>
      <c r="R293" s="162" t="str">
        <f t="shared" ref="R293:R305" si="1358">IFERROR(IF($L293="Y",-1*INDEX(E$164:E$305,MATCH($W293,$J$164:$J$305,0)),INDEX(E$164:E$305,MATCH($W293,$J$164:$J$305,0))),"")</f>
        <v/>
      </c>
      <c r="S293" s="162" t="str">
        <f t="shared" si="1355"/>
        <v/>
      </c>
      <c r="T293" s="162" t="str">
        <f t="shared" si="1356"/>
        <v/>
      </c>
      <c r="U293" s="162" t="str">
        <f>IFERROR(IF(ISNUMBER(MATCH($X293,Settings!$AK$28:$AK$36,0)),INDEX(Settings!$AO$14:$AO$36,MATCH($X293,Settings!$AK$14:$AK$36,0))/2,INDEX(Settings!$AM$14:$AM$36,MATCH($X293,Settings!$AK$14:$AK$36,0))/2),"")</f>
        <v/>
      </c>
      <c r="V293" s="162" t="str">
        <f t="shared" si="1357"/>
        <v/>
      </c>
      <c r="W293" s="75"/>
      <c r="X293" s="937" t="str">
        <f t="shared" ref="X293:X305" si="135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683"/>
      <c r="M294" s="934"/>
      <c r="O294" s="162" t="str">
        <f t="shared" si="1352"/>
        <v/>
      </c>
      <c r="P294" s="162" t="str">
        <f t="shared" si="1353"/>
        <v/>
      </c>
      <c r="Q294" s="162" t="str">
        <f t="shared" si="1354"/>
        <v/>
      </c>
      <c r="R294" s="162" t="str">
        <f t="shared" si="1358"/>
        <v/>
      </c>
      <c r="S294" s="162" t="str">
        <f t="shared" si="1355"/>
        <v/>
      </c>
      <c r="T294" s="162" t="str">
        <f t="shared" si="1356"/>
        <v/>
      </c>
      <c r="U294" s="162" t="str">
        <f>IFERROR(IF(ISNUMBER(MATCH($X294,Settings!$AK$28:$AK$36,0)),INDEX(Settings!$AO$14:$AO$36,MATCH($X294,Settings!$AK$14:$AK$36,0))/2,INDEX(Settings!$AM$14:$AM$36,MATCH($X294,Settings!$AK$14:$AK$36,0))/2),"")</f>
        <v/>
      </c>
      <c r="V294" s="162" t="str">
        <f t="shared" si="1357"/>
        <v/>
      </c>
      <c r="W294" s="75"/>
      <c r="X294" s="937" t="str">
        <f t="shared" si="135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683"/>
      <c r="M295" s="934"/>
      <c r="O295" s="162" t="str">
        <f t="shared" si="1352"/>
        <v/>
      </c>
      <c r="P295" s="162" t="str">
        <f t="shared" si="1353"/>
        <v/>
      </c>
      <c r="Q295" s="162" t="str">
        <f t="shared" si="1354"/>
        <v/>
      </c>
      <c r="R295" s="162" t="str">
        <f t="shared" si="1358"/>
        <v/>
      </c>
      <c r="S295" s="162" t="str">
        <f t="shared" si="1355"/>
        <v/>
      </c>
      <c r="T295" s="162" t="str">
        <f t="shared" si="1356"/>
        <v/>
      </c>
      <c r="U295" s="162" t="str">
        <f>IFERROR(IF(ISNUMBER(MATCH($X295,Settings!$AK$28:$AK$36,0)),INDEX(Settings!$AO$14:$AO$36,MATCH($X295,Settings!$AK$14:$AK$36,0))/2,INDEX(Settings!$AM$14:$AM$36,MATCH($X295,Settings!$AK$14:$AK$36,0))/2),"")</f>
        <v/>
      </c>
      <c r="V295" s="162" t="str">
        <f t="shared" si="1357"/>
        <v/>
      </c>
      <c r="W295" s="75"/>
      <c r="X295" s="937" t="str">
        <f t="shared" si="135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IFERROR(IF(ISNUMBER(MATCH($X296,Settings!$AK$28:$AK$36,0)),INDEX(Settings!$AO$14:$AO$36,MATCH($X296,Settings!$AK$14:$AK$36,0))/2,INDEX(Settings!$AM$14:$AM$36,MATCH($X296,Settings!$AK$14:$AK$36,0))/2),"")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IFERROR(IF(ISNUMBER(MATCH($X297,Settings!$AK$28:$AK$36,0)),INDEX(Settings!$AO$14:$AO$36,MATCH($X297,Settings!$AK$14:$AK$36,0))/2,INDEX(Settings!$AM$14:$AM$36,MATCH($X297,Settings!$AK$14:$AK$36,0))/2),"")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IFERROR(IF(ISNUMBER(MATCH($X298,Settings!$AK$28:$AK$36,0)),INDEX(Settings!$AO$14:$AO$36,MATCH($X298,Settings!$AK$14:$AK$36,0))/2,INDEX(Settings!$AM$14:$AM$36,MATCH($X298,Settings!$AK$14:$AK$36,0))/2),"")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IFERROR(IF(ISNUMBER(MATCH($X299,Settings!$AK$28:$AK$36,0)),INDEX(Settings!$AO$14:$AO$36,MATCH($X299,Settings!$AK$14:$AK$36,0))/2,INDEX(Settings!$AM$14:$AM$36,MATCH($X299,Settings!$AK$14:$AK$36,0))/2),"")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IFERROR(IF(ISNUMBER(MATCH($X300,Settings!$AK$28:$AK$36,0)),INDEX(Settings!$AO$14:$AO$36,MATCH($X300,Settings!$AK$14:$AK$36,0))/2,INDEX(Settings!$AM$14:$AM$36,MATCH($X300,Settings!$AK$14:$AK$36,0))/2),"")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IFERROR(IF(ISNUMBER(MATCH($X301,Settings!$AK$28:$AK$36,0)),INDEX(Settings!$AO$14:$AO$36,MATCH($X301,Settings!$AK$14:$AK$36,0))/2,INDEX(Settings!$AM$14:$AM$36,MATCH($X301,Settings!$AK$14:$AK$36,0))/2),"")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IFERROR(IF(ISNUMBER(MATCH($X302,Settings!$AK$28:$AK$36,0)),INDEX(Settings!$AO$14:$AO$36,MATCH($X302,Settings!$AK$14:$AK$36,0))/2,INDEX(Settings!$AM$14:$AM$36,MATCH($X302,Settings!$AK$14:$AK$36,0))/2),"")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IFERROR(IF(ISNUMBER(MATCH($X303,Settings!$AK$28:$AK$36,0)),INDEX(Settings!$AO$14:$AO$36,MATCH($X303,Settings!$AK$14:$AK$36,0))/2,INDEX(Settings!$AM$14:$AM$36,MATCH($X303,Settings!$AK$14:$AK$36,0))/2),"")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IFERROR(IF(ISNUMBER(MATCH($X304,Settings!$AK$28:$AK$36,0)),INDEX(Settings!$AO$14:$AO$36,MATCH($X304,Settings!$AK$14:$AK$36,0))/2,INDEX(Settings!$AM$14:$AM$36,MATCH($X304,Settings!$AK$14:$AK$36,0))/2),"")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IFERROR(IF(ISNUMBER(MATCH($X305,Settings!$AK$28:$AK$36,0)),INDEX(Settings!$AO$14:$AO$36,MATCH($X305,Settings!$AK$14:$AK$36,0))/2,INDEX(Settings!$AM$14:$AM$36,MATCH($X305,Settings!$AK$14:$AK$36,0))/2),"")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099" t="s">
        <v>11</v>
      </c>
      <c r="E3" s="1100"/>
      <c r="F3" s="1171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172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35" t="str">
        <f>CONCATENATE(Settings!$C$19," ",Settings!$B$28)</f>
        <v>17.5 2381r01</v>
      </c>
      <c r="D1" s="1135"/>
      <c r="E1" s="1135"/>
      <c r="F1" s="1135"/>
      <c r="G1" s="1135"/>
      <c r="H1" s="1135"/>
      <c r="I1" s="1135"/>
      <c r="J1" s="1135"/>
      <c r="K1" s="1135"/>
      <c r="M1" s="103" t="s">
        <v>310</v>
      </c>
      <c r="N1" s="1428" t="s">
        <v>312</v>
      </c>
      <c r="O1" s="1428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24" t="str">
        <f>Settings!B28</f>
        <v>2381r01</v>
      </c>
      <c r="C2" s="1425"/>
      <c r="D2" s="1425"/>
      <c r="E2" s="1425"/>
      <c r="F2" s="1425"/>
      <c r="G2" s="1425"/>
      <c r="H2" s="1425"/>
      <c r="I2" s="1425"/>
      <c r="J2" s="1425"/>
      <c r="K2" s="1426"/>
      <c r="L2" s="1098" t="str" cm="1">
        <f t="array" ref="L2">IF(OR($K$9:$K$150="Undefined"),"Undefined Element","")</f>
        <v/>
      </c>
      <c r="M2" s="1421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418" t="str">
        <f>M2</f>
        <v>CS-Name</v>
      </c>
      <c r="AW2" s="1340"/>
      <c r="AX2" s="1340"/>
      <c r="AY2" s="1340"/>
      <c r="AZ2" s="1340"/>
      <c r="BA2" s="1340"/>
      <c r="BB2" s="1340"/>
      <c r="BC2" s="1341"/>
      <c r="BF2" s="1394" t="s">
        <v>313</v>
      </c>
      <c r="BG2" s="1395"/>
      <c r="BH2" s="1395"/>
      <c r="BI2" s="1395"/>
      <c r="BJ2" s="1395"/>
      <c r="BK2" s="1396"/>
      <c r="BM2" s="1384" t="s">
        <v>270</v>
      </c>
      <c r="BN2" s="1090"/>
      <c r="BO2" s="1090"/>
      <c r="BP2" s="1091"/>
      <c r="BR2" s="1384" t="s">
        <v>270</v>
      </c>
      <c r="BS2" s="1090"/>
      <c r="BT2" s="1090"/>
      <c r="BU2" s="109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41"/>
      <c r="C3" s="1142"/>
      <c r="D3" s="1142"/>
      <c r="E3" s="1142"/>
      <c r="F3" s="1142"/>
      <c r="G3" s="1142"/>
      <c r="H3" s="1142"/>
      <c r="I3" s="1142"/>
      <c r="J3" s="1142"/>
      <c r="K3" s="1143"/>
      <c r="L3" s="1098"/>
      <c r="M3" s="1422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207"/>
      <c r="AA3" s="1193"/>
      <c r="AB3" s="1193"/>
      <c r="AC3" s="1193"/>
      <c r="AD3" s="1193"/>
      <c r="AE3" s="1193"/>
      <c r="AF3" s="1193"/>
      <c r="AG3" s="1193"/>
      <c r="AH3" s="1193"/>
      <c r="AI3" s="1193"/>
      <c r="AJ3" s="1193"/>
      <c r="AK3" s="1193"/>
      <c r="AL3" s="1193"/>
      <c r="AM3" s="1193"/>
      <c r="AN3" s="1193"/>
      <c r="AO3" s="1193"/>
      <c r="AP3" s="1193"/>
      <c r="AQ3" s="1208"/>
      <c r="AS3" s="415">
        <v>100</v>
      </c>
      <c r="AT3" s="412" t="s">
        <v>45</v>
      </c>
      <c r="AV3" s="1419"/>
      <c r="AW3" s="1346"/>
      <c r="AX3" s="1346"/>
      <c r="AY3" s="1346"/>
      <c r="AZ3" s="1346"/>
      <c r="BA3" s="1346"/>
      <c r="BB3" s="1346"/>
      <c r="BC3" s="1347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6" t="s">
        <v>307</v>
      </c>
      <c r="C4" s="980"/>
      <c r="D4" s="980"/>
      <c r="E4" s="980"/>
      <c r="F4" s="980"/>
      <c r="G4" s="980"/>
      <c r="H4" s="980"/>
      <c r="I4" s="980"/>
      <c r="J4" s="980"/>
      <c r="K4" s="1427"/>
      <c r="L4" s="1098"/>
      <c r="M4" s="1422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Q4</f>
        <v>Polar XY; Cartesian Z</v>
      </c>
      <c r="X4" s="1139"/>
      <c r="Y4" s="1140"/>
      <c r="Z4" s="1429" t="s">
        <v>3</v>
      </c>
      <c r="AA4" s="1404"/>
      <c r="AB4" s="1404"/>
      <c r="AC4" s="1404"/>
      <c r="AD4" s="1404"/>
      <c r="AE4" s="1404"/>
      <c r="AF4" s="1404"/>
      <c r="AG4" s="1403" t="s">
        <v>31</v>
      </c>
      <c r="AH4" s="1404"/>
      <c r="AI4" s="1404"/>
      <c r="AJ4" s="1405"/>
      <c r="AK4" s="1387" t="s">
        <v>32</v>
      </c>
      <c r="AL4" s="1388"/>
      <c r="AM4" s="1388"/>
      <c r="AN4" s="1388"/>
      <c r="AO4" s="1388"/>
      <c r="AP4" s="1388"/>
      <c r="AQ4" s="1389"/>
      <c r="AS4" s="416">
        <v>0</v>
      </c>
      <c r="AT4" s="413" t="s">
        <v>46</v>
      </c>
      <c r="AV4" s="1419"/>
      <c r="AW4" s="1401"/>
      <c r="AX4" s="1401"/>
      <c r="AY4" s="1401"/>
      <c r="AZ4" s="1402"/>
      <c r="BA4" s="1401" t="str">
        <f>Z2</f>
        <v>PDC Orientation</v>
      </c>
      <c r="BB4" s="1401"/>
      <c r="BC4" s="1402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5" t="s">
        <v>372</v>
      </c>
      <c r="IF4" s="1005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41" t="str">
        <f>CONCATENATE(B7," ; ",E7," ; ",H8)</f>
        <v>Absolute-Point ; Incremental-Vector Point ; Radius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422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&amp; Z; Z Axis")</f>
        <v>Relative to 's θ &amp; Z; Z Axis</v>
      </c>
      <c r="U5" s="1104"/>
      <c r="V5" s="1179"/>
      <c r="W5" s="1104" t="str">
        <f>CONCATENATE("Relative to ",M8,"'s θ &amp; Z; Z Axis")</f>
        <v>Relative to 's θ &amp; Z;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</v>
      </c>
      <c r="AT5" s="413" t="s">
        <v>47</v>
      </c>
      <c r="AV5" s="1419"/>
      <c r="AW5" s="1168" t="str">
        <f>W4</f>
        <v>Polar XY; Cartesian Z</v>
      </c>
      <c r="AX5" s="1139"/>
      <c r="AY5" s="1139"/>
      <c r="AZ5" s="1311" t="s">
        <v>104</v>
      </c>
      <c r="BA5" s="1139" t="str">
        <f>AK4</f>
        <v>Polar Z Projection → XZ Plane</v>
      </c>
      <c r="BB5" s="1139"/>
      <c r="BC5" s="1212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422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Q6</f>
        <v>Projected XY</v>
      </c>
      <c r="X6" s="1158"/>
      <c r="Y6" s="1129" t="str">
        <f>S6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68" t="str">
        <f>AD6</f>
        <v>Unit Vector</v>
      </c>
      <c r="AL6" s="1139"/>
      <c r="AM6" s="1212"/>
      <c r="AN6" s="34" t="s">
        <v>15</v>
      </c>
      <c r="AO6" s="35" t="s">
        <v>16</v>
      </c>
      <c r="AP6" s="680" t="s">
        <v>17</v>
      </c>
      <c r="AQ6" s="1430" t="s">
        <v>108</v>
      </c>
      <c r="AS6" s="168">
        <f>(AS5/360)</f>
        <v>0</v>
      </c>
      <c r="AT6" s="414" t="s">
        <v>48</v>
      </c>
      <c r="AV6" s="1419"/>
      <c r="AW6" s="1103" t="str">
        <f>W5</f>
        <v>Relative to 's θ &amp; Z; Z Axis</v>
      </c>
      <c r="AX6" s="1104"/>
      <c r="AY6" s="1104"/>
      <c r="AZ6" s="1415"/>
      <c r="BA6" s="1104" t="str">
        <f>AK5</f>
        <v>Vector Along X Axis</v>
      </c>
      <c r="BB6" s="1104"/>
      <c r="BC6" s="1105"/>
      <c r="BD6" s="417"/>
      <c r="BF6" s="410">
        <f>SUM(AZ9:AZ150)</f>
        <v>0</v>
      </c>
      <c r="BG6" s="1408" t="s">
        <v>309</v>
      </c>
      <c r="BH6" s="1408"/>
      <c r="BI6" s="1408"/>
      <c r="BJ6" s="1408"/>
      <c r="BK6" s="1408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61" t="s">
        <v>40</v>
      </c>
      <c r="C7" s="1162"/>
      <c r="D7" s="1163"/>
      <c r="E7" s="1164" t="s">
        <v>41</v>
      </c>
      <c r="F7" s="1162"/>
      <c r="G7" s="1165"/>
      <c r="H7" s="1003" t="s">
        <v>305</v>
      </c>
      <c r="I7" s="1023"/>
      <c r="J7" s="1004"/>
      <c r="K7" s="488"/>
      <c r="L7" s="1098"/>
      <c r="M7" s="1423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Q7</f>
        <v>&lt; θ°</v>
      </c>
      <c r="X7" s="27" t="str">
        <f>R7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31"/>
      <c r="AS7" s="1406" t="s">
        <v>54</v>
      </c>
      <c r="AT7" s="1385" t="s">
        <v>53</v>
      </c>
      <c r="AV7" s="1419"/>
      <c r="AW7" s="1414" t="str">
        <f>$W$6</f>
        <v>Projected XY</v>
      </c>
      <c r="AX7" s="1158"/>
      <c r="AY7" s="1416" t="str">
        <f>$Y$6</f>
        <v>Z</v>
      </c>
      <c r="AZ7" s="1415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08"/>
      <c r="BH7" s="1408"/>
      <c r="BI7" s="1408"/>
      <c r="BJ7" s="1408"/>
      <c r="BK7" s="1408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29" t="s">
        <v>33</v>
      </c>
      <c r="IH7" s="1268" t="s">
        <v>376</v>
      </c>
      <c r="II7" s="1025" t="s">
        <v>324</v>
      </c>
      <c r="IJ7" s="1026"/>
      <c r="IK7" s="1026"/>
      <c r="IL7" s="1023"/>
      <c r="IM7" s="1023"/>
      <c r="IN7" s="1023"/>
      <c r="IO7" s="1004"/>
      <c r="IP7" s="1003" t="s">
        <v>320</v>
      </c>
      <c r="IQ7" s="1023"/>
      <c r="IR7" s="1023"/>
      <c r="IS7" s="1023"/>
      <c r="IT7" s="1023"/>
      <c r="IU7" s="1003" t="s">
        <v>319</v>
      </c>
      <c r="IV7" s="1023"/>
      <c r="IW7" s="1023"/>
      <c r="IX7" s="1023"/>
      <c r="IY7" s="1004"/>
      <c r="JA7" s="725"/>
      <c r="JB7" s="1383" t="s">
        <v>355</v>
      </c>
      <c r="JC7" s="1087"/>
      <c r="JD7" s="1087"/>
      <c r="JE7" s="108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9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7"/>
      <c r="AT8" s="1386"/>
      <c r="AV8" s="1420"/>
      <c r="AW8" s="46" t="str">
        <f>$W$7</f>
        <v>&lt; θ°</v>
      </c>
      <c r="AX8" s="27" t="str">
        <f>$X$7</f>
        <v>r</v>
      </c>
      <c r="AY8" s="1417"/>
      <c r="AZ8" s="1312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70"/>
      <c r="IH8" s="1269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89" t="s">
        <v>356</v>
      </c>
      <c r="JC19" s="1090"/>
      <c r="JD19" s="1090"/>
      <c r="JE19" s="1090"/>
      <c r="JF19" s="1090"/>
      <c r="JG19" s="1090"/>
      <c r="JH19" s="1090"/>
      <c r="JI19" s="109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92" t="s">
        <v>360</v>
      </c>
      <c r="JC20" s="1093"/>
      <c r="JD20" s="1093"/>
      <c r="JE20" s="1093"/>
      <c r="JF20" s="1306" t="s">
        <v>361</v>
      </c>
      <c r="JG20" s="1307"/>
      <c r="JH20" s="1307"/>
      <c r="JI20" s="1308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94"/>
      <c r="JC21" s="1095"/>
      <c r="JD21" s="1095"/>
      <c r="JE21" s="1095"/>
      <c r="JF21" s="1309" t="s">
        <v>349</v>
      </c>
      <c r="JG21" s="1310"/>
      <c r="JH21" s="1096" t="s">
        <v>362</v>
      </c>
      <c r="JI21" s="1097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12" t="str">
        <f>$W$6</f>
        <v>Projected XY</v>
      </c>
      <c r="AX152" s="1413"/>
      <c r="AY152" s="1399" t="str">
        <f>$Y$6</f>
        <v>Z</v>
      </c>
      <c r="AZ152" s="1397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0"/>
      <c r="AZ153" s="1398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47" t="s">
        <v>42</v>
      </c>
      <c r="C157" s="1148"/>
      <c r="D157" s="1148"/>
      <c r="E157" s="1148"/>
      <c r="F157" s="1148"/>
      <c r="G157" s="1148"/>
      <c r="H157" s="1148"/>
      <c r="I157" s="1148"/>
      <c r="J157" s="1148"/>
      <c r="K157" s="1149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50"/>
      <c r="C158" s="1111"/>
      <c r="D158" s="1111"/>
      <c r="E158" s="1111"/>
      <c r="F158" s="1111"/>
      <c r="G158" s="1111"/>
      <c r="H158" s="1111"/>
      <c r="I158" s="1111"/>
      <c r="J158" s="1111"/>
      <c r="K158" s="1151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52"/>
      <c r="C159" s="1153"/>
      <c r="D159" s="1153"/>
      <c r="E159" s="1153"/>
      <c r="F159" s="1153"/>
      <c r="G159" s="1153"/>
      <c r="H159" s="1153"/>
      <c r="I159" s="1153"/>
      <c r="J159" s="1153"/>
      <c r="K159" s="1154"/>
      <c r="AQ159" s="162"/>
      <c r="BD159" s="417"/>
    </row>
    <row r="160" spans="1:259" ht="15" customHeight="1" x14ac:dyDescent="0.25">
      <c r="B160" s="1141" t="str">
        <f>CONCATENATE(B162," ; ",E162," ; ",H163)</f>
        <v>Absolute-Point ; Incremental-Vector Point ; Radius</v>
      </c>
      <c r="C160" s="1142"/>
      <c r="D160" s="1142"/>
      <c r="E160" s="1142"/>
      <c r="F160" s="1142"/>
      <c r="G160" s="1142"/>
      <c r="H160" s="1142"/>
      <c r="I160" s="1142"/>
      <c r="J160" s="1142"/>
      <c r="K160" s="1143"/>
      <c r="AQ160" s="162"/>
      <c r="BD160" s="417"/>
    </row>
    <row r="161" spans="2:56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6"/>
      <c r="AQ161" s="162"/>
      <c r="BD161" s="417"/>
    </row>
    <row r="162" spans="2:56" ht="15" customHeight="1" x14ac:dyDescent="0.25">
      <c r="B162" s="1161" t="s">
        <v>40</v>
      </c>
      <c r="C162" s="1162"/>
      <c r="D162" s="1163"/>
      <c r="E162" s="1164" t="s">
        <v>41</v>
      </c>
      <c r="F162" s="1162"/>
      <c r="G162" s="1165"/>
      <c r="H162" s="1003" t="s">
        <v>305</v>
      </c>
      <c r="I162" s="1023"/>
      <c r="J162" s="1004"/>
      <c r="K162" s="488"/>
      <c r="M162" s="1363" t="s">
        <v>304</v>
      </c>
      <c r="N162" s="1409"/>
      <c r="O162" s="1390" t="s">
        <v>283</v>
      </c>
      <c r="P162" s="1391"/>
      <c r="Q162" s="1392"/>
      <c r="R162" s="1393" t="s">
        <v>41</v>
      </c>
      <c r="S162" s="1391"/>
      <c r="T162" s="1392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10"/>
      <c r="N163" s="141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1.1160000000000001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1.1220000000000001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1.1279999999999999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1.1339999999999999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1.1399999999999999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1.1459999999999999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1.1519999999999999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1.1579999999999999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1.1639999999999999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1.17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1.1759999999999999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1.228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1.234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1.24</v>
      </c>
      <c r="N181" s="810">
        <f>Assy.Model!K26</f>
        <v>1313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1.246</v>
      </c>
      <c r="N182" s="810">
        <f>Assy.Model!K27</f>
        <v>1313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1.252</v>
      </c>
      <c r="N183" s="810">
        <f>Assy.Model!K28</f>
        <v>1313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1.258</v>
      </c>
      <c r="N184" s="810">
        <f>Assy.Model!K29</f>
        <v>1313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1.264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1.27</v>
      </c>
      <c r="N186" s="810" t="str">
        <f>Assy.Model!K31</f>
        <v>CPS-32193r1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2.1150000000000002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2.121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2.1269999999999998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2.133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2.1389999999999998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2.145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2.1509999999999998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2.157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2.1629999999999998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2.169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2.1749999999999998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2.2269999999999999</v>
      </c>
      <c r="N198" s="810" t="str">
        <f>Assy.Model!K43</f>
        <v>CPS-32193r1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2.2330000000000001</v>
      </c>
      <c r="N199" s="810" t="str">
        <f>Assy.Model!K44</f>
        <v>CPS-32193r1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2.2389999999999999</v>
      </c>
      <c r="N200" s="810">
        <f>Assy.Model!K45</f>
        <v>1313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2.2450000000000001</v>
      </c>
      <c r="N201" s="810">
        <f>Assy.Model!K46</f>
        <v>1313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2.2509999999999999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2.2570000000000001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2.2629999999999999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2.2690000000000001</v>
      </c>
      <c r="N205" s="810" t="str">
        <f>Assy.Model!K50</f>
        <v>CPS-32193r1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3.1030000000000002</v>
      </c>
      <c r="N206" s="810">
        <f>Assy.Model!K51</f>
        <v>1613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3.1059999999999999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3.109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3.1139999999999999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3.12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3.1259999999999999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3.1320000000000001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3.1379999999999999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3.1440000000000001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3.15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3.1560000000000001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3.1619999999999999</v>
      </c>
      <c r="N217" s="810">
        <f>Assy.Model!K62</f>
        <v>1613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3.1680000000000001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3.1739999999999999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3.226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3.2320000000000002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3.238</v>
      </c>
      <c r="N222" s="810">
        <f>Assy.Model!K67</f>
        <v>1313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3.2440000000000002</v>
      </c>
      <c r="N223" s="810">
        <f>Assy.Model!K68</f>
        <v>1313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3.25</v>
      </c>
      <c r="N224" s="810">
        <f>Assy.Model!K69</f>
        <v>1313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3.2559999999999998</v>
      </c>
      <c r="N225" s="810">
        <f>Assy.Model!K70</f>
        <v>1313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3.262</v>
      </c>
      <c r="N226" s="810" t="str">
        <f>Assy.Model!K71</f>
        <v>CPS-32193r1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3.2679999999999998</v>
      </c>
      <c r="N227" s="810" t="str">
        <f>Assy.Model!K72</f>
        <v>CPS-32193r1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4.1130000000000004</v>
      </c>
      <c r="N228" s="810">
        <f>Assy.Model!K73</f>
        <v>1613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4.1189999999999998</v>
      </c>
      <c r="N229" s="810">
        <f>Assy.Model!K74</f>
        <v>1613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4.125</v>
      </c>
      <c r="N230" s="810">
        <f>Assy.Model!K75</f>
        <v>1613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4.1310000000000002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4.1369999999999996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4.1429999999999998</v>
      </c>
      <c r="N233" s="810">
        <f>Assy.Model!K78</f>
        <v>1613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4.149</v>
      </c>
      <c r="N234" s="810">
        <f>Assy.Model!K79</f>
        <v>1613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4.1550000000000002</v>
      </c>
      <c r="N235" s="810">
        <f>Assy.Model!K80</f>
        <v>1613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4.1609999999999996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4.1669999999999998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4.173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4.1790000000000003</v>
      </c>
      <c r="N239" s="810">
        <f>Assy.Model!K84</f>
        <v>1613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4.2309999999999999</v>
      </c>
      <c r="N240" s="810" t="str">
        <f>Assy.Model!K85</f>
        <v>CPS-32193r1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4.2370000000000001</v>
      </c>
      <c r="N241" s="810" t="str">
        <f>Assy.Model!K86</f>
        <v>CPS-32193r1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4.2430000000000003</v>
      </c>
      <c r="N242" s="810">
        <f>Assy.Model!K87</f>
        <v>1313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4.2489999999999997</v>
      </c>
      <c r="N243" s="810">
        <f>Assy.Model!K88</f>
        <v>1313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4.2549999999999999</v>
      </c>
      <c r="N244" s="810">
        <f>Assy.Model!K89</f>
        <v>1313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4.2610000000000001</v>
      </c>
      <c r="N245" s="810">
        <f>Assy.Model!K90</f>
        <v>1313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4.2670000000000003</v>
      </c>
      <c r="N246" s="810" t="str">
        <f>Assy.Model!K91</f>
        <v>CPS-32193r1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4.2729999999999997</v>
      </c>
      <c r="N247" s="810" t="str">
        <f>Assy.Model!K92</f>
        <v>CPS-32193r1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5.1020000000000003</v>
      </c>
      <c r="N248" s="810">
        <f>Assy.Model!K93</f>
        <v>1613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5.1050000000000004</v>
      </c>
      <c r="N249" s="810">
        <f>Assy.Model!K94</f>
        <v>1613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5.1079999999999997</v>
      </c>
      <c r="N250" s="810">
        <f>Assy.Model!K95</f>
        <v>1613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5.1120000000000001</v>
      </c>
      <c r="N251" s="810">
        <f>Assy.Model!K96</f>
        <v>1613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5.1180000000000003</v>
      </c>
      <c r="N252" s="810">
        <f>Assy.Model!K97</f>
        <v>1613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5.1239999999999997</v>
      </c>
      <c r="N253" s="810">
        <f>Assy.Model!K98</f>
        <v>1613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>
        <f>Assy.Model!$M99</f>
        <v>5.13</v>
      </c>
      <c r="N254" s="810">
        <f>Assy.Model!K99</f>
        <v>1613</v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>
        <f>Assy.Model!$M100</f>
        <v>5.1360000000000001</v>
      </c>
      <c r="N255" s="810">
        <f>Assy.Model!K100</f>
        <v>1613</v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>
        <f>Assy.Model!$M101</f>
        <v>5.1420000000000003</v>
      </c>
      <c r="N256" s="810">
        <f>Assy.Model!K101</f>
        <v>1613</v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>
        <f>Assy.Model!$M102</f>
        <v>5.1479999999999997</v>
      </c>
      <c r="N257" s="810">
        <f>Assy.Model!K102</f>
        <v>1613</v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>
        <f>Assy.Model!$M103</f>
        <v>5.1539999999999999</v>
      </c>
      <c r="N258" s="810">
        <f>Assy.Model!K103</f>
        <v>1613</v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>
        <f>Assy.Model!$M104</f>
        <v>5.16</v>
      </c>
      <c r="N259" s="810">
        <f>Assy.Model!K104</f>
        <v>1613</v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>
        <f>Assy.Model!$M105</f>
        <v>5.1660000000000004</v>
      </c>
      <c r="N260" s="810">
        <f>Assy.Model!K105</f>
        <v>1613</v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>
        <f>Assy.Model!$M106</f>
        <v>5.1719999999999997</v>
      </c>
      <c r="N261" s="810">
        <f>Assy.Model!K106</f>
        <v>1613</v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>
        <f>Assy.Model!$M107</f>
        <v>5.1779999999999999</v>
      </c>
      <c r="N262" s="810">
        <f>Assy.Model!K107</f>
        <v>1613</v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>
        <f>Assy.Model!$M108</f>
        <v>5.23</v>
      </c>
      <c r="N263" s="810" t="str">
        <f>Assy.Model!K108</f>
        <v>CPS-32193r1</v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>
        <f>Assy.Model!$M109</f>
        <v>5.2359999999999998</v>
      </c>
      <c r="N264" s="810" t="str">
        <f>Assy.Model!K109</f>
        <v>CPS-32193r1</v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>
        <f>Assy.Model!$M110</f>
        <v>5.242</v>
      </c>
      <c r="N265" s="810">
        <f>Assy.Model!K110</f>
        <v>1313</v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>
        <f>Assy.Model!$M111</f>
        <v>5.2480000000000002</v>
      </c>
      <c r="N266" s="810">
        <f>Assy.Model!K111</f>
        <v>1313</v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>
        <f>Assy.Model!$M112</f>
        <v>5.2539999999999996</v>
      </c>
      <c r="N267" s="810">
        <f>Assy.Model!K112</f>
        <v>1313</v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>
        <f>Assy.Model!$M113</f>
        <v>5.26</v>
      </c>
      <c r="N268" s="810">
        <f>Assy.Model!K113</f>
        <v>1313</v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>
        <f>Assy.Model!$M114</f>
        <v>5.266</v>
      </c>
      <c r="N269" s="810" t="str">
        <f>Assy.Model!K114</f>
        <v>CPS-32193r1</v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>
        <f>Assy.Model!$M115</f>
        <v>5.2720000000000002</v>
      </c>
      <c r="N270" s="810" t="str">
        <f>Assy.Model!K115</f>
        <v>CPS-32193r1</v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>
        <f>Assy.Model!$M116</f>
        <v>6.1109999999999998</v>
      </c>
      <c r="N271" s="810">
        <f>Assy.Model!K116</f>
        <v>1613</v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>
        <f>Assy.Model!$M117</f>
        <v>6.117</v>
      </c>
      <c r="N272" s="810">
        <f>Assy.Model!K117</f>
        <v>1613</v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>
        <f>Assy.Model!$M118</f>
        <v>6.1230000000000002</v>
      </c>
      <c r="N273" s="810">
        <f>Assy.Model!K118</f>
        <v>1613</v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>
        <f>Assy.Model!$M119</f>
        <v>6.1289999999999996</v>
      </c>
      <c r="N274" s="810">
        <f>Assy.Model!K119</f>
        <v>1613</v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>
        <f>Assy.Model!$M120</f>
        <v>6.1349999999999998</v>
      </c>
      <c r="N275" s="810">
        <f>Assy.Model!K120</f>
        <v>1613</v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>
        <f>Assy.Model!$M121</f>
        <v>6.141</v>
      </c>
      <c r="N276" s="810">
        <f>Assy.Model!K121</f>
        <v>1613</v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>
        <f>Assy.Model!$M122</f>
        <v>6.1470000000000002</v>
      </c>
      <c r="N277" s="810">
        <f>Assy.Model!K122</f>
        <v>1613</v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>
        <f>Assy.Model!$M123</f>
        <v>6.1529999999999996</v>
      </c>
      <c r="N278" s="810">
        <f>Assy.Model!K123</f>
        <v>1613</v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>
        <f>Assy.Model!$M124</f>
        <v>6.1589999999999998</v>
      </c>
      <c r="N279" s="810">
        <f>Assy.Model!K124</f>
        <v>1613</v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>
        <f>Assy.Model!$M125</f>
        <v>6.165</v>
      </c>
      <c r="N280" s="810">
        <f>Assy.Model!K125</f>
        <v>1613</v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>
        <f>Assy.Model!$M126</f>
        <v>6.1710000000000003</v>
      </c>
      <c r="N281" s="810">
        <f>Assy.Model!K126</f>
        <v>1613</v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>
        <f>Assy.Model!$M127</f>
        <v>6.1779999999999999</v>
      </c>
      <c r="N282" s="810">
        <f>Assy.Model!K127</f>
        <v>1613</v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>
        <f>Assy.Model!$M128</f>
        <v>6.2290000000000001</v>
      </c>
      <c r="N283" s="810" t="str">
        <f>Assy.Model!K128</f>
        <v>CPS-32193r1</v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>
        <f>Assy.Model!$M129</f>
        <v>6.2350000000000003</v>
      </c>
      <c r="N284" s="810" t="str">
        <f>Assy.Model!K129</f>
        <v>CPS-32193r1</v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>
        <f>Assy.Model!$M130</f>
        <v>6.2409999999999997</v>
      </c>
      <c r="N285" s="810">
        <f>Assy.Model!K130</f>
        <v>1313</v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>
        <f>Assy.Model!$M131</f>
        <v>6.2469999999999999</v>
      </c>
      <c r="N286" s="810">
        <f>Assy.Model!K131</f>
        <v>1313</v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>
        <f>Assy.Model!$M132</f>
        <v>6.2530000000000001</v>
      </c>
      <c r="N287" s="810">
        <f>Assy.Model!K132</f>
        <v>1313</v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>
        <f>Assy.Model!$M133</f>
        <v>6.2590000000000003</v>
      </c>
      <c r="N288" s="810">
        <f>Assy.Model!K133</f>
        <v>1313</v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>
        <f>Assy.Model!$M134</f>
        <v>6.2649999999999997</v>
      </c>
      <c r="N289" s="810" t="str">
        <f>Assy.Model!K134</f>
        <v>CPS-32193r1</v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>
        <f>Assy.Model!$M135</f>
        <v>6.2709999999999999</v>
      </c>
      <c r="N290" s="810" t="str">
        <f>Assy.Model!K135</f>
        <v>CPS-32193r1</v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384" t="s">
        <v>33</v>
      </c>
      <c r="C7" s="1432" t="s">
        <v>105</v>
      </c>
      <c r="D7" s="1392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2024-03-04T18:44:35Z</dcterms:modified>
</cp:coreProperties>
</file>