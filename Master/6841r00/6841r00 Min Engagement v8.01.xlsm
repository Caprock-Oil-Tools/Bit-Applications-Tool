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6841\"/>
    </mc:Choice>
  </mc:AlternateContent>
  <xr:revisionPtr revIDLastSave="0" documentId="13_ncr:1_{8203D3BB-B346-472A-9290-A62133A88D5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M208" i="1" l="1"/>
  <c r="M164" i="1"/>
  <c r="K150" i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M210" i="1" l="1"/>
  <c r="M211" i="1"/>
  <c r="M202" i="1"/>
  <c r="M281" i="1"/>
  <c r="M177" i="1"/>
  <c r="M289" i="1"/>
  <c r="M271" i="1"/>
  <c r="M236" i="1"/>
  <c r="M302" i="1"/>
  <c r="M270" i="1"/>
  <c r="M173" i="1"/>
  <c r="M234" i="1"/>
  <c r="M244" i="1"/>
  <c r="M185" i="1"/>
  <c r="M181" i="1"/>
  <c r="M199" i="1"/>
  <c r="M278" i="1"/>
  <c r="M172" i="1"/>
  <c r="M169" i="1"/>
  <c r="M292" i="1"/>
  <c r="M187" i="1"/>
  <c r="M189" i="1"/>
  <c r="M300" i="1"/>
  <c r="M223" i="1"/>
  <c r="M229" i="1"/>
  <c r="M245" i="1"/>
  <c r="M256" i="1"/>
  <c r="M170" i="1"/>
  <c r="M250" i="1"/>
  <c r="M291" i="1"/>
  <c r="M165" i="1"/>
  <c r="M176" i="1"/>
  <c r="M196" i="1"/>
  <c r="M166" i="1"/>
  <c r="M220" i="1"/>
  <c r="M231" i="1"/>
  <c r="M241" i="1"/>
  <c r="M301" i="1"/>
  <c r="M272" i="1"/>
  <c r="M194" i="1"/>
  <c r="M190" i="1"/>
  <c r="M195" i="1"/>
  <c r="M188" i="1"/>
  <c r="M222" i="1"/>
  <c r="M254" i="1"/>
  <c r="M209" i="1"/>
  <c r="M167" i="1"/>
  <c r="M263" i="1"/>
  <c r="M186" i="1"/>
  <c r="M178" i="1"/>
  <c r="M214" i="1"/>
  <c r="M226" i="1"/>
  <c r="M175" i="1"/>
  <c r="M297" i="1"/>
  <c r="M258" i="1"/>
  <c r="M174" i="1"/>
  <c r="M184" i="1"/>
  <c r="M253" i="1"/>
  <c r="M238" i="1"/>
  <c r="M203" i="1"/>
  <c r="M171" i="1"/>
  <c r="M305" i="1"/>
  <c r="M252" i="1"/>
  <c r="M193" i="1"/>
  <c r="M237" i="1"/>
  <c r="M180" i="1"/>
  <c r="M264" i="1"/>
  <c r="M233" i="1"/>
  <c r="M216" i="1"/>
  <c r="M201" i="1"/>
  <c r="M269" i="1"/>
  <c r="M286" i="1"/>
  <c r="M295" i="1"/>
  <c r="M296" i="1"/>
  <c r="M182" i="1"/>
  <c r="M243" i="1"/>
  <c r="M279" i="1"/>
  <c r="M240" i="1"/>
  <c r="M198" i="1"/>
  <c r="M262" i="1"/>
  <c r="M261" i="1"/>
  <c r="M255" i="1"/>
  <c r="M294" i="1"/>
  <c r="M206" i="1"/>
  <c r="M192" i="1"/>
  <c r="M215" i="1"/>
  <c r="M242" i="1"/>
  <c r="M268" i="1"/>
  <c r="M303" i="1"/>
  <c r="M168" i="1"/>
  <c r="M248" i="1"/>
  <c r="M213" i="1"/>
  <c r="M197" i="1"/>
  <c r="M265" i="1"/>
  <c r="M212" i="1"/>
  <c r="M304" i="1"/>
  <c r="M224" i="1"/>
  <c r="M290" i="1"/>
  <c r="M275" i="1"/>
  <c r="M267" i="1"/>
  <c r="M276" i="1"/>
  <c r="M225" i="1"/>
  <c r="M218" i="1"/>
  <c r="M285" i="1"/>
  <c r="M221" i="1"/>
  <c r="M239" i="1"/>
  <c r="M266" i="1"/>
  <c r="M183" i="1"/>
  <c r="M287" i="1"/>
  <c r="M249" i="1"/>
  <c r="M274" i="1"/>
  <c r="M260" i="1"/>
  <c r="M204" i="1"/>
  <c r="M257" i="1"/>
  <c r="M280" i="1"/>
  <c r="M282" i="1"/>
  <c r="M251" i="1"/>
  <c r="M200" i="1"/>
  <c r="M277" i="1"/>
  <c r="M228" i="1"/>
  <c r="M288" i="1"/>
  <c r="M230" i="1"/>
  <c r="M205" i="1"/>
  <c r="M273" i="1"/>
  <c r="M246" i="1"/>
  <c r="M232" i="1"/>
  <c r="M298" i="1"/>
  <c r="M299" i="1"/>
  <c r="M283" i="1"/>
  <c r="M217" i="1"/>
  <c r="M284" i="1"/>
  <c r="M259" i="1"/>
  <c r="M227" i="1"/>
  <c r="M293" i="1"/>
  <c r="C150" i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AQ11" i="1" s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K164" i="1" l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T35" i="1" s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G316" i="1"/>
  <c r="Y53" i="1"/>
  <c r="V53" i="1" s="1"/>
  <c r="G355" i="1"/>
  <c r="Y44" i="1"/>
  <c r="V44" i="1" s="1"/>
  <c r="G346" i="1"/>
  <c r="Y31" i="1"/>
  <c r="V31" i="1" s="1"/>
  <c r="G333" i="1"/>
  <c r="Y45" i="1"/>
  <c r="IX45" i="1" s="1"/>
  <c r="G347" i="1"/>
  <c r="Y37" i="1"/>
  <c r="V37" i="1" s="1"/>
  <c r="G339" i="1"/>
  <c r="Y30" i="1"/>
  <c r="V30" i="1" s="1"/>
  <c r="G332" i="1"/>
  <c r="Y27" i="1"/>
  <c r="IS37" i="1" s="1"/>
  <c r="G329" i="1"/>
  <c r="Y41" i="1"/>
  <c r="IX41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X16" i="1"/>
  <c r="IS109" i="1"/>
  <c r="IX26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V93" i="1"/>
  <c r="IX93" i="1"/>
  <c r="IX118" i="1"/>
  <c r="IX80" i="1"/>
  <c r="IS101" i="1"/>
  <c r="IS80" i="1"/>
  <c r="IX66" i="1"/>
  <c r="IS17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X39" i="1"/>
  <c r="IS39" i="1"/>
  <c r="IS100" i="1"/>
  <c r="IX79" i="1"/>
  <c r="AQ97" i="1"/>
  <c r="IW97" i="1"/>
  <c r="IG97" i="1" s="1"/>
  <c r="AQ82" i="1"/>
  <c r="IX117" i="1"/>
  <c r="IS118" i="1"/>
  <c r="IX102" i="1"/>
  <c r="IS66" i="1"/>
  <c r="IS26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X42" i="1" l="1"/>
  <c r="IX27" i="1"/>
  <c r="IX25" i="1"/>
  <c r="IX24" i="1"/>
  <c r="IS16" i="1"/>
  <c r="IX17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E322" i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BK44" i="1" s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IR63" i="1"/>
  <c r="AQ113" i="1"/>
  <c r="IW113" i="1"/>
  <c r="IG113" i="1" s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41" i="1" l="1"/>
  <c r="IR60" i="1"/>
  <c r="IR26" i="1"/>
  <c r="IR24" i="1"/>
  <c r="IR16" i="1"/>
  <c r="IR37" i="1"/>
  <c r="IR25" i="1"/>
  <c r="IR17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IV56" i="1" l="1"/>
  <c r="H340" i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GC38" i="1" l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DO54" i="1" l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EC53" i="1" l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V58" i="1" l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GD50" i="1" l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DY61" i="1" l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CR67" i="1" l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J70" i="1" l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X68" i="1" l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FL69" i="1" l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M69" i="1" l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HH72" i="1" l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M247" i="1" l="1"/>
  <c r="M207" i="1"/>
  <c r="M191" i="1"/>
  <c r="M235" i="1"/>
  <c r="M219" i="1"/>
  <c r="M179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<sst xmlns="http://schemas.openxmlformats.org/spreadsheetml/2006/main" count="863" uniqueCount="425">
  <si>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</si>
  <si>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</si>
  <si>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</si>
  <si>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</si>
  <si>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</si>
  <si>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</si>
  <si>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</si>
  <si>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</si>
  <si>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</si>
  <si>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</si>
  <si>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</si>
  <si>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</si>
  <si>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</si>
  <si>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</si>
  <si>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</si>
  <si>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</si>
  <si>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</si>
  <si>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</si>
  <si>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</si>
  <si>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</si>
  <si>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</si>
  <si>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</si>
  <si>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</si>
  <si>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</si>
  <si>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</si>
  <si>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</si>
  <si>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</si>
  <si>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</si>
  <si>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</si>
  <si>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</si>
  <si>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</si>
  <si>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</si>
  <si>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</si>
  <si>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</si>
  <si>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</si>
  <si>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</si>
  <si>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</si>
  <si>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</si>
  <si>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</si>
  <si>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</si>
  <si>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</si>
  <si>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</si>
  <si>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</si>
  <si>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</si>
  <si>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</si>
  <si>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</si>
  <si>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</si>
  <si>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</si>
  <si>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</si>
  <si>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</si>
  <si>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</si>
  <si>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</si>
  <si>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</si>
  <si>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</si>
  <si>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</si>
  <si>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</si>
  <si>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</si>
  <si>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</si>
  <si>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</si>
  <si>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</si>
  <si>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</si>
  <si>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</si>
  <si>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</si>
  <si>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</si>
  <si>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</si>
  <si>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</si>
  <si>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</si>
  <si>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</si>
  <si>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</si>
  <si>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</si>
  <si>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</si>
  <si>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</si>
  <si>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</si>
  <si>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</si>
  <si>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</si>
  <si>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</si>
  <si>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</si>
  <si>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</si>
  <si>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</si>
  <si>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</si>
  <si>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</si>
  <si>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</si>
  <si>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</si>
  <si>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</si>
  <si>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</si>
  <si>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</si>
  <si>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</si>
  <si>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</si>
  <si>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</si>
  <si>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</si>
  <si>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</si>
  <si>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</si>
  <si>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</si>
  <si>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</si>
  <si>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</si>
  <si>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</si>
  <si>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</si>
  <si>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</si>
  <si>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</si>
  <si>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</si>
  <si>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</si>
  <si>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</si>
  <si>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</si>
  <si>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</si>
  <si>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</si>
  <si>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</si>
  <si>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</si>
  <si>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</si>
  <si>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</si>
  <si>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</si>
  <si>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</si>
  <si>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</si>
  <si>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</si>
  <si>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</si>
  <si>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</si>
  <si>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</si>
  <si>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</si>
  <si>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</si>
  <si>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</si>
  <si>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</si>
  <si>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</si>
  <si>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</si>
  <si>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</si>
  <si>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</si>
  <si>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</si>
  <si>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</si>
  <si>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</si>
  <si>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</si>
  <si>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</si>
  <si>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</si>
  <si>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</si>
  <si>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</si>
  <si>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</si>
  <si>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</si>
  <si>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</si>
  <si>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</si>
  <si>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</si>
  <si>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</si>
  <si>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</si>
  <si>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</si>
  <si>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</si>
  <si>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</si>
  <si>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</si>
  <si>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</si>
  <si>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</si>
  <si>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</si>
  <si>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</si>
  <si>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</si>
  <si>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</si>
  <si>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</si>
  <si>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</si>
  <si>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</si>
  <si>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</si>
  <si>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</si>
  <si>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</si>
  <si>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</si>
  <si>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</si>
  <si>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</si>
  <si>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</si>
  <si>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</si>
  <si>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</si>
  <si>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</si>
  <si>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</si>
  <si>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</si>
  <si>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</si>
  <si>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</si>
  <si>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</si>
  <si>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</si>
  <si>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</si>
  <si>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</si>
  <si>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</si>
  <si>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</si>
  <si>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</si>
  <si>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</si>
  <si>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</si>
  <si>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</si>
  <si>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</si>
  <si>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</si>
  <si>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</si>
  <si>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</si>
  <si>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</si>
  <si>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</si>
  <si>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</si>
  <si>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</si>
  <si>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</si>
  <si>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</si>
  <si>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</si>
  <si>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</si>
  <si>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</si>
  <si>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</si>
  <si>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</si>
  <si>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</si>
  <si>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</si>
  <si>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</si>
  <si>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</si>
  <si>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</si>
  <si>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</si>
  <si>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</si>
  <si>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</si>
  <si>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</si>
  <si>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</si>
  <si>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</si>
  <si>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</si>
  <si>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</si>
  <si>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</si>
  <si>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</si>
  <si>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</si>
  <si>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</si>
  <si>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</si>
  <si>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</si>
  <si>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</si>
  <si>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</si>
  <si>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</si>
  <si>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</si>
  <si>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</si>
  <si>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</si>
  <si>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</si>
  <si>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</si>
  <si>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</si>
  <si>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</si>
  <si>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</si>
  <si>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</si>
  <si>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</si>
  <si>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</si>
  <si>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</si>
  <si>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</si>
  <si>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</si>
  <si>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</si>
  <si>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</si>
  <si>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</si>
  <si>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</si>
  <si>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</si>
  <si>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</si>
  <si>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</si>
  <si>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</si>
  <si>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</si>
  <si>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</si>
  <si>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</si>
  <si>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</si>
  <si>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</si>
  <si>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</si>
  <si>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</si>
  <si>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</si>
  <si>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</si>
  <si>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</si>
  <si>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</si>
  <si>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</si>
  <si>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</si>
  <si>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</si>
  <si>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</si>
  <si>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</si>
  <si>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</si>
  <si>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</si>
  <si>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</si>
  <si>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</si>
  <si>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</si>
  <si>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</si>
  <si>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</si>
  <si>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</si>
  <si>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</si>
  <si>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</si>
  <si>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</si>
  <si>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</si>
  <si>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</si>
  <si>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</si>
  <si>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</si>
  <si>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</si>
  <si>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</si>
  <si>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</si>
  <si>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</si>
  <si>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</si>
  <si>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</si>
  <si>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</si>
  <si>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</si>
  <si>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</si>
  <si>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</si>
  <si>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</si>
  <si>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</si>
  <si>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</si>
  <si>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</si>
  <si>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</si>
  <si>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</si>
  <si>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</si>
  <si>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</si>
  <si>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</si>
  <si>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</si>
  <si>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</si>
  <si>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</si>
  <si>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</si>
  <si>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</si>
  <si>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</si>
  <si>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</si>
  <si>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</si>
  <si>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</si>
  <si>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</si>
  <si>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</si>
  <si>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</si>
  <si>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</si>
  <si>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</si>
  <si>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</si>
  <si>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</si>
  <si>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</si>
  <si>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</si>
  <si>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</si>
  <si>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</si>
  <si>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</si>
  <si>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</si>
  <si>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</si>
  <si>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</si>
  <si>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</si>
  <si>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</si>
  <si>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</si>
  <si>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</si>
  <si>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</si>
  <si>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</si>
  <si>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</si>
  <si>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</si>
  <si>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</si>
  <si>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</si>
  <si>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</si>
  <si>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</si>
  <si>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</si>
  <si>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</si>
  <si>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</si>
  <si>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</si>
  <si>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</si>
  <si>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</si>
  <si>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</si>
  <si>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</si>
  <si>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</si>
  <si>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</si>
  <si>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</si>
  <si>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</si>
  <si>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</si>
  <si>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</si>
  <si>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</si>
  <si>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</si>
  <si>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</si>
  <si>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</si>
  <si>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</si>
  <si>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</si>
  <si>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</si>
  <si>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</si>
  <si>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</si>
  <si>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</si>
  <si>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</si>
  <si>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</si>
  <si>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</si>
  <si>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</si>
  <si>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</si>
  <si>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</si>
  <si>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</si>
  <si>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</si>
  <si>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</si>
  <si>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</si>
  <si>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</si>
  <si>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</si>
  <si>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</si>
  <si>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</si>
  <si>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</si>
  <si>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</si>
  <si>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</si>
  <si>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</si>
  <si>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</si>
  <si>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</si>
  <si>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</si>
  <si>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</si>
  <si>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</si>
  <si>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</si>
  <si>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</si>
  <si>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</si>
  <si>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</si>
  <si>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</si>
  <si>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</si>
  <si>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</si>
  <si>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</si>
  <si>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</si>
  <si>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</si>
  <si>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</si>
  <si>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</si>
  <si>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</si>
  <si>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</si>
  <si>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</si>
  <si>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</si>
  <si>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</si>
  <si>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</si>
  <si>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</si>
  <si>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</si>
  <si>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</si>
  <si>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</si>
  <si>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</si>
  <si>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</si>
  <si>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</si>
  <si>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</si>
  <si>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</si>
  <si>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</si>
  <si>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</si>
  <si>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</si>
  <si>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</si>
  <si>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</si>
  <si>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</si>
  <si>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</si>
  <si>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</si>
  <si>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</si>
  <si>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</si>
  <si>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</si>
  <si>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</si>
  <si>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</si>
  <si>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</si>
  <si>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</si>
  <si>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</si>
  <si>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</si>
  <si>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</si>
  <si>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</si>
  <si>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</si>
  <si>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</si>
  <si>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</si>
  <si>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</si>
  <si>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</si>
  <si>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</si>
  <si>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32193r1.par</t>
  </si>
  <si>
    <t>perp</t>
  </si>
  <si>
    <t>6841r00</t>
  </si>
  <si>
    <t>1613.par</t>
  </si>
  <si>
    <t>1913.par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</si>
</sst>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Engineering\01_Designs\9387\9387r00%20CS%20Placement%20V5.xls" TargetMode="External"/><Relationship Id="rId1" Type="http://schemas.openxmlformats.org/officeDocument/2006/relationships/externalLinkPath" Target="/Engineering/01_Designs/9387/9387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4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24">
          <cell r="AG224" t="str">
            <v>Perp. to Profile</v>
          </cell>
        </row>
        <row r="225">
          <cell r="AG225">
            <v>-20</v>
          </cell>
          <cell r="AI225" t="str">
            <v>01</v>
          </cell>
        </row>
        <row r="226">
          <cell r="AG226">
            <v>-20</v>
          </cell>
          <cell r="AI226" t="str">
            <v>02</v>
          </cell>
        </row>
        <row r="227">
          <cell r="AG227">
            <v>-20</v>
          </cell>
          <cell r="AI227" t="str">
            <v>03</v>
          </cell>
        </row>
        <row r="228">
          <cell r="AG228">
            <v>-20</v>
          </cell>
          <cell r="AI228" t="str">
            <v>04</v>
          </cell>
        </row>
        <row r="229">
          <cell r="AG229">
            <v>-20</v>
          </cell>
          <cell r="AI229" t="str">
            <v>05</v>
          </cell>
        </row>
        <row r="230">
          <cell r="AG230">
            <v>-20</v>
          </cell>
          <cell r="AI230" t="str">
            <v>06</v>
          </cell>
        </row>
        <row r="231">
          <cell r="AG231">
            <v>-20</v>
          </cell>
          <cell r="AI231" t="str">
            <v>07</v>
          </cell>
        </row>
        <row r="232">
          <cell r="AG232">
            <v>-12.900000000000006</v>
          </cell>
          <cell r="AI232" t="str">
            <v>08</v>
          </cell>
        </row>
        <row r="233">
          <cell r="AG233">
            <v>-4.5999999999999943</v>
          </cell>
          <cell r="AI233" t="str">
            <v>09</v>
          </cell>
        </row>
        <row r="234">
          <cell r="AG234">
            <v>-0.5</v>
          </cell>
          <cell r="AI234" t="str">
            <v>10</v>
          </cell>
        </row>
        <row r="235">
          <cell r="AG235">
            <v>3.7000000000000028</v>
          </cell>
          <cell r="AI235" t="str">
            <v>11</v>
          </cell>
        </row>
        <row r="236">
          <cell r="AG236">
            <v>7.7999999999999972</v>
          </cell>
          <cell r="AI236" t="str">
            <v>12</v>
          </cell>
        </row>
        <row r="237">
          <cell r="AG237">
            <v>11.900000000000006</v>
          </cell>
          <cell r="AI237" t="str">
            <v>13</v>
          </cell>
        </row>
        <row r="238">
          <cell r="AG238">
            <v>16.099999999999994</v>
          </cell>
          <cell r="AI238" t="str">
            <v>14</v>
          </cell>
        </row>
        <row r="239">
          <cell r="AG239">
            <v>20.200000000000003</v>
          </cell>
          <cell r="AI239" t="str">
            <v>15</v>
          </cell>
        </row>
        <row r="240">
          <cell r="AG240">
            <v>24.400000000000006</v>
          </cell>
          <cell r="AI240" t="str">
            <v>16</v>
          </cell>
        </row>
        <row r="241">
          <cell r="AG241">
            <v>28.5</v>
          </cell>
          <cell r="AI241" t="str">
            <v>17</v>
          </cell>
        </row>
        <row r="242">
          <cell r="AG242">
            <v>32.700000000000003</v>
          </cell>
          <cell r="AI242" t="str">
            <v>18</v>
          </cell>
        </row>
        <row r="243">
          <cell r="AG243">
            <v>36.799999999999997</v>
          </cell>
          <cell r="AI243" t="str">
            <v>19</v>
          </cell>
        </row>
        <row r="244">
          <cell r="AG244">
            <v>41</v>
          </cell>
          <cell r="AI244" t="str">
            <v>20</v>
          </cell>
        </row>
        <row r="245">
          <cell r="AG245">
            <v>45.199999999999989</v>
          </cell>
          <cell r="AI245" t="str">
            <v>21</v>
          </cell>
        </row>
        <row r="246">
          <cell r="AG246">
            <v>49.300000000000011</v>
          </cell>
          <cell r="AI246" t="str">
            <v>22</v>
          </cell>
        </row>
        <row r="247">
          <cell r="AG247">
            <v>53.5</v>
          </cell>
          <cell r="AI247" t="str">
            <v>23</v>
          </cell>
        </row>
        <row r="248">
          <cell r="AG248">
            <v>57.699999999999989</v>
          </cell>
          <cell r="AI248" t="str">
            <v>24</v>
          </cell>
        </row>
        <row r="249">
          <cell r="AG249">
            <v>61.900000000000006</v>
          </cell>
          <cell r="AI249" t="str">
            <v>25</v>
          </cell>
        </row>
        <row r="250">
          <cell r="AG250">
            <v>66.099999999999994</v>
          </cell>
          <cell r="AI250" t="str">
            <v>26</v>
          </cell>
        </row>
        <row r="251">
          <cell r="AG251">
            <v>70.300000000000011</v>
          </cell>
          <cell r="AI251" t="str">
            <v>27</v>
          </cell>
        </row>
        <row r="252">
          <cell r="AG252">
            <v>74.5</v>
          </cell>
          <cell r="AI252" t="str">
            <v>28</v>
          </cell>
        </row>
        <row r="253">
          <cell r="AG253">
            <v>78.699999999999989</v>
          </cell>
          <cell r="AI253" t="str">
            <v>29</v>
          </cell>
        </row>
        <row r="254">
          <cell r="AG254">
            <v>82.800000000000011</v>
          </cell>
          <cell r="AI254" t="str">
            <v>30</v>
          </cell>
        </row>
        <row r="255">
          <cell r="AG255">
            <v>85</v>
          </cell>
          <cell r="AI255" t="str">
            <v>31</v>
          </cell>
        </row>
        <row r="256">
          <cell r="AG256">
            <v>85</v>
          </cell>
          <cell r="AI256" t="str">
            <v>32</v>
          </cell>
        </row>
        <row r="257">
          <cell r="AG257">
            <v>85</v>
          </cell>
          <cell r="AI257" t="str">
            <v>33</v>
          </cell>
        </row>
        <row r="258">
          <cell r="AG258">
            <v>85</v>
          </cell>
          <cell r="AI258" t="str">
            <v>34</v>
          </cell>
        </row>
        <row r="259">
          <cell r="AG259">
            <v>85</v>
          </cell>
          <cell r="AI259" t="str">
            <v>35</v>
          </cell>
        </row>
        <row r="260">
          <cell r="AG260">
            <v>85</v>
          </cell>
          <cell r="AI260" t="str">
            <v>36</v>
          </cell>
        </row>
        <row r="261">
          <cell r="AG261">
            <v>85</v>
          </cell>
          <cell r="AI261" t="str">
            <v>37</v>
          </cell>
        </row>
        <row r="262">
          <cell r="AG262">
            <v>85</v>
          </cell>
          <cell r="AI262" t="str">
            <v>38</v>
          </cell>
        </row>
        <row r="263">
          <cell r="AG263">
            <v>85</v>
          </cell>
          <cell r="AI263" t="str">
            <v>39</v>
          </cell>
        </row>
        <row r="264">
          <cell r="AG264">
            <v>85</v>
          </cell>
          <cell r="AI264" t="str">
            <v>40</v>
          </cell>
        </row>
        <row r="265">
          <cell r="AG265">
            <v>85</v>
          </cell>
          <cell r="AI265" t="str">
            <v>41</v>
          </cell>
        </row>
        <row r="266">
          <cell r="AG266">
            <v>100</v>
          </cell>
          <cell r="AI266" t="str">
            <v>42</v>
          </cell>
        </row>
        <row r="267">
          <cell r="AG267">
            <v>100</v>
          </cell>
          <cell r="AI267" t="str">
            <v>43</v>
          </cell>
        </row>
        <row r="268">
          <cell r="AG268">
            <v>100</v>
          </cell>
          <cell r="AI268" t="str">
            <v>44</v>
          </cell>
        </row>
        <row r="269">
          <cell r="AG269">
            <v>100</v>
          </cell>
          <cell r="AI269" t="str">
            <v>45</v>
          </cell>
        </row>
        <row r="270">
          <cell r="AG270">
            <v>100</v>
          </cell>
          <cell r="AI270" t="str">
            <v>46</v>
          </cell>
        </row>
        <row r="271">
          <cell r="AG271">
            <v>100</v>
          </cell>
          <cell r="AI271" t="str">
            <v>47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30" sqref="I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3" t="s">
        <v>77</v>
      </c>
      <c r="D1" s="1023"/>
      <c r="E1" s="1023"/>
      <c r="F1" s="1023"/>
      <c r="G1" s="1023"/>
      <c r="H1" s="1023"/>
      <c r="I1" s="1023"/>
      <c r="J1" s="1023"/>
      <c r="K1" s="1023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10" t="s">
        <v>80</v>
      </c>
      <c r="B6" s="101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9" t="s">
        <v>370</v>
      </c>
      <c r="AQ7" s="1009"/>
      <c r="AR7" s="1009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5">
        <v>9</v>
      </c>
      <c r="D9" s="985"/>
      <c r="E9" s="985"/>
      <c r="F9" s="985"/>
      <c r="G9" s="985"/>
      <c r="H9" s="985"/>
      <c r="I9" s="985"/>
      <c r="J9" s="985"/>
      <c r="K9" s="101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4"/>
      <c r="C10" s="1005"/>
      <c r="D10" s="1005"/>
      <c r="E10" s="1005"/>
      <c r="F10" s="1005"/>
      <c r="G10" s="1005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1"/>
      <c r="B11" s="1011" t="s">
        <v>33</v>
      </c>
      <c r="C11" s="1020" t="s">
        <v>34</v>
      </c>
      <c r="D11" s="1020"/>
      <c r="E11" s="1017" t="s">
        <v>39</v>
      </c>
      <c r="F11" s="1011" t="s">
        <v>35</v>
      </c>
      <c r="G11" s="1011" t="s">
        <v>36</v>
      </c>
      <c r="H11" s="1011" t="s">
        <v>43</v>
      </c>
      <c r="I11" s="1018" t="s">
        <v>67</v>
      </c>
      <c r="J11" s="1020" t="s">
        <v>56</v>
      </c>
      <c r="K11" s="1020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4" t="s">
        <v>338</v>
      </c>
      <c r="AN11" s="985"/>
      <c r="AO11" s="985"/>
      <c r="AP11" s="985"/>
      <c r="AQ11" s="985"/>
      <c r="AR11" s="986"/>
      <c r="AS11" s="995" t="s">
        <v>345</v>
      </c>
      <c r="AT11" s="996"/>
      <c r="AU11" s="996"/>
      <c r="AV11" s="997"/>
      <c r="BC11" s="419"/>
    </row>
    <row r="12" spans="1:55" ht="15.75" thickBot="1" x14ac:dyDescent="0.3">
      <c r="A12" s="1022"/>
      <c r="B12" s="1012"/>
      <c r="C12" s="48" t="s">
        <v>8</v>
      </c>
      <c r="D12" s="49" t="s">
        <v>10</v>
      </c>
      <c r="E12" s="1012"/>
      <c r="F12" s="1012"/>
      <c r="G12" s="1012"/>
      <c r="H12" s="1012"/>
      <c r="I12" s="1019"/>
      <c r="J12" s="52" t="s">
        <v>8</v>
      </c>
      <c r="K12" s="53" t="s">
        <v>10</v>
      </c>
      <c r="M12" s="31"/>
      <c r="N12" s="31"/>
      <c r="O12" s="1032" t="s">
        <v>46</v>
      </c>
      <c r="P12" s="1033"/>
      <c r="Q12" s="1013" t="s">
        <v>45</v>
      </c>
      <c r="R12" s="1014"/>
      <c r="S12" s="1014"/>
      <c r="T12" s="1014"/>
      <c r="U12" s="1014"/>
      <c r="V12" s="1014"/>
      <c r="W12" s="1014"/>
      <c r="X12" s="1014"/>
      <c r="Y12" s="1014"/>
      <c r="Z12" s="1014"/>
      <c r="AA12" s="1014"/>
      <c r="AB12" s="1014"/>
      <c r="AC12" s="1014"/>
      <c r="AD12" s="1014"/>
      <c r="AE12" s="1015"/>
      <c r="AF12" s="1026" t="s">
        <v>56</v>
      </c>
      <c r="AG12" s="1027"/>
      <c r="AH12" s="31"/>
      <c r="AK12" s="990" t="s">
        <v>346</v>
      </c>
      <c r="AL12" s="1006"/>
      <c r="AM12" s="987" t="s">
        <v>343</v>
      </c>
      <c r="AN12" s="988"/>
      <c r="AO12" s="989"/>
      <c r="AP12" s="990" t="s">
        <v>371</v>
      </c>
      <c r="AQ12" s="989"/>
      <c r="AR12" s="743" t="s">
        <v>369</v>
      </c>
      <c r="AS12" s="992" t="s">
        <v>343</v>
      </c>
      <c r="AT12" s="989"/>
      <c r="AU12" s="993" t="s">
        <v>344</v>
      </c>
      <c r="AV12" s="994"/>
      <c r="AW12" s="998" t="s">
        <v>342</v>
      </c>
      <c r="AX12" s="999"/>
      <c r="AZ12" s="990" t="s">
        <v>60</v>
      </c>
      <c r="BA12" s="989"/>
      <c r="BC12" s="991" t="s">
        <v>374</v>
      </c>
    </row>
    <row r="13" spans="1:55" ht="15.75" thickBot="1" x14ac:dyDescent="0.3">
      <c r="A13" s="63" t="s">
        <v>57</v>
      </c>
      <c r="B13" s="1000" t="s">
        <v>97</v>
      </c>
      <c r="C13" s="1002" t="str">
        <f>SUBSTITUTE(ADDRESS(1,COLUMN(Assy.Model!X9),4),"1","")</f>
        <v>X</v>
      </c>
      <c r="D13" s="97" t="str">
        <f>SUBSTITUTE(ADDRESS(1,COLUMN(Assy.Model!Y9),4),"1","")</f>
        <v>Y</v>
      </c>
      <c r="E13" s="1007" t="str">
        <f>SUBSTITUTE(ADDRESS(1,COLUMN(Assy.Model!H9),4),"1","")</f>
        <v>H</v>
      </c>
      <c r="F13" s="1007" t="str">
        <f>SUBSTITUTE(ADDRESS(1,COLUMN(Assy.Model!AN9),4),"1","")</f>
        <v>AN</v>
      </c>
      <c r="G13" s="1007" t="str">
        <f>SUBSTITUTE(ADDRESS(1,COLUMN(Assy.Model!AO9),4),"1","")</f>
        <v>AO</v>
      </c>
      <c r="H13" s="1007" t="str">
        <f>SUBSTITUTE(ADDRESS(1,COLUMN(Assy.Model!AO9),4),"1","")</f>
        <v>AO</v>
      </c>
      <c r="I13" s="100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4"/>
      <c r="P13" s="103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1"/>
    </row>
    <row r="14" spans="1:55" x14ac:dyDescent="0.25">
      <c r="A14" s="61" t="s">
        <v>58</v>
      </c>
      <c r="B14" s="1001"/>
      <c r="C14" s="1003"/>
      <c r="D14" s="98" t="str">
        <f>SUBSTITUTE(ADDRESS(1,COLUMN(Assy.Model!AT9),4),"1","")</f>
        <v>AT</v>
      </c>
      <c r="E14" s="1008"/>
      <c r="F14" s="1008"/>
      <c r="G14" s="1008"/>
      <c r="H14" s="1008"/>
      <c r="I14" s="1008"/>
      <c r="J14" s="87">
        <v>0</v>
      </c>
      <c r="K14" s="88">
        <v>0</v>
      </c>
      <c r="L14" s="31"/>
      <c r="M14" s="185">
        <v>6.25E-2</v>
      </c>
      <c r="N14" s="31">
        <v>32</v>
      </c>
      <c r="O14" s="10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5" t="s">
        <v>64</v>
      </c>
      <c r="C21" s="985"/>
      <c r="D21" s="985"/>
      <c r="E21" s="985"/>
      <c r="F21" s="1016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21"/>
      <c r="C22" s="1015" t="s">
        <v>63</v>
      </c>
      <c r="D22" s="1016"/>
      <c r="E22" s="1018" t="s">
        <v>60</v>
      </c>
      <c r="F22" s="1018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6"/>
      <c r="C23" s="56" t="s">
        <v>8</v>
      </c>
      <c r="D23" s="56" t="s">
        <v>9</v>
      </c>
      <c r="E23" s="1019"/>
      <c r="F23" s="1019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8">
        <v>0</v>
      </c>
      <c r="E24" s="1028">
        <v>2</v>
      </c>
      <c r="F24" s="10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1029"/>
      <c r="E25" s="1029"/>
      <c r="F25" s="10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4" t="s">
        <v>302</v>
      </c>
      <c r="C27" s="1024"/>
      <c r="D27" s="1024"/>
      <c r="E27" s="1024"/>
      <c r="F27" s="1024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5" t="s">
        <v>422</v>
      </c>
      <c r="C28" s="1025"/>
      <c r="D28" s="1025"/>
      <c r="E28" s="1025"/>
      <c r="F28" s="1025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5" t="s">
        <v>95</v>
      </c>
      <c r="D3" s="985"/>
      <c r="E3" s="985"/>
      <c r="F3" s="985"/>
      <c r="G3" s="985"/>
      <c r="H3" s="985"/>
      <c r="I3" s="985"/>
      <c r="J3" s="985"/>
      <c r="K3" s="986"/>
      <c r="L3" s="1042"/>
      <c r="M3" s="985"/>
      <c r="N3" s="985"/>
      <c r="O3" s="985"/>
      <c r="P3" s="985"/>
      <c r="Q3" s="985"/>
      <c r="R3" s="101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4" t="s">
        <v>86</v>
      </c>
      <c r="C4" s="1081" t="s">
        <v>82</v>
      </c>
      <c r="D4" s="985" t="s">
        <v>83</v>
      </c>
      <c r="E4" s="985"/>
      <c r="F4" s="985"/>
      <c r="G4" s="985"/>
      <c r="H4" s="985"/>
      <c r="I4" s="985"/>
      <c r="J4" s="985"/>
      <c r="K4" s="985"/>
      <c r="L4" s="146" t="s">
        <v>91</v>
      </c>
      <c r="M4" s="1015" t="s">
        <v>94</v>
      </c>
      <c r="N4" s="985"/>
      <c r="O4" s="985"/>
      <c r="P4" s="986"/>
      <c r="Q4" s="985" t="s">
        <v>52</v>
      </c>
      <c r="R4" s="1016"/>
      <c r="S4" s="103"/>
      <c r="T4" s="1015">
        <v>350</v>
      </c>
      <c r="U4" s="985"/>
      <c r="V4" s="985" t="s">
        <v>76</v>
      </c>
      <c r="W4" s="9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5"/>
      <c r="C5" s="1082"/>
      <c r="D5" s="1070" t="s">
        <v>85</v>
      </c>
      <c r="E5" s="1084" t="s">
        <v>89</v>
      </c>
      <c r="F5" s="1020" t="s">
        <v>34</v>
      </c>
      <c r="G5" s="1020"/>
      <c r="H5" s="1017" t="s">
        <v>39</v>
      </c>
      <c r="I5" s="1011" t="s">
        <v>35</v>
      </c>
      <c r="J5" s="1011" t="s">
        <v>36</v>
      </c>
      <c r="K5" s="1054" t="s">
        <v>67</v>
      </c>
      <c r="L5" s="147" t="s">
        <v>92</v>
      </c>
      <c r="M5" s="1018" t="s">
        <v>90</v>
      </c>
      <c r="N5" s="1018" t="s">
        <v>47</v>
      </c>
      <c r="O5" s="1037" t="s">
        <v>84</v>
      </c>
      <c r="P5" s="1038"/>
      <c r="Q5" s="1039" t="s">
        <v>84</v>
      </c>
      <c r="R5" s="1040"/>
      <c r="S5" s="103"/>
      <c r="T5" s="1032" t="s">
        <v>46</v>
      </c>
      <c r="U5" s="1043"/>
      <c r="V5" s="999" t="s">
        <v>45</v>
      </c>
      <c r="W5" s="1027"/>
      <c r="X5" s="1027"/>
      <c r="Y5" s="1027"/>
      <c r="Z5" s="1027"/>
      <c r="AA5" s="1027"/>
      <c r="AB5" s="1027"/>
      <c r="AC5" s="1027"/>
      <c r="AD5" s="1027"/>
      <c r="AE5" s="1027"/>
      <c r="AF5" s="1027"/>
      <c r="AG5" s="1027"/>
      <c r="AH5" s="1027"/>
      <c r="AI5" s="1027"/>
      <c r="AJ5" s="1027"/>
      <c r="AK5" s="31"/>
      <c r="AL5" s="31"/>
    </row>
    <row r="6" spans="2:38" ht="15" customHeight="1" thickBot="1" x14ac:dyDescent="0.3">
      <c r="B6" s="1066"/>
      <c r="C6" s="1083"/>
      <c r="D6" s="1071"/>
      <c r="E6" s="1085"/>
      <c r="F6" s="104" t="s">
        <v>8</v>
      </c>
      <c r="G6" s="105" t="s">
        <v>10</v>
      </c>
      <c r="H6" s="1055"/>
      <c r="I6" s="1055"/>
      <c r="J6" s="1055"/>
      <c r="K6" s="1044"/>
      <c r="L6" s="148" t="s">
        <v>93</v>
      </c>
      <c r="M6" s="1041"/>
      <c r="N6" s="1041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4"/>
      <c r="U6" s="104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2">
        <f>ROW(Assy.Model!B9)</f>
        <v>9</v>
      </c>
      <c r="D7" s="1061" t="str">
        <f>SUBSTITUTE(ADDRESS(1,COLUMN(Assy.Model!B9),4),"1","")</f>
        <v>B</v>
      </c>
      <c r="E7" s="1075" t="str">
        <f>SUBSTITUTE(ADDRESS(1,COLUMN(Assy.Model!M9),4),"1","")</f>
        <v>M</v>
      </c>
      <c r="F7" s="1078" t="str">
        <f>SUBSTITUTE(ADDRESS(1,COLUMN(Assy.Model!X9),4),"1","")</f>
        <v>X</v>
      </c>
      <c r="G7" s="1067" t="str">
        <f>SUBSTITUTE(ADDRESS(1,COLUMN(Assy.Model!AT9),4),"1","")</f>
        <v>AT</v>
      </c>
      <c r="H7" s="1046" t="str">
        <f>SUBSTITUTE(ADDRESS(1,COLUMN(Assy.Model!H9),4),"1","")</f>
        <v>H</v>
      </c>
      <c r="I7" s="1046" t="str">
        <f>SUBSTITUTE(ADDRESS(1,COLUMN(Assy.Model!AN9),4),"1","")</f>
        <v>AN</v>
      </c>
      <c r="J7" s="1046" t="str">
        <f>SUBSTITUTE(ADDRESS(1,COLUMN(Assy.Model!AO9),4),"1","")</f>
        <v>AO</v>
      </c>
      <c r="K7" s="1049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8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6" t="s">
        <v>81</v>
      </c>
      <c r="C8" s="1073"/>
      <c r="D8" s="1062"/>
      <c r="E8" s="1076"/>
      <c r="F8" s="1079"/>
      <c r="G8" s="1068"/>
      <c r="H8" s="1047"/>
      <c r="I8" s="1047"/>
      <c r="J8" s="1047"/>
      <c r="K8" s="1050"/>
      <c r="L8" s="149" t="s">
        <v>93</v>
      </c>
      <c r="M8" s="1052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9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6"/>
      <c r="C9" s="1073"/>
      <c r="D9" s="1062"/>
      <c r="E9" s="1076"/>
      <c r="F9" s="1079"/>
      <c r="G9" s="1068"/>
      <c r="H9" s="1047"/>
      <c r="I9" s="1047"/>
      <c r="J9" s="1047"/>
      <c r="K9" s="1050"/>
      <c r="L9" s="149" t="s">
        <v>92</v>
      </c>
      <c r="M9" s="1052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9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6"/>
      <c r="C10" s="1073"/>
      <c r="D10" s="1062"/>
      <c r="E10" s="1076"/>
      <c r="F10" s="1079"/>
      <c r="G10" s="1068"/>
      <c r="H10" s="1047"/>
      <c r="I10" s="1047"/>
      <c r="J10" s="1047"/>
      <c r="K10" s="1050"/>
      <c r="L10" s="149" t="s">
        <v>92</v>
      </c>
      <c r="M10" s="1052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9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6"/>
      <c r="C11" s="1073"/>
      <c r="D11" s="1062"/>
      <c r="E11" s="1076"/>
      <c r="F11" s="1079"/>
      <c r="G11" s="1068"/>
      <c r="H11" s="1047"/>
      <c r="I11" s="1047"/>
      <c r="J11" s="1047"/>
      <c r="K11" s="1050"/>
      <c r="L11" s="149" t="s">
        <v>92</v>
      </c>
      <c r="M11" s="1052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9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6"/>
      <c r="C12" s="1073"/>
      <c r="D12" s="1062"/>
      <c r="E12" s="1076"/>
      <c r="F12" s="1079"/>
      <c r="G12" s="1068"/>
      <c r="H12" s="1047"/>
      <c r="I12" s="1047"/>
      <c r="J12" s="1047"/>
      <c r="K12" s="1050"/>
      <c r="L12" s="149" t="s">
        <v>92</v>
      </c>
      <c r="M12" s="1052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9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6"/>
      <c r="C13" s="1073"/>
      <c r="D13" s="1062"/>
      <c r="E13" s="1076"/>
      <c r="F13" s="1079"/>
      <c r="G13" s="1068"/>
      <c r="H13" s="1047"/>
      <c r="I13" s="1047"/>
      <c r="J13" s="1047"/>
      <c r="K13" s="1050"/>
      <c r="L13" s="149" t="s">
        <v>92</v>
      </c>
      <c r="M13" s="1052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9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7"/>
      <c r="C14" s="1074"/>
      <c r="D14" s="1063"/>
      <c r="E14" s="1077"/>
      <c r="F14" s="1080"/>
      <c r="G14" s="1069"/>
      <c r="H14" s="1048"/>
      <c r="I14" s="1048"/>
      <c r="J14" s="1048"/>
      <c r="K14" s="1051"/>
      <c r="L14" s="150" t="s">
        <v>93</v>
      </c>
      <c r="M14" s="1053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60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2" t="str">
        <f>CONCATENATE(Settings!$C$19," ",Settings!$B$28)</f>
        <v>7.875 6841r00</v>
      </c>
      <c r="D1" s="1272"/>
      <c r="E1" s="1272"/>
      <c r="F1" s="1272"/>
      <c r="G1" s="1272"/>
      <c r="H1" s="1272"/>
      <c r="I1" s="1272"/>
      <c r="J1" s="1272"/>
      <c r="K1" s="1272"/>
      <c r="L1" s="709"/>
      <c r="M1" s="983">
        <f>LARGE(M9:M150,1)</f>
        <v>5.2279999999999998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-1.2385783959939545</v>
      </c>
      <c r="W1" s="162">
        <f>360-W14</f>
        <v>1.2385783959939545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80" t="s">
        <v>306</v>
      </c>
      <c r="C2" s="1281"/>
      <c r="D2" s="1281"/>
      <c r="E2" s="1281"/>
      <c r="F2" s="1281"/>
      <c r="G2" s="1281"/>
      <c r="H2" s="1281"/>
      <c r="I2" s="1281"/>
      <c r="J2" s="1281"/>
      <c r="K2" s="1282"/>
      <c r="L2" s="1156" t="str" cm="1">
        <f t="array" ref="L2">IF(OR($K$9:$K$150="Undefined"),"Undefined Element","")</f>
        <v/>
      </c>
      <c r="M2" s="1291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323" t="s">
        <v>0</v>
      </c>
      <c r="AW2" s="1250" t="s">
        <v>109</v>
      </c>
      <c r="AX2" s="1251"/>
      <c r="AY2" s="1251"/>
      <c r="AZ2" s="1251"/>
      <c r="BA2" s="1251"/>
      <c r="BB2" s="1251"/>
      <c r="BC2" s="1251"/>
      <c r="BD2" s="1251"/>
      <c r="BE2" s="1252"/>
      <c r="BF2" s="1353" t="s">
        <v>115</v>
      </c>
      <c r="BG2" s="1251"/>
      <c r="BH2" s="1251"/>
      <c r="BI2" s="1251"/>
      <c r="BJ2" s="1251"/>
      <c r="BK2" s="1251"/>
      <c r="BL2" s="1251"/>
      <c r="BM2" s="1251"/>
      <c r="BN2" s="1251"/>
      <c r="BO2" s="1251"/>
      <c r="BP2" s="1251"/>
      <c r="BQ2" s="1251"/>
      <c r="BR2" s="1251"/>
      <c r="BS2" s="1251"/>
      <c r="BT2" s="1251"/>
      <c r="BU2" s="1251"/>
      <c r="BV2" s="1251"/>
      <c r="BW2" s="1251"/>
      <c r="BX2" s="1251"/>
      <c r="BY2" s="1251"/>
      <c r="BZ2" s="1251"/>
      <c r="CA2" s="1251"/>
      <c r="CB2" s="1251"/>
      <c r="CC2" s="1251"/>
      <c r="CD2" s="1251"/>
      <c r="CE2" s="1251"/>
      <c r="CF2" s="1251"/>
      <c r="CG2" s="1251"/>
      <c r="CH2" s="1251"/>
      <c r="CI2" s="1251"/>
      <c r="CJ2" s="1251"/>
      <c r="CK2" s="1251"/>
      <c r="CL2" s="1251"/>
      <c r="CM2" s="1251"/>
      <c r="CN2" s="1251"/>
      <c r="CO2" s="1251"/>
      <c r="CP2" s="1251"/>
      <c r="CQ2" s="1251"/>
      <c r="CR2" s="1251"/>
      <c r="CS2" s="1251"/>
      <c r="CT2" s="1251"/>
      <c r="CU2" s="1251"/>
      <c r="CV2" s="1251"/>
      <c r="CW2" s="1251"/>
      <c r="CX2" s="1251"/>
      <c r="CY2" s="1251"/>
      <c r="CZ2" s="1251"/>
      <c r="DA2" s="1251"/>
      <c r="DB2" s="1251"/>
      <c r="DC2" s="1251"/>
      <c r="DD2" s="1251"/>
      <c r="DE2" s="1251"/>
      <c r="DF2" s="1251"/>
      <c r="DG2" s="1251"/>
      <c r="DH2" s="1251"/>
      <c r="DI2" s="1251"/>
      <c r="DJ2" s="1251"/>
      <c r="DK2" s="1251"/>
      <c r="DL2" s="1251"/>
      <c r="DM2" s="1251"/>
      <c r="DN2" s="1251"/>
      <c r="DO2" s="1251"/>
      <c r="DP2" s="1251"/>
      <c r="DQ2" s="1251"/>
      <c r="DR2" s="1251"/>
      <c r="DS2" s="1251"/>
      <c r="DT2" s="1251"/>
      <c r="DU2" s="1251"/>
      <c r="DV2" s="1251"/>
      <c r="DW2" s="1251"/>
      <c r="DX2" s="1251"/>
      <c r="DY2" s="1251"/>
      <c r="DZ2" s="1251"/>
      <c r="EA2" s="1251"/>
      <c r="EB2" s="1251"/>
      <c r="EC2" s="1251"/>
      <c r="ED2" s="1251"/>
      <c r="EE2" s="1251"/>
      <c r="EF2" s="1251"/>
      <c r="EG2" s="1251"/>
      <c r="EH2" s="1251"/>
      <c r="EI2" s="1251"/>
      <c r="EJ2" s="1251"/>
      <c r="EK2" s="1251"/>
      <c r="EL2" s="1251"/>
      <c r="EM2" s="1251"/>
      <c r="EN2" s="1251"/>
      <c r="EO2" s="1251"/>
      <c r="EP2" s="1251"/>
      <c r="EQ2" s="1251"/>
      <c r="ER2" s="1325"/>
      <c r="ES2" s="1131" t="s">
        <v>196</v>
      </c>
      <c r="ET2" s="1132"/>
      <c r="EU2" s="1132"/>
      <c r="EV2" s="1132"/>
      <c r="EW2" s="1132"/>
      <c r="EX2" s="1132"/>
      <c r="EY2" s="1132"/>
      <c r="EZ2" s="1132"/>
      <c r="FA2" s="1132"/>
      <c r="FB2" s="1132"/>
      <c r="FC2" s="1132"/>
      <c r="FD2" s="1132"/>
      <c r="FE2" s="1132"/>
      <c r="FF2" s="11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0.55130000000000001</v>
      </c>
      <c r="GM2" s="322">
        <f>SUM(GM9:GM150)</f>
        <v>5.7525097857209202</v>
      </c>
      <c r="GR2" s="309" t="e">
        <f>SUM(GR9:GR150)</f>
        <v>#DIV/0!</v>
      </c>
      <c r="GS2" s="309" t="e">
        <f>SUM(GS9:GS150)</f>
        <v>#DIV/0!</v>
      </c>
      <c r="GT2" s="309"/>
      <c r="GU2" s="309">
        <f>SUM(GU9:GU150)</f>
        <v>14141.586556563929</v>
      </c>
      <c r="GV2" s="309"/>
      <c r="GW2" s="369">
        <v>29500</v>
      </c>
      <c r="GX2" s="309">
        <f>SUM(GX9:GX150)</f>
        <v>2249.3399441666666</v>
      </c>
      <c r="GY2" s="309" t="e">
        <f>SUM(GY9:GY150)</f>
        <v>#DIV/0!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7" t="str">
        <f>IFERROR(CONCATENATE("Sum of Lateral Forces = ",ROUND(HE3,0)," lbs @ ",ROUND(HF3,1),"° Relative to Blade 1"),"")</f>
        <v/>
      </c>
      <c r="HX2" s="1097"/>
      <c r="HY2" s="1097"/>
      <c r="HZ2" s="1097"/>
      <c r="IA2" s="1097"/>
      <c r="IB2" s="1097"/>
      <c r="IC2" s="1097"/>
      <c r="ID2" s="1097"/>
      <c r="IE2" s="1097"/>
      <c r="IF2" s="846"/>
      <c r="IN2" s="31"/>
      <c r="IO2" s="323"/>
      <c r="JC2" s="82"/>
      <c r="JD2" s="82"/>
      <c r="JE2" s="82"/>
    </row>
    <row r="3" spans="1:285" ht="15" customHeight="1" x14ac:dyDescent="0.25">
      <c r="B3" s="1283"/>
      <c r="C3" s="1284"/>
      <c r="D3" s="1284"/>
      <c r="E3" s="1284"/>
      <c r="F3" s="1284"/>
      <c r="G3" s="1284"/>
      <c r="H3" s="1284"/>
      <c r="I3" s="1284"/>
      <c r="J3" s="1284"/>
      <c r="K3" s="1285"/>
      <c r="L3" s="1156"/>
      <c r="M3" s="1283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326"/>
      <c r="AA3" s="1327"/>
      <c r="AB3" s="1327"/>
      <c r="AC3" s="1327"/>
      <c r="AD3" s="1327"/>
      <c r="AE3" s="1327"/>
      <c r="AF3" s="1327"/>
      <c r="AG3" s="1327"/>
      <c r="AH3" s="1327"/>
      <c r="AI3" s="1327"/>
      <c r="AJ3" s="1327"/>
      <c r="AK3" s="1327"/>
      <c r="AL3" s="1327"/>
      <c r="AM3" s="1327"/>
      <c r="AN3" s="1327"/>
      <c r="AO3" s="1327"/>
      <c r="AP3" s="1327"/>
      <c r="AQ3" s="1347"/>
      <c r="AS3" s="415">
        <v>100</v>
      </c>
      <c r="AT3" s="412" t="s">
        <v>45</v>
      </c>
      <c r="AV3" s="1324"/>
      <c r="AW3" s="1134"/>
      <c r="AX3" s="1135"/>
      <c r="AY3" s="1135"/>
      <c r="AZ3" s="1135"/>
      <c r="BA3" s="1135"/>
      <c r="BB3" s="1135"/>
      <c r="BC3" s="1135"/>
      <c r="BD3" s="1135"/>
      <c r="BE3" s="1253"/>
      <c r="BF3" s="1354"/>
      <c r="BG3" s="1135"/>
      <c r="BH3" s="1135"/>
      <c r="BI3" s="1135"/>
      <c r="BJ3" s="1135"/>
      <c r="BK3" s="1135"/>
      <c r="BL3" s="1135"/>
      <c r="BM3" s="1135"/>
      <c r="BN3" s="1135"/>
      <c r="BO3" s="1135"/>
      <c r="BP3" s="1135"/>
      <c r="BQ3" s="1135"/>
      <c r="BR3" s="1135"/>
      <c r="BS3" s="1135"/>
      <c r="BT3" s="1135"/>
      <c r="BU3" s="1135"/>
      <c r="BV3" s="1135"/>
      <c r="BW3" s="1135"/>
      <c r="BX3" s="1135"/>
      <c r="BY3" s="1135"/>
      <c r="BZ3" s="1135"/>
      <c r="CA3" s="1135"/>
      <c r="CB3" s="1135"/>
      <c r="CC3" s="1135"/>
      <c r="CD3" s="1135"/>
      <c r="CE3" s="1135"/>
      <c r="CF3" s="1135"/>
      <c r="CG3" s="1135"/>
      <c r="CH3" s="1135"/>
      <c r="CI3" s="1135"/>
      <c r="CJ3" s="1135"/>
      <c r="CK3" s="1135"/>
      <c r="CL3" s="1135"/>
      <c r="CM3" s="1135"/>
      <c r="CN3" s="1135"/>
      <c r="CO3" s="1135"/>
      <c r="CP3" s="1135"/>
      <c r="CQ3" s="1135"/>
      <c r="CR3" s="1135"/>
      <c r="CS3" s="1135"/>
      <c r="CT3" s="1135"/>
      <c r="CU3" s="1135"/>
      <c r="CV3" s="1135"/>
      <c r="CW3" s="1135"/>
      <c r="CX3" s="1135"/>
      <c r="CY3" s="1135"/>
      <c r="CZ3" s="1135"/>
      <c r="DA3" s="1135"/>
      <c r="DB3" s="1135"/>
      <c r="DC3" s="1135"/>
      <c r="DD3" s="1135"/>
      <c r="DE3" s="1135"/>
      <c r="DF3" s="1135"/>
      <c r="DG3" s="1135"/>
      <c r="DH3" s="1135"/>
      <c r="DI3" s="1135"/>
      <c r="DJ3" s="1135"/>
      <c r="DK3" s="1135"/>
      <c r="DL3" s="1135"/>
      <c r="DM3" s="1135"/>
      <c r="DN3" s="1135"/>
      <c r="DO3" s="1135"/>
      <c r="DP3" s="1135"/>
      <c r="DQ3" s="1135"/>
      <c r="DR3" s="1135"/>
      <c r="DS3" s="1135"/>
      <c r="DT3" s="1135"/>
      <c r="DU3" s="1135"/>
      <c r="DV3" s="1135"/>
      <c r="DW3" s="1135"/>
      <c r="DX3" s="1135"/>
      <c r="DY3" s="1135"/>
      <c r="DZ3" s="1135"/>
      <c r="EA3" s="1135"/>
      <c r="EB3" s="1135"/>
      <c r="EC3" s="1135"/>
      <c r="ED3" s="1135"/>
      <c r="EE3" s="1135"/>
      <c r="EF3" s="1135"/>
      <c r="EG3" s="1135"/>
      <c r="EH3" s="1135"/>
      <c r="EI3" s="1135"/>
      <c r="EJ3" s="1135"/>
      <c r="EK3" s="1135"/>
      <c r="EL3" s="1135"/>
      <c r="EM3" s="1135"/>
      <c r="EN3" s="1135"/>
      <c r="EO3" s="1135"/>
      <c r="EP3" s="1135"/>
      <c r="EQ3" s="1135"/>
      <c r="ER3" s="1136"/>
      <c r="ES3" s="1134"/>
      <c r="ET3" s="1135"/>
      <c r="EU3" s="1135"/>
      <c r="EV3" s="1135"/>
      <c r="EW3" s="1135"/>
      <c r="EX3" s="1135"/>
      <c r="EY3" s="1135"/>
      <c r="EZ3" s="1135"/>
      <c r="FA3" s="1135"/>
      <c r="FB3" s="1135"/>
      <c r="FC3" s="1135"/>
      <c r="FD3" s="1135"/>
      <c r="FE3" s="1135"/>
      <c r="FF3" s="11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#DIV/0!</v>
      </c>
      <c r="HF3" s="162" t="str">
        <f>IFERROR(IF((DEGREES(ATAN2(HG3,HH3)))&lt;0,(360+(DEGREES(ATAN2(HG3,HH3)))),(DEGREES(ATAN2(HG3,HH3)))),"")</f>
        <v/>
      </c>
      <c r="HG3" s="309" t="e">
        <f>HC8+HG8</f>
        <v>#DIV/0!</v>
      </c>
      <c r="HH3" s="309" t="e">
        <f>HD8+HH8</f>
        <v>#DIV/0!</v>
      </c>
      <c r="HI3" s="103"/>
      <c r="HJ3" s="31"/>
      <c r="HX3" s="968">
        <f>($HX$6*$AS$3)/5252.113112</f>
        <v>42.827332469808894</v>
      </c>
      <c r="HZ3" s="968">
        <f>($HZ$6*$AS$3)/5252.113112</f>
        <v>269.25517891557416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6"/>
      <c r="C4" s="1287"/>
      <c r="D4" s="1287"/>
      <c r="E4" s="1287"/>
      <c r="F4" s="1287"/>
      <c r="G4" s="1287"/>
      <c r="H4" s="1287"/>
      <c r="I4" s="1287"/>
      <c r="J4" s="1287"/>
      <c r="K4" s="1288"/>
      <c r="L4" s="1156"/>
      <c r="M4" s="1283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$Q$4</f>
        <v>Polar XY; Cartesian Z</v>
      </c>
      <c r="X4" s="1257"/>
      <c r="Y4" s="1273"/>
      <c r="Z4" s="1293" t="s">
        <v>3</v>
      </c>
      <c r="AA4" s="1290"/>
      <c r="AB4" s="1290"/>
      <c r="AC4" s="1290"/>
      <c r="AD4" s="1290"/>
      <c r="AE4" s="1290"/>
      <c r="AF4" s="1290"/>
      <c r="AG4" s="1320" t="s">
        <v>31</v>
      </c>
      <c r="AH4" s="1290"/>
      <c r="AI4" s="1290"/>
      <c r="AJ4" s="1308"/>
      <c r="AK4" s="1348" t="s">
        <v>32</v>
      </c>
      <c r="AL4" s="1349"/>
      <c r="AM4" s="1349"/>
      <c r="AN4" s="1349"/>
      <c r="AO4" s="1349"/>
      <c r="AP4" s="1349"/>
      <c r="AQ4" s="1350"/>
      <c r="AS4" s="416">
        <v>125</v>
      </c>
      <c r="AT4" s="413" t="s">
        <v>46</v>
      </c>
      <c r="AV4" s="1324"/>
      <c r="AW4" s="1224" t="s">
        <v>112</v>
      </c>
      <c r="AX4" s="1194"/>
      <c r="AY4" s="1033"/>
      <c r="AZ4" s="1248"/>
      <c r="BA4" s="1249"/>
      <c r="BB4" s="1254" t="s">
        <v>113</v>
      </c>
      <c r="BC4" s="1257" t="str">
        <f>$Q$4</f>
        <v>Polar XY; Cartesian Z</v>
      </c>
      <c r="BD4" s="1257"/>
      <c r="BE4" s="1258"/>
      <c r="BF4" s="1269" t="s">
        <v>129</v>
      </c>
      <c r="BG4" s="1270"/>
      <c r="BH4" s="1270"/>
      <c r="BI4" s="1270"/>
      <c r="BJ4" s="1270"/>
      <c r="BK4" s="1270"/>
      <c r="BL4" s="1270"/>
      <c r="BM4" s="1270"/>
      <c r="BN4" s="1270"/>
      <c r="BO4" s="1270"/>
      <c r="BP4" s="1270"/>
      <c r="BQ4" s="1270"/>
      <c r="BR4" s="1270"/>
      <c r="BS4" s="1270"/>
      <c r="BT4" s="1270"/>
      <c r="BU4" s="1270"/>
      <c r="BV4" s="1270"/>
      <c r="BW4" s="1270"/>
      <c r="BX4" s="1270"/>
      <c r="BY4" s="1270"/>
      <c r="BZ4" s="1270"/>
      <c r="CA4" s="1270"/>
      <c r="CB4" s="1270"/>
      <c r="CC4" s="1270"/>
      <c r="CD4" s="1270"/>
      <c r="CE4" s="1270"/>
      <c r="CF4" s="1270"/>
      <c r="CG4" s="1270"/>
      <c r="CH4" s="1270"/>
      <c r="CI4" s="1270"/>
      <c r="CJ4" s="1270"/>
      <c r="CK4" s="1270"/>
      <c r="CL4" s="1270"/>
      <c r="CM4" s="1270"/>
      <c r="CN4" s="1271"/>
      <c r="CO4" s="1242" t="s">
        <v>192</v>
      </c>
      <c r="CP4" s="1243"/>
      <c r="CQ4" s="1243"/>
      <c r="CR4" s="1243"/>
      <c r="CS4" s="1243"/>
      <c r="CT4" s="1243"/>
      <c r="CU4" s="1243"/>
      <c r="CV4" s="1243"/>
      <c r="CW4" s="1243"/>
      <c r="CX4" s="1243"/>
      <c r="CY4" s="1243"/>
      <c r="CZ4" s="1243"/>
      <c r="DA4" s="1244"/>
      <c r="DB4" s="1128" t="s">
        <v>389</v>
      </c>
      <c r="DC4" s="1129"/>
      <c r="DD4" s="1129"/>
      <c r="DE4" s="1129"/>
      <c r="DF4" s="1129"/>
      <c r="DG4" s="1129"/>
      <c r="DH4" s="1129"/>
      <c r="DI4" s="1129"/>
      <c r="DJ4" s="1129"/>
      <c r="DK4" s="1129"/>
      <c r="DL4" s="1129"/>
      <c r="DM4" s="1129"/>
      <c r="DN4" s="1129"/>
      <c r="DO4" s="1129"/>
      <c r="DP4" s="1129"/>
      <c r="DQ4" s="1129"/>
      <c r="DR4" s="1129"/>
      <c r="DS4" s="1129"/>
      <c r="DT4" s="1129"/>
      <c r="DU4" s="1129"/>
      <c r="DV4" s="1129"/>
      <c r="DW4" s="1129"/>
      <c r="DX4" s="1129"/>
      <c r="DY4" s="1129"/>
      <c r="DZ4" s="1129"/>
      <c r="EA4" s="1129"/>
      <c r="EB4" s="1129"/>
      <c r="EC4" s="1129"/>
      <c r="ED4" s="1129"/>
      <c r="EE4" s="1129"/>
      <c r="EF4" s="1129"/>
      <c r="EG4" s="1129"/>
      <c r="EH4" s="1129"/>
      <c r="EI4" s="1129"/>
      <c r="EJ4" s="1129"/>
      <c r="EK4" s="1129"/>
      <c r="EL4" s="1129"/>
      <c r="EM4" s="1129"/>
      <c r="EN4" s="1129"/>
      <c r="EO4" s="1129"/>
      <c r="EP4" s="1129"/>
      <c r="EQ4" s="1129"/>
      <c r="ER4" s="1130"/>
      <c r="ES4" s="1218" t="s">
        <v>195</v>
      </c>
      <c r="ET4" s="1219"/>
      <c r="EU4" s="1219"/>
      <c r="EV4" s="1219"/>
      <c r="EW4" s="1219"/>
      <c r="EX4" s="1219"/>
      <c r="EY4" s="1220"/>
      <c r="EZ4" s="1228" t="s">
        <v>200</v>
      </c>
      <c r="FA4" s="1229"/>
      <c r="FB4" s="1229"/>
      <c r="FC4" s="1229"/>
      <c r="FD4" s="1229"/>
      <c r="FE4" s="1229"/>
      <c r="FF4" s="1230"/>
      <c r="FG4" s="325"/>
      <c r="FP4" s="1144" t="s">
        <v>228</v>
      </c>
      <c r="FZ4" s="114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3" t="s">
        <v>235</v>
      </c>
      <c r="GK4" s="1014"/>
      <c r="GL4" s="1014"/>
      <c r="GM4" s="1014"/>
      <c r="GN4" s="1246"/>
      <c r="GO4" s="1186" t="s">
        <v>228</v>
      </c>
      <c r="GP4" s="1190" t="s">
        <v>227</v>
      </c>
      <c r="GR4" s="1162" t="s">
        <v>257</v>
      </c>
      <c r="GS4" s="1042" t="s">
        <v>255</v>
      </c>
      <c r="GT4" s="985"/>
      <c r="GU4" s="985"/>
      <c r="GV4" s="985"/>
      <c r="GW4" s="985"/>
      <c r="GX4" s="985"/>
      <c r="GY4" s="985"/>
      <c r="GZ4" s="985"/>
      <c r="HA4" s="1177" t="str">
        <f>IFERROR(CONCATENATE("Lateral Forces = ",ROUND(HE3,0)," lbs @ ",ROUND(HF3,1),"° Relative to Blade 1"),"")</f>
        <v/>
      </c>
      <c r="HB4" s="1178"/>
      <c r="HC4" s="1178"/>
      <c r="HD4" s="1178"/>
      <c r="HE4" s="1178"/>
      <c r="HF4" s="1178"/>
      <c r="HG4" s="1178"/>
      <c r="HH4" s="1179"/>
      <c r="HI4" s="1180" t="s">
        <v>0</v>
      </c>
      <c r="HV4" s="847"/>
      <c r="HW4" s="1098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8"/>
      <c r="HY4" s="1098"/>
      <c r="HZ4" s="1098"/>
      <c r="IA4" s="1098"/>
      <c r="IB4" s="1098"/>
      <c r="IC4" s="1098"/>
      <c r="ID4" s="1098"/>
      <c r="IE4" s="1098"/>
      <c r="IF4" s="844"/>
      <c r="IG4" s="1010" t="s">
        <v>372</v>
      </c>
      <c r="IH4" s="1010"/>
      <c r="II4" s="710" cm="1">
        <f t="array" ref="II4">MAX(MOD(IF($II$9:$II$150="",0,($II$9:$II$150*1000)),100))</f>
        <v>28</v>
      </c>
      <c r="IN4" s="31"/>
      <c r="IO4" s="710"/>
    </row>
    <row r="5" spans="1:285" ht="15" customHeight="1" thickBot="1" x14ac:dyDescent="0.3">
      <c r="A5" s="139">
        <v>0.02</v>
      </c>
      <c r="B5" s="1274" t="str">
        <f>CONCATENATE(B7," ; ",E7," ; ",H7)</f>
        <v>Absolute-Point ; Incremental-Vector Point ; Pocket Info.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283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about Z Axis")</f>
        <v>Relative to 1.112's θ about Z Axis</v>
      </c>
      <c r="U5" s="1264"/>
      <c r="V5" s="1343"/>
      <c r="W5" s="1264" t="str">
        <f>CONCATENATE("Relative to ",M8,"'s θ about Z Axis")</f>
        <v>Relative to 1.112's θ about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0.25</v>
      </c>
      <c r="AT5" s="413" t="s">
        <v>47</v>
      </c>
      <c r="AV5" s="1324"/>
      <c r="AW5" s="1102"/>
      <c r="AX5" s="1103"/>
      <c r="AY5" s="1268"/>
      <c r="AZ5" s="1201"/>
      <c r="BA5" s="1023"/>
      <c r="BB5" s="1255"/>
      <c r="BC5" s="1263" t="str">
        <f>$W$5</f>
        <v>Relative to 1.112's θ about Z Axis</v>
      </c>
      <c r="BD5" s="1264"/>
      <c r="BE5" s="1265"/>
      <c r="BF5" s="1042" t="s">
        <v>128</v>
      </c>
      <c r="BG5" s="985"/>
      <c r="BH5" s="985"/>
      <c r="BI5" s="985"/>
      <c r="BJ5" s="985"/>
      <c r="BK5" s="985"/>
      <c r="BL5" s="985"/>
      <c r="BM5" s="985"/>
      <c r="BN5" s="985"/>
      <c r="BO5" s="985"/>
      <c r="BP5" s="985"/>
      <c r="BQ5" s="985"/>
      <c r="BR5" s="986"/>
      <c r="BS5" s="1042" t="s">
        <v>130</v>
      </c>
      <c r="BT5" s="985"/>
      <c r="BU5" s="985"/>
      <c r="BV5" s="985"/>
      <c r="BW5" s="985"/>
      <c r="BX5" s="985"/>
      <c r="BY5" s="985"/>
      <c r="BZ5" s="985"/>
      <c r="CA5" s="985"/>
      <c r="CB5" s="985"/>
      <c r="CC5" s="985"/>
      <c r="CD5" s="985"/>
      <c r="CE5" s="986"/>
      <c r="CF5" s="1042" t="s">
        <v>138</v>
      </c>
      <c r="CG5" s="985"/>
      <c r="CH5" s="986"/>
      <c r="CI5" s="1042" t="s">
        <v>139</v>
      </c>
      <c r="CJ5" s="985"/>
      <c r="CK5" s="985"/>
      <c r="CL5" s="985"/>
      <c r="CM5" s="985"/>
      <c r="CN5" s="986"/>
      <c r="CO5" s="1167" t="s">
        <v>266</v>
      </c>
      <c r="CP5" s="1167" t="s">
        <v>149</v>
      </c>
      <c r="CQ5" s="1194"/>
      <c r="CR5" s="1194"/>
      <c r="CS5" s="1043"/>
      <c r="CT5" s="1194" t="s">
        <v>150</v>
      </c>
      <c r="CU5" s="1033"/>
      <c r="CV5" s="1042" t="s">
        <v>161</v>
      </c>
      <c r="CW5" s="985"/>
      <c r="CX5" s="985"/>
      <c r="CY5" s="985"/>
      <c r="CZ5" s="985"/>
      <c r="DA5" s="986"/>
      <c r="DB5" s="1042" t="s">
        <v>162</v>
      </c>
      <c r="DC5" s="985"/>
      <c r="DD5" s="985"/>
      <c r="DE5" s="985"/>
      <c r="DF5" s="985"/>
      <c r="DG5" s="985"/>
      <c r="DH5" s="986"/>
      <c r="DI5" s="1111" t="s">
        <v>172</v>
      </c>
      <c r="DJ5" s="1111"/>
      <c r="DK5" s="1382"/>
      <c r="DL5" s="1110" t="s">
        <v>173</v>
      </c>
      <c r="DM5" s="1111"/>
      <c r="DN5" s="1112"/>
      <c r="DO5" s="1384" t="s">
        <v>174</v>
      </c>
      <c r="DP5" s="1385"/>
      <c r="DQ5" s="1385"/>
      <c r="DR5" s="1166" t="s">
        <v>186</v>
      </c>
      <c r="DS5" s="1166"/>
      <c r="DT5" s="1166"/>
      <c r="DU5" s="1166"/>
      <c r="DV5" s="1166"/>
      <c r="DW5" s="1166"/>
      <c r="DX5" s="1167" t="s">
        <v>189</v>
      </c>
      <c r="DY5" s="1064" t="s">
        <v>149</v>
      </c>
      <c r="DZ5" s="1166"/>
      <c r="EA5" s="1166"/>
      <c r="EB5" s="1166"/>
      <c r="EC5" s="1166" t="s">
        <v>150</v>
      </c>
      <c r="ED5" s="1166"/>
      <c r="EE5" s="1162" t="s">
        <v>193</v>
      </c>
      <c r="EF5" s="1162"/>
      <c r="EG5" s="1163"/>
      <c r="EH5" s="1116" t="s">
        <v>194</v>
      </c>
      <c r="EI5" s="1117"/>
      <c r="EJ5" s="1118"/>
      <c r="EK5" s="1166" t="s">
        <v>187</v>
      </c>
      <c r="EL5" s="1167"/>
      <c r="EM5" s="1042" t="s">
        <v>188</v>
      </c>
      <c r="EN5" s="985"/>
      <c r="EO5" s="985"/>
      <c r="EP5" s="985"/>
      <c r="EQ5" s="985"/>
      <c r="ER5" s="1376"/>
      <c r="ES5" s="1224" t="s">
        <v>201</v>
      </c>
      <c r="ET5" s="1194"/>
      <c r="EU5" s="1043"/>
      <c r="EV5" s="1221" t="s">
        <v>221</v>
      </c>
      <c r="EW5" s="1222"/>
      <c r="EX5" s="1222"/>
      <c r="EY5" s="1223"/>
      <c r="EZ5" s="1146" t="s">
        <v>199</v>
      </c>
      <c r="FA5" s="1037" t="s">
        <v>201</v>
      </c>
      <c r="FB5" s="1139"/>
      <c r="FC5" s="1038"/>
      <c r="FD5" s="1240" t="s">
        <v>221</v>
      </c>
      <c r="FE5" s="1207"/>
      <c r="FF5" s="1208"/>
      <c r="FJ5" s="31" t="s">
        <v>390</v>
      </c>
      <c r="FP5" s="1145"/>
      <c r="FQ5" s="31"/>
      <c r="FR5" s="31"/>
      <c r="FS5" s="31"/>
      <c r="FT5" s="31"/>
      <c r="FZ5" s="1145"/>
      <c r="GJ5" s="1160" t="s">
        <v>262</v>
      </c>
      <c r="GK5" s="1122" t="s">
        <v>260</v>
      </c>
      <c r="GL5" s="1124" t="s">
        <v>110</v>
      </c>
      <c r="GM5" s="1124" t="s">
        <v>111</v>
      </c>
      <c r="GN5" s="1125"/>
      <c r="GO5" s="1187"/>
      <c r="GP5" s="1191"/>
      <c r="GQ5" s="31"/>
      <c r="GR5" s="1156"/>
      <c r="GS5" s="1201" t="s">
        <v>244</v>
      </c>
      <c r="GT5" s="1202"/>
      <c r="GU5" s="1197" t="s">
        <v>245</v>
      </c>
      <c r="GV5" s="1198"/>
      <c r="GW5" s="1199"/>
      <c r="GX5" s="1200"/>
      <c r="GY5" s="1185" t="s">
        <v>107</v>
      </c>
      <c r="GZ5" s="1025"/>
      <c r="HA5" s="1174" t="s">
        <v>244</v>
      </c>
      <c r="HB5" s="1175"/>
      <c r="HC5" s="1175"/>
      <c r="HD5" s="1176"/>
      <c r="HE5" s="1183" t="s">
        <v>245</v>
      </c>
      <c r="HF5" s="1175"/>
      <c r="HG5" s="1175"/>
      <c r="HH5" s="1184"/>
      <c r="HI5" s="1181"/>
      <c r="HM5" s="895"/>
      <c r="HS5" s="895"/>
      <c r="HT5" s="895"/>
      <c r="HU5" s="895"/>
      <c r="HV5" s="896"/>
      <c r="HW5" s="1100" t="s">
        <v>245</v>
      </c>
      <c r="HX5" s="1101"/>
      <c r="HY5" s="1099" t="s">
        <v>388</v>
      </c>
      <c r="HZ5" s="1100"/>
      <c r="IA5" s="1100"/>
      <c r="IB5" s="1101"/>
      <c r="IC5" s="1099" t="s">
        <v>254</v>
      </c>
      <c r="ID5" s="1100"/>
      <c r="IE5" s="1101"/>
      <c r="IF5" s="844"/>
    </row>
    <row r="6" spans="1:285" ht="15" customHeight="1" thickBot="1" x14ac:dyDescent="0.4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283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$Q$6</f>
        <v>Projected XY</v>
      </c>
      <c r="X6" s="1260"/>
      <c r="Y6" s="1337" t="str">
        <f>$S$6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44" t="str">
        <f>AD6</f>
        <v>Unit Vector</v>
      </c>
      <c r="AL6" s="1345"/>
      <c r="AM6" s="1346"/>
      <c r="AN6" s="34" t="s">
        <v>15</v>
      </c>
      <c r="AO6" s="35" t="s">
        <v>16</v>
      </c>
      <c r="AP6" s="680" t="s">
        <v>17</v>
      </c>
      <c r="AQ6" s="1329" t="s">
        <v>108</v>
      </c>
      <c r="AS6" s="168">
        <f>(AS5/360)</f>
        <v>6.9444444444444447E-4</v>
      </c>
      <c r="AT6" s="414" t="s">
        <v>48</v>
      </c>
      <c r="AV6" s="1324"/>
      <c r="AW6" s="1317" t="s">
        <v>105</v>
      </c>
      <c r="AX6" s="1318"/>
      <c r="AY6" s="188" t="s">
        <v>110</v>
      </c>
      <c r="AZ6" s="1266" t="s">
        <v>111</v>
      </c>
      <c r="BA6" s="1267"/>
      <c r="BB6" s="1256"/>
      <c r="BC6" s="1259" t="str">
        <f>$Q$6</f>
        <v>Projected XY</v>
      </c>
      <c r="BD6" s="1260"/>
      <c r="BE6" s="1261" t="str">
        <f>$S$6</f>
        <v>Z</v>
      </c>
      <c r="BF6" s="992" t="s">
        <v>125</v>
      </c>
      <c r="BG6" s="988"/>
      <c r="BH6" s="1159"/>
      <c r="BI6" s="990" t="s">
        <v>126</v>
      </c>
      <c r="BJ6" s="988"/>
      <c r="BK6" s="989"/>
      <c r="BL6" s="993" t="s">
        <v>127</v>
      </c>
      <c r="BM6" s="988"/>
      <c r="BN6" s="994"/>
      <c r="BO6" s="992" t="s">
        <v>135</v>
      </c>
      <c r="BP6" s="988"/>
      <c r="BQ6" s="988"/>
      <c r="BR6" s="994"/>
      <c r="BS6" s="992" t="s">
        <v>125</v>
      </c>
      <c r="BT6" s="988"/>
      <c r="BU6" s="1159"/>
      <c r="BV6" s="990" t="s">
        <v>126</v>
      </c>
      <c r="BW6" s="988"/>
      <c r="BX6" s="989"/>
      <c r="BY6" s="993" t="s">
        <v>127</v>
      </c>
      <c r="BZ6" s="988"/>
      <c r="CA6" s="994"/>
      <c r="CB6" s="992" t="s">
        <v>135</v>
      </c>
      <c r="CC6" s="988"/>
      <c r="CD6" s="988"/>
      <c r="CE6" s="994"/>
      <c r="CF6" s="998" t="s">
        <v>136</v>
      </c>
      <c r="CG6" s="1247"/>
      <c r="CH6" s="1247"/>
      <c r="CI6" s="1379" t="s">
        <v>137</v>
      </c>
      <c r="CJ6" s="1247"/>
      <c r="CK6" s="999"/>
      <c r="CL6" s="1377" t="s">
        <v>140</v>
      </c>
      <c r="CM6" s="1247"/>
      <c r="CN6" s="1378"/>
      <c r="CO6" s="1169"/>
      <c r="CP6" s="1169"/>
      <c r="CQ6" s="1226"/>
      <c r="CR6" s="1226"/>
      <c r="CS6" s="1227"/>
      <c r="CT6" s="1226"/>
      <c r="CU6" s="1245"/>
      <c r="CV6" s="1307" t="s">
        <v>147</v>
      </c>
      <c r="CW6" s="988"/>
      <c r="CX6" s="989"/>
      <c r="CY6" s="1211" t="s">
        <v>148</v>
      </c>
      <c r="CZ6" s="1204"/>
      <c r="DA6" s="1212"/>
      <c r="DB6" s="1380" t="s">
        <v>175</v>
      </c>
      <c r="DC6" s="1216"/>
      <c r="DD6" s="1217"/>
      <c r="DE6" s="1381" t="s">
        <v>176</v>
      </c>
      <c r="DF6" s="1216"/>
      <c r="DG6" s="1217"/>
      <c r="DH6" s="242" t="s">
        <v>29</v>
      </c>
      <c r="DI6" s="1114"/>
      <c r="DJ6" s="1114"/>
      <c r="DK6" s="1383"/>
      <c r="DL6" s="1113"/>
      <c r="DM6" s="1114"/>
      <c r="DN6" s="1115"/>
      <c r="DO6" s="1386"/>
      <c r="DP6" s="1387"/>
      <c r="DQ6" s="1387"/>
      <c r="DR6" s="1168"/>
      <c r="DS6" s="1168"/>
      <c r="DT6" s="1168"/>
      <c r="DU6" s="1168"/>
      <c r="DV6" s="1168"/>
      <c r="DW6" s="1168"/>
      <c r="DX6" s="1169"/>
      <c r="DY6" s="1170"/>
      <c r="DZ6" s="1168"/>
      <c r="EA6" s="1168"/>
      <c r="EB6" s="1168"/>
      <c r="EC6" s="1168"/>
      <c r="ED6" s="1168"/>
      <c r="EE6" s="1164"/>
      <c r="EF6" s="1164"/>
      <c r="EG6" s="1165"/>
      <c r="EH6" s="1119"/>
      <c r="EI6" s="1120"/>
      <c r="EJ6" s="1121"/>
      <c r="EK6" s="1168"/>
      <c r="EL6" s="1169"/>
      <c r="EM6" s="1107" t="s">
        <v>198</v>
      </c>
      <c r="EN6" s="1108"/>
      <c r="EO6" s="1109"/>
      <c r="EP6" s="1213" t="s">
        <v>197</v>
      </c>
      <c r="EQ6" s="1108"/>
      <c r="ER6" s="1214"/>
      <c r="ES6" s="1225"/>
      <c r="ET6" s="1226"/>
      <c r="EU6" s="1227"/>
      <c r="EV6" s="263" t="s">
        <v>220</v>
      </c>
      <c r="EW6" s="1213" t="s">
        <v>201</v>
      </c>
      <c r="EX6" s="1108"/>
      <c r="EY6" s="1231"/>
      <c r="EZ6" s="1147"/>
      <c r="FA6" s="1237"/>
      <c r="FB6" s="1238"/>
      <c r="FC6" s="1239"/>
      <c r="FD6" s="1107" t="s">
        <v>201</v>
      </c>
      <c r="FE6" s="1108"/>
      <c r="FF6" s="1214"/>
      <c r="FG6" s="1234" t="s">
        <v>223</v>
      </c>
      <c r="FH6" s="1235"/>
      <c r="FI6" s="1236"/>
      <c r="FJ6" s="1232" t="s">
        <v>202</v>
      </c>
      <c r="FK6" s="1167" t="s">
        <v>213</v>
      </c>
      <c r="FL6" s="1194"/>
      <c r="FM6" s="1043"/>
      <c r="FN6" s="1140" t="s">
        <v>203</v>
      </c>
      <c r="FO6" s="1149" t="s">
        <v>226</v>
      </c>
      <c r="FP6" s="11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139"/>
      <c r="FW6" s="1040"/>
      <c r="FX6" s="1140" t="s">
        <v>218</v>
      </c>
      <c r="FY6" s="1149" t="s">
        <v>226</v>
      </c>
      <c r="FZ6" s="1137" t="s">
        <v>224</v>
      </c>
      <c r="GA6" s="1142" t="s">
        <v>237</v>
      </c>
      <c r="GB6" s="318" t="s">
        <v>206</v>
      </c>
      <c r="GC6" s="319" t="s">
        <v>238</v>
      </c>
      <c r="GD6" s="320" t="s">
        <v>225</v>
      </c>
      <c r="GE6" s="1157"/>
      <c r="GF6" s="1163" t="s">
        <v>256</v>
      </c>
      <c r="GG6" s="318" t="s">
        <v>206</v>
      </c>
      <c r="GH6" s="319" t="s">
        <v>238</v>
      </c>
      <c r="GI6" s="320" t="s">
        <v>225</v>
      </c>
      <c r="GJ6" s="1161"/>
      <c r="GK6" s="1123"/>
      <c r="GL6" s="1126"/>
      <c r="GM6" s="1126"/>
      <c r="GN6" s="1127"/>
      <c r="GO6" s="1188" t="s">
        <v>236</v>
      </c>
      <c r="GP6" s="1192" t="s">
        <v>224</v>
      </c>
      <c r="GQ6" s="1194" t="s">
        <v>202</v>
      </c>
      <c r="GR6" s="1156"/>
      <c r="GS6" s="1205" t="s">
        <v>248</v>
      </c>
      <c r="GT6" s="1206"/>
      <c r="GU6" s="1203" t="s">
        <v>247</v>
      </c>
      <c r="GV6" s="1204"/>
      <c r="GW6" s="1204"/>
      <c r="GX6" s="340" t="s">
        <v>106</v>
      </c>
      <c r="GY6" s="990" t="s">
        <v>246</v>
      </c>
      <c r="GZ6" s="1159"/>
      <c r="HA6" s="1215" t="s">
        <v>248</v>
      </c>
      <c r="HB6" s="1216"/>
      <c r="HC6" s="1216"/>
      <c r="HD6" s="1217"/>
      <c r="HE6" s="990" t="s">
        <v>247</v>
      </c>
      <c r="HF6" s="988"/>
      <c r="HG6" s="988"/>
      <c r="HH6" s="994"/>
      <c r="HI6" s="1181"/>
      <c r="HM6" s="901" t="s">
        <v>392</v>
      </c>
      <c r="HN6" s="1209" t="s">
        <v>393</v>
      </c>
      <c r="HO6" s="1209"/>
      <c r="HP6" s="1209"/>
      <c r="HQ6" s="1209"/>
      <c r="HR6" s="1210"/>
      <c r="HS6" s="1102" t="s">
        <v>105</v>
      </c>
      <c r="HT6" s="1103"/>
      <c r="HU6" s="1103"/>
      <c r="HV6" s="1104"/>
      <c r="HW6" s="877">
        <f>AVERAGE(HW$9:HW$150)</f>
        <v>29500</v>
      </c>
      <c r="HX6" s="878">
        <f t="shared" ref="HX6:IE6" si="0">SUM(HX$9:HX$150)</f>
        <v>2249.3399441666666</v>
      </c>
      <c r="HY6" s="879" t="e">
        <f t="shared" si="0"/>
        <v>#DIV/0!</v>
      </c>
      <c r="HZ6" s="880">
        <f t="shared" si="0"/>
        <v>14141.586556563931</v>
      </c>
      <c r="IA6" s="881" t="e">
        <f t="shared" si="0"/>
        <v>#DIV/0!</v>
      </c>
      <c r="IB6" s="882" t="e">
        <f t="shared" si="0"/>
        <v>#DIV/0!</v>
      </c>
      <c r="IC6" s="889" t="e">
        <f t="shared" si="0"/>
        <v>#DIV/0!</v>
      </c>
      <c r="ID6" s="890">
        <f t="shared" si="0"/>
        <v>16263.349999999999</v>
      </c>
      <c r="IE6" s="890" t="e">
        <f t="shared" si="0"/>
        <v>#DIV/0!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5" t="s">
        <v>40</v>
      </c>
      <c r="C7" s="1296"/>
      <c r="D7" s="1297"/>
      <c r="E7" s="1298" t="s">
        <v>41</v>
      </c>
      <c r="F7" s="1296"/>
      <c r="G7" s="1299"/>
      <c r="H7" s="1093" t="s">
        <v>98</v>
      </c>
      <c r="I7" s="1091"/>
      <c r="J7" s="1094"/>
      <c r="K7" s="169"/>
      <c r="L7" s="1156"/>
      <c r="M7" s="1292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$Q$7</f>
        <v>&lt; θ°</v>
      </c>
      <c r="X7" s="27" t="str">
        <f>$R$7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30"/>
      <c r="AS7" s="1335" t="s">
        <v>54</v>
      </c>
      <c r="AT7" s="1333" t="s">
        <v>53</v>
      </c>
      <c r="AV7" s="132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6"/>
      <c r="BC7" s="37" t="str">
        <f>$Q$7</f>
        <v>&lt; θ°</v>
      </c>
      <c r="BD7" s="27" t="str">
        <f>$R$7</f>
        <v>r</v>
      </c>
      <c r="BE7" s="126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3"/>
      <c r="FK7" s="358" t="s">
        <v>210</v>
      </c>
      <c r="FL7" s="361" t="s">
        <v>211</v>
      </c>
      <c r="FM7" s="893" t="s">
        <v>212</v>
      </c>
      <c r="FN7" s="1141"/>
      <c r="FO7" s="1150"/>
      <c r="FP7" s="11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1"/>
      <c r="FY7" s="1150"/>
      <c r="FZ7" s="1138"/>
      <c r="GA7" s="1143"/>
      <c r="GB7" s="212" t="s">
        <v>231</v>
      </c>
      <c r="GC7" s="127" t="s">
        <v>232</v>
      </c>
      <c r="GD7" s="213" t="s">
        <v>233</v>
      </c>
      <c r="GE7" s="1158"/>
      <c r="GF7" s="1241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9"/>
      <c r="GP7" s="1193"/>
      <c r="GQ7" s="1195"/>
      <c r="GR7" s="11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2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8" t="s">
        <v>394</v>
      </c>
      <c r="HP7" s="1389"/>
      <c r="HQ7" s="1207" t="s">
        <v>390</v>
      </c>
      <c r="HR7" s="1208"/>
      <c r="HS7" s="883" t="s">
        <v>29</v>
      </c>
      <c r="HT7" s="884" t="s">
        <v>110</v>
      </c>
      <c r="HU7" s="1105" t="s">
        <v>391</v>
      </c>
      <c r="HV7" s="11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6" t="s">
        <v>33</v>
      </c>
      <c r="IJ7" s="1171" t="s">
        <v>376</v>
      </c>
      <c r="IK7" s="992" t="s">
        <v>324</v>
      </c>
      <c r="IL7" s="993"/>
      <c r="IM7" s="993"/>
      <c r="IN7" s="988"/>
      <c r="IO7" s="988"/>
      <c r="IP7" s="988"/>
      <c r="IQ7" s="989"/>
      <c r="IR7" s="990" t="s">
        <v>320</v>
      </c>
      <c r="IS7" s="988"/>
      <c r="IT7" s="988"/>
      <c r="IU7" s="988"/>
      <c r="IV7" s="988"/>
      <c r="IW7" s="990" t="s">
        <v>319</v>
      </c>
      <c r="IX7" s="988"/>
      <c r="IY7" s="988"/>
      <c r="IZ7" s="988"/>
      <c r="JA7" s="989"/>
      <c r="JC7" s="725"/>
      <c r="JD7" s="1367" t="s">
        <v>355</v>
      </c>
      <c r="JE7" s="1367"/>
      <c r="JF7" s="1367"/>
      <c r="JG7" s="1368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6"/>
      <c r="M8" s="411" cm="1">
        <f t="array" ref="M8">IF(AND(ISNUMBER('SN#.Run#'!$P$1),COUNT($M$9:$M$150)&gt;='SN#.Run#'!$P$1),INDEX($M$9:$M$150,'SN#.Run#'!$P$1),"")</f>
        <v>1.1120000000000001</v>
      </c>
      <c r="N8" s="551"/>
      <c r="O8" s="552"/>
      <c r="P8" s="562"/>
      <c r="Q8" s="554">
        <f>IFERROR(INDEX(Q$9:Q$150,MATCH($M$8,$M$9:$M$150,0)),"")</f>
        <v>89.32984643738277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-0.16227377815203078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6"/>
      <c r="AT8" s="133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#DIV/0!</v>
      </c>
      <c r="HB8" s="360" t="str">
        <f>IFERROR(IF((DEGREES(ATAN2(HC8,HD8)))&lt;0,(360+(DEGREES(ATAN2(HC8,HD8)))),(DEGREES(ATAN2(HC8,HD8)))),"")</f>
        <v/>
      </c>
      <c r="HC8" s="360" t="e">
        <f>SUM(HC9:HC150)</f>
        <v>#DIV/0!</v>
      </c>
      <c r="HD8" s="364" t="e">
        <f>SUM(HD9:HD150)</f>
        <v>#DIV/0!</v>
      </c>
      <c r="HE8" s="366" t="e">
        <f>SQRT(HG8^2+HH8^2)</f>
        <v>#DIV/0!</v>
      </c>
      <c r="HF8" s="360" t="str">
        <f>IFERROR(IF((DEGREES(ATAN2(HG8,HH8)))&lt;0,(360+(DEGREES(ATAN2(HG8,HH8)))),(DEGREES(ATAN2(HG8,HH8)))),"")</f>
        <v/>
      </c>
      <c r="HG8" s="360" t="e">
        <f>SUM(HG9:HG150)</f>
        <v>#DIV/0!</v>
      </c>
      <c r="HH8" s="367" t="e">
        <f>SUM(HH9:HH150)</f>
        <v>#DIV/0!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3"/>
      <c r="IJ8" s="1172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1.8543677506690153E-2</v>
      </c>
      <c r="C9" s="641">
        <f t="shared" ref="C9:C40" si="3">IFERROR(R164+($A9*-F9),"")</f>
        <v>0.34367306029530043</v>
      </c>
      <c r="D9" s="642">
        <f t="shared" ref="D9:D40" si="4">IFERROR(S164+($A9*-G9),"")</f>
        <v>-0.62994861304813454</v>
      </c>
      <c r="E9" s="643">
        <f t="shared" ref="E9:E40" si="5">T164</f>
        <v>-0.9271838753345083</v>
      </c>
      <c r="F9" s="641">
        <f t="shared" ref="F9:F40" si="6">U164</f>
        <v>-5.860136560924336E-2</v>
      </c>
      <c r="G9" s="644">
        <f t="shared" ref="G9:G40" si="7">V164</f>
        <v>0.36999451518693482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1.8543677506690153E-2</v>
      </c>
      <c r="O9" s="567">
        <f t="shared" ref="O9:O40" si="14">IF(M9="","",C9)</f>
        <v>0.34367306029530043</v>
      </c>
      <c r="P9" s="568">
        <f t="shared" ref="P9:P40" si="15">IF(M9="","",D9)</f>
        <v>-0.62994861304813454</v>
      </c>
      <c r="Q9" s="526">
        <f>IF(M9="","",IF(DEGREES(ATAN2(N9,O9))&lt;0,DEGREES(ATAN2(N9,O9))+360,IF(DEGREES(ATAN2(N9,O9))&gt;360,DEGREES(ATAN2(N9,O9))-360,DEGREES(ATAN2(N9,O9)))))</f>
        <v>86.911468239859033</v>
      </c>
      <c r="R9" s="567">
        <f>IF(M9="","",SQRT(N9^2+O9^2))</f>
        <v>0.34417298027040027</v>
      </c>
      <c r="S9" s="569">
        <f>IF(M9="","",P9)</f>
        <v>-0.62994861304813454</v>
      </c>
      <c r="T9" s="570">
        <f>IF(M9="","",X9*COS(RADIANS(W9)))</f>
        <v>0.3438664414572285</v>
      </c>
      <c r="U9" s="567">
        <f>IF(M9="","",X9*SIN(RADIANS(W9)))</f>
        <v>-1.4522767909450904E-2</v>
      </c>
      <c r="V9" s="571">
        <f>IF(M9="","",Y9)</f>
        <v>-0.62994861304813454</v>
      </c>
      <c r="W9" s="526">
        <f t="shared" ref="W9:W13" si="16">IF(M9="","",IF(Q9-$Q$8&lt;0,360+Q9-$Q$8,Q9-$Q$8))</f>
        <v>357.58162180247621</v>
      </c>
      <c r="X9" s="572">
        <f>IF(M9="","",R9)</f>
        <v>0.34417298027040027</v>
      </c>
      <c r="Y9" s="573">
        <f t="shared" ref="Y9:Y15" si="17">IF(M9="","",S9)</f>
        <v>-0.62994861304813454</v>
      </c>
      <c r="Z9" s="566">
        <f t="shared" ref="Z9:Z40" si="18">IF(M9="","",-E9)</f>
        <v>0.9271838753345083</v>
      </c>
      <c r="AA9" s="567">
        <f t="shared" ref="AA9:AA40" si="19">IF(M9="","",-F9)</f>
        <v>5.860136560924336E-2</v>
      </c>
      <c r="AB9" s="567">
        <f t="shared" ref="AB9:AB40" si="20">IF(M9="","",-G9)</f>
        <v>-0.36999451518693482</v>
      </c>
      <c r="AC9" s="571">
        <f>IF(M9="","",SQRT(Z9^2+AA9^2+AB9^2))</f>
        <v>1</v>
      </c>
      <c r="AD9" s="574">
        <f>IF(M9="","",Z9*(1/SQRT(Z9^2+AA9^2+AB9^2)))</f>
        <v>0.9271838753345083</v>
      </c>
      <c r="AE9" s="567">
        <f>IF(M9="","",AA9*(1/SQRT(Z9^2+AA9^2+AB9^2)))</f>
        <v>5.860136560924336E-2</v>
      </c>
      <c r="AF9" s="568">
        <f>IF(M9="","",AB9*(1/SQRT(Z9^2+AA9^2+AB9^2)))</f>
        <v>-0.36999451518693482</v>
      </c>
      <c r="AG9" s="542">
        <f>IF(M9="","",DEGREES(ATAN2(-AF9,AE9)))</f>
        <v>8.9999987005609636</v>
      </c>
      <c r="AH9" s="543">
        <f>IF(M9="","",DEGREES(ACOS(AD9)))</f>
        <v>21.999996823593442</v>
      </c>
      <c r="AI9" s="526">
        <f>IF(M9="","",DEGREES(-ACOS(-AF9)))</f>
        <v>-68.284720978877019</v>
      </c>
      <c r="AJ9" s="544">
        <f>IF(M9="","",DEGREES(ATAN2(-AE9,AD9)))</f>
        <v>93.616489478973648</v>
      </c>
      <c r="AK9" s="570">
        <f>IF(M9="","",(COS(RADIANS((90-$Q$8)-W9))*AD9)+(-SIN(RADIANS((90-$Q$8)-W9))*AE9))</f>
        <v>0.92267973743280041</v>
      </c>
      <c r="AL9" s="567">
        <f>IF(M9="","",(SIN(RADIANS((90-$Q$8)-W9))*AD9)+(COS(RADIANS((90-$Q$8)-W9))*AE9))</f>
        <v>0.10847193582915229</v>
      </c>
      <c r="AM9" s="569">
        <f>IF(M9="","",AF9)</f>
        <v>-0.36999451518693482</v>
      </c>
      <c r="AN9" s="524">
        <f>IF(M9="","",DEGREES(ATAN2(-AM9,AL9)))</f>
        <v>16.339646098154638</v>
      </c>
      <c r="AO9" s="525">
        <f>IF(ROUND(IF(M9="",0,DEGREES(ACOS(AK9))),4)=90,0,IF(M9="","",DEGREES(ACOS(AK9))))</f>
        <v>22.678960175933817</v>
      </c>
      <c r="AP9" s="722">
        <f>IF(M9="","",DEGREES(ATAN2(AK9,AL9)))</f>
        <v>6.70502123911466</v>
      </c>
      <c r="AQ9" s="527">
        <f t="shared" ref="AQ9:AQ40" si="21">IF(M9="","",DEGREES(ATAN(($AS$5*SIN(RADIANS(90)))/(($X9*2*PI())-($AS$5*COS(RADIANS(90)))))))</f>
        <v>6.5945071348294535</v>
      </c>
      <c r="AS9" s="931">
        <f>IF(M9="","",W9)</f>
        <v>357.58162180247621</v>
      </c>
      <c r="AT9" s="927">
        <f t="shared" ref="AT9:AT40" si="22">IF(M9="","",Y9+(((AS9-$AS$9)*$AS$6)*-1))</f>
        <v>-0.62994861304813454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1.7263442426561935E-2</v>
      </c>
      <c r="BB9" s="290">
        <f>IF(ISNUMBER($AV9),$AX9-($AT9+$AS$5),"")</f>
        <v>0.17494861304813455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1.8543677506690153E-2</v>
      </c>
      <c r="BG9" s="5">
        <f t="shared" ref="BG9:BG40" si="27">IF(ISNUMBER($AV9),O9,"")</f>
        <v>0.34367306029530043</v>
      </c>
      <c r="BH9" s="10">
        <f t="shared" ref="BH9:BH40" si="28">IF(ISNUMBER($AV9),P9,"")</f>
        <v>-0.62994861304813454</v>
      </c>
      <c r="BI9" s="9">
        <f>IF(ISNUMBER($AV9),BF9+0,"")</f>
        <v>1.8543677506690153E-2</v>
      </c>
      <c r="BJ9" s="5">
        <f t="shared" ref="BJ9:BJ40" si="29">IF(ISNUMBER($AV9),BG9+COS(RADIANS($AG9)),"")</f>
        <v>1.3313614044382918</v>
      </c>
      <c r="BK9" s="8">
        <f t="shared" ref="BK9:BK40" si="30">IF(ISNUMBER($AV9),BH9+SIN(RADIANS($AG9)),"")</f>
        <v>-0.47351417040817118</v>
      </c>
      <c r="BL9" s="173">
        <f t="shared" ref="BL9:BL40" si="31">IF(ISNUMBER($AV9),BF9+SIN(RADIANS($AH9)),"")</f>
        <v>0.39315021952068507</v>
      </c>
      <c r="BM9" s="5">
        <f t="shared" ref="BM9:BM40" si="32">IF(ISNUMBER($AV9),BG9-SIN(RADIANS($AG9))*COS(RADIANS($AH9)),"")</f>
        <v>0.19862956753258534</v>
      </c>
      <c r="BN9" s="6">
        <f t="shared" ref="BN9:BN40" si="33">IF(ISNUMBER($AV9),BH9+COS(RADIANS($AG9))*COS(RADIANS($AH9)),"")</f>
        <v>0.2858200934970877</v>
      </c>
      <c r="BO9" s="4">
        <f>IF(ISNUMBER($AV9),BJ9*BN9-BM9*BK9-BG9*(BN9-BK9)+BH9*(BM9-BJ9),"")</f>
        <v>0.92718387533450852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5.8601365609243283E-2</v>
      </c>
      <c r="BQ9" s="5">
        <f>IF(ISNUMBER($AV9),BF9*(BJ9-BM9)-BG9*(BI9-BL9)+(BI9*BM9-BL9*BJ9),"")</f>
        <v>-0.3699945151869346</v>
      </c>
      <c r="BR9" s="6">
        <f>IF(ISNUMBER($AV9),-(BF9*(BJ9*BN9-BM9*BK9)-BG9*(BI9*BN9-BL9*BK9)+BH9*(BI9*BM9-BL9*BJ9)),"")</f>
        <v>-0.27041064110744517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-5.8601365609243283E-2</v>
      </c>
      <c r="CG9" s="5">
        <f>IF(ISNUMBER($AV9),(BQ9*CB9)-(BO9*CD9),"")</f>
        <v>0.92718387533450852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1.7416511652296951</v>
      </c>
      <c r="CK9" s="8">
        <f>IF(ISNUMBER($AV9),(CC9*BR9-BP9*CE9)/(-CC9*BQ9+BP9*CD9),"")</f>
        <v>-0.45499999999999996</v>
      </c>
      <c r="CL9" s="173">
        <f>IF(ISNUMBER($AV9),CI9+CF9,"")</f>
        <v>-5.8601365609243283E-2</v>
      </c>
      <c r="CM9" s="5">
        <f>IF(ISNUMBER($AV9),CJ9+CG9,"")</f>
        <v>2.6688350405642036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0.86310405873158569</v>
      </c>
      <c r="CQ9" s="20">
        <f>IF(ISNUMBER($AV9),2*((CL9-CI9)*(CI9-BF9)+(CM9-CJ9)*(CJ9-BG9)+(CN9-CK9)*(CK9-BH9)),"")</f>
        <v>2.5945388835823473</v>
      </c>
      <c r="CR9" s="20">
        <f>IF(ISNUMBER($AV9),BF9^2+BG9^2+BH9^2+CI9^2+CJ9^2+CK9^2-2*(BF9*CI9+BG9*CJ9+BH9*CK9)-CO9^2,"")</f>
        <v>1.8876374170588992</v>
      </c>
      <c r="CS9" s="25">
        <f>IF(ISNUMBER($AV9),CQ9^2-(4*CP9*CR9),"")</f>
        <v>0.21472195411216166</v>
      </c>
      <c r="CT9" s="24">
        <f>IF(ISNUMBER($AV9),(-CQ9+SQRT(CS9))/(CP9*2),"")</f>
        <v>-1.234589189355632</v>
      </c>
      <c r="CU9" s="22">
        <f>IF(ISNUMBER($AV9),(-CQ9-SQRT(CS9))/(CP9*2),"")</f>
        <v>-1.7714665200744353</v>
      </c>
      <c r="CV9" s="23">
        <f t="shared" ref="CV9:CX10" si="36">IF(ISNUMBER($AV9),CI9+($CT9*(CL9-CI9)),"")</f>
        <v>7.2348612462648676E-2</v>
      </c>
      <c r="CW9" s="20">
        <f t="shared" si="36"/>
        <v>0.59695997619685093</v>
      </c>
      <c r="CX9" s="25">
        <f t="shared" si="36"/>
        <v>-0.45499999999999996</v>
      </c>
      <c r="CY9" s="24">
        <f t="shared" ref="CY9:DA10" si="37">IF(ISNUMBER($AV9),CI9+($CU9*(CL9-CI9)),"")</f>
        <v>0.10381035720741588</v>
      </c>
      <c r="CZ9" s="20">
        <f t="shared" si="37"/>
        <v>9.9175972121744227E-2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7.2348612462648676E-2</v>
      </c>
      <c r="DM9" s="173">
        <f t="shared" si="39"/>
        <v>0.59695997619685093</v>
      </c>
      <c r="DN9" s="178">
        <f t="shared" si="39"/>
        <v>9.5449999999999999</v>
      </c>
      <c r="DO9" s="9">
        <f t="shared" ref="DO9:DQ10" si="40">IF(ISNUMBER($AV9),CY9-CV9,"")</f>
        <v>3.1461744744767206E-2</v>
      </c>
      <c r="DP9" s="173">
        <f t="shared" si="40"/>
        <v>-0.4977840040751067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0.24877875609543074</v>
      </c>
      <c r="DV9" s="5">
        <f>IF(ISNUMBER($AV9),SUMPRODUCT(DL9:DN9,DO9:DQ9),"")</f>
        <v>-0.2948809136459109</v>
      </c>
      <c r="DW9" s="5">
        <f>IF(ISNUMBER($AV9),SUMPRODUCT(DL9:DN9,DL9:DN9),"")</f>
        <v>91.468620534906208</v>
      </c>
      <c r="DX9" s="167">
        <f>IF(ISNUMBER($AV9),DW9-DH9*DH9,"")</f>
        <v>91.42817932490621</v>
      </c>
      <c r="DY9" s="9">
        <f>IF(ISNUMBER($AV9),DT9*DU9-DS9*DS9,"")</f>
        <v>99.5115024381723</v>
      </c>
      <c r="DZ9" s="5">
        <f>IF(ISNUMBER($AV9),DT9*DV9-DS9*DR9,"")</f>
        <v>-117.95236545836435</v>
      </c>
      <c r="EA9" s="10">
        <f>IF(ISNUMBER($AV9),DT9*DX9-DR9*DR9,"")</f>
        <v>128.4617299624806</v>
      </c>
      <c r="EB9" s="6">
        <f>IF(ISNUMBER($AV9),DZ9*DZ9-DY9*EA9,"")</f>
        <v>1129.3407628503246</v>
      </c>
      <c r="EC9" s="173">
        <f>IF(ISNUMBER($AV9),(-DZ9+SQRT(DZ9^2-DY9*EA9))/DY9,"")</f>
        <v>1.5230202276234668</v>
      </c>
      <c r="ED9" s="5">
        <f>IF(ISNUMBER($AV9),(-DZ9-SQRT(DZ9^2-DY9*EA9))/DY9,"")</f>
        <v>0.84760754039057951</v>
      </c>
      <c r="EE9" s="4">
        <f t="shared" ref="EE9:EG10" si="41">IF(ISNUMBER($AV9),CV9+DO9*$EC9,"")</f>
        <v>0.12026548610525543</v>
      </c>
      <c r="EF9" s="5">
        <f t="shared" si="41"/>
        <v>-0.16117513099693881</v>
      </c>
      <c r="EG9" s="10">
        <f t="shared" si="41"/>
        <v>-0.45499999999999996</v>
      </c>
      <c r="EH9" s="9">
        <f t="shared" ref="EH9:EJ10" si="42">IF(ISNUMBER($AV9),CV9+DO9*$ED9,"")</f>
        <v>9.9015824542157044E-2</v>
      </c>
      <c r="EI9" s="5">
        <f t="shared" si="42"/>
        <v>0.17503450085697553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9.9015824542157044E-2</v>
      </c>
      <c r="EN9" s="5">
        <f t="shared" si="43"/>
        <v>0.17503450085697553</v>
      </c>
      <c r="EO9" s="10">
        <f t="shared" si="43"/>
        <v>-0.45499999999999996</v>
      </c>
      <c r="EP9" s="9">
        <f>IF(ISNUMBER($AV9),IF(DEGREES(ATAN2(EM9,EN9))&lt;0,DEGREES(ATAN2(EM9,EN9))+360,IF(DEGREES(ATAN2(EM9,EN9))&gt;360,DEGREES(ATAN2(EM9,EN9))-360,DEGREES(ATAN2(EM9,EN9)))),"")</f>
        <v>60.503454606283412</v>
      </c>
      <c r="EQ9" s="5">
        <f>IF(ISNUMBER($AV9),SQRT(EM9^2+EN9^2),"")</f>
        <v>0.20110000000003431</v>
      </c>
      <c r="ER9" s="7">
        <f>IF(ISNUMBER($AV9),EO9,"")</f>
        <v>-0.45499999999999996</v>
      </c>
      <c r="ES9" s="274">
        <f>IF(ISNUMBER($AV9),AD9,"")</f>
        <v>0.9271838753345083</v>
      </c>
      <c r="ET9" s="267">
        <f t="shared" ref="ET9:ET40" si="44">IF(ISNUMBER($AV9),AE9,"")</f>
        <v>5.860136560924336E-2</v>
      </c>
      <c r="EU9" s="273">
        <f t="shared" ref="EU9:EU40" si="45">IF(ISNUMBER($AV9),AF9,"")</f>
        <v>-0.36999451518693482</v>
      </c>
      <c r="EV9" s="174">
        <f t="shared" ref="EV9:EV14" si="46">IF(ISNUMBER($AV9),IF(($EV$1-EP9)&lt;0,(360+($EV$1-EP9)),($EV$1-EP9)),"")</f>
        <v>29.496545393716588</v>
      </c>
      <c r="EW9" s="9">
        <f>IF(ISNUMBER($AV9),(COS(RADIANS($EV9))*ES9)+(-SIN(RADIANS($EV9))*ET9),"")</f>
        <v>0.77815367621426934</v>
      </c>
      <c r="EX9" s="5">
        <f t="shared" ref="EX9:EX40" si="47">IF(ISNUMBER($AV9),(SIN(RADIANS($EV9))*ES9)+(COS(RADIANS($EV9))*ET9),"")</f>
        <v>0.50752429983775482</v>
      </c>
      <c r="EY9" s="6">
        <f>IF(ISNUMBER($AV9),EU9,"")</f>
        <v>-0.36999451518693482</v>
      </c>
      <c r="EZ9" s="51">
        <f>IF(ISNUMBER($AV9),DEGREES(ATAN($AS$5/($EQ9*2*PI()))),"")</f>
        <v>11.191737452073101</v>
      </c>
      <c r="FA9" s="266">
        <f>IF(ISNUMBER($AV9),SIN(RADIANS($EP9))*COS(RADIANS($EZ9)),"")</f>
        <v>0.85383340108907357</v>
      </c>
      <c r="FB9" s="267">
        <f>IF(ISNUMBER($AV9),-1*COS(RADIANS($EP9))*COS(RADIANS($EZ9)),"")</f>
        <v>-0.48300773742629644</v>
      </c>
      <c r="FC9" s="268">
        <f t="shared" ref="FC9:FC53" si="48">IF(ISNUMBER($AV9),-1*SIN(RADIANS($EZ9)),"")</f>
        <v>-0.19409288696651167</v>
      </c>
      <c r="FD9" s="4">
        <f>IF(ISNUMBER($AV9),(COS(RADIANS($EV9))*FA9)+(-SIN(RADIANS($EV9))*FB9),"")</f>
        <v>0.98098315542572134</v>
      </c>
      <c r="FE9" s="5">
        <f t="shared" ref="FE9:FE40" si="49">IF(ISNUMBER($AV9),(SIN(RADIANS($EV9))*FA9)+(COS(RADIANS($EV9))*FB9),"")</f>
        <v>-5.5511151231257827E-17</v>
      </c>
      <c r="FF9" s="7">
        <f>IF(ISNUMBER($AV9),FC9,"")</f>
        <v>-0.19409288696651167</v>
      </c>
      <c r="FG9" s="173">
        <f>IF(ISNUMBER($AV9),EW9-FD9,"")</f>
        <v>-0.202829479211452</v>
      </c>
      <c r="FH9" s="5">
        <f t="shared" ref="FH9:FH40" si="50">IF(ISNUMBER($AV9),EX9-FE9,"")</f>
        <v>0.50752429983775493</v>
      </c>
      <c r="FI9" s="10">
        <f t="shared" ref="FI9:FI40" si="51">IF(ISNUMBER($AV9),EY9-FF9,"")</f>
        <v>-0.17590162822042316</v>
      </c>
      <c r="FJ9" s="279">
        <f>IF(ISNUMBER($AV9),DEGREES(ACOS((2-SQRT((FG9)^2+(FH9)^2+(FI9)^2)^2)/2)),"")</f>
        <v>33.366565237696292</v>
      </c>
      <c r="FK9" s="23">
        <f t="shared" ref="FK9:FK40" si="52">IF(ISNUMBER($AV9),SQRT(ES9^2+ET9^2),"")</f>
        <v>0.92903393841752913</v>
      </c>
      <c r="FL9" s="20">
        <f>IF(ISNUMBER($AV9),SQRT(FA9^2+FB9^2),"")</f>
        <v>0.98098315542572123</v>
      </c>
      <c r="FM9" s="25">
        <f>IF(ISNUMBER($AV9),SQRT(FG9^2+FH9^2),"")</f>
        <v>0.5465534855464671</v>
      </c>
      <c r="FN9" s="24">
        <f>IF(ISNUMBER($AV9),DEGREES(ACOS((FK9^2+FL9^2-FM9^2)/(2*FK9*FL9))),"")</f>
        <v>33.11303487269025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-33.11303487269025</v>
      </c>
      <c r="FQ9" s="173">
        <f>IF(ISNUMBER($AV9),SIN(RADIANS(FN9)),"")</f>
        <v>0.54629252909990245</v>
      </c>
      <c r="FR9" s="10">
        <f>IF(ISNUMBER($AV9),COS(RADIANS(FN9)),"")</f>
        <v>0.83759445595683846</v>
      </c>
      <c r="FS9" s="9">
        <f>IF(ISNUMBER($AV9),FQ9/(FQ9+FR9),"")</f>
        <v>0.39475227023506099</v>
      </c>
      <c r="FT9" s="6">
        <f>IF(ISNUMBER($AV9),FR9/(FQ9+FR9),"")</f>
        <v>0.6052477297649389</v>
      </c>
      <c r="FU9" s="4">
        <f>IF(ISNUMBER($AV9),SQRT(EW9^2+EY9^2),"")</f>
        <v>0.86163744409942911</v>
      </c>
      <c r="FV9" s="5">
        <f>IF(ISNUMBER($AV9),SQRT(FD9^2+FF9^2),"")</f>
        <v>1</v>
      </c>
      <c r="FW9" s="8">
        <f>IF(ISNUMBER($AV9),SQRT(FG9^2+FI9^2),"")</f>
        <v>0.26847938551737038</v>
      </c>
      <c r="FX9" s="9">
        <f>IF(ISNUMBER($AV9),DEGREES(ACOS((FU9^2+FV9^2-FW9^2)/(2*FU9*FV9))),"")</f>
        <v>14.238295831300565</v>
      </c>
      <c r="FY9" s="10">
        <f t="shared" ref="FY9:FY40" si="55">IF(ISNUMBER($AV9),IF(EU9&lt;FC9,1,-1),"")</f>
        <v>1</v>
      </c>
      <c r="FZ9" s="277">
        <f>IF(ISNUMBER($AV9),FX9*FY9,"")</f>
        <v>14.238295831300565</v>
      </c>
      <c r="GA9" s="177">
        <f>IF(ISNUMBER($AV9),DEGREES(FZ9*SIN(RADIANS(FU9))),"")</f>
        <v>12.267786415155346</v>
      </c>
      <c r="GB9" s="4">
        <f>IF(ISNUMBER($AV9),COS(RADIANS(FP9+90))*COS(RADIANS(FZ9)),"")</f>
        <v>0.52951106327761732</v>
      </c>
      <c r="GC9" s="5">
        <f>IF(ISNUMBER($AV9),SIN(RADIANS(FP9+90))*COS(RADIANS(FZ9)),"")</f>
        <v>0.81186453656962898</v>
      </c>
      <c r="GD9" s="10">
        <f>IF(ISNUMBER($AV9),-SIN(RADIANS(FZ9)),"")</f>
        <v>-0.24595529700981997</v>
      </c>
      <c r="GE9" s="311">
        <f>IF(ISNUMBER($AV9),SUM(ABS(GB9),ABS(GC9),ABS(GD9)),"")</f>
        <v>1.5873308968570663</v>
      </c>
      <c r="GF9" s="341">
        <f>IF(ISNUMBER($AV9),1/GE9,"")</f>
        <v>0.62998836725222929</v>
      </c>
      <c r="GG9" s="303">
        <f t="shared" ref="GG9:GG40" si="56">IF(ISNUMBER($AV9),ABS(GB9)/(ABS($GB9)+ABS($GC9)+ABS($GD9)),"")</f>
        <v>0.33358581019625799</v>
      </c>
      <c r="GH9" s="304">
        <f t="shared" ref="GH9:GH40" si="57">IF(ISNUMBER($AV9),ABS(GC9)/(ABS($GB9)+ABS($GC9)+ABS($GD9)),"")</f>
        <v>0.51146521382348842</v>
      </c>
      <c r="GI9" s="305">
        <f t="shared" ref="GI9:GI40" si="58">IF(ISNUMBER($AV9),ABS(GD9)/(ABS($GB9)+ABS($GC9)+ABS($GD9)),"")</f>
        <v>0.15494897598025359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1.7263442426561935E-2</v>
      </c>
      <c r="GO9" s="4">
        <f>IF(ISNUMBER($AV9),FP9,"")</f>
        <v>-33.11303487269025</v>
      </c>
      <c r="GP9" s="8">
        <f>IF(ISNUMBER($AV9),FZ9,"")</f>
        <v>14.238295831300565</v>
      </c>
      <c r="GQ9" s="177">
        <f>IF(ISNUMBER($AV9),FJ9,"")</f>
        <v>33.366565237696292</v>
      </c>
      <c r="GR9" s="371">
        <f>IF(ISNUMBER($AV9),GS9+GU9+GY9,"")</f>
        <v>477.31978390955857</v>
      </c>
      <c r="GS9" s="342">
        <f t="shared" ref="GS9:GS40" si="61">IF(ISNUMBER($AV9),GU9/GH9*GG9,"")</f>
        <v>159.22710683817289</v>
      </c>
      <c r="GT9" s="343">
        <f t="shared" ref="GT9:GT40" si="62">IF(ISNUMBER($AV9),GS9/$GK9,"")</f>
        <v>1483.4327447784594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73.960211731902021</v>
      </c>
      <c r="GZ9" s="345">
        <f t="shared" ref="GZ9:GZ40" si="67">IF(ISNUMBER($AV9),GY9/$GK9,"")</f>
        <v>689.04724875368083</v>
      </c>
      <c r="HA9" s="342">
        <f t="shared" ref="HA9:HA53" si="68">IF(ISNUMBER($AV9),$FO9*$GS9,"")</f>
        <v>-159.22710683817289</v>
      </c>
      <c r="HB9" s="191">
        <f>IF(ISNUMBER($AV9),$EV9,"")</f>
        <v>29.496545393716588</v>
      </c>
      <c r="HC9" s="362">
        <f>IF(ISNUMBER($AV9),HA9*COS(RADIANS(HB9)),"")</f>
        <v>-138.58894663508283</v>
      </c>
      <c r="HD9" s="365">
        <f>IF(ISNUMBER($AV9),HA9*SIN(RADIANS(HB9)),"")</f>
        <v>-78.398822839587908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119.49654539371659</v>
      </c>
      <c r="HG9" s="362">
        <f>IF(ISNUMBER($AV9),HE9*COS(RADIANS(HF9)),"")</f>
        <v>-1119.8734069113407</v>
      </c>
      <c r="HH9" s="368">
        <f>IF(ISNUMBER($AV9),HE9*SIN(RADIANS(HF9)),"")</f>
        <v>1979.6480381605181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-33.11303487269025</v>
      </c>
      <c r="HN9" s="904">
        <f t="shared" ref="HN9:HN40" si="73">IF(ISNUMBER($HL9),INDEX(AO$9:AO$150,MATCH($HL9,$AV$9:$AV$150,0)),"")</f>
        <v>22.678960175933817</v>
      </c>
      <c r="HO9" s="905"/>
      <c r="HP9" s="906"/>
      <c r="HQ9" s="907">
        <f t="shared" ref="HQ9:HQ40" si="74">IF(ISNUMBER($HL9),INDEX(GQ$9:GQ$150,MATCH($HL9,$AV$9:$AV$150,0)),"")</f>
        <v>33.366565237696292</v>
      </c>
      <c r="HR9" s="908">
        <f t="shared" ref="HR9:HR40" si="75">IF(ISNUMBER($HL9),INDEX(GP$9:GP$150,MATCH($HL9,$AV$9:$AV$150,0)),"")</f>
        <v>14.238295831300565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1.7263442426561935E-2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159.22710683817289</v>
      </c>
      <c r="HZ9" s="862">
        <f t="shared" ref="HZ9:HZ40" si="82">IF(ISNUMBER($HL9),INDEX(GU$9:GU$150,MATCH($HL9,$AV$9:$AV$150,0)),"")</f>
        <v>244.13246533948367</v>
      </c>
      <c r="IA9" s="863">
        <f t="shared" ref="IA9:IA40" si="83">IF(ISNUMBER($HL9),INDEX(GY$9:GY$150,MATCH($HL9,$AV$9:$AV$150,0)),"")</f>
        <v>73.960211731902021</v>
      </c>
      <c r="IB9" s="864">
        <f t="shared" ref="IB9:IB40" si="84">IF(ISNUMBER($HL9),INDEX(GR$9:GR$150,MATCH($HL9,$AV$9:$AV$150,0)),"")</f>
        <v>477.31978390955857</v>
      </c>
      <c r="IC9" s="840">
        <f t="shared" ref="IC9:IC40" si="85">IF(ISNUMBER($HL9),INDEX(GT$9:GT$150,MATCH($HL9,$AV$9:$AV$150,0)),"")</f>
        <v>1483.4327447784594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689.04724875368083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1913</v>
      </c>
      <c r="JD9" s="727" cm="1">
        <f t="array" ref="JD9">IF($JC9="","",COUNT(IF(IF($IK$9:$IK$150="",$IL$9:$IL$150,"")=$JC9,$II$9:$II$150,"")))</f>
        <v>4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1.176692062802206</v>
      </c>
      <c r="D10" s="576">
        <f t="shared" si="4"/>
        <v>-0.39115319879386889</v>
      </c>
      <c r="E10" s="580">
        <f t="shared" si="5"/>
        <v>-0.96126171816521055</v>
      </c>
      <c r="F10" s="572">
        <f t="shared" si="6"/>
        <v>-1.4425738455254036E-2</v>
      </c>
      <c r="G10" s="579">
        <f t="shared" si="7"/>
        <v>0.27525952710140322</v>
      </c>
      <c r="H10" s="580">
        <f t="shared" si="8"/>
        <v>0.375</v>
      </c>
      <c r="I10" s="572">
        <f t="shared" si="9"/>
        <v>0.52</v>
      </c>
      <c r="J10" s="483">
        <f t="shared" si="10"/>
        <v>1.1040000000000001</v>
      </c>
      <c r="K10" s="806">
        <f t="shared" si="11"/>
        <v>1913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1.176692062802206</v>
      </c>
      <c r="P10" s="576">
        <f t="shared" si="15"/>
        <v>-0.39115319879386889</v>
      </c>
      <c r="Q10" s="528">
        <f>IF(M10="","",IF(DEGREES(ATAN2(N10,O10))&lt;0,DEGREES(ATAN2(N10,O10))+360,IF(DEGREES(ATAN2(N10,O10))&gt;360,DEGREES(ATAN2(N10,O10))-360,DEGREES(ATAN2(N10,O10)))))</f>
        <v>89.0639634403027</v>
      </c>
      <c r="R10" s="572">
        <f t="shared" ref="R10:R105" si="101">IF(M10="","",SQRT(N10^2+O10^2))</f>
        <v>1.1768491068518661</v>
      </c>
      <c r="S10" s="577">
        <f t="shared" ref="S10:S105" si="102">IF(M10="","",P10)</f>
        <v>-0.39115319879386889</v>
      </c>
      <c r="T10" s="578">
        <f t="shared" ref="T10:T105" si="103">IF(M10="","",X10*COS(RADIANS(W10)))</f>
        <v>1.1768364354147294</v>
      </c>
      <c r="U10" s="572">
        <f t="shared" ref="U10:U105" si="104">IF(M10="","",X10*SIN(RADIANS(W10)))</f>
        <v>-5.4611883677871736E-3</v>
      </c>
      <c r="V10" s="579">
        <f>IF(M10="","",Y10)</f>
        <v>-0.39115319879386889</v>
      </c>
      <c r="W10" s="528">
        <f t="shared" si="16"/>
        <v>359.7341170029199</v>
      </c>
      <c r="X10" s="572">
        <f t="shared" ref="X10:X105" si="105">IF(M10="","",R10)</f>
        <v>1.1768491068518661</v>
      </c>
      <c r="Y10" s="573">
        <f t="shared" si="17"/>
        <v>-0.39115319879386889</v>
      </c>
      <c r="Z10" s="575">
        <f>IF(M10="","",-E10)</f>
        <v>0.96126171816521055</v>
      </c>
      <c r="AA10" s="572">
        <f t="shared" si="19"/>
        <v>1.4425738455254036E-2</v>
      </c>
      <c r="AB10" s="572">
        <f t="shared" si="20"/>
        <v>-0.27525952710140322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0.96126171816521055</v>
      </c>
      <c r="AE10" s="572">
        <f t="shared" ref="AE10:AE105" si="107">IF(M10="","",AA10*(1/SQRT(Z10^2+AA10^2+AB10^2)))</f>
        <v>1.4425738455254036E-2</v>
      </c>
      <c r="AF10" s="576">
        <f t="shared" ref="AF10:AF105" si="108">IF(M10="","",AB10*(1/SQRT(Z10^2+AA10^2+AB10^2)))</f>
        <v>-0.27525952710140322</v>
      </c>
      <c r="AG10" s="545">
        <f t="shared" ref="AG10:AG105" si="109">IF(M10="","",DEGREES(ATAN2(-AF10,AE10)))</f>
        <v>2.9999995668536505</v>
      </c>
      <c r="AH10" s="546">
        <f t="shared" ref="AH10:AH105" si="110">IF(M10="","",DEGREES(ACOS(AD10)))</f>
        <v>15.999995379772596</v>
      </c>
      <c r="AI10" s="528">
        <f t="shared" ref="AI10:AI105" si="111">IF(M10="","",DEGREES(-ACOS(-AF10)))</f>
        <v>-74.022519124221645</v>
      </c>
      <c r="AJ10" s="529">
        <f t="shared" ref="AJ10:AJ105" si="112">IF(M10="","",DEGREES(ATAN2(-AE10,AD10)))</f>
        <v>90.859778220617514</v>
      </c>
      <c r="AK10" s="578">
        <f>IF(M10="","",(COS(RADIANS((90-$Q$8)-W10))*AD10)+(-SIN(RADIANS((90-$Q$8)-W10))*AE10))</f>
        <v>0.96089778141820004</v>
      </c>
      <c r="AL10" s="572">
        <f t="shared" ref="AL10:AL105" si="113">IF(M10="","",(SIN(RADIANS((90-$Q$8)-W10))*AD10)+(COS(RADIANS((90-$Q$8)-W10))*AE10))</f>
        <v>3.0127170552392668E-2</v>
      </c>
      <c r="AM10" s="577">
        <f t="shared" ref="AM10:AM105" si="114">IF(M10="","",AF10)</f>
        <v>-0.27525952710140322</v>
      </c>
      <c r="AN10" s="524">
        <f t="shared" ref="AN10:AN105" si="115">IF(M10="","",DEGREES(ATAN2(-AM10,AL10)))</f>
        <v>6.2461638467330163</v>
      </c>
      <c r="AO10" s="525">
        <f t="shared" ref="AO10:AO54" si="116">IF(ROUND(IF(M10="",0,DEGREES(ACOS(AK10))),4)=90,0,IF(M10="","",DEGREES(ACOS(AK10))))</f>
        <v>16.075472317824548</v>
      </c>
      <c r="AP10" s="528">
        <f t="shared" ref="AP10:AP105" si="117">IF(M10="","",DEGREES(ATAN2(AK10,AL10)))</f>
        <v>1.7958147803148496</v>
      </c>
      <c r="AQ10" s="529">
        <f t="shared" si="21"/>
        <v>1.9364067773316538</v>
      </c>
      <c r="AS10" s="932">
        <f>IF($M10="","",IF(AND($W10&lt;($AS$9+180),$W10&gt;($AS$9-180)),$W10,IF($W10&gt;($AS$9+180),$W10-360,IF($W10&lt;($AS$9-180),$W10+360,"Error"))))</f>
        <v>359.7341170029199</v>
      </c>
      <c r="AT10" s="928">
        <f t="shared" si="22"/>
        <v>-0.39264798712751037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5.8350045530279677E-2</v>
      </c>
      <c r="BB10" s="291">
        <f>IF(ISNUMBER($AV10),$AX10-($AT10+$AS$5),"")</f>
        <v>0.18174798712751036</v>
      </c>
      <c r="BC10" s="9"/>
      <c r="BD10" s="5">
        <f>IF(ISNUMBER(AV10),AW10,"")</f>
        <v>0.93310000000000004</v>
      </c>
      <c r="BE10" s="6">
        <f t="shared" si="25"/>
        <v>-0.20940521166635853</v>
      </c>
      <c r="BF10" s="4">
        <f t="shared" si="26"/>
        <v>1.9225234363304217E-2</v>
      </c>
      <c r="BG10" s="5">
        <f t="shared" si="27"/>
        <v>1.176692062802206</v>
      </c>
      <c r="BH10" s="10">
        <f t="shared" si="28"/>
        <v>-0.39115319879386889</v>
      </c>
      <c r="BI10" s="9">
        <f>IF(ISNUMBER($AV10),BF10+0,"")</f>
        <v>1.9225234363304217E-2</v>
      </c>
      <c r="BJ10" s="5">
        <f t="shared" si="29"/>
        <v>2.175321597952431</v>
      </c>
      <c r="BK10" s="8">
        <f t="shared" si="30"/>
        <v>-0.33881725010039454</v>
      </c>
      <c r="BL10" s="173">
        <f t="shared" si="31"/>
        <v>0.29486251266590841</v>
      </c>
      <c r="BM10" s="5">
        <f t="shared" si="32"/>
        <v>1.1263835188393105</v>
      </c>
      <c r="BN10" s="6">
        <f t="shared" si="33"/>
        <v>0.56879114397516173</v>
      </c>
      <c r="BO10" s="4">
        <f>IF(ISNUMBER($AV10),BJ10*BN10-BM10*BK10-BG10*(BN10-BK10)+BH10*(BM10-BJ10),"")</f>
        <v>0.96126171816521089</v>
      </c>
      <c r="BP10" s="5">
        <f t="shared" si="34"/>
        <v>1.4425738455254022E-2</v>
      </c>
      <c r="BQ10" s="5">
        <f>IF(ISNUMBER($AV10),BF10*(BJ10-BM10)-BG10*(BI10-BL10)+(BI10*BM10-BL10*BJ10),"")</f>
        <v>-0.27525952710140278</v>
      </c>
      <c r="BR10" s="6">
        <f>IF(ISNUMBER($AV10),-(BF10*(BJ10*BN10-BM10*BK10)-BG10*(BI10*BN10-BL10*BK10)+BH10*(BI10*BM10-BL10*BJ10)),"")</f>
        <v>-0.14312377828075798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-0.20940521166635853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-0.20940521166635853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-0.20940521166635853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-0.20940521166635853</v>
      </c>
      <c r="CF10" s="4">
        <f>IF(ISNUMBER($AV10),(BP10*CD10)-(BQ10*CC10),"")</f>
        <v>-1.4425738455254022E-2</v>
      </c>
      <c r="CG10" s="5">
        <f>IF(ISNUMBER($AV10),(BQ10*CB10)-(BO10*CD10),"")</f>
        <v>0.96126171816521089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5.9257277546005325</v>
      </c>
      <c r="CK10" s="8">
        <f t="shared" ref="CK10:CK73" si="128">IF(ISNUMBER($AV10),(CC10*BR10-BP10*CE10)/(-CC10*BQ10+BP10*CD10),"")</f>
        <v>-0.20940521166635853</v>
      </c>
      <c r="CL10" s="173">
        <f t="shared" ref="CL10:CL73" si="129">IF(ISNUMBER($AV10),CI10+CF10,"")</f>
        <v>-1.4425738455254022E-2</v>
      </c>
      <c r="CM10" s="5">
        <f t="shared" ref="CM10:CM73" si="130">IF(ISNUMBER($AV10),CJ10+CG10,"")</f>
        <v>6.8869894727657437</v>
      </c>
      <c r="CN10" s="6">
        <f t="shared" ref="CN10:CN73" si="131">IF(ISNUMBER($AV10),CK10+CH10,"")</f>
        <v>-0.20940521166635853</v>
      </c>
      <c r="CO10" s="167">
        <f t="shared" si="35"/>
        <v>0.375</v>
      </c>
      <c r="CP10" s="4">
        <f>IF(ISNUMBER($AV10),(CL10-CI10)^2+(CM10-CJ10)^2+(CN10-CK10)^2,"")</f>
        <v>0.92423219273991342</v>
      </c>
      <c r="CQ10" s="5">
        <f>IF(ISNUMBER($AV10),2*((CL10-CI10)*(CI10-BF10)+(CM10-CJ10)*(CJ10-BG10)+(CN10-CK10)*(CK10-BH10)),"")</f>
        <v>9.1306870938572757</v>
      </c>
      <c r="CR10" s="5">
        <f>IF(ISNUMBER($AV10),BF10^2+BG10^2+BH10^2+CI10^2+CJ10^2+CK10^2-2*(BF10*CI10+BG10*CJ10+BH10*CK10)-CO10^2,"")</f>
        <v>22.44611694243563</v>
      </c>
      <c r="CS10" s="8">
        <f>IF(ISNUMBER($AV10),CQ10^2-(4*CP10*CR10),"")</f>
        <v>0.3877512851166216</v>
      </c>
      <c r="CT10" s="9">
        <f>IF(ISNUMBER($AV10),(-CQ10+SQRT(CS10))/(CP10*2),"")</f>
        <v>-4.6027342352055607</v>
      </c>
      <c r="CU10" s="6">
        <f>IF(ISNUMBER($AV10),(-CQ10-SQRT(CS10))/(CP10*2),"")</f>
        <v>-5.2764791979351813</v>
      </c>
      <c r="CV10" s="4">
        <f t="shared" si="36"/>
        <v>6.639784025611907E-2</v>
      </c>
      <c r="CW10" s="5">
        <f t="shared" si="36"/>
        <v>1.5012955354089961</v>
      </c>
      <c r="CX10" s="8">
        <f t="shared" si="36"/>
        <v>-0.20940521166635853</v>
      </c>
      <c r="CY10" s="9">
        <f t="shared" si="37"/>
        <v>7.6117108874001443E-2</v>
      </c>
      <c r="CZ10" s="5">
        <f t="shared" si="37"/>
        <v>0.85365029493036459</v>
      </c>
      <c r="DA10" s="6">
        <f t="shared" si="37"/>
        <v>-0.20940521166635853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6.639784025611907E-2</v>
      </c>
      <c r="DM10" s="173">
        <f>IF(ISNUMBER($AV10),CW10-DC10,"")</f>
        <v>1.5012955354089961</v>
      </c>
      <c r="DN10" s="178">
        <f>IF(ISNUMBER($AV10),CX10-DD10,"")</f>
        <v>9.7905947883336406</v>
      </c>
      <c r="DO10" s="9">
        <f t="shared" si="40"/>
        <v>9.7192686178823734E-3</v>
      </c>
      <c r="DP10" s="173">
        <f t="shared" si="40"/>
        <v>-0.64764524047863148</v>
      </c>
      <c r="DQ10" s="11">
        <f t="shared" si="40"/>
        <v>0</v>
      </c>
      <c r="DR10" s="173">
        <f>IF(ISNUMBER($AV10),SUMPRODUCT(DI10:DK10,DL10:DN10),"")</f>
        <v>195.81189576667282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0.41953882169709095</v>
      </c>
      <c r="DV10" s="5">
        <f>IF(ISNUMBER($AV10),SUMPRODUCT(DL10:DN10,DO10:DQ10),"")</f>
        <v>-0.97166156961435857</v>
      </c>
      <c r="DW10" s="5">
        <f>IF(ISNUMBER($AV10),SUMPRODUCT(DL10:DN10,DL10:DN10),"")</f>
        <v>98.114043267175504</v>
      </c>
      <c r="DX10" s="167">
        <f>IF(ISNUMBER($AV10),DW10-DH10*DH10,"")</f>
        <v>97.243367657175497</v>
      </c>
      <c r="DY10" s="9">
        <f>IF(ISNUMBER($AV10),DT10*DU10-DS10*DS10,"")</f>
        <v>167.81552867883639</v>
      </c>
      <c r="DZ10" s="5">
        <f>IF(ISNUMBER($AV10),DT10*DV10-DS10*DR10,"")</f>
        <v>-388.66462784574344</v>
      </c>
      <c r="EA10" s="10">
        <f>IF(ISNUMBER($AV10),DT10*DX10-DR10*DR10,"")</f>
        <v>555.04853913185798</v>
      </c>
      <c r="EB10" s="6">
        <f>IF(ISNUMBER($AV10),DZ10*DZ10-DY10*EA10,"")</f>
        <v>57914.428901641702</v>
      </c>
      <c r="EC10" s="173">
        <f>IF(ISNUMBER($AV10),(-DZ10+SQRT(DZ10^2-DY10*EA10))/DY10,"")</f>
        <v>3.7500629499381821</v>
      </c>
      <c r="ED10" s="5">
        <f>IF(ISNUMBER($AV10),(-DZ10-SQRT(DZ10^2-DY10*EA10))/DY10,"")</f>
        <v>0.88198309378123763</v>
      </c>
      <c r="EE10" s="4">
        <f t="shared" si="41"/>
        <v>0.10284570940053664</v>
      </c>
      <c r="EF10" s="5">
        <f>IF(ISNUMBER($AV10),CW10+DP10*$EC10,"")</f>
        <v>-0.92741488561372387</v>
      </c>
      <c r="EG10" s="10">
        <f>IF(ISNUMBER($AV10),CX10+DQ10*$EC10,"")</f>
        <v>-0.20940521166635853</v>
      </c>
      <c r="EH10" s="9">
        <f>IF(ISNUMBER($AV10),CV10+DO10*$ED10,"")</f>
        <v>7.497007086100986E-2</v>
      </c>
      <c r="EI10" s="5">
        <f>IF(ISNUMBER($AV10),CW10+DP10*$ED10,"")</f>
        <v>0.93008338253895906</v>
      </c>
      <c r="EJ10" s="6">
        <f t="shared" si="42"/>
        <v>-0.20940521166635853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7.497007086100986E-2</v>
      </c>
      <c r="EN10" s="5">
        <f t="shared" si="43"/>
        <v>0.93008338253895906</v>
      </c>
      <c r="EO10" s="10">
        <f t="shared" si="43"/>
        <v>-0.20940521166635853</v>
      </c>
      <c r="EP10" s="9">
        <f>IF(ISNUMBER($AV10),IF(DEGREES(ATAN2(EM10,EN10))&lt;0,DEGREES(ATAN2(EM10,EN10))+360,IF(DEGREES(ATAN2(EM10,EN10))&gt;360,DEGREES(ATAN2(EM10,EN10))-360,DEGREES(ATAN2(EM10,EN10)))),"")</f>
        <v>85.391594060394439</v>
      </c>
      <c r="EQ10" s="5">
        <f>IF(ISNUMBER($AV10),SQRT(EM10^2+EN10^2),"")</f>
        <v>0.93310000000000881</v>
      </c>
      <c r="ER10" s="7">
        <f>IF(ISNUMBER($AV10),EO10,"")</f>
        <v>-0.20940521166635853</v>
      </c>
      <c r="ES10" s="21">
        <f t="shared" ref="ES10:ES40" si="132">IF(ISNUMBER($AV10),AD10,"")</f>
        <v>0.96126171816521055</v>
      </c>
      <c r="ET10" s="5">
        <f t="shared" si="44"/>
        <v>1.4425738455254036E-2</v>
      </c>
      <c r="EU10" s="10">
        <f t="shared" si="45"/>
        <v>-0.27525952710140322</v>
      </c>
      <c r="EV10" s="174">
        <f t="shared" si="46"/>
        <v>4.6084059396055608</v>
      </c>
      <c r="EW10" s="9">
        <f t="shared" ref="EW10:EW40" si="133">IF(ISNUMBER($AV10),(COS(RADIANS($EV10))*ES10)+(-SIN(RADIANS($EV10))*ET10),"")</f>
        <v>0.95699501843541879</v>
      </c>
      <c r="EX10" s="5">
        <f t="shared" si="47"/>
        <v>9.1611830184231219E-2</v>
      </c>
      <c r="EY10" s="6">
        <f>IF(ISNUMBER($AV10),EU10,"")</f>
        <v>-0.27525952710140322</v>
      </c>
      <c r="EZ10" s="51">
        <f>IF(ISNUMBER($AV10),DEGREES(ATAN($AS$5/($EQ10*2*PI()))),"")</f>
        <v>2.4416958528944863</v>
      </c>
      <c r="FA10" s="266">
        <f t="shared" ref="FA10:FA53" si="134">IF(ISNUMBER($AV10),SIN(RADIANS($EP10))*COS(RADIANS($EZ10)),"")</f>
        <v>0.99586212818726827</v>
      </c>
      <c r="FB10" s="267">
        <f t="shared" ref="FB10:FB53" si="135">IF(ISNUMBER($AV10),-1*COS(RADIANS($EP10))*COS(RADIANS($EZ10)),"")</f>
        <v>-8.0272216147102518E-2</v>
      </c>
      <c r="FC10" s="269">
        <f t="shared" si="48"/>
        <v>-4.2602734151198376E-2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5.5511151231257827E-17</v>
      </c>
      <c r="FF10" s="7">
        <f>IF(ISNUMBER($AV10),FC10,"")</f>
        <v>-4.2602734151198376E-2</v>
      </c>
      <c r="FG10" s="173">
        <f>IF(ISNUMBER($AV10),EW10-FD10,"")</f>
        <v>-4.2097072936964297E-2</v>
      </c>
      <c r="FH10" s="5">
        <f t="shared" si="50"/>
        <v>9.1611830184231163E-2</v>
      </c>
      <c r="FI10" s="10">
        <f t="shared" si="51"/>
        <v>-0.23265679295020486</v>
      </c>
      <c r="FJ10" s="279">
        <f>IF(ISNUMBER($AV10),DEGREES(ACOS((2-SQRT((FG10)^2+(FH10)^2+(FI10)^2)^2)/2)),"")</f>
        <v>14.567279887376754</v>
      </c>
      <c r="FK10" s="4">
        <f t="shared" si="52"/>
        <v>0.96136995622908461</v>
      </c>
      <c r="FL10" s="5">
        <f>IF(ISNUMBER($AV10),SQRT(FA10^2+FB10^2),"")</f>
        <v>0.99909209137238308</v>
      </c>
      <c r="FM10" s="8">
        <f>IF(ISNUMBER($AV10),SQRT(FG10^2+FH10^2),"")</f>
        <v>0.10082108400312159</v>
      </c>
      <c r="FN10" s="9">
        <f>IF(ISNUMBER($AV10),DEGREES(ACOS((FK10^2+FL10^2-FM10^2)/(2*FK10*FL10))),"")</f>
        <v>5.4681841602230481</v>
      </c>
      <c r="FO10" s="10">
        <f t="shared" si="53"/>
        <v>-1</v>
      </c>
      <c r="FP10" s="277">
        <f t="shared" si="54"/>
        <v>-5.4681841602230481</v>
      </c>
      <c r="FQ10" s="173">
        <f>IF(ISNUMBER($AV10),SIN(RADIANS(FN10)),"")</f>
        <v>9.5293003063641066E-2</v>
      </c>
      <c r="FR10" s="10">
        <f>IF(ISNUMBER($AV10),COS(RADIANS(FN10)),"")</f>
        <v>0.99544926719904359</v>
      </c>
      <c r="FS10" s="9">
        <f>IF(ISNUMBER($AV10),FQ10/(FQ10+FR10),"")</f>
        <v>8.7365279279670305E-2</v>
      </c>
      <c r="FT10" s="6">
        <f>IF(ISNUMBER($AV10),FR10/(FQ10+FR10),"")</f>
        <v>0.91263472072032981</v>
      </c>
      <c r="FU10" s="4">
        <f>IF(ISNUMBER($AV10),SQRT(EW10^2+EY10^2),"")</f>
        <v>0.9957947944081128</v>
      </c>
      <c r="FV10" s="5">
        <f>IF(ISNUMBER($AV10),SQRT(FD10^2+FF10^2),"")</f>
        <v>1</v>
      </c>
      <c r="FW10" s="8">
        <f>IF(ISNUMBER($AV10),SQRT(FG10^2+FI10^2),"")</f>
        <v>0.23643465662997587</v>
      </c>
      <c r="FX10" s="9">
        <f>IF(ISNUMBER($AV10),DEGREES(ACOS((FU10^2+FV10^2-FW10^2)/(2*FU10*FV10))),"")</f>
        <v>13.605074475159748</v>
      </c>
      <c r="FY10" s="10">
        <f t="shared" si="55"/>
        <v>1</v>
      </c>
      <c r="FZ10" s="277">
        <f>IF(ISNUMBER($AV10),FX10*FY10,"")</f>
        <v>13.605074475159748</v>
      </c>
      <c r="GA10" s="177">
        <f>IF(ISNUMBER($AV10),DEGREES(FZ10*SIN(RADIANS(FU10))),"")</f>
        <v>13.54718030373334</v>
      </c>
      <c r="GB10" s="4">
        <f>IF(ISNUMBER($AV10),COS(RADIANS(FP10+90))*COS(RADIANS(FZ10)),"")</f>
        <v>9.2619097702286185E-2</v>
      </c>
      <c r="GC10" s="5">
        <f>IF(ISNUMBER($AV10),SIN(RADIANS(FP10+90))*COS(RADIANS(FZ10)),"")</f>
        <v>0.9675171310825782</v>
      </c>
      <c r="GD10" s="10">
        <f>IF(ISNUMBER($AV10),-SIN(RADIANS(FZ10)),"")</f>
        <v>-0.23522819516918345</v>
      </c>
      <c r="GE10" s="311">
        <f>IF(ISNUMBER($AV10),SUM(ABS(GB10),ABS(GC10),ABS(GD10)),"")</f>
        <v>1.2953644239540478</v>
      </c>
      <c r="GF10" s="341">
        <f>IF(ISNUMBER($AV10),1/GE10,"")</f>
        <v>0.77198352950557358</v>
      </c>
      <c r="GG10" s="285">
        <f t="shared" si="56"/>
        <v>7.1500417943832453E-2</v>
      </c>
      <c r="GH10" s="286">
        <f t="shared" si="57"/>
        <v>0.74690728971023546</v>
      </c>
      <c r="GI10" s="281">
        <f t="shared" si="58"/>
        <v>0.18159229234593216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5.8350045530279677E-2</v>
      </c>
      <c r="GO10" s="4">
        <f>IF(ISNUMBER($AV10),FP10,"")</f>
        <v>-5.4681841602230481</v>
      </c>
      <c r="GP10" s="8">
        <f>IF(ISNUMBER($AV10),FZ10,"")</f>
        <v>13.605074475159748</v>
      </c>
      <c r="GQ10" s="177">
        <f>IF(ISNUMBER($AV10),FJ10,"")</f>
        <v>14.567279887376754</v>
      </c>
      <c r="GR10" s="371">
        <f>IF(ISNUMBER($AV10),GS10+GU10+GY10,"")</f>
        <v>1104.7719453454795</v>
      </c>
      <c r="GS10" s="342">
        <f t="shared" si="61"/>
        <v>78.991655824822601</v>
      </c>
      <c r="GT10" s="343">
        <f t="shared" si="62"/>
        <v>161.53250463685967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200.61807007476051</v>
      </c>
      <c r="GZ10" s="345">
        <f t="shared" si="67"/>
        <v>410.25015865543628</v>
      </c>
      <c r="HA10" s="342">
        <f t="shared" si="68"/>
        <v>-78.991655824822601</v>
      </c>
      <c r="HB10" s="5">
        <f>IF(ISNUMBER($AV10),$EV10,"")</f>
        <v>4.6084059396055608</v>
      </c>
      <c r="HC10" s="343">
        <f>IF(ISNUMBER($AV10),HA10*COS(RADIANS(HB10)),"")</f>
        <v>-78.736283830139939</v>
      </c>
      <c r="HD10" s="345">
        <f>IF(ISNUMBER($AV10),HA10*SIN(RADIANS(HB10)),"")</f>
        <v>-6.3465974007238222</v>
      </c>
      <c r="HE10" s="344">
        <f t="shared" si="69"/>
        <v>1687.4</v>
      </c>
      <c r="HF10" s="5">
        <f t="shared" si="70"/>
        <v>94.608405939605561</v>
      </c>
      <c r="HG10" s="343">
        <f>IF(ISNUMBER($AV10),HE10*COS(RADIANS(HF10)),"")</f>
        <v>-135.57442671832277</v>
      </c>
      <c r="HH10" s="349">
        <f>IF(ISNUMBER($AV10),HE10*SIN(RADIANS(HF10)),"")</f>
        <v>1681.9448073049241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3.1030000000000002</v>
      </c>
      <c r="HM10" s="909">
        <f t="shared" ref="HM10:HM40" si="138">IF(ISNUMBER($HL10),INDEX(GO$9:GO$150,MATCH($HL10,$AV$9:$AV$150,0)),"")</f>
        <v>-8.4390237503704686</v>
      </c>
      <c r="HN10" s="910">
        <f t="shared" si="73"/>
        <v>17.128097297467228</v>
      </c>
      <c r="HO10" s="911"/>
      <c r="HP10" s="912"/>
      <c r="HQ10" s="910">
        <f t="shared" si="74"/>
        <v>16.011621246993194</v>
      </c>
      <c r="HR10" s="913">
        <f t="shared" si="75"/>
        <v>13.875629934974869</v>
      </c>
      <c r="HS10" s="865">
        <f>IFERROR(SMALL($GJ$9:$GJ$150,($HK9+1)),"")</f>
        <v>0.69930000000000003</v>
      </c>
      <c r="HT10" s="875">
        <f t="shared" si="76"/>
        <v>6.0400000000000002E-2</v>
      </c>
      <c r="HU10" s="876">
        <f t="shared" si="77"/>
        <v>0.26581665411209499</v>
      </c>
      <c r="HV10" s="872">
        <f t="shared" si="78"/>
        <v>4.6208813894052701E-2</v>
      </c>
      <c r="HW10" s="866">
        <f t="shared" si="79"/>
        <v>29500</v>
      </c>
      <c r="HX10" s="867">
        <f t="shared" si="80"/>
        <v>103.834395</v>
      </c>
      <c r="HY10" s="866">
        <f t="shared" si="81"/>
        <v>96.95027676926955</v>
      </c>
      <c r="HZ10" s="868">
        <f t="shared" si="82"/>
        <v>653.46594135890018</v>
      </c>
      <c r="IA10" s="869">
        <f t="shared" si="83"/>
        <v>163.1884413635959</v>
      </c>
      <c r="IB10" s="870">
        <f t="shared" si="84"/>
        <v>913.60465949176557</v>
      </c>
      <c r="IC10" s="841">
        <f t="shared" si="85"/>
        <v>264.35349145856702</v>
      </c>
      <c r="ID10" s="351">
        <f t="shared" si="86"/>
        <v>1781.8</v>
      </c>
      <c r="IE10" s="843">
        <f t="shared" si="87"/>
        <v>444.96452901124849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1913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1613</v>
      </c>
      <c r="JD10" s="728" cm="1">
        <f t="array" ref="JD10">IF($JC10="","",COUNT(IF(IF($IK$9:$IK$150="",$IL$9:$IL$150,"")=$JC10,$II$9:$II$150,"")))</f>
        <v>24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1.9318516721444169E-2</v>
      </c>
      <c r="C11" s="572">
        <f t="shared" si="3"/>
        <v>1.9273058127543312</v>
      </c>
      <c r="D11" s="576">
        <f t="shared" si="4"/>
        <v>-7.8323445920825144E-2</v>
      </c>
      <c r="E11" s="580">
        <f t="shared" si="5"/>
        <v>-0.96592583607220739</v>
      </c>
      <c r="F11" s="572">
        <f t="shared" si="6"/>
        <v>4.163336342344337E-17</v>
      </c>
      <c r="G11" s="579">
        <f t="shared" si="7"/>
        <v>0.25881900859134593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1.9318516721444169E-2</v>
      </c>
      <c r="O11" s="572">
        <f t="shared" si="14"/>
        <v>1.9273058127543312</v>
      </c>
      <c r="P11" s="576">
        <f t="shared" si="15"/>
        <v>-7.8323445920825144E-2</v>
      </c>
      <c r="Q11" s="528">
        <f t="shared" ref="Q11:Q73" si="140">IF(M11="","",IF(DEGREES(ATAN2(N11,O11))&lt;0,DEGREES(ATAN2(N11,O11))+360,IF(DEGREES(ATAN2(N11,O11))&gt;360,DEGREES(ATAN2(N11,O11))-360,DEGREES(ATAN2(N11,O11)))))</f>
        <v>89.425710025052325</v>
      </c>
      <c r="R11" s="572">
        <f t="shared" si="101"/>
        <v>1.927402630735195</v>
      </c>
      <c r="S11" s="577">
        <f t="shared" si="102"/>
        <v>-7.8323445920825144E-2</v>
      </c>
      <c r="T11" s="578">
        <f t="shared" si="103"/>
        <v>1.9273999329681681</v>
      </c>
      <c r="U11" s="572">
        <f t="shared" si="104"/>
        <v>3.2248037539648724E-3</v>
      </c>
      <c r="V11" s="579">
        <f t="shared" ref="V11:V105" si="141">IF(M11="","",Y11)</f>
        <v>-7.8323445920825144E-2</v>
      </c>
      <c r="W11" s="528">
        <f t="shared" si="16"/>
        <v>9.5863587669555272E-2</v>
      </c>
      <c r="X11" s="572">
        <f>IF(M11="","",R11)</f>
        <v>1.927402630735195</v>
      </c>
      <c r="Y11" s="573">
        <f t="shared" si="17"/>
        <v>-7.8323445920825144E-2</v>
      </c>
      <c r="Z11" s="575">
        <f t="shared" si="18"/>
        <v>0.96592583607220739</v>
      </c>
      <c r="AA11" s="572">
        <f t="shared" si="19"/>
        <v>-4.163336342344337E-17</v>
      </c>
      <c r="AB11" s="572">
        <f t="shared" si="20"/>
        <v>-0.25881900859134593</v>
      </c>
      <c r="AC11" s="579">
        <f t="shared" si="106"/>
        <v>1</v>
      </c>
      <c r="AD11" s="580">
        <f t="shared" ref="AD11:AD105" si="142">IF(M11="","",Z11*(1/SQRT(Z11^2+AA11^2+AB11^2)))</f>
        <v>0.96592583607220739</v>
      </c>
      <c r="AE11" s="572">
        <f t="shared" si="107"/>
        <v>-4.163336342344337E-17</v>
      </c>
      <c r="AF11" s="576">
        <f t="shared" si="108"/>
        <v>-0.25881900859134593</v>
      </c>
      <c r="AG11" s="545">
        <f>IF(M11="","",DEGREES(ATAN2(-AF11,AE11)))</f>
        <v>-9.2165410264128415E-15</v>
      </c>
      <c r="AH11" s="546">
        <f t="shared" si="110"/>
        <v>14.999997834268255</v>
      </c>
      <c r="AI11" s="528">
        <f t="shared" si="111"/>
        <v>-75.000002165731729</v>
      </c>
      <c r="AJ11" s="529">
        <f t="shared" si="112"/>
        <v>90</v>
      </c>
      <c r="AK11" s="578">
        <f>IF(M11="","",(COS(RADIANS((90-$Q$8)-W11))*AD11)+(-SIN(RADIANS((90-$Q$8)-W11))*AE11))</f>
        <v>0.9658773153388529</v>
      </c>
      <c r="AL11" s="572">
        <f t="shared" si="113"/>
        <v>9.6815549165863782E-3</v>
      </c>
      <c r="AM11" s="577">
        <f t="shared" si="114"/>
        <v>-0.25881900859134593</v>
      </c>
      <c r="AN11" s="524">
        <f>IF(M11="","",DEGREES(ATAN2(-AM11,AL11)))</f>
        <v>2.1422449892601327</v>
      </c>
      <c r="AO11" s="525">
        <f>IF(ROUND(IF(M11="",0,DEGREES(ACOS(AK11))),4)=90,0,IF(M11="","",DEGREES(ACOS(AK11))))</f>
        <v>15.010735304559713</v>
      </c>
      <c r="AP11" s="528">
        <f t="shared" si="117"/>
        <v>0.57428997494767242</v>
      </c>
      <c r="AQ11" s="529">
        <f>IF(M11="","",DEGREES(ATAN(($AS$5*SIN(RADIANS(90)))/(($X11*2*PI())-($AS$5*COS(RADIANS(90)))))))</f>
        <v>1.1826293238389352</v>
      </c>
      <c r="AS11" s="932">
        <f t="shared" ref="AS11:AS42" si="143">IF(G11="","",IF(AND(W11&lt;(AS10+180),W11&gt;(AS10-180)),W11,IF(W11&gt;(AS10+180),W11-360,IF(W11&lt;(AS10-180),W11+360,"Error"))))</f>
        <v>360.09586358766956</v>
      </c>
      <c r="AT11" s="928">
        <f t="shared" si="22"/>
        <v>-8.0069447160542748E-2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0.11097442540977874</v>
      </c>
      <c r="BB11" s="291">
        <f t="shared" ref="BB11:BB73" si="145">IF(ISNUMBER($AV11),$AX11-($AT11+$AS$5),"")</f>
        <v>5.5869447160542762E-2</v>
      </c>
      <c r="BC11" s="9"/>
      <c r="BD11" s="5">
        <f t="shared" ref="BD11:BD73" si="146">IF(ISNUMBER(AV11),AW11,"")</f>
        <v>1.6409</v>
      </c>
      <c r="BE11" s="6">
        <f t="shared" si="25"/>
        <v>-2.2453998760282382E-2</v>
      </c>
      <c r="BF11" s="4">
        <f t="shared" si="26"/>
        <v>1.9318516721444169E-2</v>
      </c>
      <c r="BG11" s="5">
        <f t="shared" si="27"/>
        <v>1.9273058127543312</v>
      </c>
      <c r="BH11" s="10">
        <f t="shared" si="28"/>
        <v>-7.8323445920825144E-2</v>
      </c>
      <c r="BI11" s="9">
        <f t="shared" ref="BI11:BI74" si="147">IF(ISNUMBER($AV11),BF11+0,"")</f>
        <v>1.9318516721444169E-2</v>
      </c>
      <c r="BJ11" s="5">
        <f t="shared" si="29"/>
        <v>2.927305812754331</v>
      </c>
      <c r="BK11" s="8">
        <f t="shared" si="30"/>
        <v>-7.832344592082531E-2</v>
      </c>
      <c r="BL11" s="173">
        <f t="shared" si="31"/>
        <v>0.2781375253127899</v>
      </c>
      <c r="BM11" s="5">
        <f t="shared" si="32"/>
        <v>1.9273058127543314</v>
      </c>
      <c r="BN11" s="6">
        <f t="shared" si="33"/>
        <v>0.8876023901513822</v>
      </c>
      <c r="BO11" s="4">
        <f t="shared" ref="BO11:BO74" si="148">IF(ISNUMBER($AV11),BJ11*BN11-BM11*BK11-BG11*(BN11-BK11)+BH11*(BM11-BJ11),"")</f>
        <v>0.96592583607220694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-4.8572257327350599E-17</v>
      </c>
      <c r="BQ11" s="5">
        <f t="shared" ref="BQ11:BQ74" si="149">IF(ISNUMBER($AV11),BF11*(BJ11-BM11)-BG11*(BI11-BL11)+(BI11*BM11-BL11*BJ11),"")</f>
        <v>-0.25881900859134566</v>
      </c>
      <c r="BR11" s="6">
        <f t="shared" ref="BR11:BR74" si="150">IF(ISNUMBER($AV11),-(BF11*(BJ11*BN11-BM11*BK11)-BG11*(BI11*BN11-BL11*BK11)+BH11*(BI11*BM11-BL11*BJ11)),"")</f>
        <v>-3.8931851038521613E-2</v>
      </c>
      <c r="BS11" s="4">
        <f t="shared" si="118"/>
        <v>0</v>
      </c>
      <c r="BT11" s="5">
        <f t="shared" si="118"/>
        <v>0</v>
      </c>
      <c r="BU11" s="10">
        <f t="shared" si="119"/>
        <v>-2.2453998760282382E-2</v>
      </c>
      <c r="BV11" s="9">
        <f t="shared" si="120"/>
        <v>0</v>
      </c>
      <c r="BW11" s="5">
        <f t="shared" si="121"/>
        <v>1</v>
      </c>
      <c r="BX11" s="8">
        <f t="shared" si="122"/>
        <v>-2.2453998760282382E-2</v>
      </c>
      <c r="BY11" s="173">
        <f t="shared" si="123"/>
        <v>1</v>
      </c>
      <c r="BZ11" s="5">
        <f t="shared" si="124"/>
        <v>0</v>
      </c>
      <c r="CA11" s="6">
        <f t="shared" si="125"/>
        <v>-2.2453998760282382E-2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-2.2453998760282382E-2</v>
      </c>
      <c r="CF11" s="4">
        <f t="shared" ref="CF11:CF74" si="155">IF(ISNUMBER($AV11),(BP11*CD11)-(BQ11*CC11),"")</f>
        <v>4.8572257327350599E-17</v>
      </c>
      <c r="CG11" s="5">
        <f t="shared" ref="CG11:CG74" si="156">IF(ISNUMBER($AV11),(BQ11*CB11)-(BO11*CD11),"")</f>
        <v>0.96592583607220694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-681877498862385.88</v>
      </c>
      <c r="CK11" s="8">
        <f t="shared" si="128"/>
        <v>-2.2453998760282385E-2</v>
      </c>
      <c r="CL11" s="173">
        <f t="shared" si="129"/>
        <v>4.8572257327350599E-17</v>
      </c>
      <c r="CM11" s="5">
        <f t="shared" si="130"/>
        <v>-681877498862384.88</v>
      </c>
      <c r="CN11" s="6">
        <f t="shared" si="131"/>
        <v>-2.2453998760282385E-2</v>
      </c>
      <c r="CO11" s="167">
        <f t="shared" si="35"/>
        <v>0.3125</v>
      </c>
      <c r="CP11" s="4">
        <f>IF(ISNUMBER($AV11),(CL11-CI11)^2+(CM11-CJ11)^2+(CN11-CK11)^2,"")</f>
        <v>1</v>
      </c>
      <c r="CQ11" s="5">
        <f>IF(ISNUMBER($AV11),2*((CL11-CI11)*(CI11-BF11)+(CM11-CJ11)*(CJ11-BG11)+(CN11-CK11)*(CK11-BH11)),"")</f>
        <v>-1363754997724775.5</v>
      </c>
      <c r="CR11" s="5">
        <f t="shared" ref="CR11:CR74" si="158">IF(ISNUMBER($AV11),BF11^2+BG11^2+BH11^2+CI11^2+CJ11^2+CK11^2-2*(BF11*CI11+BG11*CJ11+BH11*CK11)-CO11^2,"")</f>
        <v>4.6495692345482564E+29</v>
      </c>
      <c r="CS11" s="8">
        <f t="shared" ref="CS11:CS74" si="159">IF(ISNUMBER($AV11),CQ11^2-(4*CP11*CR11),"")</f>
        <v>0</v>
      </c>
      <c r="CT11" s="9">
        <f t="shared" ref="CT11:CT74" si="160">IF(ISNUMBER($AV11),(-CQ11+SQRT(CS11))/(CP11*2),"")</f>
        <v>681877498862387.75</v>
      </c>
      <c r="CU11" s="6">
        <f t="shared" ref="CU11:CU74" si="161">IF(ISNUMBER($AV11),(-CQ11-SQRT(CS11))/(CP11*2),"")</f>
        <v>681877498862387.75</v>
      </c>
      <c r="CV11" s="4">
        <f>IF(ISNUMBER($AV11),CI11+($CT11*(CL11-CI11)),"")</f>
        <v>3.3120329340474111E-2</v>
      </c>
      <c r="CW11" s="5">
        <f t="shared" ref="CW11:CW74" si="162">IF(ISNUMBER($AV11),CJ11+($CT11*(CM11-CJ11)),"")</f>
        <v>1.875</v>
      </c>
      <c r="CX11" s="8">
        <f t="shared" ref="CX11:CX74" si="163">IF(ISNUMBER($AV11),CK11+($CT11*(CN11-CK11)),"")</f>
        <v>-2.2453998760282385E-2</v>
      </c>
      <c r="CY11" s="9">
        <f t="shared" ref="CY11:CY74" si="164">IF(ISNUMBER($AV11),CI11+($CU11*(CL11-CI11)),"")</f>
        <v>3.3120329340474111E-2</v>
      </c>
      <c r="CZ11" s="5">
        <f t="shared" ref="CZ11:CZ74" si="165">IF(ISNUMBER($AV11),CJ11+($CU11*(CM11-CJ11)),"")</f>
        <v>1.875</v>
      </c>
      <c r="DA11" s="6">
        <f t="shared" ref="DA11:DA74" si="166">IF(ISNUMBER($AV11),CK11+($CU11*(CN11-CK11)),"")</f>
        <v>-2.2453998760282385E-2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3.3120329340474111E-2</v>
      </c>
      <c r="DM11" s="173">
        <f t="shared" ref="DM11:DM74" si="176">IF(ISNUMBER($AV11),CW11-DC11,"")</f>
        <v>1.875</v>
      </c>
      <c r="DN11" s="178">
        <f t="shared" ref="DN11:DN74" si="177">IF(ISNUMBER($AV11),CX11-DD11,"")</f>
        <v>9.9775460012397179</v>
      </c>
      <c r="DO11" s="9">
        <f t="shared" ref="DO11:DO74" si="178">IF(ISNUMBER($AV11),CY11-CV11,"")</f>
        <v>0</v>
      </c>
      <c r="DP11" s="173">
        <f t="shared" ref="DP11:DP74" si="179">IF(ISNUMBER($AV11),CZ11-CW11,"")</f>
        <v>0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199.55092002479435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</v>
      </c>
      <c r="DV11" s="5">
        <f t="shared" ref="DV11:DV74" si="185">IF(ISNUMBER($AV11),SUMPRODUCT(DL11:DN11,DO11:DQ11),"")</f>
        <v>0</v>
      </c>
      <c r="DW11" s="5">
        <f t="shared" ref="DW11:DW74" si="186">IF(ISNUMBER($AV11),SUMPRODUCT(DL11:DN11,DL11:DN11),"")</f>
        <v>103.06814616307031</v>
      </c>
      <c r="DX11" s="167">
        <f t="shared" ref="DX11:DX74" si="187">IF(ISNUMBER($AV11),DW11-DH11*DH11,"")</f>
        <v>100.37559335307031</v>
      </c>
      <c r="DY11" s="9">
        <f t="shared" ref="DY11:DY74" si="188">IF(ISNUMBER($AV11),DT11*DU11-DS11*DS11,"")</f>
        <v>0</v>
      </c>
      <c r="DZ11" s="5">
        <f t="shared" ref="DZ11:DZ74" si="189">IF(ISNUMBER($AV11),DT11*DV11-DS11*DR11,"")</f>
        <v>0</v>
      </c>
      <c r="EA11" s="10">
        <f t="shared" ref="EA11:EA74" si="190">IF(ISNUMBER($AV11),DT11*DX11-DR11*DR11,"")</f>
        <v>329.66765848625073</v>
      </c>
      <c r="EB11" s="6">
        <f t="shared" ref="EB11:EB74" si="191">IF(ISNUMBER($AV11),DZ11*DZ11-DY11*EA11,"")</f>
        <v>0</v>
      </c>
      <c r="EC11" s="173" t="e">
        <f t="shared" ref="EC11:EC74" si="192">IF(ISNUMBER($AV11),(-DZ11+SQRT(DZ11^2-DY11*EA11))/DY11,"")</f>
        <v>#DIV/0!</v>
      </c>
      <c r="ED11" s="5" t="e">
        <f t="shared" ref="ED11:ED74" si="193">IF(ISNUMBER($AV11),(-DZ11-SQRT(DZ11^2-DY11*EA11))/DY11,"")</f>
        <v>#DIV/0!</v>
      </c>
      <c r="EE11" s="4" t="e">
        <f t="shared" ref="EE11:EE74" si="194">IF(ISNUMBER($AV11),CV11+DO11*$EC11,"")</f>
        <v>#DIV/0!</v>
      </c>
      <c r="EF11" s="5" t="e">
        <f t="shared" ref="EF11:EF74" si="195">IF(ISNUMBER($AV11),CW11+DP11*$EC11,"")</f>
        <v>#DIV/0!</v>
      </c>
      <c r="EG11" s="10" t="e">
        <f t="shared" ref="EG11:EG74" si="196">IF(ISNUMBER($AV11),CX11+DQ11*$EC11,"")</f>
        <v>#DIV/0!</v>
      </c>
      <c r="EH11" s="9" t="e">
        <f t="shared" ref="EH11:EH74" si="197">IF(ISNUMBER($AV11),CV11+DO11*$ED11,"")</f>
        <v>#DIV/0!</v>
      </c>
      <c r="EI11" s="5" t="e">
        <f t="shared" ref="EI11:EI74" si="198">IF(ISNUMBER($AV11),CW11+DP11*$ED11,"")</f>
        <v>#DIV/0!</v>
      </c>
      <c r="EJ11" s="6" t="e">
        <f t="shared" ref="EJ11:EJ74" si="199">IF(ISNUMBER($AV11),CX11+DQ11*$ED11,"")</f>
        <v>#DIV/0!</v>
      </c>
      <c r="EK11" s="236" t="e">
        <f t="shared" ref="EK11:EK74" si="200">IF(ISNUMBER($AV11),IF(OR($EC11&lt;0,$EC11&gt;1),FALSE,TRUE),"")</f>
        <v>#DIV/0!</v>
      </c>
      <c r="EL11" s="238" t="e">
        <f t="shared" ref="EL11:EL74" si="201">IF(ISNUMBER($AV11),IF(OR($ED11&lt;0,$ED11&gt;1),FALSE,TRUE),"")</f>
        <v>#DIV/0!</v>
      </c>
      <c r="EM11" s="4" t="e">
        <f t="shared" ref="EM11:EM74" si="202">IF(ISNUMBER($AV11),IF($EK11=TRUE,EE11,IF($EL11=TRUE,EH11,"")),"")</f>
        <v>#DIV/0!</v>
      </c>
      <c r="EN11" s="5" t="e">
        <f t="shared" ref="EN11:EN74" si="203">IF(ISNUMBER($AV11),IF($EK11=TRUE,EF11,IF($EL11=TRUE,EI11,"")),"")</f>
        <v>#DIV/0!</v>
      </c>
      <c r="EO11" s="10" t="e">
        <f t="shared" ref="EO11:EO74" si="204">IF(ISNUMBER($AV11),IF($EK11=TRUE,EG11,IF($EL11=TRUE,EJ11,"")),"")</f>
        <v>#DIV/0!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#DIV/0!</v>
      </c>
      <c r="EQ11" s="5" t="e">
        <f t="shared" ref="EQ11:EQ74" si="206">IF(ISNUMBER($AV11),SQRT(EM11^2+EN11^2),"")</f>
        <v>#DIV/0!</v>
      </c>
      <c r="ER11" s="7" t="e">
        <f t="shared" ref="ER11:ER74" si="207">IF(ISNUMBER($AV11),EO11,"")</f>
        <v>#DIV/0!</v>
      </c>
      <c r="ES11" s="21">
        <f t="shared" si="132"/>
        <v>0.96592583607220739</v>
      </c>
      <c r="ET11" s="5">
        <f t="shared" si="44"/>
        <v>-4.163336342344337E-17</v>
      </c>
      <c r="EU11" s="10">
        <f t="shared" si="45"/>
        <v>-0.25881900859134593</v>
      </c>
      <c r="EV11" s="174" t="e">
        <f t="shared" si="46"/>
        <v>#DIV/0!</v>
      </c>
      <c r="EW11" s="9" t="e">
        <f t="shared" si="133"/>
        <v>#DIV/0!</v>
      </c>
      <c r="EX11" s="5" t="e">
        <f t="shared" si="47"/>
        <v>#DIV/0!</v>
      </c>
      <c r="EY11" s="6">
        <f t="shared" ref="EY11:EY74" si="208">IF(ISNUMBER($AV11),EU11,"")</f>
        <v>-0.25881900859134593</v>
      </c>
      <c r="EZ11" s="51" t="e">
        <f t="shared" ref="EZ11:EZ74" si="209">IF(ISNUMBER($AV11),DEGREES(ATAN($AS$5/($EQ11*2*PI()))),"")</f>
        <v>#DIV/0!</v>
      </c>
      <c r="FA11" s="266" t="e">
        <f t="shared" si="134"/>
        <v>#DIV/0!</v>
      </c>
      <c r="FB11" s="267" t="e">
        <f t="shared" si="135"/>
        <v>#DIV/0!</v>
      </c>
      <c r="FC11" s="269" t="e">
        <f t="shared" si="48"/>
        <v>#DIV/0!</v>
      </c>
      <c r="FD11" s="4" t="e">
        <f t="shared" si="136"/>
        <v>#DIV/0!</v>
      </c>
      <c r="FE11" s="5" t="e">
        <f t="shared" si="49"/>
        <v>#DIV/0!</v>
      </c>
      <c r="FF11" s="7" t="e">
        <f t="shared" ref="FF11:FF74" si="210">IF(ISNUMBER($AV11),FC11,"")</f>
        <v>#DIV/0!</v>
      </c>
      <c r="FG11" s="173" t="e">
        <f t="shared" ref="FG11:FG40" si="211">IF(ISNUMBER($AV11),EW11-FD11,"")</f>
        <v>#DIV/0!</v>
      </c>
      <c r="FH11" s="5" t="e">
        <f t="shared" si="50"/>
        <v>#DIV/0!</v>
      </c>
      <c r="FI11" s="10" t="e">
        <f t="shared" si="51"/>
        <v>#DIV/0!</v>
      </c>
      <c r="FJ11" s="279" t="e">
        <f t="shared" ref="FJ11:FJ74" si="212">IF(ISNUMBER($AV11),DEGREES(ACOS((2-SQRT((FG11)^2+(FH11)^2+(FI11)^2)^2)/2)),"")</f>
        <v>#DIV/0!</v>
      </c>
      <c r="FK11" s="4">
        <f t="shared" si="52"/>
        <v>0.96592583607220739</v>
      </c>
      <c r="FL11" s="5" t="e">
        <f t="shared" ref="FL11:FL73" si="213">IF(ISNUMBER($AV11),SQRT(FA11^2+FB11^2),"")</f>
        <v>#DIV/0!</v>
      </c>
      <c r="FM11" s="8" t="e">
        <f t="shared" ref="FM11:FM73" si="214">IF(ISNUMBER($AV11),SQRT(FG11^2+FH11^2),"")</f>
        <v>#DIV/0!</v>
      </c>
      <c r="FN11" s="9" t="e">
        <f t="shared" ref="FN11:FN73" si="215">IF(ISNUMBER($AV11),DEGREES(ACOS((FK11^2+FL11^2-FM11^2)/(2*FK11*FL11))),"")</f>
        <v>#DIV/0!</v>
      </c>
      <c r="FO11" s="10" t="e">
        <f t="shared" si="53"/>
        <v>#DIV/0!</v>
      </c>
      <c r="FP11" s="277" t="e">
        <f t="shared" si="54"/>
        <v>#DIV/0!</v>
      </c>
      <c r="FQ11" s="173" t="e">
        <f>IF(ISNUMBER($AV11),SIN(RADIANS(FN11)),"")</f>
        <v>#DIV/0!</v>
      </c>
      <c r="FR11" s="10" t="e">
        <f t="shared" ref="FR11:FR74" si="216">IF(ISNUMBER($AV11),COS(RADIANS(FN11)),"")</f>
        <v>#DIV/0!</v>
      </c>
      <c r="FS11" s="9" t="e">
        <f t="shared" ref="FS11:FS74" si="217">IF(ISNUMBER($AV11),FQ11/(FQ11+FR11),"")</f>
        <v>#DIV/0!</v>
      </c>
      <c r="FT11" s="6" t="e">
        <f t="shared" ref="FT11:FT74" si="218">IF(ISNUMBER($AV11),FR11/(FQ11+FR11),"")</f>
        <v>#DIV/0!</v>
      </c>
      <c r="FU11" s="4" t="e">
        <f t="shared" ref="FU11:FU74" si="219">IF(ISNUMBER($AV11),SQRT(EW11^2+EY11^2),"")</f>
        <v>#DIV/0!</v>
      </c>
      <c r="FV11" s="5" t="e">
        <f t="shared" ref="FV11:FV74" si="220">IF(ISNUMBER($AV11),SQRT(FD11^2+FF11^2),"")</f>
        <v>#DIV/0!</v>
      </c>
      <c r="FW11" s="8" t="e">
        <f>IF(ISNUMBER($AV11),SQRT(FG11^2+FI11^2),"")</f>
        <v>#DIV/0!</v>
      </c>
      <c r="FX11" s="9" t="e">
        <f>IF(ISNUMBER($AV11),DEGREES(ACOS((FU11^2+FV11^2-FW11^2)/(2*FU11*FV11))),"")</f>
        <v>#DIV/0!</v>
      </c>
      <c r="FY11" s="10" t="e">
        <f t="shared" si="55"/>
        <v>#DIV/0!</v>
      </c>
      <c r="FZ11" s="277" t="e">
        <f>IF(ISNUMBER($AV11),FX11*FY11,"")</f>
        <v>#DIV/0!</v>
      </c>
      <c r="GA11" s="177" t="e">
        <f t="shared" ref="GA11:GA74" si="221">IF(ISNUMBER($AV11),DEGREES(FZ11*SIN(RADIANS(FU11))),"")</f>
        <v>#DIV/0!</v>
      </c>
      <c r="GB11" s="4" t="e">
        <f t="shared" ref="GB11:GB74" si="222">IF(ISNUMBER($AV11),COS(RADIANS(FP11+90))*COS(RADIANS(FZ11)),"")</f>
        <v>#DIV/0!</v>
      </c>
      <c r="GC11" s="5" t="e">
        <f t="shared" ref="GC11:GC74" si="223">IF(ISNUMBER($AV11),SIN(RADIANS(FP11+90))*COS(RADIANS(FZ11)),"")</f>
        <v>#DIV/0!</v>
      </c>
      <c r="GD11" s="10" t="e">
        <f t="shared" ref="GD11:GD74" si="224">IF(ISNUMBER($AV11),-SIN(RADIANS(FZ11)),"")</f>
        <v>#DIV/0!</v>
      </c>
      <c r="GE11" s="311" t="e">
        <f t="shared" ref="GE11:GE74" si="225">IF(ISNUMBER($AV11),SUM(ABS(GB11),ABS(GC11),ABS(GD11)),"")</f>
        <v>#DIV/0!</v>
      </c>
      <c r="GF11" s="341" t="e">
        <f>IF(ISNUMBER($AV11),1/GE11,"")</f>
        <v>#DIV/0!</v>
      </c>
      <c r="GG11" s="285" t="e">
        <f t="shared" si="56"/>
        <v>#DIV/0!</v>
      </c>
      <c r="GH11" s="286" t="e">
        <f t="shared" si="57"/>
        <v>#DIV/0!</v>
      </c>
      <c r="GI11" s="281" t="e">
        <f t="shared" si="58"/>
        <v>#DIV/0!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0.11097442540977874</v>
      </c>
      <c r="GO11" s="4" t="e">
        <f t="shared" ref="GO11:GO74" si="229">IF(ISNUMBER($AV11),FP11,"")</f>
        <v>#DIV/0!</v>
      </c>
      <c r="GP11" s="8" t="e">
        <f>IF(ISNUMBER($AV11),FZ11,"")</f>
        <v>#DIV/0!</v>
      </c>
      <c r="GQ11" s="177" t="e">
        <f t="shared" ref="GQ11:GQ74" si="230">IF(ISNUMBER($AV11),FJ11,"")</f>
        <v>#DIV/0!</v>
      </c>
      <c r="GR11" s="371" t="e">
        <f>IF(ISNUMBER($AV11),GS11+GU11+GY11,"")</f>
        <v>#DIV/0!</v>
      </c>
      <c r="GS11" s="342" t="e">
        <f>IF(ISNUMBER($AV11),GU11/GH11*GG11,"")</f>
        <v>#DIV/0!</v>
      </c>
      <c r="GT11" s="343" t="e">
        <f t="shared" si="62"/>
        <v>#DIV/0!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#DIV/0!</v>
      </c>
      <c r="GZ11" s="345" t="e">
        <f t="shared" si="67"/>
        <v>#DIV/0!</v>
      </c>
      <c r="HA11" s="342" t="e">
        <f t="shared" si="68"/>
        <v>#DIV/0!</v>
      </c>
      <c r="HB11" s="5" t="e">
        <f t="shared" ref="HB11:HB74" si="231">IF(ISNUMBER($AV11),$EV11,"")</f>
        <v>#DIV/0!</v>
      </c>
      <c r="HC11" s="343" t="e">
        <f t="shared" ref="HC11:HC74" si="232">IF(ISNUMBER($AV11),HA11*COS(RADIANS(HB11)),"")</f>
        <v>#DIV/0!</v>
      </c>
      <c r="HD11" s="345" t="e">
        <f t="shared" ref="HD11:HD74" si="233">IF(ISNUMBER($AV11),HA11*SIN(RADIANS(HB11)),"")</f>
        <v>#DIV/0!</v>
      </c>
      <c r="HE11" s="344" t="e">
        <f t="shared" si="69"/>
        <v>#DIV/0!</v>
      </c>
      <c r="HF11" s="5" t="e">
        <f t="shared" si="70"/>
        <v>#DIV/0!</v>
      </c>
      <c r="HG11" s="343" t="e">
        <f t="shared" ref="HG11:HG74" si="234">IF(ISNUMBER($AV11),HE11*COS(RADIANS(HF11)),"")</f>
        <v>#DIV/0!</v>
      </c>
      <c r="HH11" s="349" t="e">
        <f t="shared" ref="HH11:HH74" si="235">IF(ISNUMBER($AV11),HE11*SIN(RADIANS(HF11)),"")</f>
        <v>#DIV/0!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1.1040000000000001</v>
      </c>
      <c r="HM11" s="909">
        <f>IF(ISNUMBER($HL11),INDEX(GO$9:GO$150,MATCH($HL11,$AV$9:$AV$150,0)),"")</f>
        <v>-5.4681841602230481</v>
      </c>
      <c r="HN11" s="910">
        <f t="shared" si="73"/>
        <v>16.075472317824548</v>
      </c>
      <c r="HO11" s="911"/>
      <c r="HP11" s="912"/>
      <c r="HQ11" s="910">
        <f t="shared" si="74"/>
        <v>14.567279887376754</v>
      </c>
      <c r="HR11" s="913">
        <f t="shared" si="75"/>
        <v>13.605074475159748</v>
      </c>
      <c r="HS11" s="865">
        <f>IFERROR(SMALL($GJ$9:$GJ$150,($HK10+1)),"")</f>
        <v>0.93310000000000004</v>
      </c>
      <c r="HT11" s="875">
        <f t="shared" si="76"/>
        <v>5.7200000000000001E-2</v>
      </c>
      <c r="HU11" s="876">
        <f t="shared" si="77"/>
        <v>0.3356592079101951</v>
      </c>
      <c r="HV11" s="872">
        <f t="shared" si="78"/>
        <v>5.8350045530279677E-2</v>
      </c>
      <c r="HW11" s="866">
        <f t="shared" si="79"/>
        <v>29500</v>
      </c>
      <c r="HX11" s="867">
        <f t="shared" si="80"/>
        <v>131.20941166666668</v>
      </c>
      <c r="HY11" s="866">
        <f t="shared" si="81"/>
        <v>78.991655824822601</v>
      </c>
      <c r="HZ11" s="868">
        <f t="shared" si="82"/>
        <v>825.16221944589643</v>
      </c>
      <c r="IA11" s="869">
        <f t="shared" si="83"/>
        <v>200.61807007476051</v>
      </c>
      <c r="IB11" s="870">
        <f t="shared" si="84"/>
        <v>1104.7719453454795</v>
      </c>
      <c r="IC11" s="841">
        <f t="shared" si="85"/>
        <v>161.53250463685967</v>
      </c>
      <c r="ID11" s="351">
        <f t="shared" si="86"/>
        <v>1687.4</v>
      </c>
      <c r="IE11" s="843">
        <f t="shared" si="87"/>
        <v>410.25015865543628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3.187610234740431E-2</v>
      </c>
      <c r="C12" s="572">
        <f t="shared" si="3"/>
        <v>2.7251706882348836</v>
      </c>
      <c r="D12" s="576">
        <f t="shared" si="4"/>
        <v>-0.16227377815203078</v>
      </c>
      <c r="E12" s="580">
        <f t="shared" si="5"/>
        <v>-0.94627457499714696</v>
      </c>
      <c r="F12" s="572">
        <f t="shared" si="6"/>
        <v>0.14033995979573569</v>
      </c>
      <c r="G12" s="579">
        <f t="shared" si="7"/>
        <v>0.29132305847375045</v>
      </c>
      <c r="H12" s="580">
        <f t="shared" si="8"/>
        <v>0.3125</v>
      </c>
      <c r="I12" s="572">
        <f t="shared" si="9"/>
        <v>0.52</v>
      </c>
      <c r="J12" s="483">
        <f t="shared" si="10"/>
        <v>1.1120000000000001</v>
      </c>
      <c r="K12" s="806">
        <f t="shared" si="11"/>
        <v>1613</v>
      </c>
      <c r="L12" s="716" t="s">
        <v>357</v>
      </c>
      <c r="M12" s="164">
        <f t="shared" si="12"/>
        <v>1.1120000000000001</v>
      </c>
      <c r="N12" s="575">
        <f t="shared" si="13"/>
        <v>3.187610234740431E-2</v>
      </c>
      <c r="O12" s="572">
        <f t="shared" si="14"/>
        <v>2.7251706882348836</v>
      </c>
      <c r="P12" s="576">
        <f t="shared" si="15"/>
        <v>-0.16227377815203078</v>
      </c>
      <c r="Q12" s="528">
        <f>IF(M12="","",IF(DEGREES(ATAN2(N12,O12))&lt;0,DEGREES(ATAN2(N12,O12))+360,IF(DEGREES(ATAN2(N12,O12))&gt;360,DEGREES(ATAN2(N12,O12))-360,DEGREES(ATAN2(N12,O12)))))</f>
        <v>89.32984643738277</v>
      </c>
      <c r="R12" s="572">
        <f t="shared" si="101"/>
        <v>2.7253571079613494</v>
      </c>
      <c r="S12" s="577">
        <f t="shared" si="102"/>
        <v>-0.16227377815203078</v>
      </c>
      <c r="T12" s="578">
        <f>IF(M12="","",X12*COS(RADIANS(W12)))</f>
        <v>2.7253571079613494</v>
      </c>
      <c r="U12" s="572">
        <f t="shared" si="104"/>
        <v>0</v>
      </c>
      <c r="V12" s="579">
        <f t="shared" si="141"/>
        <v>-0.16227377815203078</v>
      </c>
      <c r="W12" s="528">
        <f>IF(M12="","",IF(Q12-$Q$8&lt;0,360+Q12-$Q$8,Q12-$Q$8))</f>
        <v>0</v>
      </c>
      <c r="X12" s="572">
        <f t="shared" si="105"/>
        <v>2.7253571079613494</v>
      </c>
      <c r="Y12" s="573">
        <f t="shared" si="17"/>
        <v>-0.16227377815203078</v>
      </c>
      <c r="Z12" s="575">
        <f t="shared" si="18"/>
        <v>0.94627457499714696</v>
      </c>
      <c r="AA12" s="572">
        <f t="shared" si="19"/>
        <v>-0.14033995979573569</v>
      </c>
      <c r="AB12" s="572">
        <f t="shared" si="20"/>
        <v>-0.29132305847375045</v>
      </c>
      <c r="AC12" s="579">
        <f t="shared" si="106"/>
        <v>1</v>
      </c>
      <c r="AD12" s="580">
        <f t="shared" si="142"/>
        <v>0.94627457499714696</v>
      </c>
      <c r="AE12" s="572">
        <f t="shared" si="107"/>
        <v>-0.14033995979573569</v>
      </c>
      <c r="AF12" s="576">
        <f t="shared" si="108"/>
        <v>-0.29132305847375045</v>
      </c>
      <c r="AG12" s="545">
        <f t="shared" si="109"/>
        <v>-25.721656105468355</v>
      </c>
      <c r="AH12" s="546">
        <f t="shared" si="110"/>
        <v>18.866502101317721</v>
      </c>
      <c r="AI12" s="528">
        <f t="shared" si="111"/>
        <v>-73.062817786715058</v>
      </c>
      <c r="AJ12" s="529">
        <f t="shared" si="112"/>
        <v>81.564076744062433</v>
      </c>
      <c r="AK12" s="578">
        <f t="shared" ref="AK12:AK105" si="238">IF(M12="","",(COS(RADIANS((90-$Q$8)-W12))*AD12)+(-SIN(RADIANS((90-$Q$8)-W12))*AE12))</f>
        <v>0.947851280912821</v>
      </c>
      <c r="AL12" s="572">
        <f>IF(M12="","",(SIN(RADIANS((90-$Q$8)-W12))*AD12)+(COS(RADIANS((90-$Q$8)-W12))*AE12))</f>
        <v>-0.1292626197840058</v>
      </c>
      <c r="AM12" s="577">
        <f t="shared" si="114"/>
        <v>-0.29132305847375045</v>
      </c>
      <c r="AN12" s="524">
        <f>IF(M12="","",DEGREES(ATAN2(-AM12,AL12)))</f>
        <v>-23.927284991087728</v>
      </c>
      <c r="AO12" s="525">
        <f t="shared" si="116"/>
        <v>18.585107858000455</v>
      </c>
      <c r="AP12" s="528">
        <f t="shared" si="117"/>
        <v>-7.7657696933203368</v>
      </c>
      <c r="AQ12" s="529">
        <f t="shared" si="21"/>
        <v>0.8364278853076742</v>
      </c>
      <c r="AS12" s="932">
        <f t="shared" si="143"/>
        <v>360</v>
      </c>
      <c r="AT12" s="928">
        <f>IF(M12="","",Y12+(((AS12-$AS$9)*$AS$6)*-1))</f>
        <v>-0.16395320745586675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>
        <f t="shared" si="137"/>
        <v>4</v>
      </c>
      <c r="HL12" s="348">
        <f t="shared" si="72"/>
        <v>3.1059999999999999</v>
      </c>
      <c r="HM12" s="909">
        <f t="shared" si="138"/>
        <v>-1.6346082906028689</v>
      </c>
      <c r="HN12" s="910">
        <f t="shared" si="73"/>
        <v>15.025596167188894</v>
      </c>
      <c r="HO12" s="911"/>
      <c r="HP12" s="912"/>
      <c r="HQ12" s="910">
        <f t="shared" si="74"/>
        <v>13.462799942296957</v>
      </c>
      <c r="HR12" s="913">
        <f t="shared" si="75"/>
        <v>13.371590882472349</v>
      </c>
      <c r="HS12" s="865">
        <f>IFERROR(SMALL($GJ$9:$GJ$150,($HK11+1)),"")</f>
        <v>1.3966000000000001</v>
      </c>
      <c r="HT12" s="875">
        <f t="shared" si="76"/>
        <v>6.0299999999999999E-2</v>
      </c>
      <c r="HU12" s="876">
        <f t="shared" si="77"/>
        <v>0.52935302264942963</v>
      </c>
      <c r="HV12" s="872">
        <f t="shared" si="78"/>
        <v>9.2021229405538446E-2</v>
      </c>
      <c r="HW12" s="866">
        <f t="shared" si="79"/>
        <v>29500</v>
      </c>
      <c r="HX12" s="867">
        <f t="shared" si="80"/>
        <v>207.0284925</v>
      </c>
      <c r="HY12" s="866">
        <f t="shared" si="81"/>
        <v>37.135996448519109</v>
      </c>
      <c r="HZ12" s="868">
        <f t="shared" si="82"/>
        <v>1301.3261806798475</v>
      </c>
      <c r="IA12" s="869">
        <f t="shared" si="83"/>
        <v>309.46377687904572</v>
      </c>
      <c r="IB12" s="870">
        <f t="shared" si="84"/>
        <v>1647.9259540074124</v>
      </c>
      <c r="IC12" s="841">
        <f t="shared" si="85"/>
        <v>50.763112479560682</v>
      </c>
      <c r="ID12" s="351">
        <f t="shared" si="86"/>
        <v>1778.85</v>
      </c>
      <c r="IE12" s="843">
        <f t="shared" si="87"/>
        <v>423.0220275855051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7.7438395886598593E-2</v>
      </c>
      <c r="C13" s="572">
        <f t="shared" si="3"/>
        <v>3.3382685952161153</v>
      </c>
      <c r="D13" s="576">
        <f t="shared" si="4"/>
        <v>-0.62666207562351772</v>
      </c>
      <c r="E13" s="580">
        <f t="shared" si="5"/>
        <v>-0.91195877795598812</v>
      </c>
      <c r="F13" s="572">
        <f t="shared" si="6"/>
        <v>0.32088185681545767</v>
      </c>
      <c r="G13" s="579">
        <f t="shared" si="7"/>
        <v>0.25566779475656493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1.117</v>
      </c>
      <c r="N13" s="575">
        <f t="shared" si="13"/>
        <v>7.7438395886598593E-2</v>
      </c>
      <c r="O13" s="572">
        <f t="shared" si="14"/>
        <v>3.3382685952161153</v>
      </c>
      <c r="P13" s="576">
        <f t="shared" si="15"/>
        <v>-0.62666207562351772</v>
      </c>
      <c r="Q13" s="528">
        <f t="shared" si="140"/>
        <v>88.671138183453195</v>
      </c>
      <c r="R13" s="572">
        <f t="shared" si="101"/>
        <v>3.3391666503730635</v>
      </c>
      <c r="S13" s="577">
        <f t="shared" si="102"/>
        <v>-0.62666207562351772</v>
      </c>
      <c r="T13" s="578">
        <f>IF(M13="","",X13*COS(RADIANS(W13)))</f>
        <v>3.3389459798821899</v>
      </c>
      <c r="U13" s="572">
        <f t="shared" si="104"/>
        <v>-3.8388310619636885E-2</v>
      </c>
      <c r="V13" s="579">
        <f t="shared" si="141"/>
        <v>-0.62666207562351772</v>
      </c>
      <c r="W13" s="528">
        <f t="shared" si="16"/>
        <v>359.3412917460704</v>
      </c>
      <c r="X13" s="572">
        <f t="shared" si="105"/>
        <v>3.3391666503730635</v>
      </c>
      <c r="Y13" s="573">
        <f t="shared" si="17"/>
        <v>-0.62666207562351772</v>
      </c>
      <c r="Z13" s="575">
        <f t="shared" si="18"/>
        <v>0.91195877795598812</v>
      </c>
      <c r="AA13" s="572">
        <f t="shared" si="19"/>
        <v>-0.32088185681545767</v>
      </c>
      <c r="AB13" s="572">
        <f t="shared" si="20"/>
        <v>-0.25566779475656493</v>
      </c>
      <c r="AC13" s="579">
        <f t="shared" si="106"/>
        <v>1</v>
      </c>
      <c r="AD13" s="580">
        <f>IF(M13="","",Z13*(1/SQRT(Z13^2+AA13^2+AB13^2)))</f>
        <v>0.91195877795598812</v>
      </c>
      <c r="AE13" s="572">
        <f t="shared" si="107"/>
        <v>-0.32088185681545767</v>
      </c>
      <c r="AF13" s="576">
        <f t="shared" si="108"/>
        <v>-0.25566779475656493</v>
      </c>
      <c r="AG13" s="545">
        <f>IF(M13="","",DEGREES(ATAN2(-AF13,AE13)))</f>
        <v>-51.453350099529537</v>
      </c>
      <c r="AH13" s="546">
        <f t="shared" si="110"/>
        <v>24.222540706732136</v>
      </c>
      <c r="AI13" s="528">
        <f t="shared" si="111"/>
        <v>-75.18684127941431</v>
      </c>
      <c r="AJ13" s="529">
        <f t="shared" si="112"/>
        <v>70.615066593171264</v>
      </c>
      <c r="AK13" s="578">
        <f t="shared" si="238"/>
        <v>0.91915506058978524</v>
      </c>
      <c r="AL13" s="572">
        <f t="shared" si="113"/>
        <v>-0.2996463804495279</v>
      </c>
      <c r="AM13" s="577">
        <f t="shared" si="114"/>
        <v>-0.25566779475656493</v>
      </c>
      <c r="AN13" s="524">
        <f t="shared" si="115"/>
        <v>-49.528137719076049</v>
      </c>
      <c r="AO13" s="525">
        <f t="shared" si="116"/>
        <v>23.197131518106772</v>
      </c>
      <c r="AP13" s="528">
        <f t="shared" si="117"/>
        <v>-18.056071590281945</v>
      </c>
      <c r="AQ13" s="529">
        <f t="shared" si="21"/>
        <v>0.68269091775422552</v>
      </c>
      <c r="AS13" s="932">
        <f t="shared" si="143"/>
        <v>359.3412917460704</v>
      </c>
      <c r="AT13" s="928">
        <f t="shared" si="22"/>
        <v>-0.62788406863990254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0.62579355018473959</v>
      </c>
      <c r="BA13" s="296">
        <f t="shared" si="24"/>
        <v>0.10878617742434896</v>
      </c>
      <c r="BB13" s="291">
        <f t="shared" si="145"/>
        <v>0.51738406863990249</v>
      </c>
      <c r="BC13" s="9"/>
      <c r="BD13" s="5">
        <f t="shared" si="146"/>
        <v>3.1920000000000002</v>
      </c>
      <c r="BE13" s="6">
        <f t="shared" si="25"/>
        <v>-0.10927800698361523</v>
      </c>
      <c r="BF13" s="4">
        <f t="shared" si="26"/>
        <v>7.7438395886598593E-2</v>
      </c>
      <c r="BG13" s="5">
        <f t="shared" si="27"/>
        <v>3.3382685952161153</v>
      </c>
      <c r="BH13" s="10">
        <f t="shared" si="28"/>
        <v>-0.62666207562351772</v>
      </c>
      <c r="BI13" s="9">
        <f t="shared" si="147"/>
        <v>7.7438395886598593E-2</v>
      </c>
      <c r="BJ13" s="5">
        <f t="shared" si="29"/>
        <v>3.9614202205935602</v>
      </c>
      <c r="BK13" s="8">
        <f t="shared" si="30"/>
        <v>-1.4087631252260921</v>
      </c>
      <c r="BL13" s="173">
        <f t="shared" si="31"/>
        <v>0.48772023475961124</v>
      </c>
      <c r="BM13" s="5">
        <f t="shared" si="32"/>
        <v>4.0515125126497749</v>
      </c>
      <c r="BN13" s="6">
        <f t="shared" si="33"/>
        <v>-5.8373480863015303E-2</v>
      </c>
      <c r="BO13" s="4">
        <f t="shared" si="148"/>
        <v>0.91195877795598834</v>
      </c>
      <c r="BP13" s="5">
        <f t="shared" si="239"/>
        <v>-0.32088185681545744</v>
      </c>
      <c r="BQ13" s="5">
        <f t="shared" si="149"/>
        <v>-0.25566779475656487</v>
      </c>
      <c r="BR13" s="6">
        <f t="shared" si="150"/>
        <v>0.84035188956982498</v>
      </c>
      <c r="BS13" s="4">
        <f t="shared" si="118"/>
        <v>0</v>
      </c>
      <c r="BT13" s="5">
        <f t="shared" si="118"/>
        <v>0</v>
      </c>
      <c r="BU13" s="10">
        <f t="shared" si="119"/>
        <v>-0.10927800698361523</v>
      </c>
      <c r="BV13" s="9">
        <f t="shared" si="120"/>
        <v>0</v>
      </c>
      <c r="BW13" s="5">
        <f t="shared" si="121"/>
        <v>1</v>
      </c>
      <c r="BX13" s="8">
        <f t="shared" si="122"/>
        <v>-0.10927800698361523</v>
      </c>
      <c r="BY13" s="173">
        <f t="shared" si="123"/>
        <v>1</v>
      </c>
      <c r="BZ13" s="5">
        <f t="shared" si="124"/>
        <v>0</v>
      </c>
      <c r="CA13" s="6">
        <f t="shared" si="125"/>
        <v>-0.10927800698361523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-0.10927800698361523</v>
      </c>
      <c r="CF13" s="4">
        <f t="shared" si="155"/>
        <v>0.32088185681545744</v>
      </c>
      <c r="CG13" s="5">
        <f t="shared" si="156"/>
        <v>0.91195877795598834</v>
      </c>
      <c r="CH13" s="5">
        <f t="shared" si="157"/>
        <v>0</v>
      </c>
      <c r="CI13" s="4">
        <f t="shared" si="126"/>
        <v>0</v>
      </c>
      <c r="CJ13" s="5">
        <f t="shared" si="127"/>
        <v>2.7059515463041017</v>
      </c>
      <c r="CK13" s="8">
        <f t="shared" si="128"/>
        <v>-0.10927800698361523</v>
      </c>
      <c r="CL13" s="173">
        <f t="shared" si="129"/>
        <v>0.32088185681545744</v>
      </c>
      <c r="CM13" s="5">
        <f t="shared" si="130"/>
        <v>3.6179103242600901</v>
      </c>
      <c r="CN13" s="6">
        <f t="shared" si="131"/>
        <v>-0.10927800698361523</v>
      </c>
      <c r="CO13" s="167">
        <f t="shared" si="35"/>
        <v>0.3125</v>
      </c>
      <c r="CP13" s="4">
        <f t="shared" si="240"/>
        <v>0.93463397872431542</v>
      </c>
      <c r="CQ13" s="5">
        <f t="shared" si="241"/>
        <v>-1.202991318934878</v>
      </c>
      <c r="CR13" s="5">
        <f t="shared" si="158"/>
        <v>0.57585157998466485</v>
      </c>
      <c r="CS13" s="8">
        <f t="shared" si="159"/>
        <v>-0.70565369999032534</v>
      </c>
      <c r="CT13" s="9" t="e">
        <f t="shared" si="160"/>
        <v>#NUM!</v>
      </c>
      <c r="CU13" s="6" t="e">
        <f t="shared" si="161"/>
        <v>#NUM!</v>
      </c>
      <c r="CV13" s="4" t="e">
        <f t="shared" si="242"/>
        <v>#NUM!</v>
      </c>
      <c r="CW13" s="5" t="e">
        <f t="shared" si="162"/>
        <v>#NUM!</v>
      </c>
      <c r="CX13" s="8" t="e">
        <f t="shared" si="163"/>
        <v>#NUM!</v>
      </c>
      <c r="CY13" s="9" t="e">
        <f t="shared" si="164"/>
        <v>#NUM!</v>
      </c>
      <c r="CZ13" s="5" t="e">
        <f t="shared" si="165"/>
        <v>#NUM!</v>
      </c>
      <c r="DA13" s="6" t="e">
        <f t="shared" si="166"/>
        <v>#NUM!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 t="e">
        <f t="shared" si="175"/>
        <v>#NUM!</v>
      </c>
      <c r="DM13" s="173" t="e">
        <f t="shared" si="176"/>
        <v>#NUM!</v>
      </c>
      <c r="DN13" s="178" t="e">
        <f t="shared" si="177"/>
        <v>#NUM!</v>
      </c>
      <c r="DO13" s="9" t="e">
        <f t="shared" si="178"/>
        <v>#NUM!</v>
      </c>
      <c r="DP13" s="173" t="e">
        <f t="shared" si="179"/>
        <v>#NUM!</v>
      </c>
      <c r="DQ13" s="11" t="e">
        <f t="shared" si="180"/>
        <v>#NUM!</v>
      </c>
      <c r="DR13" s="173" t="e">
        <f t="shared" si="181"/>
        <v>#NUM!</v>
      </c>
      <c r="DS13" s="5" t="e">
        <f t="shared" si="182"/>
        <v>#NUM!</v>
      </c>
      <c r="DT13" s="5">
        <f t="shared" si="183"/>
        <v>400</v>
      </c>
      <c r="DU13" s="5" t="e">
        <f t="shared" si="184"/>
        <v>#NUM!</v>
      </c>
      <c r="DV13" s="5" t="e">
        <f t="shared" si="185"/>
        <v>#NUM!</v>
      </c>
      <c r="DW13" s="5" t="e">
        <f t="shared" si="186"/>
        <v>#NUM!</v>
      </c>
      <c r="DX13" s="167" t="e">
        <f t="shared" si="187"/>
        <v>#NUM!</v>
      </c>
      <c r="DY13" s="9" t="e">
        <f t="shared" si="188"/>
        <v>#NUM!</v>
      </c>
      <c r="DZ13" s="5" t="e">
        <f t="shared" si="189"/>
        <v>#NUM!</v>
      </c>
      <c r="EA13" s="10" t="e">
        <f t="shared" si="190"/>
        <v>#NUM!</v>
      </c>
      <c r="EB13" s="6" t="e">
        <f t="shared" si="191"/>
        <v>#NUM!</v>
      </c>
      <c r="EC13" s="173" t="e">
        <f t="shared" si="192"/>
        <v>#NUM!</v>
      </c>
      <c r="ED13" s="5" t="e">
        <f t="shared" si="193"/>
        <v>#NUM!</v>
      </c>
      <c r="EE13" s="4" t="e">
        <f t="shared" si="194"/>
        <v>#NUM!</v>
      </c>
      <c r="EF13" s="5" t="e">
        <f t="shared" si="195"/>
        <v>#NUM!</v>
      </c>
      <c r="EG13" s="10" t="e">
        <f t="shared" si="196"/>
        <v>#NUM!</v>
      </c>
      <c r="EH13" s="9" t="e">
        <f t="shared" si="197"/>
        <v>#NUM!</v>
      </c>
      <c r="EI13" s="5" t="e">
        <f t="shared" si="198"/>
        <v>#NUM!</v>
      </c>
      <c r="EJ13" s="6" t="e">
        <f t="shared" si="199"/>
        <v>#NUM!</v>
      </c>
      <c r="EK13" s="236" t="e">
        <f t="shared" si="200"/>
        <v>#NUM!</v>
      </c>
      <c r="EL13" s="238" t="e">
        <f t="shared" si="201"/>
        <v>#NUM!</v>
      </c>
      <c r="EM13" s="4" t="e">
        <f t="shared" si="202"/>
        <v>#NUM!</v>
      </c>
      <c r="EN13" s="5" t="e">
        <f t="shared" si="203"/>
        <v>#NUM!</v>
      </c>
      <c r="EO13" s="10" t="e">
        <f t="shared" si="204"/>
        <v>#NUM!</v>
      </c>
      <c r="EP13" s="9" t="e">
        <f t="shared" si="205"/>
        <v>#NUM!</v>
      </c>
      <c r="EQ13" s="5" t="e">
        <f t="shared" si="206"/>
        <v>#NUM!</v>
      </c>
      <c r="ER13" s="7" t="e">
        <f t="shared" si="207"/>
        <v>#NUM!</v>
      </c>
      <c r="ES13" s="21">
        <f t="shared" si="132"/>
        <v>0.91195877795598812</v>
      </c>
      <c r="ET13" s="5">
        <f t="shared" si="44"/>
        <v>-0.32088185681545767</v>
      </c>
      <c r="EU13" s="10">
        <f t="shared" si="45"/>
        <v>-0.25566779475656493</v>
      </c>
      <c r="EV13" s="174" t="e">
        <f t="shared" si="46"/>
        <v>#NUM!</v>
      </c>
      <c r="EW13" s="9" t="e">
        <f t="shared" si="133"/>
        <v>#NUM!</v>
      </c>
      <c r="EX13" s="5" t="e">
        <f t="shared" si="47"/>
        <v>#NUM!</v>
      </c>
      <c r="EY13" s="6">
        <f t="shared" si="208"/>
        <v>-0.25566779475656493</v>
      </c>
      <c r="EZ13" s="51" t="e">
        <f t="shared" si="209"/>
        <v>#NUM!</v>
      </c>
      <c r="FA13" s="266" t="e">
        <f t="shared" si="134"/>
        <v>#NUM!</v>
      </c>
      <c r="FB13" s="267" t="e">
        <f t="shared" si="135"/>
        <v>#NUM!</v>
      </c>
      <c r="FC13" s="269" t="e">
        <f t="shared" si="48"/>
        <v>#NUM!</v>
      </c>
      <c r="FD13" s="4" t="e">
        <f t="shared" si="136"/>
        <v>#NUM!</v>
      </c>
      <c r="FE13" s="5" t="e">
        <f t="shared" si="49"/>
        <v>#NUM!</v>
      </c>
      <c r="FF13" s="7" t="e">
        <f t="shared" si="210"/>
        <v>#NUM!</v>
      </c>
      <c r="FG13" s="173" t="e">
        <f t="shared" si="211"/>
        <v>#NUM!</v>
      </c>
      <c r="FH13" s="5" t="e">
        <f t="shared" si="50"/>
        <v>#NUM!</v>
      </c>
      <c r="FI13" s="10" t="e">
        <f t="shared" si="51"/>
        <v>#NUM!</v>
      </c>
      <c r="FJ13" s="279" t="e">
        <f t="shared" si="212"/>
        <v>#NUM!</v>
      </c>
      <c r="FK13" s="4">
        <f t="shared" si="52"/>
        <v>0.96676469666838527</v>
      </c>
      <c r="FL13" s="5" t="e">
        <f t="shared" si="213"/>
        <v>#NUM!</v>
      </c>
      <c r="FM13" s="8" t="e">
        <f t="shared" si="214"/>
        <v>#NUM!</v>
      </c>
      <c r="FN13" s="9" t="e">
        <f t="shared" si="215"/>
        <v>#NUM!</v>
      </c>
      <c r="FO13" s="10" t="e">
        <f t="shared" si="53"/>
        <v>#NUM!</v>
      </c>
      <c r="FP13" s="277" t="e">
        <f t="shared" si="54"/>
        <v>#NUM!</v>
      </c>
      <c r="FQ13" s="173" t="e">
        <f t="shared" si="243"/>
        <v>#NUM!</v>
      </c>
      <c r="FR13" s="10" t="e">
        <f t="shared" si="216"/>
        <v>#NUM!</v>
      </c>
      <c r="FS13" s="9" t="e">
        <f t="shared" si="217"/>
        <v>#NUM!</v>
      </c>
      <c r="FT13" s="6" t="e">
        <f t="shared" si="218"/>
        <v>#NUM!</v>
      </c>
      <c r="FU13" s="4" t="e">
        <f t="shared" si="219"/>
        <v>#NUM!</v>
      </c>
      <c r="FV13" s="5" t="e">
        <f t="shared" si="220"/>
        <v>#NUM!</v>
      </c>
      <c r="FW13" s="8" t="e">
        <f t="shared" si="244"/>
        <v>#NUM!</v>
      </c>
      <c r="FX13" s="9" t="e">
        <f t="shared" si="245"/>
        <v>#NUM!</v>
      </c>
      <c r="FY13" s="10" t="e">
        <f t="shared" si="55"/>
        <v>#NUM!</v>
      </c>
      <c r="FZ13" s="277" t="e">
        <f t="shared" si="246"/>
        <v>#NUM!</v>
      </c>
      <c r="GA13" s="177" t="e">
        <f t="shared" si="221"/>
        <v>#NUM!</v>
      </c>
      <c r="GB13" s="4" t="e">
        <f t="shared" si="222"/>
        <v>#NUM!</v>
      </c>
      <c r="GC13" s="5" t="e">
        <f t="shared" si="223"/>
        <v>#NUM!</v>
      </c>
      <c r="GD13" s="10" t="e">
        <f t="shared" si="224"/>
        <v>#NUM!</v>
      </c>
      <c r="GE13" s="311" t="e">
        <f t="shared" si="225"/>
        <v>#NUM!</v>
      </c>
      <c r="GF13" s="341" t="e">
        <f t="shared" si="247"/>
        <v>#NUM!</v>
      </c>
      <c r="GG13" s="285" t="e">
        <f t="shared" si="56"/>
        <v>#NUM!</v>
      </c>
      <c r="GH13" s="286" t="e">
        <f t="shared" si="57"/>
        <v>#NUM!</v>
      </c>
      <c r="GI13" s="281" t="e">
        <f t="shared" si="58"/>
        <v>#NUM!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8"/>
        <v>0.62579355018473959</v>
      </c>
      <c r="GN13" s="280">
        <f t="shared" si="228"/>
        <v>0.10878617742434896</v>
      </c>
      <c r="GO13" s="4" t="e">
        <f t="shared" si="229"/>
        <v>#NUM!</v>
      </c>
      <c r="GP13" s="8" t="e">
        <f t="shared" si="249"/>
        <v>#NUM!</v>
      </c>
      <c r="GQ13" s="177" t="e">
        <f t="shared" si="230"/>
        <v>#NUM!</v>
      </c>
      <c r="GR13" s="371" t="e">
        <f t="shared" si="250"/>
        <v>#NUM!</v>
      </c>
      <c r="GS13" s="342" t="e">
        <f t="shared" si="61"/>
        <v>#NUM!</v>
      </c>
      <c r="GT13" s="343" t="e">
        <f t="shared" si="62"/>
        <v>#NUM!</v>
      </c>
      <c r="GU13" s="344">
        <f t="shared" si="63"/>
        <v>1538.4091442041515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 t="e">
        <f t="shared" si="66"/>
        <v>#NUM!</v>
      </c>
      <c r="GZ13" s="345" t="e">
        <f t="shared" si="67"/>
        <v>#NUM!</v>
      </c>
      <c r="HA13" s="342" t="e">
        <f t="shared" si="68"/>
        <v>#NUM!</v>
      </c>
      <c r="HB13" s="5" t="e">
        <f t="shared" si="231"/>
        <v>#NUM!</v>
      </c>
      <c r="HC13" s="343" t="e">
        <f t="shared" si="232"/>
        <v>#NUM!</v>
      </c>
      <c r="HD13" s="345" t="e">
        <f t="shared" si="233"/>
        <v>#NUM!</v>
      </c>
      <c r="HE13" s="344" t="e">
        <f t="shared" si="69"/>
        <v>#NUM!</v>
      </c>
      <c r="HF13" s="5" t="e">
        <f t="shared" si="70"/>
        <v>#NUM!</v>
      </c>
      <c r="HG13" s="343" t="e">
        <f t="shared" si="234"/>
        <v>#NUM!</v>
      </c>
      <c r="HH13" s="349" t="e">
        <f t="shared" si="235"/>
        <v>#NUM!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1.107</v>
      </c>
      <c r="HM13" s="909" t="e">
        <f t="shared" si="138"/>
        <v>#DIV/0!</v>
      </c>
      <c r="HN13" s="910">
        <f t="shared" si="73"/>
        <v>15.010735304559713</v>
      </c>
      <c r="HO13" s="911"/>
      <c r="HP13" s="912"/>
      <c r="HQ13" s="910" t="e">
        <f t="shared" si="74"/>
        <v>#DIV/0!</v>
      </c>
      <c r="HR13" s="913" t="e">
        <f t="shared" si="75"/>
        <v>#DIV/0!</v>
      </c>
      <c r="HS13" s="865">
        <f t="shared" ref="HS13:HS41" si="251">IFERROR(SMALL($GJ$9:$GJ$150,($HK12+1)),"")</f>
        <v>1.6409</v>
      </c>
      <c r="HT13" s="875">
        <f t="shared" si="76"/>
        <v>6.1899999999999997E-2</v>
      </c>
      <c r="HU13" s="876">
        <f t="shared" si="77"/>
        <v>0.63838146813450858</v>
      </c>
      <c r="HV13" s="872">
        <f t="shared" si="78"/>
        <v>0.11097442540977874</v>
      </c>
      <c r="HW13" s="866">
        <f t="shared" si="79"/>
        <v>29500</v>
      </c>
      <c r="HX13" s="867">
        <f t="shared" si="80"/>
        <v>249.69712041666668</v>
      </c>
      <c r="HY13" s="866" t="e">
        <f t="shared" si="81"/>
        <v>#DIV/0!</v>
      </c>
      <c r="HZ13" s="868">
        <f>IF(ISNUMBER($HL13),INDEX(GU$9:GU$150,MATCH($HL13,$AV$9:$AV$150,0)),"")</f>
        <v>1569.3544424973336</v>
      </c>
      <c r="IA13" s="869" t="e">
        <f t="shared" si="83"/>
        <v>#DIV/0!</v>
      </c>
      <c r="IB13" s="870" t="e">
        <f t="shared" si="84"/>
        <v>#DIV/0!</v>
      </c>
      <c r="IC13" s="841" t="e">
        <f t="shared" si="85"/>
        <v>#DIV/0!</v>
      </c>
      <c r="ID13" s="351">
        <f t="shared" si="86"/>
        <v>1826.05</v>
      </c>
      <c r="IE13" s="843" t="e">
        <f t="shared" si="87"/>
        <v>#DIV/0!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0.12163720724263122</v>
      </c>
      <c r="C14" s="572">
        <f t="shared" si="3"/>
        <v>3.6499206760068637</v>
      </c>
      <c r="D14" s="576">
        <f t="shared" si="4"/>
        <v>-1.3303909807005831</v>
      </c>
      <c r="E14" s="580">
        <f t="shared" si="5"/>
        <v>-0.86859567891918898</v>
      </c>
      <c r="F14" s="572">
        <f t="shared" si="6"/>
        <v>0.480266545646513</v>
      </c>
      <c r="G14" s="579">
        <f t="shared" si="7"/>
        <v>0.12200652316855488</v>
      </c>
      <c r="H14" s="580">
        <f t="shared" si="8"/>
        <v>0.3125</v>
      </c>
      <c r="I14" s="572">
        <f t="shared" si="9"/>
        <v>0.52</v>
      </c>
      <c r="J14" s="483">
        <f t="shared" si="10"/>
        <v>1.1220000000000001</v>
      </c>
      <c r="K14" s="806">
        <f t="shared" si="11"/>
        <v>1613</v>
      </c>
      <c r="L14" s="719" t="s">
        <v>358</v>
      </c>
      <c r="M14" s="164">
        <f t="shared" si="12"/>
        <v>1.1220000000000001</v>
      </c>
      <c r="N14" s="575">
        <f t="shared" si="13"/>
        <v>0.12163720724263122</v>
      </c>
      <c r="O14" s="572">
        <f t="shared" si="14"/>
        <v>3.6499206760068637</v>
      </c>
      <c r="P14" s="576">
        <f t="shared" si="15"/>
        <v>-1.3303909807005831</v>
      </c>
      <c r="Q14" s="528">
        <f t="shared" si="140"/>
        <v>88.091268041388858</v>
      </c>
      <c r="R14" s="572">
        <f t="shared" si="101"/>
        <v>3.651946953520572</v>
      </c>
      <c r="S14" s="577">
        <f>IF(M14="","",P14)</f>
        <v>-1.3303909807005831</v>
      </c>
      <c r="T14" s="578">
        <f t="shared" si="103"/>
        <v>3.6510936976427937</v>
      </c>
      <c r="U14" s="572">
        <f t="shared" si="104"/>
        <v>-7.8938978719383518E-2</v>
      </c>
      <c r="V14" s="579">
        <f t="shared" si="141"/>
        <v>-1.3303909807005831</v>
      </c>
      <c r="W14" s="528">
        <f>IF(M14="","",IF(Q14-$Q$8&lt;0,360+Q14-$Q$8,Q14-$Q$8))</f>
        <v>358.76142160400605</v>
      </c>
      <c r="X14" s="572">
        <f t="shared" si="105"/>
        <v>3.651946953520572</v>
      </c>
      <c r="Y14" s="573">
        <f t="shared" si="17"/>
        <v>-1.3303909807005831</v>
      </c>
      <c r="Z14" s="575">
        <f t="shared" si="18"/>
        <v>0.86859567891918898</v>
      </c>
      <c r="AA14" s="572">
        <f t="shared" si="19"/>
        <v>-0.480266545646513</v>
      </c>
      <c r="AB14" s="572">
        <f t="shared" si="20"/>
        <v>-0.12200652316855488</v>
      </c>
      <c r="AC14" s="579">
        <f t="shared" si="106"/>
        <v>1</v>
      </c>
      <c r="AD14" s="580">
        <f>IF(M14="","",Z14*(1/SQRT(Z14^2+AA14^2+AB14^2)))</f>
        <v>0.86859567891918898</v>
      </c>
      <c r="AE14" s="572">
        <f t="shared" si="107"/>
        <v>-0.480266545646513</v>
      </c>
      <c r="AF14" s="576">
        <f t="shared" si="108"/>
        <v>-0.12200652316855488</v>
      </c>
      <c r="AG14" s="545">
        <f t="shared" si="109"/>
        <v>-75.746149416719092</v>
      </c>
      <c r="AH14" s="546">
        <f t="shared" si="110"/>
        <v>29.704143824632901</v>
      </c>
      <c r="AI14" s="528">
        <f t="shared" si="111"/>
        <v>-82.992081085416743</v>
      </c>
      <c r="AJ14" s="529">
        <f t="shared" si="112"/>
        <v>61.060784030711552</v>
      </c>
      <c r="AK14" s="578">
        <f>IF(M14="","",(COS(RADIANS((90-$Q$8)-W14))*AD14)+(-SIN(RADIANS((90-$Q$8)-W14))*AE14))</f>
        <v>0.88411021573281678</v>
      </c>
      <c r="AL14" s="572">
        <f t="shared" si="113"/>
        <v>-0.45106932365346386</v>
      </c>
      <c r="AM14" s="577">
        <f t="shared" si="114"/>
        <v>-0.12200652316855488</v>
      </c>
      <c r="AN14" s="524">
        <f t="shared" si="115"/>
        <v>-74.864641684638286</v>
      </c>
      <c r="AO14" s="525">
        <f t="shared" si="116"/>
        <v>27.857777741111491</v>
      </c>
      <c r="AP14" s="528">
        <f>IF(M14="","",DEGREES(ATAN2(AK14,AL14)))</f>
        <v>-27.03048401067727</v>
      </c>
      <c r="AQ14" s="529">
        <f t="shared" si="21"/>
        <v>0.62422495778816367</v>
      </c>
      <c r="AS14" s="932">
        <f t="shared" si="143"/>
        <v>358.76142160400605</v>
      </c>
      <c r="AT14" s="928">
        <f>IF(M14="","",Y14+(((AS14-$AS$9)*$AS$6)*-1))</f>
        <v>-1.3312102861183122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>
        <f t="shared" si="137"/>
        <v>6</v>
      </c>
      <c r="HL14" s="348">
        <f t="shared" si="72"/>
        <v>5.1079999999999997</v>
      </c>
      <c r="HM14" s="909">
        <f t="shared" si="138"/>
        <v>0.50269088224155201</v>
      </c>
      <c r="HN14" s="910">
        <f t="shared" si="73"/>
        <v>14.963049383604226</v>
      </c>
      <c r="HO14" s="911"/>
      <c r="HP14" s="912"/>
      <c r="HQ14" s="910">
        <f t="shared" si="74"/>
        <v>13.746881706211283</v>
      </c>
      <c r="HR14" s="913">
        <f t="shared" si="75"/>
        <v>13.738464119247169</v>
      </c>
      <c r="HS14" s="865">
        <f t="shared" si="251"/>
        <v>1.8936999999999999</v>
      </c>
      <c r="HT14" s="875">
        <f t="shared" si="76"/>
        <v>6.4399999999999999E-2</v>
      </c>
      <c r="HU14" s="876">
        <f t="shared" si="77"/>
        <v>0.76643046100218259</v>
      </c>
      <c r="HV14" s="872">
        <f t="shared" si="78"/>
        <v>0.13323409947161549</v>
      </c>
      <c r="HW14" s="866">
        <f t="shared" si="79"/>
        <v>29500</v>
      </c>
      <c r="HX14" s="867">
        <f t="shared" si="80"/>
        <v>299.80427166666664</v>
      </c>
      <c r="HY14" s="866">
        <f t="shared" si="81"/>
        <v>16.531149227139259</v>
      </c>
      <c r="HZ14" s="868">
        <f t="shared" si="82"/>
        <v>1884.1415499636989</v>
      </c>
      <c r="IA14" s="869">
        <f t="shared" si="83"/>
        <v>460.66218789923226</v>
      </c>
      <c r="IB14" s="870">
        <f t="shared" si="84"/>
        <v>2361.3348870900704</v>
      </c>
      <c r="IC14" s="841">
        <f t="shared" si="85"/>
        <v>16.668533901990671</v>
      </c>
      <c r="ID14" s="351">
        <f t="shared" si="86"/>
        <v>1899.8</v>
      </c>
      <c r="IE14" s="843">
        <f t="shared" si="87"/>
        <v>464.49059232721817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0.13407132019813361</v>
      </c>
      <c r="C15" s="572">
        <f t="shared" si="3"/>
        <v>3.6739444904234655</v>
      </c>
      <c r="D15" s="576">
        <f t="shared" si="4"/>
        <v>-2.1086247615682612</v>
      </c>
      <c r="E15" s="580">
        <f t="shared" si="5"/>
        <v>-0.8497691690264656</v>
      </c>
      <c r="F15" s="572">
        <f t="shared" si="6"/>
        <v>0.52535066355459703</v>
      </c>
      <c r="G15" s="579">
        <f t="shared" si="7"/>
        <v>4.3577972357774823E-2</v>
      </c>
      <c r="H15" s="580">
        <f t="shared" si="8"/>
        <v>0.3125</v>
      </c>
      <c r="I15" s="572">
        <f t="shared" si="9"/>
        <v>0.52</v>
      </c>
      <c r="J15" s="483">
        <f t="shared" si="10"/>
        <v>1.127</v>
      </c>
      <c r="K15" s="806">
        <f t="shared" si="11"/>
        <v>1613</v>
      </c>
      <c r="L15" s="814" t="str">
        <f>IF($L14=$JJ$22,$JJ$29,IF($L14=$JK$22,$JK$29,""))</f>
        <v/>
      </c>
      <c r="M15" s="164">
        <f t="shared" si="12"/>
        <v>1.127</v>
      </c>
      <c r="N15" s="575">
        <f t="shared" si="13"/>
        <v>0.13407132019813361</v>
      </c>
      <c r="O15" s="572">
        <f t="shared" si="14"/>
        <v>3.6739444904234655</v>
      </c>
      <c r="P15" s="576">
        <f t="shared" si="15"/>
        <v>-2.1086247615682612</v>
      </c>
      <c r="Q15" s="528">
        <f t="shared" si="140"/>
        <v>87.910062706240751</v>
      </c>
      <c r="R15" s="572">
        <f t="shared" si="101"/>
        <v>3.6763899735491345</v>
      </c>
      <c r="S15" s="577">
        <f t="shared" si="102"/>
        <v>-2.1086247615682612</v>
      </c>
      <c r="T15" s="578">
        <f t="shared" si="103"/>
        <v>3.6752612996544638</v>
      </c>
      <c r="U15" s="572">
        <f t="shared" si="104"/>
        <v>-9.1091255753707912E-2</v>
      </c>
      <c r="V15" s="579">
        <f t="shared" si="141"/>
        <v>-2.1086247615682612</v>
      </c>
      <c r="W15" s="528">
        <f t="shared" ref="W15:W78" si="253">IF(M15="","",IF(Q15-$Q$8&lt;0,360+Q15-$Q$8,Q15-$Q$8))</f>
        <v>358.58021626885795</v>
      </c>
      <c r="X15" s="572">
        <f>IF(M15="","",R15)</f>
        <v>3.6763899735491345</v>
      </c>
      <c r="Y15" s="573">
        <f t="shared" si="17"/>
        <v>-2.1086247615682612</v>
      </c>
      <c r="Z15" s="575">
        <f t="shared" si="18"/>
        <v>0.8497691690264656</v>
      </c>
      <c r="AA15" s="572">
        <f t="shared" si="19"/>
        <v>-0.52535066355459703</v>
      </c>
      <c r="AB15" s="572">
        <f t="shared" si="20"/>
        <v>-4.3577972357774823E-2</v>
      </c>
      <c r="AC15" s="579">
        <f t="shared" si="106"/>
        <v>1</v>
      </c>
      <c r="AD15" s="580">
        <f t="shared" si="142"/>
        <v>0.8497691690264656</v>
      </c>
      <c r="AE15" s="572">
        <f t="shared" si="107"/>
        <v>-0.52535066355459703</v>
      </c>
      <c r="AF15" s="576">
        <f t="shared" si="108"/>
        <v>-4.3577972357774823E-2</v>
      </c>
      <c r="AG15" s="545">
        <f t="shared" si="109"/>
        <v>-85.258156307939387</v>
      </c>
      <c r="AH15" s="546">
        <f t="shared" si="110"/>
        <v>31.813428193351363</v>
      </c>
      <c r="AI15" s="528">
        <f t="shared" si="111"/>
        <v>-87.502375163624507</v>
      </c>
      <c r="AJ15" s="529">
        <f t="shared" si="112"/>
        <v>58.274503643723143</v>
      </c>
      <c r="AK15" s="578">
        <f t="shared" si="238"/>
        <v>0.86836250688179972</v>
      </c>
      <c r="AL15" s="572">
        <f t="shared" si="113"/>
        <v>-0.49401165671180419</v>
      </c>
      <c r="AM15" s="577">
        <f t="shared" si="114"/>
        <v>-4.3577972357774823E-2</v>
      </c>
      <c r="AN15" s="524">
        <f>IF(M15="","",DEGREES(ATAN2(-AM15,AL15)))</f>
        <v>-84.958848408102128</v>
      </c>
      <c r="AO15" s="525">
        <f t="shared" si="116"/>
        <v>29.73109375339925</v>
      </c>
      <c r="AP15" s="528">
        <f t="shared" si="117"/>
        <v>-29.635559062517604</v>
      </c>
      <c r="AQ15" s="529">
        <f t="shared" si="21"/>
        <v>0.62007503138665565</v>
      </c>
      <c r="AS15" s="932">
        <f t="shared" si="143"/>
        <v>358.58021626885795</v>
      </c>
      <c r="AT15" s="928">
        <f t="shared" si="22"/>
        <v>-2.1093182299476929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5.1130000000000004</v>
      </c>
      <c r="HM15" s="909" t="e">
        <f t="shared" si="138"/>
        <v>#VALUE!</v>
      </c>
      <c r="HN15" s="910">
        <f t="shared" si="73"/>
        <v>19.501903116233269</v>
      </c>
      <c r="HO15" s="911"/>
      <c r="HP15" s="912"/>
      <c r="HQ15" s="910" t="e">
        <f t="shared" si="74"/>
        <v>#VALUE!</v>
      </c>
      <c r="HR15" s="913" t="e">
        <f t="shared" si="75"/>
        <v>#VALUE!</v>
      </c>
      <c r="HS15" s="865">
        <f t="shared" si="251"/>
        <v>2.6514000000000002</v>
      </c>
      <c r="HT15" s="875">
        <f t="shared" si="76"/>
        <v>3.27E-2</v>
      </c>
      <c r="HU15" s="876">
        <f t="shared" si="77"/>
        <v>0.54481840340610277</v>
      </c>
      <c r="HV15" s="872">
        <f t="shared" si="78"/>
        <v>9.4709687371322682E-2</v>
      </c>
      <c r="HW15" s="866">
        <f t="shared" si="79"/>
        <v>29500</v>
      </c>
      <c r="HX15" s="867">
        <f t="shared" si="80"/>
        <v>213.13941750000001</v>
      </c>
      <c r="HY15" s="866" t="e">
        <f t="shared" si="81"/>
        <v>#VALUE!</v>
      </c>
      <c r="HZ15" s="868">
        <f t="shared" si="82"/>
        <v>1339.3452417066692</v>
      </c>
      <c r="IA15" s="869" t="e">
        <f t="shared" si="83"/>
        <v>#VALUE!</v>
      </c>
      <c r="IB15" s="870" t="e">
        <f t="shared" si="84"/>
        <v>#VALUE!</v>
      </c>
      <c r="IC15" s="841" t="e">
        <f t="shared" si="85"/>
        <v>#VALUE!</v>
      </c>
      <c r="ID15" s="351">
        <f t="shared" si="86"/>
        <v>964.65</v>
      </c>
      <c r="IE15" s="843" t="e">
        <f t="shared" si="87"/>
        <v>#VALUE!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1.127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28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1.2119417915035986</v>
      </c>
      <c r="C16" s="572">
        <f t="shared" si="3"/>
        <v>3.1046030498823125</v>
      </c>
      <c r="D16" s="576">
        <f t="shared" si="4"/>
        <v>-0.66583665348385235</v>
      </c>
      <c r="E16" s="580">
        <f t="shared" si="5"/>
        <v>0.27610433210388047</v>
      </c>
      <c r="F16" s="572">
        <f t="shared" si="6"/>
        <v>0.70729003450895622</v>
      </c>
      <c r="G16" s="579">
        <f t="shared" si="7"/>
        <v>0.65077431178388545</v>
      </c>
      <c r="H16" s="580">
        <f t="shared" si="8"/>
        <v>0.255</v>
      </c>
      <c r="I16" s="572">
        <f t="shared" si="9"/>
        <v>0.41499999999999992</v>
      </c>
      <c r="J16" s="483">
        <f t="shared" si="10"/>
        <v>1.2170000000000001</v>
      </c>
      <c r="K16" s="806" t="str">
        <f t="shared" si="11"/>
        <v>CPS-32193r1</v>
      </c>
      <c r="L16" s="309"/>
      <c r="M16" s="164">
        <f t="shared" si="12"/>
        <v>1.2170000000000001</v>
      </c>
      <c r="N16" s="575">
        <f t="shared" si="13"/>
        <v>1.2119417915035986</v>
      </c>
      <c r="O16" s="572">
        <f t="shared" si="14"/>
        <v>3.1046030498823125</v>
      </c>
      <c r="P16" s="576">
        <f t="shared" si="15"/>
        <v>-0.66583665348385235</v>
      </c>
      <c r="Q16" s="528">
        <f>IF(M16="","",IF(DEGREES(ATAN2(N16,O16))&lt;0,DEGREES(ATAN2(N16,O16))+360,IF(DEGREES(ATAN2(N16,O16))&gt;360,DEGREES(ATAN2(N16,O16))-360,DEGREES(ATAN2(N16,O16)))))</f>
        <v>68.67585164224009</v>
      </c>
      <c r="R16" s="572">
        <f t="shared" si="101"/>
        <v>3.3327710697453417</v>
      </c>
      <c r="S16" s="577">
        <f t="shared" si="102"/>
        <v>-0.66583665348385235</v>
      </c>
      <c r="T16" s="578">
        <f t="shared" si="103"/>
        <v>3.1185657049863198</v>
      </c>
      <c r="U16" s="572">
        <f t="shared" si="104"/>
        <v>-1.1755470841334634</v>
      </c>
      <c r="V16" s="579">
        <f t="shared" si="141"/>
        <v>-0.66583665348385235</v>
      </c>
      <c r="W16" s="528">
        <f>IF(M16="","",IF(Q16-$Q$8&lt;0,360+Q16-$Q$8,Q16-$Q$8))</f>
        <v>339.34600520485731</v>
      </c>
      <c r="X16" s="572">
        <f t="shared" si="105"/>
        <v>3.3327710697453417</v>
      </c>
      <c r="Y16" s="573">
        <f t="shared" ref="Y16:Y75" si="255">IF(M16="","",S16)</f>
        <v>-0.66583665348385235</v>
      </c>
      <c r="Z16" s="575">
        <f t="shared" si="18"/>
        <v>-0.27610433210388047</v>
      </c>
      <c r="AA16" s="572">
        <f t="shared" si="19"/>
        <v>-0.70729003450895622</v>
      </c>
      <c r="AB16" s="572">
        <f t="shared" si="20"/>
        <v>-0.65077431178388545</v>
      </c>
      <c r="AC16" s="579">
        <f t="shared" si="106"/>
        <v>1</v>
      </c>
      <c r="AD16" s="580">
        <f t="shared" si="142"/>
        <v>-0.27610433210388047</v>
      </c>
      <c r="AE16" s="572">
        <f t="shared" si="107"/>
        <v>-0.70729003450895622</v>
      </c>
      <c r="AF16" s="576">
        <f t="shared" si="108"/>
        <v>-0.65077431178388545</v>
      </c>
      <c r="AG16" s="545">
        <f t="shared" si="109"/>
        <v>-47.382983606092154</v>
      </c>
      <c r="AH16" s="546">
        <f t="shared" si="110"/>
        <v>106.02783595282057</v>
      </c>
      <c r="AI16" s="528">
        <f t="shared" si="111"/>
        <v>-49.399992867523508</v>
      </c>
      <c r="AJ16" s="529">
        <f t="shared" si="112"/>
        <v>-21.324148357759903</v>
      </c>
      <c r="AK16" s="578">
        <f t="shared" si="238"/>
        <v>1.1102230246251565E-16</v>
      </c>
      <c r="AL16" s="572">
        <f t="shared" si="113"/>
        <v>-0.75927122632311728</v>
      </c>
      <c r="AM16" s="577">
        <f t="shared" si="114"/>
        <v>-0.65077431178388545</v>
      </c>
      <c r="AN16" s="524">
        <f t="shared" si="115"/>
        <v>-49.399992867523508</v>
      </c>
      <c r="AO16" s="525">
        <f t="shared" si="116"/>
        <v>0</v>
      </c>
      <c r="AP16" s="528">
        <f t="shared" si="117"/>
        <v>-90</v>
      </c>
      <c r="AQ16" s="529">
        <f t="shared" si="21"/>
        <v>0.68400087582986846</v>
      </c>
      <c r="AS16" s="932">
        <f t="shared" si="143"/>
        <v>339.34600520485731</v>
      </c>
      <c r="AT16" s="928">
        <f t="shared" si="22"/>
        <v>-0.65317303084661704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4.1139999999999999</v>
      </c>
      <c r="HM16" s="909" t="e">
        <f t="shared" si="138"/>
        <v>#VALUE!</v>
      </c>
      <c r="HN16" s="910">
        <f t="shared" si="73"/>
        <v>20.421917838998581</v>
      </c>
      <c r="HO16" s="911"/>
      <c r="HP16" s="912"/>
      <c r="HQ16" s="910" t="e">
        <f t="shared" si="74"/>
        <v>#VALUE!</v>
      </c>
      <c r="HR16" s="913" t="e">
        <f t="shared" si="75"/>
        <v>#VALUE!</v>
      </c>
      <c r="HS16" s="865">
        <f t="shared" si="251"/>
        <v>2.7862</v>
      </c>
      <c r="HT16" s="875">
        <f t="shared" si="76"/>
        <v>3.61E-2</v>
      </c>
      <c r="HU16" s="876">
        <f t="shared" si="77"/>
        <v>0.63203865172311535</v>
      </c>
      <c r="HV16" s="872">
        <f t="shared" si="78"/>
        <v>0.10987180817875072</v>
      </c>
      <c r="HW16" s="866">
        <f t="shared" si="79"/>
        <v>29500</v>
      </c>
      <c r="HX16" s="867">
        <f t="shared" si="80"/>
        <v>247.26364083333334</v>
      </c>
      <c r="HY16" s="866" t="e">
        <f t="shared" si="81"/>
        <v>#VALUE!</v>
      </c>
      <c r="HZ16" s="868">
        <f t="shared" si="82"/>
        <v>1553.7616854859921</v>
      </c>
      <c r="IA16" s="869" t="e">
        <f t="shared" si="83"/>
        <v>#VALUE!</v>
      </c>
      <c r="IB16" s="870" t="e">
        <f t="shared" si="84"/>
        <v>#VALUE!</v>
      </c>
      <c r="IC16" s="841" t="e">
        <f t="shared" si="85"/>
        <v>#VALUE!</v>
      </c>
      <c r="ID16" s="351">
        <f t="shared" si="86"/>
        <v>1064.95</v>
      </c>
      <c r="IE16" s="843" t="e">
        <f t="shared" si="87"/>
        <v>#VALUE!</v>
      </c>
      <c r="IF16" s="844"/>
      <c r="IG16" s="790" t="str">
        <f>IFERROR(IF($IW16="","",IF($IW16&lt;(((Settings!$C$19/2)*-1)*$IG$8),"Taper","Nose")),"")</f>
        <v>Taper</v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1.2170000000000001</v>
      </c>
      <c r="IJ16" s="674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1.117</v>
      </c>
      <c r="IK16" s="677" cm="1">
        <f t="array" ref="IK16">IFERROR(ROUND(VALUE(IF($IJ16&lt;1,$IJ16+LARGE((IF($M$9:$M$150="",0,$M$9:$M$150)-MOD(IF($M$9:$M$150="",0,$M$9:$M$150),1)),1),$IJ16)),4),"")</f>
        <v>1.117</v>
      </c>
      <c r="IL16" s="482">
        <f t="shared" si="88"/>
        <v>1613</v>
      </c>
      <c r="IM16" s="482" t="str">
        <f t="shared" si="237"/>
        <v>CPS-32193r1</v>
      </c>
      <c r="IN16" s="670">
        <f t="shared" si="90"/>
        <v>19.99528654121309</v>
      </c>
      <c r="IO16" s="702">
        <v>4.5593278586013898E-2</v>
      </c>
      <c r="IP16" s="5">
        <f t="shared" si="91"/>
        <v>1.46</v>
      </c>
      <c r="IQ16" s="714">
        <v>730</v>
      </c>
      <c r="IR16" s="9">
        <f t="shared" si="139"/>
        <v>-3.3391666503730635</v>
      </c>
      <c r="IS16" s="5">
        <f t="shared" si="92"/>
        <v>-0.62666207562351772</v>
      </c>
      <c r="IT16" s="5">
        <f t="shared" si="93"/>
        <v>0.3125</v>
      </c>
      <c r="IU16" s="5">
        <f t="shared" si="94"/>
        <v>0.28723595643430788</v>
      </c>
      <c r="IV16" s="670">
        <f t="shared" si="95"/>
        <v>49.528137719076049</v>
      </c>
      <c r="IW16" s="9">
        <f t="shared" si="96"/>
        <v>-3.3327710697453417</v>
      </c>
      <c r="IX16" s="5">
        <f t="shared" si="97"/>
        <v>-0.66583665348385235</v>
      </c>
      <c r="IY16" s="5">
        <f t="shared" si="98"/>
        <v>0.255</v>
      </c>
      <c r="IZ16" s="5">
        <f t="shared" si="99"/>
        <v>0.255</v>
      </c>
      <c r="JA16" s="705">
        <f t="shared" si="100"/>
        <v>49.399992867523508</v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1.3531988924678819</v>
      </c>
      <c r="C17" s="572">
        <f t="shared" si="3"/>
        <v>3.371757066798394</v>
      </c>
      <c r="D17" s="576">
        <f t="shared" si="4"/>
        <v>-1.3691375047813303</v>
      </c>
      <c r="E17" s="580">
        <f t="shared" si="5"/>
        <v>0.36563892945533316</v>
      </c>
      <c r="F17" s="572">
        <f t="shared" si="6"/>
        <v>0.91106019310969855</v>
      </c>
      <c r="G17" s="579">
        <f t="shared" si="7"/>
        <v>0.19046652671185232</v>
      </c>
      <c r="H17" s="580">
        <f t="shared" si="8"/>
        <v>0.255</v>
      </c>
      <c r="I17" s="572">
        <f t="shared" si="9"/>
        <v>0.41499999999999992</v>
      </c>
      <c r="J17" s="483">
        <f t="shared" si="10"/>
        <v>1.222</v>
      </c>
      <c r="K17" s="806" t="str">
        <f t="shared" si="11"/>
        <v>CPS-32193r1</v>
      </c>
      <c r="M17" s="164">
        <f t="shared" si="12"/>
        <v>1.222</v>
      </c>
      <c r="N17" s="575">
        <f t="shared" si="13"/>
        <v>1.3531988924678819</v>
      </c>
      <c r="O17" s="572">
        <f t="shared" si="14"/>
        <v>3.371757066798394</v>
      </c>
      <c r="P17" s="576">
        <f t="shared" si="15"/>
        <v>-1.3691375047813303</v>
      </c>
      <c r="Q17" s="528">
        <f>IF(M17="","",IF(DEGREES(ATAN2(N17,O17))&lt;0,DEGREES(ATAN2(N17,O17))+360,IF(DEGREES(ATAN2(N17,O17))&gt;360,DEGREES(ATAN2(N17,O17))-360,DEGREES(ATAN2(N17,O17)))))</f>
        <v>68.132757887172133</v>
      </c>
      <c r="R17" s="572">
        <f>IF(M17="","",SQRT(N17^2+O17^2))</f>
        <v>3.6331656940031252</v>
      </c>
      <c r="S17" s="577">
        <f>IF(M17="","",P17)</f>
        <v>-1.3691375047813303</v>
      </c>
      <c r="T17" s="578">
        <f>IF(M17="","",X17*COS(RADIANS(W17)))</f>
        <v>3.3873536079776856</v>
      </c>
      <c r="U17" s="572">
        <f>IF(M17="","",X17*SIN(RADIANS(W17)))</f>
        <v>-1.3136698575371832</v>
      </c>
      <c r="V17" s="579">
        <f>IF(M17="","",Y17)</f>
        <v>-1.3691375047813303</v>
      </c>
      <c r="W17" s="528">
        <f t="shared" si="253"/>
        <v>338.80291144978935</v>
      </c>
      <c r="X17" s="572">
        <f>IF(M17="","",R17)</f>
        <v>3.6331656940031252</v>
      </c>
      <c r="Y17" s="573">
        <f t="shared" si="255"/>
        <v>-1.3691375047813303</v>
      </c>
      <c r="Z17" s="575">
        <f t="shared" si="18"/>
        <v>-0.36563892945533316</v>
      </c>
      <c r="AA17" s="572">
        <f t="shared" si="19"/>
        <v>-0.91106019310969855</v>
      </c>
      <c r="AB17" s="572">
        <f t="shared" si="20"/>
        <v>-0.19046652671185232</v>
      </c>
      <c r="AC17" s="579">
        <f>IF(M17="","",SQRT(Z17^2+AA17^2+AB17^2))</f>
        <v>1</v>
      </c>
      <c r="AD17" s="580">
        <f>IF(M17="","",Z17*(1/SQRT(Z17^2+AA17^2+AB17^2)))</f>
        <v>-0.36563892945533316</v>
      </c>
      <c r="AE17" s="572">
        <f>IF(M17="","",AA17*(1/SQRT(Z17^2+AA17^2+AB17^2)))</f>
        <v>-0.91106019310969855</v>
      </c>
      <c r="AF17" s="576">
        <f>IF(M17="","",AB17*(1/SQRT(Z17^2+AA17^2+AB17^2)))</f>
        <v>-0.19046652671185232</v>
      </c>
      <c r="AG17" s="545">
        <f>IF(M17="","",DEGREES(ATAN2(-AF17,AE17)))</f>
        <v>-78.191796795757085</v>
      </c>
      <c r="AH17" s="546">
        <f>IF(M17="","",DEGREES(ACOS(AD17)))</f>
        <v>111.44690879888608</v>
      </c>
      <c r="AI17" s="528">
        <f>IF(M17="","",DEGREES(-ACOS(-AF17)))</f>
        <v>-79.019988590925223</v>
      </c>
      <c r="AJ17" s="529">
        <f>IF(M17="","",DEGREES(ATAN2(-AE17,AD17)))</f>
        <v>-21.867242112827878</v>
      </c>
      <c r="AK17" s="578">
        <f>IF(M17="","",(COS(RADIANS((90-$Q$8)-W17))*AD17)+(-SIN(RADIANS((90-$Q$8)-W17))*AE17))</f>
        <v>0</v>
      </c>
      <c r="AL17" s="572">
        <f>IF(M17="","",(SIN(RADIANS((90-$Q$8)-W17))*AD17)+(COS(RADIANS((90-$Q$8)-W17))*AE17))</f>
        <v>-0.9816936906195961</v>
      </c>
      <c r="AM17" s="577">
        <f>IF(M17="","",AF17)</f>
        <v>-0.19046652671185232</v>
      </c>
      <c r="AN17" s="524">
        <f>IF(M17="","",DEGREES(ATAN2(-AM17,AL17)))</f>
        <v>-79.019988590925223</v>
      </c>
      <c r="AO17" s="525">
        <f t="shared" si="116"/>
        <v>0</v>
      </c>
      <c r="AP17" s="528">
        <f>IF(M17="","",DEGREES(ATAN2(AK17,AL17)))</f>
        <v>-90</v>
      </c>
      <c r="AQ17" s="529">
        <f t="shared" si="21"/>
        <v>0.62745156428651427</v>
      </c>
      <c r="AS17" s="932">
        <f t="shared" si="143"/>
        <v>338.80291144978935</v>
      </c>
      <c r="AT17" s="928">
        <f t="shared" si="22"/>
        <v>-1.3560967337030756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>
        <f t="shared" si="137"/>
        <v>9</v>
      </c>
      <c r="HL17" s="348">
        <f t="shared" si="72"/>
        <v>3.1150000000000002</v>
      </c>
      <c r="HM17" s="909" t="e">
        <f t="shared" si="138"/>
        <v>#NUM!</v>
      </c>
      <c r="HN17" s="910">
        <f t="shared" si="73"/>
        <v>21.344699921723134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2.9211999999999998</v>
      </c>
      <c r="HT17" s="875">
        <f t="shared" si="76"/>
        <v>3.6299999999999999E-2</v>
      </c>
      <c r="HU17" s="876">
        <f t="shared" si="77"/>
        <v>0.66632800634936673</v>
      </c>
      <c r="HV17" s="872">
        <f t="shared" si="78"/>
        <v>0.11583257241966789</v>
      </c>
      <c r="HW17" s="866">
        <f t="shared" si="79"/>
        <v>29500</v>
      </c>
      <c r="HX17" s="867">
        <f t="shared" si="80"/>
        <v>260.68058499999995</v>
      </c>
      <c r="HY17" s="866" t="e">
        <f t="shared" si="81"/>
        <v>#NUM!</v>
      </c>
      <c r="HZ17" s="868">
        <f t="shared" si="82"/>
        <v>1638.0563489421932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1070.8499999999999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>Taper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1.222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1.1220000000000001</v>
      </c>
      <c r="IK17" s="677" cm="1">
        <f t="array" ref="IK17">IFERROR(ROUND(VALUE(IF($IJ17&lt;1,$IJ17+LARGE((IF($M$9:$M$150="",0,$M$9:$M$150)-MOD(IF($M$9:$M$150="",0,$M$9:$M$150),1)),1),$IJ17)),4),"")</f>
        <v>1.1220000000000001</v>
      </c>
      <c r="IL17" s="482">
        <f t="shared" si="88"/>
        <v>1613</v>
      </c>
      <c r="IM17" s="482" t="str">
        <f t="shared" si="237"/>
        <v>CPS-32193r1</v>
      </c>
      <c r="IN17" s="670">
        <f t="shared" si="90"/>
        <v>19.958510154216697</v>
      </c>
      <c r="IO17" s="702">
        <v>3.5584960843472499E-2</v>
      </c>
      <c r="IP17" s="5">
        <f t="shared" si="91"/>
        <v>1.68</v>
      </c>
      <c r="IQ17" s="714">
        <v>840</v>
      </c>
      <c r="IR17" s="9">
        <f t="shared" si="139"/>
        <v>-3.651946953520572</v>
      </c>
      <c r="IS17" s="5">
        <f t="shared" si="92"/>
        <v>-1.3303909807005831</v>
      </c>
      <c r="IT17" s="5">
        <f t="shared" si="93"/>
        <v>0.3125</v>
      </c>
      <c r="IU17" s="5">
        <f t="shared" si="94"/>
        <v>0.27628444241650524</v>
      </c>
      <c r="IV17" s="670">
        <f t="shared" si="95"/>
        <v>74.864641684638286</v>
      </c>
      <c r="IW17" s="9">
        <f t="shared" si="96"/>
        <v>-3.6331656940031252</v>
      </c>
      <c r="IX17" s="5">
        <f t="shared" si="97"/>
        <v>-1.3691375047813303</v>
      </c>
      <c r="IY17" s="5">
        <f t="shared" si="98"/>
        <v>0.255</v>
      </c>
      <c r="IZ17" s="5">
        <f t="shared" si="99"/>
        <v>0.255</v>
      </c>
      <c r="JA17" s="705">
        <f t="shared" si="100"/>
        <v>79.019988590925223</v>
      </c>
    </row>
    <row r="18" spans="1:271" ht="15" customHeight="1" x14ac:dyDescent="0.25">
      <c r="A18" s="75">
        <f t="shared" si="1"/>
        <v>0</v>
      </c>
      <c r="B18" s="578">
        <f t="shared" si="2"/>
        <v>1.465620481169559</v>
      </c>
      <c r="C18" s="572">
        <f t="shared" si="3"/>
        <v>3.3450869116021669</v>
      </c>
      <c r="D18" s="576">
        <f t="shared" si="4"/>
        <v>-2.1471489667249579</v>
      </c>
      <c r="E18" s="580">
        <f t="shared" si="5"/>
        <v>0.39978462461118036</v>
      </c>
      <c r="F18" s="572">
        <f t="shared" si="6"/>
        <v>0.91245607742836243</v>
      </c>
      <c r="G18" s="579">
        <f t="shared" si="7"/>
        <v>8.7155956127758935E-2</v>
      </c>
      <c r="H18" s="580">
        <f t="shared" si="8"/>
        <v>0.255</v>
      </c>
      <c r="I18" s="572">
        <f t="shared" si="9"/>
        <v>0.41499999999999992</v>
      </c>
      <c r="J18" s="483">
        <f t="shared" si="10"/>
        <v>1.2270000000000001</v>
      </c>
      <c r="K18" s="806" t="str">
        <f t="shared" si="11"/>
        <v>CPS-32193r1</v>
      </c>
      <c r="L18" s="720" t="s">
        <v>322</v>
      </c>
      <c r="M18" s="164">
        <f t="shared" si="12"/>
        <v>1.2270000000000001</v>
      </c>
      <c r="N18" s="575">
        <f t="shared" si="13"/>
        <v>1.465620481169559</v>
      </c>
      <c r="O18" s="572">
        <f t="shared" si="14"/>
        <v>3.3450869116021669</v>
      </c>
      <c r="P18" s="576">
        <f t="shared" si="15"/>
        <v>-2.1471489667249579</v>
      </c>
      <c r="Q18" s="528">
        <f t="shared" si="140"/>
        <v>66.339792397425427</v>
      </c>
      <c r="R18" s="572">
        <f>IF(M18="","",SQRT(N18^2+O18^2))</f>
        <v>3.6520747310256141</v>
      </c>
      <c r="S18" s="577">
        <f>IF(M18="","",P18)</f>
        <v>-2.1471489667249579</v>
      </c>
      <c r="T18" s="578">
        <f>IF(M18="","",X18*COS(RADIANS(W18)))</f>
        <v>3.3620001734049927</v>
      </c>
      <c r="U18" s="572">
        <f>IF(M18="","",X18*SIN(RADIANS(W18)))</f>
        <v>-1.426395693705155</v>
      </c>
      <c r="V18" s="579">
        <f>IF(M18="","",Y18)</f>
        <v>-2.1471489667249579</v>
      </c>
      <c r="W18" s="528">
        <f t="shared" si="253"/>
        <v>337.00994596004261</v>
      </c>
      <c r="X18" s="572">
        <f>IF(M18="","",R18)</f>
        <v>3.6520747310256141</v>
      </c>
      <c r="Y18" s="573">
        <f t="shared" si="255"/>
        <v>-2.1471489667249579</v>
      </c>
      <c r="Z18" s="575">
        <f t="shared" si="18"/>
        <v>-0.39978462461118036</v>
      </c>
      <c r="AA18" s="572">
        <f t="shared" si="19"/>
        <v>-0.91245607742836243</v>
      </c>
      <c r="AB18" s="572">
        <f t="shared" si="20"/>
        <v>-8.7155956127758935E-2</v>
      </c>
      <c r="AC18" s="579">
        <f>IF(M18="","",SQRT(Z18^2+AA18^2+AB18^2))</f>
        <v>1</v>
      </c>
      <c r="AD18" s="580">
        <f>IF(M18="","",Z18*(1/SQRT(Z18^2+AA18^2+AB18^2)))</f>
        <v>-0.39978462461118036</v>
      </c>
      <c r="AE18" s="572">
        <f>IF(M18="","",AA18*(1/SQRT(Z18^2+AA18^2+AB18^2)))</f>
        <v>-0.91245607742836243</v>
      </c>
      <c r="AF18" s="576">
        <f>IF(M18="","",AB18*(1/SQRT(Z18^2+AA18^2+AB18^2)))</f>
        <v>-8.7155956127758935E-2</v>
      </c>
      <c r="AG18" s="545">
        <f>IF(M18="","",DEGREES(ATAN2(-AF18,AE18)))</f>
        <v>-84.543776644594601</v>
      </c>
      <c r="AH18" s="546">
        <f>IF(M18="","",DEGREES(ACOS(AD18)))</f>
        <v>113.56471501464813</v>
      </c>
      <c r="AI18" s="528">
        <f>IF(M18="","",DEGREES(-ACOS(-AF18)))</f>
        <v>-84.999987727520178</v>
      </c>
      <c r="AJ18" s="529">
        <f>IF(M18="","",DEGREES(ATAN2(-AE18,AD18)))</f>
        <v>-23.66020760257458</v>
      </c>
      <c r="AK18" s="578">
        <f>IF(M18="","",(COS(RADIANS((90-$Q$8)-W18))*AD18)+(-SIN(RADIANS((90-$Q$8)-W18))*AE18))</f>
        <v>4.4408920985006262E-16</v>
      </c>
      <c r="AL18" s="572">
        <f>IF(M18="","",(SIN(RADIANS((90-$Q$8)-W18))*AD18)+(COS(RADIANS((90-$Q$8)-W18))*AE18))</f>
        <v>-0.99619467942338269</v>
      </c>
      <c r="AM18" s="577">
        <f>IF(M18="","",AF18)</f>
        <v>-8.7155956127758935E-2</v>
      </c>
      <c r="AN18" s="524">
        <f>IF(M18="","",DEGREES(ATAN2(-AM18,AL18)))</f>
        <v>-84.999987727520192</v>
      </c>
      <c r="AO18" s="525">
        <f t="shared" si="116"/>
        <v>0</v>
      </c>
      <c r="AP18" s="528">
        <f>IF(M18="","",DEGREES(ATAN2(AK18,AL18)))</f>
        <v>-89.999999999999972</v>
      </c>
      <c r="AQ18" s="529">
        <f t="shared" si="21"/>
        <v>0.62420311935318629</v>
      </c>
      <c r="AS18" s="932">
        <f t="shared" si="143"/>
        <v>337.00994596004261</v>
      </c>
      <c r="AT18" s="928">
        <f t="shared" si="22"/>
        <v>-2.132863080723268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2.1160000000000001</v>
      </c>
      <c r="HM18" s="909" t="e">
        <f t="shared" si="138"/>
        <v>#NUM!</v>
      </c>
      <c r="HN18" s="910">
        <f t="shared" si="73"/>
        <v>22.269872401611568</v>
      </c>
      <c r="HO18" s="911"/>
      <c r="HP18" s="912"/>
      <c r="HQ18" s="910" t="e">
        <f t="shared" si="74"/>
        <v>#NUM!</v>
      </c>
      <c r="HR18" s="913" t="e">
        <f t="shared" si="75"/>
        <v>#NUM!</v>
      </c>
      <c r="HS18" s="865">
        <f t="shared" si="251"/>
        <v>3.0628000000000002</v>
      </c>
      <c r="HT18" s="875">
        <f t="shared" si="76"/>
        <v>3.3700000000000001E-2</v>
      </c>
      <c r="HU18" s="876">
        <f t="shared" si="77"/>
        <v>0.64858223875515797</v>
      </c>
      <c r="HV18" s="872">
        <f t="shared" si="78"/>
        <v>0.11274769846808282</v>
      </c>
      <c r="HW18" s="866">
        <f t="shared" si="79"/>
        <v>29500</v>
      </c>
      <c r="HX18" s="867">
        <f t="shared" si="80"/>
        <v>253.74021833333336</v>
      </c>
      <c r="HY18" s="866" t="e">
        <f t="shared" si="81"/>
        <v>#NUM!</v>
      </c>
      <c r="HZ18" s="868">
        <f t="shared" si="82"/>
        <v>1594.4313369397632</v>
      </c>
      <c r="IA18" s="869" t="e">
        <f t="shared" si="83"/>
        <v>#NUM!</v>
      </c>
      <c r="IB18" s="870" t="e">
        <f t="shared" si="84"/>
        <v>#NUM!</v>
      </c>
      <c r="IC18" s="841" t="e">
        <f t="shared" si="85"/>
        <v>#NUM!</v>
      </c>
      <c r="ID18" s="351">
        <f t="shared" si="86"/>
        <v>994.15</v>
      </c>
      <c r="IE18" s="843" t="e">
        <f t="shared" si="87"/>
        <v>#NUM!</v>
      </c>
      <c r="IF18" s="844"/>
      <c r="IG18" s="790" t="str">
        <f>IFERROR(IF($IW18="","",IF($IW18&lt;(((Settings!$C$19/2)*-1)*$IG$8),"Taper","Nose")),"")</f>
        <v>Taper</v>
      </c>
      <c r="IH18" s="482" t="str">
        <f>IFERROR(IF((((($IY18*COS(RADIANS(180-$JA18)))*COS(RADIANS($JA18)))-(($IZ18*SIN(RADIANS(180-$JA18)))*SIN(RADIANS($JA18))))+$IW18)&lt;(((Settings!$C$19+$IH$8)/2)*-1),"Gage",""),"")</f>
        <v>Gage</v>
      </c>
      <c r="II18" s="788">
        <f t="shared" si="236"/>
        <v>1.2270000000000001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1.127</v>
      </c>
      <c r="IK18" s="677" cm="1">
        <f t="array" ref="IK18">IFERROR(ROUND(VALUE(IF($IJ18&lt;1,$IJ18+LARGE((IF($M$9:$M$150="",0,$M$9:$M$150)-MOD(IF($M$9:$M$150="",0,$M$9:$M$150),1)),1),$IJ18)),4),"")</f>
        <v>1.127</v>
      </c>
      <c r="IL18" s="482">
        <f t="shared" si="88"/>
        <v>1613</v>
      </c>
      <c r="IM18" s="482" t="str">
        <f t="shared" si="237"/>
        <v>CPS-32193r1</v>
      </c>
      <c r="IN18" s="670">
        <f t="shared" si="90"/>
        <v>21.570270308815338</v>
      </c>
      <c r="IO18" s="702">
        <v>3.0720034582432401E-2</v>
      </c>
      <c r="IP18" s="5">
        <f t="shared" si="91"/>
        <v>1.72</v>
      </c>
      <c r="IQ18" s="714">
        <v>860</v>
      </c>
      <c r="IR18" s="9">
        <f t="shared" si="139"/>
        <v>-3.6763899735491345</v>
      </c>
      <c r="IS18" s="5">
        <f t="shared" si="92"/>
        <v>-2.1086247615682612</v>
      </c>
      <c r="IT18" s="5">
        <f t="shared" si="93"/>
        <v>0.3125</v>
      </c>
      <c r="IU18" s="5">
        <f t="shared" si="94"/>
        <v>0.27136328340056243</v>
      </c>
      <c r="IV18" s="670">
        <f t="shared" si="95"/>
        <v>84.958848408102128</v>
      </c>
      <c r="IW18" s="9">
        <f t="shared" si="96"/>
        <v>-3.6520747310256141</v>
      </c>
      <c r="IX18" s="5">
        <f t="shared" si="97"/>
        <v>-2.1471489667249579</v>
      </c>
      <c r="IY18" s="5">
        <f t="shared" si="98"/>
        <v>0.255</v>
      </c>
      <c r="IZ18" s="5">
        <f t="shared" si="99"/>
        <v>0.255</v>
      </c>
      <c r="JA18" s="705">
        <f t="shared" si="100"/>
        <v>84.999987727520192</v>
      </c>
    </row>
    <row r="19" spans="1:271" ht="15" customHeight="1" thickBot="1" x14ac:dyDescent="0.3">
      <c r="A19" s="75">
        <f t="shared" si="1"/>
        <v>0.02</v>
      </c>
      <c r="B19" s="578">
        <f t="shared" si="2"/>
        <v>2.4314279598842705</v>
      </c>
      <c r="C19" s="572">
        <f t="shared" si="3"/>
        <v>0.85713676911530057</v>
      </c>
      <c r="D19" s="576">
        <f t="shared" si="4"/>
        <v>-0.11169626018962273</v>
      </c>
      <c r="E19" s="580">
        <f t="shared" si="5"/>
        <v>-0.2247419959886886</v>
      </c>
      <c r="F19" s="572">
        <f t="shared" si="6"/>
        <v>0.93105358982306463</v>
      </c>
      <c r="G19" s="579">
        <f t="shared" si="7"/>
        <v>0.28745477577630357</v>
      </c>
      <c r="H19" s="580">
        <f t="shared" si="8"/>
        <v>0.3125</v>
      </c>
      <c r="I19" s="572">
        <f t="shared" si="9"/>
        <v>0.52</v>
      </c>
      <c r="J19" s="483">
        <f t="shared" si="10"/>
        <v>2.1110000000000002</v>
      </c>
      <c r="K19" s="806">
        <f t="shared" si="11"/>
        <v>1613</v>
      </c>
      <c r="L19" s="718" t="s">
        <v>357</v>
      </c>
      <c r="M19" s="164">
        <f t="shared" si="12"/>
        <v>2.1110000000000002</v>
      </c>
      <c r="N19" s="575">
        <f t="shared" si="13"/>
        <v>2.4314279598842705</v>
      </c>
      <c r="O19" s="572">
        <f t="shared" si="14"/>
        <v>0.85713676911530057</v>
      </c>
      <c r="P19" s="576">
        <f t="shared" si="15"/>
        <v>-0.11169626018962273</v>
      </c>
      <c r="Q19" s="528">
        <f t="shared" si="140"/>
        <v>19.418778487277027</v>
      </c>
      <c r="R19" s="572">
        <f>IF(M19="","",SQRT(N19^2+O19^2))</f>
        <v>2.5780856008046751</v>
      </c>
      <c r="S19" s="577">
        <f>IF(M19="","",P19)</f>
        <v>-0.11169626018962273</v>
      </c>
      <c r="T19" s="578">
        <f>IF(M19="","",X19*COS(RADIANS(W19)))</f>
        <v>0.88551641120757352</v>
      </c>
      <c r="U19" s="572">
        <f>IF(M19="","",X19*SIN(RADIANS(W19)))</f>
        <v>-2.4212364714249746</v>
      </c>
      <c r="V19" s="579">
        <f>IF(M19="","",Y19)</f>
        <v>-0.11169626018962273</v>
      </c>
      <c r="W19" s="528">
        <f t="shared" si="253"/>
        <v>290.08893204989431</v>
      </c>
      <c r="X19" s="572">
        <f>IF(M19="","",R19)</f>
        <v>2.5780856008046751</v>
      </c>
      <c r="Y19" s="573">
        <f t="shared" si="255"/>
        <v>-0.11169626018962273</v>
      </c>
      <c r="Z19" s="575">
        <f t="shared" si="18"/>
        <v>0.2247419959886886</v>
      </c>
      <c r="AA19" s="572">
        <f t="shared" si="19"/>
        <v>-0.93105358982306463</v>
      </c>
      <c r="AB19" s="572">
        <f t="shared" si="20"/>
        <v>-0.28745477577630357</v>
      </c>
      <c r="AC19" s="579">
        <f>IF(M19="","",SQRT(Z19^2+AA19^2+AB19^2))</f>
        <v>1</v>
      </c>
      <c r="AD19" s="580">
        <f>IF(M19="","",Z19*(1/SQRT(Z19^2+AA19^2+AB19^2)))</f>
        <v>0.2247419959886886</v>
      </c>
      <c r="AE19" s="572">
        <f>IF(M19="","",AA19*(1/SQRT(Z19^2+AA19^2+AB19^2)))</f>
        <v>-0.93105358982306463</v>
      </c>
      <c r="AF19" s="576">
        <f>IF(M19="","",AB19*(1/SQRT(Z19^2+AA19^2+AB19^2)))</f>
        <v>-0.28745477577630357</v>
      </c>
      <c r="AG19" s="545">
        <f>IF(M19="","",DEGREES(ATAN2(-AF19,AE19)))</f>
        <v>-72.842377983116251</v>
      </c>
      <c r="AH19" s="546">
        <f>IF(M19="","",DEGREES(ACOS(AD19)))</f>
        <v>77.012292931912597</v>
      </c>
      <c r="AI19" s="528">
        <f>IF(M19="","",DEGREES(-ACOS(-AF19)))</f>
        <v>-73.294361641590299</v>
      </c>
      <c r="AJ19" s="529">
        <f>IF(M19="","",DEGREES(ATAN2(-AE19,AD19)))</f>
        <v>13.570720635808595</v>
      </c>
      <c r="AK19" s="578">
        <f>IF(M19="","",(COS(RADIANS((90-$Q$8)-W19))*AD19)+(-SIN(RADIANS((90-$Q$8)-W19))*AE19))</f>
        <v>0.95280946373773878</v>
      </c>
      <c r="AL19" s="572">
        <f>IF(M19="","",(SIN(RADIANS((90-$Q$8)-W19))*AD19)+(COS(RADIANS((90-$Q$8)-W19))*AE19))</f>
        <v>-9.7590356568658221E-2</v>
      </c>
      <c r="AM19" s="577">
        <f>IF(M19="","",AF19)</f>
        <v>-0.28745477577630357</v>
      </c>
      <c r="AN19" s="524">
        <f>IF(M19="","",DEGREES(ATAN2(-AM19,AL19)))</f>
        <v>-18.752253478994469</v>
      </c>
      <c r="AO19" s="525">
        <f t="shared" si="116"/>
        <v>17.672091036433017</v>
      </c>
      <c r="AP19" s="528">
        <f>IF(M19="","",DEGREES(ATAN2(AK19,AL19)))</f>
        <v>-5.8480578514685213</v>
      </c>
      <c r="AQ19" s="529">
        <f t="shared" si="21"/>
        <v>0.88420091774235099</v>
      </c>
      <c r="AS19" s="932">
        <f t="shared" si="143"/>
        <v>290.08893204989431</v>
      </c>
      <c r="AT19" s="928">
        <f t="shared" si="22"/>
        <v>-6.4826336750329741E-2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1.117</v>
      </c>
      <c r="HM19" s="909" t="e">
        <f t="shared" si="138"/>
        <v>#NUM!</v>
      </c>
      <c r="HN19" s="910">
        <f t="shared" si="73"/>
        <v>23.197131518106772</v>
      </c>
      <c r="HO19" s="911"/>
      <c r="HP19" s="912"/>
      <c r="HQ19" s="910" t="e">
        <f t="shared" si="74"/>
        <v>#NUM!</v>
      </c>
      <c r="HR19" s="913" t="e">
        <f t="shared" si="75"/>
        <v>#NUM!</v>
      </c>
      <c r="HS19" s="865">
        <f t="shared" si="251"/>
        <v>3.1920000000000002</v>
      </c>
      <c r="HT19" s="875">
        <f t="shared" si="76"/>
        <v>3.1199999999999999E-2</v>
      </c>
      <c r="HU19" s="876">
        <f t="shared" si="77"/>
        <v>0.62579355018473959</v>
      </c>
      <c r="HV19" s="872">
        <f t="shared" si="78"/>
        <v>0.10878617742434896</v>
      </c>
      <c r="HW19" s="866">
        <f t="shared" si="79"/>
        <v>29500</v>
      </c>
      <c r="HX19" s="867">
        <f t="shared" si="80"/>
        <v>244.82640000000001</v>
      </c>
      <c r="HY19" s="866" t="e">
        <f t="shared" si="81"/>
        <v>#NUM!</v>
      </c>
      <c r="HZ19" s="868">
        <f t="shared" si="82"/>
        <v>1538.4091442041515</v>
      </c>
      <c r="IA19" s="869" t="e">
        <f t="shared" si="83"/>
        <v>#NUM!</v>
      </c>
      <c r="IB19" s="870" t="e">
        <f t="shared" si="84"/>
        <v>#NUM!</v>
      </c>
      <c r="IC19" s="841" t="e">
        <f t="shared" si="85"/>
        <v>#NUM!</v>
      </c>
      <c r="ID19" s="351">
        <f t="shared" si="86"/>
        <v>920.4</v>
      </c>
      <c r="IE19" s="843" t="e">
        <f t="shared" si="87"/>
        <v>#NUM!</v>
      </c>
      <c r="IF19" s="844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2.1110000000000002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8"/>
        <v>1613</v>
      </c>
      <c r="IM19" s="482" t="str">
        <f t="shared" si="237"/>
        <v/>
      </c>
      <c r="IN19" s="670" t="str">
        <f t="shared" si="90"/>
        <v/>
      </c>
      <c r="IO19" s="702"/>
      <c r="IP19" s="5" t="str">
        <f t="shared" si="91"/>
        <v/>
      </c>
      <c r="IQ19" s="714"/>
      <c r="IR19" s="9" t="str">
        <f t="shared" si="139"/>
        <v/>
      </c>
      <c r="IS19" s="5" t="str">
        <f t="shared" si="92"/>
        <v/>
      </c>
      <c r="IT19" s="5" t="str">
        <f t="shared" si="93"/>
        <v/>
      </c>
      <c r="IU19" s="5" t="str">
        <f t="shared" si="94"/>
        <v/>
      </c>
      <c r="IV19" s="670" t="str">
        <f t="shared" si="95"/>
        <v/>
      </c>
      <c r="IW19" s="9" t="str">
        <f t="shared" si="96"/>
        <v/>
      </c>
      <c r="IX19" s="5" t="str">
        <f t="shared" si="97"/>
        <v/>
      </c>
      <c r="IY19" s="5" t="str">
        <f t="shared" si="98"/>
        <v/>
      </c>
      <c r="IZ19" s="5" t="str">
        <f t="shared" si="99"/>
        <v/>
      </c>
      <c r="JA19" s="705" t="str">
        <f t="shared" si="100"/>
        <v/>
      </c>
      <c r="JD19" s="1369" t="s">
        <v>356</v>
      </c>
      <c r="JE19" s="1370"/>
      <c r="JF19" s="1370"/>
      <c r="JG19" s="1370"/>
      <c r="JH19" s="1370"/>
      <c r="JI19" s="1370"/>
      <c r="JJ19" s="1370"/>
      <c r="JK19" s="1371"/>
    </row>
    <row r="20" spans="1:271" ht="15" customHeight="1" x14ac:dyDescent="0.25">
      <c r="A20" s="75">
        <f t="shared" si="1"/>
        <v>0.02</v>
      </c>
      <c r="B20" s="578">
        <f t="shared" si="2"/>
        <v>3.0641347251501796</v>
      </c>
      <c r="C20" s="572">
        <f t="shared" si="3"/>
        <v>1.0438269448026249</v>
      </c>
      <c r="D20" s="576">
        <f t="shared" si="4"/>
        <v>-0.50926032561847623</v>
      </c>
      <c r="E20" s="580">
        <f t="shared" si="5"/>
        <v>-4.7262461654306781E-2</v>
      </c>
      <c r="F20" s="572">
        <f t="shared" si="6"/>
        <v>0.9615315691408004</v>
      </c>
      <c r="G20" s="579">
        <f t="shared" si="7"/>
        <v>0.27059804371799401</v>
      </c>
      <c r="H20" s="580">
        <f t="shared" si="8"/>
        <v>0.3125</v>
      </c>
      <c r="I20" s="572">
        <f t="shared" si="9"/>
        <v>0.52</v>
      </c>
      <c r="J20" s="483">
        <f t="shared" si="10"/>
        <v>2.1160000000000001</v>
      </c>
      <c r="K20" s="806">
        <f t="shared" si="11"/>
        <v>1613</v>
      </c>
      <c r="L20" s="717" t="str">
        <f>IF($L19=$JJ$22,$JJ$30,IF($L19=$JK$22,$JK$30,""))</f>
        <v/>
      </c>
      <c r="M20" s="164">
        <f t="shared" si="12"/>
        <v>2.1160000000000001</v>
      </c>
      <c r="N20" s="575">
        <f t="shared" si="13"/>
        <v>3.0641347251501796</v>
      </c>
      <c r="O20" s="572">
        <f t="shared" si="14"/>
        <v>1.0438269448026249</v>
      </c>
      <c r="P20" s="576">
        <f t="shared" si="15"/>
        <v>-0.50926032561847623</v>
      </c>
      <c r="Q20" s="528">
        <f t="shared" si="140"/>
        <v>18.81190320275174</v>
      </c>
      <c r="R20" s="572">
        <f>IF(M20="","",SQRT(N20^2+O20^2))</f>
        <v>3.2370505563810941</v>
      </c>
      <c r="S20" s="577">
        <f>IF(M20="","",P20)</f>
        <v>-0.50926032561847623</v>
      </c>
      <c r="T20" s="578">
        <f>IF(M20="","",X20*COS(RADIANS(W20)))</f>
        <v>1.079594030843144</v>
      </c>
      <c r="U20" s="572">
        <f>IF(M20="","",X20*SIN(RADIANS(W20)))</f>
        <v>-3.0517164077179588</v>
      </c>
      <c r="V20" s="579">
        <f>IF(M20="","",Y20)</f>
        <v>-0.50926032561847623</v>
      </c>
      <c r="W20" s="528">
        <f t="shared" si="253"/>
        <v>289.48205676536895</v>
      </c>
      <c r="X20" s="572">
        <f>IF(M20="","",R20)</f>
        <v>3.2370505563810941</v>
      </c>
      <c r="Y20" s="573">
        <f t="shared" si="255"/>
        <v>-0.50926032561847623</v>
      </c>
      <c r="Z20" s="575">
        <f t="shared" si="18"/>
        <v>4.7262461654306781E-2</v>
      </c>
      <c r="AA20" s="572">
        <f t="shared" si="19"/>
        <v>-0.9615315691408004</v>
      </c>
      <c r="AB20" s="572">
        <f t="shared" si="20"/>
        <v>-0.27059804371799401</v>
      </c>
      <c r="AC20" s="579">
        <f>IF(M20="","",SQRT(Z20^2+AA20^2+AB20^2))</f>
        <v>1</v>
      </c>
      <c r="AD20" s="580">
        <f>IF(M20="","",Z20*(1/SQRT(Z20^2+AA20^2+AB20^2)))</f>
        <v>4.7262461654306781E-2</v>
      </c>
      <c r="AE20" s="572">
        <f>IF(M20="","",AA20*(1/SQRT(Z20^2+AA20^2+AB20^2)))</f>
        <v>-0.9615315691408004</v>
      </c>
      <c r="AF20" s="576">
        <f>IF(M20="","",AB20*(1/SQRT(Z20^2+AA20^2+AB20^2)))</f>
        <v>-0.27059804371799401</v>
      </c>
      <c r="AG20" s="545">
        <f>IF(M20="","",DEGREES(ATAN2(-AF20,AE20)))</f>
        <v>-74.282124834136965</v>
      </c>
      <c r="AH20" s="546">
        <f>IF(M20="","",DEGREES(ACOS(AD20)))</f>
        <v>87.291051264141473</v>
      </c>
      <c r="AI20" s="528">
        <f>IF(M20="","",DEGREES(-ACOS(-AF20)))</f>
        <v>-74.300142973272045</v>
      </c>
      <c r="AJ20" s="529">
        <f>IF(M20="","",DEGREES(ATAN2(-AE20,AD20)))</f>
        <v>2.8140125478328644</v>
      </c>
      <c r="AK20" s="578">
        <f>IF(M20="","",(COS(RADIANS((90-$Q$8)-W20))*AD20)+(-SIN(RADIANS((90-$Q$8)-W20))*AE20))</f>
        <v>0.92540911830363937</v>
      </c>
      <c r="AL20" s="572">
        <f>IF(M20="","",(SIN(RADIANS((90-$Q$8)-W20))*AD20)+(COS(RADIANS((90-$Q$8)-W20))*AE20))</f>
        <v>-0.26531992480112659</v>
      </c>
      <c r="AM20" s="577">
        <f>IF(M20="","",AF20)</f>
        <v>-0.27059804371799401</v>
      </c>
      <c r="AN20" s="524">
        <f>IF(M20="","",DEGREES(ATAN2(-AM20,AL20)))</f>
        <v>-44.435726774968067</v>
      </c>
      <c r="AO20" s="525">
        <f t="shared" si="116"/>
        <v>22.269872401611568</v>
      </c>
      <c r="AP20" s="528">
        <f>IF(M20="","",DEGREES(ATAN2(AK20,AL20)))</f>
        <v>-15.997890654918905</v>
      </c>
      <c r="AQ20" s="529">
        <f t="shared" si="21"/>
        <v>0.70422497017892494</v>
      </c>
      <c r="AS20" s="932">
        <f t="shared" si="143"/>
        <v>289.48205676536895</v>
      </c>
      <c r="AT20" s="928">
        <f t="shared" si="22"/>
        <v>-0.46196896100937396</v>
      </c>
      <c r="AU20" s="418"/>
      <c r="AV20" s="164">
        <f t="shared" si="23"/>
        <v>2.1160000000000001</v>
      </c>
      <c r="AW20" s="829">
        <f>IFERROR(INDEX(MassProp!C$9:C$150,MATCH($M20,MassProp!$B$9:$B$150,0)),"")</f>
        <v>3.0628000000000002</v>
      </c>
      <c r="AX20" s="830">
        <f>IFERROR(INDEX(MassProp!D$9:D$150,MATCH($M20,MassProp!$B$9:$B$150,0)),"")</f>
        <v>0.23039999999999999</v>
      </c>
      <c r="AY20" s="831">
        <f>IFERROR(INDEX(MassProp!E$9:E$150,MATCH($M20,MassProp!$B$9:$B$150,0)),"")</f>
        <v>3.3700000000000001E-2</v>
      </c>
      <c r="AZ20" s="297">
        <f t="shared" si="144"/>
        <v>0.64858223875515797</v>
      </c>
      <c r="BA20" s="296">
        <f t="shared" si="24"/>
        <v>0.11274769846808282</v>
      </c>
      <c r="BB20" s="190">
        <f t="shared" si="145"/>
        <v>0.44236896100937395</v>
      </c>
      <c r="BC20" s="9"/>
      <c r="BD20" s="5">
        <f t="shared" si="146"/>
        <v>3.0628000000000002</v>
      </c>
      <c r="BE20" s="6">
        <f t="shared" si="25"/>
        <v>-6.6891364609102277E-2</v>
      </c>
      <c r="BF20" s="4">
        <f t="shared" si="26"/>
        <v>3.0641347251501796</v>
      </c>
      <c r="BG20" s="5">
        <f t="shared" si="27"/>
        <v>1.0438269448026249</v>
      </c>
      <c r="BH20" s="10">
        <f t="shared" si="28"/>
        <v>-0.50926032561847623</v>
      </c>
      <c r="BI20" s="9">
        <f t="shared" si="147"/>
        <v>3.0641347251501796</v>
      </c>
      <c r="BJ20" s="5">
        <f t="shared" si="29"/>
        <v>1.3147277186556945</v>
      </c>
      <c r="BK20" s="8">
        <f t="shared" si="30"/>
        <v>-1.4718676031339788</v>
      </c>
      <c r="BL20" s="173">
        <f t="shared" si="31"/>
        <v>4.0630172306123464</v>
      </c>
      <c r="BM20" s="5">
        <f t="shared" si="32"/>
        <v>1.0893221343443582</v>
      </c>
      <c r="BN20" s="6">
        <f t="shared" si="33"/>
        <v>-0.49645688818212347</v>
      </c>
      <c r="BO20" s="4">
        <f t="shared" si="148"/>
        <v>4.7262461654307031E-2</v>
      </c>
      <c r="BP20" s="5">
        <f t="shared" si="239"/>
        <v>-0.9615315691408004</v>
      </c>
      <c r="BQ20" s="5">
        <f t="shared" si="149"/>
        <v>-0.27059804371799379</v>
      </c>
      <c r="BR20" s="6">
        <f t="shared" si="150"/>
        <v>0.72104916234092631</v>
      </c>
      <c r="BS20" s="4">
        <f t="shared" si="118"/>
        <v>0</v>
      </c>
      <c r="BT20" s="5">
        <f t="shared" si="118"/>
        <v>0</v>
      </c>
      <c r="BU20" s="10">
        <f t="shared" si="119"/>
        <v>-6.6891364609102277E-2</v>
      </c>
      <c r="BV20" s="9">
        <f t="shared" si="120"/>
        <v>0</v>
      </c>
      <c r="BW20" s="5">
        <f t="shared" si="121"/>
        <v>1</v>
      </c>
      <c r="BX20" s="8">
        <f t="shared" si="122"/>
        <v>-6.6891364609102277E-2</v>
      </c>
      <c r="BY20" s="173">
        <f t="shared" si="123"/>
        <v>1</v>
      </c>
      <c r="BZ20" s="5">
        <f t="shared" si="124"/>
        <v>0</v>
      </c>
      <c r="CA20" s="6">
        <f t="shared" si="125"/>
        <v>-6.6891364609102277E-2</v>
      </c>
      <c r="CB20" s="4">
        <f t="shared" si="151"/>
        <v>0</v>
      </c>
      <c r="CC20" s="5">
        <f t="shared" si="152"/>
        <v>0</v>
      </c>
      <c r="CD20" s="5">
        <f t="shared" si="153"/>
        <v>-1</v>
      </c>
      <c r="CE20" s="6">
        <f t="shared" si="154"/>
        <v>-6.6891364609102277E-2</v>
      </c>
      <c r="CF20" s="4">
        <f t="shared" si="155"/>
        <v>0.9615315691408004</v>
      </c>
      <c r="CG20" s="5">
        <f t="shared" si="156"/>
        <v>4.7262461654307031E-2</v>
      </c>
      <c r="CH20" s="5">
        <f t="shared" si="157"/>
        <v>0</v>
      </c>
      <c r="CI20" s="4">
        <f t="shared" si="126"/>
        <v>0</v>
      </c>
      <c r="CJ20" s="5">
        <f t="shared" si="127"/>
        <v>0.76872133840208856</v>
      </c>
      <c r="CK20" s="8">
        <f t="shared" si="128"/>
        <v>-6.6891364609102277E-2</v>
      </c>
      <c r="CL20" s="173">
        <f t="shared" si="129"/>
        <v>0.9615315691408004</v>
      </c>
      <c r="CM20" s="5">
        <f t="shared" si="130"/>
        <v>0.81598380005639559</v>
      </c>
      <c r="CN20" s="6">
        <f t="shared" si="131"/>
        <v>-6.6891364609102277E-2</v>
      </c>
      <c r="CO20" s="167">
        <f t="shared" si="35"/>
        <v>0.3125</v>
      </c>
      <c r="CP20" s="4">
        <f t="shared" si="240"/>
        <v>0.92677669873599466</v>
      </c>
      <c r="CQ20" s="5">
        <f t="shared" si="241"/>
        <v>-5.918528877011715</v>
      </c>
      <c r="CR20" s="5">
        <f t="shared" si="158"/>
        <v>9.5626387562086883</v>
      </c>
      <c r="CS20" s="8">
        <f t="shared" si="159"/>
        <v>-0.42073904271431672</v>
      </c>
      <c r="CT20" s="9" t="e">
        <f t="shared" si="160"/>
        <v>#NUM!</v>
      </c>
      <c r="CU20" s="6" t="e">
        <f t="shared" si="161"/>
        <v>#NUM!</v>
      </c>
      <c r="CV20" s="4" t="e">
        <f t="shared" si="242"/>
        <v>#NUM!</v>
      </c>
      <c r="CW20" s="5" t="e">
        <f t="shared" si="162"/>
        <v>#NUM!</v>
      </c>
      <c r="CX20" s="8" t="e">
        <f t="shared" si="163"/>
        <v>#NUM!</v>
      </c>
      <c r="CY20" s="9" t="e">
        <f t="shared" si="164"/>
        <v>#NUM!</v>
      </c>
      <c r="CZ20" s="5" t="e">
        <f t="shared" si="165"/>
        <v>#NUM!</v>
      </c>
      <c r="DA20" s="6" t="e">
        <f t="shared" si="166"/>
        <v>#NUM!</v>
      </c>
      <c r="DB20" s="4">
        <f t="shared" si="167"/>
        <v>0</v>
      </c>
      <c r="DC20" s="5">
        <f t="shared" si="167"/>
        <v>0</v>
      </c>
      <c r="DD20" s="10">
        <f t="shared" si="168"/>
        <v>-10</v>
      </c>
      <c r="DE20" s="9">
        <f t="shared" si="169"/>
        <v>0</v>
      </c>
      <c r="DF20" s="5">
        <f t="shared" si="169"/>
        <v>0</v>
      </c>
      <c r="DG20" s="10">
        <f t="shared" si="170"/>
        <v>10</v>
      </c>
      <c r="DH20" s="70">
        <f t="shared" si="171"/>
        <v>3.0628000000000002</v>
      </c>
      <c r="DI20" s="4">
        <f t="shared" si="172"/>
        <v>0</v>
      </c>
      <c r="DJ20" s="5">
        <f t="shared" si="173"/>
        <v>0</v>
      </c>
      <c r="DK20" s="10">
        <f t="shared" si="174"/>
        <v>20</v>
      </c>
      <c r="DL20" s="9" t="e">
        <f t="shared" si="175"/>
        <v>#NUM!</v>
      </c>
      <c r="DM20" s="173" t="e">
        <f t="shared" si="176"/>
        <v>#NUM!</v>
      </c>
      <c r="DN20" s="178" t="e">
        <f t="shared" si="177"/>
        <v>#NUM!</v>
      </c>
      <c r="DO20" s="9" t="e">
        <f t="shared" si="178"/>
        <v>#NUM!</v>
      </c>
      <c r="DP20" s="173" t="e">
        <f t="shared" si="179"/>
        <v>#NUM!</v>
      </c>
      <c r="DQ20" s="11" t="e">
        <f t="shared" si="180"/>
        <v>#NUM!</v>
      </c>
      <c r="DR20" s="173" t="e">
        <f t="shared" si="181"/>
        <v>#NUM!</v>
      </c>
      <c r="DS20" s="5" t="e">
        <f t="shared" si="182"/>
        <v>#NUM!</v>
      </c>
      <c r="DT20" s="5">
        <f t="shared" si="183"/>
        <v>400</v>
      </c>
      <c r="DU20" s="5" t="e">
        <f t="shared" si="184"/>
        <v>#NUM!</v>
      </c>
      <c r="DV20" s="5" t="e">
        <f t="shared" si="185"/>
        <v>#NUM!</v>
      </c>
      <c r="DW20" s="5" t="e">
        <f t="shared" si="186"/>
        <v>#NUM!</v>
      </c>
      <c r="DX20" s="167" t="e">
        <f t="shared" si="187"/>
        <v>#NUM!</v>
      </c>
      <c r="DY20" s="9" t="e">
        <f t="shared" si="188"/>
        <v>#NUM!</v>
      </c>
      <c r="DZ20" s="5" t="e">
        <f t="shared" si="189"/>
        <v>#NUM!</v>
      </c>
      <c r="EA20" s="10" t="e">
        <f t="shared" si="190"/>
        <v>#NUM!</v>
      </c>
      <c r="EB20" s="6" t="e">
        <f t="shared" si="191"/>
        <v>#NUM!</v>
      </c>
      <c r="EC20" s="173" t="e">
        <f t="shared" si="192"/>
        <v>#NUM!</v>
      </c>
      <c r="ED20" s="5" t="e">
        <f t="shared" si="193"/>
        <v>#NUM!</v>
      </c>
      <c r="EE20" s="4" t="e">
        <f t="shared" si="194"/>
        <v>#NUM!</v>
      </c>
      <c r="EF20" s="5" t="e">
        <f t="shared" si="195"/>
        <v>#NUM!</v>
      </c>
      <c r="EG20" s="10" t="e">
        <f t="shared" si="196"/>
        <v>#NUM!</v>
      </c>
      <c r="EH20" s="9" t="e">
        <f t="shared" si="197"/>
        <v>#NUM!</v>
      </c>
      <c r="EI20" s="5" t="e">
        <f t="shared" si="198"/>
        <v>#NUM!</v>
      </c>
      <c r="EJ20" s="6" t="e">
        <f t="shared" si="199"/>
        <v>#NUM!</v>
      </c>
      <c r="EK20" s="236" t="e">
        <f t="shared" si="200"/>
        <v>#NUM!</v>
      </c>
      <c r="EL20" s="238" t="e">
        <f t="shared" si="201"/>
        <v>#NUM!</v>
      </c>
      <c r="EM20" s="4" t="e">
        <f t="shared" si="202"/>
        <v>#NUM!</v>
      </c>
      <c r="EN20" s="5" t="e">
        <f t="shared" si="203"/>
        <v>#NUM!</v>
      </c>
      <c r="EO20" s="10" t="e">
        <f t="shared" si="204"/>
        <v>#NUM!</v>
      </c>
      <c r="EP20" s="9" t="e">
        <f t="shared" si="205"/>
        <v>#NUM!</v>
      </c>
      <c r="EQ20" s="5" t="e">
        <f>IF(ISNUMBER($AV20),SQRT(EM20^2+EN20^2),"")</f>
        <v>#NUM!</v>
      </c>
      <c r="ER20" s="7" t="e">
        <f t="shared" si="207"/>
        <v>#NUM!</v>
      </c>
      <c r="ES20" s="21">
        <f t="shared" si="132"/>
        <v>4.7262461654306781E-2</v>
      </c>
      <c r="ET20" s="5">
        <f t="shared" si="44"/>
        <v>-0.9615315691408004</v>
      </c>
      <c r="EU20" s="10">
        <f t="shared" si="45"/>
        <v>-0.27059804371799401</v>
      </c>
      <c r="EV20" s="174" t="e">
        <f>IF(ISNUMBER($AV20),IF(($EV$1-EP20)&lt;0,(360+($EV$1-EP20)),($EV$1-EP20)),"")</f>
        <v>#NUM!</v>
      </c>
      <c r="EW20" s="9" t="e">
        <f t="shared" si="133"/>
        <v>#NUM!</v>
      </c>
      <c r="EX20" s="5" t="e">
        <f t="shared" si="47"/>
        <v>#NUM!</v>
      </c>
      <c r="EY20" s="6">
        <f t="shared" si="208"/>
        <v>-0.27059804371799401</v>
      </c>
      <c r="EZ20" s="51" t="e">
        <f t="shared" si="209"/>
        <v>#NUM!</v>
      </c>
      <c r="FA20" s="266" t="e">
        <f t="shared" si="134"/>
        <v>#NUM!</v>
      </c>
      <c r="FB20" s="267" t="e">
        <f t="shared" si="135"/>
        <v>#NUM!</v>
      </c>
      <c r="FC20" s="269" t="e">
        <f t="shared" si="48"/>
        <v>#NUM!</v>
      </c>
      <c r="FD20" s="4" t="e">
        <f t="shared" si="136"/>
        <v>#NUM!</v>
      </c>
      <c r="FE20" s="5" t="e">
        <f t="shared" si="49"/>
        <v>#NUM!</v>
      </c>
      <c r="FF20" s="7" t="e">
        <f t="shared" si="210"/>
        <v>#NUM!</v>
      </c>
      <c r="FG20" s="173" t="e">
        <f t="shared" si="211"/>
        <v>#NUM!</v>
      </c>
      <c r="FH20" s="5" t="e">
        <f t="shared" si="50"/>
        <v>#NUM!</v>
      </c>
      <c r="FI20" s="10" t="e">
        <f t="shared" si="51"/>
        <v>#NUM!</v>
      </c>
      <c r="FJ20" s="279" t="e">
        <f t="shared" si="212"/>
        <v>#NUM!</v>
      </c>
      <c r="FK20" s="4">
        <f t="shared" si="52"/>
        <v>0.9626924216674787</v>
      </c>
      <c r="FL20" s="5" t="e">
        <f t="shared" si="213"/>
        <v>#NUM!</v>
      </c>
      <c r="FM20" s="8" t="e">
        <f t="shared" si="214"/>
        <v>#NUM!</v>
      </c>
      <c r="FN20" s="9" t="e">
        <f t="shared" si="215"/>
        <v>#NUM!</v>
      </c>
      <c r="FO20" s="10" t="e">
        <f t="shared" si="53"/>
        <v>#NUM!</v>
      </c>
      <c r="FP20" s="277" t="e">
        <f t="shared" si="54"/>
        <v>#NUM!</v>
      </c>
      <c r="FQ20" s="173" t="e">
        <f t="shared" si="243"/>
        <v>#NUM!</v>
      </c>
      <c r="FR20" s="10" t="e">
        <f t="shared" si="216"/>
        <v>#NUM!</v>
      </c>
      <c r="FS20" s="9" t="e">
        <f t="shared" si="217"/>
        <v>#NUM!</v>
      </c>
      <c r="FT20" s="6" t="e">
        <f t="shared" si="218"/>
        <v>#NUM!</v>
      </c>
      <c r="FU20" s="4" t="e">
        <f t="shared" si="219"/>
        <v>#NUM!</v>
      </c>
      <c r="FV20" s="5" t="e">
        <f t="shared" si="220"/>
        <v>#NUM!</v>
      </c>
      <c r="FW20" s="8" t="e">
        <f t="shared" si="244"/>
        <v>#NUM!</v>
      </c>
      <c r="FX20" s="9" t="e">
        <f t="shared" si="245"/>
        <v>#NUM!</v>
      </c>
      <c r="FY20" s="10" t="e">
        <f t="shared" si="55"/>
        <v>#NUM!</v>
      </c>
      <c r="FZ20" s="277" t="e">
        <f t="shared" si="246"/>
        <v>#NUM!</v>
      </c>
      <c r="GA20" s="177" t="e">
        <f t="shared" si="221"/>
        <v>#NUM!</v>
      </c>
      <c r="GB20" s="4" t="e">
        <f t="shared" si="222"/>
        <v>#NUM!</v>
      </c>
      <c r="GC20" s="5" t="e">
        <f t="shared" si="223"/>
        <v>#NUM!</v>
      </c>
      <c r="GD20" s="10" t="e">
        <f t="shared" si="224"/>
        <v>#NUM!</v>
      </c>
      <c r="GE20" s="311" t="e">
        <f t="shared" si="225"/>
        <v>#NUM!</v>
      </c>
      <c r="GF20" s="341" t="e">
        <f t="shared" si="247"/>
        <v>#NUM!</v>
      </c>
      <c r="GG20" s="285" t="e">
        <f t="shared" si="56"/>
        <v>#NUM!</v>
      </c>
      <c r="GH20" s="286" t="e">
        <f t="shared" si="57"/>
        <v>#NUM!</v>
      </c>
      <c r="GI20" s="281" t="e">
        <f t="shared" si="58"/>
        <v>#NUM!</v>
      </c>
      <c r="GJ20" s="167">
        <f t="shared" si="226"/>
        <v>3.0628000000000002</v>
      </c>
      <c r="GK20" s="174">
        <f t="shared" si="59"/>
        <v>1.6038136467733877</v>
      </c>
      <c r="GL20" s="174">
        <f t="shared" si="227"/>
        <v>3.3700000000000001E-2</v>
      </c>
      <c r="GM20" s="177">
        <f t="shared" si="248"/>
        <v>0.64858223875515797</v>
      </c>
      <c r="GN20" s="280">
        <f t="shared" si="228"/>
        <v>0.11274769846808282</v>
      </c>
      <c r="GO20" s="4" t="e">
        <f t="shared" si="229"/>
        <v>#NUM!</v>
      </c>
      <c r="GP20" s="8" t="e">
        <f t="shared" si="249"/>
        <v>#NUM!</v>
      </c>
      <c r="GQ20" s="177" t="e">
        <f t="shared" si="230"/>
        <v>#NUM!</v>
      </c>
      <c r="GR20" s="371" t="e">
        <f t="shared" si="250"/>
        <v>#NUM!</v>
      </c>
      <c r="GS20" s="342" t="e">
        <f t="shared" si="61"/>
        <v>#NUM!</v>
      </c>
      <c r="GT20" s="343" t="e">
        <f t="shared" si="62"/>
        <v>#NUM!</v>
      </c>
      <c r="GU20" s="344">
        <f t="shared" si="63"/>
        <v>1594.4313369397632</v>
      </c>
      <c r="GV20" s="343">
        <f t="shared" si="252"/>
        <v>994.15</v>
      </c>
      <c r="GW20" s="345">
        <f t="shared" si="64"/>
        <v>29500</v>
      </c>
      <c r="GX20" s="346">
        <f t="shared" si="65"/>
        <v>253.74021833333336</v>
      </c>
      <c r="GY20" s="344" t="e">
        <f t="shared" si="66"/>
        <v>#NUM!</v>
      </c>
      <c r="GZ20" s="345" t="e">
        <f t="shared" si="67"/>
        <v>#NUM!</v>
      </c>
      <c r="HA20" s="342" t="e">
        <f t="shared" si="68"/>
        <v>#NUM!</v>
      </c>
      <c r="HB20" s="5" t="e">
        <f t="shared" si="231"/>
        <v>#NUM!</v>
      </c>
      <c r="HC20" s="343" t="e">
        <f t="shared" si="232"/>
        <v>#NUM!</v>
      </c>
      <c r="HD20" s="345" t="e">
        <f t="shared" si="233"/>
        <v>#NUM!</v>
      </c>
      <c r="HE20" s="344" t="e">
        <f t="shared" si="69"/>
        <v>#NUM!</v>
      </c>
      <c r="HF20" s="5" t="e">
        <f t="shared" si="70"/>
        <v>#NUM!</v>
      </c>
      <c r="HG20" s="343" t="e">
        <f t="shared" si="234"/>
        <v>#NUM!</v>
      </c>
      <c r="HH20" s="349" t="e">
        <f t="shared" si="235"/>
        <v>#NUM!</v>
      </c>
      <c r="HI20" s="317">
        <f t="shared" si="71"/>
        <v>2.1160000000000001</v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2.1160000000000001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1613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372" t="s">
        <v>360</v>
      </c>
      <c r="JE20" s="1373"/>
      <c r="JF20" s="1373"/>
      <c r="JG20" s="1373"/>
      <c r="JH20" s="1151" t="s">
        <v>361</v>
      </c>
      <c r="JI20" s="1152"/>
      <c r="JJ20" s="1152"/>
      <c r="JK20" s="1153"/>
    </row>
    <row r="21" spans="1:271" ht="15" customHeight="1" x14ac:dyDescent="0.25">
      <c r="A21" s="75">
        <f t="shared" si="1"/>
        <v>0.02</v>
      </c>
      <c r="B21" s="578">
        <f t="shared" si="2"/>
        <v>3.4369589539426539</v>
      </c>
      <c r="C21" s="572">
        <f t="shared" si="3"/>
        <v>1.1287644583931336</v>
      </c>
      <c r="D21" s="576">
        <f t="shared" si="4"/>
        <v>-1.178775798577455</v>
      </c>
      <c r="E21" s="580">
        <f t="shared" si="5"/>
        <v>0.12554772269889006</v>
      </c>
      <c r="F21" s="572">
        <f t="shared" si="6"/>
        <v>0.97970267756813945</v>
      </c>
      <c r="G21" s="579">
        <f t="shared" si="7"/>
        <v>0.15627038392139758</v>
      </c>
      <c r="H21" s="580">
        <f t="shared" si="8"/>
        <v>0.3125</v>
      </c>
      <c r="I21" s="572">
        <f t="shared" si="9"/>
        <v>0.52</v>
      </c>
      <c r="J21" s="483">
        <f t="shared" si="10"/>
        <v>2.121</v>
      </c>
      <c r="K21" s="806">
        <f t="shared" si="11"/>
        <v>1613</v>
      </c>
      <c r="L21" s="719" t="s">
        <v>358</v>
      </c>
      <c r="M21" s="164">
        <f t="shared" si="12"/>
        <v>2.121</v>
      </c>
      <c r="N21" s="575">
        <f t="shared" si="13"/>
        <v>3.4369589539426539</v>
      </c>
      <c r="O21" s="572">
        <f t="shared" si="14"/>
        <v>1.1287644583931336</v>
      </c>
      <c r="P21" s="576">
        <f t="shared" si="15"/>
        <v>-1.178775798577455</v>
      </c>
      <c r="Q21" s="528">
        <f t="shared" si="140"/>
        <v>18.181190442930912</v>
      </c>
      <c r="R21" s="572">
        <f>IF(M21="","",SQRT(N21^2+O21^2))</f>
        <v>3.6175676985535636</v>
      </c>
      <c r="S21" s="577">
        <f>IF(M21="","",P21)</f>
        <v>-1.178775798577455</v>
      </c>
      <c r="T21" s="578">
        <f>IF(M21="","",X21*COS(RADIANS(W21)))</f>
        <v>1.1688863312657582</v>
      </c>
      <c r="U21" s="572">
        <f>IF(M21="","",X21*SIN(RADIANS(W21)))</f>
        <v>-3.4235216953012291</v>
      </c>
      <c r="V21" s="579">
        <f>IF(M21="","",Y21)</f>
        <v>-1.178775798577455</v>
      </c>
      <c r="W21" s="528">
        <f t="shared" si="253"/>
        <v>288.85134400554819</v>
      </c>
      <c r="X21" s="572">
        <f>IF(M21="","",R21)</f>
        <v>3.6175676985535636</v>
      </c>
      <c r="Y21" s="573">
        <f t="shared" si="255"/>
        <v>-1.178775798577455</v>
      </c>
      <c r="Z21" s="575">
        <f t="shared" si="18"/>
        <v>-0.12554772269889006</v>
      </c>
      <c r="AA21" s="572">
        <f t="shared" si="19"/>
        <v>-0.97970267756813945</v>
      </c>
      <c r="AB21" s="572">
        <f t="shared" si="20"/>
        <v>-0.15627038392139758</v>
      </c>
      <c r="AC21" s="579">
        <f>IF(M21="","",SQRT(Z21^2+AA21^2+AB21^2))</f>
        <v>1</v>
      </c>
      <c r="AD21" s="580">
        <f>IF(M21="","",Z21*(1/SQRT(Z21^2+AA21^2+AB21^2)))</f>
        <v>-0.12554772269889006</v>
      </c>
      <c r="AE21" s="572">
        <f>IF(M21="","",AA21*(1/SQRT(Z21^2+AA21^2+AB21^2)))</f>
        <v>-0.97970267756813945</v>
      </c>
      <c r="AF21" s="576">
        <f>IF(M21="","",AB21*(1/SQRT(Z21^2+AA21^2+AB21^2)))</f>
        <v>-0.15627038392139758</v>
      </c>
      <c r="AG21" s="545">
        <f>IF(M21="","",DEGREES(ATAN2(-AF21,AE21)))</f>
        <v>-80.937212826769411</v>
      </c>
      <c r="AH21" s="546">
        <f>IF(M21="","",DEGREES(ACOS(AD21)))</f>
        <v>97.212387166592734</v>
      </c>
      <c r="AI21" s="528">
        <f>IF(M21="","",DEGREES(-ACOS(-AF21)))</f>
        <v>-81.009518217018666</v>
      </c>
      <c r="AJ21" s="529">
        <f>IF(M21="","",DEGREES(ATAN2(-AE21,AD21)))</f>
        <v>-7.3025843435276752</v>
      </c>
      <c r="AK21" s="578">
        <f>IF(M21="","",(COS(RADIANS((90-$Q$8)-W21))*AD21)+(-SIN(RADIANS((90-$Q$8)-W21))*AE21))</f>
        <v>0.891616785483896</v>
      </c>
      <c r="AL21" s="572">
        <f>IF(M21="","",(SIN(RADIANS((90-$Q$8)-W21))*AD21)+(COS(RADIANS((90-$Q$8)-W21))*AE21))</f>
        <v>-0.42496949884953306</v>
      </c>
      <c r="AM21" s="577">
        <f>IF(M21="","",AF21)</f>
        <v>-0.15627038392139758</v>
      </c>
      <c r="AN21" s="524">
        <f>IF(M21="","",DEGREES(ATAN2(-AM21,AL21)))</f>
        <v>-69.810444241835896</v>
      </c>
      <c r="AO21" s="525">
        <f>IF(ROUND(IF(M21="",0,DEGREES(ACOS(AK21))),4)=90,0,IF(M21="","",DEGREES(ACOS(AK21))))</f>
        <v>26.922880210706143</v>
      </c>
      <c r="AP21" s="528">
        <f>IF(M21="","",DEGREES(ATAN2(AK21,AL21)))</f>
        <v>-25.48377478645865</v>
      </c>
      <c r="AQ21" s="529">
        <f t="shared" si="21"/>
        <v>0.63015675184125297</v>
      </c>
      <c r="AS21" s="932">
        <f t="shared" si="143"/>
        <v>288.85134400554819</v>
      </c>
      <c r="AT21" s="928">
        <f t="shared" si="22"/>
        <v>-1.1310464389962549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2.121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1613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225"/>
      <c r="JE21" s="1226"/>
      <c r="JF21" s="1226"/>
      <c r="JG21" s="1226"/>
      <c r="JH21" s="1154" t="s">
        <v>349</v>
      </c>
      <c r="JI21" s="1155"/>
      <c r="JJ21" s="1374" t="s">
        <v>362</v>
      </c>
      <c r="JK21" s="1375"/>
    </row>
    <row r="22" spans="1:271" ht="15" customHeight="1" thickBot="1" x14ac:dyDescent="0.3">
      <c r="A22" s="75">
        <f t="shared" si="1"/>
        <v>0.02</v>
      </c>
      <c r="B22" s="578">
        <f t="shared" si="2"/>
        <v>3.4982147124045175</v>
      </c>
      <c r="C22" s="572">
        <f t="shared" si="3"/>
        <v>1.1306356900121282</v>
      </c>
      <c r="D22" s="576">
        <f t="shared" si="4"/>
        <v>-1.9524242904676405</v>
      </c>
      <c r="E22" s="580">
        <f t="shared" si="5"/>
        <v>0.20301361085996952</v>
      </c>
      <c r="F22" s="572">
        <f t="shared" si="6"/>
        <v>0.97820572178391085</v>
      </c>
      <c r="G22" s="579">
        <f t="shared" si="7"/>
        <v>4.3577972357774886E-2</v>
      </c>
      <c r="H22" s="580">
        <f t="shared" si="8"/>
        <v>0.3125</v>
      </c>
      <c r="I22" s="572">
        <f t="shared" si="9"/>
        <v>0.52</v>
      </c>
      <c r="J22" s="483">
        <f t="shared" si="10"/>
        <v>2.1259999999999999</v>
      </c>
      <c r="K22" s="806">
        <f t="shared" si="11"/>
        <v>1613</v>
      </c>
      <c r="L22" s="814">
        <f>IF($L21=$JJ$22,$JJ$30,IF($L21=$JK$22,$JK$30,""))</f>
        <v>670</v>
      </c>
      <c r="M22" s="164">
        <f t="shared" si="12"/>
        <v>2.1259999999999999</v>
      </c>
      <c r="N22" s="575">
        <f t="shared" si="13"/>
        <v>3.4982147124045175</v>
      </c>
      <c r="O22" s="572">
        <f t="shared" si="14"/>
        <v>1.1306356900121282</v>
      </c>
      <c r="P22" s="576">
        <f t="shared" si="15"/>
        <v>-1.9524242904676405</v>
      </c>
      <c r="Q22" s="528">
        <f t="shared" si="140"/>
        <v>17.911020835282859</v>
      </c>
      <c r="R22" s="572">
        <f t="shared" si="101"/>
        <v>3.6763899735491368</v>
      </c>
      <c r="S22" s="577">
        <f t="shared" si="102"/>
        <v>-1.9524242904676405</v>
      </c>
      <c r="T22" s="578">
        <f t="shared" si="103"/>
        <v>1.1714738895583849</v>
      </c>
      <c r="U22" s="572">
        <f t="shared" si="104"/>
        <v>-3.4847513776015027</v>
      </c>
      <c r="V22" s="579">
        <f t="shared" si="141"/>
        <v>-1.9524242904676405</v>
      </c>
      <c r="W22" s="528">
        <f t="shared" si="253"/>
        <v>288.5811743979001</v>
      </c>
      <c r="X22" s="572">
        <f t="shared" si="105"/>
        <v>3.6763899735491368</v>
      </c>
      <c r="Y22" s="573">
        <f t="shared" si="255"/>
        <v>-1.9524242904676405</v>
      </c>
      <c r="Z22" s="575">
        <f t="shared" si="18"/>
        <v>-0.20301361085996952</v>
      </c>
      <c r="AA22" s="572">
        <f t="shared" si="19"/>
        <v>-0.97820572178391085</v>
      </c>
      <c r="AB22" s="572">
        <f t="shared" si="20"/>
        <v>-4.3577972357774886E-2</v>
      </c>
      <c r="AC22" s="579">
        <f t="shared" si="106"/>
        <v>1</v>
      </c>
      <c r="AD22" s="580">
        <f t="shared" si="142"/>
        <v>-0.20301361085996952</v>
      </c>
      <c r="AE22" s="572">
        <f t="shared" si="107"/>
        <v>-0.97820572178391085</v>
      </c>
      <c r="AF22" s="576">
        <f t="shared" si="108"/>
        <v>-4.3577972357774886E-2</v>
      </c>
      <c r="AG22" s="545">
        <f t="shared" si="109"/>
        <v>-87.449223549828417</v>
      </c>
      <c r="AH22" s="546">
        <f t="shared" si="110"/>
        <v>101.713242372919</v>
      </c>
      <c r="AI22" s="528">
        <f t="shared" si="111"/>
        <v>-87.502375163624507</v>
      </c>
      <c r="AJ22" s="529">
        <f t="shared" si="112"/>
        <v>-11.724538227234742</v>
      </c>
      <c r="AK22" s="578">
        <f t="shared" si="238"/>
        <v>0.8683625068817995</v>
      </c>
      <c r="AL22" s="572">
        <f t="shared" si="113"/>
        <v>-0.49401165671180447</v>
      </c>
      <c r="AM22" s="577">
        <f t="shared" si="114"/>
        <v>-4.3577972357774886E-2</v>
      </c>
      <c r="AN22" s="524">
        <f t="shared" si="115"/>
        <v>-84.958848408102114</v>
      </c>
      <c r="AO22" s="525">
        <f t="shared" si="116"/>
        <v>29.731093753399275</v>
      </c>
      <c r="AP22" s="528">
        <f t="shared" si="117"/>
        <v>-29.635559062517622</v>
      </c>
      <c r="AQ22" s="529">
        <f t="shared" si="21"/>
        <v>0.62007503138665532</v>
      </c>
      <c r="AS22" s="932">
        <f t="shared" si="143"/>
        <v>288.5811743979001</v>
      </c>
      <c r="AT22" s="928">
        <f t="shared" si="22"/>
        <v>-1.9045073131033516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2.1259999999999999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1613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>Taper</v>
      </c>
      <c r="JI22" s="803"/>
      <c r="JJ22" s="804" t="str" cm="1">
        <f t="array" ref="JJ22">IFERROR(TRANSPOSE(_xlfn._xlws.SORT(_xlfn.UNIQUE(_xlfn._xlws.FILTER($IG$9:$IG$150,$IG$9:$IG$150&lt;&gt;"")),,1)),"")</f>
        <v>Taper</v>
      </c>
      <c r="JK22" s="803"/>
    </row>
    <row r="23" spans="1:271" ht="15" customHeight="1" thickTop="1" x14ac:dyDescent="0.25">
      <c r="A23" s="75">
        <f t="shared" si="1"/>
        <v>0</v>
      </c>
      <c r="B23" s="578">
        <f t="shared" si="2"/>
        <v>3.2315200592337208</v>
      </c>
      <c r="C23" s="572">
        <f t="shared" si="3"/>
        <v>-8.1663566517285846E-2</v>
      </c>
      <c r="D23" s="576">
        <f t="shared" si="4"/>
        <v>-0.5480174499786935</v>
      </c>
      <c r="E23" s="580">
        <f t="shared" si="5"/>
        <v>0.688640880157812</v>
      </c>
      <c r="F23" s="572">
        <f t="shared" si="6"/>
        <v>-1.7402605984944829E-2</v>
      </c>
      <c r="G23" s="579">
        <f t="shared" si="7"/>
        <v>0.72489370771196981</v>
      </c>
      <c r="H23" s="580">
        <f t="shared" si="8"/>
        <v>0.255</v>
      </c>
      <c r="I23" s="572">
        <f t="shared" si="9"/>
        <v>0.41499999999999992</v>
      </c>
      <c r="J23" s="483">
        <f t="shared" si="10"/>
        <v>2.2160000000000002</v>
      </c>
      <c r="K23" s="806" t="str">
        <f t="shared" si="11"/>
        <v>CPS-32193r1</v>
      </c>
      <c r="M23" s="164">
        <f t="shared" si="12"/>
        <v>2.2160000000000002</v>
      </c>
      <c r="N23" s="575">
        <f t="shared" si="13"/>
        <v>3.2315200592337208</v>
      </c>
      <c r="O23" s="572">
        <f t="shared" si="14"/>
        <v>-8.1663566517285846E-2</v>
      </c>
      <c r="P23" s="576">
        <f t="shared" si="15"/>
        <v>-0.5480174499786935</v>
      </c>
      <c r="Q23" s="528">
        <f t="shared" si="140"/>
        <v>358.55238959792143</v>
      </c>
      <c r="R23" s="572">
        <f t="shared" si="101"/>
        <v>3.2325517523043978</v>
      </c>
      <c r="S23" s="577">
        <f t="shared" si="102"/>
        <v>-0.5480174499786935</v>
      </c>
      <c r="T23" s="578">
        <f t="shared" si="103"/>
        <v>-4.3861735871094029E-2</v>
      </c>
      <c r="U23" s="572">
        <f t="shared" si="104"/>
        <v>-3.2322541638077609</v>
      </c>
      <c r="V23" s="579">
        <f t="shared" si="141"/>
        <v>-0.5480174499786935</v>
      </c>
      <c r="W23" s="528">
        <f t="shared" si="253"/>
        <v>269.22254316053863</v>
      </c>
      <c r="X23" s="572">
        <f t="shared" si="105"/>
        <v>3.2325517523043978</v>
      </c>
      <c r="Y23" s="573">
        <f t="shared" si="255"/>
        <v>-0.5480174499786935</v>
      </c>
      <c r="Z23" s="575">
        <f t="shared" si="18"/>
        <v>-0.688640880157812</v>
      </c>
      <c r="AA23" s="572">
        <f t="shared" si="19"/>
        <v>1.7402605984944829E-2</v>
      </c>
      <c r="AB23" s="572">
        <f t="shared" si="20"/>
        <v>-0.72489370771196981</v>
      </c>
      <c r="AC23" s="579">
        <f t="shared" si="106"/>
        <v>1</v>
      </c>
      <c r="AD23" s="580">
        <f t="shared" si="142"/>
        <v>-0.688640880157812</v>
      </c>
      <c r="AE23" s="572">
        <f t="shared" si="107"/>
        <v>1.7402605984944829E-2</v>
      </c>
      <c r="AF23" s="576">
        <f t="shared" si="108"/>
        <v>-0.72489370771196981</v>
      </c>
      <c r="AG23" s="545">
        <f t="shared" si="109"/>
        <v>1.3752421564067348</v>
      </c>
      <c r="AH23" s="546">
        <f t="shared" si="110"/>
        <v>133.5226188183492</v>
      </c>
      <c r="AI23" s="528">
        <f t="shared" si="111"/>
        <v>-43.539993713602676</v>
      </c>
      <c r="AJ23" s="529">
        <f t="shared" si="112"/>
        <v>-91.447610402078567</v>
      </c>
      <c r="AK23" s="578">
        <f t="shared" si="238"/>
        <v>1.7347234759768071E-17</v>
      </c>
      <c r="AL23" s="572">
        <f t="shared" si="113"/>
        <v>-0.68886073521401503</v>
      </c>
      <c r="AM23" s="577">
        <f t="shared" si="114"/>
        <v>-0.72489370771196981</v>
      </c>
      <c r="AN23" s="524">
        <f t="shared" si="115"/>
        <v>-43.539993713602684</v>
      </c>
      <c r="AO23" s="525">
        <f t="shared" si="116"/>
        <v>0</v>
      </c>
      <c r="AP23" s="528">
        <f t="shared" si="117"/>
        <v>-90</v>
      </c>
      <c r="AQ23" s="529">
        <f t="shared" si="21"/>
        <v>0.70520495462351473</v>
      </c>
      <c r="AS23" s="932">
        <f t="shared" si="143"/>
        <v>269.22254316053863</v>
      </c>
      <c r="AT23" s="928">
        <f t="shared" si="22"/>
        <v>-0.4866569786995702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2.2160000000000002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2.1160000000000001</v>
      </c>
      <c r="IK23" s="677" cm="1">
        <f t="array" ref="IK23">IFERROR(ROUND(VALUE(IF($IJ23&lt;1,$IJ23+LARGE((IF($M$9:$M$150="",0,$M$9:$M$150)-MOD(IF($M$9:$M$150="",0,$M$9:$M$150),1)),1),$IJ23)),4),"")</f>
        <v>2.1160000000000001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20.259513604830317</v>
      </c>
      <c r="IO23" s="702">
        <v>4.7872422140850801E-2</v>
      </c>
      <c r="IP23" s="5">
        <f t="shared" si="91"/>
        <v>1.42</v>
      </c>
      <c r="IQ23" s="714">
        <v>710</v>
      </c>
      <c r="IR23" s="9">
        <f t="shared" si="139"/>
        <v>-3.2370505563810941</v>
      </c>
      <c r="IS23" s="5">
        <f t="shared" si="92"/>
        <v>-0.50926032561847623</v>
      </c>
      <c r="IT23" s="5">
        <f t="shared" si="93"/>
        <v>0.3125</v>
      </c>
      <c r="IU23" s="5">
        <f t="shared" si="94"/>
        <v>0.28919034946988731</v>
      </c>
      <c r="IV23" s="670">
        <f t="shared" si="95"/>
        <v>44.435726774968067</v>
      </c>
      <c r="IW23" s="9">
        <f t="shared" si="96"/>
        <v>-3.2325517523043978</v>
      </c>
      <c r="IX23" s="5">
        <f t="shared" si="97"/>
        <v>-0.5480174499786935</v>
      </c>
      <c r="IY23" s="5">
        <f t="shared" si="98"/>
        <v>0.255</v>
      </c>
      <c r="IZ23" s="5">
        <f t="shared" si="99"/>
        <v>0.255</v>
      </c>
      <c r="JA23" s="705">
        <f t="shared" si="100"/>
        <v>43.539993713602684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15</v>
      </c>
      <c r="JE23" s="191"/>
      <c r="JF23" s="191"/>
      <c r="JG23" s="812"/>
      <c r="JH23" s="737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10</v>
      </c>
      <c r="JI23" s="742"/>
      <c r="JJ23" s="741" cm="1">
        <f t="array" ref="JJ23">IF(_xlfn.ANCHORARRAY($JH$23)="","",_xlfn.MINIFS($IQ$9:$IQ$150,$IM$9:$IM$150,_xlfn.ANCHORARRAY($JC$23),$IG$9:$IG$150,_xlfn.ANCHORARRAY($JJ$22),$IK$9:$IK$150,"&lt;&gt;"&amp;"",$IH$9:$IH$150,"&lt;&gt;"&amp;"Gage"))</f>
        <v>670</v>
      </c>
      <c r="JK23" s="742"/>
    </row>
    <row r="24" spans="1:271" ht="15" customHeight="1" x14ac:dyDescent="0.25">
      <c r="A24" s="75">
        <f t="shared" si="1"/>
        <v>0</v>
      </c>
      <c r="B24" s="578">
        <f t="shared" si="2"/>
        <v>3.6000821679991502</v>
      </c>
      <c r="C24" s="572">
        <f t="shared" si="3"/>
        <v>-0.10191576301175179</v>
      </c>
      <c r="D24" s="576">
        <f t="shared" si="4"/>
        <v>-1.2180734603095951</v>
      </c>
      <c r="E24" s="580">
        <f t="shared" si="5"/>
        <v>0.95622725777181083</v>
      </c>
      <c r="F24" s="572">
        <f t="shared" si="6"/>
        <v>-2.7070112858733127E-2</v>
      </c>
      <c r="G24" s="579">
        <f t="shared" si="7"/>
        <v>0.29137028071513804</v>
      </c>
      <c r="H24" s="580">
        <f t="shared" si="8"/>
        <v>0.255</v>
      </c>
      <c r="I24" s="572">
        <f t="shared" si="9"/>
        <v>0.41499999999999992</v>
      </c>
      <c r="J24" s="483">
        <f t="shared" si="10"/>
        <v>2.2210000000000001</v>
      </c>
      <c r="K24" s="806" t="str">
        <f t="shared" si="11"/>
        <v>CPS-32193r1</v>
      </c>
      <c r="L24" s="82"/>
      <c r="M24" s="164">
        <f t="shared" si="12"/>
        <v>2.2210000000000001</v>
      </c>
      <c r="N24" s="575">
        <f t="shared" si="13"/>
        <v>3.6000821679991502</v>
      </c>
      <c r="O24" s="572">
        <f t="shared" si="14"/>
        <v>-0.10191576301175179</v>
      </c>
      <c r="P24" s="576">
        <f t="shared" si="15"/>
        <v>-1.2180734603095951</v>
      </c>
      <c r="Q24" s="528">
        <f t="shared" si="140"/>
        <v>358.37843036637872</v>
      </c>
      <c r="R24" s="572">
        <f t="shared" si="101"/>
        <v>3.6015244604327941</v>
      </c>
      <c r="S24" s="577">
        <f t="shared" si="102"/>
        <v>-1.2180734603095951</v>
      </c>
      <c r="T24" s="578">
        <f t="shared" si="103"/>
        <v>-5.9801800617765036E-2</v>
      </c>
      <c r="U24" s="572">
        <f t="shared" si="104"/>
        <v>-3.6010279343180054</v>
      </c>
      <c r="V24" s="579">
        <f t="shared" si="141"/>
        <v>-1.2180734603095951</v>
      </c>
      <c r="W24" s="528">
        <f t="shared" si="253"/>
        <v>269.04858392899598</v>
      </c>
      <c r="X24" s="572">
        <f t="shared" si="105"/>
        <v>3.6015244604327941</v>
      </c>
      <c r="Y24" s="573">
        <f t="shared" si="255"/>
        <v>-1.2180734603095951</v>
      </c>
      <c r="Z24" s="575">
        <f t="shared" si="18"/>
        <v>-0.95622725777181083</v>
      </c>
      <c r="AA24" s="572">
        <f t="shared" si="19"/>
        <v>2.7070112858733127E-2</v>
      </c>
      <c r="AB24" s="572">
        <f t="shared" si="20"/>
        <v>-0.29137028071513804</v>
      </c>
      <c r="AC24" s="579">
        <f t="shared" si="106"/>
        <v>1</v>
      </c>
      <c r="AD24" s="580">
        <f t="shared" si="142"/>
        <v>-0.95622725777181083</v>
      </c>
      <c r="AE24" s="572">
        <f t="shared" si="107"/>
        <v>2.7070112858733127E-2</v>
      </c>
      <c r="AF24" s="576">
        <f t="shared" si="108"/>
        <v>-0.29137028071513804</v>
      </c>
      <c r="AG24" s="545">
        <f t="shared" si="109"/>
        <v>5.3078977525453483</v>
      </c>
      <c r="AH24" s="546">
        <f t="shared" si="110"/>
        <v>162.98481933766396</v>
      </c>
      <c r="AI24" s="528">
        <f t="shared" si="111"/>
        <v>-73.059989451442661</v>
      </c>
      <c r="AJ24" s="529">
        <f t="shared" si="112"/>
        <v>-91.621569633621277</v>
      </c>
      <c r="AK24" s="578">
        <f>IF(M24="","",(COS(RADIANS((90-$Q$8)-W24))*AD24)+(-SIN(RADIANS((90-$Q$8)-W24))*AE24))</f>
        <v>-6.3837823915946501E-16</v>
      </c>
      <c r="AL24" s="572">
        <f t="shared" si="113"/>
        <v>-0.95661034884428342</v>
      </c>
      <c r="AM24" s="577">
        <f t="shared" si="114"/>
        <v>-0.29137028071513804</v>
      </c>
      <c r="AN24" s="524">
        <f t="shared" si="115"/>
        <v>-73.059989451442661</v>
      </c>
      <c r="AO24" s="525">
        <f t="shared" si="116"/>
        <v>0</v>
      </c>
      <c r="AP24" s="528">
        <f t="shared" si="117"/>
        <v>-90.000000000000043</v>
      </c>
      <c r="AQ24" s="529">
        <f t="shared" si="21"/>
        <v>0.63296360050474876</v>
      </c>
      <c r="AS24" s="932">
        <f t="shared" si="143"/>
        <v>269.04858392899598</v>
      </c>
      <c r="AT24" s="928">
        <f t="shared" si="22"/>
        <v>-1.1565921840085671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2.2210000000000001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2.121</v>
      </c>
      <c r="IK24" s="677" cm="1">
        <f t="array" ref="IK24">IFERROR(ROUND(VALUE(IF($IJ24&lt;1,$IJ24+LARGE((IF($M$9:$M$150="",0,$M$9:$M$150)-MOD(IF($M$9:$M$150="",0,$M$9:$M$150),1)),1),$IJ24)),4),"")</f>
        <v>2.121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19.802760076552204</v>
      </c>
      <c r="IO24" s="702">
        <v>3.7440835580993002E-2</v>
      </c>
      <c r="IP24" s="5">
        <f t="shared" si="91"/>
        <v>1.64</v>
      </c>
      <c r="IQ24" s="714">
        <v>820</v>
      </c>
      <c r="IR24" s="9">
        <f t="shared" si="139"/>
        <v>-3.6175676985535636</v>
      </c>
      <c r="IS24" s="5">
        <f t="shared" si="92"/>
        <v>-1.178775798577455</v>
      </c>
      <c r="IT24" s="5">
        <f t="shared" si="93"/>
        <v>0.3125</v>
      </c>
      <c r="IU24" s="5">
        <f t="shared" si="94"/>
        <v>0.27863024546371751</v>
      </c>
      <c r="IV24" s="670">
        <f t="shared" si="95"/>
        <v>69.810444241835896</v>
      </c>
      <c r="IW24" s="9">
        <f t="shared" si="96"/>
        <v>-3.6015244604327941</v>
      </c>
      <c r="IX24" s="5">
        <f t="shared" si="97"/>
        <v>-1.2180734603095951</v>
      </c>
      <c r="IY24" s="5">
        <f t="shared" si="98"/>
        <v>0.255</v>
      </c>
      <c r="IZ24" s="5">
        <f t="shared" si="99"/>
        <v>0.255</v>
      </c>
      <c r="JA24" s="705">
        <f t="shared" si="100"/>
        <v>73.059989451442661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3.6459909250619122</v>
      </c>
      <c r="C25" s="572">
        <f t="shared" si="3"/>
        <v>-0.21071311150947059</v>
      </c>
      <c r="D25" s="576">
        <f t="shared" si="4"/>
        <v>-1.9903624469054964</v>
      </c>
      <c r="E25" s="580">
        <f t="shared" si="5"/>
        <v>0.99453516926051611</v>
      </c>
      <c r="F25" s="572">
        <f t="shared" si="6"/>
        <v>-5.747726868434868E-2</v>
      </c>
      <c r="G25" s="579">
        <f t="shared" si="7"/>
        <v>8.7155956127758907E-2</v>
      </c>
      <c r="H25" s="580">
        <f t="shared" si="8"/>
        <v>0.255</v>
      </c>
      <c r="I25" s="572">
        <f t="shared" si="9"/>
        <v>0.41499999999999992</v>
      </c>
      <c r="J25" s="483">
        <f t="shared" si="10"/>
        <v>2.226</v>
      </c>
      <c r="K25" s="806" t="str">
        <f t="shared" si="11"/>
        <v>CPS-32193r1</v>
      </c>
      <c r="L25" s="82"/>
      <c r="M25" s="164">
        <f t="shared" si="12"/>
        <v>2.226</v>
      </c>
      <c r="N25" s="575">
        <f t="shared" si="13"/>
        <v>3.6459909250619122</v>
      </c>
      <c r="O25" s="572">
        <f t="shared" si="14"/>
        <v>-0.21071311150947059</v>
      </c>
      <c r="P25" s="576">
        <f t="shared" si="15"/>
        <v>-1.9903624469054964</v>
      </c>
      <c r="Q25" s="528">
        <f t="shared" si="140"/>
        <v>356.69237864648909</v>
      </c>
      <c r="R25" s="572">
        <f>IF(M25="","",SQRT(N25^2+O25^2))</f>
        <v>3.6520747310256154</v>
      </c>
      <c r="S25" s="577">
        <f>IF(M25="","",P25)</f>
        <v>-1.9903624469054964</v>
      </c>
      <c r="T25" s="578">
        <f>IF(M25="","",X25*COS(RADIANS(W25)))</f>
        <v>-0.16805475285769134</v>
      </c>
      <c r="U25" s="572">
        <f>IF(M25="","",X25*SIN(RADIANS(W25)))</f>
        <v>-3.6482060579191193</v>
      </c>
      <c r="V25" s="579">
        <f>IF(M25="","",Y25)</f>
        <v>-1.9903624469054964</v>
      </c>
      <c r="W25" s="528">
        <f t="shared" si="253"/>
        <v>267.36253220910635</v>
      </c>
      <c r="X25" s="572">
        <f>IF(M25="","",R25)</f>
        <v>3.6520747310256154</v>
      </c>
      <c r="Y25" s="573">
        <f t="shared" si="255"/>
        <v>-1.9903624469054964</v>
      </c>
      <c r="Z25" s="575">
        <f t="shared" si="18"/>
        <v>-0.99453516926051611</v>
      </c>
      <c r="AA25" s="572">
        <f t="shared" si="19"/>
        <v>5.747726868434868E-2</v>
      </c>
      <c r="AB25" s="572">
        <f t="shared" si="20"/>
        <v>-8.7155956127758907E-2</v>
      </c>
      <c r="AC25" s="579">
        <f>IF(M25="","",SQRT(Z25^2+AA25^2+AB25^2))</f>
        <v>1</v>
      </c>
      <c r="AD25" s="580">
        <f>IF(M25="","",Z25*(1/SQRT(Z25^2+AA25^2+AB25^2)))</f>
        <v>-0.99453516926051611</v>
      </c>
      <c r="AE25" s="572">
        <f>IF(M25="","",AA25*(1/SQRT(Z25^2+AA25^2+AB25^2)))</f>
        <v>5.747726868434868E-2</v>
      </c>
      <c r="AF25" s="576">
        <f>IF(M25="","",AB25*(1/SQRT(Z25^2+AA25^2+AB25^2)))</f>
        <v>-8.7155956127758907E-2</v>
      </c>
      <c r="AG25" s="545">
        <f>IF(M25="","",DEGREES(ATAN2(-AF25,AE25)))</f>
        <v>33.40389631769586</v>
      </c>
      <c r="AH25" s="546">
        <f>IF(M25="","",DEGREES(ACOS(AD25)))</f>
        <v>174.00728029460484</v>
      </c>
      <c r="AI25" s="528">
        <f>IF(M25="","",DEGREES(-ACOS(-AF25)))</f>
        <v>-84.999987727520178</v>
      </c>
      <c r="AJ25" s="529">
        <f>IF(M25="","",DEGREES(ATAN2(-AE25,AD25)))</f>
        <v>-93.307621353510868</v>
      </c>
      <c r="AK25" s="578">
        <f>IF(M25="","",(COS(RADIANS((90-$Q$8)-W25))*AD25)+(-SIN(RADIANS((90-$Q$8)-W25))*AE25))</f>
        <v>-3.6082248300317588E-16</v>
      </c>
      <c r="AL25" s="572">
        <f>IF(M25="","",(SIN(RADIANS((90-$Q$8)-W25))*AD25)+(COS(RADIANS((90-$Q$8)-W25))*AE25))</f>
        <v>-0.99619467942338269</v>
      </c>
      <c r="AM25" s="577">
        <f>IF(M25="","",AF25)</f>
        <v>-8.7155956127758907E-2</v>
      </c>
      <c r="AN25" s="524">
        <f>IF(M25="","",DEGREES(ATAN2(-AM25,AL25)))</f>
        <v>-84.999987727520192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-90.000000000000014</v>
      </c>
      <c r="AQ25" s="529">
        <f t="shared" si="21"/>
        <v>0.62420311935318595</v>
      </c>
      <c r="AS25" s="932">
        <f t="shared" si="143"/>
        <v>267.36253220910635</v>
      </c>
      <c r="AT25" s="928">
        <f t="shared" si="22"/>
        <v>-1.9277103013545451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>Taper</v>
      </c>
      <c r="IH25" s="482" t="str">
        <f>IFERROR(IF((((($IY25*COS(RADIANS(180-$JA25)))*COS(RADIANS($JA25)))-(($IZ25*SIN(RADIANS(180-$JA25)))*SIN(RADIANS($JA25))))+$IW25)&lt;(((Settings!$C$19+$IH$8)/2)*-1),"Gage",""),"")</f>
        <v>Gage</v>
      </c>
      <c r="II25" s="788">
        <f t="shared" si="236"/>
        <v>2.226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2.1259999999999999</v>
      </c>
      <c r="IK25" s="677" cm="1">
        <f t="array" ref="IK25">IFERROR(ROUND(VALUE(IF($IJ25&lt;1,$IJ25+LARGE((IF($M$9:$M$150="",0,$M$9:$M$150)-MOD(IF($M$9:$M$150="",0,$M$9:$M$150),1)),1),$IJ25)),4),"")</f>
        <v>2.1259999999999999</v>
      </c>
      <c r="IL25" s="482">
        <f t="shared" si="88"/>
        <v>1613</v>
      </c>
      <c r="IM25" s="482" t="str">
        <f t="shared" si="237"/>
        <v>CPS-32193r1</v>
      </c>
      <c r="IN25" s="670">
        <f t="shared" si="90"/>
        <v>21.218642188793751</v>
      </c>
      <c r="IO25" s="702">
        <v>3.1174158827132301E-2</v>
      </c>
      <c r="IP25" s="5">
        <f t="shared" si="91"/>
        <v>1.74</v>
      </c>
      <c r="IQ25" s="714">
        <v>870</v>
      </c>
      <c r="IR25" s="9">
        <f t="shared" si="139"/>
        <v>-3.6763899735491368</v>
      </c>
      <c r="IS25" s="5">
        <f t="shared" si="92"/>
        <v>-1.9524242904676405</v>
      </c>
      <c r="IT25" s="5">
        <f t="shared" si="93"/>
        <v>0.3125</v>
      </c>
      <c r="IU25" s="5">
        <f t="shared" si="94"/>
        <v>0.27136328340056237</v>
      </c>
      <c r="IV25" s="670">
        <f t="shared" si="95"/>
        <v>84.958848408102114</v>
      </c>
      <c r="IW25" s="9">
        <f t="shared" si="96"/>
        <v>-3.6520747310256154</v>
      </c>
      <c r="IX25" s="5">
        <f t="shared" si="97"/>
        <v>-1.9903624469054964</v>
      </c>
      <c r="IY25" s="5">
        <f t="shared" si="98"/>
        <v>0.255</v>
      </c>
      <c r="IZ25" s="5">
        <f t="shared" si="99"/>
        <v>0.255</v>
      </c>
      <c r="JA25" s="705">
        <f t="shared" si="100"/>
        <v>84.999987727520192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0.6178585744190902</v>
      </c>
      <c r="C26" s="572">
        <f t="shared" si="3"/>
        <v>-0.64490767385860126</v>
      </c>
      <c r="D26" s="576">
        <f t="shared" si="4"/>
        <v>-0.49478166389425526</v>
      </c>
      <c r="E26" s="580">
        <f t="shared" si="5"/>
        <v>0.66178866743937248</v>
      </c>
      <c r="F26" s="572">
        <f t="shared" si="6"/>
        <v>0.69063052227153965</v>
      </c>
      <c r="G26" s="579">
        <f t="shared" si="7"/>
        <v>0.29165946128277759</v>
      </c>
      <c r="H26" s="580">
        <f t="shared" si="8"/>
        <v>0.375</v>
      </c>
      <c r="I26" s="572">
        <f t="shared" si="9"/>
        <v>0.52</v>
      </c>
      <c r="J26" s="483">
        <f t="shared" si="10"/>
        <v>3.1030000000000002</v>
      </c>
      <c r="K26" s="806">
        <f t="shared" si="11"/>
        <v>1913</v>
      </c>
      <c r="L26" s="162"/>
      <c r="M26" s="164">
        <f t="shared" si="12"/>
        <v>3.1030000000000002</v>
      </c>
      <c r="N26" s="575">
        <f t="shared" si="13"/>
        <v>0.6178585744190902</v>
      </c>
      <c r="O26" s="572">
        <f t="shared" si="14"/>
        <v>-0.64490767385860126</v>
      </c>
      <c r="P26" s="576">
        <f t="shared" si="15"/>
        <v>-0.49478166389425526</v>
      </c>
      <c r="Q26" s="528">
        <f t="shared" si="140"/>
        <v>313.7728827333658</v>
      </c>
      <c r="R26" s="572">
        <f>IF(M26="","",SQRT(N26^2+O26^2))</f>
        <v>0.89311540451662941</v>
      </c>
      <c r="S26" s="577">
        <f>IF(M26="","",P26)</f>
        <v>-0.49478166389425526</v>
      </c>
      <c r="T26" s="578">
        <f>IF(M26="","",X26*COS(RADIANS(W26)))</f>
        <v>-0.63763701321428601</v>
      </c>
      <c r="U26" s="572">
        <f>IF(M26="","",X26*SIN(RADIANS(W26)))</f>
        <v>-0.62535922889493445</v>
      </c>
      <c r="V26" s="579">
        <f>IF(M26="","",Y26)</f>
        <v>-0.49478166389425526</v>
      </c>
      <c r="W26" s="528">
        <f t="shared" si="253"/>
        <v>224.44303629598303</v>
      </c>
      <c r="X26" s="572">
        <f>IF(M26="","",R26)</f>
        <v>0.89311540451662941</v>
      </c>
      <c r="Y26" s="573">
        <f t="shared" si="255"/>
        <v>-0.49478166389425526</v>
      </c>
      <c r="Z26" s="575">
        <f t="shared" si="18"/>
        <v>-0.66178866743937248</v>
      </c>
      <c r="AA26" s="572">
        <f t="shared" si="19"/>
        <v>-0.69063052227153965</v>
      </c>
      <c r="AB26" s="572">
        <f t="shared" si="20"/>
        <v>-0.29165946128277759</v>
      </c>
      <c r="AC26" s="579">
        <f>IF(M26="","",SQRT(Z26^2+AA26^2+AB26^2))</f>
        <v>1</v>
      </c>
      <c r="AD26" s="580">
        <f>IF(M26="","",Z26*(1/SQRT(Z26^2+AA26^2+AB26^2)))</f>
        <v>-0.66178866743937248</v>
      </c>
      <c r="AE26" s="572">
        <f>IF(M26="","",AA26*(1/SQRT(Z26^2+AA26^2+AB26^2)))</f>
        <v>-0.69063052227153965</v>
      </c>
      <c r="AF26" s="576">
        <f>IF(M26="","",AB26*(1/SQRT(Z26^2+AA26^2+AB26^2)))</f>
        <v>-0.29165946128277759</v>
      </c>
      <c r="AG26" s="545">
        <f>IF(M26="","",DEGREES(ATAN2(-AF26,AE26)))</f>
        <v>-67.105230420468843</v>
      </c>
      <c r="AH26" s="546">
        <f>IF(M26="","",DEGREES(ACOS(AD26)))</f>
        <v>131.43642981788125</v>
      </c>
      <c r="AI26" s="528">
        <f>IF(M26="","",DEGREES(-ACOS(-AF26)))</f>
        <v>-73.042668303728448</v>
      </c>
      <c r="AJ26" s="529">
        <f>IF(M26="","",DEGREES(ATAN2(-AE26,AD26)))</f>
        <v>-43.77828848279551</v>
      </c>
      <c r="AK26" s="578">
        <f>IF(M26="","",(COS(RADIANS((90-$Q$8)-W26))*AD26)+(-SIN(RADIANS((90-$Q$8)-W26))*AE26))</f>
        <v>0.95564870533976165</v>
      </c>
      <c r="AL26" s="572">
        <f>IF(M26="","",(SIN(RADIANS((90-$Q$8)-W26))*AD26)+(COS(RADIANS((90-$Q$8)-W26))*AE26))</f>
        <v>4.0869433892303186E-2</v>
      </c>
      <c r="AM26" s="577">
        <f>IF(M26="","",AF26)</f>
        <v>-0.29165946128277759</v>
      </c>
      <c r="AN26" s="524">
        <f>IF(M26="","",DEGREES(ATAN2(-AM26,AL26)))</f>
        <v>7.9767601641004298</v>
      </c>
      <c r="AO26" s="525">
        <f t="shared" si="116"/>
        <v>17.128097297467228</v>
      </c>
      <c r="AP26" s="528">
        <f>IF(M26="","",DEGREES(ATAN2(AK26,AL26)))</f>
        <v>2.4488287838386937</v>
      </c>
      <c r="AQ26" s="529">
        <f t="shared" si="21"/>
        <v>2.5508687759846795</v>
      </c>
      <c r="AS26" s="932">
        <f t="shared" si="143"/>
        <v>224.44303629598303</v>
      </c>
      <c r="AT26" s="928">
        <f t="shared" si="22"/>
        <v>-0.40232431284807946</v>
      </c>
      <c r="AU26" s="418"/>
      <c r="AV26" s="164">
        <f t="shared" si="23"/>
        <v>3.1030000000000002</v>
      </c>
      <c r="AW26" s="829">
        <f>IFERROR(INDEX(MassProp!C$9:C$150,MATCH($M26,MassProp!$B$9:$B$150,0)),"")</f>
        <v>0.69930000000000003</v>
      </c>
      <c r="AX26" s="830">
        <f>IFERROR(INDEX(MassProp!D$9:D$150,MATCH($M26,MassProp!$B$9:$B$150,0)),"")</f>
        <v>5.91E-2</v>
      </c>
      <c r="AY26" s="831">
        <f>IFERROR(INDEX(MassProp!E$9:E$150,MATCH($M26,MassProp!$B$9:$B$150,0)),"")</f>
        <v>6.0400000000000002E-2</v>
      </c>
      <c r="AZ26" s="297">
        <f t="shared" si="144"/>
        <v>0.26581665411209499</v>
      </c>
      <c r="BA26" s="296">
        <f t="shared" si="24"/>
        <v>4.6208813894052701E-2</v>
      </c>
      <c r="BB26" s="190">
        <f t="shared" si="145"/>
        <v>0.21142431284807944</v>
      </c>
      <c r="BC26" s="9"/>
      <c r="BD26" s="5">
        <f t="shared" si="146"/>
        <v>0.69930000000000003</v>
      </c>
      <c r="BE26" s="6">
        <f t="shared" si="25"/>
        <v>-0.28335735104617582</v>
      </c>
      <c r="BF26" s="4">
        <f t="shared" si="26"/>
        <v>0.6178585744190902</v>
      </c>
      <c r="BG26" s="5">
        <f t="shared" si="27"/>
        <v>-0.64490767385860126</v>
      </c>
      <c r="BH26" s="10">
        <f t="shared" si="28"/>
        <v>-0.49478166389425526</v>
      </c>
      <c r="BI26" s="9">
        <f t="shared" si="147"/>
        <v>0.6178585744190902</v>
      </c>
      <c r="BJ26" s="5">
        <f t="shared" si="29"/>
        <v>-0.25586781856680413</v>
      </c>
      <c r="BK26" s="8">
        <f t="shared" si="30"/>
        <v>-1.4160025879914762</v>
      </c>
      <c r="BL26" s="173">
        <f t="shared" si="31"/>
        <v>1.3675490169677595</v>
      </c>
      <c r="BM26" s="5">
        <f t="shared" si="32"/>
        <v>-1.2545612416341685</v>
      </c>
      <c r="BN26" s="6">
        <f t="shared" si="33"/>
        <v>-0.75224383130861994</v>
      </c>
      <c r="BO26" s="4">
        <f t="shared" si="148"/>
        <v>-0.66178866743937259</v>
      </c>
      <c r="BP26" s="5">
        <f t="shared" si="239"/>
        <v>-0.69063052227153976</v>
      </c>
      <c r="BQ26" s="5">
        <f t="shared" si="149"/>
        <v>-0.2916594612827777</v>
      </c>
      <c r="BR26" s="6">
        <f t="shared" si="150"/>
        <v>-0.18080887452708444</v>
      </c>
      <c r="BS26" s="4">
        <f t="shared" si="118"/>
        <v>0</v>
      </c>
      <c r="BT26" s="5">
        <f t="shared" si="118"/>
        <v>0</v>
      </c>
      <c r="BU26" s="10">
        <f t="shared" si="119"/>
        <v>-0.28335735104617582</v>
      </c>
      <c r="BV26" s="9">
        <f t="shared" si="120"/>
        <v>0</v>
      </c>
      <c r="BW26" s="5">
        <f t="shared" si="121"/>
        <v>1</v>
      </c>
      <c r="BX26" s="8">
        <f t="shared" si="122"/>
        <v>-0.28335735104617582</v>
      </c>
      <c r="BY26" s="173">
        <f t="shared" si="123"/>
        <v>1</v>
      </c>
      <c r="BZ26" s="5">
        <f t="shared" si="124"/>
        <v>0</v>
      </c>
      <c r="CA26" s="6">
        <f t="shared" si="125"/>
        <v>-0.28335735104617582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-0.28335735104617582</v>
      </c>
      <c r="CF26" s="4">
        <f t="shared" si="155"/>
        <v>0.69063052227153976</v>
      </c>
      <c r="CG26" s="5">
        <f t="shared" si="156"/>
        <v>-0.66178866743937259</v>
      </c>
      <c r="CH26" s="5">
        <f t="shared" si="157"/>
        <v>0</v>
      </c>
      <c r="CI26" s="4">
        <f t="shared" si="126"/>
        <v>0</v>
      </c>
      <c r="CJ26" s="5">
        <f t="shared" si="127"/>
        <v>-0.14213826207328509</v>
      </c>
      <c r="CK26" s="8">
        <f t="shared" si="128"/>
        <v>-0.28335735104617582</v>
      </c>
      <c r="CL26" s="173">
        <f t="shared" si="129"/>
        <v>0.69063052227153976</v>
      </c>
      <c r="CM26" s="5">
        <f t="shared" si="130"/>
        <v>-0.80392692951265765</v>
      </c>
      <c r="CN26" s="6">
        <f t="shared" si="131"/>
        <v>-0.28335735104617582</v>
      </c>
      <c r="CO26" s="167">
        <f t="shared" si="35"/>
        <v>0.375</v>
      </c>
      <c r="CP26" s="4">
        <f t="shared" si="240"/>
        <v>0.91493475864424023</v>
      </c>
      <c r="CQ26" s="5">
        <f t="shared" si="241"/>
        <v>-1.5188781779913738</v>
      </c>
      <c r="CR26" s="5">
        <f t="shared" si="158"/>
        <v>0.53860153947342571</v>
      </c>
      <c r="CS26" s="8">
        <f t="shared" si="159"/>
        <v>0.33584984148425567</v>
      </c>
      <c r="CT26" s="9">
        <f t="shared" si="160"/>
        <v>1.1467504592616384</v>
      </c>
      <c r="CU26" s="6">
        <f t="shared" si="161"/>
        <v>0.51334405965473018</v>
      </c>
      <c r="CV26" s="4">
        <f t="shared" si="242"/>
        <v>0.79198086859499339</v>
      </c>
      <c r="CW26" s="5">
        <f t="shared" si="162"/>
        <v>-0.90104472039353334</v>
      </c>
      <c r="CX26" s="8">
        <f t="shared" si="163"/>
        <v>-0.28335735104617582</v>
      </c>
      <c r="CY26" s="9">
        <f t="shared" si="164"/>
        <v>0.35453107602433875</v>
      </c>
      <c r="CZ26" s="5">
        <f t="shared" si="165"/>
        <v>-0.48186354325010672</v>
      </c>
      <c r="DA26" s="6">
        <f t="shared" si="166"/>
        <v>-0.28335735104617582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0.69930000000000003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0.79198086859499339</v>
      </c>
      <c r="DM26" s="173">
        <f t="shared" si="176"/>
        <v>-0.90104472039353334</v>
      </c>
      <c r="DN26" s="178">
        <f t="shared" si="177"/>
        <v>9.7166426489538242</v>
      </c>
      <c r="DO26" s="9">
        <f t="shared" si="178"/>
        <v>-0.43744979257065464</v>
      </c>
      <c r="DP26" s="173">
        <f t="shared" si="179"/>
        <v>0.41918117714342662</v>
      </c>
      <c r="DQ26" s="11">
        <f t="shared" si="180"/>
        <v>0</v>
      </c>
      <c r="DR26" s="173">
        <f t="shared" si="181"/>
        <v>194.33285297907648</v>
      </c>
      <c r="DS26" s="5">
        <f t="shared" si="182"/>
        <v>0</v>
      </c>
      <c r="DT26" s="5">
        <f t="shared" si="183"/>
        <v>400</v>
      </c>
      <c r="DU26" s="5">
        <f t="shared" si="184"/>
        <v>0.36707518029145758</v>
      </c>
      <c r="DV26" s="5">
        <f t="shared" si="185"/>
        <v>-0.7241528532402377</v>
      </c>
      <c r="DW26" s="5">
        <f t="shared" si="186"/>
        <v>95.852259651837926</v>
      </c>
      <c r="DX26" s="167">
        <f t="shared" si="187"/>
        <v>95.363239161837924</v>
      </c>
      <c r="DY26" s="9">
        <f t="shared" si="188"/>
        <v>146.83007211658304</v>
      </c>
      <c r="DZ26" s="5">
        <f t="shared" si="189"/>
        <v>-289.66114129609508</v>
      </c>
      <c r="EA26" s="10">
        <f t="shared" si="190"/>
        <v>380.03791774781712</v>
      </c>
      <c r="EB26" s="6">
        <f t="shared" si="191"/>
        <v>28102.581907008316</v>
      </c>
      <c r="EC26" s="173">
        <f t="shared" si="192"/>
        <v>3.1144804456777764</v>
      </c>
      <c r="ED26" s="5">
        <f t="shared" si="193"/>
        <v>0.83104838394922576</v>
      </c>
      <c r="EE26" s="4">
        <f t="shared" si="194"/>
        <v>-0.57044795633210987</v>
      </c>
      <c r="EF26" s="5">
        <f t="shared" si="195"/>
        <v>0.4044868590158609</v>
      </c>
      <c r="EG26" s="10">
        <f t="shared" si="196"/>
        <v>-0.28335735104617582</v>
      </c>
      <c r="EH26" s="9">
        <f t="shared" si="197"/>
        <v>0.42843892542022682</v>
      </c>
      <c r="EI26" s="5">
        <f t="shared" si="198"/>
        <v>-0.55268488054655451</v>
      </c>
      <c r="EJ26" s="6">
        <f t="shared" si="199"/>
        <v>-0.28335735104617582</v>
      </c>
      <c r="EK26" s="236" t="b">
        <f t="shared" si="200"/>
        <v>0</v>
      </c>
      <c r="EL26" s="238" t="b">
        <f t="shared" si="201"/>
        <v>1</v>
      </c>
      <c r="EM26" s="4">
        <f t="shared" si="202"/>
        <v>0.42843892542022682</v>
      </c>
      <c r="EN26" s="5">
        <f t="shared" si="203"/>
        <v>-0.55268488054655451</v>
      </c>
      <c r="EO26" s="10">
        <f t="shared" si="204"/>
        <v>-0.28335735104617582</v>
      </c>
      <c r="EP26" s="9">
        <f t="shared" si="205"/>
        <v>307.78268776683404</v>
      </c>
      <c r="EQ26" s="5">
        <f t="shared" si="206"/>
        <v>0.69929999999999848</v>
      </c>
      <c r="ER26" s="7">
        <f t="shared" si="207"/>
        <v>-0.28335735104617582</v>
      </c>
      <c r="ES26" s="21">
        <f t="shared" si="132"/>
        <v>-0.66178866743937248</v>
      </c>
      <c r="ET26" s="5">
        <f t="shared" si="44"/>
        <v>-0.69063052227153965</v>
      </c>
      <c r="EU26" s="10">
        <f t="shared" si="45"/>
        <v>-0.29165946128277759</v>
      </c>
      <c r="EV26" s="174">
        <f t="shared" si="254"/>
        <v>142.21731223316596</v>
      </c>
      <c r="EW26" s="9">
        <f t="shared" si="133"/>
        <v>0.94616557905794774</v>
      </c>
      <c r="EX26" s="5">
        <f t="shared" si="47"/>
        <v>0.14037612207985456</v>
      </c>
      <c r="EY26" s="6">
        <f t="shared" si="208"/>
        <v>-0.29165946128277759</v>
      </c>
      <c r="EZ26" s="51">
        <f t="shared" si="209"/>
        <v>3.2565011987583805</v>
      </c>
      <c r="FA26" s="266">
        <f t="shared" si="134"/>
        <v>-0.78906395299429033</v>
      </c>
      <c r="FB26" s="267">
        <f t="shared" si="135"/>
        <v>-0.611678958495108</v>
      </c>
      <c r="FC26" s="269">
        <f t="shared" si="48"/>
        <v>-5.6806072029002209E-2</v>
      </c>
      <c r="FD26" s="4">
        <f t="shared" si="136"/>
        <v>0.99838523135142365</v>
      </c>
      <c r="FE26" s="5">
        <f t="shared" si="49"/>
        <v>-3.3306690738754696E-16</v>
      </c>
      <c r="FF26" s="7">
        <f t="shared" si="210"/>
        <v>-5.6806072029002209E-2</v>
      </c>
      <c r="FG26" s="173">
        <f t="shared" si="211"/>
        <v>-5.2219652293475916E-2</v>
      </c>
      <c r="FH26" s="5">
        <f t="shared" si="50"/>
        <v>0.14037612207985489</v>
      </c>
      <c r="FI26" s="10">
        <f t="shared" si="51"/>
        <v>-0.23485338925377539</v>
      </c>
      <c r="FJ26" s="279">
        <f t="shared" si="212"/>
        <v>16.011621246993194</v>
      </c>
      <c r="FK26" s="4">
        <f t="shared" si="52"/>
        <v>0.95652222067458526</v>
      </c>
      <c r="FL26" s="5">
        <f t="shared" si="213"/>
        <v>0.99838523135142365</v>
      </c>
      <c r="FM26" s="8">
        <f t="shared" si="214"/>
        <v>0.14977432268526489</v>
      </c>
      <c r="FN26" s="9">
        <f t="shared" si="215"/>
        <v>8.4390237503704686</v>
      </c>
      <c r="FO26" s="10">
        <f t="shared" si="53"/>
        <v>-1</v>
      </c>
      <c r="FP26" s="277">
        <f t="shared" si="54"/>
        <v>-8.4390237503704686</v>
      </c>
      <c r="FQ26" s="173">
        <f t="shared" si="243"/>
        <v>0.1467567810195301</v>
      </c>
      <c r="FR26" s="10">
        <f t="shared" si="216"/>
        <v>0.98917260739710422</v>
      </c>
      <c r="FS26" s="9">
        <f>IF(ISNUMBER($AV26),FQ26/(FQ26+FR26),"")</f>
        <v>0.12919533777015274</v>
      </c>
      <c r="FT26" s="6">
        <f t="shared" si="218"/>
        <v>0.8708046622298472</v>
      </c>
      <c r="FU26" s="4">
        <f t="shared" si="219"/>
        <v>0.99009824984686323</v>
      </c>
      <c r="FV26" s="5">
        <f t="shared" si="220"/>
        <v>1</v>
      </c>
      <c r="FW26" s="8">
        <f t="shared" si="244"/>
        <v>0.2405888744926433</v>
      </c>
      <c r="FX26" s="9">
        <f t="shared" si="245"/>
        <v>13.875629934974869</v>
      </c>
      <c r="FY26" s="10">
        <f t="shared" si="55"/>
        <v>1</v>
      </c>
      <c r="FZ26" s="277">
        <f t="shared" si="246"/>
        <v>13.875629934974869</v>
      </c>
      <c r="GA26" s="177">
        <f t="shared" si="221"/>
        <v>13.737553184217358</v>
      </c>
      <c r="GB26" s="4">
        <f t="shared" si="222"/>
        <v>0.14247420855906531</v>
      </c>
      <c r="GC26" s="5">
        <f t="shared" si="223"/>
        <v>0.96030713802897116</v>
      </c>
      <c r="GD26" s="10">
        <f t="shared" si="224"/>
        <v>-0.23981513827545245</v>
      </c>
      <c r="GE26" s="311">
        <f t="shared" si="225"/>
        <v>1.342596484863489</v>
      </c>
      <c r="GF26" s="341">
        <f>IF(ISNUMBER($AV26),1/GE26,"")</f>
        <v>0.74482542690529752</v>
      </c>
      <c r="GG26" s="285">
        <f t="shared" si="56"/>
        <v>0.10611841321300021</v>
      </c>
      <c r="GH26" s="286">
        <f t="shared" si="57"/>
        <v>0.7152611740426329</v>
      </c>
      <c r="GI26" s="281">
        <f t="shared" si="58"/>
        <v>0.17862041274436682</v>
      </c>
      <c r="GJ26" s="167">
        <f t="shared" si="226"/>
        <v>0.69930000000000003</v>
      </c>
      <c r="GK26" s="174">
        <f t="shared" si="59"/>
        <v>0.36674483183236067</v>
      </c>
      <c r="GL26" s="174">
        <f t="shared" si="227"/>
        <v>6.0400000000000002E-2</v>
      </c>
      <c r="GM26" s="177">
        <f t="shared" si="248"/>
        <v>0.26581665411209499</v>
      </c>
      <c r="GN26" s="280">
        <f t="shared" si="228"/>
        <v>4.6208813894052701E-2</v>
      </c>
      <c r="GO26" s="4">
        <f t="shared" si="229"/>
        <v>-8.4390237503704686</v>
      </c>
      <c r="GP26" s="8">
        <f t="shared" si="249"/>
        <v>13.875629934974869</v>
      </c>
      <c r="GQ26" s="177">
        <f t="shared" si="230"/>
        <v>16.011621246993194</v>
      </c>
      <c r="GR26" s="371">
        <f t="shared" si="250"/>
        <v>913.60465949176557</v>
      </c>
      <c r="GS26" s="342">
        <f t="shared" si="61"/>
        <v>96.95027676926955</v>
      </c>
      <c r="GT26" s="343">
        <f t="shared" si="62"/>
        <v>264.35349145856702</v>
      </c>
      <c r="GU26" s="344">
        <f t="shared" si="63"/>
        <v>653.46594135890018</v>
      </c>
      <c r="GV26" s="343">
        <f t="shared" si="252"/>
        <v>1781.8</v>
      </c>
      <c r="GW26" s="345">
        <f t="shared" si="64"/>
        <v>29500</v>
      </c>
      <c r="GX26" s="346">
        <f t="shared" si="65"/>
        <v>103.834395</v>
      </c>
      <c r="GY26" s="344">
        <f t="shared" si="66"/>
        <v>163.1884413635959</v>
      </c>
      <c r="GZ26" s="345">
        <f t="shared" si="67"/>
        <v>444.96452901124849</v>
      </c>
      <c r="HA26" s="342">
        <f t="shared" si="68"/>
        <v>-96.95027676926955</v>
      </c>
      <c r="HB26" s="5">
        <f t="shared" si="231"/>
        <v>142.21731223316596</v>
      </c>
      <c r="HC26" s="343">
        <f t="shared" si="232"/>
        <v>76.623698177004528</v>
      </c>
      <c r="HD26" s="363">
        <f t="shared" si="233"/>
        <v>-59.398358927812801</v>
      </c>
      <c r="HE26" s="344">
        <f t="shared" si="69"/>
        <v>1781.8</v>
      </c>
      <c r="HF26" s="5">
        <f t="shared" si="70"/>
        <v>232.21731223316596</v>
      </c>
      <c r="HG26" s="343">
        <f t="shared" si="234"/>
        <v>-1091.6523342110131</v>
      </c>
      <c r="HH26" s="349">
        <f t="shared" si="235"/>
        <v>-1408.2281140538441</v>
      </c>
      <c r="HI26" s="317">
        <f t="shared" si="71"/>
        <v>3.1030000000000002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3.1030000000000002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1913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1.1746994742024568</v>
      </c>
      <c r="C27" s="572">
        <f t="shared" si="3"/>
        <v>-1.202021330125232</v>
      </c>
      <c r="D27" s="576">
        <f t="shared" si="4"/>
        <v>-0.14102300150006974</v>
      </c>
      <c r="E27" s="580">
        <f t="shared" si="5"/>
        <v>0.6798190867353664</v>
      </c>
      <c r="F27" s="572">
        <f t="shared" si="6"/>
        <v>0.68620633450622792</v>
      </c>
      <c r="G27" s="579">
        <f t="shared" si="7"/>
        <v>0.25877958921410221</v>
      </c>
      <c r="H27" s="580">
        <f t="shared" si="8"/>
        <v>0.3125</v>
      </c>
      <c r="I27" s="572">
        <f t="shared" si="9"/>
        <v>0.52</v>
      </c>
      <c r="J27" s="483">
        <f t="shared" si="10"/>
        <v>3.1059999999999999</v>
      </c>
      <c r="K27" s="806">
        <f t="shared" si="11"/>
        <v>1613</v>
      </c>
      <c r="L27" s="309"/>
      <c r="M27" s="164">
        <f t="shared" si="12"/>
        <v>3.1059999999999999</v>
      </c>
      <c r="N27" s="575">
        <f t="shared" si="13"/>
        <v>1.1746994742024568</v>
      </c>
      <c r="O27" s="572">
        <f t="shared" si="14"/>
        <v>-1.202021330125232</v>
      </c>
      <c r="P27" s="576">
        <f t="shared" si="15"/>
        <v>-0.14102300150006974</v>
      </c>
      <c r="Q27" s="528">
        <f t="shared" si="140"/>
        <v>314.3413790635866</v>
      </c>
      <c r="R27" s="572">
        <f t="shared" si="101"/>
        <v>1.6807064386047792</v>
      </c>
      <c r="S27" s="577">
        <f t="shared" si="102"/>
        <v>-0.14102300150006974</v>
      </c>
      <c r="T27" s="578">
        <f t="shared" si="103"/>
        <v>-1.1881996841307871</v>
      </c>
      <c r="U27" s="572">
        <f t="shared" si="104"/>
        <v>-1.188678107562791</v>
      </c>
      <c r="V27" s="579">
        <f t="shared" si="141"/>
        <v>-0.14102300150006974</v>
      </c>
      <c r="W27" s="528">
        <f t="shared" si="253"/>
        <v>225.01153262620383</v>
      </c>
      <c r="X27" s="572">
        <f t="shared" si="105"/>
        <v>1.6807064386047792</v>
      </c>
      <c r="Y27" s="573">
        <f t="shared" si="255"/>
        <v>-0.14102300150006974</v>
      </c>
      <c r="Z27" s="575">
        <f t="shared" si="18"/>
        <v>-0.6798190867353664</v>
      </c>
      <c r="AA27" s="572">
        <f t="shared" si="19"/>
        <v>-0.68620633450622792</v>
      </c>
      <c r="AB27" s="572">
        <f t="shared" si="20"/>
        <v>-0.25877958921410221</v>
      </c>
      <c r="AC27" s="579">
        <f t="shared" si="106"/>
        <v>1</v>
      </c>
      <c r="AD27" s="580">
        <f t="shared" si="142"/>
        <v>-0.6798190867353664</v>
      </c>
      <c r="AE27" s="572">
        <f t="shared" si="107"/>
        <v>-0.68620633450622792</v>
      </c>
      <c r="AF27" s="576">
        <f t="shared" si="108"/>
        <v>-0.25877958921410221</v>
      </c>
      <c r="AG27" s="545">
        <f t="shared" si="109"/>
        <v>-69.337723353606663</v>
      </c>
      <c r="AH27" s="546">
        <f t="shared" si="110"/>
        <v>132.82950746025836</v>
      </c>
      <c r="AI27" s="528">
        <f t="shared" si="111"/>
        <v>-75.002340390380908</v>
      </c>
      <c r="AJ27" s="529">
        <f t="shared" si="112"/>
        <v>-44.732098929268652</v>
      </c>
      <c r="AK27" s="578">
        <f t="shared" si="238"/>
        <v>0.96581010576037607</v>
      </c>
      <c r="AL27" s="572">
        <f t="shared" si="113"/>
        <v>1.5619341129257447E-2</v>
      </c>
      <c r="AM27" s="577">
        <f t="shared" si="114"/>
        <v>-0.25877958921410221</v>
      </c>
      <c r="AN27" s="524">
        <f t="shared" si="115"/>
        <v>3.4540511789656145</v>
      </c>
      <c r="AO27" s="525">
        <f t="shared" si="116"/>
        <v>15.025596167188894</v>
      </c>
      <c r="AP27" s="528">
        <f t="shared" si="117"/>
        <v>0.92652200714474064</v>
      </c>
      <c r="AQ27" s="529">
        <f t="shared" si="21"/>
        <v>1.3561564542976112</v>
      </c>
      <c r="AS27" s="932">
        <f t="shared" si="143"/>
        <v>225.01153262620383</v>
      </c>
      <c r="AT27" s="928">
        <f t="shared" si="22"/>
        <v>-4.8960439572102818E-2</v>
      </c>
      <c r="AU27" s="418"/>
      <c r="AV27" s="164">
        <f t="shared" si="23"/>
        <v>3.1059999999999999</v>
      </c>
      <c r="AW27" s="829">
        <f>IFERROR(INDEX(MassProp!C$9:C$150,MATCH($M27,MassProp!$B$9:$B$150,0)),"")</f>
        <v>1.3966000000000001</v>
      </c>
      <c r="AX27" s="830">
        <f>IFERROR(INDEX(MassProp!D$9:D$150,MATCH($M27,MassProp!$B$9:$B$150,0)),"")</f>
        <v>0.24829999999999999</v>
      </c>
      <c r="AY27" s="831">
        <f>IFERROR(INDEX(MassProp!E$9:E$150,MATCH($M27,MassProp!$B$9:$B$150,0)),"")</f>
        <v>6.0299999999999999E-2</v>
      </c>
      <c r="AZ27" s="297">
        <f t="shared" si="144"/>
        <v>0.52935302264942963</v>
      </c>
      <c r="BA27" s="296">
        <f t="shared" si="24"/>
        <v>9.2021229405538446E-2</v>
      </c>
      <c r="BB27" s="190">
        <f t="shared" si="145"/>
        <v>4.7260439572102825E-2</v>
      </c>
      <c r="BC27" s="9"/>
      <c r="BD27" s="5">
        <f t="shared" si="146"/>
        <v>1.3966000000000001</v>
      </c>
      <c r="BE27" s="6">
        <f t="shared" si="25"/>
        <v>-9.376256192796692E-2</v>
      </c>
      <c r="BF27" s="4">
        <f t="shared" si="26"/>
        <v>1.1746994742024568</v>
      </c>
      <c r="BG27" s="5">
        <f t="shared" si="27"/>
        <v>-1.202021330125232</v>
      </c>
      <c r="BH27" s="10">
        <f t="shared" si="28"/>
        <v>-0.14102300150006974</v>
      </c>
      <c r="BI27" s="9">
        <f>IF(ISNUMBER($AV27),BF27+0,"")</f>
        <v>1.1746994742024568</v>
      </c>
      <c r="BJ27" s="5">
        <f t="shared" si="29"/>
        <v>-0.84916245620134545</v>
      </c>
      <c r="BK27" s="8">
        <f t="shared" si="30"/>
        <v>-1.0766995562416999</v>
      </c>
      <c r="BL27" s="173">
        <f t="shared" si="31"/>
        <v>1.9080793275597006</v>
      </c>
      <c r="BM27" s="5">
        <f t="shared" si="32"/>
        <v>-1.8381121110493812</v>
      </c>
      <c r="BN27" s="6">
        <f t="shared" si="33"/>
        <v>-0.38090319891747615</v>
      </c>
      <c r="BO27" s="4">
        <f t="shared" si="148"/>
        <v>-0.67981908673536662</v>
      </c>
      <c r="BP27" s="5">
        <f t="shared" si="239"/>
        <v>-0.68620633450622748</v>
      </c>
      <c r="BQ27" s="5">
        <f t="shared" si="149"/>
        <v>-0.25877958921410227</v>
      </c>
      <c r="BR27" s="6">
        <f t="shared" si="150"/>
        <v>-6.2745401600633854E-2</v>
      </c>
      <c r="BS27" s="4">
        <f t="shared" si="118"/>
        <v>0</v>
      </c>
      <c r="BT27" s="5">
        <f t="shared" si="118"/>
        <v>0</v>
      </c>
      <c r="BU27" s="10">
        <f t="shared" si="119"/>
        <v>-9.376256192796692E-2</v>
      </c>
      <c r="BV27" s="9">
        <f t="shared" si="120"/>
        <v>0</v>
      </c>
      <c r="BW27" s="5">
        <f t="shared" si="121"/>
        <v>1</v>
      </c>
      <c r="BX27" s="8">
        <f t="shared" si="122"/>
        <v>-9.376256192796692E-2</v>
      </c>
      <c r="BY27" s="173">
        <f t="shared" si="123"/>
        <v>1</v>
      </c>
      <c r="BZ27" s="5">
        <f t="shared" si="124"/>
        <v>0</v>
      </c>
      <c r="CA27" s="6">
        <f t="shared" si="125"/>
        <v>-9.376256192796692E-2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-9.376256192796692E-2</v>
      </c>
      <c r="CF27" s="4">
        <f t="shared" si="155"/>
        <v>0.68620633450622748</v>
      </c>
      <c r="CG27" s="5">
        <f t="shared" si="156"/>
        <v>-0.67981908673536662</v>
      </c>
      <c r="CH27" s="5">
        <f t="shared" si="157"/>
        <v>0</v>
      </c>
      <c r="CI27" s="4">
        <f t="shared" si="126"/>
        <v>0</v>
      </c>
      <c r="CJ27" s="5">
        <f t="shared" si="127"/>
        <v>-5.607870753472842E-2</v>
      </c>
      <c r="CK27" s="8">
        <f t="shared" si="128"/>
        <v>-9.376256192796692E-2</v>
      </c>
      <c r="CL27" s="173">
        <f t="shared" si="129"/>
        <v>0.68620633450622748</v>
      </c>
      <c r="CM27" s="5">
        <f t="shared" si="130"/>
        <v>-0.73589779427009505</v>
      </c>
      <c r="CN27" s="6">
        <f t="shared" si="131"/>
        <v>-9.376256192796692E-2</v>
      </c>
      <c r="CO27" s="167">
        <f t="shared" si="35"/>
        <v>0.3125</v>
      </c>
      <c r="CP27" s="4">
        <f t="shared" si="240"/>
        <v>0.93303312420618045</v>
      </c>
      <c r="CQ27" s="5">
        <f t="shared" si="241"/>
        <v>-3.1702397749589353</v>
      </c>
      <c r="CR27" s="5">
        <f t="shared" si="158"/>
        <v>2.5976806481096779</v>
      </c>
      <c r="CS27" s="8">
        <f>IF(ISNUMBER($AV27),CQ27^2-(4*CP27*CR27),"")</f>
        <v>0.35553186754884614</v>
      </c>
      <c r="CT27" s="9">
        <f t="shared" si="160"/>
        <v>2.0184196080043186</v>
      </c>
      <c r="CU27" s="6">
        <f t="shared" si="161"/>
        <v>1.3793587695384488</v>
      </c>
      <c r="CV27" s="4">
        <f t="shared" si="242"/>
        <v>1.3850523207041401</v>
      </c>
      <c r="CW27" s="5">
        <f t="shared" si="162"/>
        <v>-1.4282388820969809</v>
      </c>
      <c r="CX27" s="8">
        <f t="shared" si="163"/>
        <v>-9.376256192796692E-2</v>
      </c>
      <c r="CY27" s="9">
        <f t="shared" si="164"/>
        <v>0.94652472521399911</v>
      </c>
      <c r="CZ27" s="5">
        <f t="shared" si="165"/>
        <v>-0.99379312652277574</v>
      </c>
      <c r="DA27" s="6">
        <f t="shared" si="166"/>
        <v>-9.376256192796692E-2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1.3966000000000001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1.3850523207041401</v>
      </c>
      <c r="DM27" s="173">
        <f t="shared" si="176"/>
        <v>-1.4282388820969809</v>
      </c>
      <c r="DN27" s="178">
        <f t="shared" si="177"/>
        <v>9.9062374380720328</v>
      </c>
      <c r="DO27" s="9">
        <f t="shared" si="178"/>
        <v>-0.43852759549014098</v>
      </c>
      <c r="DP27" s="173">
        <f t="shared" si="179"/>
        <v>0.43444575557420517</v>
      </c>
      <c r="DQ27" s="11">
        <f t="shared" si="180"/>
        <v>0</v>
      </c>
      <c r="DR27" s="173">
        <f t="shared" si="181"/>
        <v>198.12474876144066</v>
      </c>
      <c r="DS27" s="5">
        <f t="shared" si="182"/>
        <v>0</v>
      </c>
      <c r="DT27" s="5">
        <f t="shared" si="183"/>
        <v>400</v>
      </c>
      <c r="DU27" s="5">
        <f t="shared" si="184"/>
        <v>0.38104956654280675</v>
      </c>
      <c r="DV27" s="5">
        <f t="shared" si="185"/>
        <v>-1.2278759840995073</v>
      </c>
      <c r="DW27" s="5">
        <f t="shared" si="186"/>
        <v>102.09177641488151</v>
      </c>
      <c r="DX27" s="167">
        <f t="shared" si="187"/>
        <v>100.1412848548815</v>
      </c>
      <c r="DY27" s="9">
        <f t="shared" si="188"/>
        <v>152.41982661712271</v>
      </c>
      <c r="DZ27" s="5">
        <f t="shared" si="189"/>
        <v>-491.15039363980293</v>
      </c>
      <c r="EA27" s="10">
        <f t="shared" si="190"/>
        <v>803.0978701686181</v>
      </c>
      <c r="EB27" s="6">
        <f t="shared" si="191"/>
        <v>118820.67104485206</v>
      </c>
      <c r="EC27" s="173">
        <f t="shared" si="192"/>
        <v>5.4838937694071017</v>
      </c>
      <c r="ED27" s="5">
        <f t="shared" si="193"/>
        <v>0.96081102445896815</v>
      </c>
      <c r="EE27" s="4">
        <f t="shared" si="194"/>
        <v>-1.0197864279173219</v>
      </c>
      <c r="EF27" s="5">
        <f t="shared" si="195"/>
        <v>0.95421549004176343</v>
      </c>
      <c r="EG27" s="10">
        <f t="shared" si="196"/>
        <v>-9.376256192796692E-2</v>
      </c>
      <c r="EH27" s="9">
        <f t="shared" si="197"/>
        <v>0.96371017242772972</v>
      </c>
      <c r="EI27" s="5">
        <f t="shared" si="198"/>
        <v>-1.0108186106118784</v>
      </c>
      <c r="EJ27" s="6">
        <f t="shared" si="199"/>
        <v>-9.376256192796692E-2</v>
      </c>
      <c r="EK27" s="236" t="b">
        <f t="shared" si="200"/>
        <v>0</v>
      </c>
      <c r="EL27" s="238" t="b">
        <f t="shared" si="201"/>
        <v>1</v>
      </c>
      <c r="EM27" s="4">
        <f t="shared" si="202"/>
        <v>0.96371017242772972</v>
      </c>
      <c r="EN27" s="5">
        <f t="shared" si="203"/>
        <v>-1.0108186106118784</v>
      </c>
      <c r="EO27" s="10">
        <f t="shared" si="204"/>
        <v>-9.376256192796692E-2</v>
      </c>
      <c r="EP27" s="9">
        <f t="shared" si="205"/>
        <v>313.63329278012833</v>
      </c>
      <c r="EQ27" s="5">
        <f t="shared" si="206"/>
        <v>1.3966000000000045</v>
      </c>
      <c r="ER27" s="7">
        <f t="shared" si="207"/>
        <v>-9.376256192796692E-2</v>
      </c>
      <c r="ES27" s="21">
        <f t="shared" si="132"/>
        <v>-0.6798190867353664</v>
      </c>
      <c r="ET27" s="5">
        <f t="shared" si="44"/>
        <v>-0.68620633450622792</v>
      </c>
      <c r="EU27" s="10">
        <f t="shared" si="45"/>
        <v>-0.25877958921410221</v>
      </c>
      <c r="EV27" s="174">
        <f t="shared" si="254"/>
        <v>136.36670721987167</v>
      </c>
      <c r="EW27" s="9">
        <f t="shared" si="133"/>
        <v>0.96554332641362728</v>
      </c>
      <c r="EX27" s="5">
        <f t="shared" si="47"/>
        <v>2.7553747917265781E-2</v>
      </c>
      <c r="EY27" s="6">
        <f t="shared" si="208"/>
        <v>-0.25877958921410221</v>
      </c>
      <c r="EZ27" s="51">
        <f t="shared" si="209"/>
        <v>1.6318989987021288</v>
      </c>
      <c r="FA27" s="266">
        <f t="shared" si="134"/>
        <v>-0.72347747221908076</v>
      </c>
      <c r="FB27" s="267">
        <f t="shared" si="135"/>
        <v>-0.68976035084848608</v>
      </c>
      <c r="FC27" s="269">
        <f t="shared" si="48"/>
        <v>-2.8478159857384156E-2</v>
      </c>
      <c r="FD27" s="4">
        <f t="shared" si="136"/>
        <v>0.99959441495595469</v>
      </c>
      <c r="FE27" s="5">
        <f t="shared" si="49"/>
        <v>5.5511151231257827E-17</v>
      </c>
      <c r="FF27" s="7">
        <f t="shared" si="210"/>
        <v>-2.8478159857384156E-2</v>
      </c>
      <c r="FG27" s="173">
        <f t="shared" si="211"/>
        <v>-3.4051088542327412E-2</v>
      </c>
      <c r="FH27" s="5">
        <f t="shared" si="50"/>
        <v>2.7553747917265725E-2</v>
      </c>
      <c r="FI27" s="10">
        <f t="shared" si="51"/>
        <v>-0.23030142935671805</v>
      </c>
      <c r="FJ27" s="279">
        <f t="shared" si="212"/>
        <v>13.462799942296957</v>
      </c>
      <c r="FK27" s="4">
        <f t="shared" si="52"/>
        <v>0.96593639759881744</v>
      </c>
      <c r="FL27" s="5">
        <f t="shared" si="213"/>
        <v>0.99959441495595469</v>
      </c>
      <c r="FM27" s="8">
        <f t="shared" si="214"/>
        <v>4.3802804193403488E-2</v>
      </c>
      <c r="FN27" s="9">
        <f t="shared" si="215"/>
        <v>1.6346082906028689</v>
      </c>
      <c r="FO27" s="10">
        <f t="shared" si="53"/>
        <v>-1</v>
      </c>
      <c r="FP27" s="277">
        <f t="shared" si="54"/>
        <v>-1.6346082906028689</v>
      </c>
      <c r="FQ27" s="173">
        <f t="shared" si="243"/>
        <v>2.8525426711073516E-2</v>
      </c>
      <c r="FR27" s="10">
        <f t="shared" si="216"/>
        <v>0.99959306721833119</v>
      </c>
      <c r="FS27" s="9">
        <f t="shared" si="217"/>
        <v>2.7745271463847629E-2</v>
      </c>
      <c r="FT27" s="6">
        <f t="shared" si="218"/>
        <v>0.97225472853615225</v>
      </c>
      <c r="FU27" s="4">
        <f t="shared" si="219"/>
        <v>0.99962032341069973</v>
      </c>
      <c r="FV27" s="5">
        <f t="shared" si="220"/>
        <v>1</v>
      </c>
      <c r="FW27" s="8">
        <f t="shared" si="244"/>
        <v>0.23280512235486747</v>
      </c>
      <c r="FX27" s="9">
        <f t="shared" si="245"/>
        <v>13.371590882472349</v>
      </c>
      <c r="FY27" s="10">
        <f t="shared" si="55"/>
        <v>1</v>
      </c>
      <c r="FZ27" s="277">
        <f t="shared" si="246"/>
        <v>13.371590882472349</v>
      </c>
      <c r="GA27" s="177">
        <f t="shared" si="221"/>
        <v>13.365835915813317</v>
      </c>
      <c r="GB27" s="4">
        <f t="shared" si="222"/>
        <v>2.7752121413709623E-2</v>
      </c>
      <c r="GC27" s="5">
        <f t="shared" si="223"/>
        <v>0.97249476569535565</v>
      </c>
      <c r="GD27" s="10">
        <f t="shared" si="224"/>
        <v>-0.23126554099600308</v>
      </c>
      <c r="GE27" s="311">
        <f t="shared" si="225"/>
        <v>1.2315124281050684</v>
      </c>
      <c r="GF27" s="341">
        <f t="shared" si="247"/>
        <v>0.81200966971864241</v>
      </c>
      <c r="GG27" s="285">
        <f t="shared" si="56"/>
        <v>2.2534990943138013E-2</v>
      </c>
      <c r="GH27" s="286">
        <f t="shared" si="57"/>
        <v>0.7896751534953943</v>
      </c>
      <c r="GI27" s="281">
        <f t="shared" si="58"/>
        <v>0.18778985556146763</v>
      </c>
      <c r="GJ27" s="167">
        <f t="shared" si="226"/>
        <v>1.3966000000000001</v>
      </c>
      <c r="GK27" s="174">
        <f t="shared" si="59"/>
        <v>0.73155475766919509</v>
      </c>
      <c r="GL27" s="174">
        <f t="shared" si="227"/>
        <v>6.0299999999999999E-2</v>
      </c>
      <c r="GM27" s="177">
        <f t="shared" si="248"/>
        <v>0.52935302264942963</v>
      </c>
      <c r="GN27" s="280">
        <f t="shared" si="228"/>
        <v>9.2021229405538446E-2</v>
      </c>
      <c r="GO27" s="4">
        <f t="shared" si="229"/>
        <v>-1.6346082906028689</v>
      </c>
      <c r="GP27" s="8">
        <f t="shared" si="249"/>
        <v>13.371590882472349</v>
      </c>
      <c r="GQ27" s="177">
        <f t="shared" si="230"/>
        <v>13.462799942296957</v>
      </c>
      <c r="GR27" s="371">
        <f t="shared" si="250"/>
        <v>1647.9259540074124</v>
      </c>
      <c r="GS27" s="342">
        <f t="shared" si="61"/>
        <v>37.135996448519109</v>
      </c>
      <c r="GT27" s="343">
        <f t="shared" si="62"/>
        <v>50.763112479560682</v>
      </c>
      <c r="GU27" s="344">
        <f t="shared" si="63"/>
        <v>1301.3261806798475</v>
      </c>
      <c r="GV27" s="343">
        <f t="shared" si="252"/>
        <v>1778.85</v>
      </c>
      <c r="GW27" s="345">
        <f t="shared" si="64"/>
        <v>29500</v>
      </c>
      <c r="GX27" s="346">
        <f t="shared" si="65"/>
        <v>207.0284925</v>
      </c>
      <c r="GY27" s="344">
        <f t="shared" si="66"/>
        <v>309.46377687904572</v>
      </c>
      <c r="GZ27" s="345">
        <f t="shared" si="67"/>
        <v>423.0220275855051</v>
      </c>
      <c r="HA27" s="342">
        <f t="shared" si="68"/>
        <v>-37.135996448519109</v>
      </c>
      <c r="HB27" s="5">
        <f t="shared" si="231"/>
        <v>136.36670721987167</v>
      </c>
      <c r="HC27" s="343">
        <f t="shared" si="232"/>
        <v>26.877958136746106</v>
      </c>
      <c r="HD27" s="363">
        <f t="shared" si="233"/>
        <v>-25.625331190518249</v>
      </c>
      <c r="HE27" s="344">
        <f t="shared" si="69"/>
        <v>1778.85</v>
      </c>
      <c r="HF27" s="5">
        <f t="shared" si="70"/>
        <v>226.36670721987167</v>
      </c>
      <c r="HG27" s="343">
        <f t="shared" si="234"/>
        <v>-1227.4780468445235</v>
      </c>
      <c r="HH27" s="349">
        <f t="shared" si="235"/>
        <v>-1287.4800841235385</v>
      </c>
      <c r="HI27" s="317">
        <f t="shared" si="71"/>
        <v>3.1059999999999999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3.1059999999999999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1.6999378462000441</v>
      </c>
      <c r="C28" s="572">
        <f t="shared" si="3"/>
        <v>-1.7311980970355392</v>
      </c>
      <c r="D28" s="576">
        <f t="shared" si="4"/>
        <v>-7.7155084391794332E-2</v>
      </c>
      <c r="E28" s="580">
        <f t="shared" si="5"/>
        <v>0.73054637512265486</v>
      </c>
      <c r="F28" s="572">
        <f t="shared" si="6"/>
        <v>0.62264076164094073</v>
      </c>
      <c r="G28" s="579">
        <f t="shared" si="7"/>
        <v>0.28039343026957408</v>
      </c>
      <c r="H28" s="580">
        <f t="shared" si="8"/>
        <v>0.3125</v>
      </c>
      <c r="I28" s="572">
        <f t="shared" si="9"/>
        <v>0.52</v>
      </c>
      <c r="J28" s="483">
        <f t="shared" si="10"/>
        <v>3.11</v>
      </c>
      <c r="K28" s="806">
        <f t="shared" si="11"/>
        <v>1613</v>
      </c>
      <c r="L28" s="82"/>
      <c r="M28" s="164">
        <f t="shared" si="12"/>
        <v>3.11</v>
      </c>
      <c r="N28" s="575">
        <f t="shared" si="13"/>
        <v>1.6999378462000441</v>
      </c>
      <c r="O28" s="572">
        <f t="shared" si="14"/>
        <v>-1.7311980970355392</v>
      </c>
      <c r="P28" s="576">
        <f t="shared" si="15"/>
        <v>-7.7155084391794332E-2</v>
      </c>
      <c r="Q28" s="528">
        <f t="shared" si="140"/>
        <v>314.47800643438995</v>
      </c>
      <c r="R28" s="572">
        <f t="shared" si="101"/>
        <v>2.426280184175504</v>
      </c>
      <c r="S28" s="577">
        <f t="shared" si="102"/>
        <v>-7.7155084391794332E-2</v>
      </c>
      <c r="T28" s="578">
        <f t="shared" si="103"/>
        <v>-1.7111970035692294</v>
      </c>
      <c r="U28" s="572">
        <f t="shared" si="104"/>
        <v>-1.7200698669235528</v>
      </c>
      <c r="V28" s="579">
        <f t="shared" si="141"/>
        <v>-7.7155084391794332E-2</v>
      </c>
      <c r="W28" s="528">
        <f t="shared" si="253"/>
        <v>225.14815999700718</v>
      </c>
      <c r="X28" s="572">
        <f t="shared" si="105"/>
        <v>2.426280184175504</v>
      </c>
      <c r="Y28" s="573">
        <f t="shared" si="255"/>
        <v>-7.7155084391794332E-2</v>
      </c>
      <c r="Z28" s="575">
        <f t="shared" si="18"/>
        <v>-0.73054637512265486</v>
      </c>
      <c r="AA28" s="572">
        <f t="shared" si="19"/>
        <v>-0.62264076164094073</v>
      </c>
      <c r="AB28" s="572">
        <f t="shared" si="20"/>
        <v>-0.28039343026957408</v>
      </c>
      <c r="AC28" s="579">
        <f t="shared" si="106"/>
        <v>1</v>
      </c>
      <c r="AD28" s="580">
        <f t="shared" si="142"/>
        <v>-0.73054637512265486</v>
      </c>
      <c r="AE28" s="572">
        <f t="shared" si="107"/>
        <v>-0.62264076164094073</v>
      </c>
      <c r="AF28" s="576">
        <f t="shared" si="108"/>
        <v>-0.28039343026957408</v>
      </c>
      <c r="AG28" s="545">
        <f t="shared" si="109"/>
        <v>-65.756562414061136</v>
      </c>
      <c r="AH28" s="546">
        <f t="shared" si="110"/>
        <v>136.93221818128325</v>
      </c>
      <c r="AI28" s="528">
        <f t="shared" si="111"/>
        <v>-73.71631274792999</v>
      </c>
      <c r="AJ28" s="529">
        <f t="shared" si="112"/>
        <v>-49.559222758181171</v>
      </c>
      <c r="AK28" s="578">
        <f t="shared" si="238"/>
        <v>0.95750322030440393</v>
      </c>
      <c r="AL28" s="572">
        <f t="shared" si="113"/>
        <v>-6.7580377095409594E-2</v>
      </c>
      <c r="AM28" s="577">
        <f t="shared" si="114"/>
        <v>-0.28039343026957408</v>
      </c>
      <c r="AN28" s="524">
        <f t="shared" si="115"/>
        <v>-13.5509700977363</v>
      </c>
      <c r="AO28" s="525">
        <f t="shared" si="116"/>
        <v>16.763541572912672</v>
      </c>
      <c r="AP28" s="528">
        <f t="shared" si="117"/>
        <v>-4.0372291925711234</v>
      </c>
      <c r="AQ28" s="529">
        <f t="shared" si="21"/>
        <v>0.93951321776674535</v>
      </c>
      <c r="AS28" s="932">
        <f t="shared" si="143"/>
        <v>225.14815999700718</v>
      </c>
      <c r="AT28" s="928">
        <f t="shared" si="22"/>
        <v>1.4812597417559165E-2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3.11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2.1679100274164269</v>
      </c>
      <c r="C29" s="572">
        <f t="shared" si="3"/>
        <v>-2.24856494926998</v>
      </c>
      <c r="D29" s="576">
        <f t="shared" si="4"/>
        <v>-0.40297886892390461</v>
      </c>
      <c r="E29" s="580">
        <f t="shared" si="5"/>
        <v>0.83063865672799397</v>
      </c>
      <c r="F29" s="572">
        <f t="shared" si="6"/>
        <v>0.48039389633735163</v>
      </c>
      <c r="G29" s="579">
        <f t="shared" si="7"/>
        <v>0.28153352608691523</v>
      </c>
      <c r="H29" s="580">
        <f t="shared" si="8"/>
        <v>0.3125</v>
      </c>
      <c r="I29" s="572">
        <f t="shared" si="9"/>
        <v>0.52</v>
      </c>
      <c r="J29" s="483">
        <f t="shared" si="10"/>
        <v>3.1150000000000002</v>
      </c>
      <c r="K29" s="806">
        <f t="shared" si="11"/>
        <v>1613</v>
      </c>
      <c r="L29" s="82"/>
      <c r="M29" s="164">
        <f t="shared" si="12"/>
        <v>3.1150000000000002</v>
      </c>
      <c r="N29" s="575">
        <f t="shared" si="13"/>
        <v>2.1679100274164269</v>
      </c>
      <c r="O29" s="572">
        <f t="shared" si="14"/>
        <v>-2.24856494926998</v>
      </c>
      <c r="P29" s="576">
        <f t="shared" si="15"/>
        <v>-0.40297886892390461</v>
      </c>
      <c r="Q29" s="528">
        <f t="shared" si="140"/>
        <v>313.9537644824361</v>
      </c>
      <c r="R29" s="572">
        <f>IF(M29="","",SQRT(N29^2+O29^2))</f>
        <v>3.1234401255759972</v>
      </c>
      <c r="S29" s="577">
        <f>IF(M29="","",P29)</f>
        <v>-0.40297886892390461</v>
      </c>
      <c r="T29" s="578">
        <f>IF(M29="","",X29*COS(RADIANS(W29)))</f>
        <v>-2.2230550083622069</v>
      </c>
      <c r="U29" s="572">
        <f>IF(M29="","",X29*SIN(RADIANS(W29)))</f>
        <v>-2.1940612224488878</v>
      </c>
      <c r="V29" s="579">
        <f>IF(M29="","",Y29)</f>
        <v>-0.40297886892390461</v>
      </c>
      <c r="W29" s="528">
        <f t="shared" si="253"/>
        <v>224.62391804505333</v>
      </c>
      <c r="X29" s="572">
        <f>IF(M29="","",R29)</f>
        <v>3.1234401255759972</v>
      </c>
      <c r="Y29" s="573">
        <f t="shared" si="255"/>
        <v>-0.40297886892390461</v>
      </c>
      <c r="Z29" s="575">
        <f t="shared" si="18"/>
        <v>-0.83063865672799397</v>
      </c>
      <c r="AA29" s="572">
        <f t="shared" si="19"/>
        <v>-0.48039389633735163</v>
      </c>
      <c r="AB29" s="572">
        <f t="shared" si="20"/>
        <v>-0.28153352608691523</v>
      </c>
      <c r="AC29" s="579">
        <f>IF(M29="","",SQRT(Z29^2+AA29^2+AB29^2))</f>
        <v>1</v>
      </c>
      <c r="AD29" s="580">
        <f>IF(M29="","",Z29*(1/SQRT(Z29^2+AA29^2+AB29^2)))</f>
        <v>-0.83063865672799397</v>
      </c>
      <c r="AE29" s="572">
        <f>IF(M29="","",AA29*(1/SQRT(Z29^2+AA29^2+AB29^2)))</f>
        <v>-0.48039389633735163</v>
      </c>
      <c r="AF29" s="576">
        <f>IF(M29="","",AB29*(1/SQRT(Z29^2+AA29^2+AB29^2)))</f>
        <v>-0.28153352608691523</v>
      </c>
      <c r="AG29" s="545">
        <f>IF(M29="","",DEGREES(ATAN2(-AF29,AE29)))</f>
        <v>-59.627681777320618</v>
      </c>
      <c r="AH29" s="546">
        <f>IF(M29="","",DEGREES(ACOS(AD29)))</f>
        <v>146.16439948591906</v>
      </c>
      <c r="AI29" s="528">
        <f>IF(M29="","",DEGREES(-ACOS(-AF29)))</f>
        <v>-73.648248324796114</v>
      </c>
      <c r="AJ29" s="529">
        <f>IF(M29="","",DEGREES(ATAN2(-AE29,AD29)))</f>
        <v>-59.957366953131114</v>
      </c>
      <c r="AK29" s="578">
        <f>IF(M29="","",(COS(RADIANS((90-$Q$8)-W29))*AD29)+(-SIN(RADIANS((90-$Q$8)-W29))*AE29))</f>
        <v>0.93140754970296413</v>
      </c>
      <c r="AL29" s="572">
        <f>IF(M29="","",(SIN(RADIANS((90-$Q$8)-W29))*AD29)+(COS(RADIANS((90-$Q$8)-W29))*AE29))</f>
        <v>-0.23069211093010678</v>
      </c>
      <c r="AM29" s="577">
        <f>IF(M29="","",AF29)</f>
        <v>-0.28153352608691523</v>
      </c>
      <c r="AN29" s="524">
        <f>IF(M29="","",DEGREES(ATAN2(-AM29,AL29)))</f>
        <v>-39.331621798201397</v>
      </c>
      <c r="AO29" s="525">
        <f t="shared" si="116"/>
        <v>21.344699921723134</v>
      </c>
      <c r="AP29" s="528">
        <f>IF(M29="","",DEGREES(ATAN2(AK29,AL29)))</f>
        <v>-13.911131435567212</v>
      </c>
      <c r="AQ29" s="529">
        <f t="shared" si="21"/>
        <v>0.7298373707975141</v>
      </c>
      <c r="AS29" s="932">
        <f t="shared" si="143"/>
        <v>224.62391804505333</v>
      </c>
      <c r="AT29" s="928">
        <f t="shared" si="22"/>
        <v>-0.31064713020347207</v>
      </c>
      <c r="AU29" s="418"/>
      <c r="AV29" s="164">
        <f t="shared" si="23"/>
        <v>3.1150000000000002</v>
      </c>
      <c r="AW29" s="829">
        <f>IFERROR(INDEX(MassProp!C$9:C$150,MATCH($M29,MassProp!$B$9:$B$150,0)),"")</f>
        <v>2.9211999999999998</v>
      </c>
      <c r="AX29" s="830">
        <f>IFERROR(INDEX(MassProp!D$9:D$150,MATCH($M29,MassProp!$B$9:$B$150,0)),"")</f>
        <v>0.31390000000000001</v>
      </c>
      <c r="AY29" s="831">
        <f>IFERROR(INDEX(MassProp!E$9:E$150,MATCH($M29,MassProp!$B$9:$B$150,0)),"")</f>
        <v>3.6299999999999999E-2</v>
      </c>
      <c r="AZ29" s="297">
        <f t="shared" si="144"/>
        <v>0.66632800634936673</v>
      </c>
      <c r="BA29" s="296">
        <f t="shared" si="24"/>
        <v>0.11583257241966789</v>
      </c>
      <c r="BB29" s="190">
        <f t="shared" si="145"/>
        <v>0.37454713020347208</v>
      </c>
      <c r="BC29" s="9"/>
      <c r="BD29" s="5">
        <f t="shared" si="146"/>
        <v>2.9211999999999998</v>
      </c>
      <c r="BE29" s="6">
        <f t="shared" si="25"/>
        <v>-2.8431738720432531E-2</v>
      </c>
      <c r="BF29" s="4">
        <f t="shared" si="26"/>
        <v>2.1679100274164269</v>
      </c>
      <c r="BG29" s="5">
        <f t="shared" si="27"/>
        <v>-2.24856494926998</v>
      </c>
      <c r="BH29" s="10">
        <f t="shared" si="28"/>
        <v>-0.40297886892390461</v>
      </c>
      <c r="BI29" s="9">
        <f t="shared" si="147"/>
        <v>2.1679100274164269</v>
      </c>
      <c r="BJ29" s="5">
        <f t="shared" si="29"/>
        <v>-1.742947957457001</v>
      </c>
      <c r="BK29" s="8">
        <f t="shared" si="30"/>
        <v>-1.2657369216768153</v>
      </c>
      <c r="BL29" s="173">
        <f t="shared" si="31"/>
        <v>2.7247218645293909</v>
      </c>
      <c r="BM29" s="5">
        <f t="shared" si="32"/>
        <v>-2.9652051392899175</v>
      </c>
      <c r="BN29" s="6">
        <f t="shared" si="33"/>
        <v>-0.82296388782228647</v>
      </c>
      <c r="BO29" s="4">
        <f t="shared" si="148"/>
        <v>-0.8306386567279942</v>
      </c>
      <c r="BP29" s="5">
        <f t="shared" si="239"/>
        <v>-0.48039389633735197</v>
      </c>
      <c r="BQ29" s="5">
        <f t="shared" si="149"/>
        <v>-0.28153352608691495</v>
      </c>
      <c r="BR29" s="6">
        <f t="shared" si="150"/>
        <v>0.60710093402626042</v>
      </c>
      <c r="BS29" s="4">
        <f t="shared" si="118"/>
        <v>0</v>
      </c>
      <c r="BT29" s="5">
        <f t="shared" si="118"/>
        <v>0</v>
      </c>
      <c r="BU29" s="10">
        <f t="shared" si="119"/>
        <v>-2.8431738720432531E-2</v>
      </c>
      <c r="BV29" s="9">
        <f t="shared" si="120"/>
        <v>0</v>
      </c>
      <c r="BW29" s="5">
        <f t="shared" si="121"/>
        <v>1</v>
      </c>
      <c r="BX29" s="8">
        <f t="shared" si="122"/>
        <v>-2.8431738720432531E-2</v>
      </c>
      <c r="BY29" s="173">
        <f t="shared" si="123"/>
        <v>1</v>
      </c>
      <c r="BZ29" s="5">
        <f t="shared" si="124"/>
        <v>0</v>
      </c>
      <c r="CA29" s="6">
        <f t="shared" si="125"/>
        <v>-2.8431738720432531E-2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-2.8431738720432531E-2</v>
      </c>
      <c r="CF29" s="4">
        <f t="shared" si="155"/>
        <v>0.48039389633735197</v>
      </c>
      <c r="CG29" s="5">
        <f t="shared" si="156"/>
        <v>-0.8306386567279942</v>
      </c>
      <c r="CH29" s="5">
        <f t="shared" si="157"/>
        <v>0</v>
      </c>
      <c r="CI29" s="4">
        <f t="shared" si="126"/>
        <v>0</v>
      </c>
      <c r="CJ29" s="5">
        <f t="shared" si="127"/>
        <v>1.2804188945170398</v>
      </c>
      <c r="CK29" s="8">
        <f t="shared" si="128"/>
        <v>-2.8431738720432531E-2</v>
      </c>
      <c r="CL29" s="173">
        <f t="shared" si="129"/>
        <v>0.48039389633735197</v>
      </c>
      <c r="CM29" s="5">
        <f t="shared" si="130"/>
        <v>0.44978023778904563</v>
      </c>
      <c r="CN29" s="6">
        <f t="shared" si="131"/>
        <v>-2.8431738720432531E-2</v>
      </c>
      <c r="CO29" s="167">
        <f t="shared" si="35"/>
        <v>0.3125</v>
      </c>
      <c r="CP29" s="4">
        <f t="shared" si="240"/>
        <v>0.92073887368906915</v>
      </c>
      <c r="CQ29" s="5">
        <f t="shared" si="241"/>
        <v>-7.9455222891948729</v>
      </c>
      <c r="CR29" s="5">
        <f t="shared" si="158"/>
        <v>17.196190159426159</v>
      </c>
      <c r="CS29" s="8">
        <f t="shared" si="159"/>
        <v>-0.20147858843984778</v>
      </c>
      <c r="CT29" s="9" t="e">
        <f t="shared" si="160"/>
        <v>#NUM!</v>
      </c>
      <c r="CU29" s="6" t="e">
        <f t="shared" si="161"/>
        <v>#NUM!</v>
      </c>
      <c r="CV29" s="4" t="e">
        <f t="shared" si="242"/>
        <v>#NUM!</v>
      </c>
      <c r="CW29" s="5" t="e">
        <f t="shared" si="162"/>
        <v>#NUM!</v>
      </c>
      <c r="CX29" s="8" t="e">
        <f t="shared" si="163"/>
        <v>#NUM!</v>
      </c>
      <c r="CY29" s="9" t="e">
        <f t="shared" si="164"/>
        <v>#NUM!</v>
      </c>
      <c r="CZ29" s="5" t="e">
        <f t="shared" si="165"/>
        <v>#NUM!</v>
      </c>
      <c r="DA29" s="6" t="e">
        <f t="shared" si="166"/>
        <v>#NUM!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2.9211999999999998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 t="e">
        <f t="shared" si="175"/>
        <v>#NUM!</v>
      </c>
      <c r="DM29" s="173" t="e">
        <f t="shared" si="176"/>
        <v>#NUM!</v>
      </c>
      <c r="DN29" s="178" t="e">
        <f t="shared" si="177"/>
        <v>#NUM!</v>
      </c>
      <c r="DO29" s="9" t="e">
        <f t="shared" si="178"/>
        <v>#NUM!</v>
      </c>
      <c r="DP29" s="173" t="e">
        <f t="shared" si="179"/>
        <v>#NUM!</v>
      </c>
      <c r="DQ29" s="11" t="e">
        <f t="shared" si="180"/>
        <v>#NUM!</v>
      </c>
      <c r="DR29" s="173" t="e">
        <f t="shared" si="181"/>
        <v>#NUM!</v>
      </c>
      <c r="DS29" s="5" t="e">
        <f t="shared" si="182"/>
        <v>#NUM!</v>
      </c>
      <c r="DT29" s="5">
        <f t="shared" si="183"/>
        <v>400</v>
      </c>
      <c r="DU29" s="5" t="e">
        <f t="shared" si="184"/>
        <v>#NUM!</v>
      </c>
      <c r="DV29" s="5" t="e">
        <f t="shared" si="185"/>
        <v>#NUM!</v>
      </c>
      <c r="DW29" s="5" t="e">
        <f t="shared" si="186"/>
        <v>#NUM!</v>
      </c>
      <c r="DX29" s="167" t="e">
        <f t="shared" si="187"/>
        <v>#NUM!</v>
      </c>
      <c r="DY29" s="9" t="e">
        <f t="shared" si="188"/>
        <v>#NUM!</v>
      </c>
      <c r="DZ29" s="5" t="e">
        <f t="shared" si="189"/>
        <v>#NUM!</v>
      </c>
      <c r="EA29" s="10" t="e">
        <f t="shared" si="190"/>
        <v>#NUM!</v>
      </c>
      <c r="EB29" s="6" t="e">
        <f t="shared" si="191"/>
        <v>#NUM!</v>
      </c>
      <c r="EC29" s="173" t="e">
        <f t="shared" si="192"/>
        <v>#NUM!</v>
      </c>
      <c r="ED29" s="5" t="e">
        <f t="shared" si="193"/>
        <v>#NUM!</v>
      </c>
      <c r="EE29" s="4" t="e">
        <f t="shared" si="194"/>
        <v>#NUM!</v>
      </c>
      <c r="EF29" s="5" t="e">
        <f t="shared" si="195"/>
        <v>#NUM!</v>
      </c>
      <c r="EG29" s="10" t="e">
        <f t="shared" si="196"/>
        <v>#NUM!</v>
      </c>
      <c r="EH29" s="9" t="e">
        <f t="shared" si="197"/>
        <v>#NUM!</v>
      </c>
      <c r="EI29" s="5" t="e">
        <f t="shared" si="198"/>
        <v>#NUM!</v>
      </c>
      <c r="EJ29" s="6" t="e">
        <f t="shared" si="199"/>
        <v>#NUM!</v>
      </c>
      <c r="EK29" s="236" t="e">
        <f t="shared" si="200"/>
        <v>#NUM!</v>
      </c>
      <c r="EL29" s="238" t="e">
        <f t="shared" si="201"/>
        <v>#NUM!</v>
      </c>
      <c r="EM29" s="4" t="e">
        <f t="shared" si="202"/>
        <v>#NUM!</v>
      </c>
      <c r="EN29" s="5" t="e">
        <f t="shared" si="203"/>
        <v>#NUM!</v>
      </c>
      <c r="EO29" s="10" t="e">
        <f t="shared" si="204"/>
        <v>#NUM!</v>
      </c>
      <c r="EP29" s="9" t="e">
        <f t="shared" si="205"/>
        <v>#NUM!</v>
      </c>
      <c r="EQ29" s="5" t="e">
        <f t="shared" si="206"/>
        <v>#NUM!</v>
      </c>
      <c r="ER29" s="7" t="e">
        <f t="shared" si="207"/>
        <v>#NUM!</v>
      </c>
      <c r="ES29" s="21">
        <f t="shared" si="132"/>
        <v>-0.83063865672799397</v>
      </c>
      <c r="ET29" s="5">
        <f t="shared" si="44"/>
        <v>-0.48039389633735163</v>
      </c>
      <c r="EU29" s="10">
        <f t="shared" si="45"/>
        <v>-0.28153352608691523</v>
      </c>
      <c r="EV29" s="174" t="e">
        <f t="shared" si="254"/>
        <v>#NUM!</v>
      </c>
      <c r="EW29" s="9" t="e">
        <f t="shared" si="133"/>
        <v>#NUM!</v>
      </c>
      <c r="EX29" s="5" t="e">
        <f t="shared" si="47"/>
        <v>#NUM!</v>
      </c>
      <c r="EY29" s="6">
        <f t="shared" si="208"/>
        <v>-0.28153352608691523</v>
      </c>
      <c r="EZ29" s="51" t="e">
        <f t="shared" si="209"/>
        <v>#NUM!</v>
      </c>
      <c r="FA29" s="266" t="e">
        <f t="shared" si="134"/>
        <v>#NUM!</v>
      </c>
      <c r="FB29" s="267" t="e">
        <f t="shared" si="135"/>
        <v>#NUM!</v>
      </c>
      <c r="FC29" s="269" t="e">
        <f t="shared" si="48"/>
        <v>#NUM!</v>
      </c>
      <c r="FD29" s="4" t="e">
        <f t="shared" si="136"/>
        <v>#NUM!</v>
      </c>
      <c r="FE29" s="5" t="e">
        <f t="shared" si="49"/>
        <v>#NUM!</v>
      </c>
      <c r="FF29" s="7" t="e">
        <f t="shared" si="210"/>
        <v>#NUM!</v>
      </c>
      <c r="FG29" s="173" t="e">
        <f t="shared" si="211"/>
        <v>#NUM!</v>
      </c>
      <c r="FH29" s="5" t="e">
        <f t="shared" si="50"/>
        <v>#NUM!</v>
      </c>
      <c r="FI29" s="10" t="e">
        <f t="shared" si="51"/>
        <v>#NUM!</v>
      </c>
      <c r="FJ29" s="279" t="e">
        <f t="shared" si="212"/>
        <v>#NUM!</v>
      </c>
      <c r="FK29" s="4">
        <f t="shared" si="52"/>
        <v>0.95955139189574845</v>
      </c>
      <c r="FL29" s="5" t="e">
        <f t="shared" si="213"/>
        <v>#NUM!</v>
      </c>
      <c r="FM29" s="8" t="e">
        <f t="shared" si="214"/>
        <v>#NUM!</v>
      </c>
      <c r="FN29" s="9" t="e">
        <f t="shared" si="215"/>
        <v>#NUM!</v>
      </c>
      <c r="FO29" s="10" t="e">
        <f t="shared" si="53"/>
        <v>#NUM!</v>
      </c>
      <c r="FP29" s="277" t="e">
        <f t="shared" si="54"/>
        <v>#NUM!</v>
      </c>
      <c r="FQ29" s="173" t="e">
        <f t="shared" si="243"/>
        <v>#NUM!</v>
      </c>
      <c r="FR29" s="10" t="e">
        <f t="shared" si="216"/>
        <v>#NUM!</v>
      </c>
      <c r="FS29" s="9" t="e">
        <f t="shared" si="217"/>
        <v>#NUM!</v>
      </c>
      <c r="FT29" s="6" t="e">
        <f t="shared" si="218"/>
        <v>#NUM!</v>
      </c>
      <c r="FU29" s="4" t="e">
        <f t="shared" si="219"/>
        <v>#NUM!</v>
      </c>
      <c r="FV29" s="5" t="e">
        <f t="shared" si="220"/>
        <v>#NUM!</v>
      </c>
      <c r="FW29" s="8" t="e">
        <f t="shared" si="244"/>
        <v>#NUM!</v>
      </c>
      <c r="FX29" s="9" t="e">
        <f t="shared" si="245"/>
        <v>#NUM!</v>
      </c>
      <c r="FY29" s="10" t="e">
        <f t="shared" si="55"/>
        <v>#NUM!</v>
      </c>
      <c r="FZ29" s="277" t="e">
        <f t="shared" si="246"/>
        <v>#NUM!</v>
      </c>
      <c r="GA29" s="177" t="e">
        <f t="shared" si="221"/>
        <v>#NUM!</v>
      </c>
      <c r="GB29" s="4" t="e">
        <f t="shared" si="222"/>
        <v>#NUM!</v>
      </c>
      <c r="GC29" s="5" t="e">
        <f t="shared" si="223"/>
        <v>#NUM!</v>
      </c>
      <c r="GD29" s="10" t="e">
        <f t="shared" si="224"/>
        <v>#NUM!</v>
      </c>
      <c r="GE29" s="311" t="e">
        <f t="shared" si="225"/>
        <v>#NUM!</v>
      </c>
      <c r="GF29" s="341" t="e">
        <f t="shared" si="247"/>
        <v>#NUM!</v>
      </c>
      <c r="GG29" s="285" t="e">
        <f t="shared" si="56"/>
        <v>#NUM!</v>
      </c>
      <c r="GH29" s="286" t="e">
        <f t="shared" si="57"/>
        <v>#NUM!</v>
      </c>
      <c r="GI29" s="281" t="e">
        <f t="shared" si="58"/>
        <v>#NUM!</v>
      </c>
      <c r="GJ29" s="167">
        <f t="shared" si="226"/>
        <v>2.9211999999999998</v>
      </c>
      <c r="GK29" s="174">
        <f t="shared" si="59"/>
        <v>1.5296786188001992</v>
      </c>
      <c r="GL29" s="174">
        <f t="shared" si="227"/>
        <v>3.6299999999999999E-2</v>
      </c>
      <c r="GM29" s="177">
        <f t="shared" si="248"/>
        <v>0.66632800634936673</v>
      </c>
      <c r="GN29" s="280">
        <f t="shared" si="228"/>
        <v>0.11583257241966789</v>
      </c>
      <c r="GO29" s="4" t="e">
        <f t="shared" si="229"/>
        <v>#NUM!</v>
      </c>
      <c r="GP29" s="8" t="e">
        <f t="shared" si="249"/>
        <v>#NUM!</v>
      </c>
      <c r="GQ29" s="177" t="e">
        <f t="shared" si="230"/>
        <v>#NUM!</v>
      </c>
      <c r="GR29" s="371" t="e">
        <f t="shared" si="250"/>
        <v>#NUM!</v>
      </c>
      <c r="GS29" s="342" t="e">
        <f t="shared" si="61"/>
        <v>#NUM!</v>
      </c>
      <c r="GT29" s="343" t="e">
        <f t="shared" si="62"/>
        <v>#NUM!</v>
      </c>
      <c r="GU29" s="344">
        <f t="shared" si="63"/>
        <v>1638.0563489421932</v>
      </c>
      <c r="GV29" s="343">
        <f t="shared" si="252"/>
        <v>1070.8499999999999</v>
      </c>
      <c r="GW29" s="345">
        <f t="shared" si="64"/>
        <v>29500</v>
      </c>
      <c r="GX29" s="346">
        <f t="shared" si="65"/>
        <v>260.68058499999995</v>
      </c>
      <c r="GY29" s="344" t="e">
        <f t="shared" si="66"/>
        <v>#NUM!</v>
      </c>
      <c r="GZ29" s="345" t="e">
        <f t="shared" si="67"/>
        <v>#NUM!</v>
      </c>
      <c r="HA29" s="342" t="e">
        <f t="shared" si="68"/>
        <v>#NUM!</v>
      </c>
      <c r="HB29" s="5" t="e">
        <f t="shared" si="231"/>
        <v>#NUM!</v>
      </c>
      <c r="HC29" s="343" t="e">
        <f t="shared" si="232"/>
        <v>#NUM!</v>
      </c>
      <c r="HD29" s="363" t="e">
        <f t="shared" si="233"/>
        <v>#NUM!</v>
      </c>
      <c r="HE29" s="344" t="e">
        <f t="shared" si="69"/>
        <v>#NUM!</v>
      </c>
      <c r="HF29" s="5" t="e">
        <f t="shared" si="70"/>
        <v>#NUM!</v>
      </c>
      <c r="HG29" s="343" t="e">
        <f t="shared" si="234"/>
        <v>#NUM!</v>
      </c>
      <c r="HH29" s="349" t="e">
        <f t="shared" si="235"/>
        <v>#NUM!</v>
      </c>
      <c r="HI29" s="317">
        <f t="shared" si="71"/>
        <v>3.1150000000000002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3.1150000000000002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0.02</v>
      </c>
      <c r="B30" s="578">
        <f t="shared" si="2"/>
        <v>2.4468711177110087</v>
      </c>
      <c r="C30" s="572">
        <f t="shared" si="3"/>
        <v>-2.597829650054714</v>
      </c>
      <c r="D30" s="576">
        <f t="shared" si="4"/>
        <v>-1.0310884848485575</v>
      </c>
      <c r="E30" s="580">
        <f t="shared" si="5"/>
        <v>0.92607277141752875</v>
      </c>
      <c r="F30" s="572">
        <f t="shared" si="6"/>
        <v>0.32779626383643534</v>
      </c>
      <c r="G30" s="579">
        <f t="shared" si="7"/>
        <v>0.18691931803302669</v>
      </c>
      <c r="H30" s="580">
        <f t="shared" si="8"/>
        <v>0.3125</v>
      </c>
      <c r="I30" s="572">
        <f t="shared" si="9"/>
        <v>0.52</v>
      </c>
      <c r="J30" s="483">
        <f t="shared" si="10"/>
        <v>3.12</v>
      </c>
      <c r="K30" s="806">
        <f t="shared" si="11"/>
        <v>1613</v>
      </c>
      <c r="L30" s="82"/>
      <c r="M30" s="164">
        <f t="shared" si="12"/>
        <v>3.12</v>
      </c>
      <c r="N30" s="575">
        <f t="shared" si="13"/>
        <v>2.4468711177110087</v>
      </c>
      <c r="O30" s="572">
        <f t="shared" si="14"/>
        <v>-2.597829650054714</v>
      </c>
      <c r="P30" s="576">
        <f t="shared" si="15"/>
        <v>-1.0310884848485575</v>
      </c>
      <c r="Q30" s="528">
        <f t="shared" si="140"/>
        <v>313.28598228472947</v>
      </c>
      <c r="R30" s="572">
        <f>IF(M30="","",SQRT(N30^2+O30^2))</f>
        <v>3.5687388749237061</v>
      </c>
      <c r="S30" s="577">
        <f>IF(M30="","",P30)</f>
        <v>-1.0310884848485575</v>
      </c>
      <c r="T30" s="578">
        <f>IF(M30="","",X30*COS(RADIANS(W30)))</f>
        <v>-2.569033056521127</v>
      </c>
      <c r="U30" s="572">
        <f>IF(M30="","",X30*SIN(RADIANS(W30)))</f>
        <v>-2.477088272931232</v>
      </c>
      <c r="V30" s="579">
        <f>IF(M30="","",Y30)</f>
        <v>-1.0310884848485575</v>
      </c>
      <c r="W30" s="528">
        <f t="shared" si="253"/>
        <v>223.9561358473467</v>
      </c>
      <c r="X30" s="572">
        <f>IF(M30="","",R30)</f>
        <v>3.5687388749237061</v>
      </c>
      <c r="Y30" s="573">
        <f t="shared" si="255"/>
        <v>-1.0310884848485575</v>
      </c>
      <c r="Z30" s="575">
        <f t="shared" si="18"/>
        <v>-0.92607277141752875</v>
      </c>
      <c r="AA30" s="572">
        <f t="shared" si="19"/>
        <v>-0.32779626383643534</v>
      </c>
      <c r="AB30" s="572">
        <f t="shared" si="20"/>
        <v>-0.18691931803302669</v>
      </c>
      <c r="AC30" s="579">
        <f>IF(M30="","",SQRT(Z30^2+AA30^2+AB30^2))</f>
        <v>1</v>
      </c>
      <c r="AD30" s="580">
        <f>IF(M30="","",Z30*(1/SQRT(Z30^2+AA30^2+AB30^2)))</f>
        <v>-0.92607277141752875</v>
      </c>
      <c r="AE30" s="572">
        <f>IF(M30="","",AA30*(1/SQRT(Z30^2+AA30^2+AB30^2)))</f>
        <v>-0.32779626383643534</v>
      </c>
      <c r="AF30" s="576">
        <f>IF(M30="","",AB30*(1/SQRT(Z30^2+AA30^2+AB30^2)))</f>
        <v>-0.18691931803302669</v>
      </c>
      <c r="AG30" s="545">
        <f>IF(M30="","",DEGREES(ATAN2(-AF30,AE30)))</f>
        <v>-60.306907182567528</v>
      </c>
      <c r="AH30" s="546">
        <f>IF(M30="","",DEGREES(ACOS(AD30)))</f>
        <v>157.83067970758904</v>
      </c>
      <c r="AI30" s="528">
        <f>IF(M30="","",DEGREES(-ACOS(-AF30)))</f>
        <v>-79.226946563971723</v>
      </c>
      <c r="AJ30" s="529">
        <f>IF(M30="","",DEGREES(ATAN2(-AE30,AD30)))</f>
        <v>-70.507878620674504</v>
      </c>
      <c r="AK30" s="578">
        <f>IF(M30="","",(COS(RADIANS((90-$Q$8)-W30))*AD30)+(-SIN(RADIANS((90-$Q$8)-W30))*AE30))</f>
        <v>0.89887622115258492</v>
      </c>
      <c r="AL30" s="572">
        <f>IF(M30="","",(SIN(RADIANS((90-$Q$8)-W30))*AD30)+(COS(RADIANS((90-$Q$8)-W30))*AE30))</f>
        <v>-0.39633660894814854</v>
      </c>
      <c r="AM30" s="577">
        <f>IF(M30="","",AF30)</f>
        <v>-0.18691931803302669</v>
      </c>
      <c r="AN30" s="524">
        <f>IF(M30="","",DEGREES(ATAN2(-AM30,AL30)))</f>
        <v>-64.750610463921831</v>
      </c>
      <c r="AO30" s="525">
        <f>IF(ROUND(IF(M30="",0,DEGREES(ACOS(AK30))),4)=90,0,IF(M30="","",DEGREES(ACOS(AK30))))</f>
        <v>25.989257556112339</v>
      </c>
      <c r="AP30" s="528">
        <f>IF(M30="","",DEGREES(ATAN2(AK30,AL30)))</f>
        <v>-23.793860905403985</v>
      </c>
      <c r="AQ30" s="529">
        <f t="shared" si="21"/>
        <v>0.63877808322628615</v>
      </c>
      <c r="AS30" s="932">
        <f t="shared" si="143"/>
        <v>223.9561358473467</v>
      </c>
      <c r="AT30" s="928">
        <f t="shared" si="22"/>
        <v>-0.93829300849082875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3.12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15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670</v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0.02</v>
      </c>
      <c r="B31" s="578">
        <f t="shared" si="2"/>
        <v>2.5038656190106967</v>
      </c>
      <c r="C31" s="572">
        <f t="shared" si="3"/>
        <v>-2.691932428488649</v>
      </c>
      <c r="D31" s="576">
        <f t="shared" si="4"/>
        <v>-1.7961239739284378</v>
      </c>
      <c r="E31" s="580">
        <f t="shared" si="5"/>
        <v>0.97228858208946523</v>
      </c>
      <c r="F31" s="572">
        <f t="shared" si="6"/>
        <v>0.22968646774166374</v>
      </c>
      <c r="G31" s="579">
        <f t="shared" si="7"/>
        <v>4.3577972357774927E-2</v>
      </c>
      <c r="H31" s="580">
        <f t="shared" si="8"/>
        <v>0.3125</v>
      </c>
      <c r="I31" s="572">
        <f t="shared" si="9"/>
        <v>0.52</v>
      </c>
      <c r="J31" s="483">
        <f t="shared" si="10"/>
        <v>3.125</v>
      </c>
      <c r="K31" s="806">
        <f t="shared" si="11"/>
        <v>1613</v>
      </c>
      <c r="L31" s="309"/>
      <c r="M31" s="164">
        <f t="shared" si="12"/>
        <v>3.125</v>
      </c>
      <c r="N31" s="575">
        <f t="shared" si="13"/>
        <v>2.5038656190106967</v>
      </c>
      <c r="O31" s="572">
        <f t="shared" si="14"/>
        <v>-2.691932428488649</v>
      </c>
      <c r="P31" s="576">
        <f t="shared" si="15"/>
        <v>-1.7961239739284378</v>
      </c>
      <c r="Q31" s="528">
        <f t="shared" si="140"/>
        <v>312.92703021781028</v>
      </c>
      <c r="R31" s="572">
        <f>IF(M31="","",SQRT(N31^2+O31^2))</f>
        <v>3.6763899735491354</v>
      </c>
      <c r="S31" s="577">
        <f>IF(M31="","",P31)</f>
        <v>-1.7961239739284378</v>
      </c>
      <c r="T31" s="578">
        <f>IF(M31="","",X31*COS(RADIANS(W31)))</f>
        <v>-2.6624627836453727</v>
      </c>
      <c r="U31" s="572">
        <f>IF(M31="","",X31*SIN(RADIANS(W31)))</f>
        <v>-2.5351795130357035</v>
      </c>
      <c r="V31" s="579">
        <f>IF(M31="","",Y31)</f>
        <v>-1.7961239739284378</v>
      </c>
      <c r="W31" s="528">
        <f t="shared" si="253"/>
        <v>223.59718378042751</v>
      </c>
      <c r="X31" s="572">
        <f>IF(M31="","",R31)</f>
        <v>3.6763899735491354</v>
      </c>
      <c r="Y31" s="573">
        <f t="shared" si="255"/>
        <v>-1.7961239739284378</v>
      </c>
      <c r="Z31" s="575">
        <f t="shared" si="18"/>
        <v>-0.97228858208946523</v>
      </c>
      <c r="AA31" s="572">
        <f t="shared" si="19"/>
        <v>-0.22968646774166374</v>
      </c>
      <c r="AB31" s="572">
        <f t="shared" si="20"/>
        <v>-4.3577972357774927E-2</v>
      </c>
      <c r="AC31" s="579">
        <f>IF(M31="","",SQRT(Z31^2+AA31^2+AB31^2))</f>
        <v>1</v>
      </c>
      <c r="AD31" s="580">
        <f>IF(M31="","",Z31*(1/SQRT(Z31^2+AA31^2+AB31^2)))</f>
        <v>-0.97228858208946523</v>
      </c>
      <c r="AE31" s="572">
        <f>IF(M31="","",AA31*(1/SQRT(Z31^2+AA31^2+AB31^2)))</f>
        <v>-0.22968646774166374</v>
      </c>
      <c r="AF31" s="576">
        <f>IF(M31="","",AB31*(1/SQRT(Z31^2+AA31^2+AB31^2)))</f>
        <v>-4.3577972357774927E-2</v>
      </c>
      <c r="AG31" s="545">
        <f>IF(M31="","",DEGREES(ATAN2(-AF31,AE31)))</f>
        <v>-79.257070733298377</v>
      </c>
      <c r="AH31" s="546">
        <f>IF(M31="","",DEGREES(ACOS(AD31)))</f>
        <v>166.48005115663662</v>
      </c>
      <c r="AI31" s="528">
        <f>IF(M31="","",DEGREES(-ACOS(-AF31)))</f>
        <v>-87.502375163624507</v>
      </c>
      <c r="AJ31" s="529">
        <f>IF(M31="","",DEGREES(ATAN2(-AE31,AD31)))</f>
        <v>-76.708528844707359</v>
      </c>
      <c r="AK31" s="578">
        <f>IF(M31="","",(COS(RADIANS((90-$Q$8)-W31))*AD31)+(-SIN(RADIANS((90-$Q$8)-W31))*AE31))</f>
        <v>0.86836250688179928</v>
      </c>
      <c r="AL31" s="572">
        <f>IF(M31="","",(SIN(RADIANS((90-$Q$8)-W31))*AD31)+(COS(RADIANS((90-$Q$8)-W31))*AE31))</f>
        <v>-0.4940116567118048</v>
      </c>
      <c r="AM31" s="577">
        <f>IF(M31="","",AF31)</f>
        <v>-4.3577972357774927E-2</v>
      </c>
      <c r="AN31" s="524">
        <f>IF(M31="","",DEGREES(ATAN2(-AM31,AL31)))</f>
        <v>-84.958848408102114</v>
      </c>
      <c r="AO31" s="525">
        <f t="shared" si="116"/>
        <v>29.7310937533993</v>
      </c>
      <c r="AP31" s="528">
        <f>IF(M31="","",DEGREES(ATAN2(AK31,AL31)))</f>
        <v>-29.635559062517643</v>
      </c>
      <c r="AQ31" s="529">
        <f t="shared" si="21"/>
        <v>0.62007503138665554</v>
      </c>
      <c r="AS31" s="932">
        <f t="shared" si="143"/>
        <v>223.59718378042751</v>
      </c>
      <c r="AT31" s="928">
        <f t="shared" si="22"/>
        <v>-1.7030792253020151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3.125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</v>
      </c>
      <c r="B32" s="578">
        <f t="shared" si="2"/>
        <v>1.2359775901684651</v>
      </c>
      <c r="C32" s="572">
        <f t="shared" si="3"/>
        <v>-2.8653715047827344</v>
      </c>
      <c r="D32" s="576">
        <f t="shared" si="4"/>
        <v>-0.4412630329251262</v>
      </c>
      <c r="E32" s="580">
        <f t="shared" si="5"/>
        <v>0.2422643444640866</v>
      </c>
      <c r="F32" s="572">
        <f t="shared" si="6"/>
        <v>-0.56164234268814284</v>
      </c>
      <c r="G32" s="579">
        <f t="shared" si="7"/>
        <v>0.79111684743858235</v>
      </c>
      <c r="H32" s="580">
        <f t="shared" si="8"/>
        <v>0.255</v>
      </c>
      <c r="I32" s="572">
        <f t="shared" si="9"/>
        <v>0.41499999999999992</v>
      </c>
      <c r="J32" s="483">
        <f t="shared" si="10"/>
        <v>3.2149999999999999</v>
      </c>
      <c r="K32" s="806" t="str">
        <f t="shared" si="11"/>
        <v>CPS-32193r1</v>
      </c>
      <c r="L32" s="309"/>
      <c r="M32" s="164">
        <f t="shared" si="12"/>
        <v>3.2149999999999999</v>
      </c>
      <c r="N32" s="575">
        <f t="shared" si="13"/>
        <v>1.2359775901684651</v>
      </c>
      <c r="O32" s="572">
        <f t="shared" si="14"/>
        <v>-2.8653715047827344</v>
      </c>
      <c r="P32" s="576">
        <f t="shared" si="15"/>
        <v>-0.4412630329251262</v>
      </c>
      <c r="Q32" s="528">
        <f t="shared" si="140"/>
        <v>293.33294511235226</v>
      </c>
      <c r="R32" s="572">
        <f t="shared" si="101"/>
        <v>3.120575982702475</v>
      </c>
      <c r="S32" s="577">
        <f t="shared" si="102"/>
        <v>-0.4412630329251262</v>
      </c>
      <c r="T32" s="578">
        <f t="shared" si="103"/>
        <v>-2.8507193662358992</v>
      </c>
      <c r="U32" s="572">
        <f t="shared" si="104"/>
        <v>-1.2694067743584447</v>
      </c>
      <c r="V32" s="579">
        <f t="shared" si="141"/>
        <v>-0.4412630329251262</v>
      </c>
      <c r="W32" s="528">
        <f t="shared" si="253"/>
        <v>204.00309867496949</v>
      </c>
      <c r="X32" s="572">
        <f t="shared" si="105"/>
        <v>3.120575982702475</v>
      </c>
      <c r="Y32" s="573">
        <f t="shared" si="255"/>
        <v>-0.4412630329251262</v>
      </c>
      <c r="Z32" s="575">
        <f t="shared" si="18"/>
        <v>-0.2422643444640866</v>
      </c>
      <c r="AA32" s="572">
        <f t="shared" si="19"/>
        <v>0.56164234268814284</v>
      </c>
      <c r="AB32" s="572">
        <f t="shared" si="20"/>
        <v>-0.79111684743858235</v>
      </c>
      <c r="AC32" s="579">
        <f t="shared" si="106"/>
        <v>1</v>
      </c>
      <c r="AD32" s="580">
        <f t="shared" si="142"/>
        <v>-0.2422643444640866</v>
      </c>
      <c r="AE32" s="572">
        <f t="shared" si="107"/>
        <v>0.56164234268814284</v>
      </c>
      <c r="AF32" s="576">
        <f t="shared" si="108"/>
        <v>-0.79111684743858235</v>
      </c>
      <c r="AG32" s="545">
        <f t="shared" si="109"/>
        <v>35.372314415244638</v>
      </c>
      <c r="AH32" s="546">
        <f t="shared" si="110"/>
        <v>104.02022243101869</v>
      </c>
      <c r="AI32" s="528">
        <f t="shared" si="111"/>
        <v>-37.709994555350413</v>
      </c>
      <c r="AJ32" s="529">
        <f t="shared" si="112"/>
        <v>-156.66705488764771</v>
      </c>
      <c r="AK32" s="578">
        <f t="shared" si="238"/>
        <v>3.0531133177191805E-16</v>
      </c>
      <c r="AL32" s="572">
        <f t="shared" si="113"/>
        <v>-0.6116650502512293</v>
      </c>
      <c r="AM32" s="577">
        <f t="shared" si="114"/>
        <v>-0.79111684743858235</v>
      </c>
      <c r="AN32" s="524">
        <f t="shared" si="115"/>
        <v>-37.709994555350413</v>
      </c>
      <c r="AO32" s="525">
        <f t="shared" si="116"/>
        <v>0</v>
      </c>
      <c r="AP32" s="528">
        <f t="shared" si="117"/>
        <v>-89.999999999999972</v>
      </c>
      <c r="AQ32" s="529">
        <f t="shared" si="21"/>
        <v>0.73050716127635207</v>
      </c>
      <c r="AS32" s="932">
        <f t="shared" si="143"/>
        <v>204.00309867496949</v>
      </c>
      <c r="AT32" s="928">
        <f t="shared" si="22"/>
        <v>-0.33461128075324653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3.2149999999999999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3.1150000000000002</v>
      </c>
      <c r="IK32" s="677" cm="1">
        <f t="array" ref="IK32">IFERROR(ROUND(VALUE(IF($IJ32&lt;1,$IJ32+LARGE((IF($M$9:$M$150="",0,$M$9:$M$150)-MOD(IF($M$9:$M$150="",0,$M$9:$M$150),1)),1),$IJ32)),4),"")</f>
        <v>3.1150000000000002</v>
      </c>
      <c r="IL32" s="482">
        <f t="shared" si="88"/>
        <v>1613</v>
      </c>
      <c r="IM32" s="482" t="str">
        <f t="shared" si="237"/>
        <v>CPS-32193r1</v>
      </c>
      <c r="IN32" s="670">
        <f t="shared" si="90"/>
        <v>20.620819370083836</v>
      </c>
      <c r="IO32" s="702">
        <v>5.0309902413311902E-2</v>
      </c>
      <c r="IP32" s="5">
        <f t="shared" si="91"/>
        <v>1.38</v>
      </c>
      <c r="IQ32" s="714">
        <v>690</v>
      </c>
      <c r="IR32" s="9">
        <f t="shared" si="139"/>
        <v>-3.1234401255759972</v>
      </c>
      <c r="IS32" s="5">
        <f t="shared" si="92"/>
        <v>-0.40297886892390461</v>
      </c>
      <c r="IT32" s="5">
        <f t="shared" si="93"/>
        <v>0.3125</v>
      </c>
      <c r="IU32" s="5">
        <f t="shared" si="94"/>
        <v>0.29106485928217629</v>
      </c>
      <c r="IV32" s="670">
        <f t="shared" si="95"/>
        <v>39.331621798201397</v>
      </c>
      <c r="IW32" s="9">
        <f t="shared" si="96"/>
        <v>-3.120575982702475</v>
      </c>
      <c r="IX32" s="5">
        <f t="shared" si="97"/>
        <v>-0.4412630329251262</v>
      </c>
      <c r="IY32" s="5">
        <f t="shared" si="98"/>
        <v>0.255</v>
      </c>
      <c r="IZ32" s="5">
        <f t="shared" si="99"/>
        <v>0.255</v>
      </c>
      <c r="JA32" s="705">
        <f t="shared" si="100"/>
        <v>37.709994555350413</v>
      </c>
    </row>
    <row r="33" spans="1:269" ht="15" customHeight="1" x14ac:dyDescent="0.25">
      <c r="A33" s="75">
        <f t="shared" si="1"/>
        <v>0</v>
      </c>
      <c r="B33" s="578">
        <f t="shared" si="2"/>
        <v>1.4210298632619276</v>
      </c>
      <c r="C33" s="572">
        <f t="shared" si="3"/>
        <v>-3.2590123336029335</v>
      </c>
      <c r="D33" s="576">
        <f t="shared" si="4"/>
        <v>-1.0706714382279447</v>
      </c>
      <c r="E33" s="580">
        <f t="shared" si="5"/>
        <v>0.36821402439763767</v>
      </c>
      <c r="F33" s="572">
        <f t="shared" si="6"/>
        <v>-0.84446785950217762</v>
      </c>
      <c r="G33" s="579">
        <f t="shared" si="7"/>
        <v>0.38896332282710977</v>
      </c>
      <c r="H33" s="580">
        <f t="shared" si="8"/>
        <v>0.255</v>
      </c>
      <c r="I33" s="572">
        <f t="shared" si="9"/>
        <v>0.41499999999999992</v>
      </c>
      <c r="J33" s="483">
        <f t="shared" si="10"/>
        <v>3.22</v>
      </c>
      <c r="K33" s="806" t="str">
        <f t="shared" si="11"/>
        <v>CPS-32193r1</v>
      </c>
      <c r="L33" s="309"/>
      <c r="M33" s="164">
        <f t="shared" si="12"/>
        <v>3.22</v>
      </c>
      <c r="N33" s="575">
        <f t="shared" si="13"/>
        <v>1.4210298632619276</v>
      </c>
      <c r="O33" s="572">
        <f t="shared" si="14"/>
        <v>-3.2590123336029335</v>
      </c>
      <c r="P33" s="576">
        <f t="shared" si="15"/>
        <v>-1.0706714382279447</v>
      </c>
      <c r="Q33" s="528">
        <f t="shared" si="140"/>
        <v>293.55868609919037</v>
      </c>
      <c r="R33" s="572">
        <f t="shared" si="101"/>
        <v>3.5553462929591331</v>
      </c>
      <c r="S33" s="577">
        <f t="shared" si="102"/>
        <v>-1.0706714382279447</v>
      </c>
      <c r="T33" s="578">
        <f t="shared" si="103"/>
        <v>-3.2421688757625877</v>
      </c>
      <c r="U33" s="572">
        <f t="shared" si="104"/>
        <v>-1.4590504596807499</v>
      </c>
      <c r="V33" s="579">
        <f t="shared" si="141"/>
        <v>-1.0706714382279447</v>
      </c>
      <c r="W33" s="528">
        <f t="shared" si="253"/>
        <v>204.2288396618076</v>
      </c>
      <c r="X33" s="572">
        <f t="shared" si="105"/>
        <v>3.5553462929591331</v>
      </c>
      <c r="Y33" s="573">
        <f t="shared" si="255"/>
        <v>-1.0706714382279447</v>
      </c>
      <c r="Z33" s="575">
        <f t="shared" si="18"/>
        <v>-0.36821402439763767</v>
      </c>
      <c r="AA33" s="572">
        <f t="shared" si="19"/>
        <v>0.84446785950217762</v>
      </c>
      <c r="AB33" s="572">
        <f t="shared" si="20"/>
        <v>-0.38896332282710977</v>
      </c>
      <c r="AC33" s="579">
        <f t="shared" si="106"/>
        <v>1</v>
      </c>
      <c r="AD33" s="580">
        <f t="shared" si="142"/>
        <v>-0.36821402439763767</v>
      </c>
      <c r="AE33" s="572">
        <f t="shared" si="107"/>
        <v>0.84446785950217762</v>
      </c>
      <c r="AF33" s="576">
        <f t="shared" si="108"/>
        <v>-0.38896332282710977</v>
      </c>
      <c r="AG33" s="545">
        <f t="shared" si="109"/>
        <v>65.269122765441182</v>
      </c>
      <c r="AH33" s="546">
        <f t="shared" si="110"/>
        <v>111.60551363610983</v>
      </c>
      <c r="AI33" s="528">
        <f t="shared" si="111"/>
        <v>-67.109990310516238</v>
      </c>
      <c r="AJ33" s="529">
        <f t="shared" si="112"/>
        <v>-156.44131390080958</v>
      </c>
      <c r="AK33" s="578">
        <f t="shared" si="238"/>
        <v>8.3266726846886741E-16</v>
      </c>
      <c r="AL33" s="572">
        <f t="shared" si="113"/>
        <v>-0.92125324069730885</v>
      </c>
      <c r="AM33" s="577">
        <f t="shared" si="114"/>
        <v>-0.38896332282710977</v>
      </c>
      <c r="AN33" s="524">
        <f t="shared" si="115"/>
        <v>-67.109990310516238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0.6411840865382733</v>
      </c>
      <c r="AS33" s="932">
        <f t="shared" si="143"/>
        <v>204.2288396618076</v>
      </c>
      <c r="AT33" s="928">
        <f t="shared" si="22"/>
        <v>-0.96417645063025825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3.22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</v>
      </c>
      <c r="IK33" s="677" cm="1">
        <f t="array" ref="IK33">IFERROR(ROUND(VALUE(IF($IJ33&lt;1,$IJ33+LARGE((IF($M$9:$M$150="",0,$M$9:$M$150)-MOD(IF($M$9:$M$150="",0,$M$9:$M$150),1)),1),$IJ33)),4),"")</f>
        <v>3.12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19.727296185539103</v>
      </c>
      <c r="IO33" s="702">
        <v>3.9341617317177099E-2</v>
      </c>
      <c r="IP33" s="5">
        <f t="shared" si="91"/>
        <v>1.6</v>
      </c>
      <c r="IQ33" s="714">
        <v>800</v>
      </c>
      <c r="IR33" s="9">
        <f t="shared" si="139"/>
        <v>-3.5687388749237061</v>
      </c>
      <c r="IS33" s="5">
        <f t="shared" si="92"/>
        <v>-1.0310884848485575</v>
      </c>
      <c r="IT33" s="5">
        <f t="shared" si="93"/>
        <v>0.3125</v>
      </c>
      <c r="IU33" s="5">
        <f t="shared" si="94"/>
        <v>0.28089881911018277</v>
      </c>
      <c r="IV33" s="670">
        <f t="shared" si="95"/>
        <v>64.750610463921831</v>
      </c>
      <c r="IW33" s="9">
        <f t="shared" si="96"/>
        <v>-3.5553462929591331</v>
      </c>
      <c r="IX33" s="5">
        <f t="shared" si="97"/>
        <v>-1.0706714382279447</v>
      </c>
      <c r="IY33" s="5">
        <f t="shared" si="98"/>
        <v>0.255</v>
      </c>
      <c r="IZ33" s="5">
        <f t="shared" si="99"/>
        <v>0.255</v>
      </c>
      <c r="JA33" s="705">
        <f t="shared" si="100"/>
        <v>67.109990310516238</v>
      </c>
    </row>
    <row r="34" spans="1:269" ht="15" customHeight="1" x14ac:dyDescent="0.25">
      <c r="A34" s="75">
        <f t="shared" si="1"/>
        <v>0</v>
      </c>
      <c r="B34" s="578">
        <f t="shared" si="2"/>
        <v>1.3715873729187167</v>
      </c>
      <c r="C34" s="572">
        <f t="shared" si="3"/>
        <v>-3.3847301102814309</v>
      </c>
      <c r="D34" s="576">
        <f t="shared" si="4"/>
        <v>-1.8334774941800427</v>
      </c>
      <c r="E34" s="580">
        <f t="shared" si="5"/>
        <v>0.37413474364534782</v>
      </c>
      <c r="F34" s="572">
        <f t="shared" si="6"/>
        <v>-0.92326975089021857</v>
      </c>
      <c r="G34" s="579">
        <f t="shared" si="7"/>
        <v>8.7155956127759254E-2</v>
      </c>
      <c r="H34" s="580">
        <f t="shared" si="8"/>
        <v>0.255</v>
      </c>
      <c r="I34" s="572">
        <f t="shared" si="9"/>
        <v>0.41499999999999992</v>
      </c>
      <c r="J34" s="483">
        <f t="shared" si="10"/>
        <v>3.2250000000000001</v>
      </c>
      <c r="K34" s="806" t="str">
        <f t="shared" si="11"/>
        <v>CPS-32193r1</v>
      </c>
      <c r="L34" s="309"/>
      <c r="M34" s="164">
        <f t="shared" si="12"/>
        <v>3.2250000000000001</v>
      </c>
      <c r="N34" s="575">
        <f t="shared" si="13"/>
        <v>1.3715873729187167</v>
      </c>
      <c r="O34" s="572">
        <f t="shared" si="14"/>
        <v>-3.3847301102814309</v>
      </c>
      <c r="P34" s="576">
        <f t="shared" si="15"/>
        <v>-1.8334774941800427</v>
      </c>
      <c r="Q34" s="528">
        <f t="shared" si="140"/>
        <v>292.05916863216294</v>
      </c>
      <c r="R34" s="572">
        <f>IF(M34="","",SQRT(N34^2+O34^2))</f>
        <v>3.6520747310256145</v>
      </c>
      <c r="S34" s="577">
        <f>IF(M34="","",P34)</f>
        <v>-1.8334774941800427</v>
      </c>
      <c r="T34" s="578">
        <f>IF(M34="","",X34*COS(RADIANS(W34)))</f>
        <v>-3.3684563383748705</v>
      </c>
      <c r="U34" s="572">
        <f>IF(M34="","",X34*SIN(RADIANS(W34)))</f>
        <v>-1.4110817614362301</v>
      </c>
      <c r="V34" s="579">
        <f>IF(M34="","",Y34)</f>
        <v>-1.8334774941800427</v>
      </c>
      <c r="W34" s="528">
        <f t="shared" si="253"/>
        <v>202.72932219478017</v>
      </c>
      <c r="X34" s="572">
        <f>IF(M34="","",R34)</f>
        <v>3.6520747310256145</v>
      </c>
      <c r="Y34" s="573">
        <f t="shared" si="255"/>
        <v>-1.8334774941800427</v>
      </c>
      <c r="Z34" s="575">
        <f t="shared" si="18"/>
        <v>-0.37413474364534782</v>
      </c>
      <c r="AA34" s="572">
        <f t="shared" si="19"/>
        <v>0.92326975089021857</v>
      </c>
      <c r="AB34" s="572">
        <f t="shared" si="20"/>
        <v>-8.7155956127759254E-2</v>
      </c>
      <c r="AC34" s="579">
        <f>IF(M34="","",SQRT(Z34^2+AA34^2+AB34^2))</f>
        <v>1</v>
      </c>
      <c r="AD34" s="580">
        <f>IF(M34="","",Z34*(1/SQRT(Z34^2+AA34^2+AB34^2)))</f>
        <v>-0.37413474364534782</v>
      </c>
      <c r="AE34" s="572">
        <f>IF(M34="","",AA34*(1/SQRT(Z34^2+AA34^2+AB34^2)))</f>
        <v>0.92326975089021857</v>
      </c>
      <c r="AF34" s="576">
        <f>IF(M34="","",AB34*(1/SQRT(Z34^2+AA34^2+AB34^2)))</f>
        <v>-8.7155956127759254E-2</v>
      </c>
      <c r="AG34" s="545">
        <f>IF(M34="","",DEGREES(ATAN2(-AF34,AE34)))</f>
        <v>84.607302978747441</v>
      </c>
      <c r="AH34" s="546">
        <f>IF(M34="","",DEGREES(ACOS(AD34)))</f>
        <v>111.97084480853678</v>
      </c>
      <c r="AI34" s="528">
        <f>IF(M34="","",DEGREES(-ACOS(-AF34)))</f>
        <v>-84.999987727520178</v>
      </c>
      <c r="AJ34" s="529">
        <f>IF(M34="","",DEGREES(ATAN2(-AE34,AD34)))</f>
        <v>-157.94083136783709</v>
      </c>
      <c r="AK34" s="578">
        <f>IF(M34="","",(COS(RADIANS((90-$Q$8)-W34))*AD34)+(-SIN(RADIANS((90-$Q$8)-W34))*AE34))</f>
        <v>-4.9960036108132044E-16</v>
      </c>
      <c r="AL34" s="572">
        <f>IF(M34="","",(SIN(RADIANS((90-$Q$8)-W34))*AD34)+(COS(RADIANS((90-$Q$8)-W34))*AE34))</f>
        <v>-0.9961946794233828</v>
      </c>
      <c r="AM34" s="577">
        <f>IF(M34="","",AF34)</f>
        <v>-8.7155956127759254E-2</v>
      </c>
      <c r="AN34" s="524">
        <f>IF(M34="","",DEGREES(ATAN2(-AM34,AL34)))</f>
        <v>-84.999987727520178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0.62420311935318618</v>
      </c>
      <c r="AS34" s="932">
        <f t="shared" si="143"/>
        <v>202.72932219478017</v>
      </c>
      <c r="AT34" s="928">
        <f t="shared" si="22"/>
        <v>-1.7259411750080316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>Gage</v>
      </c>
      <c r="II34" s="788">
        <f t="shared" si="236"/>
        <v>3.2250000000000001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3.125</v>
      </c>
      <c r="IK34" s="677" cm="1">
        <f t="array" ref="IK34">IFERROR(ROUND(VALUE(IF($IJ34&lt;1,$IJ34+LARGE((IF($M$9:$M$150="",0,$M$9:$M$150)-MOD(IF($M$9:$M$150="",0,$M$9:$M$150),1)),1),$IJ34)),4),"")</f>
        <v>3.125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20.867861585647347</v>
      </c>
      <c r="IO34" s="702">
        <v>3.1630130673659898E-2</v>
      </c>
      <c r="IP34" s="5">
        <f t="shared" si="91"/>
        <v>1.76</v>
      </c>
      <c r="IQ34" s="714">
        <v>880</v>
      </c>
      <c r="IR34" s="9">
        <f t="shared" si="139"/>
        <v>-3.6763899735491354</v>
      </c>
      <c r="IS34" s="5">
        <f t="shared" si="92"/>
        <v>-1.7961239739284378</v>
      </c>
      <c r="IT34" s="5">
        <f t="shared" si="93"/>
        <v>0.3125</v>
      </c>
      <c r="IU34" s="5">
        <f t="shared" si="94"/>
        <v>0.27136328340056232</v>
      </c>
      <c r="IV34" s="670">
        <f t="shared" si="95"/>
        <v>84.958848408102114</v>
      </c>
      <c r="IW34" s="9">
        <f t="shared" si="96"/>
        <v>-3.6520747310256145</v>
      </c>
      <c r="IX34" s="5">
        <f t="shared" si="97"/>
        <v>-1.8334774941800427</v>
      </c>
      <c r="IY34" s="5">
        <f t="shared" si="98"/>
        <v>0.255</v>
      </c>
      <c r="IZ34" s="5">
        <f t="shared" si="99"/>
        <v>0.255</v>
      </c>
      <c r="JA34" s="705">
        <f t="shared" si="100"/>
        <v>84.999987727520178</v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-0.36496070920392526</v>
      </c>
      <c r="C35" s="572">
        <f t="shared" si="3"/>
        <v>-0.48824829409068543</v>
      </c>
      <c r="D35" s="576">
        <f t="shared" si="4"/>
        <v>-0.59872447849302746</v>
      </c>
      <c r="E35" s="580">
        <f t="shared" si="5"/>
        <v>0.79404275274651781</v>
      </c>
      <c r="F35" s="572">
        <f t="shared" si="6"/>
        <v>-0.51445080508160124</v>
      </c>
      <c r="G35" s="579">
        <f t="shared" si="7"/>
        <v>0.32378461353440635</v>
      </c>
      <c r="H35" s="580">
        <f t="shared" si="8"/>
        <v>0.375</v>
      </c>
      <c r="I35" s="572">
        <f t="shared" si="9"/>
        <v>0.52</v>
      </c>
      <c r="J35" s="483">
        <f t="shared" si="10"/>
        <v>4.1020000000000003</v>
      </c>
      <c r="K35" s="806">
        <f t="shared" si="11"/>
        <v>1913</v>
      </c>
      <c r="L35" s="309"/>
      <c r="M35" s="164">
        <f t="shared" si="12"/>
        <v>4.1020000000000003</v>
      </c>
      <c r="N35" s="575">
        <f t="shared" si="13"/>
        <v>-0.36496070920392526</v>
      </c>
      <c r="O35" s="572">
        <f t="shared" si="14"/>
        <v>-0.48824829409068543</v>
      </c>
      <c r="P35" s="576">
        <f t="shared" si="15"/>
        <v>-0.59872447849302746</v>
      </c>
      <c r="Q35" s="528">
        <f t="shared" si="140"/>
        <v>233.22225385165461</v>
      </c>
      <c r="R35" s="572">
        <f>IF(M35="","",SQRT(N35^2+O35^2))</f>
        <v>0.60957584921410435</v>
      </c>
      <c r="S35" s="577">
        <f>IF(M35="","",P35)</f>
        <v>-0.59872447849302746</v>
      </c>
      <c r="T35" s="578">
        <f>IF(M35="","",X35*COS(RADIANS(W35)))</f>
        <v>-0.49248352101643944</v>
      </c>
      <c r="U35" s="572">
        <f>IF(M35="","",X35*SIN(RADIANS(W35)))</f>
        <v>0.35922513480037382</v>
      </c>
      <c r="V35" s="579">
        <f>IF(M35="","",Y35)</f>
        <v>-0.59872447849302746</v>
      </c>
      <c r="W35" s="528">
        <f t="shared" si="253"/>
        <v>143.89240741427184</v>
      </c>
      <c r="X35" s="572">
        <f>IF(M35="","",R35)</f>
        <v>0.60957584921410435</v>
      </c>
      <c r="Y35" s="573">
        <f t="shared" si="255"/>
        <v>-0.59872447849302746</v>
      </c>
      <c r="Z35" s="575">
        <f t="shared" si="18"/>
        <v>-0.79404275274651781</v>
      </c>
      <c r="AA35" s="572">
        <f t="shared" si="19"/>
        <v>0.51445080508160124</v>
      </c>
      <c r="AB35" s="572">
        <f t="shared" si="20"/>
        <v>-0.32378461353440635</v>
      </c>
      <c r="AC35" s="579">
        <f>IF(M35="","",SQRT(Z35^2+AA35^2+AB35^2))</f>
        <v>1</v>
      </c>
      <c r="AD35" s="580">
        <f>IF(M35="","",Z35*(1/SQRT(Z35^2+AA35^2+AB35^2)))</f>
        <v>-0.79404275274651781</v>
      </c>
      <c r="AE35" s="572">
        <f>IF(M35="","",AA35*(1/SQRT(Z35^2+AA35^2+AB35^2)))</f>
        <v>0.51445080508160124</v>
      </c>
      <c r="AF35" s="576">
        <f>IF(M35="","",AB35*(1/SQRT(Z35^2+AA35^2+AB35^2)))</f>
        <v>-0.32378461353440635</v>
      </c>
      <c r="AG35" s="545">
        <f>IF(M35="","",DEGREES(ATAN2(-AF35,AE35)))</f>
        <v>57.81454417715787</v>
      </c>
      <c r="AH35" s="546">
        <f>IF(M35="","",DEGREES(ACOS(AD35)))</f>
        <v>142.56493450914283</v>
      </c>
      <c r="AI35" s="528">
        <f>IF(M35="","",DEGREES(-ACOS(-AF35)))</f>
        <v>-71.108042576545301</v>
      </c>
      <c r="AJ35" s="529">
        <f>IF(M35="","",DEGREES(ATAN2(-AE35,AD35)))</f>
        <v>-122.938719558469</v>
      </c>
      <c r="AK35" s="578">
        <f>IF(M35="","",(COS(RADIANS((90-$Q$8)-W35))*AD35)+(-SIN(RADIANS((90-$Q$8)-W35))*AE35))</f>
        <v>0.94400778980755606</v>
      </c>
      <c r="AL35" s="572">
        <f>IF(M35="","",(SIN(RADIANS((90-$Q$8)-W35))*AD35)+(COS(RADIANS((90-$Q$8)-W35))*AE35))</f>
        <v>6.3346798032958396E-2</v>
      </c>
      <c r="AM35" s="577">
        <f>IF(M35="","",AF35)</f>
        <v>-0.32378461353440635</v>
      </c>
      <c r="AN35" s="524">
        <f>IF(M35="","",DEGREES(ATAN2(-AM35,AL35)))</f>
        <v>11.06979942227813</v>
      </c>
      <c r="AO35" s="525">
        <f t="shared" si="116"/>
        <v>19.264111801865333</v>
      </c>
      <c r="AP35" s="528">
        <f>IF(M35="","",DEGREES(ATAN2(AK35,AL35)))</f>
        <v>3.8390265898763789</v>
      </c>
      <c r="AQ35" s="529">
        <f t="shared" si="21"/>
        <v>3.7345594696226665</v>
      </c>
      <c r="AS35" s="932">
        <f t="shared" si="143"/>
        <v>143.89240741427184</v>
      </c>
      <c r="AT35" s="928">
        <f>IF(M35="","",Y35+(((AS35-$AS$9)*$AS$6)*-1))</f>
        <v>-0.45032919072344108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4.1020000000000003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1913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0.02</v>
      </c>
      <c r="B36" s="578">
        <f t="shared" si="2"/>
        <v>-0.85346769222801655</v>
      </c>
      <c r="C36" s="572">
        <f t="shared" si="3"/>
        <v>-1.1851964470747434</v>
      </c>
      <c r="D36" s="576">
        <f t="shared" si="4"/>
        <v>-0.28742107812131712</v>
      </c>
      <c r="E36" s="580">
        <f t="shared" si="5"/>
        <v>0.79642083976409639</v>
      </c>
      <c r="F36" s="572">
        <f t="shared" si="6"/>
        <v>-0.54663347462480316</v>
      </c>
      <c r="G36" s="579">
        <f t="shared" si="7"/>
        <v>0.25866134308989114</v>
      </c>
      <c r="H36" s="580">
        <f t="shared" si="8"/>
        <v>0.375</v>
      </c>
      <c r="I36" s="572">
        <f t="shared" si="9"/>
        <v>0.52</v>
      </c>
      <c r="J36" s="483">
        <f t="shared" si="10"/>
        <v>4.1050000000000004</v>
      </c>
      <c r="K36" s="806">
        <f t="shared" si="11"/>
        <v>1913</v>
      </c>
      <c r="L36" s="309"/>
      <c r="M36" s="164">
        <f t="shared" si="12"/>
        <v>4.1050000000000004</v>
      </c>
      <c r="N36" s="575">
        <f t="shared" si="13"/>
        <v>-0.85346769222801655</v>
      </c>
      <c r="O36" s="572">
        <f t="shared" si="14"/>
        <v>-1.1851964470747434</v>
      </c>
      <c r="P36" s="576">
        <f t="shared" si="15"/>
        <v>-0.28742107812131712</v>
      </c>
      <c r="Q36" s="528">
        <f t="shared" si="140"/>
        <v>234.24209338750913</v>
      </c>
      <c r="R36" s="572">
        <f>IF(M36="","",SQRT(N36^2+O36^2))</f>
        <v>1.4605128276860875</v>
      </c>
      <c r="S36" s="577">
        <f>IF(M36="","",P36)</f>
        <v>-0.28742107812131712</v>
      </c>
      <c r="T36" s="578">
        <f>IF(M36="","",X36*COS(RADIANS(W36)))</f>
        <v>-1.1950976374293443</v>
      </c>
      <c r="U36" s="572">
        <f>IF(M36="","",X36*SIN(RADIANS(W36)))</f>
        <v>0.83954711413142902</v>
      </c>
      <c r="V36" s="579">
        <f>IF(M36="","",Y36)</f>
        <v>-0.28742107812131712</v>
      </c>
      <c r="W36" s="528">
        <f t="shared" si="253"/>
        <v>144.91224695012636</v>
      </c>
      <c r="X36" s="572">
        <f>IF(M36="","",R36)</f>
        <v>1.4605128276860875</v>
      </c>
      <c r="Y36" s="573">
        <f t="shared" si="255"/>
        <v>-0.28742107812131712</v>
      </c>
      <c r="Z36" s="575">
        <f t="shared" si="18"/>
        <v>-0.79642083976409639</v>
      </c>
      <c r="AA36" s="572">
        <f t="shared" si="19"/>
        <v>0.54663347462480316</v>
      </c>
      <c r="AB36" s="572">
        <f t="shared" si="20"/>
        <v>-0.25866134308989114</v>
      </c>
      <c r="AC36" s="579">
        <f>IF(M36="","",SQRT(Z36^2+AA36^2+AB36^2))</f>
        <v>1</v>
      </c>
      <c r="AD36" s="580">
        <f>IF(M36="","",Z36*(1/SQRT(Z36^2+AA36^2+AB36^2)))</f>
        <v>-0.79642083976409639</v>
      </c>
      <c r="AE36" s="572">
        <f>IF(M36="","",AA36*(1/SQRT(Z36^2+AA36^2+AB36^2)))</f>
        <v>0.54663347462480316</v>
      </c>
      <c r="AF36" s="576">
        <f>IF(M36="","",AB36*(1/SQRT(Z36^2+AA36^2+AB36^2)))</f>
        <v>-0.25866134308989114</v>
      </c>
      <c r="AG36" s="545">
        <f>IF(M36="","",DEGREES(ATAN2(-AF36,AE36)))</f>
        <v>64.676968404911108</v>
      </c>
      <c r="AH36" s="546">
        <f>IF(M36="","",DEGREES(ACOS(AD36)))</f>
        <v>142.78966425643324</v>
      </c>
      <c r="AI36" s="528">
        <f>IF(M36="","",DEGREES(-ACOS(-AF36)))</f>
        <v>-75.00935419874574</v>
      </c>
      <c r="AJ36" s="529">
        <f>IF(M36="","",DEGREES(ATAN2(-AE36,AD36)))</f>
        <v>-124.46424714840936</v>
      </c>
      <c r="AK36" s="578">
        <f>IF(M36="","",(COS(RADIANS((90-$Q$8)-W36))*AD36)+(-SIN(RADIANS((90-$Q$8)-W36))*AE36))</f>
        <v>0.96572185674116895</v>
      </c>
      <c r="AL36" s="572">
        <f>IF(M36="","",(SIN(RADIANS((90-$Q$8)-W36))*AD36)+(COS(RADIANS((90-$Q$8)-W36))*AE36))</f>
        <v>2.1808370029030577E-2</v>
      </c>
      <c r="AM36" s="577">
        <f>IF(M36="","",AF36)</f>
        <v>-0.25866134308989114</v>
      </c>
      <c r="AN36" s="524">
        <f>IF(M36="","",DEGREES(ATAN2(-AM36,AL36)))</f>
        <v>4.8193491845055059</v>
      </c>
      <c r="AO36" s="525">
        <f t="shared" si="116"/>
        <v>15.045087330454345</v>
      </c>
      <c r="AP36" s="528">
        <f>IF(M36="","",DEGREES(ATAN2(AK36,AL36)))</f>
        <v>1.2936594640815071</v>
      </c>
      <c r="AQ36" s="529">
        <f t="shared" si="21"/>
        <v>1.5605223386107629</v>
      </c>
      <c r="AS36" s="932">
        <f t="shared" si="143"/>
        <v>144.91224695012636</v>
      </c>
      <c r="AT36" s="928">
        <f t="shared" si="22"/>
        <v>-0.13973401225162971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4.1050000000000004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1913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0.02</v>
      </c>
      <c r="B37" s="578">
        <f t="shared" si="2"/>
        <v>-1.3191475913503561</v>
      </c>
      <c r="C37" s="572">
        <f t="shared" si="3"/>
        <v>-1.8493711078029986</v>
      </c>
      <c r="D37" s="576">
        <f t="shared" si="4"/>
        <v>-5.9255501667997978E-2</v>
      </c>
      <c r="E37" s="580">
        <f t="shared" si="5"/>
        <v>0.7601613071669423</v>
      </c>
      <c r="F37" s="572">
        <f t="shared" si="6"/>
        <v>-0.59078714701157209</v>
      </c>
      <c r="G37" s="579">
        <f t="shared" si="7"/>
        <v>0.27041696324781994</v>
      </c>
      <c r="H37" s="580">
        <f t="shared" si="8"/>
        <v>0.3125</v>
      </c>
      <c r="I37" s="572">
        <f t="shared" si="9"/>
        <v>0.52</v>
      </c>
      <c r="J37" s="483">
        <f t="shared" si="10"/>
        <v>4.109</v>
      </c>
      <c r="K37" s="806">
        <f t="shared" si="11"/>
        <v>1613</v>
      </c>
      <c r="L37" s="309"/>
      <c r="M37" s="164">
        <f t="shared" si="12"/>
        <v>4.109</v>
      </c>
      <c r="N37" s="575">
        <f t="shared" si="13"/>
        <v>-1.3191475913503561</v>
      </c>
      <c r="O37" s="572">
        <f t="shared" si="14"/>
        <v>-1.8493711078029986</v>
      </c>
      <c r="P37" s="576">
        <f t="shared" si="15"/>
        <v>-5.9255501667997978E-2</v>
      </c>
      <c r="Q37" s="528">
        <f t="shared" si="140"/>
        <v>234.49991786082921</v>
      </c>
      <c r="R37" s="572">
        <f t="shared" si="101"/>
        <v>2.2716346233806917</v>
      </c>
      <c r="S37" s="577">
        <f t="shared" si="102"/>
        <v>-5.9255501667997978E-2</v>
      </c>
      <c r="T37" s="578">
        <f t="shared" si="103"/>
        <v>-1.8646735150564697</v>
      </c>
      <c r="U37" s="572">
        <f t="shared" si="104"/>
        <v>1.2974268936587086</v>
      </c>
      <c r="V37" s="579">
        <f t="shared" si="141"/>
        <v>-5.9255501667997978E-2</v>
      </c>
      <c r="W37" s="528">
        <f t="shared" si="253"/>
        <v>145.17007142344644</v>
      </c>
      <c r="X37" s="572">
        <f t="shared" si="105"/>
        <v>2.2716346233806917</v>
      </c>
      <c r="Y37" s="573">
        <f t="shared" si="255"/>
        <v>-5.9255501667997978E-2</v>
      </c>
      <c r="Z37" s="575">
        <f t="shared" si="18"/>
        <v>-0.7601613071669423</v>
      </c>
      <c r="AA37" s="572">
        <f t="shared" si="19"/>
        <v>0.59078714701157209</v>
      </c>
      <c r="AB37" s="572">
        <f t="shared" si="20"/>
        <v>-0.27041696324781994</v>
      </c>
      <c r="AC37" s="579">
        <f t="shared" si="106"/>
        <v>1</v>
      </c>
      <c r="AD37" s="580">
        <f t="shared" si="142"/>
        <v>-0.7601613071669423</v>
      </c>
      <c r="AE37" s="572">
        <f t="shared" si="107"/>
        <v>0.59078714701157209</v>
      </c>
      <c r="AF37" s="576">
        <f t="shared" si="108"/>
        <v>-0.27041696324781994</v>
      </c>
      <c r="AG37" s="545">
        <f t="shared" si="109"/>
        <v>65.405332813718957</v>
      </c>
      <c r="AH37" s="546">
        <f t="shared" si="110"/>
        <v>139.47842043583751</v>
      </c>
      <c r="AI37" s="528">
        <f t="shared" si="111"/>
        <v>-74.310919907068239</v>
      </c>
      <c r="AJ37" s="529">
        <f t="shared" si="112"/>
        <v>-127.85387111435789</v>
      </c>
      <c r="AK37" s="578">
        <f t="shared" si="238"/>
        <v>0.96193101576932971</v>
      </c>
      <c r="AL37" s="572">
        <f t="shared" si="113"/>
        <v>-3.9539687515364241E-2</v>
      </c>
      <c r="AM37" s="577">
        <f t="shared" si="114"/>
        <v>-0.27041696324781994</v>
      </c>
      <c r="AN37" s="524">
        <f t="shared" si="115"/>
        <v>-8.3186955474278008</v>
      </c>
      <c r="AO37" s="525">
        <f t="shared" si="116"/>
        <v>15.860276532774082</v>
      </c>
      <c r="AP37" s="528">
        <f t="shared" si="117"/>
        <v>-2.3537889751870971</v>
      </c>
      <c r="AQ37" s="529">
        <f t="shared" si="21"/>
        <v>1.003459587123684</v>
      </c>
      <c r="AS37" s="932">
        <f t="shared" si="143"/>
        <v>145.17007142344644</v>
      </c>
      <c r="AT37" s="928">
        <f t="shared" si="22"/>
        <v>8.8252519428550474E-2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4.109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-1.7591447288159445</v>
      </c>
      <c r="C38" s="572">
        <f t="shared" si="3"/>
        <v>-2.4293970171708574</v>
      </c>
      <c r="D38" s="576">
        <f t="shared" si="4"/>
        <v>-0.30891884079070175</v>
      </c>
      <c r="E38" s="580">
        <f t="shared" si="5"/>
        <v>0.64397831882648926</v>
      </c>
      <c r="F38" s="572">
        <f t="shared" si="6"/>
        <v>-0.7085428309627706</v>
      </c>
      <c r="G38" s="579">
        <f t="shared" si="7"/>
        <v>0.28854632482960374</v>
      </c>
      <c r="H38" s="580">
        <f t="shared" si="8"/>
        <v>0.3125</v>
      </c>
      <c r="I38" s="572">
        <f t="shared" si="9"/>
        <v>0.52</v>
      </c>
      <c r="J38" s="483">
        <f t="shared" si="10"/>
        <v>4.1139999999999999</v>
      </c>
      <c r="K38" s="806">
        <f t="shared" si="11"/>
        <v>1613</v>
      </c>
      <c r="L38" s="309"/>
      <c r="M38" s="164">
        <f t="shared" si="12"/>
        <v>4.1139999999999999</v>
      </c>
      <c r="N38" s="575">
        <f t="shared" si="13"/>
        <v>-1.7591447288159445</v>
      </c>
      <c r="O38" s="572">
        <f t="shared" si="14"/>
        <v>-2.4293970171708574</v>
      </c>
      <c r="P38" s="576">
        <f t="shared" si="15"/>
        <v>-0.30891884079070175</v>
      </c>
      <c r="Q38" s="528">
        <f t="shared" si="140"/>
        <v>234.09141874647577</v>
      </c>
      <c r="R38" s="572">
        <f t="shared" si="101"/>
        <v>2.9994266191990069</v>
      </c>
      <c r="S38" s="577">
        <f t="shared" si="102"/>
        <v>-0.30891884079070175</v>
      </c>
      <c r="T38" s="578">
        <f t="shared" si="103"/>
        <v>-2.4498060086126516</v>
      </c>
      <c r="U38" s="572">
        <f t="shared" si="104"/>
        <v>1.7306098821296878</v>
      </c>
      <c r="V38" s="579">
        <f t="shared" si="141"/>
        <v>-0.30891884079070175</v>
      </c>
      <c r="W38" s="528">
        <f t="shared" si="253"/>
        <v>144.761572309093</v>
      </c>
      <c r="X38" s="572">
        <f t="shared" si="105"/>
        <v>2.9994266191990069</v>
      </c>
      <c r="Y38" s="573">
        <f t="shared" si="255"/>
        <v>-0.30891884079070175</v>
      </c>
      <c r="Z38" s="575">
        <f t="shared" si="18"/>
        <v>-0.64397831882648926</v>
      </c>
      <c r="AA38" s="572">
        <f t="shared" si="19"/>
        <v>0.7085428309627706</v>
      </c>
      <c r="AB38" s="572">
        <f t="shared" si="20"/>
        <v>-0.28854632482960374</v>
      </c>
      <c r="AC38" s="579">
        <f t="shared" si="106"/>
        <v>1</v>
      </c>
      <c r="AD38" s="580">
        <f t="shared" si="142"/>
        <v>-0.64397831882648926</v>
      </c>
      <c r="AE38" s="572">
        <f t="shared" si="107"/>
        <v>0.7085428309627706</v>
      </c>
      <c r="AF38" s="576">
        <f t="shared" si="108"/>
        <v>-0.28854632482960374</v>
      </c>
      <c r="AG38" s="545">
        <f t="shared" si="109"/>
        <v>67.841926600336535</v>
      </c>
      <c r="AH38" s="546">
        <f t="shared" si="110"/>
        <v>130.08911647979909</v>
      </c>
      <c r="AI38" s="528">
        <f t="shared" si="111"/>
        <v>-73.229053388616194</v>
      </c>
      <c r="AJ38" s="529">
        <f t="shared" si="112"/>
        <v>-137.73302045003217</v>
      </c>
      <c r="AK38" s="578">
        <f t="shared" si="238"/>
        <v>0.93714857870365598</v>
      </c>
      <c r="AL38" s="572">
        <f t="shared" si="113"/>
        <v>-0.19619775702348441</v>
      </c>
      <c r="AM38" s="577">
        <f t="shared" si="114"/>
        <v>-0.28854632482960374</v>
      </c>
      <c r="AN38" s="524">
        <f t="shared" si="115"/>
        <v>-34.21383592778119</v>
      </c>
      <c r="AO38" s="525">
        <f t="shared" si="116"/>
        <v>20.421917838998581</v>
      </c>
      <c r="AP38" s="528">
        <f t="shared" si="117"/>
        <v>-11.824439196507951</v>
      </c>
      <c r="AQ38" s="529">
        <f t="shared" si="21"/>
        <v>0.76000956606945591</v>
      </c>
      <c r="AS38" s="932">
        <f t="shared" si="143"/>
        <v>144.761572309093</v>
      </c>
      <c r="AT38" s="928">
        <f t="shared" si="22"/>
        <v>-0.16112713975363008</v>
      </c>
      <c r="AU38" s="418"/>
      <c r="AV38" s="164">
        <f t="shared" si="23"/>
        <v>4.1139999999999999</v>
      </c>
      <c r="AW38" s="829">
        <f>IFERROR(INDEX(MassProp!C$9:C$150,MATCH($M38,MassProp!$B$9:$B$150,0)),"")</f>
        <v>2.7862</v>
      </c>
      <c r="AX38" s="830">
        <f>IFERROR(INDEX(MassProp!D$9:D$150,MATCH($M38,MassProp!$B$9:$B$150,0)),"")</f>
        <v>0.38790000000000002</v>
      </c>
      <c r="AY38" s="831">
        <f>IFERROR(INDEX(MassProp!E$9:E$150,MATCH($M38,MassProp!$B$9:$B$150,0)),"")</f>
        <v>3.61E-2</v>
      </c>
      <c r="AZ38" s="297">
        <f t="shared" si="144"/>
        <v>0.63203865172311535</v>
      </c>
      <c r="BA38" s="296">
        <f t="shared" si="24"/>
        <v>0.10987180817875072</v>
      </c>
      <c r="BB38" s="190">
        <f t="shared" si="145"/>
        <v>0.2990271397536301</v>
      </c>
      <c r="BC38" s="9"/>
      <c r="BD38" s="5">
        <f t="shared" si="146"/>
        <v>2.7862</v>
      </c>
      <c r="BE38" s="6">
        <f t="shared" si="25"/>
        <v>-9.891701037071654E-3</v>
      </c>
      <c r="BF38" s="4">
        <f t="shared" si="26"/>
        <v>-1.7591447288159445</v>
      </c>
      <c r="BG38" s="5">
        <f t="shared" si="27"/>
        <v>-2.4293970171708574</v>
      </c>
      <c r="BH38" s="10">
        <f t="shared" si="28"/>
        <v>-0.30891884079070175</v>
      </c>
      <c r="BI38" s="9">
        <f t="shared" si="147"/>
        <v>-1.7591447288159445</v>
      </c>
      <c r="BJ38" s="5">
        <f t="shared" si="29"/>
        <v>-2.0522338439381231</v>
      </c>
      <c r="BK38" s="8">
        <f t="shared" si="30"/>
        <v>0.61722798383108268</v>
      </c>
      <c r="BL38" s="173">
        <f t="shared" si="31"/>
        <v>-0.99410098831386806</v>
      </c>
      <c r="BM38" s="5">
        <f t="shared" si="32"/>
        <v>-1.8329785420644293</v>
      </c>
      <c r="BN38" s="6">
        <f t="shared" si="33"/>
        <v>-0.551803747012382</v>
      </c>
      <c r="BO38" s="4">
        <f t="shared" si="148"/>
        <v>-0.64397831882648959</v>
      </c>
      <c r="BP38" s="5">
        <f t="shared" si="239"/>
        <v>0.70854283096277082</v>
      </c>
      <c r="BQ38" s="5">
        <f t="shared" si="149"/>
        <v>-0.28854632482960407</v>
      </c>
      <c r="BR38" s="6">
        <f t="shared" si="150"/>
        <v>0.49934337886259939</v>
      </c>
      <c r="BS38" s="4">
        <f t="shared" si="118"/>
        <v>0</v>
      </c>
      <c r="BT38" s="5">
        <f t="shared" si="118"/>
        <v>0</v>
      </c>
      <c r="BU38" s="10">
        <f t="shared" si="119"/>
        <v>-9.891701037071654E-3</v>
      </c>
      <c r="BV38" s="9">
        <f t="shared" si="120"/>
        <v>0</v>
      </c>
      <c r="BW38" s="5">
        <f t="shared" si="121"/>
        <v>1</v>
      </c>
      <c r="BX38" s="8">
        <f t="shared" si="122"/>
        <v>-9.891701037071654E-3</v>
      </c>
      <c r="BY38" s="173">
        <f t="shared" si="123"/>
        <v>1</v>
      </c>
      <c r="BZ38" s="5">
        <f t="shared" si="124"/>
        <v>0</v>
      </c>
      <c r="CA38" s="6">
        <f t="shared" si="125"/>
        <v>-9.891701037071654E-3</v>
      </c>
      <c r="CB38" s="4">
        <f t="shared" si="151"/>
        <v>0</v>
      </c>
      <c r="CC38" s="5">
        <f t="shared" si="152"/>
        <v>0</v>
      </c>
      <c r="CD38" s="5">
        <f t="shared" si="153"/>
        <v>-1</v>
      </c>
      <c r="CE38" s="6">
        <f t="shared" si="154"/>
        <v>-9.891701037071654E-3</v>
      </c>
      <c r="CF38" s="4">
        <f t="shared" si="155"/>
        <v>-0.70854283096277082</v>
      </c>
      <c r="CG38" s="5">
        <f t="shared" si="156"/>
        <v>-0.64397831882648959</v>
      </c>
      <c r="CH38" s="5">
        <f t="shared" si="157"/>
        <v>0</v>
      </c>
      <c r="CI38" s="4">
        <f t="shared" si="126"/>
        <v>0</v>
      </c>
      <c r="CJ38" s="5">
        <f t="shared" si="127"/>
        <v>-0.70877520863597121</v>
      </c>
      <c r="CK38" s="8">
        <f t="shared" si="128"/>
        <v>-9.891701037071654E-3</v>
      </c>
      <c r="CL38" s="173">
        <f t="shared" si="129"/>
        <v>-0.70854283096277082</v>
      </c>
      <c r="CM38" s="5">
        <f t="shared" si="130"/>
        <v>-1.3527535274624607</v>
      </c>
      <c r="CN38" s="6">
        <f t="shared" si="131"/>
        <v>-9.891701037071654E-3</v>
      </c>
      <c r="CO38" s="167">
        <f t="shared" si="35"/>
        <v>0.3125</v>
      </c>
      <c r="CP38" s="4">
        <f t="shared" si="240"/>
        <v>0.91674101842732936</v>
      </c>
      <c r="CQ38" s="5">
        <f t="shared" si="241"/>
        <v>-4.70894505164995</v>
      </c>
      <c r="CR38" s="5">
        <f t="shared" si="158"/>
        <v>6.0468905652360228</v>
      </c>
      <c r="CS38" s="8">
        <f t="shared" si="159"/>
        <v>4.3303908622860376E-4</v>
      </c>
      <c r="CT38" s="9">
        <f t="shared" si="160"/>
        <v>2.5796569302481305</v>
      </c>
      <c r="CU38" s="6">
        <f t="shared" si="161"/>
        <v>2.5569573992035535</v>
      </c>
      <c r="CV38" s="4">
        <f t="shared" si="242"/>
        <v>-1.8277974242707413</v>
      </c>
      <c r="CW38" s="5">
        <f t="shared" si="162"/>
        <v>-2.370018341726265</v>
      </c>
      <c r="CX38" s="8">
        <f t="shared" si="163"/>
        <v>-9.891701037071654E-3</v>
      </c>
      <c r="CY38" s="9">
        <f t="shared" si="164"/>
        <v>-1.8117138342828896</v>
      </c>
      <c r="CZ38" s="5">
        <f t="shared" si="165"/>
        <v>-2.3554003358860287</v>
      </c>
      <c r="DA38" s="6">
        <f t="shared" si="166"/>
        <v>-9.891701037071654E-3</v>
      </c>
      <c r="DB38" s="4">
        <f t="shared" si="167"/>
        <v>0</v>
      </c>
      <c r="DC38" s="5">
        <f t="shared" si="167"/>
        <v>0</v>
      </c>
      <c r="DD38" s="10">
        <f t="shared" si="168"/>
        <v>-10</v>
      </c>
      <c r="DE38" s="9">
        <f t="shared" si="169"/>
        <v>0</v>
      </c>
      <c r="DF38" s="5">
        <f t="shared" si="169"/>
        <v>0</v>
      </c>
      <c r="DG38" s="10">
        <f t="shared" si="170"/>
        <v>10</v>
      </c>
      <c r="DH38" s="70">
        <f t="shared" si="171"/>
        <v>2.7862</v>
      </c>
      <c r="DI38" s="4">
        <f t="shared" si="172"/>
        <v>0</v>
      </c>
      <c r="DJ38" s="5">
        <f t="shared" si="173"/>
        <v>0</v>
      </c>
      <c r="DK38" s="10">
        <f t="shared" si="174"/>
        <v>20</v>
      </c>
      <c r="DL38" s="9">
        <f t="shared" si="175"/>
        <v>-1.8277974242707413</v>
      </c>
      <c r="DM38" s="173">
        <f t="shared" si="176"/>
        <v>-2.370018341726265</v>
      </c>
      <c r="DN38" s="178">
        <f t="shared" si="177"/>
        <v>9.9901082989629284</v>
      </c>
      <c r="DO38" s="9">
        <f t="shared" si="178"/>
        <v>1.6083589987851754E-2</v>
      </c>
      <c r="DP38" s="173">
        <f t="shared" si="179"/>
        <v>1.4618005840236314E-2</v>
      </c>
      <c r="DQ38" s="11">
        <f t="shared" si="180"/>
        <v>0</v>
      </c>
      <c r="DR38" s="173">
        <f t="shared" si="181"/>
        <v>199.80216597925858</v>
      </c>
      <c r="DS38" s="5">
        <f t="shared" si="182"/>
        <v>0</v>
      </c>
      <c r="DT38" s="5">
        <f t="shared" si="183"/>
        <v>400</v>
      </c>
      <c r="DU38" s="5">
        <f t="shared" si="184"/>
        <v>4.7236796164250815E-4</v>
      </c>
      <c r="DV38" s="5">
        <f t="shared" si="185"/>
        <v>-6.4042486313643843E-2</v>
      </c>
      <c r="DW38" s="5">
        <f t="shared" si="186"/>
        <v>108.76009418929765</v>
      </c>
      <c r="DX38" s="167">
        <f t="shared" si="187"/>
        <v>100.99718374929765</v>
      </c>
      <c r="DY38" s="9">
        <f t="shared" si="188"/>
        <v>0.18894718465700325</v>
      </c>
      <c r="DZ38" s="5">
        <f t="shared" si="189"/>
        <v>-25.616994525457535</v>
      </c>
      <c r="EA38" s="10">
        <f t="shared" si="190"/>
        <v>477.96796971587173</v>
      </c>
      <c r="EB38" s="6">
        <f t="shared" si="191"/>
        <v>565.91970628328352</v>
      </c>
      <c r="EC38" s="173">
        <f t="shared" si="192"/>
        <v>261.48080249890512</v>
      </c>
      <c r="ED38" s="5">
        <f t="shared" si="193"/>
        <v>9.6742779216916546</v>
      </c>
      <c r="EE38" s="4">
        <f t="shared" si="194"/>
        <v>2.3777525928160905</v>
      </c>
      <c r="EF38" s="5">
        <f t="shared" si="195"/>
        <v>1.4523095563124082</v>
      </c>
      <c r="EG38" s="10">
        <f t="shared" si="196"/>
        <v>-9.891701037071654E-3</v>
      </c>
      <c r="EH38" s="9">
        <f t="shared" si="197"/>
        <v>-1.672200304749726</v>
      </c>
      <c r="EI38" s="5">
        <f t="shared" si="198"/>
        <v>-2.2285996905669072</v>
      </c>
      <c r="EJ38" s="6">
        <f t="shared" si="199"/>
        <v>-9.891701037071654E-3</v>
      </c>
      <c r="EK38" s="236" t="b">
        <f t="shared" si="200"/>
        <v>0</v>
      </c>
      <c r="EL38" s="238" t="b">
        <f t="shared" si="201"/>
        <v>0</v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e">
        <f t="shared" si="205"/>
        <v>#VALUE!</v>
      </c>
      <c r="EQ38" s="5" t="e">
        <f t="shared" si="206"/>
        <v>#VALUE!</v>
      </c>
      <c r="ER38" s="7" t="str">
        <f t="shared" si="207"/>
        <v/>
      </c>
      <c r="ES38" s="21">
        <f t="shared" si="132"/>
        <v>-0.64397831882648926</v>
      </c>
      <c r="ET38" s="5">
        <f t="shared" si="44"/>
        <v>0.7085428309627706</v>
      </c>
      <c r="EU38" s="10">
        <f t="shared" si="45"/>
        <v>-0.28854632482960374</v>
      </c>
      <c r="EV38" s="174" t="e">
        <f t="shared" si="254"/>
        <v>#VALUE!</v>
      </c>
      <c r="EW38" s="9" t="e">
        <f t="shared" si="133"/>
        <v>#VALUE!</v>
      </c>
      <c r="EX38" s="5" t="e">
        <f t="shared" si="47"/>
        <v>#VALUE!</v>
      </c>
      <c r="EY38" s="6">
        <f t="shared" si="208"/>
        <v>-0.28854632482960374</v>
      </c>
      <c r="EZ38" s="51" t="e">
        <f t="shared" si="209"/>
        <v>#VALUE!</v>
      </c>
      <c r="FA38" s="266" t="e">
        <f t="shared" si="134"/>
        <v>#VALUE!</v>
      </c>
      <c r="FB38" s="267" t="e">
        <f t="shared" si="135"/>
        <v>#VALUE!</v>
      </c>
      <c r="FC38" s="269" t="e">
        <f t="shared" si="48"/>
        <v>#VALUE!</v>
      </c>
      <c r="FD38" s="4" t="e">
        <f t="shared" si="136"/>
        <v>#VALUE!</v>
      </c>
      <c r="FE38" s="5" t="e">
        <f t="shared" si="49"/>
        <v>#VALUE!</v>
      </c>
      <c r="FF38" s="7" t="e">
        <f t="shared" si="210"/>
        <v>#VALUE!</v>
      </c>
      <c r="FG38" s="173" t="e">
        <f t="shared" si="211"/>
        <v>#VALUE!</v>
      </c>
      <c r="FH38" s="5" t="e">
        <f t="shared" si="50"/>
        <v>#VALUE!</v>
      </c>
      <c r="FI38" s="10" t="e">
        <f t="shared" si="51"/>
        <v>#VALUE!</v>
      </c>
      <c r="FJ38" s="279" t="e">
        <f t="shared" si="212"/>
        <v>#VALUE!</v>
      </c>
      <c r="FK38" s="4">
        <f t="shared" si="52"/>
        <v>0.95746593590964313</v>
      </c>
      <c r="FL38" s="5" t="e">
        <f t="shared" si="213"/>
        <v>#VALUE!</v>
      </c>
      <c r="FM38" s="8" t="e">
        <f t="shared" si="214"/>
        <v>#VALUE!</v>
      </c>
      <c r="FN38" s="9" t="e">
        <f t="shared" si="215"/>
        <v>#VALUE!</v>
      </c>
      <c r="FO38" s="10" t="e">
        <f t="shared" si="53"/>
        <v>#VALUE!</v>
      </c>
      <c r="FP38" s="277" t="e">
        <f t="shared" si="54"/>
        <v>#VALUE!</v>
      </c>
      <c r="FQ38" s="173" t="e">
        <f t="shared" si="243"/>
        <v>#VALUE!</v>
      </c>
      <c r="FR38" s="10" t="e">
        <f t="shared" si="216"/>
        <v>#VALUE!</v>
      </c>
      <c r="FS38" s="9" t="e">
        <f t="shared" si="217"/>
        <v>#VALUE!</v>
      </c>
      <c r="FT38" s="6" t="e">
        <f t="shared" si="218"/>
        <v>#VALUE!</v>
      </c>
      <c r="FU38" s="4" t="e">
        <f t="shared" si="219"/>
        <v>#VALUE!</v>
      </c>
      <c r="FV38" s="5" t="e">
        <f t="shared" si="220"/>
        <v>#VALUE!</v>
      </c>
      <c r="FW38" s="8" t="e">
        <f t="shared" si="244"/>
        <v>#VALUE!</v>
      </c>
      <c r="FX38" s="9" t="e">
        <f t="shared" si="245"/>
        <v>#VALUE!</v>
      </c>
      <c r="FY38" s="10" t="e">
        <f t="shared" si="55"/>
        <v>#VALUE!</v>
      </c>
      <c r="FZ38" s="277" t="e">
        <f t="shared" si="246"/>
        <v>#VALUE!</v>
      </c>
      <c r="GA38" s="177" t="e">
        <f t="shared" si="221"/>
        <v>#VALUE!</v>
      </c>
      <c r="GB38" s="4" t="e">
        <f t="shared" si="222"/>
        <v>#VALUE!</v>
      </c>
      <c r="GC38" s="5" t="e">
        <f t="shared" si="223"/>
        <v>#VALUE!</v>
      </c>
      <c r="GD38" s="10" t="e">
        <f t="shared" si="224"/>
        <v>#VALUE!</v>
      </c>
      <c r="GE38" s="311" t="e">
        <f t="shared" si="225"/>
        <v>#VALUE!</v>
      </c>
      <c r="GF38" s="341" t="e">
        <f t="shared" si="247"/>
        <v>#VALUE!</v>
      </c>
      <c r="GG38" s="285" t="e">
        <f t="shared" si="56"/>
        <v>#VALUE!</v>
      </c>
      <c r="GH38" s="286" t="e">
        <f t="shared" si="57"/>
        <v>#VALUE!</v>
      </c>
      <c r="GI38" s="281" t="e">
        <f t="shared" si="58"/>
        <v>#VALUE!</v>
      </c>
      <c r="GJ38" s="167">
        <f t="shared" si="226"/>
        <v>2.7862</v>
      </c>
      <c r="GK38" s="174">
        <f t="shared" si="59"/>
        <v>1.4589996577172561</v>
      </c>
      <c r="GL38" s="174">
        <f t="shared" si="227"/>
        <v>3.61E-2</v>
      </c>
      <c r="GM38" s="177">
        <f t="shared" si="248"/>
        <v>0.63203865172311535</v>
      </c>
      <c r="GN38" s="280">
        <f t="shared" si="228"/>
        <v>0.10987180817875072</v>
      </c>
      <c r="GO38" s="4" t="e">
        <f t="shared" si="229"/>
        <v>#VALUE!</v>
      </c>
      <c r="GP38" s="8" t="e">
        <f t="shared" si="249"/>
        <v>#VALUE!</v>
      </c>
      <c r="GQ38" s="177" t="e">
        <f t="shared" si="230"/>
        <v>#VALUE!</v>
      </c>
      <c r="GR38" s="371" t="e">
        <f t="shared" si="250"/>
        <v>#VALUE!</v>
      </c>
      <c r="GS38" s="342" t="e">
        <f t="shared" si="61"/>
        <v>#VALUE!</v>
      </c>
      <c r="GT38" s="343" t="e">
        <f t="shared" si="62"/>
        <v>#VALUE!</v>
      </c>
      <c r="GU38" s="344">
        <f t="shared" si="63"/>
        <v>1553.7616854859921</v>
      </c>
      <c r="GV38" s="343">
        <f t="shared" si="252"/>
        <v>1064.95</v>
      </c>
      <c r="GW38" s="345">
        <f t="shared" si="64"/>
        <v>29500</v>
      </c>
      <c r="GX38" s="346">
        <f t="shared" si="65"/>
        <v>247.26364083333334</v>
      </c>
      <c r="GY38" s="344" t="e">
        <f t="shared" si="66"/>
        <v>#VALUE!</v>
      </c>
      <c r="GZ38" s="345" t="e">
        <f t="shared" si="67"/>
        <v>#VALUE!</v>
      </c>
      <c r="HA38" s="342" t="e">
        <f t="shared" si="68"/>
        <v>#VALUE!</v>
      </c>
      <c r="HB38" s="5" t="e">
        <f t="shared" si="231"/>
        <v>#VALUE!</v>
      </c>
      <c r="HC38" s="343" t="e">
        <f t="shared" si="232"/>
        <v>#VALUE!</v>
      </c>
      <c r="HD38" s="363" t="e">
        <f t="shared" si="233"/>
        <v>#VALUE!</v>
      </c>
      <c r="HE38" s="344" t="e">
        <f t="shared" si="69"/>
        <v>#VALUE!</v>
      </c>
      <c r="HF38" s="5" t="e">
        <f t="shared" si="70"/>
        <v>#VALUE!</v>
      </c>
      <c r="HG38" s="343" t="e">
        <f t="shared" si="234"/>
        <v>#VALUE!</v>
      </c>
      <c r="HH38" s="349" t="e">
        <f t="shared" si="235"/>
        <v>#VALUE!</v>
      </c>
      <c r="HI38" s="317">
        <f t="shared" si="71"/>
        <v>4.1139999999999999</v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4.1139999999999999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-2.0899956658509922</v>
      </c>
      <c r="C39" s="572">
        <f t="shared" si="3"/>
        <v>-2.8146426814122534</v>
      </c>
      <c r="D39" s="576">
        <f t="shared" si="4"/>
        <v>-0.88892521958076465</v>
      </c>
      <c r="E39" s="580">
        <f t="shared" si="5"/>
        <v>0.50934347236208877</v>
      </c>
      <c r="F39" s="572">
        <f t="shared" si="6"/>
        <v>-0.83358765350329189</v>
      </c>
      <c r="G39" s="579">
        <f t="shared" si="7"/>
        <v>0.21377757386827537</v>
      </c>
      <c r="H39" s="580">
        <f t="shared" si="8"/>
        <v>0.3125</v>
      </c>
      <c r="I39" s="572">
        <f t="shared" si="9"/>
        <v>0.52</v>
      </c>
      <c r="J39" s="483">
        <f t="shared" si="10"/>
        <v>4.1189999999999998</v>
      </c>
      <c r="K39" s="806">
        <f t="shared" si="11"/>
        <v>1613</v>
      </c>
      <c r="L39" s="309"/>
      <c r="M39" s="164">
        <f t="shared" si="12"/>
        <v>4.1189999999999998</v>
      </c>
      <c r="N39" s="575">
        <f t="shared" si="13"/>
        <v>-2.0899956658509922</v>
      </c>
      <c r="O39" s="572">
        <f t="shared" si="14"/>
        <v>-2.8146426814122534</v>
      </c>
      <c r="P39" s="576">
        <f t="shared" si="15"/>
        <v>-0.88892521958076465</v>
      </c>
      <c r="Q39" s="528">
        <f t="shared" si="140"/>
        <v>233.40449339860493</v>
      </c>
      <c r="R39" s="572">
        <f t="shared" si="101"/>
        <v>3.5057517463881398</v>
      </c>
      <c r="S39" s="577">
        <f t="shared" si="102"/>
        <v>-0.88892521958076465</v>
      </c>
      <c r="T39" s="578">
        <f t="shared" si="103"/>
        <v>-2.838894993389443</v>
      </c>
      <c r="U39" s="572">
        <f t="shared" si="104"/>
        <v>2.0569323090009175</v>
      </c>
      <c r="V39" s="579">
        <f t="shared" si="141"/>
        <v>-0.88892521958076465</v>
      </c>
      <c r="W39" s="528">
        <f t="shared" si="253"/>
        <v>144.07464696122216</v>
      </c>
      <c r="X39" s="572">
        <f t="shared" si="105"/>
        <v>3.5057517463881398</v>
      </c>
      <c r="Y39" s="573">
        <f t="shared" si="255"/>
        <v>-0.88892521958076465</v>
      </c>
      <c r="Z39" s="575">
        <f t="shared" si="18"/>
        <v>-0.50934347236208877</v>
      </c>
      <c r="AA39" s="572">
        <f t="shared" si="19"/>
        <v>0.83358765350329189</v>
      </c>
      <c r="AB39" s="572">
        <f t="shared" si="20"/>
        <v>-0.21377757386827537</v>
      </c>
      <c r="AC39" s="579">
        <f t="shared" si="106"/>
        <v>1</v>
      </c>
      <c r="AD39" s="580">
        <f t="shared" si="142"/>
        <v>-0.50934347236208877</v>
      </c>
      <c r="AE39" s="572">
        <f t="shared" si="107"/>
        <v>0.83358765350329189</v>
      </c>
      <c r="AF39" s="576">
        <f t="shared" si="108"/>
        <v>-0.21377757386827537</v>
      </c>
      <c r="AG39" s="545">
        <f t="shared" si="109"/>
        <v>75.616209499079858</v>
      </c>
      <c r="AH39" s="546">
        <f t="shared" si="110"/>
        <v>120.62010865635341</v>
      </c>
      <c r="AI39" s="528">
        <f t="shared" si="111"/>
        <v>-77.656179864447822</v>
      </c>
      <c r="AJ39" s="529">
        <f t="shared" si="112"/>
        <v>-148.57399792817878</v>
      </c>
      <c r="AK39" s="578">
        <f t="shared" si="238"/>
        <v>0.90588686520937267</v>
      </c>
      <c r="AL39" s="572">
        <f t="shared" si="113"/>
        <v>-0.3656065321518886</v>
      </c>
      <c r="AM39" s="577">
        <f t="shared" si="114"/>
        <v>-0.21377757386827537</v>
      </c>
      <c r="AN39" s="524">
        <f t="shared" si="115"/>
        <v>-59.684305452381174</v>
      </c>
      <c r="AO39" s="525">
        <f t="shared" si="116"/>
        <v>25.057004984027962</v>
      </c>
      <c r="AP39" s="528">
        <f t="shared" si="117"/>
        <v>-21.978491326783722</v>
      </c>
      <c r="AQ39" s="529">
        <f t="shared" si="21"/>
        <v>0.65025390235179015</v>
      </c>
      <c r="AS39" s="932">
        <f t="shared" si="143"/>
        <v>144.07464696122216</v>
      </c>
      <c r="AT39" s="928">
        <f t="shared" si="22"/>
        <v>-0.74065648705211595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4.1189999999999998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-2.2143489443423499</v>
      </c>
      <c r="C40" s="572">
        <f t="shared" si="3"/>
        <v>-2.9347064572632373</v>
      </c>
      <c r="D40" s="576">
        <f t="shared" si="4"/>
        <v>-1.6399235028278167</v>
      </c>
      <c r="E40" s="580">
        <f t="shared" si="5"/>
        <v>0.39562583842393106</v>
      </c>
      <c r="F40" s="572">
        <f t="shared" si="6"/>
        <v>-0.9173773249304491</v>
      </c>
      <c r="G40" s="579">
        <f t="shared" si="7"/>
        <v>4.3577972357775212E-2</v>
      </c>
      <c r="H40" s="580">
        <f t="shared" si="8"/>
        <v>0.3125</v>
      </c>
      <c r="I40" s="572">
        <f t="shared" si="9"/>
        <v>0.52</v>
      </c>
      <c r="J40" s="483">
        <f t="shared" si="10"/>
        <v>4.1239999999999997</v>
      </c>
      <c r="K40" s="806">
        <f t="shared" si="11"/>
        <v>1613</v>
      </c>
      <c r="L40" s="309"/>
      <c r="M40" s="164">
        <f t="shared" si="12"/>
        <v>4.1239999999999997</v>
      </c>
      <c r="N40" s="575">
        <f t="shared" si="13"/>
        <v>-2.2143489443423499</v>
      </c>
      <c r="O40" s="572">
        <f t="shared" si="14"/>
        <v>-2.9347064572632373</v>
      </c>
      <c r="P40" s="576">
        <f t="shared" si="15"/>
        <v>-1.6399235028278167</v>
      </c>
      <c r="Q40" s="528">
        <f t="shared" si="140"/>
        <v>232.96404176303736</v>
      </c>
      <c r="R40" s="572">
        <f t="shared" si="101"/>
        <v>3.6763899735491368</v>
      </c>
      <c r="S40" s="577">
        <f t="shared" si="102"/>
        <v>-1.6399235028278167</v>
      </c>
      <c r="T40" s="578">
        <f t="shared" si="103"/>
        <v>-2.9604050074470307</v>
      </c>
      <c r="U40" s="572">
        <f t="shared" si="104"/>
        <v>2.179872801219183</v>
      </c>
      <c r="V40" s="579">
        <f t="shared" si="141"/>
        <v>-1.6399235028278167</v>
      </c>
      <c r="W40" s="528">
        <f t="shared" si="253"/>
        <v>143.63419532565459</v>
      </c>
      <c r="X40" s="572">
        <f t="shared" si="105"/>
        <v>3.6763899735491368</v>
      </c>
      <c r="Y40" s="573">
        <f t="shared" si="255"/>
        <v>-1.6399235028278167</v>
      </c>
      <c r="Z40" s="575">
        <f t="shared" si="18"/>
        <v>-0.39562583842393106</v>
      </c>
      <c r="AA40" s="572">
        <f t="shared" si="19"/>
        <v>0.9173773249304491</v>
      </c>
      <c r="AB40" s="572">
        <f t="shared" si="20"/>
        <v>-4.3577972357775212E-2</v>
      </c>
      <c r="AC40" s="579">
        <f t="shared" si="106"/>
        <v>1</v>
      </c>
      <c r="AD40" s="580">
        <f t="shared" si="142"/>
        <v>-0.39562583842393106</v>
      </c>
      <c r="AE40" s="572">
        <f t="shared" si="107"/>
        <v>0.9173773249304491</v>
      </c>
      <c r="AF40" s="576">
        <f t="shared" si="108"/>
        <v>-4.3577972357775212E-2</v>
      </c>
      <c r="AG40" s="545">
        <f t="shared" si="109"/>
        <v>87.280335670226108</v>
      </c>
      <c r="AH40" s="546">
        <f t="shared" si="110"/>
        <v>113.30501171606292</v>
      </c>
      <c r="AI40" s="528">
        <f t="shared" si="111"/>
        <v>-87.502375163624492</v>
      </c>
      <c r="AJ40" s="529">
        <f t="shared" si="112"/>
        <v>-156.67151729948026</v>
      </c>
      <c r="AK40" s="578">
        <f t="shared" si="238"/>
        <v>0.86836250688179972</v>
      </c>
      <c r="AL40" s="572">
        <f t="shared" si="113"/>
        <v>-0.49401165671180436</v>
      </c>
      <c r="AM40" s="577">
        <f t="shared" si="114"/>
        <v>-4.3577972357775212E-2</v>
      </c>
      <c r="AN40" s="524">
        <f t="shared" si="115"/>
        <v>-84.958848408102085</v>
      </c>
      <c r="AO40" s="525">
        <f t="shared" si="116"/>
        <v>29.73109375339925</v>
      </c>
      <c r="AP40" s="528">
        <f t="shared" si="117"/>
        <v>-29.635559062517611</v>
      </c>
      <c r="AQ40" s="529">
        <f t="shared" si="21"/>
        <v>0.62007503138665532</v>
      </c>
      <c r="AS40" s="932">
        <f t="shared" si="143"/>
        <v>143.63419532565459</v>
      </c>
      <c r="AT40" s="928">
        <f t="shared" si="22"/>
        <v>-1.4913489011078016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4.1239999999999997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-2.5141417612122501</v>
      </c>
      <c r="C41" s="572">
        <f t="shared" ref="C41:C54" si="258">IFERROR(R196+($A41*-F41),"")</f>
        <v>-1.6329727183331273</v>
      </c>
      <c r="D41" s="576">
        <f t="shared" ref="D41:D54" si="259">IFERROR(S196+($A41*-G41),"")</f>
        <v>-0.34673202634927808</v>
      </c>
      <c r="E41" s="580">
        <f t="shared" ref="E41:E54" si="260">T196</f>
        <v>-0.44316388341617086</v>
      </c>
      <c r="F41" s="572">
        <f t="shared" ref="F41:F54" si="261">U196</f>
        <v>-0.28784157780356567</v>
      </c>
      <c r="G41" s="579">
        <f t="shared" ref="G41:G54" si="262">V196</f>
        <v>0.84897173010828364</v>
      </c>
      <c r="H41" s="580">
        <f t="shared" ref="H41:H54" si="263">W196</f>
        <v>0.255</v>
      </c>
      <c r="I41" s="572">
        <f t="shared" ref="I41:I54" si="264">X196</f>
        <v>0.41499999999999992</v>
      </c>
      <c r="J41" s="483">
        <f t="shared" ref="J41:J54" si="265">IF(Y196=0,"",Y196)</f>
        <v>4.2140000000000004</v>
      </c>
      <c r="K41" s="806" t="str">
        <f t="shared" ref="K41:K54" si="266">Z196</f>
        <v>CPS-32193r1</v>
      </c>
      <c r="L41" s="309"/>
      <c r="M41" s="164">
        <f t="shared" ref="M41:M72" si="267">IF(J41="","",VALUE(J41))</f>
        <v>4.2140000000000004</v>
      </c>
      <c r="N41" s="575">
        <f t="shared" ref="N41:N72" si="268">IF(M41="","",B41)</f>
        <v>-2.5141417612122501</v>
      </c>
      <c r="O41" s="572">
        <f t="shared" ref="O41:O72" si="269">IF(M41="","",C41)</f>
        <v>-1.6329727183331273</v>
      </c>
      <c r="P41" s="576">
        <f t="shared" ref="P41:P72" si="270">IF(M41="","",D41)</f>
        <v>-0.34673202634927808</v>
      </c>
      <c r="Q41" s="528">
        <f t="shared" si="140"/>
        <v>213.00432720058927</v>
      </c>
      <c r="R41" s="572">
        <f t="shared" si="101"/>
        <v>2.9979173928398555</v>
      </c>
      <c r="S41" s="577">
        <f t="shared" si="102"/>
        <v>-0.34673202634927808</v>
      </c>
      <c r="T41" s="578">
        <f t="shared" si="103"/>
        <v>-1.6622667222402063</v>
      </c>
      <c r="U41" s="572">
        <f t="shared" si="104"/>
        <v>2.494870345012846</v>
      </c>
      <c r="V41" s="579">
        <f t="shared" si="141"/>
        <v>-0.34673202634927808</v>
      </c>
      <c r="W41" s="528">
        <f t="shared" si="253"/>
        <v>123.6744807632065</v>
      </c>
      <c r="X41" s="572">
        <f t="shared" si="105"/>
        <v>2.9979173928398555</v>
      </c>
      <c r="Y41" s="573">
        <f t="shared" si="255"/>
        <v>-0.34673202634927808</v>
      </c>
      <c r="Z41" s="575">
        <f t="shared" ref="Z41:Z72" si="271">IF(M41="","",-E41)</f>
        <v>0.44316388341617086</v>
      </c>
      <c r="AA41" s="572">
        <f t="shared" ref="AA41:AA72" si="272">IF(M41="","",-F41)</f>
        <v>0.28784157780356567</v>
      </c>
      <c r="AB41" s="572">
        <f t="shared" ref="AB41:AB72" si="273">IF(M41="","",-G41)</f>
        <v>-0.84897173010828364</v>
      </c>
      <c r="AC41" s="579">
        <f t="shared" si="106"/>
        <v>1</v>
      </c>
      <c r="AD41" s="580">
        <f t="shared" si="142"/>
        <v>0.44316388341617086</v>
      </c>
      <c r="AE41" s="572">
        <f t="shared" si="107"/>
        <v>0.28784157780356567</v>
      </c>
      <c r="AF41" s="576">
        <f t="shared" si="108"/>
        <v>-0.84897173010828364</v>
      </c>
      <c r="AG41" s="545">
        <f t="shared" si="109"/>
        <v>18.729089876793356</v>
      </c>
      <c r="AH41" s="546">
        <f t="shared" si="110"/>
        <v>63.694075727366126</v>
      </c>
      <c r="AI41" s="528">
        <f t="shared" si="111"/>
        <v>-31.899995394210524</v>
      </c>
      <c r="AJ41" s="529">
        <f t="shared" si="112"/>
        <v>123.00432720058929</v>
      </c>
      <c r="AK41" s="578">
        <f t="shared" si="238"/>
        <v>2.7755575615628914E-17</v>
      </c>
      <c r="AL41" s="572">
        <f t="shared" si="113"/>
        <v>-0.52843826647674519</v>
      </c>
      <c r="AM41" s="577">
        <f t="shared" si="114"/>
        <v>-0.84897173010828364</v>
      </c>
      <c r="AN41" s="524">
        <f t="shared" si="115"/>
        <v>-31.899995394210528</v>
      </c>
      <c r="AO41" s="525">
        <f t="shared" si="116"/>
        <v>0</v>
      </c>
      <c r="AP41" s="528">
        <f t="shared" si="117"/>
        <v>-90</v>
      </c>
      <c r="AQ41" s="529">
        <f t="shared" ref="AQ41:AQ72" si="274">IF(M41="","",DEGREES(ATAN(($AS$5*SIN(RADIANS(90)))/(($X41*2*PI())-($AS$5*COS(RADIANS(90)))))))</f>
        <v>0.76039212892088004</v>
      </c>
      <c r="AS41" s="932">
        <f t="shared" si="143"/>
        <v>123.6744807632065</v>
      </c>
      <c r="AT41" s="928">
        <f t="shared" ref="AT41:AT72" si="275">IF(M41="","",Y41+(((AS41-$AS$9)*$AS$6)*-1))</f>
        <v>-0.18429651173867412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4.2140000000000004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4.1139999999999999</v>
      </c>
      <c r="IK41" s="677" cm="1">
        <f t="array" ref="IK41">IFERROR(ROUND(VALUE(IF($IJ41&lt;1,$IJ41+LARGE((IF($M$9:$M$150="",0,$M$9:$M$150)-MOD(IF($M$9:$M$150="",0,$M$9:$M$150),1)),1),$IJ41)),4),"")</f>
        <v>4.1139999999999999</v>
      </c>
      <c r="IL41" s="482">
        <f t="shared" ref="IL41:IL72" si="426">IF(ISNUMBER($IK41),INDEX($K$9:$K$150,MATCH($IK41,$M$9:$M$150,0)),$K41)</f>
        <v>1613</v>
      </c>
      <c r="IM41" s="482" t="str">
        <f t="shared" si="237"/>
        <v>CPS-32193r1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21.087091545886494</v>
      </c>
      <c r="IO41" s="702">
        <v>5.2893333011188398E-2</v>
      </c>
      <c r="IP41" s="5">
        <f t="shared" ref="IP41:IP72" si="428">IF(ISNUMBER($IK41),(($IQ41*12)/60)/$AS$3,"")</f>
        <v>1.34</v>
      </c>
      <c r="IQ41" s="714">
        <v>670</v>
      </c>
      <c r="IR41" s="9">
        <f t="shared" ref="IR41:IR72" si="429">IF(ISNUMBER($IK41),(INDEX($X$9:$X$150,MATCH($IK41,$M$9:$M$150,0))*-1),"")</f>
        <v>-2.9994266191990069</v>
      </c>
      <c r="IS41" s="5">
        <f t="shared" ref="IS41:IS72" si="430">IF(ISNUMBER($IK41),INDEX($Y$9:$Y$150,MATCH($IK41,$M$9:$M$150,0)),"")</f>
        <v>-0.30891884079070175</v>
      </c>
      <c r="IT41" s="5">
        <f t="shared" ref="IT41:IT72" si="431">IF(ISNUMBER($IK41),INDEX($H$9:$H$150,MATCH($IK41,$M$9:$M$150,0)),"")</f>
        <v>0.3125</v>
      </c>
      <c r="IU41" s="5">
        <f t="shared" ref="IU41:IU72" si="432">IF(ISNUMBER($IK41),$IT41*COS(RADIANS(INDEX($AO$9:$AO$150,MATCH($IK41,$M$9:$M$150,0)))),"")</f>
        <v>0.29285893084489251</v>
      </c>
      <c r="IV41" s="670">
        <f t="shared" ref="IV41:IV72" si="433">IF(ISNUMBER($IK41),(-1*INDEX($AN$9:$AN$150,MATCH($IK41,$M$9:$M$150,0))),"")</f>
        <v>34.21383592778119</v>
      </c>
      <c r="IW41" s="9">
        <f t="shared" ref="IW41:IW72" si="434">IF(ISNUMBER($IK41),-$X41,"")</f>
        <v>-2.9979173928398555</v>
      </c>
      <c r="IX41" s="5">
        <f t="shared" ref="IX41:IX72" si="435">IF(ISNUMBER($IK41),$Y41,"")</f>
        <v>-0.34673202634927808</v>
      </c>
      <c r="IY41" s="5">
        <f t="shared" ref="IY41:IY72" si="436">IF(ISNUMBER($IK41),$H41,"")</f>
        <v>0.255</v>
      </c>
      <c r="IZ41" s="5">
        <f t="shared" ref="IZ41:IZ72" si="437">IF(ISNUMBER($IK41),$IY41*COS(RADIANS($AO41)),"")</f>
        <v>0.255</v>
      </c>
      <c r="JA41" s="705">
        <f t="shared" ref="JA41:JA72" si="438">IF(ISNUMBER($IK41),(-1*$AN41),"")</f>
        <v>31.899995394210528</v>
      </c>
    </row>
    <row r="42" spans="1:269" ht="15" customHeight="1" x14ac:dyDescent="0.25">
      <c r="A42" s="75">
        <f t="shared" si="256"/>
        <v>0</v>
      </c>
      <c r="B42" s="578">
        <f t="shared" si="257"/>
        <v>-2.90853148579028</v>
      </c>
      <c r="C42" s="572">
        <f t="shared" si="258"/>
        <v>-1.9376813028340476</v>
      </c>
      <c r="D42" s="576">
        <f t="shared" si="259"/>
        <v>-0.92855734225443254</v>
      </c>
      <c r="E42" s="580">
        <f t="shared" si="260"/>
        <v>-0.7292161829286401</v>
      </c>
      <c r="F42" s="572">
        <f t="shared" si="261"/>
        <v>-0.48580824044300003</v>
      </c>
      <c r="G42" s="579">
        <f t="shared" si="262"/>
        <v>0.48190674624107571</v>
      </c>
      <c r="H42" s="580">
        <f t="shared" si="263"/>
        <v>0.255</v>
      </c>
      <c r="I42" s="572">
        <f t="shared" si="264"/>
        <v>0.41499999999999992</v>
      </c>
      <c r="J42" s="483">
        <f t="shared" si="265"/>
        <v>4.2190000000000003</v>
      </c>
      <c r="K42" s="806" t="str">
        <f t="shared" si="266"/>
        <v>CPS-32193r1</v>
      </c>
      <c r="L42" s="309"/>
      <c r="M42" s="164">
        <f t="shared" si="267"/>
        <v>4.2190000000000003</v>
      </c>
      <c r="N42" s="575">
        <f t="shared" si="268"/>
        <v>-2.90853148579028</v>
      </c>
      <c r="O42" s="572">
        <f t="shared" si="269"/>
        <v>-1.9376813028340476</v>
      </c>
      <c r="P42" s="576">
        <f t="shared" si="270"/>
        <v>-0.92855734225443254</v>
      </c>
      <c r="Q42" s="528">
        <f t="shared" si="140"/>
        <v>213.67179309309111</v>
      </c>
      <c r="R42" s="572">
        <f t="shared" ref="R42:R47" si="439">IF(M42="","",SQRT(N42^2+O42^2))</f>
        <v>3.494876855510944</v>
      </c>
      <c r="S42" s="577">
        <f t="shared" ref="S42:S47" si="440">IF(M42="","",P42)</f>
        <v>-0.92855734225443254</v>
      </c>
      <c r="T42" s="578">
        <f t="shared" ref="T42:T47" si="441">IF(M42="","",X42*COS(RADIANS(W42)))</f>
        <v>-1.9715672934198203</v>
      </c>
      <c r="U42" s="572">
        <f t="shared" ref="U42:U47" si="442">IF(M42="","",X42*SIN(RADIANS(W42)))</f>
        <v>2.8856691845572504</v>
      </c>
      <c r="V42" s="579">
        <f t="shared" ref="V42:V47" si="443">IF(M42="","",Y42)</f>
        <v>-0.92855734225443254</v>
      </c>
      <c r="W42" s="528">
        <f t="shared" si="253"/>
        <v>124.34194665570834</v>
      </c>
      <c r="X42" s="572">
        <f t="shared" ref="X42:X47" si="444">IF(M42="","",R42)</f>
        <v>3.494876855510944</v>
      </c>
      <c r="Y42" s="573">
        <f t="shared" si="255"/>
        <v>-0.92855734225443254</v>
      </c>
      <c r="Z42" s="575">
        <f t="shared" si="271"/>
        <v>0.7292161829286401</v>
      </c>
      <c r="AA42" s="572">
        <f t="shared" si="272"/>
        <v>0.48580824044300003</v>
      </c>
      <c r="AB42" s="572">
        <f t="shared" si="273"/>
        <v>-0.48190674624107571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0.7292161829286401</v>
      </c>
      <c r="AE42" s="572">
        <f t="shared" ref="AE42:AE47" si="447">IF(M42="","",AA42*(1/SQRT(Z42^2+AA42^2+AB42^2)))</f>
        <v>0.48580824044300003</v>
      </c>
      <c r="AF42" s="576">
        <f t="shared" ref="AF42:AF47" si="448">IF(M42="","",AB42*(1/SQRT(Z42^2+AA42^2+AB42^2)))</f>
        <v>-0.48190674624107571</v>
      </c>
      <c r="AG42" s="545">
        <f t="shared" ref="AG42:AG47" si="449">IF(M42="","",DEGREES(ATAN2(-AF42,AE42)))</f>
        <v>45.230995637660705</v>
      </c>
      <c r="AH42" s="546">
        <f t="shared" ref="AH42:AH47" si="450">IF(M42="","",DEGREES(ACOS(AD42)))</f>
        <v>43.179275906488819</v>
      </c>
      <c r="AI42" s="528">
        <f t="shared" ref="AI42:AI47" si="451">IF(M42="","",DEGREES(-ACOS(-AF42)))</f>
        <v>-61.189991165258355</v>
      </c>
      <c r="AJ42" s="529">
        <f t="shared" ref="AJ42:AJ47" si="452">IF(M42="","",DEGREES(ATAN2(-AE42,AD42)))</f>
        <v>123.67179309309115</v>
      </c>
      <c r="AK42" s="578">
        <f t="shared" ref="AK42:AK47" si="453">IF(M42="","",(COS(RADIANS((90-$Q$8)-W42))*AD42)+(-SIN(RADIANS((90-$Q$8)-W42))*AE42))</f>
        <v>6.6613381477509392E-16</v>
      </c>
      <c r="AL42" s="572">
        <f t="shared" ref="AL42:AL47" si="454">IF(M42="","",(SIN(RADIANS((90-$Q$8)-W42))*AD42)+(COS(RADIANS((90-$Q$8)-W42))*AE42))</f>
        <v>-0.87622251051165057</v>
      </c>
      <c r="AM42" s="577">
        <f t="shared" ref="AM42:AM47" si="455">IF(M42="","",AF42)</f>
        <v>-0.48190674624107571</v>
      </c>
      <c r="AN42" s="524">
        <f t="shared" ref="AN42:AN47" si="456">IF(M42="","",DEGREES(ATAN2(-AM42,AL42)))</f>
        <v>-61.189991165258363</v>
      </c>
      <c r="AO42" s="525">
        <f t="shared" si="116"/>
        <v>0</v>
      </c>
      <c r="AP42" s="528">
        <f t="shared" ref="AP42:AP47" si="457">IF(M42="","",DEGREES(ATAN2(AK42,AL42)))</f>
        <v>-89.999999999999957</v>
      </c>
      <c r="AQ42" s="529">
        <f t="shared" si="274"/>
        <v>0.6522771010206081</v>
      </c>
      <c r="AS42" s="932">
        <f t="shared" si="143"/>
        <v>124.34194665570834</v>
      </c>
      <c r="AT42" s="928">
        <f t="shared" si="275"/>
        <v>-0.76658534562473268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4.2190000000000003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4.1189999999999998</v>
      </c>
      <c r="IK42" s="677" cm="1">
        <f t="array" ref="IK42">IFERROR(ROUND(VALUE(IF($IJ42&lt;1,$IJ42+LARGE((IF($M$9:$M$150="",0,$M$9:$M$150)-MOD(IF($M$9:$M$150="",0,$M$9:$M$150),1)),1),$IJ42)),4),"")</f>
        <v>4.1189999999999998</v>
      </c>
      <c r="IL42" s="482">
        <f t="shared" si="426"/>
        <v>1613</v>
      </c>
      <c r="IM42" s="482" t="str">
        <f t="shared" si="237"/>
        <v>CPS-32193r1</v>
      </c>
      <c r="IN42" s="670">
        <f t="shared" si="427"/>
        <v>19.732700305513816</v>
      </c>
      <c r="IO42" s="702">
        <v>4.1345741915074799E-2</v>
      </c>
      <c r="IP42" s="5">
        <f t="shared" si="428"/>
        <v>1.56</v>
      </c>
      <c r="IQ42" s="714">
        <v>780</v>
      </c>
      <c r="IR42" s="9">
        <f t="shared" si="429"/>
        <v>-3.5057517463881398</v>
      </c>
      <c r="IS42" s="5">
        <f t="shared" si="430"/>
        <v>-0.88892521958076465</v>
      </c>
      <c r="IT42" s="5">
        <f t="shared" si="431"/>
        <v>0.3125</v>
      </c>
      <c r="IU42" s="5">
        <f t="shared" si="432"/>
        <v>0.28308964537792897</v>
      </c>
      <c r="IV42" s="670">
        <f t="shared" si="433"/>
        <v>59.684305452381174</v>
      </c>
      <c r="IW42" s="9">
        <f t="shared" si="434"/>
        <v>-3.494876855510944</v>
      </c>
      <c r="IX42" s="5">
        <f t="shared" si="435"/>
        <v>-0.92855734225443254</v>
      </c>
      <c r="IY42" s="5">
        <f t="shared" si="436"/>
        <v>0.255</v>
      </c>
      <c r="IZ42" s="5">
        <f t="shared" si="437"/>
        <v>0.255</v>
      </c>
      <c r="JA42" s="705">
        <f t="shared" si="438"/>
        <v>61.189991165258363</v>
      </c>
    </row>
    <row r="43" spans="1:269" ht="15" customHeight="1" x14ac:dyDescent="0.25">
      <c r="A43" s="75">
        <f t="shared" si="256"/>
        <v>0</v>
      </c>
      <c r="B43" s="578">
        <f t="shared" si="257"/>
        <v>-3.0819720759566147</v>
      </c>
      <c r="C43" s="572">
        <f t="shared" si="258"/>
        <v>-1.9593616215541962</v>
      </c>
      <c r="D43" s="576">
        <f t="shared" si="259"/>
        <v>-1.6766937675032385</v>
      </c>
      <c r="E43" s="580">
        <f t="shared" si="260"/>
        <v>-0.84068492851930143</v>
      </c>
      <c r="F43" s="572">
        <f t="shared" si="261"/>
        <v>-0.53446486345872468</v>
      </c>
      <c r="G43" s="579">
        <f t="shared" si="262"/>
        <v>8.7155956127759088E-2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4.2240000000000002</v>
      </c>
      <c r="K43" s="806" t="str">
        <f t="shared" si="266"/>
        <v>CPS-32193r1</v>
      </c>
      <c r="L43" s="309"/>
      <c r="M43" s="164">
        <f t="shared" si="267"/>
        <v>4.2240000000000002</v>
      </c>
      <c r="N43" s="575">
        <f t="shared" si="268"/>
        <v>-3.0819720759566147</v>
      </c>
      <c r="O43" s="572">
        <f t="shared" si="269"/>
        <v>-1.9593616215541962</v>
      </c>
      <c r="P43" s="576">
        <f t="shared" si="270"/>
        <v>-1.6766937675032385</v>
      </c>
      <c r="Q43" s="528">
        <f t="shared" si="140"/>
        <v>212.44613241711386</v>
      </c>
      <c r="R43" s="572">
        <f t="shared" si="439"/>
        <v>3.6520747310256145</v>
      </c>
      <c r="S43" s="577">
        <f t="shared" si="440"/>
        <v>-1.6766937675032385</v>
      </c>
      <c r="T43" s="578">
        <f t="shared" si="441"/>
        <v>-1.995274711028445</v>
      </c>
      <c r="U43" s="572">
        <f t="shared" si="442"/>
        <v>3.0588443354518988</v>
      </c>
      <c r="V43" s="579">
        <f t="shared" si="443"/>
        <v>-1.6766937675032385</v>
      </c>
      <c r="W43" s="528">
        <f t="shared" si="253"/>
        <v>123.11628597973109</v>
      </c>
      <c r="X43" s="572">
        <f t="shared" si="444"/>
        <v>3.6520747310256145</v>
      </c>
      <c r="Y43" s="573">
        <f t="shared" si="255"/>
        <v>-1.6766937675032385</v>
      </c>
      <c r="Z43" s="575">
        <f t="shared" si="271"/>
        <v>0.84068492851930143</v>
      </c>
      <c r="AA43" s="572">
        <f t="shared" si="272"/>
        <v>0.53446486345872468</v>
      </c>
      <c r="AB43" s="572">
        <f t="shared" si="273"/>
        <v>-8.7155956127759088E-2</v>
      </c>
      <c r="AC43" s="579">
        <f t="shared" si="445"/>
        <v>1</v>
      </c>
      <c r="AD43" s="580">
        <f t="shared" si="446"/>
        <v>0.84068492851930143</v>
      </c>
      <c r="AE43" s="572">
        <f t="shared" si="447"/>
        <v>0.53446486345872468</v>
      </c>
      <c r="AF43" s="576">
        <f t="shared" si="448"/>
        <v>-8.7155956127759088E-2</v>
      </c>
      <c r="AG43" s="545">
        <f t="shared" si="449"/>
        <v>80.738217745138442</v>
      </c>
      <c r="AH43" s="546">
        <f t="shared" si="450"/>
        <v>32.787482792965228</v>
      </c>
      <c r="AI43" s="528">
        <f t="shared" si="451"/>
        <v>-84.999987727520178</v>
      </c>
      <c r="AJ43" s="529">
        <f t="shared" si="452"/>
        <v>122.44613241711392</v>
      </c>
      <c r="AK43" s="578">
        <f t="shared" si="453"/>
        <v>7.2164496600635175E-16</v>
      </c>
      <c r="AL43" s="572">
        <f t="shared" si="454"/>
        <v>-0.99619467942338269</v>
      </c>
      <c r="AM43" s="577">
        <f t="shared" si="455"/>
        <v>-8.7155956127759088E-2</v>
      </c>
      <c r="AN43" s="524">
        <f t="shared" si="456"/>
        <v>-84.999987727520178</v>
      </c>
      <c r="AO43" s="525">
        <f t="shared" si="116"/>
        <v>0</v>
      </c>
      <c r="AP43" s="528">
        <f t="shared" si="457"/>
        <v>-89.999999999999957</v>
      </c>
      <c r="AQ43" s="529">
        <f t="shared" si="274"/>
        <v>0.62420311935318618</v>
      </c>
      <c r="AS43" s="932">
        <f t="shared" ref="AS43:AS74" si="461">IF(G43="","",IF(AND(W43&lt;(AS42+180),W43&gt;(AS42-180)),W43,IF(W43&gt;(AS42+180),W43-360,IF(W43&lt;(AS42-180),W43+360,"Error"))))</f>
        <v>123.11628597973109</v>
      </c>
      <c r="AT43" s="928">
        <f t="shared" si="275"/>
        <v>-1.5138706176263321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36"/>
        <v>4.2240000000000002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4.1239999999999997</v>
      </c>
      <c r="IK43" s="677" cm="1">
        <f t="array" ref="IK43">IFERROR(ROUND(VALUE(IF($IJ43&lt;1,$IJ43+LARGE((IF($M$9:$M$150="",0,$M$9:$M$150)-MOD(IF($M$9:$M$150="",0,$M$9:$M$150),1)),1),$IJ43)),4),"")</f>
        <v>4.1239999999999997</v>
      </c>
      <c r="IL43" s="482">
        <f t="shared" si="426"/>
        <v>1613</v>
      </c>
      <c r="IM43" s="482" t="str">
        <f t="shared" si="237"/>
        <v>CPS-32193r1</v>
      </c>
      <c r="IN43" s="670">
        <f t="shared" si="427"/>
        <v>20.517909345923499</v>
      </c>
      <c r="IO43" s="702">
        <v>3.2064398037866301E-2</v>
      </c>
      <c r="IP43" s="5">
        <f t="shared" si="428"/>
        <v>1.78</v>
      </c>
      <c r="IQ43" s="714">
        <v>890</v>
      </c>
      <c r="IR43" s="9">
        <f t="shared" si="429"/>
        <v>-3.6763899735491368</v>
      </c>
      <c r="IS43" s="5">
        <f t="shared" si="430"/>
        <v>-1.6399235028278167</v>
      </c>
      <c r="IT43" s="5">
        <f t="shared" si="431"/>
        <v>0.3125</v>
      </c>
      <c r="IU43" s="5">
        <f t="shared" si="432"/>
        <v>0.27136328340056243</v>
      </c>
      <c r="IV43" s="670">
        <f t="shared" si="433"/>
        <v>84.958848408102085</v>
      </c>
      <c r="IW43" s="9">
        <f t="shared" si="434"/>
        <v>-3.6520747310256145</v>
      </c>
      <c r="IX43" s="5">
        <f t="shared" si="435"/>
        <v>-1.6766937675032385</v>
      </c>
      <c r="IY43" s="5">
        <f t="shared" si="436"/>
        <v>0.255</v>
      </c>
      <c r="IZ43" s="5">
        <f t="shared" si="437"/>
        <v>0.255</v>
      </c>
      <c r="JA43" s="705">
        <f t="shared" si="438"/>
        <v>84.999987727520178</v>
      </c>
    </row>
    <row r="44" spans="1:269" ht="15" customHeight="1" x14ac:dyDescent="0.25">
      <c r="A44" s="75">
        <f t="shared" si="256"/>
        <v>0.02</v>
      </c>
      <c r="B44" s="578">
        <f t="shared" si="257"/>
        <v>-1.9656712733534161</v>
      </c>
      <c r="C44" s="572">
        <f t="shared" si="258"/>
        <v>0.73600456393519376</v>
      </c>
      <c r="D44" s="576">
        <f t="shared" si="259"/>
        <v>-5.9003690028188165E-2</v>
      </c>
      <c r="E44" s="580">
        <f t="shared" si="260"/>
        <v>-0.35156342402088497</v>
      </c>
      <c r="F44" s="572">
        <f t="shared" si="261"/>
        <v>-0.89995817857349758</v>
      </c>
      <c r="G44" s="579">
        <f t="shared" si="262"/>
        <v>0.25783412440827957</v>
      </c>
      <c r="H44" s="580">
        <f t="shared" si="263"/>
        <v>0.3125</v>
      </c>
      <c r="I44" s="572">
        <f t="shared" si="264"/>
        <v>0.52</v>
      </c>
      <c r="J44" s="483">
        <f t="shared" si="265"/>
        <v>5.1079999999999997</v>
      </c>
      <c r="K44" s="806">
        <f t="shared" si="266"/>
        <v>1613</v>
      </c>
      <c r="L44" s="309"/>
      <c r="M44" s="164">
        <f t="shared" si="267"/>
        <v>5.1079999999999997</v>
      </c>
      <c r="N44" s="575">
        <f t="shared" si="268"/>
        <v>-1.9656712733534161</v>
      </c>
      <c r="O44" s="572">
        <f t="shared" si="269"/>
        <v>0.73600456393519376</v>
      </c>
      <c r="P44" s="576">
        <f t="shared" si="270"/>
        <v>-5.9003690028188165E-2</v>
      </c>
      <c r="Q44" s="528">
        <f t="shared" si="140"/>
        <v>159.47263658712194</v>
      </c>
      <c r="R44" s="572">
        <f t="shared" si="439"/>
        <v>2.0989440852534105</v>
      </c>
      <c r="S44" s="577">
        <f t="shared" si="440"/>
        <v>-5.9003690028188165E-2</v>
      </c>
      <c r="T44" s="578">
        <f t="shared" si="441"/>
        <v>0.71296349372945356</v>
      </c>
      <c r="U44" s="572">
        <f t="shared" si="442"/>
        <v>1.9741452149295826</v>
      </c>
      <c r="V44" s="579">
        <f t="shared" si="443"/>
        <v>-5.9003690028188165E-2</v>
      </c>
      <c r="W44" s="528">
        <f t="shared" si="253"/>
        <v>70.14279014973917</v>
      </c>
      <c r="X44" s="572">
        <f t="shared" si="444"/>
        <v>2.0989440852534105</v>
      </c>
      <c r="Y44" s="573">
        <f t="shared" si="255"/>
        <v>-5.9003690028188165E-2</v>
      </c>
      <c r="Z44" s="575">
        <f t="shared" si="271"/>
        <v>0.35156342402088497</v>
      </c>
      <c r="AA44" s="572">
        <f t="shared" si="272"/>
        <v>0.89995817857349758</v>
      </c>
      <c r="AB44" s="572">
        <f t="shared" si="273"/>
        <v>-0.25783412440827957</v>
      </c>
      <c r="AC44" s="579">
        <f t="shared" si="445"/>
        <v>1</v>
      </c>
      <c r="AD44" s="580">
        <f t="shared" si="446"/>
        <v>0.35156342402088497</v>
      </c>
      <c r="AE44" s="572">
        <f t="shared" si="447"/>
        <v>0.89995817857349758</v>
      </c>
      <c r="AF44" s="576">
        <f t="shared" si="448"/>
        <v>-0.25783412440827957</v>
      </c>
      <c r="AG44" s="545">
        <f t="shared" si="449"/>
        <v>74.013221315217606</v>
      </c>
      <c r="AH44" s="546">
        <f t="shared" si="450"/>
        <v>69.41702903736099</v>
      </c>
      <c r="AI44" s="528">
        <f t="shared" si="451"/>
        <v>-75.058414528502141</v>
      </c>
      <c r="AJ44" s="529">
        <f t="shared" si="452"/>
        <v>158.66218730370213</v>
      </c>
      <c r="AK44" s="578">
        <f t="shared" si="453"/>
        <v>0.96609254037780878</v>
      </c>
      <c r="AL44" s="572">
        <f t="shared" si="454"/>
        <v>-1.3666298583298375E-2</v>
      </c>
      <c r="AM44" s="577">
        <f t="shared" si="455"/>
        <v>-0.25783412440827957</v>
      </c>
      <c r="AN44" s="524">
        <f t="shared" si="456"/>
        <v>-3.0340792939718386</v>
      </c>
      <c r="AO44" s="525">
        <f t="shared" si="116"/>
        <v>14.963049383604226</v>
      </c>
      <c r="AP44" s="528">
        <f t="shared" si="457"/>
        <v>-0.81044928341980471</v>
      </c>
      <c r="AQ44" s="529">
        <f t="shared" si="274"/>
        <v>1.0860001621832049</v>
      </c>
      <c r="AS44" s="932">
        <f t="shared" si="461"/>
        <v>70.14279014973917</v>
      </c>
      <c r="AT44" s="928">
        <f t="shared" si="275"/>
        <v>0.14060660973065697</v>
      </c>
      <c r="AU44" s="418"/>
      <c r="AV44" s="164">
        <f t="shared" si="276"/>
        <v>5.1079999999999997</v>
      </c>
      <c r="AW44" s="829">
        <f>IFERROR(INDEX(MassProp!C$9:C$150,MATCH($M44,MassProp!$B$9:$B$150,0)),"")</f>
        <v>1.8936999999999999</v>
      </c>
      <c r="AX44" s="830">
        <f>IFERROR(INDEX(MassProp!D$9:D$150,MATCH($M44,MassProp!$B$9:$B$150,0)),"")</f>
        <v>0.43959999999999999</v>
      </c>
      <c r="AY44" s="831">
        <f>IFERROR(INDEX(MassProp!E$9:E$150,MATCH($M44,MassProp!$B$9:$B$150,0)),"")</f>
        <v>6.4399999999999999E-2</v>
      </c>
      <c r="AZ44" s="297">
        <f t="shared" si="277"/>
        <v>0.76643046100218259</v>
      </c>
      <c r="BA44" s="296">
        <f t="shared" si="278"/>
        <v>0.13323409947161549</v>
      </c>
      <c r="BB44" s="190">
        <f t="shared" si="145"/>
        <v>4.8993390269343018E-2</v>
      </c>
      <c r="BC44" s="9"/>
      <c r="BD44" s="5">
        <f t="shared" si="279"/>
        <v>1.8936999999999999</v>
      </c>
      <c r="BE44" s="6">
        <f t="shared" si="280"/>
        <v>-1.0010299758845147E-2</v>
      </c>
      <c r="BF44" s="4">
        <f t="shared" si="281"/>
        <v>-1.9656712733534161</v>
      </c>
      <c r="BG44" s="5">
        <f t="shared" si="282"/>
        <v>0.73600456393519376</v>
      </c>
      <c r="BH44" s="10">
        <f t="shared" si="283"/>
        <v>-5.9003690028188165E-2</v>
      </c>
      <c r="BI44" s="9">
        <f t="shared" si="284"/>
        <v>-1.9656712733534161</v>
      </c>
      <c r="BJ44" s="5">
        <f t="shared" si="285"/>
        <v>1.011420096009614</v>
      </c>
      <c r="BK44" s="8">
        <f t="shared" si="286"/>
        <v>0.90232158514778682</v>
      </c>
      <c r="BL44" s="173">
        <f t="shared" si="287"/>
        <v>-1.0295072071285309</v>
      </c>
      <c r="BM44" s="5">
        <f t="shared" si="288"/>
        <v>0.39803775859650842</v>
      </c>
      <c r="BN44" s="6">
        <f t="shared" si="289"/>
        <v>3.7822337456428899E-2</v>
      </c>
      <c r="BO44" s="4">
        <f t="shared" si="290"/>
        <v>0.35156342402088508</v>
      </c>
      <c r="BP44" s="5">
        <f t="shared" si="239"/>
        <v>0.89995817857349725</v>
      </c>
      <c r="BQ44" s="5">
        <f t="shared" si="291"/>
        <v>-0.25783412440827946</v>
      </c>
      <c r="BR44" s="6">
        <f t="shared" si="292"/>
        <v>1.3471631823446699E-2</v>
      </c>
      <c r="BS44" s="4">
        <f t="shared" si="458"/>
        <v>0</v>
      </c>
      <c r="BT44" s="5">
        <f t="shared" si="458"/>
        <v>0</v>
      </c>
      <c r="BU44" s="10">
        <f t="shared" si="119"/>
        <v>-1.0010299758845147E-2</v>
      </c>
      <c r="BV44" s="9">
        <f t="shared" si="120"/>
        <v>0</v>
      </c>
      <c r="BW44" s="5">
        <f t="shared" si="121"/>
        <v>1</v>
      </c>
      <c r="BX44" s="8">
        <f t="shared" si="122"/>
        <v>-1.0010299758845147E-2</v>
      </c>
      <c r="BY44" s="173">
        <f t="shared" si="123"/>
        <v>1</v>
      </c>
      <c r="BZ44" s="5">
        <f t="shared" si="124"/>
        <v>0</v>
      </c>
      <c r="CA44" s="6">
        <f t="shared" si="125"/>
        <v>-1.0010299758845147E-2</v>
      </c>
      <c r="CB44" s="4">
        <f t="shared" si="293"/>
        <v>0</v>
      </c>
      <c r="CC44" s="5">
        <f t="shared" si="294"/>
        <v>0</v>
      </c>
      <c r="CD44" s="5">
        <f t="shared" si="295"/>
        <v>-1</v>
      </c>
      <c r="CE44" s="6">
        <f t="shared" si="296"/>
        <v>-1.0010299758845147E-2</v>
      </c>
      <c r="CF44" s="4">
        <f t="shared" si="297"/>
        <v>-0.89995817857349725</v>
      </c>
      <c r="CG44" s="5">
        <f t="shared" si="298"/>
        <v>0.35156342402088508</v>
      </c>
      <c r="CH44" s="5">
        <f t="shared" si="299"/>
        <v>0</v>
      </c>
      <c r="CI44" s="4">
        <f t="shared" si="126"/>
        <v>0</v>
      </c>
      <c r="CJ44" s="5">
        <f t="shared" si="300"/>
        <v>-1.7837082965652465E-2</v>
      </c>
      <c r="CK44" s="8">
        <f t="shared" si="301"/>
        <v>-1.0010299758845147E-2</v>
      </c>
      <c r="CL44" s="173">
        <f t="shared" si="302"/>
        <v>-0.89995817857349725</v>
      </c>
      <c r="CM44" s="5">
        <f t="shared" si="303"/>
        <v>0.33372634105523263</v>
      </c>
      <c r="CN44" s="6">
        <f t="shared" si="304"/>
        <v>-1.0010299758845147E-2</v>
      </c>
      <c r="CO44" s="167">
        <f t="shared" si="305"/>
        <v>0.3125</v>
      </c>
      <c r="CP44" s="4">
        <f t="shared" si="306"/>
        <v>0.93352156429061539</v>
      </c>
      <c r="CQ44" s="5">
        <f t="shared" si="307"/>
        <v>-4.0680901787907837</v>
      </c>
      <c r="CR44" s="5">
        <f t="shared" si="308"/>
        <v>4.3368848857791047</v>
      </c>
      <c r="CS44" s="8">
        <f t="shared" si="309"/>
        <v>0.35505545189068499</v>
      </c>
      <c r="CT44" s="9">
        <f t="shared" si="160"/>
        <v>2.4980437806498226</v>
      </c>
      <c r="CU44" s="6">
        <f t="shared" si="310"/>
        <v>1.8597454064506729</v>
      </c>
      <c r="CV44" s="4">
        <f t="shared" si="311"/>
        <v>-2.2481349308304672</v>
      </c>
      <c r="CW44" s="5">
        <f t="shared" si="312"/>
        <v>0.86038374191367595</v>
      </c>
      <c r="CX44" s="8">
        <f t="shared" si="313"/>
        <v>-1.0010299758845147E-2</v>
      </c>
      <c r="CY44" s="9">
        <f t="shared" si="314"/>
        <v>-1.6736930885997758</v>
      </c>
      <c r="CZ44" s="5">
        <f t="shared" si="315"/>
        <v>0.63598137993325876</v>
      </c>
      <c r="DA44" s="6">
        <f t="shared" si="316"/>
        <v>-1.0010299758845147E-2</v>
      </c>
      <c r="DB44" s="4">
        <f t="shared" si="462"/>
        <v>0</v>
      </c>
      <c r="DC44" s="5">
        <f t="shared" si="462"/>
        <v>0</v>
      </c>
      <c r="DD44" s="10">
        <f t="shared" si="168"/>
        <v>-10</v>
      </c>
      <c r="DE44" s="9">
        <f t="shared" si="463"/>
        <v>0</v>
      </c>
      <c r="DF44" s="5">
        <f t="shared" si="463"/>
        <v>0</v>
      </c>
      <c r="DG44" s="10">
        <f t="shared" si="170"/>
        <v>10</v>
      </c>
      <c r="DH44" s="70">
        <f t="shared" si="317"/>
        <v>1.8936999999999999</v>
      </c>
      <c r="DI44" s="4">
        <f t="shared" si="318"/>
        <v>0</v>
      </c>
      <c r="DJ44" s="5">
        <f t="shared" si="319"/>
        <v>0</v>
      </c>
      <c r="DK44" s="10">
        <f t="shared" si="320"/>
        <v>20</v>
      </c>
      <c r="DL44" s="9">
        <f t="shared" si="321"/>
        <v>-2.2481349308304672</v>
      </c>
      <c r="DM44" s="173">
        <f t="shared" si="322"/>
        <v>0.86038374191367595</v>
      </c>
      <c r="DN44" s="178">
        <f t="shared" si="323"/>
        <v>9.9899897002411553</v>
      </c>
      <c r="DO44" s="9">
        <f t="shared" si="324"/>
        <v>0.57444184223069139</v>
      </c>
      <c r="DP44" s="173">
        <f t="shared" si="325"/>
        <v>-0.22440236198041719</v>
      </c>
      <c r="DQ44" s="11">
        <f t="shared" si="326"/>
        <v>0</v>
      </c>
      <c r="DR44" s="173">
        <f t="shared" si="327"/>
        <v>199.7997940048231</v>
      </c>
      <c r="DS44" s="5">
        <f t="shared" si="328"/>
        <v>0</v>
      </c>
      <c r="DT44" s="5">
        <f t="shared" si="329"/>
        <v>400</v>
      </c>
      <c r="DU44" s="5">
        <f t="shared" si="330"/>
        <v>0.38033985016778071</v>
      </c>
      <c r="DV44" s="5">
        <f t="shared" si="331"/>
        <v>-1.4844949151444</v>
      </c>
      <c r="DW44" s="5">
        <f t="shared" si="332"/>
        <v>105.59426506149386</v>
      </c>
      <c r="DX44" s="167">
        <f t="shared" si="333"/>
        <v>102.00816537149386</v>
      </c>
      <c r="DY44" s="9">
        <f t="shared" si="334"/>
        <v>152.13594006711227</v>
      </c>
      <c r="DZ44" s="5">
        <f t="shared" si="335"/>
        <v>-593.79796605776005</v>
      </c>
      <c r="EA44" s="10">
        <f t="shared" si="336"/>
        <v>883.30846422779723</v>
      </c>
      <c r="EB44" s="6">
        <f t="shared" si="337"/>
        <v>218213.06091979964</v>
      </c>
      <c r="EC44" s="173">
        <f t="shared" si="338"/>
        <v>6.9735709671395876</v>
      </c>
      <c r="ED44" s="5">
        <f t="shared" si="339"/>
        <v>0.83257879334193763</v>
      </c>
      <c r="EE44" s="4">
        <f t="shared" si="340"/>
        <v>1.7577760224596615</v>
      </c>
      <c r="EF44" s="5">
        <f t="shared" si="341"/>
        <v>-0.70450205455050985</v>
      </c>
      <c r="EG44" s="10">
        <f t="shared" si="342"/>
        <v>-1.0010299758845147E-2</v>
      </c>
      <c r="EH44" s="9">
        <f t="shared" si="343"/>
        <v>-1.7698668349809186</v>
      </c>
      <c r="EI44" s="5">
        <f t="shared" si="344"/>
        <v>0.67355109415293946</v>
      </c>
      <c r="EJ44" s="6">
        <f t="shared" si="345"/>
        <v>-1.0010299758845147E-2</v>
      </c>
      <c r="EK44" s="236" t="b">
        <f t="shared" si="200"/>
        <v>0</v>
      </c>
      <c r="EL44" s="238" t="b">
        <f t="shared" si="201"/>
        <v>1</v>
      </c>
      <c r="EM44" s="4">
        <f t="shared" si="346"/>
        <v>-1.7698668349809186</v>
      </c>
      <c r="EN44" s="5">
        <f t="shared" si="347"/>
        <v>0.67355109415293946</v>
      </c>
      <c r="EO44" s="10">
        <f t="shared" si="348"/>
        <v>-1.0010299758845147E-2</v>
      </c>
      <c r="EP44" s="9">
        <f t="shared" si="349"/>
        <v>159.16487818594317</v>
      </c>
      <c r="EQ44" s="5">
        <f t="shared" si="350"/>
        <v>1.8936999999999988</v>
      </c>
      <c r="ER44" s="7">
        <f t="shared" si="351"/>
        <v>-1.0010299758845147E-2</v>
      </c>
      <c r="ES44" s="21">
        <f t="shared" si="352"/>
        <v>0.35156342402088497</v>
      </c>
      <c r="ET44" s="5">
        <f t="shared" si="353"/>
        <v>0.89995817857349758</v>
      </c>
      <c r="EU44" s="10">
        <f t="shared" si="354"/>
        <v>-0.25783412440827957</v>
      </c>
      <c r="EV44" s="174">
        <f t="shared" si="355"/>
        <v>290.83512181405683</v>
      </c>
      <c r="EW44" s="9">
        <f t="shared" si="356"/>
        <v>0.96615201037149001</v>
      </c>
      <c r="EX44" s="5">
        <f t="shared" si="357"/>
        <v>-8.4768594269589159E-3</v>
      </c>
      <c r="EY44" s="6">
        <f t="shared" si="358"/>
        <v>-0.25783412440827957</v>
      </c>
      <c r="EZ44" s="51">
        <f t="shared" si="209"/>
        <v>1.2036707220479601</v>
      </c>
      <c r="FA44" s="266">
        <f t="shared" si="134"/>
        <v>0.35560145122317316</v>
      </c>
      <c r="FB44" s="267">
        <f t="shared" si="135"/>
        <v>0.9344015924767719</v>
      </c>
      <c r="FC44" s="269">
        <f t="shared" si="48"/>
        <v>-2.1006471975223547E-2</v>
      </c>
      <c r="FD44" s="4">
        <f t="shared" si="359"/>
        <v>0.99977933972209798</v>
      </c>
      <c r="FE44" s="5">
        <f t="shared" si="360"/>
        <v>1.1102230246251565E-16</v>
      </c>
      <c r="FF44" s="7">
        <f t="shared" si="361"/>
        <v>-2.1006471975223547E-2</v>
      </c>
      <c r="FG44" s="173">
        <f t="shared" si="362"/>
        <v>-3.3627329350607971E-2</v>
      </c>
      <c r="FH44" s="5">
        <f t="shared" si="363"/>
        <v>-8.4768594269590269E-3</v>
      </c>
      <c r="FI44" s="10">
        <f t="shared" si="364"/>
        <v>-0.23682765243305604</v>
      </c>
      <c r="FJ44" s="279">
        <f t="shared" si="365"/>
        <v>13.746881706211283</v>
      </c>
      <c r="FK44" s="4">
        <f t="shared" si="366"/>
        <v>0.96618919694365035</v>
      </c>
      <c r="FL44" s="5">
        <f t="shared" si="367"/>
        <v>0.99977933972209798</v>
      </c>
      <c r="FM44" s="8">
        <f t="shared" si="368"/>
        <v>3.4679308311999023E-2</v>
      </c>
      <c r="FN44" s="9">
        <f t="shared" si="369"/>
        <v>0.50269088224155201</v>
      </c>
      <c r="FO44" s="10">
        <f t="shared" si="370"/>
        <v>1</v>
      </c>
      <c r="FP44" s="277">
        <f t="shared" si="371"/>
        <v>0.50269088224155201</v>
      </c>
      <c r="FQ44" s="173">
        <f t="shared" si="372"/>
        <v>8.7734984553572305E-3</v>
      </c>
      <c r="FR44" s="10">
        <f t="shared" si="373"/>
        <v>0.99996151212176854</v>
      </c>
      <c r="FS44" s="9">
        <f t="shared" si="374"/>
        <v>8.6975254783093776E-3</v>
      </c>
      <c r="FT44" s="6">
        <f t="shared" si="375"/>
        <v>0.99130247452169062</v>
      </c>
      <c r="FU44" s="4">
        <f t="shared" si="376"/>
        <v>0.9999640707816736</v>
      </c>
      <c r="FV44" s="5">
        <f t="shared" si="377"/>
        <v>1</v>
      </c>
      <c r="FW44" s="8">
        <f t="shared" si="378"/>
        <v>0.23920312338305003</v>
      </c>
      <c r="FX44" s="9">
        <f t="shared" si="379"/>
        <v>13.738464119247169</v>
      </c>
      <c r="FY44" s="10">
        <f t="shared" si="380"/>
        <v>1</v>
      </c>
      <c r="FZ44" s="277">
        <f t="shared" si="381"/>
        <v>13.738464119247169</v>
      </c>
      <c r="GA44" s="177">
        <f t="shared" si="382"/>
        <v>13.737273096855287</v>
      </c>
      <c r="GB44" s="4">
        <f t="shared" si="383"/>
        <v>-8.522487836234837E-3</v>
      </c>
      <c r="GC44" s="5">
        <f t="shared" si="384"/>
        <v>0.97135251885262097</v>
      </c>
      <c r="GD44" s="10">
        <f t="shared" si="385"/>
        <v>-0.23749031837055964</v>
      </c>
      <c r="GE44" s="311">
        <f t="shared" si="386"/>
        <v>1.2173653250594154</v>
      </c>
      <c r="GF44" s="341">
        <f t="shared" si="387"/>
        <v>0.82144610119496664</v>
      </c>
      <c r="GG44" s="285">
        <f t="shared" si="388"/>
        <v>7.0007644055566339E-3</v>
      </c>
      <c r="GH44" s="286">
        <f t="shared" si="389"/>
        <v>0.79791373949739586</v>
      </c>
      <c r="GI44" s="281">
        <f t="shared" si="390"/>
        <v>0.19508549609704759</v>
      </c>
      <c r="GJ44" s="167">
        <f t="shared" si="391"/>
        <v>1.8936999999999999</v>
      </c>
      <c r="GK44" s="174">
        <f t="shared" si="59"/>
        <v>0.99175784291172697</v>
      </c>
      <c r="GL44" s="174">
        <f t="shared" si="392"/>
        <v>6.4399999999999999E-2</v>
      </c>
      <c r="GM44" s="177">
        <f t="shared" si="393"/>
        <v>0.76643046100218259</v>
      </c>
      <c r="GN44" s="280">
        <f t="shared" si="394"/>
        <v>0.13323409947161549</v>
      </c>
      <c r="GO44" s="4">
        <f t="shared" si="395"/>
        <v>0.50269088224155201</v>
      </c>
      <c r="GP44" s="8">
        <f t="shared" si="396"/>
        <v>13.738464119247169</v>
      </c>
      <c r="GQ44" s="177">
        <f t="shared" si="397"/>
        <v>13.746881706211283</v>
      </c>
      <c r="GR44" s="371">
        <f t="shared" si="398"/>
        <v>2361.3348870900704</v>
      </c>
      <c r="GS44" s="342">
        <f t="shared" si="399"/>
        <v>16.531149227139259</v>
      </c>
      <c r="GT44" s="343">
        <f t="shared" si="400"/>
        <v>16.668533901990671</v>
      </c>
      <c r="GU44" s="344">
        <f t="shared" si="63"/>
        <v>1884.1415499636989</v>
      </c>
      <c r="GV44" s="343">
        <f t="shared" si="401"/>
        <v>1899.8</v>
      </c>
      <c r="GW44" s="345">
        <f t="shared" si="64"/>
        <v>29500</v>
      </c>
      <c r="GX44" s="346">
        <f t="shared" si="65"/>
        <v>299.80427166666664</v>
      </c>
      <c r="GY44" s="344">
        <f t="shared" si="402"/>
        <v>460.66218789923226</v>
      </c>
      <c r="GZ44" s="345">
        <f t="shared" si="403"/>
        <v>464.49059232721817</v>
      </c>
      <c r="HA44" s="342">
        <f t="shared" si="68"/>
        <v>16.531149227139259</v>
      </c>
      <c r="HB44" s="5">
        <f t="shared" si="231"/>
        <v>290.83512181405683</v>
      </c>
      <c r="HC44" s="343">
        <f t="shared" si="404"/>
        <v>5.8797980934388665</v>
      </c>
      <c r="HD44" s="345">
        <f t="shared" si="405"/>
        <v>-15.450141395804105</v>
      </c>
      <c r="HE44" s="344">
        <f t="shared" si="69"/>
        <v>1899.8</v>
      </c>
      <c r="HF44" s="5">
        <f t="shared" si="70"/>
        <v>380.83512181405683</v>
      </c>
      <c r="HG44" s="343">
        <f t="shared" si="406"/>
        <v>1775.567942703042</v>
      </c>
      <c r="HH44" s="349">
        <f t="shared" si="407"/>
        <v>675.72074176044543</v>
      </c>
      <c r="HI44" s="317">
        <f t="shared" si="408"/>
        <v>5.1079999999999997</v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5.1079999999999997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-2.6798220670042028</v>
      </c>
      <c r="C45" s="572">
        <f t="shared" si="258"/>
        <v>1.0169752389127338</v>
      </c>
      <c r="D45" s="576">
        <f t="shared" si="259"/>
        <v>-0.2283826192126745</v>
      </c>
      <c r="E45" s="580">
        <f t="shared" si="260"/>
        <v>-0.48614833244856487</v>
      </c>
      <c r="F45" s="572">
        <f t="shared" si="261"/>
        <v>-0.82373462658968355</v>
      </c>
      <c r="G45" s="579">
        <f t="shared" si="262"/>
        <v>0.29175514359584886</v>
      </c>
      <c r="H45" s="580">
        <f t="shared" si="263"/>
        <v>0.3125</v>
      </c>
      <c r="I45" s="572">
        <f t="shared" si="264"/>
        <v>0.52</v>
      </c>
      <c r="J45" s="483">
        <f t="shared" si="265"/>
        <v>5.1130000000000004</v>
      </c>
      <c r="K45" s="806">
        <f t="shared" si="266"/>
        <v>1613</v>
      </c>
      <c r="L45" s="309"/>
      <c r="M45" s="164">
        <f t="shared" si="267"/>
        <v>5.1130000000000004</v>
      </c>
      <c r="N45" s="575">
        <f t="shared" si="268"/>
        <v>-2.6798220670042028</v>
      </c>
      <c r="O45" s="572">
        <f t="shared" si="269"/>
        <v>1.0169752389127338</v>
      </c>
      <c r="P45" s="576">
        <f t="shared" si="270"/>
        <v>-0.2283826192126745</v>
      </c>
      <c r="Q45" s="528">
        <f t="shared" si="140"/>
        <v>159.21856836430158</v>
      </c>
      <c r="R45" s="572">
        <f t="shared" si="439"/>
        <v>2.8663016148626594</v>
      </c>
      <c r="S45" s="577">
        <f t="shared" si="440"/>
        <v>-0.2283826192126745</v>
      </c>
      <c r="T45" s="578">
        <f t="shared" si="441"/>
        <v>0.98556215676051695</v>
      </c>
      <c r="U45" s="572">
        <f t="shared" si="442"/>
        <v>2.6915334258607762</v>
      </c>
      <c r="V45" s="579">
        <f t="shared" si="443"/>
        <v>-0.2283826192126745</v>
      </c>
      <c r="W45" s="528">
        <f t="shared" si="253"/>
        <v>69.888721926918805</v>
      </c>
      <c r="X45" s="572">
        <f t="shared" si="444"/>
        <v>2.8663016148626594</v>
      </c>
      <c r="Y45" s="573">
        <f t="shared" si="255"/>
        <v>-0.2283826192126745</v>
      </c>
      <c r="Z45" s="575">
        <f t="shared" si="271"/>
        <v>0.48614833244856487</v>
      </c>
      <c r="AA45" s="572">
        <f t="shared" si="272"/>
        <v>0.82373462658968355</v>
      </c>
      <c r="AB45" s="572">
        <f t="shared" si="273"/>
        <v>-0.29175514359584886</v>
      </c>
      <c r="AC45" s="579">
        <f t="shared" si="445"/>
        <v>1</v>
      </c>
      <c r="AD45" s="580">
        <f t="shared" si="446"/>
        <v>0.48614833244856487</v>
      </c>
      <c r="AE45" s="572">
        <f t="shared" si="447"/>
        <v>0.82373462658968355</v>
      </c>
      <c r="AF45" s="576">
        <f t="shared" si="448"/>
        <v>-0.29175514359584886</v>
      </c>
      <c r="AG45" s="545">
        <f t="shared" si="449"/>
        <v>70.496575204259258</v>
      </c>
      <c r="AH45" s="546">
        <f t="shared" si="450"/>
        <v>60.912264547829146</v>
      </c>
      <c r="AI45" s="528">
        <f t="shared" si="451"/>
        <v>-73.03693683590356</v>
      </c>
      <c r="AJ45" s="529">
        <f t="shared" si="452"/>
        <v>149.45191937182889</v>
      </c>
      <c r="AK45" s="578">
        <f t="shared" si="453"/>
        <v>0.94263040296227463</v>
      </c>
      <c r="AL45" s="572">
        <f t="shared" si="454"/>
        <v>-0.16225553795339454</v>
      </c>
      <c r="AM45" s="577">
        <f t="shared" si="455"/>
        <v>-0.29175514359584886</v>
      </c>
      <c r="AN45" s="524">
        <f t="shared" si="456"/>
        <v>-29.080011129749568</v>
      </c>
      <c r="AO45" s="525">
        <f t="shared" si="116"/>
        <v>19.501903116233269</v>
      </c>
      <c r="AP45" s="528">
        <f t="shared" si="457"/>
        <v>-9.7666489924726729</v>
      </c>
      <c r="AQ45" s="529">
        <f t="shared" si="274"/>
        <v>0.79530367787415057</v>
      </c>
      <c r="AS45" s="932">
        <f t="shared" si="461"/>
        <v>69.888721926918805</v>
      </c>
      <c r="AT45" s="928">
        <f t="shared" si="275"/>
        <v>-2.8595883187981869E-2</v>
      </c>
      <c r="AU45" s="418"/>
      <c r="AV45" s="164">
        <f t="shared" si="276"/>
        <v>5.1130000000000004</v>
      </c>
      <c r="AW45" s="829">
        <f>IFERROR(INDEX(MassProp!C$9:C$150,MATCH($M45,MassProp!$B$9:$B$150,0)),"")</f>
        <v>2.6514000000000002</v>
      </c>
      <c r="AX45" s="830">
        <f>IFERROR(INDEX(MassProp!D$9:D$150,MATCH($M45,MassProp!$B$9:$B$150,0)),"")</f>
        <v>0.45669999999999999</v>
      </c>
      <c r="AY45" s="831">
        <f>IFERROR(INDEX(MassProp!E$9:E$150,MATCH($M45,MassProp!$B$9:$B$150,0)),"")</f>
        <v>3.27E-2</v>
      </c>
      <c r="AZ45" s="297">
        <f t="shared" si="277"/>
        <v>0.54481840340610277</v>
      </c>
      <c r="BA45" s="296">
        <f t="shared" si="278"/>
        <v>9.4709687371322682E-2</v>
      </c>
      <c r="BB45" s="190">
        <f t="shared" si="145"/>
        <v>0.23529588318798186</v>
      </c>
      <c r="BC45" s="9"/>
      <c r="BD45" s="5">
        <f t="shared" si="279"/>
        <v>2.6514000000000002</v>
      </c>
      <c r="BE45" s="6">
        <f t="shared" si="280"/>
        <v>6.9132639753073655E-3</v>
      </c>
      <c r="BF45" s="4">
        <f t="shared" si="281"/>
        <v>-2.6798220670042028</v>
      </c>
      <c r="BG45" s="5">
        <f t="shared" si="282"/>
        <v>1.0169752389127338</v>
      </c>
      <c r="BH45" s="10">
        <f t="shared" si="283"/>
        <v>-0.2283826192126745</v>
      </c>
      <c r="BI45" s="9">
        <f t="shared" si="284"/>
        <v>-2.6798220670042028</v>
      </c>
      <c r="BJ45" s="5">
        <f t="shared" si="285"/>
        <v>1.3508384429666964</v>
      </c>
      <c r="BK45" s="8">
        <f t="shared" si="286"/>
        <v>0.71423891723704092</v>
      </c>
      <c r="BL45" s="173">
        <f t="shared" si="287"/>
        <v>-1.8059457606212685</v>
      </c>
      <c r="BM45" s="5">
        <f t="shared" si="288"/>
        <v>0.55872135083760055</v>
      </c>
      <c r="BN45" s="6">
        <f t="shared" si="289"/>
        <v>-6.6075579295905629E-2</v>
      </c>
      <c r="BO45" s="4">
        <f t="shared" si="290"/>
        <v>0.48614833244856481</v>
      </c>
      <c r="BP45" s="5">
        <f t="shared" si="239"/>
        <v>0.82373462658968377</v>
      </c>
      <c r="BQ45" s="5">
        <f t="shared" si="291"/>
        <v>-0.29175514359584831</v>
      </c>
      <c r="BR45" s="6">
        <f t="shared" si="292"/>
        <v>0.39844150659303418</v>
      </c>
      <c r="BS45" s="4">
        <f t="shared" si="458"/>
        <v>0</v>
      </c>
      <c r="BT45" s="5">
        <f t="shared" si="458"/>
        <v>0</v>
      </c>
      <c r="BU45" s="10">
        <f t="shared" si="119"/>
        <v>6.9132639753073655E-3</v>
      </c>
      <c r="BV45" s="9">
        <f t="shared" si="120"/>
        <v>0</v>
      </c>
      <c r="BW45" s="5">
        <f t="shared" si="121"/>
        <v>1</v>
      </c>
      <c r="BX45" s="8">
        <f t="shared" si="122"/>
        <v>6.9132639753073655E-3</v>
      </c>
      <c r="BY45" s="173">
        <f t="shared" si="123"/>
        <v>1</v>
      </c>
      <c r="BZ45" s="5">
        <f t="shared" si="124"/>
        <v>0</v>
      </c>
      <c r="CA45" s="6">
        <f t="shared" si="125"/>
        <v>6.9132639753073655E-3</v>
      </c>
      <c r="CB45" s="4">
        <f t="shared" si="293"/>
        <v>0</v>
      </c>
      <c r="CC45" s="5">
        <f t="shared" si="294"/>
        <v>0</v>
      </c>
      <c r="CD45" s="5">
        <f t="shared" si="295"/>
        <v>-1</v>
      </c>
      <c r="CE45" s="6">
        <f t="shared" si="296"/>
        <v>6.9132639753073655E-3</v>
      </c>
      <c r="CF45" s="4">
        <f t="shared" si="297"/>
        <v>-0.82373462658968377</v>
      </c>
      <c r="CG45" s="5">
        <f t="shared" si="298"/>
        <v>0.48614833244856481</v>
      </c>
      <c r="CH45" s="5">
        <f t="shared" si="299"/>
        <v>0</v>
      </c>
      <c r="CI45" s="4">
        <f t="shared" si="126"/>
        <v>0</v>
      </c>
      <c r="CJ45" s="5">
        <f t="shared" si="300"/>
        <v>-0.48125271595104158</v>
      </c>
      <c r="CK45" s="8">
        <f t="shared" si="301"/>
        <v>6.9132639753073655E-3</v>
      </c>
      <c r="CL45" s="173">
        <f t="shared" si="302"/>
        <v>-0.82373462658968377</v>
      </c>
      <c r="CM45" s="5">
        <f t="shared" si="303"/>
        <v>4.8956164975232364E-3</v>
      </c>
      <c r="CN45" s="6">
        <f t="shared" si="304"/>
        <v>6.9132639753073655E-3</v>
      </c>
      <c r="CO45" s="167">
        <f t="shared" si="305"/>
        <v>0.3125</v>
      </c>
      <c r="CP45" s="4">
        <f t="shared" si="306"/>
        <v>0.91487893618536609</v>
      </c>
      <c r="CQ45" s="5">
        <f t="shared" si="307"/>
        <v>-5.8716465031506981</v>
      </c>
      <c r="CR45" s="5">
        <f t="shared" si="308"/>
        <v>9.3838412181831821</v>
      </c>
      <c r="CS45" s="8">
        <f t="shared" si="309"/>
        <v>0.13591797386654747</v>
      </c>
      <c r="CT45" s="9">
        <f t="shared" si="160"/>
        <v>3.4104605568885118</v>
      </c>
      <c r="CU45" s="6">
        <f t="shared" si="310"/>
        <v>3.0074886065634576</v>
      </c>
      <c r="CV45" s="4">
        <f t="shared" si="311"/>
        <v>-2.8093144533274033</v>
      </c>
      <c r="CW45" s="5">
        <f t="shared" si="312"/>
        <v>1.1767369966619121</v>
      </c>
      <c r="CX45" s="8">
        <f t="shared" si="313"/>
        <v>6.9132639753073655E-3</v>
      </c>
      <c r="CY45" s="9">
        <f t="shared" si="314"/>
        <v>-2.4773725043002783</v>
      </c>
      <c r="CZ45" s="5">
        <f t="shared" si="315"/>
        <v>0.98083285498784112</v>
      </c>
      <c r="DA45" s="6">
        <f t="shared" si="316"/>
        <v>6.9132639753073655E-3</v>
      </c>
      <c r="DB45" s="4">
        <f t="shared" si="462"/>
        <v>0</v>
      </c>
      <c r="DC45" s="5">
        <f t="shared" si="462"/>
        <v>0</v>
      </c>
      <c r="DD45" s="10">
        <f t="shared" si="168"/>
        <v>-10</v>
      </c>
      <c r="DE45" s="9">
        <f t="shared" si="463"/>
        <v>0</v>
      </c>
      <c r="DF45" s="5">
        <f t="shared" si="463"/>
        <v>0</v>
      </c>
      <c r="DG45" s="10">
        <f t="shared" si="170"/>
        <v>10</v>
      </c>
      <c r="DH45" s="70">
        <f t="shared" si="317"/>
        <v>2.6514000000000002</v>
      </c>
      <c r="DI45" s="4">
        <f t="shared" si="318"/>
        <v>0</v>
      </c>
      <c r="DJ45" s="5">
        <f t="shared" si="319"/>
        <v>0</v>
      </c>
      <c r="DK45" s="10">
        <f t="shared" si="320"/>
        <v>20</v>
      </c>
      <c r="DL45" s="9">
        <f t="shared" si="321"/>
        <v>-2.8093144533274033</v>
      </c>
      <c r="DM45" s="173">
        <f t="shared" si="322"/>
        <v>1.1767369966619121</v>
      </c>
      <c r="DN45" s="178">
        <f t="shared" si="323"/>
        <v>10.006913263975308</v>
      </c>
      <c r="DO45" s="9">
        <f t="shared" si="324"/>
        <v>0.33194194902712493</v>
      </c>
      <c r="DP45" s="173">
        <f t="shared" si="325"/>
        <v>-0.195904141674071</v>
      </c>
      <c r="DQ45" s="11">
        <f t="shared" si="326"/>
        <v>0</v>
      </c>
      <c r="DR45" s="173">
        <f t="shared" si="327"/>
        <v>200.13826527950616</v>
      </c>
      <c r="DS45" s="5">
        <f t="shared" si="328"/>
        <v>0</v>
      </c>
      <c r="DT45" s="5">
        <f t="shared" si="329"/>
        <v>400</v>
      </c>
      <c r="DU45" s="5">
        <f t="shared" si="330"/>
        <v>0.14856389024898087</v>
      </c>
      <c r="DV45" s="5">
        <f t="shared" si="331"/>
        <v>-1.1630569663747463</v>
      </c>
      <c r="DW45" s="5">
        <f t="shared" si="332"/>
        <v>109.41527072971209</v>
      </c>
      <c r="DX45" s="167">
        <f t="shared" si="333"/>
        <v>102.3853487697121</v>
      </c>
      <c r="DY45" s="9">
        <f t="shared" si="334"/>
        <v>59.425556099592349</v>
      </c>
      <c r="DZ45" s="5">
        <f t="shared" si="335"/>
        <v>-465.2227865498985</v>
      </c>
      <c r="EA45" s="10">
        <f t="shared" si="336"/>
        <v>898.81427879486</v>
      </c>
      <c r="EB45" s="6">
        <f t="shared" si="337"/>
        <v>163019.70277761383</v>
      </c>
      <c r="EC45" s="173">
        <f t="shared" si="338"/>
        <v>14.622997719988685</v>
      </c>
      <c r="ED45" s="5">
        <f t="shared" si="339"/>
        <v>1.0343327985586999</v>
      </c>
      <c r="EE45" s="4">
        <f t="shared" si="340"/>
        <v>2.0446719104648445</v>
      </c>
      <c r="EF45" s="5">
        <f t="shared" si="341"/>
        <v>-1.6879688203743686</v>
      </c>
      <c r="EG45" s="10">
        <f t="shared" si="342"/>
        <v>6.9132639753073655E-3</v>
      </c>
      <c r="EH45" s="9">
        <f t="shared" si="343"/>
        <v>-2.4659760082311477</v>
      </c>
      <c r="EI45" s="5">
        <f t="shared" si="344"/>
        <v>0.97410691755493017</v>
      </c>
      <c r="EJ45" s="6">
        <f t="shared" si="345"/>
        <v>6.9132639753073655E-3</v>
      </c>
      <c r="EK45" s="236" t="b">
        <f t="shared" si="200"/>
        <v>0</v>
      </c>
      <c r="EL45" s="238" t="b">
        <f t="shared" si="201"/>
        <v>0</v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e">
        <f t="shared" si="349"/>
        <v>#VALUE!</v>
      </c>
      <c r="EQ45" s="5" t="e">
        <f t="shared" si="350"/>
        <v>#VALUE!</v>
      </c>
      <c r="ER45" s="7" t="str">
        <f t="shared" si="351"/>
        <v/>
      </c>
      <c r="ES45" s="21">
        <f t="shared" si="352"/>
        <v>0.48614833244856487</v>
      </c>
      <c r="ET45" s="5">
        <f t="shared" si="353"/>
        <v>0.82373462658968355</v>
      </c>
      <c r="EU45" s="10">
        <f t="shared" si="354"/>
        <v>-0.29175514359584886</v>
      </c>
      <c r="EV45" s="174" t="e">
        <f t="shared" si="355"/>
        <v>#VALUE!</v>
      </c>
      <c r="EW45" s="9" t="e">
        <f t="shared" si="356"/>
        <v>#VALUE!</v>
      </c>
      <c r="EX45" s="5" t="e">
        <f t="shared" si="357"/>
        <v>#VALUE!</v>
      </c>
      <c r="EY45" s="6">
        <f t="shared" si="358"/>
        <v>-0.29175514359584886</v>
      </c>
      <c r="EZ45" s="51" t="e">
        <f t="shared" si="209"/>
        <v>#VALUE!</v>
      </c>
      <c r="FA45" s="266" t="e">
        <f t="shared" si="134"/>
        <v>#VALUE!</v>
      </c>
      <c r="FB45" s="267" t="e">
        <f t="shared" si="135"/>
        <v>#VALUE!</v>
      </c>
      <c r="FC45" s="269" t="e">
        <f t="shared" si="48"/>
        <v>#VALUE!</v>
      </c>
      <c r="FD45" s="4" t="e">
        <f t="shared" si="359"/>
        <v>#VALUE!</v>
      </c>
      <c r="FE45" s="5" t="e">
        <f t="shared" si="360"/>
        <v>#VALUE!</v>
      </c>
      <c r="FF45" s="7" t="e">
        <f t="shared" si="361"/>
        <v>#VALUE!</v>
      </c>
      <c r="FG45" s="173" t="e">
        <f t="shared" si="362"/>
        <v>#VALUE!</v>
      </c>
      <c r="FH45" s="5" t="e">
        <f t="shared" si="363"/>
        <v>#VALUE!</v>
      </c>
      <c r="FI45" s="10" t="e">
        <f t="shared" si="364"/>
        <v>#VALUE!</v>
      </c>
      <c r="FJ45" s="279" t="e">
        <f t="shared" si="365"/>
        <v>#VALUE!</v>
      </c>
      <c r="FK45" s="4">
        <f t="shared" si="366"/>
        <v>0.95649304032249272</v>
      </c>
      <c r="FL45" s="5" t="e">
        <f t="shared" si="367"/>
        <v>#VALUE!</v>
      </c>
      <c r="FM45" s="8" t="e">
        <f t="shared" si="368"/>
        <v>#VALUE!</v>
      </c>
      <c r="FN45" s="9" t="e">
        <f t="shared" si="369"/>
        <v>#VALUE!</v>
      </c>
      <c r="FO45" s="10" t="e">
        <f t="shared" si="370"/>
        <v>#VALUE!</v>
      </c>
      <c r="FP45" s="277" t="e">
        <f t="shared" si="371"/>
        <v>#VALUE!</v>
      </c>
      <c r="FQ45" s="173" t="e">
        <f t="shared" si="372"/>
        <v>#VALUE!</v>
      </c>
      <c r="FR45" s="10" t="e">
        <f t="shared" si="373"/>
        <v>#VALUE!</v>
      </c>
      <c r="FS45" s="9" t="e">
        <f t="shared" si="374"/>
        <v>#VALUE!</v>
      </c>
      <c r="FT45" s="6" t="e">
        <f t="shared" si="375"/>
        <v>#VALUE!</v>
      </c>
      <c r="FU45" s="4" t="e">
        <f t="shared" si="376"/>
        <v>#VALUE!</v>
      </c>
      <c r="FV45" s="5" t="e">
        <f t="shared" si="377"/>
        <v>#VALUE!</v>
      </c>
      <c r="FW45" s="8" t="e">
        <f t="shared" si="378"/>
        <v>#VALUE!</v>
      </c>
      <c r="FX45" s="9" t="e">
        <f t="shared" si="379"/>
        <v>#VALUE!</v>
      </c>
      <c r="FY45" s="10" t="e">
        <f t="shared" si="380"/>
        <v>#VALUE!</v>
      </c>
      <c r="FZ45" s="277" t="e">
        <f t="shared" si="381"/>
        <v>#VALUE!</v>
      </c>
      <c r="GA45" s="177" t="e">
        <f t="shared" si="382"/>
        <v>#VALUE!</v>
      </c>
      <c r="GB45" s="4" t="e">
        <f t="shared" si="383"/>
        <v>#VALUE!</v>
      </c>
      <c r="GC45" s="5" t="e">
        <f t="shared" si="384"/>
        <v>#VALUE!</v>
      </c>
      <c r="GD45" s="10" t="e">
        <f t="shared" si="385"/>
        <v>#VALUE!</v>
      </c>
      <c r="GE45" s="311" t="e">
        <f t="shared" si="386"/>
        <v>#VALUE!</v>
      </c>
      <c r="GF45" s="341" t="e">
        <f t="shared" si="387"/>
        <v>#VALUE!</v>
      </c>
      <c r="GG45" s="285" t="e">
        <f t="shared" si="388"/>
        <v>#VALUE!</v>
      </c>
      <c r="GH45" s="286" t="e">
        <f t="shared" si="389"/>
        <v>#VALUE!</v>
      </c>
      <c r="GI45" s="281" t="e">
        <f t="shared" si="390"/>
        <v>#VALUE!</v>
      </c>
      <c r="GJ45" s="167">
        <f t="shared" si="391"/>
        <v>2.6514000000000002</v>
      </c>
      <c r="GK45" s="174">
        <f t="shared" si="59"/>
        <v>1.3884261045007715</v>
      </c>
      <c r="GL45" s="174">
        <f t="shared" si="392"/>
        <v>3.27E-2</v>
      </c>
      <c r="GM45" s="177">
        <f t="shared" si="393"/>
        <v>0.54481840340610277</v>
      </c>
      <c r="GN45" s="280">
        <f t="shared" si="394"/>
        <v>9.4709687371322682E-2</v>
      </c>
      <c r="GO45" s="4" t="e">
        <f t="shared" si="395"/>
        <v>#VALUE!</v>
      </c>
      <c r="GP45" s="8" t="e">
        <f t="shared" si="396"/>
        <v>#VALUE!</v>
      </c>
      <c r="GQ45" s="177" t="e">
        <f t="shared" si="397"/>
        <v>#VALUE!</v>
      </c>
      <c r="GR45" s="371" t="e">
        <f t="shared" si="398"/>
        <v>#VALUE!</v>
      </c>
      <c r="GS45" s="342" t="e">
        <f t="shared" si="399"/>
        <v>#VALUE!</v>
      </c>
      <c r="GT45" s="343" t="e">
        <f t="shared" si="400"/>
        <v>#VALUE!</v>
      </c>
      <c r="GU45" s="344">
        <f t="shared" si="63"/>
        <v>1339.3452417066692</v>
      </c>
      <c r="GV45" s="343">
        <f t="shared" si="401"/>
        <v>964.65</v>
      </c>
      <c r="GW45" s="345">
        <f t="shared" si="64"/>
        <v>29500</v>
      </c>
      <c r="GX45" s="346">
        <f t="shared" si="65"/>
        <v>213.13941750000001</v>
      </c>
      <c r="GY45" s="344" t="e">
        <f t="shared" si="402"/>
        <v>#VALUE!</v>
      </c>
      <c r="GZ45" s="345" t="e">
        <f t="shared" si="403"/>
        <v>#VALUE!</v>
      </c>
      <c r="HA45" s="342" t="e">
        <f t="shared" si="68"/>
        <v>#VALUE!</v>
      </c>
      <c r="HB45" s="5" t="e">
        <f t="shared" si="231"/>
        <v>#VALUE!</v>
      </c>
      <c r="HC45" s="343" t="e">
        <f t="shared" si="404"/>
        <v>#VALUE!</v>
      </c>
      <c r="HD45" s="345" t="e">
        <f t="shared" si="405"/>
        <v>#VALUE!</v>
      </c>
      <c r="HE45" s="344" t="e">
        <f t="shared" si="69"/>
        <v>#VALUE!</v>
      </c>
      <c r="HF45" s="5" t="e">
        <f t="shared" si="70"/>
        <v>#VALUE!</v>
      </c>
      <c r="HG45" s="343" t="e">
        <f t="shared" si="406"/>
        <v>#VALUE!</v>
      </c>
      <c r="HH45" s="349" t="e">
        <f t="shared" si="407"/>
        <v>#VALUE!</v>
      </c>
      <c r="HI45" s="317">
        <f t="shared" si="408"/>
        <v>5.1130000000000004</v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5.1130000000000004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-3.1911356596730767</v>
      </c>
      <c r="C46" s="572">
        <f t="shared" si="258"/>
        <v>1.2548609854018915</v>
      </c>
      <c r="D46" s="576">
        <f t="shared" si="259"/>
        <v>-0.75368348481148251</v>
      </c>
      <c r="E46" s="580">
        <f t="shared" si="260"/>
        <v>-0.64409904514625815</v>
      </c>
      <c r="F46" s="572">
        <f t="shared" si="261"/>
        <v>-0.72739295783815738</v>
      </c>
      <c r="G46" s="579">
        <f t="shared" si="262"/>
        <v>0.23671904217687073</v>
      </c>
      <c r="H46" s="580">
        <f t="shared" si="263"/>
        <v>0.3125</v>
      </c>
      <c r="I46" s="572">
        <f t="shared" si="264"/>
        <v>0.52</v>
      </c>
      <c r="J46" s="483">
        <f t="shared" si="265"/>
        <v>5.1180000000000003</v>
      </c>
      <c r="K46" s="806">
        <f t="shared" si="266"/>
        <v>1613</v>
      </c>
      <c r="L46" s="309"/>
      <c r="M46" s="164">
        <f t="shared" si="267"/>
        <v>5.1180000000000003</v>
      </c>
      <c r="N46" s="575">
        <f t="shared" si="268"/>
        <v>-3.1911356596730767</v>
      </c>
      <c r="O46" s="572">
        <f t="shared" si="269"/>
        <v>1.2548609854018915</v>
      </c>
      <c r="P46" s="576">
        <f t="shared" si="270"/>
        <v>-0.75368348481148251</v>
      </c>
      <c r="Q46" s="528">
        <f t="shared" si="140"/>
        <v>158.53359262721298</v>
      </c>
      <c r="R46" s="572">
        <f t="shared" si="439"/>
        <v>3.4289973594508538</v>
      </c>
      <c r="S46" s="577">
        <f t="shared" si="440"/>
        <v>-0.75368348481148251</v>
      </c>
      <c r="T46" s="578">
        <f t="shared" si="441"/>
        <v>1.2174512465328053</v>
      </c>
      <c r="U46" s="572">
        <f t="shared" si="442"/>
        <v>3.2055943837979015</v>
      </c>
      <c r="V46" s="579">
        <f t="shared" si="443"/>
        <v>-0.75368348481148251</v>
      </c>
      <c r="W46" s="528">
        <f t="shared" si="253"/>
        <v>69.203746189830213</v>
      </c>
      <c r="X46" s="572">
        <f t="shared" si="444"/>
        <v>3.4289973594508538</v>
      </c>
      <c r="Y46" s="573">
        <f t="shared" si="255"/>
        <v>-0.75368348481148251</v>
      </c>
      <c r="Z46" s="575">
        <f t="shared" si="271"/>
        <v>0.64409904514625815</v>
      </c>
      <c r="AA46" s="572">
        <f t="shared" si="272"/>
        <v>0.72739295783815738</v>
      </c>
      <c r="AB46" s="572">
        <f t="shared" si="273"/>
        <v>-0.23671904217687073</v>
      </c>
      <c r="AC46" s="579">
        <f t="shared" si="445"/>
        <v>1</v>
      </c>
      <c r="AD46" s="580">
        <f t="shared" si="446"/>
        <v>0.64409904514625815</v>
      </c>
      <c r="AE46" s="572">
        <f t="shared" si="447"/>
        <v>0.72739295783815738</v>
      </c>
      <c r="AF46" s="576">
        <f t="shared" si="448"/>
        <v>-0.23671904217687073</v>
      </c>
      <c r="AG46" s="545">
        <f t="shared" si="449"/>
        <v>71.97330473382975</v>
      </c>
      <c r="AH46" s="546">
        <f t="shared" si="450"/>
        <v>49.901841464528857</v>
      </c>
      <c r="AI46" s="528">
        <f t="shared" si="451"/>
        <v>-76.307023883877704</v>
      </c>
      <c r="AJ46" s="529">
        <f t="shared" si="452"/>
        <v>138.47543775436151</v>
      </c>
      <c r="AK46" s="578">
        <f t="shared" si="453"/>
        <v>0.91264706291352937</v>
      </c>
      <c r="AL46" s="572">
        <f t="shared" si="454"/>
        <v>-0.3332257997607227</v>
      </c>
      <c r="AM46" s="577">
        <f t="shared" si="455"/>
        <v>-0.23671904217687073</v>
      </c>
      <c r="AN46" s="524">
        <f t="shared" si="456"/>
        <v>-54.610535577280324</v>
      </c>
      <c r="AO46" s="525">
        <f t="shared" si="116"/>
        <v>24.126241920524311</v>
      </c>
      <c r="AP46" s="528">
        <f t="shared" si="457"/>
        <v>-20.058154872851475</v>
      </c>
      <c r="AQ46" s="529">
        <f t="shared" si="274"/>
        <v>0.6648078386544739</v>
      </c>
      <c r="AS46" s="932">
        <f t="shared" si="461"/>
        <v>69.203746189830213</v>
      </c>
      <c r="AT46" s="928">
        <f t="shared" si="275"/>
        <v>-0.55342107119158945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5.1180000000000003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-3.4045777697294319</v>
      </c>
      <c r="C47" s="572">
        <f t="shared" si="258"/>
        <v>1.3742826131514803</v>
      </c>
      <c r="D47" s="576">
        <f t="shared" si="259"/>
        <v>-1.4845383576854225</v>
      </c>
      <c r="E47" s="580">
        <f t="shared" si="260"/>
        <v>-0.76777363900814244</v>
      </c>
      <c r="F47" s="572">
        <f t="shared" si="261"/>
        <v>-0.63514437498586074</v>
      </c>
      <c r="G47" s="579">
        <f t="shared" si="262"/>
        <v>8.4352013420041089E-2</v>
      </c>
      <c r="H47" s="580">
        <f t="shared" si="263"/>
        <v>0.3125</v>
      </c>
      <c r="I47" s="572">
        <f t="shared" si="264"/>
        <v>0.52</v>
      </c>
      <c r="J47" s="483">
        <f t="shared" si="265"/>
        <v>5.1230000000000002</v>
      </c>
      <c r="K47" s="806">
        <f t="shared" si="266"/>
        <v>1613</v>
      </c>
      <c r="L47" s="309"/>
      <c r="M47" s="164">
        <f t="shared" si="267"/>
        <v>5.1230000000000002</v>
      </c>
      <c r="N47" s="575">
        <f t="shared" si="268"/>
        <v>-3.4045777697294319</v>
      </c>
      <c r="O47" s="572">
        <f t="shared" si="269"/>
        <v>1.3742826131514803</v>
      </c>
      <c r="P47" s="576">
        <f t="shared" si="270"/>
        <v>-1.4845383576854225</v>
      </c>
      <c r="Q47" s="528">
        <f t="shared" si="140"/>
        <v>158.01817476391321</v>
      </c>
      <c r="R47" s="572">
        <f t="shared" si="439"/>
        <v>3.6714850525293294</v>
      </c>
      <c r="S47" s="577">
        <f t="shared" si="440"/>
        <v>-1.4845383576854225</v>
      </c>
      <c r="T47" s="578">
        <f t="shared" si="441"/>
        <v>1.3343682611905383</v>
      </c>
      <c r="U47" s="572">
        <f t="shared" si="442"/>
        <v>3.4204186636249125</v>
      </c>
      <c r="V47" s="579">
        <f t="shared" si="443"/>
        <v>-1.4845383576854225</v>
      </c>
      <c r="W47" s="528">
        <f t="shared" si="253"/>
        <v>68.688328326530439</v>
      </c>
      <c r="X47" s="572">
        <f t="shared" si="444"/>
        <v>3.6714850525293294</v>
      </c>
      <c r="Y47" s="573">
        <f t="shared" si="255"/>
        <v>-1.4845383576854225</v>
      </c>
      <c r="Z47" s="575">
        <f t="shared" si="271"/>
        <v>0.76777363900814244</v>
      </c>
      <c r="AA47" s="572">
        <f t="shared" si="272"/>
        <v>0.63514437498586074</v>
      </c>
      <c r="AB47" s="572">
        <f t="shared" si="273"/>
        <v>-8.4352013420041089E-2</v>
      </c>
      <c r="AC47" s="579">
        <f t="shared" si="445"/>
        <v>1</v>
      </c>
      <c r="AD47" s="580">
        <f t="shared" si="446"/>
        <v>0.76777363900814244</v>
      </c>
      <c r="AE47" s="572">
        <f t="shared" si="447"/>
        <v>0.63514437498586074</v>
      </c>
      <c r="AF47" s="576">
        <f t="shared" si="448"/>
        <v>-8.4352013420041089E-2</v>
      </c>
      <c r="AG47" s="545">
        <f t="shared" si="449"/>
        <v>82.43495363354721</v>
      </c>
      <c r="AH47" s="546">
        <f t="shared" si="450"/>
        <v>39.845617627666783</v>
      </c>
      <c r="AI47" s="528">
        <f t="shared" si="451"/>
        <v>-85.161235847731959</v>
      </c>
      <c r="AJ47" s="529">
        <f t="shared" si="452"/>
        <v>129.59941440130007</v>
      </c>
      <c r="AK47" s="578">
        <f t="shared" si="453"/>
        <v>0.87635829549513977</v>
      </c>
      <c r="AL47" s="572">
        <f t="shared" si="454"/>
        <v>-0.47421606441456443</v>
      </c>
      <c r="AM47" s="577">
        <f t="shared" si="455"/>
        <v>-8.4352013420041089E-2</v>
      </c>
      <c r="AN47" s="524">
        <f t="shared" si="456"/>
        <v>-79.913905019697893</v>
      </c>
      <c r="AO47" s="525">
        <f t="shared" si="116"/>
        <v>28.793860688744381</v>
      </c>
      <c r="AP47" s="528">
        <f t="shared" si="457"/>
        <v>-28.41876036261311</v>
      </c>
      <c r="AQ47" s="529">
        <f t="shared" si="274"/>
        <v>0.62090335590947343</v>
      </c>
      <c r="AS47" s="932">
        <f t="shared" si="461"/>
        <v>68.688328326530439</v>
      </c>
      <c r="AT47" s="928">
        <f t="shared" si="275"/>
        <v>-1.2839180149937934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5.1230000000000002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-3.4046863117264525</v>
      </c>
      <c r="C48" s="572">
        <f t="shared" si="258"/>
        <v>1.387066817552473</v>
      </c>
      <c r="D48" s="576">
        <f t="shared" si="259"/>
        <v>-2.2313251316325768</v>
      </c>
      <c r="E48" s="580">
        <f t="shared" si="260"/>
        <v>-0.78512659568481269</v>
      </c>
      <c r="F48" s="572">
        <f t="shared" si="261"/>
        <v>-0.6178002825133394</v>
      </c>
      <c r="G48" s="579">
        <f t="shared" si="262"/>
        <v>4.3577972357774802E-2</v>
      </c>
      <c r="H48" s="580">
        <f t="shared" si="263"/>
        <v>0.3125</v>
      </c>
      <c r="I48" s="572">
        <f t="shared" si="264"/>
        <v>0.52</v>
      </c>
      <c r="J48" s="483">
        <f t="shared" si="265"/>
        <v>5.1280000000000001</v>
      </c>
      <c r="K48" s="806">
        <f t="shared" si="266"/>
        <v>1613</v>
      </c>
      <c r="L48" s="309"/>
      <c r="M48" s="164">
        <f t="shared" si="267"/>
        <v>5.1280000000000001</v>
      </c>
      <c r="N48" s="575">
        <f t="shared" si="268"/>
        <v>-3.4046863117264525</v>
      </c>
      <c r="O48" s="572">
        <f t="shared" si="269"/>
        <v>1.387066817552473</v>
      </c>
      <c r="P48" s="576">
        <f t="shared" si="270"/>
        <v>-2.2313251316325768</v>
      </c>
      <c r="Q48" s="528">
        <f t="shared" si="140"/>
        <v>157.8340526104657</v>
      </c>
      <c r="R48" s="572">
        <f t="shared" si="101"/>
        <v>3.6763899735491363</v>
      </c>
      <c r="S48" s="577">
        <f t="shared" si="102"/>
        <v>-2.2313251316325768</v>
      </c>
      <c r="T48" s="578">
        <f t="shared" si="103"/>
        <v>1.3471503216069225</v>
      </c>
      <c r="U48" s="572">
        <f t="shared" si="104"/>
        <v>3.4206767237795193</v>
      </c>
      <c r="V48" s="579">
        <f t="shared" si="141"/>
        <v>-2.2313251316325768</v>
      </c>
      <c r="W48" s="528">
        <f t="shared" si="253"/>
        <v>68.504206173082935</v>
      </c>
      <c r="X48" s="572">
        <f t="shared" si="105"/>
        <v>3.6763899735491363</v>
      </c>
      <c r="Y48" s="573">
        <f t="shared" si="255"/>
        <v>-2.2313251316325768</v>
      </c>
      <c r="Z48" s="575">
        <f t="shared" si="271"/>
        <v>0.78512659568481269</v>
      </c>
      <c r="AA48" s="572">
        <f t="shared" si="272"/>
        <v>0.6178002825133394</v>
      </c>
      <c r="AB48" s="572">
        <f t="shared" si="273"/>
        <v>-4.3577972357774802E-2</v>
      </c>
      <c r="AC48" s="579">
        <f t="shared" si="106"/>
        <v>1</v>
      </c>
      <c r="AD48" s="580">
        <f t="shared" si="142"/>
        <v>0.78512659568481269</v>
      </c>
      <c r="AE48" s="572">
        <f t="shared" si="107"/>
        <v>0.6178002825133394</v>
      </c>
      <c r="AF48" s="576">
        <f t="shared" si="108"/>
        <v>-4.3577972357774802E-2</v>
      </c>
      <c r="AG48" s="545">
        <f t="shared" si="109"/>
        <v>85.965192514008692</v>
      </c>
      <c r="AH48" s="546">
        <f t="shared" si="110"/>
        <v>38.267611669352675</v>
      </c>
      <c r="AI48" s="528">
        <f t="shared" si="111"/>
        <v>-87.502375163624507</v>
      </c>
      <c r="AJ48" s="529">
        <f t="shared" si="112"/>
        <v>128.19849354794812</v>
      </c>
      <c r="AK48" s="578">
        <f t="shared" si="238"/>
        <v>0.86836250688179994</v>
      </c>
      <c r="AL48" s="572">
        <f t="shared" si="113"/>
        <v>-0.49401165671180391</v>
      </c>
      <c r="AM48" s="577">
        <f t="shared" si="114"/>
        <v>-4.3577972357774802E-2</v>
      </c>
      <c r="AN48" s="524">
        <f t="shared" si="115"/>
        <v>-84.958848408102128</v>
      </c>
      <c r="AO48" s="525">
        <f t="shared" si="116"/>
        <v>29.731093753399225</v>
      </c>
      <c r="AP48" s="528">
        <f t="shared" si="117"/>
        <v>-29.635559062517586</v>
      </c>
      <c r="AQ48" s="529">
        <f t="shared" si="274"/>
        <v>0.62007503138665532</v>
      </c>
      <c r="AS48" s="932">
        <f t="shared" si="461"/>
        <v>68.504206173082935</v>
      </c>
      <c r="AT48" s="928">
        <f t="shared" si="275"/>
        <v>-2.0305769263343869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5.1280000000000001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-2.5701642382198835</v>
      </c>
      <c r="C49" s="572">
        <f t="shared" si="258"/>
        <v>2.2569553069755797</v>
      </c>
      <c r="D49" s="576">
        <f t="shared" si="259"/>
        <v>-0.793165610718508</v>
      </c>
      <c r="E49" s="580">
        <f t="shared" si="260"/>
        <v>-0.61761578780865045</v>
      </c>
      <c r="F49" s="572">
        <f t="shared" si="261"/>
        <v>0.54235103315112865</v>
      </c>
      <c r="G49" s="579">
        <f t="shared" si="262"/>
        <v>0.56956658565035534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5.218</v>
      </c>
      <c r="K49" s="806" t="str">
        <f t="shared" si="266"/>
        <v>CPS-32193r1</v>
      </c>
      <c r="L49" s="309"/>
      <c r="M49" s="164">
        <f t="shared" si="267"/>
        <v>5.218</v>
      </c>
      <c r="N49" s="575">
        <f t="shared" si="268"/>
        <v>-2.5701642382198835</v>
      </c>
      <c r="O49" s="572">
        <f t="shared" si="269"/>
        <v>2.2569553069755797</v>
      </c>
      <c r="P49" s="576">
        <f t="shared" si="270"/>
        <v>-0.793165610718508</v>
      </c>
      <c r="Q49" s="528">
        <f t="shared" si="140"/>
        <v>138.71244775523817</v>
      </c>
      <c r="R49" s="572">
        <f t="shared" si="101"/>
        <v>3.4204665572271904</v>
      </c>
      <c r="S49" s="577">
        <f t="shared" si="102"/>
        <v>-0.793165610718508</v>
      </c>
      <c r="T49" s="578">
        <f t="shared" si="103"/>
        <v>2.2267399788420481</v>
      </c>
      <c r="U49" s="572">
        <f t="shared" si="104"/>
        <v>2.5963860529081848</v>
      </c>
      <c r="V49" s="579">
        <f t="shared" si="141"/>
        <v>-0.793165610718508</v>
      </c>
      <c r="W49" s="528">
        <f t="shared" si="253"/>
        <v>49.382601317855404</v>
      </c>
      <c r="X49" s="572">
        <f t="shared" si="105"/>
        <v>3.4204665572271904</v>
      </c>
      <c r="Y49" s="573">
        <f t="shared" si="255"/>
        <v>-0.793165610718508</v>
      </c>
      <c r="Z49" s="575">
        <f t="shared" si="271"/>
        <v>0.61761578780865045</v>
      </c>
      <c r="AA49" s="572">
        <f t="shared" si="272"/>
        <v>-0.54235103315112865</v>
      </c>
      <c r="AB49" s="572">
        <f t="shared" si="273"/>
        <v>-0.56956658565035534</v>
      </c>
      <c r="AC49" s="579">
        <f t="shared" si="106"/>
        <v>1</v>
      </c>
      <c r="AD49" s="580">
        <f t="shared" si="142"/>
        <v>0.61761578780865045</v>
      </c>
      <c r="AE49" s="572">
        <f t="shared" si="107"/>
        <v>-0.54235103315112865</v>
      </c>
      <c r="AF49" s="576">
        <f t="shared" si="108"/>
        <v>-0.56956658565035534</v>
      </c>
      <c r="AG49" s="545">
        <f t="shared" si="109"/>
        <v>-43.597895213888059</v>
      </c>
      <c r="AH49" s="546">
        <f t="shared" si="110"/>
        <v>51.857765056156943</v>
      </c>
      <c r="AI49" s="528">
        <f t="shared" si="111"/>
        <v>-55.279992018556641</v>
      </c>
      <c r="AJ49" s="529">
        <f t="shared" si="112"/>
        <v>48.71244775523818</v>
      </c>
      <c r="AK49" s="578">
        <f t="shared" si="238"/>
        <v>1.6653345369377348E-16</v>
      </c>
      <c r="AL49" s="572">
        <f t="shared" si="113"/>
        <v>-0.82194519556391143</v>
      </c>
      <c r="AM49" s="577">
        <f t="shared" si="114"/>
        <v>-0.56956658565035534</v>
      </c>
      <c r="AN49" s="524">
        <f t="shared" si="115"/>
        <v>-55.279992018556641</v>
      </c>
      <c r="AO49" s="525">
        <f t="shared" si="116"/>
        <v>0</v>
      </c>
      <c r="AP49" s="528">
        <f t="shared" si="117"/>
        <v>-89.999999999999986</v>
      </c>
      <c r="AQ49" s="529">
        <f t="shared" si="274"/>
        <v>0.66646575086422988</v>
      </c>
      <c r="AS49" s="932">
        <f t="shared" si="461"/>
        <v>49.382601317855404</v>
      </c>
      <c r="AT49" s="928">
        <f t="shared" si="275"/>
        <v>-0.57913851315974352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5.218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0.11799999999999999</v>
      </c>
      <c r="IK49" s="677" cm="1">
        <f t="array" ref="IK49">IFERROR(ROUND(VALUE(IF($IJ49&lt;1,$IJ49+LARGE((IF($M$9:$M$150="",0,$M$9:$M$150)-MOD(IF($M$9:$M$150="",0,$M$9:$M$150),1)),1),$IJ49)),4),"")</f>
        <v>5.1180000000000003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19.821144871974809</v>
      </c>
      <c r="IO49" s="702">
        <v>4.3404321065838303E-2</v>
      </c>
      <c r="IP49" s="5">
        <f t="shared" si="428"/>
        <v>1.5</v>
      </c>
      <c r="IQ49" s="714">
        <v>750</v>
      </c>
      <c r="IR49" s="9">
        <f t="shared" si="429"/>
        <v>-3.4289973594508538</v>
      </c>
      <c r="IS49" s="5">
        <f t="shared" si="430"/>
        <v>-0.75368348481148251</v>
      </c>
      <c r="IT49" s="5">
        <f t="shared" si="431"/>
        <v>0.3125</v>
      </c>
      <c r="IU49" s="5">
        <f t="shared" si="432"/>
        <v>0.28520220716047795</v>
      </c>
      <c r="IV49" s="670">
        <f t="shared" si="433"/>
        <v>54.610535577280324</v>
      </c>
      <c r="IW49" s="9">
        <f t="shared" si="434"/>
        <v>-3.4204665572271904</v>
      </c>
      <c r="IX49" s="5">
        <f t="shared" si="435"/>
        <v>-0.793165610718508</v>
      </c>
      <c r="IY49" s="5">
        <f t="shared" si="436"/>
        <v>0.255</v>
      </c>
      <c r="IZ49" s="5">
        <f t="shared" si="437"/>
        <v>0.255</v>
      </c>
      <c r="JA49" s="705">
        <f t="shared" si="438"/>
        <v>55.279992018556641</v>
      </c>
    </row>
    <row r="50" spans="1:261" ht="15" customHeight="1" x14ac:dyDescent="0.25">
      <c r="A50" s="75">
        <f t="shared" si="256"/>
        <v>0</v>
      </c>
      <c r="B50" s="578">
        <f t="shared" si="257"/>
        <v>-2.7048052855862088</v>
      </c>
      <c r="C50" s="572">
        <f t="shared" si="258"/>
        <v>2.4507154493242846</v>
      </c>
      <c r="D50" s="576">
        <f t="shared" si="259"/>
        <v>-1.5224478892884616</v>
      </c>
      <c r="E50" s="580">
        <f t="shared" si="260"/>
        <v>-0.73822582279856097</v>
      </c>
      <c r="F50" s="572">
        <f t="shared" si="261"/>
        <v>0.66887677226291142</v>
      </c>
      <c r="G50" s="579">
        <f t="shared" si="262"/>
        <v>8.7329823545779839E-2</v>
      </c>
      <c r="H50" s="580">
        <f t="shared" si="263"/>
        <v>0.255</v>
      </c>
      <c r="I50" s="572">
        <f t="shared" si="264"/>
        <v>0.41499999999999992</v>
      </c>
      <c r="J50" s="483">
        <f t="shared" si="265"/>
        <v>5.2229999999999999</v>
      </c>
      <c r="K50" s="806" t="str">
        <f t="shared" si="266"/>
        <v>CPS-32193r1</v>
      </c>
      <c r="L50" s="309"/>
      <c r="M50" s="164">
        <f t="shared" si="267"/>
        <v>5.2229999999999999</v>
      </c>
      <c r="N50" s="575">
        <f t="shared" si="268"/>
        <v>-2.7048052855862088</v>
      </c>
      <c r="O50" s="572">
        <f t="shared" si="269"/>
        <v>2.4507154493242846</v>
      </c>
      <c r="P50" s="576">
        <f t="shared" si="270"/>
        <v>-1.5224478892884616</v>
      </c>
      <c r="Q50" s="528">
        <f t="shared" si="140"/>
        <v>137.82153941917224</v>
      </c>
      <c r="R50" s="572">
        <f t="shared" si="101"/>
        <v>3.6499284714212994</v>
      </c>
      <c r="S50" s="577">
        <f t="shared" si="102"/>
        <v>-1.5224478892884616</v>
      </c>
      <c r="T50" s="578">
        <f t="shared" si="103"/>
        <v>2.4189120898439227</v>
      </c>
      <c r="U50" s="572">
        <f t="shared" si="104"/>
        <v>2.7332841323394703</v>
      </c>
      <c r="V50" s="579">
        <f t="shared" si="141"/>
        <v>-1.5224478892884616</v>
      </c>
      <c r="W50" s="528">
        <f t="shared" si="253"/>
        <v>48.49169298178947</v>
      </c>
      <c r="X50" s="572">
        <f t="shared" si="105"/>
        <v>3.6499284714212994</v>
      </c>
      <c r="Y50" s="573">
        <f t="shared" si="255"/>
        <v>-1.5224478892884616</v>
      </c>
      <c r="Z50" s="575">
        <f t="shared" si="271"/>
        <v>0.73822582279856097</v>
      </c>
      <c r="AA50" s="572">
        <f t="shared" si="272"/>
        <v>-0.66887677226291142</v>
      </c>
      <c r="AB50" s="572">
        <f t="shared" si="273"/>
        <v>-8.7329823545779839E-2</v>
      </c>
      <c r="AC50" s="579">
        <f t="shared" si="106"/>
        <v>1</v>
      </c>
      <c r="AD50" s="580">
        <f t="shared" si="142"/>
        <v>0.73822582279856097</v>
      </c>
      <c r="AE50" s="572">
        <f t="shared" si="107"/>
        <v>-0.66887677226291142</v>
      </c>
      <c r="AF50" s="576">
        <f t="shared" si="108"/>
        <v>-8.7329823545779839E-2</v>
      </c>
      <c r="AG50" s="545">
        <f t="shared" si="109"/>
        <v>-82.561430586092825</v>
      </c>
      <c r="AH50" s="546">
        <f t="shared" si="110"/>
        <v>42.41949860070865</v>
      </c>
      <c r="AI50" s="528">
        <f t="shared" si="111"/>
        <v>-84.98998772896401</v>
      </c>
      <c r="AJ50" s="529">
        <f t="shared" si="112"/>
        <v>47.821539419172225</v>
      </c>
      <c r="AK50" s="578">
        <f t="shared" si="238"/>
        <v>-2.2204460492503131E-16</v>
      </c>
      <c r="AL50" s="572">
        <f t="shared" si="113"/>
        <v>-0.99617945266877639</v>
      </c>
      <c r="AM50" s="577">
        <f t="shared" si="114"/>
        <v>-8.7329823545779839E-2</v>
      </c>
      <c r="AN50" s="524">
        <f t="shared" si="115"/>
        <v>-84.98998772896401</v>
      </c>
      <c r="AO50" s="525">
        <f t="shared" si="116"/>
        <v>0</v>
      </c>
      <c r="AP50" s="528">
        <f t="shared" si="117"/>
        <v>-90.000000000000014</v>
      </c>
      <c r="AQ50" s="529">
        <f t="shared" si="274"/>
        <v>0.62457013910580361</v>
      </c>
      <c r="AS50" s="932">
        <f t="shared" si="461"/>
        <v>48.49169298178947</v>
      </c>
      <c r="AT50" s="928">
        <f t="shared" si="275"/>
        <v>-1.3078021053852069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5.2229999999999999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0.123</v>
      </c>
      <c r="IK50" s="677" cm="1">
        <f t="array" ref="IK50">IFERROR(ROUND(VALUE(IF($IJ50&lt;1,$IJ50+LARGE((IF($M$9:$M$150="",0,$M$9:$M$150)-MOD(IF($M$9:$M$150="",0,$M$9:$M$150),1)),1),$IJ50)),4),"")</f>
        <v>5.1230000000000002</v>
      </c>
      <c r="IL50" s="482">
        <f t="shared" si="426"/>
        <v>1613</v>
      </c>
      <c r="IM50" s="482" t="str">
        <f t="shared" si="237"/>
        <v>CPS-32193r1</v>
      </c>
      <c r="IN50" s="670">
        <f t="shared" si="427"/>
        <v>20.196635344740969</v>
      </c>
      <c r="IO50" s="702">
        <v>3.3797964162342597E-2</v>
      </c>
      <c r="IP50" s="5">
        <f t="shared" si="428"/>
        <v>1.72</v>
      </c>
      <c r="IQ50" s="714">
        <v>860</v>
      </c>
      <c r="IR50" s="9">
        <f t="shared" si="429"/>
        <v>-3.6714850525293294</v>
      </c>
      <c r="IS50" s="5">
        <f t="shared" si="430"/>
        <v>-1.4845383576854225</v>
      </c>
      <c r="IT50" s="5">
        <f t="shared" si="431"/>
        <v>0.3125</v>
      </c>
      <c r="IU50" s="5">
        <f t="shared" si="432"/>
        <v>0.27386196734223117</v>
      </c>
      <c r="IV50" s="670">
        <f t="shared" si="433"/>
        <v>79.913905019697893</v>
      </c>
      <c r="IW50" s="9">
        <f t="shared" si="434"/>
        <v>-3.6499284714212994</v>
      </c>
      <c r="IX50" s="5">
        <f t="shared" si="435"/>
        <v>-1.5224478892884616</v>
      </c>
      <c r="IY50" s="5">
        <f t="shared" si="436"/>
        <v>0.255</v>
      </c>
      <c r="IZ50" s="5">
        <f t="shared" si="437"/>
        <v>0.255</v>
      </c>
      <c r="JA50" s="705">
        <f t="shared" si="438"/>
        <v>84.98998772896401</v>
      </c>
    </row>
    <row r="51" spans="1:261" ht="15" customHeight="1" x14ac:dyDescent="0.25">
      <c r="A51" s="75">
        <f t="shared" si="256"/>
        <v>0</v>
      </c>
      <c r="B51" s="578">
        <f t="shared" si="257"/>
        <v>-2.6231515301518753</v>
      </c>
      <c r="C51" s="572">
        <f t="shared" si="258"/>
        <v>2.5410088332899776</v>
      </c>
      <c r="D51" s="576">
        <f t="shared" si="259"/>
        <v>-2.2704368305643672</v>
      </c>
      <c r="E51" s="580">
        <f t="shared" si="260"/>
        <v>-0.71553015480730442</v>
      </c>
      <c r="F51" s="572">
        <f t="shared" si="261"/>
        <v>0.69312368079073106</v>
      </c>
      <c r="G51" s="579">
        <f t="shared" si="262"/>
        <v>8.7155956127759199E-2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5.2279999999999998</v>
      </c>
      <c r="K51" s="806" t="str">
        <f t="shared" si="266"/>
        <v>CPS-32193r1</v>
      </c>
      <c r="L51" s="309"/>
      <c r="M51" s="164">
        <f t="shared" si="267"/>
        <v>5.2279999999999998</v>
      </c>
      <c r="N51" s="575">
        <f t="shared" si="268"/>
        <v>-2.6231515301518753</v>
      </c>
      <c r="O51" s="572">
        <f t="shared" si="269"/>
        <v>2.5410088332899776</v>
      </c>
      <c r="P51" s="576">
        <f t="shared" si="270"/>
        <v>-2.2704368305643672</v>
      </c>
      <c r="Q51" s="528">
        <f t="shared" si="140"/>
        <v>135.91128715061674</v>
      </c>
      <c r="R51" s="572">
        <f t="shared" si="101"/>
        <v>3.652074731025615</v>
      </c>
      <c r="S51" s="577">
        <f t="shared" si="102"/>
        <v>-2.2704368305643672</v>
      </c>
      <c r="T51" s="578">
        <f t="shared" si="103"/>
        <v>2.5101543296457107</v>
      </c>
      <c r="U51" s="572">
        <f t="shared" si="104"/>
        <v>2.6526920443874955</v>
      </c>
      <c r="V51" s="579">
        <f t="shared" si="141"/>
        <v>-2.2704368305643672</v>
      </c>
      <c r="W51" s="528">
        <f t="shared" si="253"/>
        <v>46.581440713233974</v>
      </c>
      <c r="X51" s="572">
        <f t="shared" si="105"/>
        <v>3.652074731025615</v>
      </c>
      <c r="Y51" s="573">
        <f t="shared" si="255"/>
        <v>-2.2704368305643672</v>
      </c>
      <c r="Z51" s="575">
        <f t="shared" si="271"/>
        <v>0.71553015480730442</v>
      </c>
      <c r="AA51" s="572">
        <f t="shared" si="272"/>
        <v>-0.69312368079073106</v>
      </c>
      <c r="AB51" s="572">
        <f t="shared" si="273"/>
        <v>-8.7155956127759199E-2</v>
      </c>
      <c r="AC51" s="579">
        <f t="shared" si="106"/>
        <v>1</v>
      </c>
      <c r="AD51" s="580">
        <f t="shared" si="142"/>
        <v>0.71553015480730442</v>
      </c>
      <c r="AE51" s="572">
        <f t="shared" si="107"/>
        <v>-0.69312368079073106</v>
      </c>
      <c r="AF51" s="576">
        <f t="shared" si="108"/>
        <v>-8.7155956127759199E-2</v>
      </c>
      <c r="AG51" s="545">
        <f t="shared" si="109"/>
        <v>-82.833030555893814</v>
      </c>
      <c r="AH51" s="546">
        <f t="shared" si="110"/>
        <v>44.313335867829977</v>
      </c>
      <c r="AI51" s="528">
        <f t="shared" si="111"/>
        <v>-84.999987727520178</v>
      </c>
      <c r="AJ51" s="529">
        <f t="shared" si="112"/>
        <v>45.911287150616722</v>
      </c>
      <c r="AK51" s="578">
        <f t="shared" si="238"/>
        <v>-4.4408920985006262E-16</v>
      </c>
      <c r="AL51" s="572">
        <f t="shared" si="113"/>
        <v>-0.99619467942338269</v>
      </c>
      <c r="AM51" s="577">
        <f t="shared" si="114"/>
        <v>-8.7155956127759199E-2</v>
      </c>
      <c r="AN51" s="524">
        <f t="shared" si="115"/>
        <v>-84.999987727520178</v>
      </c>
      <c r="AO51" s="525">
        <f t="shared" si="116"/>
        <v>0</v>
      </c>
      <c r="AP51" s="528">
        <f t="shared" si="117"/>
        <v>-90.000000000000028</v>
      </c>
      <c r="AQ51" s="529">
        <f t="shared" si="274"/>
        <v>0.62420311935318606</v>
      </c>
      <c r="AS51" s="932">
        <f t="shared" si="461"/>
        <v>46.581440713233974</v>
      </c>
      <c r="AT51" s="928">
        <f t="shared" si="275"/>
        <v>-2.0544644825857268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5.2279999999999998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0.128</v>
      </c>
      <c r="IK51" s="677" cm="1">
        <f t="array" ref="IK51">IFERROR(ROUND(VALUE(IF($IJ51&lt;1,$IJ51+LARGE((IF($M$9:$M$150="",0,$M$9:$M$150)-MOD(IF($M$9:$M$150="",0,$M$9:$M$150),1)),1),$IJ51)),4),"")</f>
        <v>5.1280000000000001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21.922765459848961</v>
      </c>
      <c r="IO51" s="702">
        <v>3.02693411401341E-2</v>
      </c>
      <c r="IP51" s="5">
        <f t="shared" si="428"/>
        <v>1.7</v>
      </c>
      <c r="IQ51" s="714">
        <v>850</v>
      </c>
      <c r="IR51" s="9">
        <f t="shared" si="429"/>
        <v>-3.6763899735491363</v>
      </c>
      <c r="IS51" s="5">
        <f t="shared" si="430"/>
        <v>-2.2313251316325768</v>
      </c>
      <c r="IT51" s="5">
        <f t="shared" si="431"/>
        <v>0.3125</v>
      </c>
      <c r="IU51" s="5">
        <f t="shared" si="432"/>
        <v>0.27136328340056254</v>
      </c>
      <c r="IV51" s="670">
        <f t="shared" si="433"/>
        <v>84.958848408102128</v>
      </c>
      <c r="IW51" s="9">
        <f t="shared" si="434"/>
        <v>-3.652074731025615</v>
      </c>
      <c r="IX51" s="5">
        <f t="shared" si="435"/>
        <v>-2.2704368305643672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84.999987727520178</v>
      </c>
    </row>
    <row r="52" spans="1:261" ht="15" customHeight="1" x14ac:dyDescent="0.25">
      <c r="A52" s="75" t="str">
        <f t="shared" si="256"/>
        <v/>
      </c>
      <c r="B52" s="578" t="str">
        <f t="shared" si="257"/>
        <v/>
      </c>
      <c r="C52" s="572" t="str">
        <f t="shared" si="258"/>
        <v/>
      </c>
      <c r="D52" s="576" t="str">
        <f t="shared" si="259"/>
        <v/>
      </c>
      <c r="E52" s="580" t="str">
        <f t="shared" si="260"/>
        <v/>
      </c>
      <c r="F52" s="572" t="str">
        <f t="shared" si="261"/>
        <v/>
      </c>
      <c r="G52" s="579" t="str">
        <f t="shared" si="262"/>
        <v/>
      </c>
      <c r="H52" s="580" t="str">
        <f t="shared" si="263"/>
        <v/>
      </c>
      <c r="I52" s="572" t="str">
        <f t="shared" si="264"/>
        <v/>
      </c>
      <c r="J52" s="483" t="str">
        <f t="shared" si="265"/>
        <v/>
      </c>
      <c r="K52" s="806" t="str">
        <f t="shared" si="266"/>
        <v/>
      </c>
      <c r="L52" s="309"/>
      <c r="M52" s="164" t="str">
        <f t="shared" si="267"/>
        <v/>
      </c>
      <c r="N52" s="575" t="str">
        <f t="shared" si="268"/>
        <v/>
      </c>
      <c r="O52" s="572" t="str">
        <f t="shared" si="269"/>
        <v/>
      </c>
      <c r="P52" s="576" t="str">
        <f t="shared" si="270"/>
        <v/>
      </c>
      <c r="Q52" s="528" t="str">
        <f t="shared" si="140"/>
        <v/>
      </c>
      <c r="R52" s="572" t="str">
        <f t="shared" si="101"/>
        <v/>
      </c>
      <c r="S52" s="577" t="str">
        <f t="shared" si="102"/>
        <v/>
      </c>
      <c r="T52" s="578" t="str">
        <f t="shared" si="103"/>
        <v/>
      </c>
      <c r="U52" s="572" t="str">
        <f t="shared" si="104"/>
        <v/>
      </c>
      <c r="V52" s="579" t="str">
        <f t="shared" si="141"/>
        <v/>
      </c>
      <c r="W52" s="528" t="str">
        <f t="shared" si="253"/>
        <v/>
      </c>
      <c r="X52" s="572" t="str">
        <f t="shared" si="105"/>
        <v/>
      </c>
      <c r="Y52" s="573" t="str">
        <f t="shared" si="255"/>
        <v/>
      </c>
      <c r="Z52" s="575" t="str">
        <f t="shared" si="271"/>
        <v/>
      </c>
      <c r="AA52" s="572" t="str">
        <f t="shared" si="272"/>
        <v/>
      </c>
      <c r="AB52" s="572" t="str">
        <f t="shared" si="273"/>
        <v/>
      </c>
      <c r="AC52" s="579" t="str">
        <f t="shared" si="106"/>
        <v/>
      </c>
      <c r="AD52" s="580" t="str">
        <f t="shared" si="142"/>
        <v/>
      </c>
      <c r="AE52" s="572" t="str">
        <f t="shared" si="107"/>
        <v/>
      </c>
      <c r="AF52" s="576" t="str">
        <f t="shared" si="108"/>
        <v/>
      </c>
      <c r="AG52" s="545" t="str">
        <f t="shared" si="109"/>
        <v/>
      </c>
      <c r="AH52" s="546" t="str">
        <f t="shared" si="110"/>
        <v/>
      </c>
      <c r="AI52" s="528" t="str">
        <f t="shared" si="111"/>
        <v/>
      </c>
      <c r="AJ52" s="529" t="str">
        <f t="shared" si="112"/>
        <v/>
      </c>
      <c r="AK52" s="578" t="str">
        <f t="shared" si="238"/>
        <v/>
      </c>
      <c r="AL52" s="572" t="str">
        <f t="shared" si="113"/>
        <v/>
      </c>
      <c r="AM52" s="577" t="str">
        <f t="shared" si="114"/>
        <v/>
      </c>
      <c r="AN52" s="524" t="str">
        <f t="shared" si="115"/>
        <v/>
      </c>
      <c r="AO52" s="525" t="str">
        <f t="shared" si="116"/>
        <v/>
      </c>
      <c r="AP52" s="528" t="str">
        <f t="shared" si="117"/>
        <v/>
      </c>
      <c r="AQ52" s="529" t="str">
        <f t="shared" si="274"/>
        <v/>
      </c>
      <c r="AS52" s="932" t="str">
        <f t="shared" si="461"/>
        <v/>
      </c>
      <c r="AT52" s="928" t="str">
        <f t="shared" si="275"/>
        <v/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36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26"/>
        <v/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 t="str">
        <f t="shared" si="256"/>
        <v/>
      </c>
      <c r="B53" s="578" t="str">
        <f t="shared" si="257"/>
        <v/>
      </c>
      <c r="C53" s="572" t="str">
        <f t="shared" si="258"/>
        <v/>
      </c>
      <c r="D53" s="576" t="str">
        <f t="shared" si="259"/>
        <v/>
      </c>
      <c r="E53" s="580" t="str">
        <f t="shared" si="260"/>
        <v/>
      </c>
      <c r="F53" s="572" t="str">
        <f t="shared" si="261"/>
        <v/>
      </c>
      <c r="G53" s="579" t="str">
        <f t="shared" si="262"/>
        <v/>
      </c>
      <c r="H53" s="580" t="str">
        <f t="shared" si="263"/>
        <v/>
      </c>
      <c r="I53" s="572" t="str">
        <f t="shared" si="264"/>
        <v/>
      </c>
      <c r="J53" s="483" t="str">
        <f t="shared" si="265"/>
        <v/>
      </c>
      <c r="K53" s="806" t="str">
        <f t="shared" si="266"/>
        <v/>
      </c>
      <c r="L53" s="309"/>
      <c r="M53" s="164" t="str">
        <f t="shared" si="267"/>
        <v/>
      </c>
      <c r="N53" s="575" t="str">
        <f t="shared" si="268"/>
        <v/>
      </c>
      <c r="O53" s="572" t="str">
        <f t="shared" si="269"/>
        <v/>
      </c>
      <c r="P53" s="576" t="str">
        <f t="shared" si="270"/>
        <v/>
      </c>
      <c r="Q53" s="528" t="str">
        <f t="shared" si="140"/>
        <v/>
      </c>
      <c r="R53" s="572" t="str">
        <f t="shared" ref="R53:R58" si="464">IF(M53="","",SQRT(N53^2+O53^2))</f>
        <v/>
      </c>
      <c r="S53" s="577" t="str">
        <f t="shared" ref="S53:S58" si="465">IF(M53="","",P53)</f>
        <v/>
      </c>
      <c r="T53" s="578" t="str">
        <f t="shared" ref="T53:T58" si="466">IF(M53="","",X53*COS(RADIANS(W53)))</f>
        <v/>
      </c>
      <c r="U53" s="572" t="str">
        <f t="shared" ref="U53:U58" si="467">IF(M53="","",X53*SIN(RADIANS(W53)))</f>
        <v/>
      </c>
      <c r="V53" s="579" t="str">
        <f t="shared" ref="V53:V58" si="468">IF(M53="","",Y53)</f>
        <v/>
      </c>
      <c r="W53" s="528" t="str">
        <f t="shared" si="253"/>
        <v/>
      </c>
      <c r="X53" s="572" t="str">
        <f t="shared" ref="X53:X58" si="469">IF(M53="","",R53)</f>
        <v/>
      </c>
      <c r="Y53" s="573" t="str">
        <f t="shared" si="255"/>
        <v/>
      </c>
      <c r="Z53" s="575" t="str">
        <f t="shared" si="271"/>
        <v/>
      </c>
      <c r="AA53" s="572" t="str">
        <f t="shared" si="272"/>
        <v/>
      </c>
      <c r="AB53" s="572" t="str">
        <f t="shared" si="273"/>
        <v/>
      </c>
      <c r="AC53" s="579" t="str">
        <f t="shared" ref="AC53:AC58" si="470">IF(M53="","",SQRT(Z53^2+AA53^2+AB53^2))</f>
        <v/>
      </c>
      <c r="AD53" s="580" t="str">
        <f t="shared" ref="AD53:AD58" si="471">IF(M53="","",Z53*(1/SQRT(Z53^2+AA53^2+AB53^2)))</f>
        <v/>
      </c>
      <c r="AE53" s="572" t="str">
        <f t="shared" ref="AE53:AE58" si="472">IF(M53="","",AA53*(1/SQRT(Z53^2+AA53^2+AB53^2)))</f>
        <v/>
      </c>
      <c r="AF53" s="576" t="str">
        <f t="shared" ref="AF53:AF58" si="473">IF(M53="","",AB53*(1/SQRT(Z53^2+AA53^2+AB53^2)))</f>
        <v/>
      </c>
      <c r="AG53" s="545" t="str">
        <f t="shared" ref="AG53:AG58" si="474">IF(M53="","",DEGREES(ATAN2(-AF53,AE53)))</f>
        <v/>
      </c>
      <c r="AH53" s="546" t="str">
        <f t="shared" ref="AH53:AH58" si="475">IF(M53="","",DEGREES(ACOS(AD53)))</f>
        <v/>
      </c>
      <c r="AI53" s="528" t="str">
        <f t="shared" ref="AI53:AI58" si="476">IF(M53="","",DEGREES(-ACOS(-AF53)))</f>
        <v/>
      </c>
      <c r="AJ53" s="529" t="str">
        <f t="shared" ref="AJ53:AJ58" si="477">IF(M53="","",DEGREES(ATAN2(-AE53,AD53)))</f>
        <v/>
      </c>
      <c r="AK53" s="578" t="str">
        <f t="shared" ref="AK53:AK58" si="478">IF(M53="","",(COS(RADIANS((90-$Q$8)-W53))*AD53)+(-SIN(RADIANS((90-$Q$8)-W53))*AE53))</f>
        <v/>
      </c>
      <c r="AL53" s="572" t="str">
        <f t="shared" ref="AL53:AL58" si="479">IF(M53="","",(SIN(RADIANS((90-$Q$8)-W53))*AD53)+(COS(RADIANS((90-$Q$8)-W53))*AE53))</f>
        <v/>
      </c>
      <c r="AM53" s="577" t="str">
        <f t="shared" ref="AM53:AM58" si="480">IF(M53="","",AF53)</f>
        <v/>
      </c>
      <c r="AN53" s="524" t="str">
        <f t="shared" ref="AN53:AN58" si="481">IF(M53="","",DEGREES(ATAN2(-AM53,AL53)))</f>
        <v/>
      </c>
      <c r="AO53" s="525" t="str">
        <f t="shared" si="116"/>
        <v/>
      </c>
      <c r="AP53" s="528" t="str">
        <f t="shared" ref="AP53:AP58" si="482">IF(M53="","",DEGREES(ATAN2(AK53,AL53)))</f>
        <v/>
      </c>
      <c r="AQ53" s="529" t="str">
        <f t="shared" si="274"/>
        <v/>
      </c>
      <c r="AS53" s="932" t="str">
        <f t="shared" si="461"/>
        <v/>
      </c>
      <c r="AT53" s="928" t="str">
        <f t="shared" si="275"/>
        <v/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36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26"/>
        <v/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 t="str">
        <f t="shared" si="256"/>
        <v/>
      </c>
      <c r="B54" s="578" t="str">
        <f t="shared" si="257"/>
        <v/>
      </c>
      <c r="C54" s="572" t="str">
        <f t="shared" si="258"/>
        <v/>
      </c>
      <c r="D54" s="576" t="str">
        <f t="shared" si="259"/>
        <v/>
      </c>
      <c r="E54" s="580" t="str">
        <f t="shared" si="260"/>
        <v/>
      </c>
      <c r="F54" s="572" t="str">
        <f t="shared" si="261"/>
        <v/>
      </c>
      <c r="G54" s="579" t="str">
        <f t="shared" si="262"/>
        <v/>
      </c>
      <c r="H54" s="580" t="str">
        <f t="shared" si="263"/>
        <v/>
      </c>
      <c r="I54" s="572" t="str">
        <f t="shared" si="264"/>
        <v/>
      </c>
      <c r="J54" s="483" t="str">
        <f t="shared" si="265"/>
        <v/>
      </c>
      <c r="K54" s="806" t="str">
        <f t="shared" si="266"/>
        <v/>
      </c>
      <c r="L54" s="309"/>
      <c r="M54" s="164" t="str">
        <f t="shared" si="267"/>
        <v/>
      </c>
      <c r="N54" s="575" t="str">
        <f t="shared" si="268"/>
        <v/>
      </c>
      <c r="O54" s="572" t="str">
        <f t="shared" si="269"/>
        <v/>
      </c>
      <c r="P54" s="576" t="str">
        <f t="shared" si="270"/>
        <v/>
      </c>
      <c r="Q54" s="528" t="str">
        <f t="shared" si="140"/>
        <v/>
      </c>
      <c r="R54" s="572" t="str">
        <f t="shared" si="464"/>
        <v/>
      </c>
      <c r="S54" s="577" t="str">
        <f t="shared" si="465"/>
        <v/>
      </c>
      <c r="T54" s="578" t="str">
        <f t="shared" si="466"/>
        <v/>
      </c>
      <c r="U54" s="572" t="str">
        <f t="shared" si="467"/>
        <v/>
      </c>
      <c r="V54" s="579" t="str">
        <f t="shared" si="468"/>
        <v/>
      </c>
      <c r="W54" s="528" t="str">
        <f t="shared" si="253"/>
        <v/>
      </c>
      <c r="X54" s="572" t="str">
        <f t="shared" si="469"/>
        <v/>
      </c>
      <c r="Y54" s="573" t="str">
        <f t="shared" si="255"/>
        <v/>
      </c>
      <c r="Z54" s="575" t="str">
        <f t="shared" si="271"/>
        <v/>
      </c>
      <c r="AA54" s="572" t="str">
        <f t="shared" si="272"/>
        <v/>
      </c>
      <c r="AB54" s="572" t="str">
        <f t="shared" si="273"/>
        <v/>
      </c>
      <c r="AC54" s="579" t="str">
        <f t="shared" si="470"/>
        <v/>
      </c>
      <c r="AD54" s="580" t="str">
        <f t="shared" si="471"/>
        <v/>
      </c>
      <c r="AE54" s="572" t="str">
        <f t="shared" si="472"/>
        <v/>
      </c>
      <c r="AF54" s="576" t="str">
        <f t="shared" si="473"/>
        <v/>
      </c>
      <c r="AG54" s="545" t="str">
        <f t="shared" si="474"/>
        <v/>
      </c>
      <c r="AH54" s="546" t="str">
        <f t="shared" si="475"/>
        <v/>
      </c>
      <c r="AI54" s="528" t="str">
        <f t="shared" si="476"/>
        <v/>
      </c>
      <c r="AJ54" s="529" t="str">
        <f t="shared" si="477"/>
        <v/>
      </c>
      <c r="AK54" s="578" t="str">
        <f t="shared" si="478"/>
        <v/>
      </c>
      <c r="AL54" s="572" t="str">
        <f t="shared" si="479"/>
        <v/>
      </c>
      <c r="AM54" s="577" t="str">
        <f t="shared" si="480"/>
        <v/>
      </c>
      <c r="AN54" s="524" t="str">
        <f t="shared" si="481"/>
        <v/>
      </c>
      <c r="AO54" s="525" t="str">
        <f t="shared" si="116"/>
        <v/>
      </c>
      <c r="AP54" s="528" t="str">
        <f t="shared" si="482"/>
        <v/>
      </c>
      <c r="AQ54" s="529" t="str">
        <f t="shared" si="274"/>
        <v/>
      </c>
      <c r="AS54" s="932" t="str">
        <f t="shared" si="461"/>
        <v/>
      </c>
      <c r="AT54" s="928" t="str">
        <f t="shared" si="275"/>
        <v/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36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26"/>
        <v/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 t="str">
        <f t="shared" si="256"/>
        <v/>
      </c>
      <c r="B55" s="578" t="str">
        <f t="shared" ref="B55:B118" si="515">IFERROR(Q210+($A55*-E55),"")</f>
        <v/>
      </c>
      <c r="C55" s="572" t="str">
        <f t="shared" ref="C55:C118" si="516">IFERROR(R210+($A55*-F55),"")</f>
        <v/>
      </c>
      <c r="D55" s="576" t="str">
        <f t="shared" ref="D55:D118" si="517">IFERROR(S210+($A55*-G55),"")</f>
        <v/>
      </c>
      <c r="E55" s="580" t="str">
        <f t="shared" ref="E55:E118" si="518">T210</f>
        <v/>
      </c>
      <c r="F55" s="572" t="str">
        <f t="shared" ref="F55:F118" si="519">U210</f>
        <v/>
      </c>
      <c r="G55" s="579" t="str">
        <f t="shared" ref="G55:G118" si="520">V210</f>
        <v/>
      </c>
      <c r="H55" s="580" t="str">
        <f t="shared" ref="H55:H118" si="521">W210</f>
        <v/>
      </c>
      <c r="I55" s="572" t="str">
        <f t="shared" ref="I55:I118" si="522">X210</f>
        <v/>
      </c>
      <c r="J55" s="483" t="str">
        <f t="shared" ref="J55:J118" si="523">IF(Y210=0,"",Y210)</f>
        <v/>
      </c>
      <c r="K55" s="806" t="str">
        <f t="shared" ref="K55:K118" si="524">Z210</f>
        <v/>
      </c>
      <c r="L55" s="309"/>
      <c r="M55" s="164" t="str">
        <f t="shared" si="267"/>
        <v/>
      </c>
      <c r="N55" s="575" t="str">
        <f t="shared" si="268"/>
        <v/>
      </c>
      <c r="O55" s="572" t="str">
        <f t="shared" si="269"/>
        <v/>
      </c>
      <c r="P55" s="576" t="str">
        <f t="shared" si="270"/>
        <v/>
      </c>
      <c r="Q55" s="528" t="str">
        <f t="shared" si="140"/>
        <v/>
      </c>
      <c r="R55" s="572" t="str">
        <f t="shared" si="464"/>
        <v/>
      </c>
      <c r="S55" s="577" t="str">
        <f t="shared" si="465"/>
        <v/>
      </c>
      <c r="T55" s="578" t="str">
        <f t="shared" si="466"/>
        <v/>
      </c>
      <c r="U55" s="572" t="str">
        <f t="shared" si="467"/>
        <v/>
      </c>
      <c r="V55" s="579" t="str">
        <f t="shared" si="468"/>
        <v/>
      </c>
      <c r="W55" s="528" t="str">
        <f t="shared" si="253"/>
        <v/>
      </c>
      <c r="X55" s="572" t="str">
        <f t="shared" si="469"/>
        <v/>
      </c>
      <c r="Y55" s="573" t="str">
        <f t="shared" si="255"/>
        <v/>
      </c>
      <c r="Z55" s="575" t="str">
        <f t="shared" si="271"/>
        <v/>
      </c>
      <c r="AA55" s="572" t="str">
        <f t="shared" si="272"/>
        <v/>
      </c>
      <c r="AB55" s="572" t="str">
        <f t="shared" si="273"/>
        <v/>
      </c>
      <c r="AC55" s="579" t="str">
        <f t="shared" si="470"/>
        <v/>
      </c>
      <c r="AD55" s="580" t="str">
        <f t="shared" si="471"/>
        <v/>
      </c>
      <c r="AE55" s="572" t="str">
        <f t="shared" si="472"/>
        <v/>
      </c>
      <c r="AF55" s="576" t="str">
        <f t="shared" si="473"/>
        <v/>
      </c>
      <c r="AG55" s="545" t="str">
        <f t="shared" si="474"/>
        <v/>
      </c>
      <c r="AH55" s="546" t="str">
        <f t="shared" si="475"/>
        <v/>
      </c>
      <c r="AI55" s="528" t="str">
        <f t="shared" si="476"/>
        <v/>
      </c>
      <c r="AJ55" s="529" t="str">
        <f t="shared" si="477"/>
        <v/>
      </c>
      <c r="AK55" s="578" t="str">
        <f t="shared" si="478"/>
        <v/>
      </c>
      <c r="AL55" s="572" t="str">
        <f t="shared" si="479"/>
        <v/>
      </c>
      <c r="AM55" s="577" t="str">
        <f t="shared" si="480"/>
        <v/>
      </c>
      <c r="AN55" s="524" t="str">
        <f t="shared" si="481"/>
        <v/>
      </c>
      <c r="AO55" s="525" t="str">
        <f>IF(ROUND(IF(M55="",0,DEGREES(ACOS(AK55))),4)=90,0,IF(M55="","",DEGREES(ACOS(AK55))))</f>
        <v/>
      </c>
      <c r="AP55" s="528" t="str">
        <f t="shared" si="482"/>
        <v/>
      </c>
      <c r="AQ55" s="529" t="str">
        <f t="shared" si="274"/>
        <v/>
      </c>
      <c r="AS55" s="932" t="str">
        <f t="shared" si="461"/>
        <v/>
      </c>
      <c r="AT55" s="928" t="str">
        <f t="shared" si="275"/>
        <v/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36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26"/>
        <v/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 t="str">
        <f t="shared" si="256"/>
        <v/>
      </c>
      <c r="B56" s="578" t="str">
        <f t="shared" si="515"/>
        <v/>
      </c>
      <c r="C56" s="572" t="str">
        <f t="shared" si="516"/>
        <v/>
      </c>
      <c r="D56" s="576" t="str">
        <f t="shared" si="517"/>
        <v/>
      </c>
      <c r="E56" s="580" t="str">
        <f t="shared" si="518"/>
        <v/>
      </c>
      <c r="F56" s="572" t="str">
        <f t="shared" si="519"/>
        <v/>
      </c>
      <c r="G56" s="579" t="str">
        <f t="shared" si="520"/>
        <v/>
      </c>
      <c r="H56" s="580" t="str">
        <f t="shared" si="521"/>
        <v/>
      </c>
      <c r="I56" s="572" t="str">
        <f t="shared" si="522"/>
        <v/>
      </c>
      <c r="J56" s="483" t="str">
        <f t="shared" si="523"/>
        <v/>
      </c>
      <c r="K56" s="806" t="str">
        <f t="shared" si="524"/>
        <v/>
      </c>
      <c r="L56" s="309"/>
      <c r="M56" s="164" t="str">
        <f t="shared" si="267"/>
        <v/>
      </c>
      <c r="N56" s="575" t="str">
        <f t="shared" si="268"/>
        <v/>
      </c>
      <c r="O56" s="572" t="str">
        <f t="shared" si="269"/>
        <v/>
      </c>
      <c r="P56" s="576" t="str">
        <f t="shared" si="270"/>
        <v/>
      </c>
      <c r="Q56" s="528" t="str">
        <f t="shared" si="140"/>
        <v/>
      </c>
      <c r="R56" s="572" t="str">
        <f t="shared" si="464"/>
        <v/>
      </c>
      <c r="S56" s="577" t="str">
        <f t="shared" si="465"/>
        <v/>
      </c>
      <c r="T56" s="578" t="str">
        <f t="shared" si="466"/>
        <v/>
      </c>
      <c r="U56" s="572" t="str">
        <f t="shared" si="467"/>
        <v/>
      </c>
      <c r="V56" s="579" t="str">
        <f t="shared" si="468"/>
        <v/>
      </c>
      <c r="W56" s="528" t="str">
        <f t="shared" si="253"/>
        <v/>
      </c>
      <c r="X56" s="572" t="str">
        <f t="shared" si="469"/>
        <v/>
      </c>
      <c r="Y56" s="573" t="str">
        <f t="shared" si="255"/>
        <v/>
      </c>
      <c r="Z56" s="575" t="str">
        <f t="shared" si="271"/>
        <v/>
      </c>
      <c r="AA56" s="572" t="str">
        <f t="shared" si="272"/>
        <v/>
      </c>
      <c r="AB56" s="572" t="str">
        <f t="shared" si="273"/>
        <v/>
      </c>
      <c r="AC56" s="579" t="str">
        <f t="shared" si="470"/>
        <v/>
      </c>
      <c r="AD56" s="580" t="str">
        <f t="shared" si="471"/>
        <v/>
      </c>
      <c r="AE56" s="572" t="str">
        <f t="shared" si="472"/>
        <v/>
      </c>
      <c r="AF56" s="576" t="str">
        <f t="shared" si="473"/>
        <v/>
      </c>
      <c r="AG56" s="545" t="str">
        <f t="shared" si="474"/>
        <v/>
      </c>
      <c r="AH56" s="546" t="str">
        <f t="shared" si="475"/>
        <v/>
      </c>
      <c r="AI56" s="528" t="str">
        <f t="shared" si="476"/>
        <v/>
      </c>
      <c r="AJ56" s="529" t="str">
        <f t="shared" si="477"/>
        <v/>
      </c>
      <c r="AK56" s="578" t="str">
        <f t="shared" si="478"/>
        <v/>
      </c>
      <c r="AL56" s="572" t="str">
        <f t="shared" si="479"/>
        <v/>
      </c>
      <c r="AM56" s="577" t="str">
        <f t="shared" si="480"/>
        <v/>
      </c>
      <c r="AN56" s="524" t="str">
        <f t="shared" si="481"/>
        <v/>
      </c>
      <c r="AO56" s="525" t="str">
        <f t="shared" ref="AO56:AO119" si="525">IF(ROUND(IF(M56="",0,DEGREES(ACOS(AK56))),4)=90,0,IF(M56="","",DEGREES(ACOS(AK56))))</f>
        <v/>
      </c>
      <c r="AP56" s="528" t="str">
        <f t="shared" si="482"/>
        <v/>
      </c>
      <c r="AQ56" s="529" t="str">
        <f t="shared" si="274"/>
        <v/>
      </c>
      <c r="AS56" s="932" t="str">
        <f t="shared" si="461"/>
        <v/>
      </c>
      <c r="AT56" s="928" t="str">
        <f t="shared" si="275"/>
        <v/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36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26"/>
        <v/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 t="str">
        <f t="shared" si="256"/>
        <v/>
      </c>
      <c r="B57" s="578" t="str">
        <f t="shared" si="515"/>
        <v/>
      </c>
      <c r="C57" s="572" t="str">
        <f t="shared" si="516"/>
        <v/>
      </c>
      <c r="D57" s="576" t="str">
        <f t="shared" si="517"/>
        <v/>
      </c>
      <c r="E57" s="580" t="str">
        <f t="shared" si="518"/>
        <v/>
      </c>
      <c r="F57" s="572" t="str">
        <f t="shared" si="519"/>
        <v/>
      </c>
      <c r="G57" s="579" t="str">
        <f t="shared" si="520"/>
        <v/>
      </c>
      <c r="H57" s="580" t="str">
        <f t="shared" si="521"/>
        <v/>
      </c>
      <c r="I57" s="572" t="str">
        <f t="shared" si="522"/>
        <v/>
      </c>
      <c r="J57" s="483" t="str">
        <f t="shared" si="523"/>
        <v/>
      </c>
      <c r="K57" s="806" t="str">
        <f t="shared" si="524"/>
        <v/>
      </c>
      <c r="L57" s="309"/>
      <c r="M57" s="164" t="str">
        <f t="shared" si="267"/>
        <v/>
      </c>
      <c r="N57" s="575" t="str">
        <f t="shared" si="268"/>
        <v/>
      </c>
      <c r="O57" s="572" t="str">
        <f t="shared" si="269"/>
        <v/>
      </c>
      <c r="P57" s="576" t="str">
        <f t="shared" si="270"/>
        <v/>
      </c>
      <c r="Q57" s="528" t="str">
        <f t="shared" si="140"/>
        <v/>
      </c>
      <c r="R57" s="572" t="str">
        <f t="shared" si="464"/>
        <v/>
      </c>
      <c r="S57" s="577" t="str">
        <f t="shared" si="465"/>
        <v/>
      </c>
      <c r="T57" s="578" t="str">
        <f t="shared" si="466"/>
        <v/>
      </c>
      <c r="U57" s="572" t="str">
        <f t="shared" si="467"/>
        <v/>
      </c>
      <c r="V57" s="579" t="str">
        <f t="shared" si="468"/>
        <v/>
      </c>
      <c r="W57" s="528" t="str">
        <f t="shared" si="253"/>
        <v/>
      </c>
      <c r="X57" s="572" t="str">
        <f t="shared" si="469"/>
        <v/>
      </c>
      <c r="Y57" s="573" t="str">
        <f t="shared" si="255"/>
        <v/>
      </c>
      <c r="Z57" s="575" t="str">
        <f t="shared" si="271"/>
        <v/>
      </c>
      <c r="AA57" s="572" t="str">
        <f t="shared" si="272"/>
        <v/>
      </c>
      <c r="AB57" s="572" t="str">
        <f t="shared" si="273"/>
        <v/>
      </c>
      <c r="AC57" s="579" t="str">
        <f t="shared" si="470"/>
        <v/>
      </c>
      <c r="AD57" s="580" t="str">
        <f t="shared" si="471"/>
        <v/>
      </c>
      <c r="AE57" s="572" t="str">
        <f t="shared" si="472"/>
        <v/>
      </c>
      <c r="AF57" s="576" t="str">
        <f t="shared" si="473"/>
        <v/>
      </c>
      <c r="AG57" s="545" t="str">
        <f t="shared" si="474"/>
        <v/>
      </c>
      <c r="AH57" s="546" t="str">
        <f t="shared" si="475"/>
        <v/>
      </c>
      <c r="AI57" s="528" t="str">
        <f t="shared" si="476"/>
        <v/>
      </c>
      <c r="AJ57" s="529" t="str">
        <f t="shared" si="477"/>
        <v/>
      </c>
      <c r="AK57" s="578" t="str">
        <f t="shared" si="478"/>
        <v/>
      </c>
      <c r="AL57" s="572" t="str">
        <f t="shared" si="479"/>
        <v/>
      </c>
      <c r="AM57" s="577" t="str">
        <f t="shared" si="480"/>
        <v/>
      </c>
      <c r="AN57" s="524" t="str">
        <f t="shared" si="481"/>
        <v/>
      </c>
      <c r="AO57" s="525" t="str">
        <f t="shared" si="525"/>
        <v/>
      </c>
      <c r="AP57" s="528" t="str">
        <f t="shared" si="482"/>
        <v/>
      </c>
      <c r="AQ57" s="529" t="str">
        <f t="shared" si="274"/>
        <v/>
      </c>
      <c r="AS57" s="932" t="str">
        <f t="shared" si="461"/>
        <v/>
      </c>
      <c r="AT57" s="928" t="str">
        <f t="shared" si="275"/>
        <v/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36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26"/>
        <v/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 t="str">
        <f t="shared" si="256"/>
        <v/>
      </c>
      <c r="B58" s="578" t="str">
        <f t="shared" si="515"/>
        <v/>
      </c>
      <c r="C58" s="572" t="str">
        <f t="shared" si="516"/>
        <v/>
      </c>
      <c r="D58" s="576" t="str">
        <f t="shared" si="517"/>
        <v/>
      </c>
      <c r="E58" s="580" t="str">
        <f t="shared" si="518"/>
        <v/>
      </c>
      <c r="F58" s="572" t="str">
        <f t="shared" si="519"/>
        <v/>
      </c>
      <c r="G58" s="579" t="str">
        <f t="shared" si="520"/>
        <v/>
      </c>
      <c r="H58" s="580" t="str">
        <f t="shared" si="521"/>
        <v/>
      </c>
      <c r="I58" s="572" t="str">
        <f t="shared" si="522"/>
        <v/>
      </c>
      <c r="J58" s="483" t="str">
        <f t="shared" si="523"/>
        <v/>
      </c>
      <c r="K58" s="806" t="str">
        <f t="shared" si="524"/>
        <v/>
      </c>
      <c r="L58" s="309"/>
      <c r="M58" s="164" t="str">
        <f t="shared" si="267"/>
        <v/>
      </c>
      <c r="N58" s="575" t="str">
        <f t="shared" si="268"/>
        <v/>
      </c>
      <c r="O58" s="572" t="str">
        <f t="shared" si="269"/>
        <v/>
      </c>
      <c r="P58" s="576" t="str">
        <f t="shared" si="270"/>
        <v/>
      </c>
      <c r="Q58" s="528" t="str">
        <f t="shared" si="140"/>
        <v/>
      </c>
      <c r="R58" s="572" t="str">
        <f t="shared" si="464"/>
        <v/>
      </c>
      <c r="S58" s="577" t="str">
        <f t="shared" si="465"/>
        <v/>
      </c>
      <c r="T58" s="578" t="str">
        <f t="shared" si="466"/>
        <v/>
      </c>
      <c r="U58" s="572" t="str">
        <f t="shared" si="467"/>
        <v/>
      </c>
      <c r="V58" s="579" t="str">
        <f t="shared" si="468"/>
        <v/>
      </c>
      <c r="W58" s="528" t="str">
        <f t="shared" si="253"/>
        <v/>
      </c>
      <c r="X58" s="572" t="str">
        <f t="shared" si="469"/>
        <v/>
      </c>
      <c r="Y58" s="573" t="str">
        <f t="shared" si="255"/>
        <v/>
      </c>
      <c r="Z58" s="575" t="str">
        <f t="shared" si="271"/>
        <v/>
      </c>
      <c r="AA58" s="572" t="str">
        <f t="shared" si="272"/>
        <v/>
      </c>
      <c r="AB58" s="572" t="str">
        <f t="shared" si="273"/>
        <v/>
      </c>
      <c r="AC58" s="579" t="str">
        <f t="shared" si="470"/>
        <v/>
      </c>
      <c r="AD58" s="580" t="str">
        <f t="shared" si="471"/>
        <v/>
      </c>
      <c r="AE58" s="572" t="str">
        <f t="shared" si="472"/>
        <v/>
      </c>
      <c r="AF58" s="576" t="str">
        <f t="shared" si="473"/>
        <v/>
      </c>
      <c r="AG58" s="545" t="str">
        <f t="shared" si="474"/>
        <v/>
      </c>
      <c r="AH58" s="546" t="str">
        <f t="shared" si="475"/>
        <v/>
      </c>
      <c r="AI58" s="528" t="str">
        <f t="shared" si="476"/>
        <v/>
      </c>
      <c r="AJ58" s="529" t="str">
        <f t="shared" si="477"/>
        <v/>
      </c>
      <c r="AK58" s="578" t="str">
        <f t="shared" si="478"/>
        <v/>
      </c>
      <c r="AL58" s="572" t="str">
        <f t="shared" si="479"/>
        <v/>
      </c>
      <c r="AM58" s="577" t="str">
        <f t="shared" si="480"/>
        <v/>
      </c>
      <c r="AN58" s="524" t="str">
        <f t="shared" si="481"/>
        <v/>
      </c>
      <c r="AO58" s="525" t="str">
        <f t="shared" si="525"/>
        <v/>
      </c>
      <c r="AP58" s="528" t="str">
        <f t="shared" si="482"/>
        <v/>
      </c>
      <c r="AQ58" s="529" t="str">
        <f t="shared" si="274"/>
        <v/>
      </c>
      <c r="AS58" s="932" t="str">
        <f t="shared" si="461"/>
        <v/>
      </c>
      <c r="AT58" s="928" t="str">
        <f t="shared" si="275"/>
        <v/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36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26"/>
        <v/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 t="str">
        <f t="shared" si="256"/>
        <v/>
      </c>
      <c r="B59" s="578" t="str">
        <f t="shared" si="515"/>
        <v/>
      </c>
      <c r="C59" s="572" t="str">
        <f t="shared" si="516"/>
        <v/>
      </c>
      <c r="D59" s="576" t="str">
        <f t="shared" si="517"/>
        <v/>
      </c>
      <c r="E59" s="580" t="str">
        <f t="shared" si="518"/>
        <v/>
      </c>
      <c r="F59" s="572" t="str">
        <f t="shared" si="519"/>
        <v/>
      </c>
      <c r="G59" s="579" t="str">
        <f t="shared" si="520"/>
        <v/>
      </c>
      <c r="H59" s="580" t="str">
        <f t="shared" si="521"/>
        <v/>
      </c>
      <c r="I59" s="572" t="str">
        <f t="shared" si="522"/>
        <v/>
      </c>
      <c r="J59" s="483" t="str">
        <f t="shared" si="523"/>
        <v/>
      </c>
      <c r="K59" s="806" t="str">
        <f t="shared" si="524"/>
        <v/>
      </c>
      <c r="L59" s="309"/>
      <c r="M59" s="164" t="str">
        <f t="shared" si="267"/>
        <v/>
      </c>
      <c r="N59" s="575" t="str">
        <f t="shared" si="268"/>
        <v/>
      </c>
      <c r="O59" s="572" t="str">
        <f t="shared" si="269"/>
        <v/>
      </c>
      <c r="P59" s="576" t="str">
        <f t="shared" si="270"/>
        <v/>
      </c>
      <c r="Q59" s="528" t="str">
        <f t="shared" si="140"/>
        <v/>
      </c>
      <c r="R59" s="572" t="str">
        <f t="shared" si="101"/>
        <v/>
      </c>
      <c r="S59" s="577" t="str">
        <f t="shared" si="102"/>
        <v/>
      </c>
      <c r="T59" s="578" t="str">
        <f t="shared" si="103"/>
        <v/>
      </c>
      <c r="U59" s="572" t="str">
        <f t="shared" si="104"/>
        <v/>
      </c>
      <c r="V59" s="579" t="str">
        <f t="shared" si="141"/>
        <v/>
      </c>
      <c r="W59" s="528" t="str">
        <f t="shared" si="253"/>
        <v/>
      </c>
      <c r="X59" s="572" t="str">
        <f t="shared" si="105"/>
        <v/>
      </c>
      <c r="Y59" s="573" t="str">
        <f t="shared" si="255"/>
        <v/>
      </c>
      <c r="Z59" s="575" t="str">
        <f t="shared" si="271"/>
        <v/>
      </c>
      <c r="AA59" s="572" t="str">
        <f t="shared" si="272"/>
        <v/>
      </c>
      <c r="AB59" s="572" t="str">
        <f t="shared" si="273"/>
        <v/>
      </c>
      <c r="AC59" s="579" t="str">
        <f t="shared" si="106"/>
        <v/>
      </c>
      <c r="AD59" s="580" t="str">
        <f t="shared" si="142"/>
        <v/>
      </c>
      <c r="AE59" s="572" t="str">
        <f t="shared" si="107"/>
        <v/>
      </c>
      <c r="AF59" s="576" t="str">
        <f t="shared" si="108"/>
        <v/>
      </c>
      <c r="AG59" s="545" t="str">
        <f t="shared" si="109"/>
        <v/>
      </c>
      <c r="AH59" s="546" t="str">
        <f t="shared" si="110"/>
        <v/>
      </c>
      <c r="AI59" s="528" t="str">
        <f t="shared" si="111"/>
        <v/>
      </c>
      <c r="AJ59" s="529" t="str">
        <f t="shared" si="112"/>
        <v/>
      </c>
      <c r="AK59" s="578" t="str">
        <f t="shared" si="238"/>
        <v/>
      </c>
      <c r="AL59" s="572" t="str">
        <f t="shared" si="113"/>
        <v/>
      </c>
      <c r="AM59" s="577" t="str">
        <f t="shared" si="114"/>
        <v/>
      </c>
      <c r="AN59" s="524" t="str">
        <f t="shared" si="115"/>
        <v/>
      </c>
      <c r="AO59" s="525" t="str">
        <f t="shared" si="525"/>
        <v/>
      </c>
      <c r="AP59" s="528" t="str">
        <f t="shared" si="117"/>
        <v/>
      </c>
      <c r="AQ59" s="529" t="str">
        <f t="shared" si="274"/>
        <v/>
      </c>
      <c r="AS59" s="932" t="str">
        <f t="shared" si="461"/>
        <v/>
      </c>
      <c r="AT59" s="928" t="str">
        <f t="shared" si="275"/>
        <v/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36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26"/>
        <v/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 t="str">
        <f t="shared" si="256"/>
        <v/>
      </c>
      <c r="B60" s="578" t="str">
        <f t="shared" si="515"/>
        <v/>
      </c>
      <c r="C60" s="572" t="str">
        <f t="shared" si="516"/>
        <v/>
      </c>
      <c r="D60" s="576" t="str">
        <f t="shared" si="517"/>
        <v/>
      </c>
      <c r="E60" s="580" t="str">
        <f t="shared" si="518"/>
        <v/>
      </c>
      <c r="F60" s="572" t="str">
        <f t="shared" si="519"/>
        <v/>
      </c>
      <c r="G60" s="579" t="str">
        <f t="shared" si="520"/>
        <v/>
      </c>
      <c r="H60" s="580" t="str">
        <f t="shared" si="521"/>
        <v/>
      </c>
      <c r="I60" s="572" t="str">
        <f t="shared" si="522"/>
        <v/>
      </c>
      <c r="J60" s="483" t="str">
        <f t="shared" si="523"/>
        <v/>
      </c>
      <c r="K60" s="806" t="str">
        <f t="shared" si="524"/>
        <v/>
      </c>
      <c r="L60" s="309"/>
      <c r="M60" s="164" t="str">
        <f t="shared" si="267"/>
        <v/>
      </c>
      <c r="N60" s="575" t="str">
        <f t="shared" si="268"/>
        <v/>
      </c>
      <c r="O60" s="572" t="str">
        <f t="shared" si="269"/>
        <v/>
      </c>
      <c r="P60" s="576" t="str">
        <f t="shared" si="270"/>
        <v/>
      </c>
      <c r="Q60" s="528" t="str">
        <f t="shared" si="140"/>
        <v/>
      </c>
      <c r="R60" s="572" t="str">
        <f t="shared" si="101"/>
        <v/>
      </c>
      <c r="S60" s="577" t="str">
        <f t="shared" si="102"/>
        <v/>
      </c>
      <c r="T60" s="578" t="str">
        <f t="shared" si="103"/>
        <v/>
      </c>
      <c r="U60" s="572" t="str">
        <f t="shared" si="104"/>
        <v/>
      </c>
      <c r="V60" s="579" t="str">
        <f t="shared" si="141"/>
        <v/>
      </c>
      <c r="W60" s="528" t="str">
        <f t="shared" si="253"/>
        <v/>
      </c>
      <c r="X60" s="572" t="str">
        <f t="shared" si="105"/>
        <v/>
      </c>
      <c r="Y60" s="573" t="str">
        <f t="shared" si="255"/>
        <v/>
      </c>
      <c r="Z60" s="575" t="str">
        <f t="shared" si="271"/>
        <v/>
      </c>
      <c r="AA60" s="572" t="str">
        <f t="shared" si="272"/>
        <v/>
      </c>
      <c r="AB60" s="572" t="str">
        <f t="shared" si="273"/>
        <v/>
      </c>
      <c r="AC60" s="579" t="str">
        <f t="shared" si="106"/>
        <v/>
      </c>
      <c r="AD60" s="580" t="str">
        <f t="shared" si="142"/>
        <v/>
      </c>
      <c r="AE60" s="572" t="str">
        <f t="shared" si="107"/>
        <v/>
      </c>
      <c r="AF60" s="576" t="str">
        <f t="shared" si="108"/>
        <v/>
      </c>
      <c r="AG60" s="545" t="str">
        <f t="shared" si="109"/>
        <v/>
      </c>
      <c r="AH60" s="546" t="str">
        <f t="shared" si="110"/>
        <v/>
      </c>
      <c r="AI60" s="528" t="str">
        <f t="shared" si="111"/>
        <v/>
      </c>
      <c r="AJ60" s="529" t="str">
        <f t="shared" si="112"/>
        <v/>
      </c>
      <c r="AK60" s="578" t="str">
        <f t="shared" si="238"/>
        <v/>
      </c>
      <c r="AL60" s="572" t="str">
        <f t="shared" si="113"/>
        <v/>
      </c>
      <c r="AM60" s="577" t="str">
        <f t="shared" si="114"/>
        <v/>
      </c>
      <c r="AN60" s="524" t="str">
        <f t="shared" si="115"/>
        <v/>
      </c>
      <c r="AO60" s="525" t="str">
        <f t="shared" si="525"/>
        <v/>
      </c>
      <c r="AP60" s="528" t="str">
        <f t="shared" si="117"/>
        <v/>
      </c>
      <c r="AQ60" s="529" t="str">
        <f t="shared" si="274"/>
        <v/>
      </c>
      <c r="AS60" s="932" t="str">
        <f t="shared" si="461"/>
        <v/>
      </c>
      <c r="AT60" s="928" t="str">
        <f t="shared" si="275"/>
        <v/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36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26"/>
        <v/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 t="str">
        <f t="shared" si="256"/>
        <v/>
      </c>
      <c r="B61" s="578" t="str">
        <f t="shared" si="515"/>
        <v/>
      </c>
      <c r="C61" s="572" t="str">
        <f t="shared" si="516"/>
        <v/>
      </c>
      <c r="D61" s="576" t="str">
        <f t="shared" si="517"/>
        <v/>
      </c>
      <c r="E61" s="580" t="str">
        <f t="shared" si="518"/>
        <v/>
      </c>
      <c r="F61" s="572" t="str">
        <f t="shared" si="519"/>
        <v/>
      </c>
      <c r="G61" s="579" t="str">
        <f t="shared" si="520"/>
        <v/>
      </c>
      <c r="H61" s="580" t="str">
        <f t="shared" si="521"/>
        <v/>
      </c>
      <c r="I61" s="572" t="str">
        <f t="shared" si="522"/>
        <v/>
      </c>
      <c r="J61" s="483" t="str">
        <f t="shared" si="523"/>
        <v/>
      </c>
      <c r="K61" s="806" t="str">
        <f t="shared" si="524"/>
        <v/>
      </c>
      <c r="L61" s="309"/>
      <c r="M61" s="164" t="str">
        <f t="shared" si="267"/>
        <v/>
      </c>
      <c r="N61" s="575" t="str">
        <f t="shared" si="268"/>
        <v/>
      </c>
      <c r="O61" s="572" t="str">
        <f t="shared" si="269"/>
        <v/>
      </c>
      <c r="P61" s="576" t="str">
        <f t="shared" si="270"/>
        <v/>
      </c>
      <c r="Q61" s="528" t="str">
        <f t="shared" si="140"/>
        <v/>
      </c>
      <c r="R61" s="572" t="str">
        <f t="shared" si="101"/>
        <v/>
      </c>
      <c r="S61" s="577" t="str">
        <f t="shared" si="102"/>
        <v/>
      </c>
      <c r="T61" s="578" t="str">
        <f t="shared" si="103"/>
        <v/>
      </c>
      <c r="U61" s="572" t="str">
        <f t="shared" si="104"/>
        <v/>
      </c>
      <c r="V61" s="579" t="str">
        <f t="shared" si="141"/>
        <v/>
      </c>
      <c r="W61" s="528" t="str">
        <f t="shared" si="253"/>
        <v/>
      </c>
      <c r="X61" s="572" t="str">
        <f t="shared" si="105"/>
        <v/>
      </c>
      <c r="Y61" s="573" t="str">
        <f t="shared" si="255"/>
        <v/>
      </c>
      <c r="Z61" s="575" t="str">
        <f t="shared" si="271"/>
        <v/>
      </c>
      <c r="AA61" s="572" t="str">
        <f t="shared" si="272"/>
        <v/>
      </c>
      <c r="AB61" s="572" t="str">
        <f t="shared" si="273"/>
        <v/>
      </c>
      <c r="AC61" s="579" t="str">
        <f t="shared" si="106"/>
        <v/>
      </c>
      <c r="AD61" s="580" t="str">
        <f t="shared" si="142"/>
        <v/>
      </c>
      <c r="AE61" s="572" t="str">
        <f t="shared" si="107"/>
        <v/>
      </c>
      <c r="AF61" s="576" t="str">
        <f t="shared" si="108"/>
        <v/>
      </c>
      <c r="AG61" s="545" t="str">
        <f t="shared" si="109"/>
        <v/>
      </c>
      <c r="AH61" s="546" t="str">
        <f t="shared" si="110"/>
        <v/>
      </c>
      <c r="AI61" s="528" t="str">
        <f t="shared" si="111"/>
        <v/>
      </c>
      <c r="AJ61" s="529" t="str">
        <f t="shared" si="112"/>
        <v/>
      </c>
      <c r="AK61" s="578" t="str">
        <f t="shared" si="238"/>
        <v/>
      </c>
      <c r="AL61" s="572" t="str">
        <f t="shared" si="113"/>
        <v/>
      </c>
      <c r="AM61" s="577" t="str">
        <f t="shared" si="114"/>
        <v/>
      </c>
      <c r="AN61" s="524" t="str">
        <f t="shared" si="115"/>
        <v/>
      </c>
      <c r="AO61" s="525" t="str">
        <f t="shared" si="525"/>
        <v/>
      </c>
      <c r="AP61" s="528" t="str">
        <f t="shared" si="117"/>
        <v/>
      </c>
      <c r="AQ61" s="529" t="str">
        <f t="shared" si="274"/>
        <v/>
      </c>
      <c r="AS61" s="932" t="str">
        <f t="shared" si="461"/>
        <v/>
      </c>
      <c r="AT61" s="928" t="str">
        <f t="shared" si="275"/>
        <v/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36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26"/>
        <v/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 t="str">
        <f t="shared" si="256"/>
        <v/>
      </c>
      <c r="B62" s="578" t="str">
        <f t="shared" si="515"/>
        <v/>
      </c>
      <c r="C62" s="572" t="str">
        <f t="shared" si="516"/>
        <v/>
      </c>
      <c r="D62" s="576" t="str">
        <f t="shared" si="517"/>
        <v/>
      </c>
      <c r="E62" s="580" t="str">
        <f t="shared" si="518"/>
        <v/>
      </c>
      <c r="F62" s="572" t="str">
        <f t="shared" si="519"/>
        <v/>
      </c>
      <c r="G62" s="579" t="str">
        <f t="shared" si="520"/>
        <v/>
      </c>
      <c r="H62" s="580" t="str">
        <f t="shared" si="521"/>
        <v/>
      </c>
      <c r="I62" s="572" t="str">
        <f t="shared" si="522"/>
        <v/>
      </c>
      <c r="J62" s="483" t="str">
        <f t="shared" si="523"/>
        <v/>
      </c>
      <c r="K62" s="806" t="str">
        <f t="shared" si="524"/>
        <v/>
      </c>
      <c r="L62" s="309"/>
      <c r="M62" s="164" t="str">
        <f t="shared" si="267"/>
        <v/>
      </c>
      <c r="N62" s="575" t="str">
        <f t="shared" si="268"/>
        <v/>
      </c>
      <c r="O62" s="572" t="str">
        <f t="shared" si="269"/>
        <v/>
      </c>
      <c r="P62" s="576" t="str">
        <f t="shared" si="270"/>
        <v/>
      </c>
      <c r="Q62" s="528" t="str">
        <f t="shared" si="140"/>
        <v/>
      </c>
      <c r="R62" s="572" t="str">
        <f t="shared" si="101"/>
        <v/>
      </c>
      <c r="S62" s="577" t="str">
        <f t="shared" si="102"/>
        <v/>
      </c>
      <c r="T62" s="578" t="str">
        <f t="shared" si="103"/>
        <v/>
      </c>
      <c r="U62" s="572" t="str">
        <f t="shared" si="104"/>
        <v/>
      </c>
      <c r="V62" s="579" t="str">
        <f t="shared" si="141"/>
        <v/>
      </c>
      <c r="W62" s="528" t="str">
        <f t="shared" si="253"/>
        <v/>
      </c>
      <c r="X62" s="572" t="str">
        <f t="shared" si="105"/>
        <v/>
      </c>
      <c r="Y62" s="573" t="str">
        <f t="shared" si="255"/>
        <v/>
      </c>
      <c r="Z62" s="575" t="str">
        <f t="shared" si="271"/>
        <v/>
      </c>
      <c r="AA62" s="572" t="str">
        <f t="shared" si="272"/>
        <v/>
      </c>
      <c r="AB62" s="572" t="str">
        <f t="shared" si="273"/>
        <v/>
      </c>
      <c r="AC62" s="579" t="str">
        <f t="shared" si="106"/>
        <v/>
      </c>
      <c r="AD62" s="580" t="str">
        <f t="shared" si="142"/>
        <v/>
      </c>
      <c r="AE62" s="572" t="str">
        <f t="shared" si="107"/>
        <v/>
      </c>
      <c r="AF62" s="576" t="str">
        <f t="shared" si="108"/>
        <v/>
      </c>
      <c r="AG62" s="545" t="str">
        <f t="shared" si="109"/>
        <v/>
      </c>
      <c r="AH62" s="546" t="str">
        <f t="shared" si="110"/>
        <v/>
      </c>
      <c r="AI62" s="528" t="str">
        <f t="shared" si="111"/>
        <v/>
      </c>
      <c r="AJ62" s="529" t="str">
        <f t="shared" si="112"/>
        <v/>
      </c>
      <c r="AK62" s="578" t="str">
        <f t="shared" si="238"/>
        <v/>
      </c>
      <c r="AL62" s="572" t="str">
        <f t="shared" si="113"/>
        <v/>
      </c>
      <c r="AM62" s="577" t="str">
        <f t="shared" si="114"/>
        <v/>
      </c>
      <c r="AN62" s="524" t="str">
        <f t="shared" si="115"/>
        <v/>
      </c>
      <c r="AO62" s="525" t="str">
        <f t="shared" si="525"/>
        <v/>
      </c>
      <c r="AP62" s="528" t="str">
        <f t="shared" si="117"/>
        <v/>
      </c>
      <c r="AQ62" s="529" t="str">
        <f t="shared" si="274"/>
        <v/>
      </c>
      <c r="AS62" s="932" t="str">
        <f t="shared" si="461"/>
        <v/>
      </c>
      <c r="AT62" s="928" t="str">
        <f t="shared" si="275"/>
        <v/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6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26"/>
        <v/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 t="str">
        <f t="shared" si="256"/>
        <v/>
      </c>
      <c r="B63" s="578" t="str">
        <f t="shared" si="515"/>
        <v/>
      </c>
      <c r="C63" s="572" t="str">
        <f t="shared" si="516"/>
        <v/>
      </c>
      <c r="D63" s="576" t="str">
        <f t="shared" si="517"/>
        <v/>
      </c>
      <c r="E63" s="580" t="str">
        <f t="shared" si="518"/>
        <v/>
      </c>
      <c r="F63" s="572" t="str">
        <f t="shared" si="519"/>
        <v/>
      </c>
      <c r="G63" s="579" t="str">
        <f t="shared" si="520"/>
        <v/>
      </c>
      <c r="H63" s="580" t="str">
        <f t="shared" si="521"/>
        <v/>
      </c>
      <c r="I63" s="572" t="str">
        <f t="shared" si="522"/>
        <v/>
      </c>
      <c r="J63" s="483" t="str">
        <f t="shared" si="523"/>
        <v/>
      </c>
      <c r="K63" s="806" t="str">
        <f t="shared" si="524"/>
        <v/>
      </c>
      <c r="L63" s="309"/>
      <c r="M63" s="164" t="str">
        <f t="shared" si="267"/>
        <v/>
      </c>
      <c r="N63" s="575" t="str">
        <f t="shared" si="268"/>
        <v/>
      </c>
      <c r="O63" s="572" t="str">
        <f t="shared" si="269"/>
        <v/>
      </c>
      <c r="P63" s="576" t="str">
        <f t="shared" si="270"/>
        <v/>
      </c>
      <c r="Q63" s="528" t="str">
        <f t="shared" si="140"/>
        <v/>
      </c>
      <c r="R63" s="572" t="str">
        <f t="shared" si="101"/>
        <v/>
      </c>
      <c r="S63" s="577" t="str">
        <f t="shared" si="102"/>
        <v/>
      </c>
      <c r="T63" s="578" t="str">
        <f t="shared" si="103"/>
        <v/>
      </c>
      <c r="U63" s="572" t="str">
        <f t="shared" si="104"/>
        <v/>
      </c>
      <c r="V63" s="579" t="str">
        <f t="shared" si="141"/>
        <v/>
      </c>
      <c r="W63" s="528" t="str">
        <f t="shared" si="253"/>
        <v/>
      </c>
      <c r="X63" s="572" t="str">
        <f t="shared" si="105"/>
        <v/>
      </c>
      <c r="Y63" s="573" t="str">
        <f t="shared" si="255"/>
        <v/>
      </c>
      <c r="Z63" s="575" t="str">
        <f t="shared" si="271"/>
        <v/>
      </c>
      <c r="AA63" s="572" t="str">
        <f t="shared" si="272"/>
        <v/>
      </c>
      <c r="AB63" s="572" t="str">
        <f t="shared" si="273"/>
        <v/>
      </c>
      <c r="AC63" s="579" t="str">
        <f t="shared" si="106"/>
        <v/>
      </c>
      <c r="AD63" s="580" t="str">
        <f t="shared" si="142"/>
        <v/>
      </c>
      <c r="AE63" s="572" t="str">
        <f t="shared" si="107"/>
        <v/>
      </c>
      <c r="AF63" s="576" t="str">
        <f t="shared" si="108"/>
        <v/>
      </c>
      <c r="AG63" s="545" t="str">
        <f t="shared" si="109"/>
        <v/>
      </c>
      <c r="AH63" s="546" t="str">
        <f t="shared" si="110"/>
        <v/>
      </c>
      <c r="AI63" s="528" t="str">
        <f t="shared" si="111"/>
        <v/>
      </c>
      <c r="AJ63" s="529" t="str">
        <f t="shared" si="112"/>
        <v/>
      </c>
      <c r="AK63" s="578" t="str">
        <f t="shared" si="238"/>
        <v/>
      </c>
      <c r="AL63" s="572" t="str">
        <f t="shared" si="113"/>
        <v/>
      </c>
      <c r="AM63" s="577" t="str">
        <f t="shared" si="114"/>
        <v/>
      </c>
      <c r="AN63" s="524" t="str">
        <f t="shared" si="115"/>
        <v/>
      </c>
      <c r="AO63" s="525" t="str">
        <f t="shared" si="525"/>
        <v/>
      </c>
      <c r="AP63" s="528" t="str">
        <f t="shared" si="117"/>
        <v/>
      </c>
      <c r="AQ63" s="529" t="str">
        <f t="shared" si="274"/>
        <v/>
      </c>
      <c r="AS63" s="932" t="str">
        <f t="shared" si="461"/>
        <v/>
      </c>
      <c r="AT63" s="928" t="str">
        <f t="shared" si="275"/>
        <v/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6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26"/>
        <v/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 t="str">
        <f t="shared" si="256"/>
        <v/>
      </c>
      <c r="B64" s="578" t="str">
        <f t="shared" si="515"/>
        <v/>
      </c>
      <c r="C64" s="572" t="str">
        <f t="shared" si="516"/>
        <v/>
      </c>
      <c r="D64" s="576" t="str">
        <f t="shared" si="517"/>
        <v/>
      </c>
      <c r="E64" s="580" t="str">
        <f t="shared" si="518"/>
        <v/>
      </c>
      <c r="F64" s="572" t="str">
        <f t="shared" si="519"/>
        <v/>
      </c>
      <c r="G64" s="579" t="str">
        <f t="shared" si="520"/>
        <v/>
      </c>
      <c r="H64" s="580" t="str">
        <f t="shared" si="521"/>
        <v/>
      </c>
      <c r="I64" s="572" t="str">
        <f t="shared" si="522"/>
        <v/>
      </c>
      <c r="J64" s="483" t="str">
        <f t="shared" si="523"/>
        <v/>
      </c>
      <c r="K64" s="806" t="str">
        <f t="shared" si="524"/>
        <v/>
      </c>
      <c r="L64" s="309"/>
      <c r="M64" s="164" t="str">
        <f t="shared" si="267"/>
        <v/>
      </c>
      <c r="N64" s="575" t="str">
        <f t="shared" si="268"/>
        <v/>
      </c>
      <c r="O64" s="572" t="str">
        <f t="shared" si="269"/>
        <v/>
      </c>
      <c r="P64" s="576" t="str">
        <f t="shared" si="270"/>
        <v/>
      </c>
      <c r="Q64" s="528" t="str">
        <f t="shared" si="140"/>
        <v/>
      </c>
      <c r="R64" s="572" t="str">
        <f t="shared" si="101"/>
        <v/>
      </c>
      <c r="S64" s="577" t="str">
        <f t="shared" si="102"/>
        <v/>
      </c>
      <c r="T64" s="578" t="str">
        <f t="shared" si="103"/>
        <v/>
      </c>
      <c r="U64" s="572" t="str">
        <f t="shared" si="104"/>
        <v/>
      </c>
      <c r="V64" s="579" t="str">
        <f t="shared" si="141"/>
        <v/>
      </c>
      <c r="W64" s="528" t="str">
        <f t="shared" si="253"/>
        <v/>
      </c>
      <c r="X64" s="572" t="str">
        <f t="shared" si="105"/>
        <v/>
      </c>
      <c r="Y64" s="573" t="str">
        <f t="shared" si="255"/>
        <v/>
      </c>
      <c r="Z64" s="575" t="str">
        <f t="shared" si="271"/>
        <v/>
      </c>
      <c r="AA64" s="572" t="str">
        <f t="shared" si="272"/>
        <v/>
      </c>
      <c r="AB64" s="572" t="str">
        <f t="shared" si="273"/>
        <v/>
      </c>
      <c r="AC64" s="579" t="str">
        <f t="shared" si="106"/>
        <v/>
      </c>
      <c r="AD64" s="580" t="str">
        <f t="shared" si="142"/>
        <v/>
      </c>
      <c r="AE64" s="572" t="str">
        <f t="shared" si="107"/>
        <v/>
      </c>
      <c r="AF64" s="576" t="str">
        <f t="shared" si="108"/>
        <v/>
      </c>
      <c r="AG64" s="545" t="str">
        <f t="shared" si="109"/>
        <v/>
      </c>
      <c r="AH64" s="546" t="str">
        <f t="shared" si="110"/>
        <v/>
      </c>
      <c r="AI64" s="528" t="str">
        <f t="shared" si="111"/>
        <v/>
      </c>
      <c r="AJ64" s="529" t="str">
        <f t="shared" si="112"/>
        <v/>
      </c>
      <c r="AK64" s="578" t="str">
        <f t="shared" si="238"/>
        <v/>
      </c>
      <c r="AL64" s="572" t="str">
        <f t="shared" si="113"/>
        <v/>
      </c>
      <c r="AM64" s="577" t="str">
        <f t="shared" si="114"/>
        <v/>
      </c>
      <c r="AN64" s="524" t="str">
        <f t="shared" si="115"/>
        <v/>
      </c>
      <c r="AO64" s="525" t="str">
        <f t="shared" si="525"/>
        <v/>
      </c>
      <c r="AP64" s="528" t="str">
        <f t="shared" si="117"/>
        <v/>
      </c>
      <c r="AQ64" s="529" t="str">
        <f t="shared" si="274"/>
        <v/>
      </c>
      <c r="AS64" s="932" t="str">
        <f t="shared" si="461"/>
        <v/>
      </c>
      <c r="AT64" s="928" t="str">
        <f t="shared" si="275"/>
        <v/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6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26"/>
        <v/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 t="str">
        <f t="shared" si="256"/>
        <v/>
      </c>
      <c r="B65" s="578" t="str">
        <f t="shared" si="515"/>
        <v/>
      </c>
      <c r="C65" s="572" t="str">
        <f t="shared" si="516"/>
        <v/>
      </c>
      <c r="D65" s="576" t="str">
        <f t="shared" si="517"/>
        <v/>
      </c>
      <c r="E65" s="580" t="str">
        <f t="shared" si="518"/>
        <v/>
      </c>
      <c r="F65" s="572" t="str">
        <f t="shared" si="519"/>
        <v/>
      </c>
      <c r="G65" s="579" t="str">
        <f t="shared" si="520"/>
        <v/>
      </c>
      <c r="H65" s="580" t="str">
        <f t="shared" si="521"/>
        <v/>
      </c>
      <c r="I65" s="572" t="str">
        <f t="shared" si="522"/>
        <v/>
      </c>
      <c r="J65" s="483" t="str">
        <f t="shared" si="523"/>
        <v/>
      </c>
      <c r="K65" s="806" t="str">
        <f t="shared" si="524"/>
        <v/>
      </c>
      <c r="L65" s="309"/>
      <c r="M65" s="164" t="str">
        <f t="shared" si="267"/>
        <v/>
      </c>
      <c r="N65" s="575" t="str">
        <f t="shared" si="268"/>
        <v/>
      </c>
      <c r="O65" s="572" t="str">
        <f t="shared" si="269"/>
        <v/>
      </c>
      <c r="P65" s="576" t="str">
        <f t="shared" si="270"/>
        <v/>
      </c>
      <c r="Q65" s="528" t="str">
        <f t="shared" si="140"/>
        <v/>
      </c>
      <c r="R65" s="572" t="str">
        <f t="shared" si="101"/>
        <v/>
      </c>
      <c r="S65" s="577" t="str">
        <f t="shared" si="102"/>
        <v/>
      </c>
      <c r="T65" s="578" t="str">
        <f t="shared" si="103"/>
        <v/>
      </c>
      <c r="U65" s="572" t="str">
        <f t="shared" si="104"/>
        <v/>
      </c>
      <c r="V65" s="579" t="str">
        <f t="shared" si="141"/>
        <v/>
      </c>
      <c r="W65" s="528" t="str">
        <f t="shared" si="253"/>
        <v/>
      </c>
      <c r="X65" s="572" t="str">
        <f t="shared" si="105"/>
        <v/>
      </c>
      <c r="Y65" s="573" t="str">
        <f t="shared" si="255"/>
        <v/>
      </c>
      <c r="Z65" s="575" t="str">
        <f t="shared" si="271"/>
        <v/>
      </c>
      <c r="AA65" s="572" t="str">
        <f t="shared" si="272"/>
        <v/>
      </c>
      <c r="AB65" s="572" t="str">
        <f t="shared" si="273"/>
        <v/>
      </c>
      <c r="AC65" s="579" t="str">
        <f t="shared" si="106"/>
        <v/>
      </c>
      <c r="AD65" s="580" t="str">
        <f t="shared" si="142"/>
        <v/>
      </c>
      <c r="AE65" s="572" t="str">
        <f t="shared" si="107"/>
        <v/>
      </c>
      <c r="AF65" s="576" t="str">
        <f t="shared" si="108"/>
        <v/>
      </c>
      <c r="AG65" s="545" t="str">
        <f t="shared" si="109"/>
        <v/>
      </c>
      <c r="AH65" s="546" t="str">
        <f t="shared" si="110"/>
        <v/>
      </c>
      <c r="AI65" s="528" t="str">
        <f t="shared" si="111"/>
        <v/>
      </c>
      <c r="AJ65" s="529" t="str">
        <f t="shared" si="112"/>
        <v/>
      </c>
      <c r="AK65" s="578" t="str">
        <f t="shared" si="238"/>
        <v/>
      </c>
      <c r="AL65" s="572" t="str">
        <f t="shared" si="113"/>
        <v/>
      </c>
      <c r="AM65" s="577" t="str">
        <f t="shared" si="114"/>
        <v/>
      </c>
      <c r="AN65" s="524" t="str">
        <f t="shared" si="115"/>
        <v/>
      </c>
      <c r="AO65" s="525" t="str">
        <f t="shared" si="525"/>
        <v/>
      </c>
      <c r="AP65" s="528" t="str">
        <f t="shared" si="117"/>
        <v/>
      </c>
      <c r="AQ65" s="529" t="str">
        <f t="shared" si="274"/>
        <v/>
      </c>
      <c r="AS65" s="932" t="str">
        <f t="shared" si="461"/>
        <v/>
      </c>
      <c r="AT65" s="928" t="str">
        <f t="shared" si="275"/>
        <v/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6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26"/>
        <v/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 t="str">
        <f t="shared" si="256"/>
        <v/>
      </c>
      <c r="B66" s="578" t="str">
        <f t="shared" si="515"/>
        <v/>
      </c>
      <c r="C66" s="572" t="str">
        <f t="shared" si="516"/>
        <v/>
      </c>
      <c r="D66" s="576" t="str">
        <f t="shared" si="517"/>
        <v/>
      </c>
      <c r="E66" s="580" t="str">
        <f t="shared" si="518"/>
        <v/>
      </c>
      <c r="F66" s="572" t="str">
        <f t="shared" si="519"/>
        <v/>
      </c>
      <c r="G66" s="579" t="str">
        <f t="shared" si="520"/>
        <v/>
      </c>
      <c r="H66" s="580" t="str">
        <f t="shared" si="521"/>
        <v/>
      </c>
      <c r="I66" s="572" t="str">
        <f t="shared" si="522"/>
        <v/>
      </c>
      <c r="J66" s="483" t="str">
        <f t="shared" si="523"/>
        <v/>
      </c>
      <c r="K66" s="806" t="str">
        <f t="shared" si="524"/>
        <v/>
      </c>
      <c r="L66" s="309"/>
      <c r="M66" s="164" t="str">
        <f t="shared" si="267"/>
        <v/>
      </c>
      <c r="N66" s="575" t="str">
        <f t="shared" si="268"/>
        <v/>
      </c>
      <c r="O66" s="572" t="str">
        <f t="shared" si="269"/>
        <v/>
      </c>
      <c r="P66" s="576" t="str">
        <f t="shared" si="270"/>
        <v/>
      </c>
      <c r="Q66" s="528" t="str">
        <f t="shared" si="140"/>
        <v/>
      </c>
      <c r="R66" s="572" t="str">
        <f t="shared" si="101"/>
        <v/>
      </c>
      <c r="S66" s="577" t="str">
        <f t="shared" si="102"/>
        <v/>
      </c>
      <c r="T66" s="578" t="str">
        <f t="shared" si="103"/>
        <v/>
      </c>
      <c r="U66" s="572" t="str">
        <f t="shared" si="104"/>
        <v/>
      </c>
      <c r="V66" s="579" t="str">
        <f t="shared" si="141"/>
        <v/>
      </c>
      <c r="W66" s="528" t="str">
        <f t="shared" si="253"/>
        <v/>
      </c>
      <c r="X66" s="572" t="str">
        <f t="shared" si="105"/>
        <v/>
      </c>
      <c r="Y66" s="573" t="str">
        <f t="shared" si="255"/>
        <v/>
      </c>
      <c r="Z66" s="575" t="str">
        <f t="shared" si="271"/>
        <v/>
      </c>
      <c r="AA66" s="572" t="str">
        <f t="shared" si="272"/>
        <v/>
      </c>
      <c r="AB66" s="572" t="str">
        <f t="shared" si="273"/>
        <v/>
      </c>
      <c r="AC66" s="579" t="str">
        <f t="shared" si="106"/>
        <v/>
      </c>
      <c r="AD66" s="580" t="str">
        <f t="shared" si="142"/>
        <v/>
      </c>
      <c r="AE66" s="572" t="str">
        <f t="shared" si="107"/>
        <v/>
      </c>
      <c r="AF66" s="576" t="str">
        <f t="shared" si="108"/>
        <v/>
      </c>
      <c r="AG66" s="545" t="str">
        <f t="shared" si="109"/>
        <v/>
      </c>
      <c r="AH66" s="546" t="str">
        <f t="shared" si="110"/>
        <v/>
      </c>
      <c r="AI66" s="528" t="str">
        <f t="shared" si="111"/>
        <v/>
      </c>
      <c r="AJ66" s="529" t="str">
        <f t="shared" si="112"/>
        <v/>
      </c>
      <c r="AK66" s="578" t="str">
        <f t="shared" si="238"/>
        <v/>
      </c>
      <c r="AL66" s="572" t="str">
        <f t="shared" si="113"/>
        <v/>
      </c>
      <c r="AM66" s="577" t="str">
        <f t="shared" si="114"/>
        <v/>
      </c>
      <c r="AN66" s="524" t="str">
        <f t="shared" si="115"/>
        <v/>
      </c>
      <c r="AO66" s="525" t="str">
        <f t="shared" si="525"/>
        <v/>
      </c>
      <c r="AP66" s="528" t="str">
        <f t="shared" si="117"/>
        <v/>
      </c>
      <c r="AQ66" s="529" t="str">
        <f t="shared" si="274"/>
        <v/>
      </c>
      <c r="AS66" s="932" t="str">
        <f t="shared" si="461"/>
        <v/>
      </c>
      <c r="AT66" s="928" t="str">
        <f t="shared" si="275"/>
        <v/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6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26"/>
        <v/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 t="str">
        <f t="shared" si="256"/>
        <v/>
      </c>
      <c r="B67" s="578" t="str">
        <f t="shared" si="515"/>
        <v/>
      </c>
      <c r="C67" s="572" t="str">
        <f t="shared" si="516"/>
        <v/>
      </c>
      <c r="D67" s="576" t="str">
        <f t="shared" si="517"/>
        <v/>
      </c>
      <c r="E67" s="580" t="str">
        <f t="shared" si="518"/>
        <v/>
      </c>
      <c r="F67" s="572" t="str">
        <f t="shared" si="519"/>
        <v/>
      </c>
      <c r="G67" s="579" t="str">
        <f t="shared" si="520"/>
        <v/>
      </c>
      <c r="H67" s="580" t="str">
        <f t="shared" si="521"/>
        <v/>
      </c>
      <c r="I67" s="572" t="str">
        <f t="shared" si="522"/>
        <v/>
      </c>
      <c r="J67" s="483" t="str">
        <f t="shared" si="523"/>
        <v/>
      </c>
      <c r="K67" s="806" t="str">
        <f t="shared" si="524"/>
        <v/>
      </c>
      <c r="L67" s="309"/>
      <c r="M67" s="164" t="str">
        <f t="shared" si="267"/>
        <v/>
      </c>
      <c r="N67" s="575" t="str">
        <f t="shared" si="268"/>
        <v/>
      </c>
      <c r="O67" s="572" t="str">
        <f t="shared" si="269"/>
        <v/>
      </c>
      <c r="P67" s="576" t="str">
        <f t="shared" si="270"/>
        <v/>
      </c>
      <c r="Q67" s="528" t="str">
        <f t="shared" si="140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3"/>
        <v/>
      </c>
      <c r="X67" s="572" t="str">
        <f>IF(M67="","",R67)</f>
        <v/>
      </c>
      <c r="Y67" s="573" t="str">
        <f t="shared" si="255"/>
        <v/>
      </c>
      <c r="Z67" s="575" t="str">
        <f t="shared" si="271"/>
        <v/>
      </c>
      <c r="AA67" s="572" t="str">
        <f t="shared" si="272"/>
        <v/>
      </c>
      <c r="AB67" s="572" t="str">
        <f t="shared" si="273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25"/>
        <v/>
      </c>
      <c r="AP67" s="528" t="str">
        <f>IF(M67="","",DEGREES(ATAN2(AK67,AL67)))</f>
        <v/>
      </c>
      <c r="AQ67" s="529" t="str">
        <f t="shared" si="274"/>
        <v/>
      </c>
      <c r="AS67" s="932" t="str">
        <f t="shared" si="461"/>
        <v/>
      </c>
      <c r="AT67" s="928" t="str">
        <f t="shared" si="275"/>
        <v/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6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6"/>
        <v/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 t="str">
        <f t="shared" si="256"/>
        <v/>
      </c>
      <c r="B68" s="578" t="str">
        <f t="shared" si="515"/>
        <v/>
      </c>
      <c r="C68" s="572" t="str">
        <f t="shared" si="516"/>
        <v/>
      </c>
      <c r="D68" s="576" t="str">
        <f t="shared" si="517"/>
        <v/>
      </c>
      <c r="E68" s="580" t="str">
        <f t="shared" si="518"/>
        <v/>
      </c>
      <c r="F68" s="572" t="str">
        <f t="shared" si="519"/>
        <v/>
      </c>
      <c r="G68" s="579" t="str">
        <f t="shared" si="520"/>
        <v/>
      </c>
      <c r="H68" s="580" t="str">
        <f t="shared" si="521"/>
        <v/>
      </c>
      <c r="I68" s="572" t="str">
        <f t="shared" si="522"/>
        <v/>
      </c>
      <c r="J68" s="483" t="str">
        <f t="shared" si="523"/>
        <v/>
      </c>
      <c r="K68" s="806" t="str">
        <f t="shared" si="524"/>
        <v/>
      </c>
      <c r="L68" s="309"/>
      <c r="M68" s="164" t="str">
        <f t="shared" si="267"/>
        <v/>
      </c>
      <c r="N68" s="575" t="str">
        <f t="shared" si="268"/>
        <v/>
      </c>
      <c r="O68" s="572" t="str">
        <f t="shared" si="269"/>
        <v/>
      </c>
      <c r="P68" s="576" t="str">
        <f t="shared" si="270"/>
        <v/>
      </c>
      <c r="Q68" s="528" t="str">
        <f t="shared" si="140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3"/>
        <v/>
      </c>
      <c r="X68" s="572" t="str">
        <f>IF(M68="","",R68)</f>
        <v/>
      </c>
      <c r="Y68" s="573" t="str">
        <f t="shared" si="255"/>
        <v/>
      </c>
      <c r="Z68" s="575" t="str">
        <f t="shared" si="271"/>
        <v/>
      </c>
      <c r="AA68" s="572" t="str">
        <f t="shared" si="272"/>
        <v/>
      </c>
      <c r="AB68" s="572" t="str">
        <f t="shared" si="273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25"/>
        <v/>
      </c>
      <c r="AP68" s="528" t="str">
        <f>IF(M68="","",DEGREES(ATAN2(AK68,AL68)))</f>
        <v/>
      </c>
      <c r="AQ68" s="529" t="str">
        <f t="shared" si="274"/>
        <v/>
      </c>
      <c r="AS68" s="932" t="str">
        <f t="shared" si="461"/>
        <v/>
      </c>
      <c r="AT68" s="928" t="str">
        <f t="shared" si="275"/>
        <v/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6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6"/>
        <v/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 t="str">
        <f t="shared" si="256"/>
        <v/>
      </c>
      <c r="B69" s="578" t="str">
        <f t="shared" si="515"/>
        <v/>
      </c>
      <c r="C69" s="572" t="str">
        <f t="shared" si="516"/>
        <v/>
      </c>
      <c r="D69" s="576" t="str">
        <f t="shared" si="517"/>
        <v/>
      </c>
      <c r="E69" s="580" t="str">
        <f t="shared" si="518"/>
        <v/>
      </c>
      <c r="F69" s="572" t="str">
        <f t="shared" si="519"/>
        <v/>
      </c>
      <c r="G69" s="579" t="str">
        <f t="shared" si="520"/>
        <v/>
      </c>
      <c r="H69" s="580" t="str">
        <f t="shared" si="521"/>
        <v/>
      </c>
      <c r="I69" s="572" t="str">
        <f t="shared" si="522"/>
        <v/>
      </c>
      <c r="J69" s="483" t="str">
        <f t="shared" si="523"/>
        <v/>
      </c>
      <c r="K69" s="806" t="str">
        <f t="shared" si="524"/>
        <v/>
      </c>
      <c r="L69" s="309"/>
      <c r="M69" s="164" t="str">
        <f t="shared" si="267"/>
        <v/>
      </c>
      <c r="N69" s="575" t="str">
        <f t="shared" si="268"/>
        <v/>
      </c>
      <c r="O69" s="572" t="str">
        <f t="shared" si="269"/>
        <v/>
      </c>
      <c r="P69" s="576" t="str">
        <f t="shared" si="270"/>
        <v/>
      </c>
      <c r="Q69" s="528" t="str">
        <f t="shared" si="140"/>
        <v/>
      </c>
      <c r="R69" s="572" t="str">
        <f t="shared" si="101"/>
        <v/>
      </c>
      <c r="S69" s="577" t="str">
        <f t="shared" si="102"/>
        <v/>
      </c>
      <c r="T69" s="578" t="str">
        <f t="shared" si="103"/>
        <v/>
      </c>
      <c r="U69" s="572" t="str">
        <f t="shared" si="104"/>
        <v/>
      </c>
      <c r="V69" s="579" t="str">
        <f t="shared" si="141"/>
        <v/>
      </c>
      <c r="W69" s="528" t="str">
        <f t="shared" si="253"/>
        <v/>
      </c>
      <c r="X69" s="572" t="str">
        <f t="shared" si="105"/>
        <v/>
      </c>
      <c r="Y69" s="573" t="str">
        <f t="shared" si="255"/>
        <v/>
      </c>
      <c r="Z69" s="575" t="str">
        <f t="shared" si="271"/>
        <v/>
      </c>
      <c r="AA69" s="572" t="str">
        <f t="shared" si="272"/>
        <v/>
      </c>
      <c r="AB69" s="572" t="str">
        <f t="shared" si="273"/>
        <v/>
      </c>
      <c r="AC69" s="579" t="str">
        <f t="shared" si="106"/>
        <v/>
      </c>
      <c r="AD69" s="580" t="str">
        <f t="shared" si="142"/>
        <v/>
      </c>
      <c r="AE69" s="572" t="str">
        <f t="shared" si="107"/>
        <v/>
      </c>
      <c r="AF69" s="576" t="str">
        <f t="shared" si="108"/>
        <v/>
      </c>
      <c r="AG69" s="545" t="str">
        <f t="shared" si="109"/>
        <v/>
      </c>
      <c r="AH69" s="546" t="str">
        <f t="shared" si="110"/>
        <v/>
      </c>
      <c r="AI69" s="528" t="str">
        <f t="shared" si="111"/>
        <v/>
      </c>
      <c r="AJ69" s="529" t="str">
        <f t="shared" si="112"/>
        <v/>
      </c>
      <c r="AK69" s="578" t="str">
        <f t="shared" si="238"/>
        <v/>
      </c>
      <c r="AL69" s="572" t="str">
        <f t="shared" si="113"/>
        <v/>
      </c>
      <c r="AM69" s="577" t="str">
        <f t="shared" si="114"/>
        <v/>
      </c>
      <c r="AN69" s="524" t="str">
        <f t="shared" si="115"/>
        <v/>
      </c>
      <c r="AO69" s="525" t="str">
        <f t="shared" si="525"/>
        <v/>
      </c>
      <c r="AP69" s="528" t="str">
        <f t="shared" si="117"/>
        <v/>
      </c>
      <c r="AQ69" s="529" t="str">
        <f t="shared" si="274"/>
        <v/>
      </c>
      <c r="AS69" s="932" t="str">
        <f t="shared" si="461"/>
        <v/>
      </c>
      <c r="AT69" s="928" t="str">
        <f t="shared" si="275"/>
        <v/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6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6"/>
        <v/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 t="str">
        <f t="shared" si="256"/>
        <v/>
      </c>
      <c r="B70" s="578" t="str">
        <f t="shared" si="515"/>
        <v/>
      </c>
      <c r="C70" s="572" t="str">
        <f t="shared" si="516"/>
        <v/>
      </c>
      <c r="D70" s="576" t="str">
        <f t="shared" si="517"/>
        <v/>
      </c>
      <c r="E70" s="580" t="str">
        <f t="shared" si="518"/>
        <v/>
      </c>
      <c r="F70" s="572" t="str">
        <f t="shared" si="519"/>
        <v/>
      </c>
      <c r="G70" s="579" t="str">
        <f t="shared" si="520"/>
        <v/>
      </c>
      <c r="H70" s="580" t="str">
        <f t="shared" si="521"/>
        <v/>
      </c>
      <c r="I70" s="572" t="str">
        <f t="shared" si="522"/>
        <v/>
      </c>
      <c r="J70" s="483" t="str">
        <f t="shared" si="523"/>
        <v/>
      </c>
      <c r="K70" s="806" t="str">
        <f t="shared" si="524"/>
        <v/>
      </c>
      <c r="L70" s="309"/>
      <c r="M70" s="164" t="str">
        <f t="shared" si="267"/>
        <v/>
      </c>
      <c r="N70" s="575" t="str">
        <f t="shared" si="268"/>
        <v/>
      </c>
      <c r="O70" s="572" t="str">
        <f t="shared" si="269"/>
        <v/>
      </c>
      <c r="P70" s="576" t="str">
        <f t="shared" si="270"/>
        <v/>
      </c>
      <c r="Q70" s="528" t="str">
        <f t="shared" si="140"/>
        <v/>
      </c>
      <c r="R70" s="572" t="str">
        <f t="shared" si="101"/>
        <v/>
      </c>
      <c r="S70" s="577" t="str">
        <f t="shared" si="102"/>
        <v/>
      </c>
      <c r="T70" s="578" t="str">
        <f t="shared" si="103"/>
        <v/>
      </c>
      <c r="U70" s="572" t="str">
        <f t="shared" si="104"/>
        <v/>
      </c>
      <c r="V70" s="579" t="str">
        <f t="shared" si="141"/>
        <v/>
      </c>
      <c r="W70" s="528" t="str">
        <f t="shared" si="253"/>
        <v/>
      </c>
      <c r="X70" s="572" t="str">
        <f t="shared" si="105"/>
        <v/>
      </c>
      <c r="Y70" s="573" t="str">
        <f t="shared" si="255"/>
        <v/>
      </c>
      <c r="Z70" s="575" t="str">
        <f t="shared" si="271"/>
        <v/>
      </c>
      <c r="AA70" s="572" t="str">
        <f t="shared" si="272"/>
        <v/>
      </c>
      <c r="AB70" s="572" t="str">
        <f t="shared" si="273"/>
        <v/>
      </c>
      <c r="AC70" s="579" t="str">
        <f t="shared" si="106"/>
        <v/>
      </c>
      <c r="AD70" s="580" t="str">
        <f t="shared" si="142"/>
        <v/>
      </c>
      <c r="AE70" s="572" t="str">
        <f t="shared" si="107"/>
        <v/>
      </c>
      <c r="AF70" s="576" t="str">
        <f t="shared" si="108"/>
        <v/>
      </c>
      <c r="AG70" s="545" t="str">
        <f t="shared" si="109"/>
        <v/>
      </c>
      <c r="AH70" s="546" t="str">
        <f t="shared" si="110"/>
        <v/>
      </c>
      <c r="AI70" s="528" t="str">
        <f t="shared" si="111"/>
        <v/>
      </c>
      <c r="AJ70" s="529" t="str">
        <f t="shared" si="112"/>
        <v/>
      </c>
      <c r="AK70" s="578" t="str">
        <f t="shared" si="238"/>
        <v/>
      </c>
      <c r="AL70" s="572" t="str">
        <f t="shared" si="113"/>
        <v/>
      </c>
      <c r="AM70" s="577" t="str">
        <f t="shared" si="114"/>
        <v/>
      </c>
      <c r="AN70" s="524" t="str">
        <f t="shared" si="115"/>
        <v/>
      </c>
      <c r="AO70" s="525" t="str">
        <f t="shared" si="525"/>
        <v/>
      </c>
      <c r="AP70" s="528" t="str">
        <f t="shared" si="117"/>
        <v/>
      </c>
      <c r="AQ70" s="529" t="str">
        <f t="shared" si="274"/>
        <v/>
      </c>
      <c r="AS70" s="932" t="str">
        <f t="shared" si="461"/>
        <v/>
      </c>
      <c r="AT70" s="928" t="str">
        <f t="shared" si="275"/>
        <v/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6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6"/>
        <v/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 t="str">
        <f t="shared" si="256"/>
        <v/>
      </c>
      <c r="B71" s="578" t="str">
        <f t="shared" si="515"/>
        <v/>
      </c>
      <c r="C71" s="572" t="str">
        <f t="shared" si="516"/>
        <v/>
      </c>
      <c r="D71" s="576" t="str">
        <f t="shared" si="517"/>
        <v/>
      </c>
      <c r="E71" s="580" t="str">
        <f t="shared" si="518"/>
        <v/>
      </c>
      <c r="F71" s="572" t="str">
        <f t="shared" si="519"/>
        <v/>
      </c>
      <c r="G71" s="579" t="str">
        <f t="shared" si="520"/>
        <v/>
      </c>
      <c r="H71" s="580" t="str">
        <f t="shared" si="521"/>
        <v/>
      </c>
      <c r="I71" s="572" t="str">
        <f t="shared" si="522"/>
        <v/>
      </c>
      <c r="J71" s="483" t="str">
        <f t="shared" si="523"/>
        <v/>
      </c>
      <c r="K71" s="806" t="str">
        <f t="shared" si="524"/>
        <v/>
      </c>
      <c r="L71" s="309"/>
      <c r="M71" s="164" t="str">
        <f t="shared" si="267"/>
        <v/>
      </c>
      <c r="N71" s="575" t="str">
        <f t="shared" si="268"/>
        <v/>
      </c>
      <c r="O71" s="572" t="str">
        <f t="shared" si="269"/>
        <v/>
      </c>
      <c r="P71" s="576" t="str">
        <f t="shared" si="270"/>
        <v/>
      </c>
      <c r="Q71" s="528" t="str">
        <f t="shared" si="140"/>
        <v/>
      </c>
      <c r="R71" s="572" t="str">
        <f t="shared" si="101"/>
        <v/>
      </c>
      <c r="S71" s="577" t="str">
        <f t="shared" si="102"/>
        <v/>
      </c>
      <c r="T71" s="578" t="str">
        <f t="shared" si="103"/>
        <v/>
      </c>
      <c r="U71" s="572" t="str">
        <f t="shared" si="104"/>
        <v/>
      </c>
      <c r="V71" s="579" t="str">
        <f t="shared" si="141"/>
        <v/>
      </c>
      <c r="W71" s="528" t="str">
        <f t="shared" si="253"/>
        <v/>
      </c>
      <c r="X71" s="572" t="str">
        <f t="shared" si="105"/>
        <v/>
      </c>
      <c r="Y71" s="573" t="str">
        <f t="shared" si="255"/>
        <v/>
      </c>
      <c r="Z71" s="575" t="str">
        <f t="shared" si="271"/>
        <v/>
      </c>
      <c r="AA71" s="572" t="str">
        <f t="shared" si="272"/>
        <v/>
      </c>
      <c r="AB71" s="572" t="str">
        <f t="shared" si="273"/>
        <v/>
      </c>
      <c r="AC71" s="579" t="str">
        <f t="shared" si="106"/>
        <v/>
      </c>
      <c r="AD71" s="580" t="str">
        <f t="shared" si="142"/>
        <v/>
      </c>
      <c r="AE71" s="572" t="str">
        <f t="shared" si="107"/>
        <v/>
      </c>
      <c r="AF71" s="576" t="str">
        <f t="shared" si="108"/>
        <v/>
      </c>
      <c r="AG71" s="545" t="str">
        <f t="shared" si="109"/>
        <v/>
      </c>
      <c r="AH71" s="546" t="str">
        <f t="shared" si="110"/>
        <v/>
      </c>
      <c r="AI71" s="528" t="str">
        <f t="shared" si="111"/>
        <v/>
      </c>
      <c r="AJ71" s="529" t="str">
        <f t="shared" si="112"/>
        <v/>
      </c>
      <c r="AK71" s="578" t="str">
        <f t="shared" si="238"/>
        <v/>
      </c>
      <c r="AL71" s="572" t="str">
        <f t="shared" si="113"/>
        <v/>
      </c>
      <c r="AM71" s="577" t="str">
        <f t="shared" si="114"/>
        <v/>
      </c>
      <c r="AN71" s="524" t="str">
        <f t="shared" si="115"/>
        <v/>
      </c>
      <c r="AO71" s="525" t="str">
        <f t="shared" si="525"/>
        <v/>
      </c>
      <c r="AP71" s="528" t="str">
        <f t="shared" si="117"/>
        <v/>
      </c>
      <c r="AQ71" s="529" t="str">
        <f t="shared" si="274"/>
        <v/>
      </c>
      <c r="AS71" s="932" t="str">
        <f t="shared" si="461"/>
        <v/>
      </c>
      <c r="AT71" s="928" t="str">
        <f t="shared" si="275"/>
        <v/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6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6"/>
        <v/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 t="str">
        <f t="shared" si="256"/>
        <v/>
      </c>
      <c r="B72" s="578" t="str">
        <f t="shared" si="515"/>
        <v/>
      </c>
      <c r="C72" s="572" t="str">
        <f t="shared" si="516"/>
        <v/>
      </c>
      <c r="D72" s="576" t="str">
        <f t="shared" si="517"/>
        <v/>
      </c>
      <c r="E72" s="580" t="str">
        <f t="shared" si="518"/>
        <v/>
      </c>
      <c r="F72" s="572" t="str">
        <f t="shared" si="519"/>
        <v/>
      </c>
      <c r="G72" s="579" t="str">
        <f t="shared" si="520"/>
        <v/>
      </c>
      <c r="H72" s="580" t="str">
        <f t="shared" si="521"/>
        <v/>
      </c>
      <c r="I72" s="572" t="str">
        <f t="shared" si="522"/>
        <v/>
      </c>
      <c r="J72" s="483" t="str">
        <f t="shared" si="523"/>
        <v/>
      </c>
      <c r="K72" s="806" t="str">
        <f t="shared" si="524"/>
        <v/>
      </c>
      <c r="L72" s="309"/>
      <c r="M72" s="164" t="str">
        <f t="shared" si="267"/>
        <v/>
      </c>
      <c r="N72" s="575" t="str">
        <f t="shared" si="268"/>
        <v/>
      </c>
      <c r="O72" s="572" t="str">
        <f t="shared" si="269"/>
        <v/>
      </c>
      <c r="P72" s="576" t="str">
        <f t="shared" si="270"/>
        <v/>
      </c>
      <c r="Q72" s="528" t="str">
        <f t="shared" si="140"/>
        <v/>
      </c>
      <c r="R72" s="572" t="str">
        <f t="shared" si="101"/>
        <v/>
      </c>
      <c r="S72" s="577" t="str">
        <f t="shared" si="102"/>
        <v/>
      </c>
      <c r="T72" s="578" t="str">
        <f t="shared" si="103"/>
        <v/>
      </c>
      <c r="U72" s="572" t="str">
        <f t="shared" si="104"/>
        <v/>
      </c>
      <c r="V72" s="579" t="str">
        <f t="shared" si="141"/>
        <v/>
      </c>
      <c r="W72" s="528" t="str">
        <f t="shared" si="253"/>
        <v/>
      </c>
      <c r="X72" s="572" t="str">
        <f t="shared" si="105"/>
        <v/>
      </c>
      <c r="Y72" s="573" t="str">
        <f t="shared" si="255"/>
        <v/>
      </c>
      <c r="Z72" s="575" t="str">
        <f t="shared" si="271"/>
        <v/>
      </c>
      <c r="AA72" s="572" t="str">
        <f t="shared" si="272"/>
        <v/>
      </c>
      <c r="AB72" s="572" t="str">
        <f t="shared" si="273"/>
        <v/>
      </c>
      <c r="AC72" s="579" t="str">
        <f t="shared" si="106"/>
        <v/>
      </c>
      <c r="AD72" s="580" t="str">
        <f t="shared" si="142"/>
        <v/>
      </c>
      <c r="AE72" s="572" t="str">
        <f t="shared" si="107"/>
        <v/>
      </c>
      <c r="AF72" s="576" t="str">
        <f t="shared" si="108"/>
        <v/>
      </c>
      <c r="AG72" s="545" t="str">
        <f t="shared" si="109"/>
        <v/>
      </c>
      <c r="AH72" s="546" t="str">
        <f t="shared" si="110"/>
        <v/>
      </c>
      <c r="AI72" s="528" t="str">
        <f t="shared" si="111"/>
        <v/>
      </c>
      <c r="AJ72" s="529" t="str">
        <f t="shared" si="112"/>
        <v/>
      </c>
      <c r="AK72" s="578" t="str">
        <f t="shared" si="238"/>
        <v/>
      </c>
      <c r="AL72" s="572" t="str">
        <f t="shared" si="113"/>
        <v/>
      </c>
      <c r="AM72" s="577" t="str">
        <f t="shared" si="114"/>
        <v/>
      </c>
      <c r="AN72" s="524" t="str">
        <f t="shared" si="115"/>
        <v/>
      </c>
      <c r="AO72" s="525" t="str">
        <f t="shared" si="525"/>
        <v/>
      </c>
      <c r="AP72" s="528" t="str">
        <f t="shared" si="117"/>
        <v/>
      </c>
      <c r="AQ72" s="529" t="str">
        <f t="shared" si="274"/>
        <v/>
      </c>
      <c r="AS72" s="932" t="str">
        <f t="shared" si="461"/>
        <v/>
      </c>
      <c r="AT72" s="928" t="str">
        <f t="shared" si="275"/>
        <v/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6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6"/>
        <v/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 t="str">
        <f t="shared" si="256"/>
        <v/>
      </c>
      <c r="B73" s="578" t="str">
        <f t="shared" si="515"/>
        <v/>
      </c>
      <c r="C73" s="572" t="str">
        <f t="shared" si="516"/>
        <v/>
      </c>
      <c r="D73" s="576" t="str">
        <f t="shared" si="517"/>
        <v/>
      </c>
      <c r="E73" s="580" t="str">
        <f t="shared" si="518"/>
        <v/>
      </c>
      <c r="F73" s="572" t="str">
        <f t="shared" si="519"/>
        <v/>
      </c>
      <c r="G73" s="579" t="str">
        <f t="shared" si="520"/>
        <v/>
      </c>
      <c r="H73" s="580" t="str">
        <f t="shared" si="521"/>
        <v/>
      </c>
      <c r="I73" s="572" t="str">
        <f t="shared" si="522"/>
        <v/>
      </c>
      <c r="J73" s="483" t="str">
        <f t="shared" si="523"/>
        <v/>
      </c>
      <c r="K73" s="806" t="str">
        <f t="shared" si="524"/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40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3"/>
        <v/>
      </c>
      <c r="X73" s="572" t="str">
        <f>IF(M73="","",R73)</f>
        <v/>
      </c>
      <c r="Y73" s="573" t="str">
        <f t="shared" si="255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25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32" t="str">
        <f t="shared" si="461"/>
        <v/>
      </c>
      <c r="AT73" s="928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6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5.7525097857209202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5" t="s">
        <v>42</v>
      </c>
      <c r="C157" s="1356"/>
      <c r="D157" s="1356"/>
      <c r="E157" s="1356"/>
      <c r="F157" s="1356"/>
      <c r="G157" s="1356"/>
      <c r="H157" s="1356"/>
      <c r="I157" s="1356"/>
      <c r="J157" s="1356"/>
      <c r="K157" s="1356"/>
      <c r="L157" s="1356"/>
      <c r="M157" s="1356"/>
      <c r="N157" s="1356"/>
      <c r="O157" s="1357"/>
      <c r="BC157" t="s">
        <v>101</v>
      </c>
      <c r="BD157" s="219">
        <v>0</v>
      </c>
    </row>
    <row r="158" spans="1:261" ht="15" customHeight="1" x14ac:dyDescent="0.25">
      <c r="B158" s="1358"/>
      <c r="C158" s="1359"/>
      <c r="D158" s="1359"/>
      <c r="E158" s="1359"/>
      <c r="F158" s="1359"/>
      <c r="G158" s="1359"/>
      <c r="H158" s="1359"/>
      <c r="I158" s="1359"/>
      <c r="J158" s="1359"/>
      <c r="K158" s="1359"/>
      <c r="L158" s="1359"/>
      <c r="M158" s="1359"/>
      <c r="N158" s="1359"/>
      <c r="O158" s="1360"/>
      <c r="BC158" t="s">
        <v>102</v>
      </c>
      <c r="BD158" s="219">
        <v>0.01</v>
      </c>
    </row>
    <row r="159" spans="1:261" ht="15" customHeight="1" x14ac:dyDescent="0.25">
      <c r="B159" s="1358"/>
      <c r="C159" s="1359"/>
      <c r="D159" s="1359"/>
      <c r="E159" s="1359"/>
      <c r="F159" s="1359"/>
      <c r="G159" s="1359"/>
      <c r="H159" s="1359"/>
      <c r="I159" s="1359"/>
      <c r="J159" s="1359"/>
      <c r="K159" s="1359"/>
      <c r="L159" s="1359"/>
      <c r="M159" s="1359"/>
      <c r="N159" s="1359"/>
      <c r="O159" s="1360"/>
      <c r="AJ159" s="31" t="s">
        <v>349</v>
      </c>
      <c r="AU159"/>
    </row>
    <row r="160" spans="1:261" ht="15" customHeight="1" x14ac:dyDescent="0.25">
      <c r="B160" s="1361" t="str">
        <f>CONCATENATE(B162," ; ",E162," ; ",H163)</f>
        <v>Absolute-Point ; Incremental-Vector Point ; Radius</v>
      </c>
      <c r="C160" s="1362"/>
      <c r="D160" s="1362"/>
      <c r="E160" s="1362"/>
      <c r="F160" s="1362"/>
      <c r="G160" s="1362"/>
      <c r="H160" s="1362"/>
      <c r="I160" s="1362"/>
      <c r="J160" s="1362"/>
      <c r="K160" s="1362"/>
      <c r="L160" s="1362"/>
      <c r="M160" s="1362"/>
      <c r="N160" s="1362"/>
      <c r="O160" s="1363"/>
      <c r="AJ160" s="82">
        <f>COUNT(_xlfn.ANCHORARRAY($AJ$164))</f>
        <v>258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1"/>
      <c r="C161" s="1362"/>
      <c r="D161" s="1362"/>
      <c r="E161" s="1362"/>
      <c r="F161" s="1362"/>
      <c r="G161" s="1362"/>
      <c r="H161" s="1362"/>
      <c r="I161" s="1362"/>
      <c r="J161" s="1362"/>
      <c r="K161" s="1362"/>
      <c r="L161" s="1362"/>
      <c r="M161" s="1362"/>
      <c r="N161" s="1362"/>
      <c r="O161" s="136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90" t="s">
        <v>40</v>
      </c>
      <c r="C162" s="1091"/>
      <c r="D162" s="1092"/>
      <c r="E162" s="1093" t="s">
        <v>41</v>
      </c>
      <c r="F162" s="1091"/>
      <c r="G162" s="1094"/>
      <c r="H162" s="990" t="s">
        <v>305</v>
      </c>
      <c r="I162" s="988"/>
      <c r="J162" s="989"/>
      <c r="K162" s="990" t="s">
        <v>386</v>
      </c>
      <c r="L162" s="1159"/>
      <c r="M162" s="937"/>
      <c r="N162" s="1095" t="s">
        <v>398</v>
      </c>
      <c r="O162" s="10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-1.2805537470301234E-17</v>
      </c>
      <c r="C164" s="646">
        <v>0.34250103298311557</v>
      </c>
      <c r="D164" s="647">
        <v>-0.62254872274439588</v>
      </c>
      <c r="E164" s="648">
        <v>-0.9271838753345083</v>
      </c>
      <c r="F164" s="646">
        <v>-5.860136560924336E-2</v>
      </c>
      <c r="G164" s="649">
        <v>0.36999451518693482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423</v>
      </c>
      <c r="M164" s="980">
        <f>IFERROR(INDEX([1]List!$AG$1:$AG$65480,MATCH(RIGHT((J164*1000),2),[1]List!$AI$1:$AI$65480,0))*-1,"")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-1.2805537470301234E-17</v>
      </c>
      <c r="R164" s="162">
        <f t="shared" ref="R164:R195" si="1060">IFERROR(INDEX(C$164:C$305,MATCH($Y164,$J$164:$J$305,0)),"")</f>
        <v>0.34250103298311557</v>
      </c>
      <c r="S164" s="162">
        <f t="shared" ref="S164:S195" si="1061">IFERROR(INDEX(D$164:D$305,MATCH($Y164,$J$164:$J$305,0)),"")</f>
        <v>-0.62254872274439588</v>
      </c>
      <c r="T164" s="162">
        <f t="shared" ref="T164:T195" si="1062">IFERROR(IF($N164="Y",-1*INDEX(E$164:E$305,MATCH($Y164,$J$164:$J$305,0)),INDEX(E$164:E$305,MATCH($Y164,$J$164:$J$305,0))),"")</f>
        <v>-0.9271838753345083</v>
      </c>
      <c r="U164" s="162">
        <f t="shared" ref="U164:U195" si="1063">IFERROR(IF($N164="Y",-1*INDEX(F$164:F$305,MATCH($Y164,$J$164:$J$305,0)),INDEX(F$164:F$305,MATCH($Y164,$J$164:$J$305,0))),"")</f>
        <v>-5.860136560924336E-2</v>
      </c>
      <c r="V164" s="162">
        <f t="shared" ref="V164:V195" si="1064">IFERROR(IF($N164="Y",-1*INDEX(G$164:G$305,MATCH($Y164,$J$164:$J$305,0)),INDEX(G$164:G$305,MATCH($Y164,$J$164:$J$305,0))),"")</f>
        <v>0.36999451518693482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0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3">_xlfn.UNIQUE(VALUE(_xlfn.ANCHORARRAY($AF$164)+ROUND((_xlfn.ANCHORARRAY($AG$164)/10),2)+ROUND((_xlfn.ANCHORARRAY($AI$164)/100000),5)))</f>
        <v>5.2000099999999998</v>
      </c>
      <c r="AD164" s="75" cm="1">
        <f t="array" ref="AD164:AD193">(ROW(_xlfn.ANCHORARRAY($AC$164):$AC164)-ROW($AC$164)-COUNT(_xlfn.ANCHORARRAY($AC$164))+1)*0.75</f>
        <v>-21.75</v>
      </c>
      <c r="AE164" s="75" cm="1">
        <f t="array" ref="AE164:AE421">ROUNDDOWN((_xlfn.ANCHORARRAY(AJ164)*1000),0)/1000</f>
        <v>5.2279999999999998</v>
      </c>
      <c r="AF164" s="166" cm="1">
        <f t="array" ref="AF164:AF421">ROUNDDOWN(_xlfn.ANCHORARRAY(AJ164),0)</f>
        <v>5</v>
      </c>
      <c r="AG164" s="82" cm="1">
        <f t="array" ref="AG164:AG421">VALUE(RIGHT(ROUNDDOWN(_xlfn.ANCHORARRAY(AJ164)*10,0),1))</f>
        <v>2</v>
      </c>
      <c r="AH164" s="82" cm="1">
        <f t="array" ref="AH164:AH421">VALUE(LEFT(RIGHT((_xlfn.ANCHORARRAY($AJ$164)*100000),2),1))</f>
        <v>1</v>
      </c>
      <c r="AI164" s="82" cm="1">
        <f t="array" ref="AI164:AI421">MOD(_xlfn.ANCHORARRAY($AJ$164)*10000,1)*10</f>
        <v>0.99999999998544808</v>
      </c>
      <c r="AJ164" s="166" cm="1">
        <f t="array" ref="AJ164:AJ42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5.22811</v>
      </c>
      <c r="AK164" s="82" t="str" cm="1">
        <f t="array" ref="AK164:AK421">IF(_xlfn.ANCHORARRAY($AH$164)=1,"Base",_xlfn.ANCHORARRAY($AJ$164)-0.0001)</f>
        <v>Base</v>
      </c>
      <c r="AL164" s="162" cm="1">
        <f t="array" ref="AL164:AL421">IF(_xlfn.ANCHORARRAY($AH$164)=1,INDEX(_xlfn.ANCHORARRAY($AD$164),MATCH((_xlfn.ANCHORARRAY($AF$164)+(_xlfn.ANCHORARRAY($AG$164)/10)+ROUND((_xlfn.ANCHORARRAY($AI$164)/100000),5)),_xlfn.ANCHORARRAY($AC$164),0)),0)</f>
        <v>-21.75</v>
      </c>
      <c r="AM164" s="162" cm="1">
        <f t="array" ref="AM164:AM421">IF(_xlfn.ANCHORARRAY($AH$164)=1,-INDEX($R$9:$R$150,MATCH(_xlfn.ANCHORARRAY($AE$164),$M$9:$M$150,0)),0)</f>
        <v>-3.652074731025615</v>
      </c>
      <c r="AN164" s="162" cm="1">
        <f t="array" ref="AN164:AN421">IF(_xlfn.ANCHORARRAY($AH$164)=1,INDEX($AT$9:$AT$150,MATCH(_xlfn.ANCHORARRAY($AE$164),$M$9:$M$150,0))+((_xlfn.ANCHORARRAY($AI$164)-1)*-AS5),0)</f>
        <v>-2.0544644825820888</v>
      </c>
      <c r="AO164" s="162" cm="1">
        <f t="array" ref="AO164:AO421">IF(_xlfn.ANCHORARRAY($AH$164)=1,-INDEX($AN$9:$AN$150,MATCH(_xlfn.ANCHORARRAY($AE$164),$M$9:$M$150,0)),IF(_xlfn.ANCHORARRAY($AH$164)=2,_xlfn.ANCHORARRAY($AY$164),0))</f>
        <v>84.999987727520178</v>
      </c>
      <c r="AP164" s="162" cm="1">
        <f t="array" ref="AP164:AP421">IF(_xlfn.ANCHORARRAY($AH$164)=1,-INDEX($AO$9:$AO$150,MATCH(_xlfn.ANCHORARRAY($AE$164),$M$9:$M$150,0)),0)</f>
        <v>0</v>
      </c>
      <c r="AQ164" s="162" cm="1">
        <f t="array" ref="AQ164:AQ421">IF(_xlfn.ANCHORARRAY($AJ$164)="value",0,0)</f>
        <v>0</v>
      </c>
      <c r="AR164" s="710" t="str" cm="1">
        <f t="array" ref="AR164:AR421">INDEX($L$164:$L$305,MATCH(_xlfn.ANCHORARRAY($AE$164),$J$164:$J$305,0))</f>
        <v>32193r1.par</v>
      </c>
      <c r="AV164" s="82" t="str" cm="1">
        <f t="array" ref="AV164:AV421">INDEX(Settings!$C$3:$K$4,_xlfn.ANCHORARRAY(Assy.Model!$AG$164),_xlfn.ANCHORARRAY(Assy.Model!$AF$164))</f>
        <v>121,188,255</v>
      </c>
      <c r="AW164" s="947" cm="1">
        <f t="array" ref="AW164:AW421">-INDEX($M$164:$M$305,MATCH(_xlfn.ANCHORARRAY($AE$164),$J$164:$J$305,0))</f>
        <v>74.5</v>
      </c>
      <c r="AX164" s="947" cm="1">
        <f t="array" ref="AX164:AX421">-INDEX($AN$9:$AN$150,MATCH(_xlfn.ANCHORARRAY($AE$164),$M$9:$M$150,0))</f>
        <v>84.999987727520178</v>
      </c>
      <c r="AY164" s="947" cm="1">
        <f t="array" ref="AY164:AY42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6.4027687351506169E-18</v>
      </c>
      <c r="C165" s="651">
        <v>1.1764035480331008</v>
      </c>
      <c r="D165" s="652">
        <v>-0.38564800825184081</v>
      </c>
      <c r="E165" s="653">
        <v>-0.96126171816521055</v>
      </c>
      <c r="F165" s="651">
        <v>-1.4425738455254036E-2</v>
      </c>
      <c r="G165" s="654">
        <v>0.27525952710140322</v>
      </c>
      <c r="H165" s="653">
        <v>0.3765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1913</v>
      </c>
      <c r="L165" s="940" t="s">
        <v>424</v>
      </c>
      <c r="M165" s="981">
        <f>IFERROR(INDEX([1]List!$AG$1:$AG$65480,MATCH(RIGHT((J165*1000),2),[1]List!$AI$1:$AI$65480,0))*-1,"")</f>
        <v>20</v>
      </c>
      <c r="N165" s="941"/>
      <c r="O165" s="942"/>
      <c r="P165">
        <f>-0.0514</f>
        <v>-5.1400000000000001E-2</v>
      </c>
      <c r="Q165" s="162">
        <f t="shared" si="1059"/>
        <v>6.4027687351506169E-18</v>
      </c>
      <c r="R165" s="162">
        <f t="shared" si="1060"/>
        <v>1.1764035480331008</v>
      </c>
      <c r="S165" s="162">
        <f t="shared" si="1061"/>
        <v>-0.38564800825184081</v>
      </c>
      <c r="T165" s="162">
        <f t="shared" si="1062"/>
        <v>-0.96126171816521055</v>
      </c>
      <c r="U165" s="162">
        <f t="shared" si="1063"/>
        <v>-1.4425738455254036E-2</v>
      </c>
      <c r="V165" s="162">
        <f t="shared" si="1064"/>
        <v>0.27525952710140322</v>
      </c>
      <c r="W165" s="162">
        <f>IFERROR(IF(ISNUMBER(MATCH($Z165,Settings!$AK$28:$AK$36,0)),INDEX(Settings!$AO$14:$AO$36,MATCH($Z165,Settings!$AK$14:$AK$36,0))/2,INDEX(Settings!$AM$14:$AM$36,MATCH($Z165,Settings!$AK$14:$AK$36,0))/2),"")</f>
        <v>0.375</v>
      </c>
      <c r="X165" s="162">
        <f t="shared" si="1065"/>
        <v>0.52</v>
      </c>
      <c r="Y165" s="75">
        <v>1.1040000000000001</v>
      </c>
      <c r="Z165" s="917">
        <f t="shared" si="1066"/>
        <v>1913</v>
      </c>
      <c r="AA165" s="82"/>
      <c r="AB165" s="75"/>
      <c r="AC165" s="166">
        <v>5.1000099999999993</v>
      </c>
      <c r="AD165" s="166">
        <v>-21</v>
      </c>
      <c r="AE165" s="75">
        <v>5.2229999999999999</v>
      </c>
      <c r="AF165" s="82">
        <v>5</v>
      </c>
      <c r="AG165" s="82">
        <v>2</v>
      </c>
      <c r="AH165" s="82">
        <v>1</v>
      </c>
      <c r="AI165" s="82">
        <v>0.99999999998544808</v>
      </c>
      <c r="AJ165" s="166">
        <v>5.2231100000000001</v>
      </c>
      <c r="AK165" s="82" t="str">
        <v>Base</v>
      </c>
      <c r="AL165" s="162">
        <v>-21.75</v>
      </c>
      <c r="AM165" s="162">
        <v>-3.6499284714212994</v>
      </c>
      <c r="AN165" s="162">
        <v>-1.3078021053815689</v>
      </c>
      <c r="AO165" s="162">
        <v>84.98998772896401</v>
      </c>
      <c r="AP165" s="162">
        <v>0</v>
      </c>
      <c r="AQ165" s="162">
        <v>0</v>
      </c>
      <c r="AR165" s="710" t="str">
        <v>32193r1.par</v>
      </c>
      <c r="AV165" s="82" t="str">
        <v>121,188,255</v>
      </c>
      <c r="AW165" s="947">
        <v>53.5</v>
      </c>
      <c r="AX165" s="947">
        <v>84.98998772896401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2.1342562450502056E-17</v>
      </c>
      <c r="C166" s="651">
        <v>1.9273058127543312</v>
      </c>
      <c r="D166" s="652">
        <v>-7.3147065748998222E-2</v>
      </c>
      <c r="E166" s="653">
        <v>-0.96592583607220739</v>
      </c>
      <c r="F166" s="651">
        <v>4.163336342344337E-17</v>
      </c>
      <c r="G166" s="654">
        <v>0.25881900859134593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423</v>
      </c>
      <c r="M166" s="981">
        <f>IFERROR(INDEX([1]List!$AG$1:$AG$65480,MATCH(RIGHT((J166*1000),2),[1]List!$AI$1:$AI$65480,0))*-1,"")</f>
        <v>20</v>
      </c>
      <c r="N166" s="941"/>
      <c r="O166" s="942"/>
      <c r="Q166" s="162">
        <f t="shared" si="1059"/>
        <v>2.1342562450502056E-17</v>
      </c>
      <c r="R166" s="162">
        <f t="shared" si="1060"/>
        <v>1.9273058127543312</v>
      </c>
      <c r="S166" s="162">
        <f t="shared" si="1061"/>
        <v>-7.3147065748998222E-2</v>
      </c>
      <c r="T166" s="162">
        <f t="shared" si="1062"/>
        <v>-0.96592583607220739</v>
      </c>
      <c r="U166" s="162">
        <f t="shared" si="1063"/>
        <v>4.163336342344337E-17</v>
      </c>
      <c r="V166" s="162">
        <f t="shared" si="1064"/>
        <v>0.25881900859134593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4.2000099999999998</v>
      </c>
      <c r="AD166" s="166">
        <v>-20.25</v>
      </c>
      <c r="AE166" s="75">
        <v>5.218</v>
      </c>
      <c r="AF166" s="82">
        <v>5</v>
      </c>
      <c r="AG166" s="82">
        <v>2</v>
      </c>
      <c r="AH166" s="82">
        <v>1</v>
      </c>
      <c r="AI166" s="82">
        <v>1.0000000000582077</v>
      </c>
      <c r="AJ166" s="166">
        <v>5.2181100000000002</v>
      </c>
      <c r="AK166" s="82" t="str">
        <v>Base</v>
      </c>
      <c r="AL166" s="162">
        <v>-21.75</v>
      </c>
      <c r="AM166" s="162">
        <v>-3.4204665572271904</v>
      </c>
      <c r="AN166" s="162">
        <v>-0.57913851317429543</v>
      </c>
      <c r="AO166" s="162">
        <v>55.279992018556641</v>
      </c>
      <c r="AP166" s="162">
        <v>0</v>
      </c>
      <c r="AQ166" s="162">
        <v>0</v>
      </c>
      <c r="AR166" s="710" t="str">
        <v>32193r1.par</v>
      </c>
      <c r="AV166" s="82" t="str">
        <v>121,188,255</v>
      </c>
      <c r="AW166" s="947">
        <v>32.700000000000003</v>
      </c>
      <c r="AX166" s="947">
        <v>55.279992018556641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1.2950610847461368E-2</v>
      </c>
      <c r="C167" s="651">
        <v>2.7279774874307985</v>
      </c>
      <c r="D167" s="652">
        <v>-0.15644731698255576</v>
      </c>
      <c r="E167" s="653">
        <v>-0.94627457499714696</v>
      </c>
      <c r="F167" s="651">
        <v>0.14033995979573569</v>
      </c>
      <c r="G167" s="654">
        <v>0.29132305847375045</v>
      </c>
      <c r="H167" s="653">
        <v>0.314</v>
      </c>
      <c r="I167" s="920">
        <v>0.52</v>
      </c>
      <c r="J167" s="924">
        <v>1.1120000000000001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81">
        <f>IFERROR(INDEX([1]List!$AG$1:$AG$65480,MATCH(RIGHT((J167*1000),2),[1]List!$AI$1:$AI$65480,0))*-1,"")</f>
        <v>-7.7999999999999972</v>
      </c>
      <c r="N167" s="941"/>
      <c r="O167" s="942"/>
      <c r="Q167" s="162">
        <f t="shared" si="1059"/>
        <v>1.2950610847461368E-2</v>
      </c>
      <c r="R167" s="162">
        <f t="shared" si="1060"/>
        <v>2.7279774874307985</v>
      </c>
      <c r="S167" s="162">
        <f t="shared" si="1061"/>
        <v>-0.15644731698255576</v>
      </c>
      <c r="T167" s="162">
        <f t="shared" si="1062"/>
        <v>-0.94627457499714696</v>
      </c>
      <c r="U167" s="162">
        <f t="shared" si="1063"/>
        <v>0.14033995979573569</v>
      </c>
      <c r="V167" s="162">
        <f t="shared" si="1064"/>
        <v>0.29132305847375045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1.1120000000000001</v>
      </c>
      <c r="Z167" s="917">
        <f t="shared" si="1066"/>
        <v>1613</v>
      </c>
      <c r="AA167" s="82"/>
      <c r="AB167" s="75"/>
      <c r="AC167" s="166">
        <v>4.1000099999999993</v>
      </c>
      <c r="AD167" s="166">
        <v>-19.5</v>
      </c>
      <c r="AE167" s="75">
        <v>5.1280000000000001</v>
      </c>
      <c r="AF167" s="82">
        <v>5</v>
      </c>
      <c r="AG167" s="82">
        <v>1</v>
      </c>
      <c r="AH167" s="82">
        <v>1</v>
      </c>
      <c r="AI167" s="82">
        <v>1.0000000000582077</v>
      </c>
      <c r="AJ167" s="166">
        <v>5.1281100000000004</v>
      </c>
      <c r="AK167" s="82" t="str">
        <v>Base</v>
      </c>
      <c r="AL167" s="162">
        <v>-21</v>
      </c>
      <c r="AM167" s="162">
        <v>-3.6763899735491363</v>
      </c>
      <c r="AN167" s="162">
        <v>-2.0305769263489388</v>
      </c>
      <c r="AO167" s="162">
        <v>84.958848408102128</v>
      </c>
      <c r="AP167" s="162">
        <v>-29.731093753399225</v>
      </c>
      <c r="AQ167" s="162">
        <v>0</v>
      </c>
      <c r="AR167" s="710" t="str">
        <v>1613.par</v>
      </c>
      <c r="AV167" s="82" t="str">
        <v>0,102,204</v>
      </c>
      <c r="AW167" s="947">
        <v>74.5</v>
      </c>
      <c r="AX167" s="947">
        <v>84.958848408102128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5.9199220327478833E-2</v>
      </c>
      <c r="C168" s="651">
        <v>3.3446862323524242</v>
      </c>
      <c r="D168" s="652">
        <v>-0.62154871972838643</v>
      </c>
      <c r="E168" s="653">
        <v>-0.91195877795598812</v>
      </c>
      <c r="F168" s="651">
        <v>0.32088185681545767</v>
      </c>
      <c r="G168" s="654">
        <v>0.25566779475656493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81">
        <f>IFERROR(INDEX([1]List!$AG$1:$AG$65480,MATCH(RIGHT((J168*1000),2),[1]List!$AI$1:$AI$65480,0))*-1,"")</f>
        <v>-28.5</v>
      </c>
      <c r="N168" s="941"/>
      <c r="O168" s="942"/>
      <c r="Q168" s="162">
        <f t="shared" si="1059"/>
        <v>5.9199220327478833E-2</v>
      </c>
      <c r="R168" s="162">
        <f t="shared" si="1060"/>
        <v>3.3446862323524242</v>
      </c>
      <c r="S168" s="162">
        <f t="shared" si="1061"/>
        <v>-0.62154871972838643</v>
      </c>
      <c r="T168" s="162">
        <f t="shared" si="1062"/>
        <v>-0.91195877795598812</v>
      </c>
      <c r="U168" s="162">
        <f t="shared" si="1063"/>
        <v>0.32088185681545767</v>
      </c>
      <c r="V168" s="162">
        <f t="shared" si="1064"/>
        <v>0.25566779475656493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3.2000100000000002</v>
      </c>
      <c r="AD168" s="166">
        <v>-18.75</v>
      </c>
      <c r="AE168" s="75">
        <v>5.1230000000000002</v>
      </c>
      <c r="AF168" s="82">
        <v>5</v>
      </c>
      <c r="AG168" s="82">
        <v>1</v>
      </c>
      <c r="AH168" s="82">
        <v>1</v>
      </c>
      <c r="AI168" s="82">
        <v>1.0000000000582077</v>
      </c>
      <c r="AJ168" s="166">
        <v>5.1231100000000005</v>
      </c>
      <c r="AK168" s="82" t="str">
        <v>Base</v>
      </c>
      <c r="AL168" s="162">
        <v>-21</v>
      </c>
      <c r="AM168" s="162">
        <v>-3.6714850525293294</v>
      </c>
      <c r="AN168" s="162">
        <v>-1.2839180150083453</v>
      </c>
      <c r="AO168" s="162">
        <v>79.913905019697893</v>
      </c>
      <c r="AP168" s="162">
        <v>-28.793860688744381</v>
      </c>
      <c r="AQ168" s="162">
        <v>0</v>
      </c>
      <c r="AR168" s="710" t="str">
        <v>1613.par</v>
      </c>
      <c r="AV168" s="82" t="str">
        <v>0,102,204</v>
      </c>
      <c r="AW168" s="947">
        <v>53.5</v>
      </c>
      <c r="AX168" s="947">
        <v>79.913905019697893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0.10426529366424743</v>
      </c>
      <c r="C169" s="651">
        <v>3.6595260069197941</v>
      </c>
      <c r="D169" s="652">
        <v>-1.3279508502372122</v>
      </c>
      <c r="E169" s="653">
        <v>-0.86859567891918898</v>
      </c>
      <c r="F169" s="651">
        <v>0.480266545646513</v>
      </c>
      <c r="G169" s="654">
        <v>0.12200652316855488</v>
      </c>
      <c r="H169" s="653">
        <v>0.314</v>
      </c>
      <c r="I169" s="920">
        <v>0.52</v>
      </c>
      <c r="J169" s="924">
        <v>1.1220000000000001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81">
        <f>IFERROR(INDEX([1]List!$AG$1:$AG$65480,MATCH(RIGHT((J169*1000),2),[1]List!$AI$1:$AI$65480,0))*-1,"")</f>
        <v>-49.300000000000011</v>
      </c>
      <c r="N169" s="941"/>
      <c r="O169" s="942"/>
      <c r="Q169" s="162">
        <f t="shared" si="1059"/>
        <v>0.10426529366424743</v>
      </c>
      <c r="R169" s="162">
        <f t="shared" si="1060"/>
        <v>3.6595260069197941</v>
      </c>
      <c r="S169" s="162">
        <f t="shared" si="1061"/>
        <v>-1.3279508502372122</v>
      </c>
      <c r="T169" s="162">
        <f t="shared" si="1062"/>
        <v>-0.86859567891918898</v>
      </c>
      <c r="U169" s="162">
        <f t="shared" si="1063"/>
        <v>0.480266545646513</v>
      </c>
      <c r="V169" s="162">
        <f t="shared" si="1064"/>
        <v>0.12200652316855488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1.1220000000000001</v>
      </c>
      <c r="Z169" s="917">
        <f t="shared" si="1066"/>
        <v>1613</v>
      </c>
      <c r="AA169" s="82"/>
      <c r="AB169" s="75"/>
      <c r="AC169" s="166">
        <v>3.1000100000000002</v>
      </c>
      <c r="AD169" s="166">
        <v>-18</v>
      </c>
      <c r="AE169" s="75">
        <v>5.1180000000000003</v>
      </c>
      <c r="AF169" s="82">
        <v>5</v>
      </c>
      <c r="AG169" s="82">
        <v>1</v>
      </c>
      <c r="AH169" s="82">
        <v>1</v>
      </c>
      <c r="AI169" s="82">
        <v>1.0000000000582077</v>
      </c>
      <c r="AJ169" s="166">
        <v>5.1181100000000006</v>
      </c>
      <c r="AK169" s="82" t="str">
        <v>Base</v>
      </c>
      <c r="AL169" s="162">
        <v>-21</v>
      </c>
      <c r="AM169" s="162">
        <v>-3.4289973594508538</v>
      </c>
      <c r="AN169" s="162">
        <v>-0.55342107120614137</v>
      </c>
      <c r="AO169" s="162">
        <v>54.610535577280324</v>
      </c>
      <c r="AP169" s="162">
        <v>-24.126241920524311</v>
      </c>
      <c r="AQ169" s="162">
        <v>0</v>
      </c>
      <c r="AR169" s="710" t="str">
        <v>1613.par</v>
      </c>
      <c r="AV169" s="82" t="str">
        <v>0,102,204</v>
      </c>
      <c r="AW169" s="947">
        <v>32.700000000000003</v>
      </c>
      <c r="AX169" s="947">
        <v>54.610535577280324</v>
      </c>
      <c r="AY169" s="947">
        <v>0</v>
      </c>
    </row>
    <row r="170" spans="2:58" x14ac:dyDescent="0.25">
      <c r="B170" s="650">
        <v>0.11707593681760431</v>
      </c>
      <c r="C170" s="651">
        <v>3.6844515036945573</v>
      </c>
      <c r="D170" s="652">
        <v>-2.1077532021211058</v>
      </c>
      <c r="E170" s="653">
        <v>-0.8497691690264656</v>
      </c>
      <c r="F170" s="651">
        <v>0.52535066355459703</v>
      </c>
      <c r="G170" s="654">
        <v>4.3577972357774823E-2</v>
      </c>
      <c r="H170" s="653">
        <v>0.314</v>
      </c>
      <c r="I170" s="920">
        <v>0.52</v>
      </c>
      <c r="J170" s="924">
        <v>1.127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81">
        <f>IFERROR(INDEX([1]List!$AG$1:$AG$65480,MATCH(RIGHT((J170*1000),2),[1]List!$AI$1:$AI$65480,0))*-1,"")</f>
        <v>-70.300000000000011</v>
      </c>
      <c r="N170" s="941"/>
      <c r="O170" s="942"/>
      <c r="Q170" s="162">
        <f t="shared" si="1059"/>
        <v>0.11707593681760431</v>
      </c>
      <c r="R170" s="162">
        <f t="shared" si="1060"/>
        <v>3.6844515036945573</v>
      </c>
      <c r="S170" s="162">
        <f t="shared" si="1061"/>
        <v>-2.1077532021211058</v>
      </c>
      <c r="T170" s="162">
        <f t="shared" si="1062"/>
        <v>-0.8497691690264656</v>
      </c>
      <c r="U170" s="162">
        <f t="shared" si="1063"/>
        <v>0.52535066355459703</v>
      </c>
      <c r="V170" s="162">
        <f t="shared" si="1064"/>
        <v>4.3577972357774823E-2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1.127</v>
      </c>
      <c r="Z170" s="917">
        <f t="shared" si="1066"/>
        <v>1613</v>
      </c>
      <c r="AA170" s="82"/>
      <c r="AB170" s="75"/>
      <c r="AC170" s="166">
        <v>2.2000100000000002</v>
      </c>
      <c r="AD170" s="166">
        <v>-17.25</v>
      </c>
      <c r="AE170" s="75">
        <v>5.1130000000000004</v>
      </c>
      <c r="AF170" s="82">
        <v>5</v>
      </c>
      <c r="AG170" s="82">
        <v>1</v>
      </c>
      <c r="AH170" s="82">
        <v>1</v>
      </c>
      <c r="AI170" s="82">
        <v>1.0000000000582077</v>
      </c>
      <c r="AJ170" s="166">
        <v>5.1131100000000007</v>
      </c>
      <c r="AK170" s="82" t="str">
        <v>Base</v>
      </c>
      <c r="AL170" s="162">
        <v>-21</v>
      </c>
      <c r="AM170" s="162">
        <v>-2.8663016148626594</v>
      </c>
      <c r="AN170" s="162">
        <v>-2.8595883202533784E-2</v>
      </c>
      <c r="AO170" s="162">
        <v>29.080011129749568</v>
      </c>
      <c r="AP170" s="162">
        <v>-19.501903116233269</v>
      </c>
      <c r="AQ170" s="162">
        <v>0</v>
      </c>
      <c r="AR170" s="710" t="str">
        <v>1613.par</v>
      </c>
      <c r="AV170" s="82" t="str">
        <v>0,102,204</v>
      </c>
      <c r="AW170" s="947">
        <v>11.900000000000006</v>
      </c>
      <c r="AX170" s="947">
        <v>29.080011129749568</v>
      </c>
      <c r="AY170" s="947">
        <v>0</v>
      </c>
    </row>
    <row r="171" spans="2:58" x14ac:dyDescent="0.25">
      <c r="B171" s="650">
        <v>1.2119417915035986</v>
      </c>
      <c r="C171" s="651">
        <v>3.1046030498823125</v>
      </c>
      <c r="D171" s="652">
        <v>-0.66583665348385235</v>
      </c>
      <c r="E171" s="653">
        <v>0.27610433210388047</v>
      </c>
      <c r="F171" s="651">
        <v>0.70729003450895622</v>
      </c>
      <c r="G171" s="654">
        <v>0.65077431178388545</v>
      </c>
      <c r="H171" s="653">
        <v>0.25700000000000001</v>
      </c>
      <c r="I171" s="920">
        <v>0.41499999999999992</v>
      </c>
      <c r="J171" s="924">
        <v>1.2170000000000001</v>
      </c>
      <c r="K171" s="790" t="str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CPS-32193r1</v>
      </c>
      <c r="L171" s="940" t="s">
        <v>420</v>
      </c>
      <c r="M171" s="981">
        <f>IFERROR(INDEX([1]List!$AG$1:$AG$65480,MATCH(RIGHT((J171*1000),2),[1]List!$AI$1:$AI$65480,0))*-1,"")</f>
        <v>-28.5</v>
      </c>
      <c r="N171" s="941"/>
      <c r="O171" s="942"/>
      <c r="Q171" s="162">
        <f t="shared" si="1059"/>
        <v>1.2119417915035986</v>
      </c>
      <c r="R171" s="162">
        <f t="shared" si="1060"/>
        <v>3.1046030498823125</v>
      </c>
      <c r="S171" s="162">
        <f t="shared" si="1061"/>
        <v>-0.66583665348385235</v>
      </c>
      <c r="T171" s="162">
        <f t="shared" si="1062"/>
        <v>0.27610433210388047</v>
      </c>
      <c r="U171" s="162">
        <f t="shared" si="1063"/>
        <v>0.70729003450895622</v>
      </c>
      <c r="V171" s="162">
        <f t="shared" si="1064"/>
        <v>0.65077431178388545</v>
      </c>
      <c r="W171" s="162">
        <f>IFERROR(IF(ISNUMBER(MATCH($Z171,Settings!$AK$28:$AK$36,0)),INDEX(Settings!$AO$14:$AO$36,MATCH($Z171,Settings!$AK$14:$AK$36,0))/2,INDEX(Settings!$AM$14:$AM$36,MATCH($Z171,Settings!$AK$14:$AK$36,0))/2),"")</f>
        <v>0.255</v>
      </c>
      <c r="X171" s="162">
        <f t="shared" si="1065"/>
        <v>0.41499999999999992</v>
      </c>
      <c r="Y171" s="75">
        <v>1.2170000000000001</v>
      </c>
      <c r="Z171" s="917" t="str">
        <f t="shared" si="1066"/>
        <v>CPS-32193r1</v>
      </c>
      <c r="AA171" s="82"/>
      <c r="AB171" s="75"/>
      <c r="AC171" s="166">
        <v>2.1000100000000002</v>
      </c>
      <c r="AD171" s="166">
        <v>-16.5</v>
      </c>
      <c r="AE171" s="75">
        <v>5.1079999999999997</v>
      </c>
      <c r="AF171" s="82">
        <v>5</v>
      </c>
      <c r="AG171" s="82">
        <v>1</v>
      </c>
      <c r="AH171" s="82">
        <v>1</v>
      </c>
      <c r="AI171" s="82">
        <v>0.99999999998544808</v>
      </c>
      <c r="AJ171" s="166">
        <v>5.1081099999999999</v>
      </c>
      <c r="AK171" s="82" t="str">
        <v>Base</v>
      </c>
      <c r="AL171" s="162">
        <v>-21</v>
      </c>
      <c r="AM171" s="162">
        <v>-2.0989440852534105</v>
      </c>
      <c r="AN171" s="162">
        <v>0.14060660973429495</v>
      </c>
      <c r="AO171" s="162">
        <v>3.0340792939718386</v>
      </c>
      <c r="AP171" s="162">
        <v>-14.963049383604226</v>
      </c>
      <c r="AQ171" s="162">
        <v>0</v>
      </c>
      <c r="AR171" s="710" t="str">
        <v>1613.par</v>
      </c>
      <c r="AV171" s="82" t="str">
        <v>0,102,204</v>
      </c>
      <c r="AW171" s="947">
        <v>-12.900000000000006</v>
      </c>
      <c r="AX171" s="947">
        <v>3.0340792939718386</v>
      </c>
      <c r="AY171" s="947">
        <v>0</v>
      </c>
    </row>
    <row r="172" spans="2:58" x14ac:dyDescent="0.25">
      <c r="B172" s="650">
        <v>1.3531988924678819</v>
      </c>
      <c r="C172" s="651">
        <v>3.371757066798394</v>
      </c>
      <c r="D172" s="652">
        <v>-1.3691375047813303</v>
      </c>
      <c r="E172" s="653">
        <v>0.36563892945533316</v>
      </c>
      <c r="F172" s="651">
        <v>0.91106019310969855</v>
      </c>
      <c r="G172" s="654">
        <v>0.19046652671185232</v>
      </c>
      <c r="H172" s="653">
        <v>0.25700000000000001</v>
      </c>
      <c r="I172" s="920">
        <v>0.41499999999999992</v>
      </c>
      <c r="J172" s="924">
        <v>1.222</v>
      </c>
      <c r="K172" s="790" t="str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CPS-32193r1</v>
      </c>
      <c r="L172" s="940" t="s">
        <v>420</v>
      </c>
      <c r="M172" s="981">
        <f>IFERROR(INDEX([1]List!$AG$1:$AG$65480,MATCH(RIGHT((J172*1000),2),[1]List!$AI$1:$AI$65480,0))*-1,"")</f>
        <v>-49.300000000000011</v>
      </c>
      <c r="N172" s="941"/>
      <c r="O172" s="942"/>
      <c r="Q172" s="162">
        <f t="shared" si="1059"/>
        <v>1.3531988924678819</v>
      </c>
      <c r="R172" s="162">
        <f t="shared" si="1060"/>
        <v>3.371757066798394</v>
      </c>
      <c r="S172" s="162">
        <f t="shared" si="1061"/>
        <v>-1.3691375047813303</v>
      </c>
      <c r="T172" s="162">
        <f t="shared" si="1062"/>
        <v>0.36563892945533316</v>
      </c>
      <c r="U172" s="162">
        <f t="shared" si="1063"/>
        <v>0.91106019310969855</v>
      </c>
      <c r="V172" s="162">
        <f t="shared" si="1064"/>
        <v>0.19046652671185232</v>
      </c>
      <c r="W172" s="162">
        <f>IFERROR(IF(ISNUMBER(MATCH($Z172,Settings!$AK$28:$AK$36,0)),INDEX(Settings!$AO$14:$AO$36,MATCH($Z172,Settings!$AK$14:$AK$36,0))/2,INDEX(Settings!$AM$14:$AM$36,MATCH($Z172,Settings!$AK$14:$AK$36,0))/2),"")</f>
        <v>0.255</v>
      </c>
      <c r="X172" s="162">
        <f t="shared" si="1065"/>
        <v>0.41499999999999992</v>
      </c>
      <c r="Y172" s="75">
        <v>1.222</v>
      </c>
      <c r="Z172" s="917" t="str">
        <f t="shared" si="1066"/>
        <v>CPS-32193r1</v>
      </c>
      <c r="AA172" s="82"/>
      <c r="AB172" s="75"/>
      <c r="AC172" s="166">
        <v>1.20001</v>
      </c>
      <c r="AD172" s="166">
        <v>-15.75</v>
      </c>
      <c r="AE172" s="75">
        <v>4.2240000000000002</v>
      </c>
      <c r="AF172" s="82">
        <v>4</v>
      </c>
      <c r="AG172" s="82">
        <v>2</v>
      </c>
      <c r="AH172" s="82">
        <v>1</v>
      </c>
      <c r="AI172" s="82">
        <v>1.0000000000582077</v>
      </c>
      <c r="AJ172" s="166">
        <v>4.2241100000000005</v>
      </c>
      <c r="AK172" s="82" t="str">
        <v>Base</v>
      </c>
      <c r="AL172" s="162">
        <v>-20.25</v>
      </c>
      <c r="AM172" s="162">
        <v>-3.6520747310256145</v>
      </c>
      <c r="AN172" s="162">
        <v>-1.513870617640884</v>
      </c>
      <c r="AO172" s="162">
        <v>84.999987727520178</v>
      </c>
      <c r="AP172" s="162">
        <v>0</v>
      </c>
      <c r="AQ172" s="162">
        <v>0</v>
      </c>
      <c r="AR172" s="710" t="str">
        <v>32193r1.par</v>
      </c>
      <c r="AV172" s="82" t="str">
        <v>91,255,255</v>
      </c>
      <c r="AW172" s="947">
        <v>57.699999999999989</v>
      </c>
      <c r="AX172" s="947">
        <v>84.999987727520178</v>
      </c>
      <c r="AY172" s="947">
        <v>0</v>
      </c>
    </row>
    <row r="173" spans="2:58" x14ac:dyDescent="0.25">
      <c r="B173" s="650">
        <v>1.465620481169559</v>
      </c>
      <c r="C173" s="651">
        <v>3.3450869116021669</v>
      </c>
      <c r="D173" s="652">
        <v>-2.1471489667249579</v>
      </c>
      <c r="E173" s="653">
        <v>0.39978462461118036</v>
      </c>
      <c r="F173" s="651">
        <v>0.91245607742836243</v>
      </c>
      <c r="G173" s="654">
        <v>8.7155956127758935E-2</v>
      </c>
      <c r="H173" s="653">
        <v>0.25700000000000001</v>
      </c>
      <c r="I173" s="920">
        <v>0.41499999999999992</v>
      </c>
      <c r="J173" s="924">
        <v>1.2270000000000001</v>
      </c>
      <c r="K173" s="790" t="str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CPS-32193r1</v>
      </c>
      <c r="L173" s="940" t="s">
        <v>420</v>
      </c>
      <c r="M173" s="981">
        <f>IFERROR(INDEX([1]List!$AG$1:$AG$65480,MATCH(RIGHT((J173*1000),2),[1]List!$AI$1:$AI$65480,0))*-1,"")</f>
        <v>-70.300000000000011</v>
      </c>
      <c r="N173" s="941"/>
      <c r="O173" s="942"/>
      <c r="Q173" s="162">
        <f t="shared" si="1059"/>
        <v>1.465620481169559</v>
      </c>
      <c r="R173" s="162">
        <f t="shared" si="1060"/>
        <v>3.3450869116021669</v>
      </c>
      <c r="S173" s="162">
        <f t="shared" si="1061"/>
        <v>-2.1471489667249579</v>
      </c>
      <c r="T173" s="162">
        <f t="shared" si="1062"/>
        <v>0.39978462461118036</v>
      </c>
      <c r="U173" s="162">
        <f t="shared" si="1063"/>
        <v>0.91245607742836243</v>
      </c>
      <c r="V173" s="162">
        <f t="shared" si="1064"/>
        <v>8.7155956127758935E-2</v>
      </c>
      <c r="W173" s="162">
        <f>IFERROR(IF(ISNUMBER(MATCH($Z173,Settings!$AK$28:$AK$36,0)),INDEX(Settings!$AO$14:$AO$36,MATCH($Z173,Settings!$AK$14:$AK$36,0))/2,INDEX(Settings!$AM$14:$AM$36,MATCH($Z173,Settings!$AK$14:$AK$36,0))/2),"")</f>
        <v>0.255</v>
      </c>
      <c r="X173" s="162">
        <f t="shared" si="1065"/>
        <v>0.41499999999999992</v>
      </c>
      <c r="Y173" s="75">
        <v>1.2270000000000001</v>
      </c>
      <c r="Z173" s="917" t="str">
        <f t="shared" si="1066"/>
        <v>CPS-32193r1</v>
      </c>
      <c r="AA173" s="82"/>
      <c r="AB173" s="75"/>
      <c r="AC173" s="166">
        <v>1.1000100000000002</v>
      </c>
      <c r="AD173" s="166">
        <v>-15</v>
      </c>
      <c r="AE173" s="75">
        <v>4.2190000000000003</v>
      </c>
      <c r="AF173" s="82">
        <v>4</v>
      </c>
      <c r="AG173" s="82">
        <v>2</v>
      </c>
      <c r="AH173" s="82">
        <v>1</v>
      </c>
      <c r="AI173" s="82">
        <v>1.0000000000582077</v>
      </c>
      <c r="AJ173" s="166">
        <v>4.2191100000000006</v>
      </c>
      <c r="AK173" s="82" t="str">
        <v>Base</v>
      </c>
      <c r="AL173" s="162">
        <v>-20.25</v>
      </c>
      <c r="AM173" s="162">
        <v>-3.494876855510944</v>
      </c>
      <c r="AN173" s="162">
        <v>-0.7665853456392846</v>
      </c>
      <c r="AO173" s="162">
        <v>61.189991165258363</v>
      </c>
      <c r="AP173" s="162">
        <v>0</v>
      </c>
      <c r="AQ173" s="162">
        <v>0</v>
      </c>
      <c r="AR173" s="710" t="str">
        <v>32193r1.par</v>
      </c>
      <c r="AV173" s="82" t="str">
        <v>91,255,255</v>
      </c>
      <c r="AW173" s="947">
        <v>36.799999999999997</v>
      </c>
      <c r="AX173" s="947">
        <v>61.189991165258363</v>
      </c>
      <c r="AY173" s="947">
        <v>0</v>
      </c>
    </row>
    <row r="174" spans="2:58" x14ac:dyDescent="0.25">
      <c r="B174" s="650">
        <v>2.4269331199644966</v>
      </c>
      <c r="C174" s="651">
        <v>0.8757578409117619</v>
      </c>
      <c r="D174" s="652">
        <v>-0.10594716467409665</v>
      </c>
      <c r="E174" s="653">
        <v>-0.2247419959886886</v>
      </c>
      <c r="F174" s="651">
        <v>0.93105358982306463</v>
      </c>
      <c r="G174" s="654">
        <v>0.28745477577630357</v>
      </c>
      <c r="H174" s="653">
        <v>0.314</v>
      </c>
      <c r="I174" s="920">
        <v>0.52</v>
      </c>
      <c r="J174" s="924">
        <v>2.1110000000000002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40" t="s">
        <v>423</v>
      </c>
      <c r="M174" s="981">
        <f>IFERROR(INDEX([1]List!$AG$1:$AG$65480,MATCH(RIGHT((J174*1000),2),[1]List!$AI$1:$AI$65480,0))*-1,"")</f>
        <v>-3.7000000000000028</v>
      </c>
      <c r="N174" s="941"/>
      <c r="O174" s="942"/>
      <c r="Q174" s="162">
        <f t="shared" si="1059"/>
        <v>2.4269331199644966</v>
      </c>
      <c r="R174" s="162">
        <f t="shared" si="1060"/>
        <v>0.8757578409117619</v>
      </c>
      <c r="S174" s="162">
        <f t="shared" si="1061"/>
        <v>-0.10594716467409665</v>
      </c>
      <c r="T174" s="162">
        <f t="shared" si="1062"/>
        <v>-0.2247419959886886</v>
      </c>
      <c r="U174" s="162">
        <f t="shared" si="1063"/>
        <v>0.93105358982306463</v>
      </c>
      <c r="V174" s="162">
        <f t="shared" si="1064"/>
        <v>0.28745477577630357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65"/>
        <v>0.52</v>
      </c>
      <c r="Y174" s="75">
        <v>2.1110000000000002</v>
      </c>
      <c r="Z174" s="917">
        <f t="shared" si="1066"/>
        <v>1613</v>
      </c>
      <c r="AA174" s="82"/>
      <c r="AB174" s="75"/>
      <c r="AC174" s="166">
        <v>5.2000200000000003</v>
      </c>
      <c r="AD174" s="166">
        <v>-14.25</v>
      </c>
      <c r="AE174" s="75">
        <v>4.2140000000000004</v>
      </c>
      <c r="AF174" s="82">
        <v>4</v>
      </c>
      <c r="AG174" s="82">
        <v>2</v>
      </c>
      <c r="AH174" s="82">
        <v>1</v>
      </c>
      <c r="AI174" s="82">
        <v>1.0000000000582077</v>
      </c>
      <c r="AJ174" s="166">
        <v>4.2141100000000007</v>
      </c>
      <c r="AK174" s="82" t="str">
        <v>Base</v>
      </c>
      <c r="AL174" s="162">
        <v>-20.25</v>
      </c>
      <c r="AM174" s="162">
        <v>-2.9979173928398555</v>
      </c>
      <c r="AN174" s="162">
        <v>-0.18429651175322603</v>
      </c>
      <c r="AO174" s="162">
        <v>31.899995394210528</v>
      </c>
      <c r="AP174" s="162">
        <v>0</v>
      </c>
      <c r="AQ174" s="162">
        <v>0</v>
      </c>
      <c r="AR174" s="710" t="str">
        <v>32193r1.par</v>
      </c>
      <c r="AV174" s="82" t="str">
        <v>91,255,255</v>
      </c>
      <c r="AW174" s="947">
        <v>16.099999999999994</v>
      </c>
      <c r="AX174" s="947">
        <v>31.899995394210528</v>
      </c>
      <c r="AY174" s="947">
        <v>0</v>
      </c>
    </row>
    <row r="175" spans="2:58" x14ac:dyDescent="0.25">
      <c r="B175" s="650">
        <v>3.0631894759170937</v>
      </c>
      <c r="C175" s="651">
        <v>1.0630575761854411</v>
      </c>
      <c r="D175" s="652">
        <v>-0.50384836474411632</v>
      </c>
      <c r="E175" s="653">
        <v>-4.7262461654306781E-2</v>
      </c>
      <c r="F175" s="651">
        <v>0.9615315691408004</v>
      </c>
      <c r="G175" s="654">
        <v>0.27059804371799401</v>
      </c>
      <c r="H175" s="653">
        <v>0.314</v>
      </c>
      <c r="I175" s="920">
        <v>0.52</v>
      </c>
      <c r="J175" s="924">
        <v>2.1160000000000001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940" t="s">
        <v>423</v>
      </c>
      <c r="M175" s="981">
        <f>IFERROR(INDEX([1]List!$AG$1:$AG$65480,MATCH(RIGHT((J175*1000),2),[1]List!$AI$1:$AI$65480,0))*-1,"")</f>
        <v>-24.400000000000006</v>
      </c>
      <c r="N175" s="941"/>
      <c r="O175" s="942"/>
      <c r="Q175" s="162">
        <f t="shared" si="1059"/>
        <v>3.0631894759170937</v>
      </c>
      <c r="R175" s="162">
        <f t="shared" si="1060"/>
        <v>1.0630575761854411</v>
      </c>
      <c r="S175" s="162">
        <f t="shared" si="1061"/>
        <v>-0.50384836474411632</v>
      </c>
      <c r="T175" s="162">
        <f t="shared" si="1062"/>
        <v>-4.7262461654306781E-2</v>
      </c>
      <c r="U175" s="162">
        <f t="shared" si="1063"/>
        <v>0.9615315691408004</v>
      </c>
      <c r="V175" s="162">
        <f t="shared" si="1064"/>
        <v>0.27059804371799401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65"/>
        <v>0.52</v>
      </c>
      <c r="Y175" s="75">
        <v>2.1160000000000001</v>
      </c>
      <c r="Z175" s="917">
        <f t="shared" si="1066"/>
        <v>1613</v>
      </c>
      <c r="AA175" s="82"/>
      <c r="AB175" s="75"/>
      <c r="AC175" s="166">
        <v>5.1000199999999998</v>
      </c>
      <c r="AD175" s="166">
        <v>-13.5</v>
      </c>
      <c r="AE175" s="75">
        <v>4.1239999999999997</v>
      </c>
      <c r="AF175" s="82">
        <v>4</v>
      </c>
      <c r="AG175" s="82">
        <v>1</v>
      </c>
      <c r="AH175" s="82">
        <v>1</v>
      </c>
      <c r="AI175" s="82">
        <v>0.99999999998544808</v>
      </c>
      <c r="AJ175" s="166">
        <v>4.1241099999999999</v>
      </c>
      <c r="AK175" s="82" t="str">
        <v>Base</v>
      </c>
      <c r="AL175" s="162">
        <v>-19.5</v>
      </c>
      <c r="AM175" s="162">
        <v>-3.6763899735491368</v>
      </c>
      <c r="AN175" s="162">
        <v>-1.4913489011041636</v>
      </c>
      <c r="AO175" s="162">
        <v>84.958848408102085</v>
      </c>
      <c r="AP175" s="162">
        <v>-29.73109375339925</v>
      </c>
      <c r="AQ175" s="162">
        <v>0</v>
      </c>
      <c r="AR175" s="710" t="str">
        <v>1613.par</v>
      </c>
      <c r="AV175" s="82" t="str">
        <v>0,204,204</v>
      </c>
      <c r="AW175" s="947">
        <v>57.699999999999989</v>
      </c>
      <c r="AX175" s="947">
        <v>84.958848408102085</v>
      </c>
      <c r="AY175" s="947">
        <v>0</v>
      </c>
    </row>
    <row r="176" spans="2:58" x14ac:dyDescent="0.25">
      <c r="B176" s="650">
        <v>3.4394699083966316</v>
      </c>
      <c r="C176" s="651">
        <v>1.1483585119444963</v>
      </c>
      <c r="D176" s="652">
        <v>-1.175650390899027</v>
      </c>
      <c r="E176" s="653">
        <v>0.12554772269889006</v>
      </c>
      <c r="F176" s="651">
        <v>0.97970267756813945</v>
      </c>
      <c r="G176" s="654">
        <v>0.15627038392139758</v>
      </c>
      <c r="H176" s="653">
        <v>0.314</v>
      </c>
      <c r="I176" s="920">
        <v>0.52</v>
      </c>
      <c r="J176" s="924">
        <v>2.121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40" t="s">
        <v>423</v>
      </c>
      <c r="M176" s="981">
        <f>IFERROR(INDEX([1]List!$AG$1:$AG$65480,MATCH(RIGHT((J176*1000),2),[1]List!$AI$1:$AI$65480,0))*-1,"")</f>
        <v>-45.199999999999989</v>
      </c>
      <c r="N176" s="941"/>
      <c r="O176" s="942"/>
      <c r="Q176" s="162">
        <f t="shared" si="1059"/>
        <v>3.4394699083966316</v>
      </c>
      <c r="R176" s="162">
        <f t="shared" si="1060"/>
        <v>1.1483585119444963</v>
      </c>
      <c r="S176" s="162">
        <f t="shared" si="1061"/>
        <v>-1.175650390899027</v>
      </c>
      <c r="T176" s="162">
        <f t="shared" si="1062"/>
        <v>0.12554772269889006</v>
      </c>
      <c r="U176" s="162">
        <f t="shared" si="1063"/>
        <v>0.97970267756813945</v>
      </c>
      <c r="V176" s="162">
        <f t="shared" si="1064"/>
        <v>0.15627038392139758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65"/>
        <v>0.52</v>
      </c>
      <c r="Y176" s="75">
        <v>2.121</v>
      </c>
      <c r="Z176" s="917">
        <f t="shared" si="1066"/>
        <v>1613</v>
      </c>
      <c r="AA176" s="82"/>
      <c r="AB176" s="75"/>
      <c r="AC176" s="166">
        <v>4.2000200000000003</v>
      </c>
      <c r="AD176" s="166">
        <v>-12.75</v>
      </c>
      <c r="AE176" s="75">
        <v>4.1189999999999998</v>
      </c>
      <c r="AF176" s="82">
        <v>4</v>
      </c>
      <c r="AG176" s="82">
        <v>1</v>
      </c>
      <c r="AH176" s="82">
        <v>1</v>
      </c>
      <c r="AI176" s="82">
        <v>0.99999999998544808</v>
      </c>
      <c r="AJ176" s="166">
        <v>4.11911</v>
      </c>
      <c r="AK176" s="82" t="str">
        <v>Base</v>
      </c>
      <c r="AL176" s="162">
        <v>-19.5</v>
      </c>
      <c r="AM176" s="162">
        <v>-3.5057517463881398</v>
      </c>
      <c r="AN176" s="162">
        <v>-0.74065648704847797</v>
      </c>
      <c r="AO176" s="162">
        <v>59.684305452381174</v>
      </c>
      <c r="AP176" s="162">
        <v>-25.057004984027962</v>
      </c>
      <c r="AQ176" s="162">
        <v>0</v>
      </c>
      <c r="AR176" s="710" t="str">
        <v>1613.par</v>
      </c>
      <c r="AV176" s="82" t="str">
        <v>0,204,204</v>
      </c>
      <c r="AW176" s="947">
        <v>36.799999999999997</v>
      </c>
      <c r="AX176" s="947">
        <v>59.684305452381174</v>
      </c>
      <c r="AY176" s="947">
        <v>0</v>
      </c>
    </row>
    <row r="177" spans="2:51" x14ac:dyDescent="0.25">
      <c r="B177" s="650">
        <v>3.5022749846217169</v>
      </c>
      <c r="C177" s="651">
        <v>1.1501998044478063</v>
      </c>
      <c r="D177" s="652">
        <v>-1.951552731020485</v>
      </c>
      <c r="E177" s="653">
        <v>0.20301361085996952</v>
      </c>
      <c r="F177" s="651">
        <v>0.97820572178391085</v>
      </c>
      <c r="G177" s="654">
        <v>4.3577972357774886E-2</v>
      </c>
      <c r="H177" s="653">
        <v>0.314</v>
      </c>
      <c r="I177" s="920">
        <v>0.52</v>
      </c>
      <c r="J177" s="924">
        <v>2.1259999999999999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40" t="s">
        <v>423</v>
      </c>
      <c r="M177" s="981">
        <f>IFERROR(INDEX([1]List!$AG$1:$AG$65480,MATCH(RIGHT((J177*1000),2),[1]List!$AI$1:$AI$65480,0))*-1,"")</f>
        <v>-66.099999999999994</v>
      </c>
      <c r="N177" s="941"/>
      <c r="O177" s="942"/>
      <c r="Q177" s="162">
        <f t="shared" si="1059"/>
        <v>3.5022749846217169</v>
      </c>
      <c r="R177" s="162">
        <f t="shared" si="1060"/>
        <v>1.1501998044478063</v>
      </c>
      <c r="S177" s="162">
        <f t="shared" si="1061"/>
        <v>-1.951552731020485</v>
      </c>
      <c r="T177" s="162">
        <f t="shared" si="1062"/>
        <v>0.20301361085996952</v>
      </c>
      <c r="U177" s="162">
        <f t="shared" si="1063"/>
        <v>0.97820572178391085</v>
      </c>
      <c r="V177" s="162">
        <f t="shared" si="1064"/>
        <v>4.3577972357774886E-2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65"/>
        <v>0.52</v>
      </c>
      <c r="Y177" s="75">
        <v>2.1259999999999999</v>
      </c>
      <c r="Z177" s="917">
        <f t="shared" si="1066"/>
        <v>1613</v>
      </c>
      <c r="AA177" s="82"/>
      <c r="AB177" s="75"/>
      <c r="AC177" s="166">
        <v>4.1000199999999998</v>
      </c>
      <c r="AD177" s="166">
        <v>-12</v>
      </c>
      <c r="AE177" s="75">
        <v>4.1139999999999999</v>
      </c>
      <c r="AF177" s="82">
        <v>4</v>
      </c>
      <c r="AG177" s="82">
        <v>1</v>
      </c>
      <c r="AH177" s="82">
        <v>1</v>
      </c>
      <c r="AI177" s="82">
        <v>0.99999999998544808</v>
      </c>
      <c r="AJ177" s="166">
        <v>4.1141100000000002</v>
      </c>
      <c r="AK177" s="82" t="str">
        <v>Base</v>
      </c>
      <c r="AL177" s="162">
        <v>-19.5</v>
      </c>
      <c r="AM177" s="162">
        <v>-2.9994266191990069</v>
      </c>
      <c r="AN177" s="162">
        <v>-0.1611271397499921</v>
      </c>
      <c r="AO177" s="162">
        <v>34.21383592778119</v>
      </c>
      <c r="AP177" s="162">
        <v>-20.421917838998581</v>
      </c>
      <c r="AQ177" s="162">
        <v>0</v>
      </c>
      <c r="AR177" s="710" t="str">
        <v>1613.par</v>
      </c>
      <c r="AV177" s="82" t="str">
        <v>0,204,204</v>
      </c>
      <c r="AW177" s="947">
        <v>16.099999999999994</v>
      </c>
      <c r="AX177" s="947">
        <v>34.21383592778119</v>
      </c>
      <c r="AY177" s="947">
        <v>0</v>
      </c>
    </row>
    <row r="178" spans="2:51" x14ac:dyDescent="0.25">
      <c r="B178" s="650">
        <v>3.2315200592337208</v>
      </c>
      <c r="C178" s="651">
        <v>-8.1663566517285846E-2</v>
      </c>
      <c r="D178" s="652">
        <v>-0.5480174499786935</v>
      </c>
      <c r="E178" s="653">
        <v>0.688640880157812</v>
      </c>
      <c r="F178" s="651">
        <v>-1.7402605984944829E-2</v>
      </c>
      <c r="G178" s="654">
        <v>0.72489370771196981</v>
      </c>
      <c r="H178" s="653">
        <v>0.25700000000000001</v>
      </c>
      <c r="I178" s="920">
        <v>0.41499999999999992</v>
      </c>
      <c r="J178" s="924">
        <v>2.2160000000000002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420</v>
      </c>
      <c r="M178" s="981">
        <f>IFERROR(INDEX([1]List!$AG$1:$AG$65480,MATCH(RIGHT((J178*1000),2),[1]List!$AI$1:$AI$65480,0))*-1,"")</f>
        <v>-24.400000000000006</v>
      </c>
      <c r="N178" s="941"/>
      <c r="O178" s="942"/>
      <c r="Q178" s="162">
        <f t="shared" si="1059"/>
        <v>3.2315200592337208</v>
      </c>
      <c r="R178" s="162">
        <f t="shared" si="1060"/>
        <v>-8.1663566517285846E-2</v>
      </c>
      <c r="S178" s="162">
        <f t="shared" si="1061"/>
        <v>-0.5480174499786935</v>
      </c>
      <c r="T178" s="162">
        <f t="shared" si="1062"/>
        <v>0.688640880157812</v>
      </c>
      <c r="U178" s="162">
        <f t="shared" si="1063"/>
        <v>-1.7402605984944829E-2</v>
      </c>
      <c r="V178" s="162">
        <f t="shared" si="1064"/>
        <v>0.72489370771196981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2.2160000000000002</v>
      </c>
      <c r="Z178" s="917" t="str">
        <f t="shared" si="1066"/>
        <v>CPS-32193r1</v>
      </c>
      <c r="AA178" s="82"/>
      <c r="AB178" s="75"/>
      <c r="AC178" s="166">
        <v>3.2000200000000003</v>
      </c>
      <c r="AD178" s="166">
        <v>-11.25</v>
      </c>
      <c r="AE178" s="75">
        <v>4.109</v>
      </c>
      <c r="AF178" s="82">
        <v>4</v>
      </c>
      <c r="AG178" s="82">
        <v>1</v>
      </c>
      <c r="AH178" s="82">
        <v>1</v>
      </c>
      <c r="AI178" s="82">
        <v>1.0000000000582077</v>
      </c>
      <c r="AJ178" s="166">
        <v>4.1091100000000003</v>
      </c>
      <c r="AK178" s="82" t="str">
        <v>Base</v>
      </c>
      <c r="AL178" s="162">
        <v>-19.5</v>
      </c>
      <c r="AM178" s="162">
        <v>-2.2716346233806917</v>
      </c>
      <c r="AN178" s="162">
        <v>8.8252519413998559E-2</v>
      </c>
      <c r="AO178" s="162">
        <v>8.3186955474278008</v>
      </c>
      <c r="AP178" s="162">
        <v>-15.860276532774082</v>
      </c>
      <c r="AQ178" s="162">
        <v>0</v>
      </c>
      <c r="AR178" s="710" t="str">
        <v>1613.par</v>
      </c>
      <c r="AV178" s="82" t="str">
        <v>0,204,204</v>
      </c>
      <c r="AW178" s="947">
        <v>-4.5999999999999943</v>
      </c>
      <c r="AX178" s="947">
        <v>8.3186955474278008</v>
      </c>
      <c r="AY178" s="947">
        <v>0</v>
      </c>
    </row>
    <row r="179" spans="2:51" x14ac:dyDescent="0.25">
      <c r="B179" s="650">
        <v>3.6000821679991502</v>
      </c>
      <c r="C179" s="651">
        <v>-0.10191576301175179</v>
      </c>
      <c r="D179" s="652">
        <v>-1.2180734603095951</v>
      </c>
      <c r="E179" s="653">
        <v>0.95622725777181083</v>
      </c>
      <c r="F179" s="651">
        <v>-2.7070112858733127E-2</v>
      </c>
      <c r="G179" s="654">
        <v>0.29137028071513804</v>
      </c>
      <c r="H179" s="653">
        <v>0.25700000000000001</v>
      </c>
      <c r="I179" s="920">
        <v>0.41499999999999992</v>
      </c>
      <c r="J179" s="924">
        <v>2.2210000000000001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420</v>
      </c>
      <c r="M179" s="981">
        <f>IFERROR(INDEX([1]List!$AG$1:$AG$65480,MATCH(RIGHT((J179*1000),2),[1]List!$AI$1:$AI$65480,0))*-1,"")</f>
        <v>-45.199999999999989</v>
      </c>
      <c r="N179" s="941"/>
      <c r="O179" s="942"/>
      <c r="Q179" s="162">
        <f t="shared" si="1059"/>
        <v>3.6000821679991502</v>
      </c>
      <c r="R179" s="162">
        <f t="shared" si="1060"/>
        <v>-0.10191576301175179</v>
      </c>
      <c r="S179" s="162">
        <f t="shared" si="1061"/>
        <v>-1.2180734603095951</v>
      </c>
      <c r="T179" s="162">
        <f t="shared" si="1062"/>
        <v>0.95622725777181083</v>
      </c>
      <c r="U179" s="162">
        <f t="shared" si="1063"/>
        <v>-2.7070112858733127E-2</v>
      </c>
      <c r="V179" s="162">
        <f t="shared" si="1064"/>
        <v>0.29137028071513804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2.2210000000000001</v>
      </c>
      <c r="Z179" s="917" t="str">
        <f t="shared" si="1066"/>
        <v>CPS-32193r1</v>
      </c>
      <c r="AA179" s="82"/>
      <c r="AB179" s="75"/>
      <c r="AC179" s="166">
        <v>3.1000200000000002</v>
      </c>
      <c r="AD179" s="166">
        <v>-10.5</v>
      </c>
      <c r="AE179" s="75">
        <v>4.1050000000000004</v>
      </c>
      <c r="AF179" s="82">
        <v>4</v>
      </c>
      <c r="AG179" s="82">
        <v>1</v>
      </c>
      <c r="AH179" s="82">
        <v>1</v>
      </c>
      <c r="AI179" s="82">
        <v>1.0000000000582077</v>
      </c>
      <c r="AJ179" s="166">
        <v>4.1051100000000007</v>
      </c>
      <c r="AK179" s="82" t="str">
        <v>Base</v>
      </c>
      <c r="AL179" s="162">
        <v>-19.5</v>
      </c>
      <c r="AM179" s="162">
        <v>-1.4605128276860875</v>
      </c>
      <c r="AN179" s="162">
        <v>-0.13973401226618162</v>
      </c>
      <c r="AO179" s="162">
        <v>-4.8193491845055059</v>
      </c>
      <c r="AP179" s="162">
        <v>-15.045087330454345</v>
      </c>
      <c r="AQ179" s="162">
        <v>0</v>
      </c>
      <c r="AR179" s="710" t="str">
        <v>1913.par</v>
      </c>
      <c r="AV179" s="82" t="str">
        <v>0,204,204</v>
      </c>
      <c r="AW179" s="947">
        <v>-20</v>
      </c>
      <c r="AX179" s="947">
        <v>-4.8193491845055059</v>
      </c>
      <c r="AY179" s="947">
        <v>0</v>
      </c>
    </row>
    <row r="180" spans="2:51" x14ac:dyDescent="0.25">
      <c r="B180" s="650">
        <v>3.6459909250619122</v>
      </c>
      <c r="C180" s="651">
        <v>-0.21071311150947059</v>
      </c>
      <c r="D180" s="652">
        <v>-1.9903624469054964</v>
      </c>
      <c r="E180" s="653">
        <v>0.99453516926051611</v>
      </c>
      <c r="F180" s="651">
        <v>-5.747726868434868E-2</v>
      </c>
      <c r="G180" s="654">
        <v>8.7155956127758907E-2</v>
      </c>
      <c r="H180" s="653">
        <v>0.25700000000000001</v>
      </c>
      <c r="I180" s="920">
        <v>0.41499999999999992</v>
      </c>
      <c r="J180" s="924">
        <v>2.226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40" t="s">
        <v>420</v>
      </c>
      <c r="M180" s="981">
        <f>IFERROR(INDEX([1]List!$AG$1:$AG$65480,MATCH(RIGHT((J180*1000),2),[1]List!$AI$1:$AI$65480,0))*-1,"")</f>
        <v>-66.099999999999994</v>
      </c>
      <c r="N180" s="941"/>
      <c r="O180" s="942"/>
      <c r="Q180" s="162">
        <f t="shared" si="1059"/>
        <v>3.6459909250619122</v>
      </c>
      <c r="R180" s="162">
        <f t="shared" si="1060"/>
        <v>-0.21071311150947059</v>
      </c>
      <c r="S180" s="162">
        <f t="shared" si="1061"/>
        <v>-1.9903624469054964</v>
      </c>
      <c r="T180" s="162">
        <f t="shared" si="1062"/>
        <v>0.99453516926051611</v>
      </c>
      <c r="U180" s="162">
        <f t="shared" si="1063"/>
        <v>-5.747726868434868E-2</v>
      </c>
      <c r="V180" s="162">
        <f t="shared" si="1064"/>
        <v>8.7155956127758907E-2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65"/>
        <v>0.41499999999999992</v>
      </c>
      <c r="Y180" s="75">
        <v>2.226</v>
      </c>
      <c r="Z180" s="917" t="str">
        <f t="shared" si="1066"/>
        <v>CPS-32193r1</v>
      </c>
      <c r="AA180" s="82"/>
      <c r="AB180" s="75"/>
      <c r="AC180" s="166">
        <v>2.2000200000000003</v>
      </c>
      <c r="AD180" s="166">
        <v>-9.75</v>
      </c>
      <c r="AE180" s="75">
        <v>4.1020000000000003</v>
      </c>
      <c r="AF180" s="82">
        <v>4</v>
      </c>
      <c r="AG180" s="82">
        <v>1</v>
      </c>
      <c r="AH180" s="82">
        <v>1</v>
      </c>
      <c r="AI180" s="82">
        <v>1.0000000000582077</v>
      </c>
      <c r="AJ180" s="166">
        <v>4.1021100000000006</v>
      </c>
      <c r="AK180" s="82" t="str">
        <v>Base</v>
      </c>
      <c r="AL180" s="162">
        <v>-19.5</v>
      </c>
      <c r="AM180" s="162">
        <v>-0.60957584921410435</v>
      </c>
      <c r="AN180" s="162">
        <v>-0.45032919073799299</v>
      </c>
      <c r="AO180" s="162">
        <v>-11.06979942227813</v>
      </c>
      <c r="AP180" s="162">
        <v>-19.264111801865333</v>
      </c>
      <c r="AQ180" s="162">
        <v>0</v>
      </c>
      <c r="AR180" s="710" t="str">
        <v>1913.par</v>
      </c>
      <c r="AV180" s="82" t="str">
        <v>0,204,204</v>
      </c>
      <c r="AW180" s="947">
        <v>-20</v>
      </c>
      <c r="AX180" s="947">
        <v>-11.06979942227813</v>
      </c>
      <c r="AY180" s="947">
        <v>0</v>
      </c>
    </row>
    <row r="181" spans="2:51" x14ac:dyDescent="0.25">
      <c r="B181" s="650">
        <v>0.63109434776787765</v>
      </c>
      <c r="C181" s="651">
        <v>-0.63109506341317045</v>
      </c>
      <c r="D181" s="652">
        <v>-0.4889484746685997</v>
      </c>
      <c r="E181" s="653">
        <v>0.66178866743937248</v>
      </c>
      <c r="F181" s="651">
        <v>0.69063052227153965</v>
      </c>
      <c r="G181" s="654">
        <v>0.29165946128277759</v>
      </c>
      <c r="H181" s="653">
        <v>0.3765</v>
      </c>
      <c r="I181" s="920">
        <v>0.52</v>
      </c>
      <c r="J181" s="924">
        <v>3.1030000000000002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1913</v>
      </c>
      <c r="L181" s="940" t="s">
        <v>424</v>
      </c>
      <c r="M181" s="981">
        <f>IFERROR(INDEX([1]List!$AG$1:$AG$65480,MATCH(RIGHT((J181*1000),2),[1]List!$AI$1:$AI$65480,0))*-1,"")</f>
        <v>20</v>
      </c>
      <c r="N181" s="941"/>
      <c r="O181" s="942"/>
      <c r="Q181" s="162">
        <f t="shared" si="1059"/>
        <v>0.63109434776787765</v>
      </c>
      <c r="R181" s="162">
        <f t="shared" si="1060"/>
        <v>-0.63109506341317045</v>
      </c>
      <c r="S181" s="162">
        <f t="shared" si="1061"/>
        <v>-0.4889484746685997</v>
      </c>
      <c r="T181" s="162">
        <f t="shared" si="1062"/>
        <v>0.66178866743937248</v>
      </c>
      <c r="U181" s="162">
        <f t="shared" si="1063"/>
        <v>0.69063052227153965</v>
      </c>
      <c r="V181" s="162">
        <f t="shared" si="1064"/>
        <v>0.29165946128277759</v>
      </c>
      <c r="W181" s="162">
        <f>IFERROR(IF(ISNUMBER(MATCH($Z181,Settings!$AK$28:$AK$36,0)),INDEX(Settings!$AO$14:$AO$36,MATCH($Z181,Settings!$AK$14:$AK$36,0))/2,INDEX(Settings!$AM$14:$AM$36,MATCH($Z181,Settings!$AK$14:$AK$36,0))/2),"")</f>
        <v>0.375</v>
      </c>
      <c r="X181" s="162">
        <f t="shared" si="1065"/>
        <v>0.52</v>
      </c>
      <c r="Y181" s="75">
        <v>3.1030000000000002</v>
      </c>
      <c r="Z181" s="917">
        <f t="shared" si="1066"/>
        <v>1913</v>
      </c>
      <c r="AA181" s="82"/>
      <c r="AB181" s="75"/>
      <c r="AC181" s="166">
        <v>2.1000200000000002</v>
      </c>
      <c r="AD181" s="166">
        <v>-9</v>
      </c>
      <c r="AE181" s="75">
        <v>3.2250000000000001</v>
      </c>
      <c r="AF181" s="82">
        <v>3</v>
      </c>
      <c r="AG181" s="82">
        <v>2</v>
      </c>
      <c r="AH181" s="82">
        <v>1</v>
      </c>
      <c r="AI181" s="82">
        <v>0.99999999998544808</v>
      </c>
      <c r="AJ181" s="166">
        <v>3.2251099999999999</v>
      </c>
      <c r="AK181" s="82" t="str">
        <v>Base</v>
      </c>
      <c r="AL181" s="162">
        <v>-18.75</v>
      </c>
      <c r="AM181" s="162">
        <v>-3.6520747310256145</v>
      </c>
      <c r="AN181" s="162">
        <v>-1.7259411750043936</v>
      </c>
      <c r="AO181" s="162">
        <v>84.999987727520178</v>
      </c>
      <c r="AP181" s="162">
        <v>0</v>
      </c>
      <c r="AQ181" s="162">
        <v>0</v>
      </c>
      <c r="AR181" s="710" t="str">
        <v>32193r1.par</v>
      </c>
      <c r="AV181" s="82" t="str">
        <v>97,255,97</v>
      </c>
      <c r="AW181" s="947">
        <v>61.900000000000006</v>
      </c>
      <c r="AX181" s="947">
        <v>84.999987727520178</v>
      </c>
      <c r="AY181" s="947">
        <v>0</v>
      </c>
    </row>
    <row r="182" spans="2:51" x14ac:dyDescent="0.25">
      <c r="B182" s="650">
        <v>1.1882958559371641</v>
      </c>
      <c r="C182" s="651">
        <v>-1.1882972034351076</v>
      </c>
      <c r="D182" s="652">
        <v>-0.13584740971578771</v>
      </c>
      <c r="E182" s="653">
        <v>0.6798190867353664</v>
      </c>
      <c r="F182" s="651">
        <v>0.68620633450622792</v>
      </c>
      <c r="G182" s="654">
        <v>0.25877958921410221</v>
      </c>
      <c r="H182" s="653">
        <v>0.314</v>
      </c>
      <c r="I182" s="920">
        <v>0.52</v>
      </c>
      <c r="J182" s="924">
        <v>3.1059999999999999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423</v>
      </c>
      <c r="M182" s="981">
        <f>IFERROR(INDEX([1]List!$AG$1:$AG$65480,MATCH(RIGHT((J182*1000),2),[1]List!$AI$1:$AI$65480,0))*-1,"")</f>
        <v>20</v>
      </c>
      <c r="N182" s="941"/>
      <c r="O182" s="942"/>
      <c r="Q182" s="162">
        <f t="shared" si="1059"/>
        <v>1.1882958559371641</v>
      </c>
      <c r="R182" s="162">
        <f t="shared" si="1060"/>
        <v>-1.1882972034351076</v>
      </c>
      <c r="S182" s="162">
        <f t="shared" si="1061"/>
        <v>-0.13584740971578771</v>
      </c>
      <c r="T182" s="162">
        <f t="shared" si="1062"/>
        <v>0.6798190867353664</v>
      </c>
      <c r="U182" s="162">
        <f t="shared" si="1063"/>
        <v>0.68620633450622792</v>
      </c>
      <c r="V182" s="162">
        <f t="shared" si="1064"/>
        <v>0.25877958921410221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3.1059999999999999</v>
      </c>
      <c r="Z182" s="917">
        <f t="shared" si="1066"/>
        <v>1613</v>
      </c>
      <c r="AA182" s="82"/>
      <c r="AB182" s="75"/>
      <c r="AC182" s="75">
        <v>1.2000199999999999</v>
      </c>
      <c r="AD182" s="166">
        <v>-8.25</v>
      </c>
      <c r="AE182" s="75">
        <v>3.22</v>
      </c>
      <c r="AF182" s="82">
        <v>3</v>
      </c>
      <c r="AG182" s="82">
        <v>2</v>
      </c>
      <c r="AH182" s="82">
        <v>1</v>
      </c>
      <c r="AI182" s="82">
        <v>0.99999999998544808</v>
      </c>
      <c r="AJ182" s="166">
        <v>3.22011</v>
      </c>
      <c r="AK182" s="82" t="str">
        <v>Base</v>
      </c>
      <c r="AL182" s="162">
        <v>-18.75</v>
      </c>
      <c r="AM182" s="162">
        <v>-3.5553462929591331</v>
      </c>
      <c r="AN182" s="162">
        <v>-0.96417645062662027</v>
      </c>
      <c r="AO182" s="162">
        <v>67.109990310516238</v>
      </c>
      <c r="AP182" s="162">
        <v>0</v>
      </c>
      <c r="AQ182" s="162">
        <v>0</v>
      </c>
      <c r="AR182" s="710" t="str">
        <v>32193r1.par</v>
      </c>
      <c r="AV182" s="82" t="str">
        <v>97,255,97</v>
      </c>
      <c r="AW182" s="947">
        <v>41</v>
      </c>
      <c r="AX182" s="947">
        <v>67.109990310516238</v>
      </c>
      <c r="AY182" s="947">
        <v>0</v>
      </c>
    </row>
    <row r="183" spans="2:51" x14ac:dyDescent="0.25">
      <c r="B183" s="650">
        <v>1.7145487737024971</v>
      </c>
      <c r="C183" s="651">
        <v>-1.7187452818027205</v>
      </c>
      <c r="D183" s="652">
        <v>-7.1547215786402843E-2</v>
      </c>
      <c r="E183" s="653">
        <v>0.73054637512265486</v>
      </c>
      <c r="F183" s="651">
        <v>0.62264076164094073</v>
      </c>
      <c r="G183" s="654">
        <v>0.28039343026957408</v>
      </c>
      <c r="H183" s="653">
        <v>0.314</v>
      </c>
      <c r="I183" s="920">
        <v>0.52</v>
      </c>
      <c r="J183" s="924">
        <v>3.11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423</v>
      </c>
      <c r="M183" s="981">
        <f>IFERROR(INDEX([1]List!$AG$1:$AG$65480,MATCH(RIGHT((J183*1000),2),[1]List!$AI$1:$AI$65480,0))*-1,"")</f>
        <v>0.5</v>
      </c>
      <c r="N183" s="941"/>
      <c r="O183" s="942"/>
      <c r="Q183" s="162">
        <f t="shared" si="1059"/>
        <v>1.7145487737024971</v>
      </c>
      <c r="R183" s="162">
        <f t="shared" si="1060"/>
        <v>-1.7187452818027205</v>
      </c>
      <c r="S183" s="162">
        <f t="shared" si="1061"/>
        <v>-7.1547215786402843E-2</v>
      </c>
      <c r="T183" s="162">
        <f t="shared" si="1062"/>
        <v>0.73054637512265486</v>
      </c>
      <c r="U183" s="162">
        <f t="shared" si="1063"/>
        <v>0.62264076164094073</v>
      </c>
      <c r="V183" s="162">
        <f t="shared" si="1064"/>
        <v>0.28039343026957408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3.11</v>
      </c>
      <c r="Z183" s="917">
        <f t="shared" si="1066"/>
        <v>1613</v>
      </c>
      <c r="AA183" s="82"/>
      <c r="AB183" s="75"/>
      <c r="AC183" s="75">
        <v>1.10002</v>
      </c>
      <c r="AD183" s="166">
        <v>-7.5</v>
      </c>
      <c r="AE183" s="75">
        <v>3.2149999999999999</v>
      </c>
      <c r="AF183" s="82">
        <v>3</v>
      </c>
      <c r="AG183" s="82">
        <v>2</v>
      </c>
      <c r="AH183" s="82">
        <v>1</v>
      </c>
      <c r="AI183" s="82">
        <v>0.99999999998544808</v>
      </c>
      <c r="AJ183" s="166">
        <v>3.2151099999999997</v>
      </c>
      <c r="AK183" s="82" t="str">
        <v>Base</v>
      </c>
      <c r="AL183" s="162">
        <v>-18.75</v>
      </c>
      <c r="AM183" s="162">
        <v>-3.120575982702475</v>
      </c>
      <c r="AN183" s="162">
        <v>-0.33461128074960855</v>
      </c>
      <c r="AO183" s="162">
        <v>37.709994555350413</v>
      </c>
      <c r="AP183" s="162">
        <v>0</v>
      </c>
      <c r="AQ183" s="162">
        <v>0</v>
      </c>
      <c r="AR183" s="710" t="str">
        <v>32193r1.par</v>
      </c>
      <c r="AV183" s="82" t="str">
        <v>97,255,97</v>
      </c>
      <c r="AW183" s="947">
        <v>20.200000000000003</v>
      </c>
      <c r="AX183" s="947">
        <v>37.709994555350413</v>
      </c>
      <c r="AY183" s="947">
        <v>0</v>
      </c>
    </row>
    <row r="184" spans="2:51" x14ac:dyDescent="0.25">
      <c r="B184" s="650">
        <v>2.1845228005509867</v>
      </c>
      <c r="C184" s="651">
        <v>-2.2389570713432327</v>
      </c>
      <c r="D184" s="652">
        <v>-0.39734819840216629</v>
      </c>
      <c r="E184" s="653">
        <v>0.83063865672799397</v>
      </c>
      <c r="F184" s="651">
        <v>0.48039389633735163</v>
      </c>
      <c r="G184" s="654">
        <v>0.28153352608691523</v>
      </c>
      <c r="H184" s="653">
        <v>0.314</v>
      </c>
      <c r="I184" s="920">
        <v>0.52</v>
      </c>
      <c r="J184" s="924">
        <v>3.1150000000000002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423</v>
      </c>
      <c r="M184" s="981">
        <f>IFERROR(INDEX([1]List!$AG$1:$AG$65480,MATCH(RIGHT((J184*1000),2),[1]List!$AI$1:$AI$65480,0))*-1,"")</f>
        <v>-20.200000000000003</v>
      </c>
      <c r="N184" s="941"/>
      <c r="O184" s="942"/>
      <c r="Q184" s="162">
        <f t="shared" si="1059"/>
        <v>2.1845228005509867</v>
      </c>
      <c r="R184" s="162">
        <f t="shared" si="1060"/>
        <v>-2.2389570713432327</v>
      </c>
      <c r="S184" s="162">
        <f t="shared" si="1061"/>
        <v>-0.39734819840216629</v>
      </c>
      <c r="T184" s="162">
        <f t="shared" si="1062"/>
        <v>0.83063865672799397</v>
      </c>
      <c r="U184" s="162">
        <f t="shared" si="1063"/>
        <v>0.48039389633735163</v>
      </c>
      <c r="V184" s="162">
        <f t="shared" si="1064"/>
        <v>0.28153352608691523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3.1150000000000002</v>
      </c>
      <c r="Z184" s="917">
        <f t="shared" si="1066"/>
        <v>1613</v>
      </c>
      <c r="AA184" s="82"/>
      <c r="AB184" s="75"/>
      <c r="AC184" s="75">
        <v>5.2000299999999999</v>
      </c>
      <c r="AD184" s="166">
        <v>-6.75</v>
      </c>
      <c r="AE184" s="75">
        <v>3.125</v>
      </c>
      <c r="AF184" s="82">
        <v>3</v>
      </c>
      <c r="AG184" s="82">
        <v>1</v>
      </c>
      <c r="AH184" s="82">
        <v>1</v>
      </c>
      <c r="AI184" s="82">
        <v>0.99999999998544808</v>
      </c>
      <c r="AJ184" s="166">
        <v>3.1251099999999998</v>
      </c>
      <c r="AK184" s="82" t="str">
        <v>Base</v>
      </c>
      <c r="AL184" s="162">
        <v>-18</v>
      </c>
      <c r="AM184" s="162">
        <v>-3.6763899735491354</v>
      </c>
      <c r="AN184" s="162">
        <v>-1.7030792252983771</v>
      </c>
      <c r="AO184" s="162">
        <v>84.958848408102114</v>
      </c>
      <c r="AP184" s="162">
        <v>-29.7310937533993</v>
      </c>
      <c r="AQ184" s="162">
        <v>0</v>
      </c>
      <c r="AR184" s="710" t="str">
        <v>1613.par</v>
      </c>
      <c r="AV184" s="82" t="str">
        <v>0,204,0</v>
      </c>
      <c r="AW184" s="947">
        <v>61.900000000000006</v>
      </c>
      <c r="AX184" s="947">
        <v>84.958848408102114</v>
      </c>
      <c r="AY184" s="947">
        <v>0</v>
      </c>
    </row>
    <row r="185" spans="2:51" x14ac:dyDescent="0.25">
      <c r="B185" s="650">
        <v>2.4653925731393591</v>
      </c>
      <c r="C185" s="651">
        <v>-2.5912737247779853</v>
      </c>
      <c r="D185" s="652">
        <v>-1.0273500984878969</v>
      </c>
      <c r="E185" s="653">
        <v>0.92607277141752875</v>
      </c>
      <c r="F185" s="651">
        <v>0.32779626383643534</v>
      </c>
      <c r="G185" s="654">
        <v>0.18691931803302669</v>
      </c>
      <c r="H185" s="653">
        <v>0.314</v>
      </c>
      <c r="I185" s="920">
        <v>0.52</v>
      </c>
      <c r="J185" s="924">
        <v>3.12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423</v>
      </c>
      <c r="M185" s="981">
        <f>IFERROR(INDEX([1]List!$AG$1:$AG$65480,MATCH(RIGHT((J185*1000),2),[1]List!$AI$1:$AI$65480,0))*-1,"")</f>
        <v>-41</v>
      </c>
      <c r="N185" s="941"/>
      <c r="O185" s="942"/>
      <c r="Q185" s="162">
        <f t="shared" si="1059"/>
        <v>2.4653925731393591</v>
      </c>
      <c r="R185" s="162">
        <f t="shared" si="1060"/>
        <v>-2.5912737247779853</v>
      </c>
      <c r="S185" s="162">
        <f t="shared" si="1061"/>
        <v>-1.0273500984878969</v>
      </c>
      <c r="T185" s="162">
        <f t="shared" si="1062"/>
        <v>0.92607277141752875</v>
      </c>
      <c r="U185" s="162">
        <f t="shared" si="1063"/>
        <v>0.32779626383643534</v>
      </c>
      <c r="V185" s="162">
        <f t="shared" si="1064"/>
        <v>0.18691931803302669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3.12</v>
      </c>
      <c r="Z185" s="917">
        <f t="shared" si="1066"/>
        <v>1613</v>
      </c>
      <c r="AA185" s="82"/>
      <c r="AB185" s="75"/>
      <c r="AC185" s="75">
        <v>5.1000299999999994</v>
      </c>
      <c r="AD185" s="166">
        <v>-6</v>
      </c>
      <c r="AE185" s="75">
        <v>3.12</v>
      </c>
      <c r="AF185" s="82">
        <v>3</v>
      </c>
      <c r="AG185" s="82">
        <v>1</v>
      </c>
      <c r="AH185" s="82">
        <v>1</v>
      </c>
      <c r="AI185" s="82">
        <v>0.99999999998544808</v>
      </c>
      <c r="AJ185" s="166">
        <v>3.1201099999999999</v>
      </c>
      <c r="AK185" s="82" t="str">
        <v>Base</v>
      </c>
      <c r="AL185" s="162">
        <v>-18</v>
      </c>
      <c r="AM185" s="162">
        <v>-3.5687388749237061</v>
      </c>
      <c r="AN185" s="162">
        <v>-0.93829300848719077</v>
      </c>
      <c r="AO185" s="162">
        <v>64.750610463921831</v>
      </c>
      <c r="AP185" s="162">
        <v>-25.989257556112339</v>
      </c>
      <c r="AQ185" s="162">
        <v>0</v>
      </c>
      <c r="AR185" s="710" t="str">
        <v>1613.par</v>
      </c>
      <c r="AV185" s="82" t="str">
        <v>0,204,0</v>
      </c>
      <c r="AW185" s="947">
        <v>41</v>
      </c>
      <c r="AX185" s="947">
        <v>64.750610463921831</v>
      </c>
      <c r="AY185" s="947">
        <v>0</v>
      </c>
    </row>
    <row r="186" spans="2:51" x14ac:dyDescent="0.25">
      <c r="B186" s="650">
        <v>2.523311390652486</v>
      </c>
      <c r="C186" s="651">
        <v>-2.6873386991338157</v>
      </c>
      <c r="D186" s="652">
        <v>-1.7952524144812823</v>
      </c>
      <c r="E186" s="653">
        <v>0.97228858208946523</v>
      </c>
      <c r="F186" s="651">
        <v>0.22968646774166374</v>
      </c>
      <c r="G186" s="654">
        <v>4.3577972357774927E-2</v>
      </c>
      <c r="H186" s="653">
        <v>0.314</v>
      </c>
      <c r="I186" s="920">
        <v>0.52</v>
      </c>
      <c r="J186" s="924">
        <v>3.125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423</v>
      </c>
      <c r="M186" s="981">
        <f>IFERROR(INDEX([1]List!$AG$1:$AG$65480,MATCH(RIGHT((J186*1000),2),[1]List!$AI$1:$AI$65480,0))*-1,"")</f>
        <v>-61.900000000000006</v>
      </c>
      <c r="N186" s="941"/>
      <c r="O186" s="942"/>
      <c r="Q186" s="162">
        <f t="shared" si="1059"/>
        <v>2.523311390652486</v>
      </c>
      <c r="R186" s="162">
        <f t="shared" si="1060"/>
        <v>-2.6873386991338157</v>
      </c>
      <c r="S186" s="162">
        <f t="shared" si="1061"/>
        <v>-1.7952524144812823</v>
      </c>
      <c r="T186" s="162">
        <f t="shared" si="1062"/>
        <v>0.97228858208946523</v>
      </c>
      <c r="U186" s="162">
        <f t="shared" si="1063"/>
        <v>0.22968646774166374</v>
      </c>
      <c r="V186" s="162">
        <f t="shared" si="1064"/>
        <v>4.3577972357774927E-2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3.125</v>
      </c>
      <c r="Z186" s="917">
        <f t="shared" si="1066"/>
        <v>1613</v>
      </c>
      <c r="AA186" s="82"/>
      <c r="AB186" s="75"/>
      <c r="AC186" s="75">
        <v>4.2000299999999999</v>
      </c>
      <c r="AD186" s="166">
        <v>-5.25</v>
      </c>
      <c r="AE186" s="75">
        <v>3.1150000000000002</v>
      </c>
      <c r="AF186" s="82">
        <v>3</v>
      </c>
      <c r="AG186" s="82">
        <v>1</v>
      </c>
      <c r="AH186" s="82">
        <v>1</v>
      </c>
      <c r="AI186" s="82">
        <v>1.0000000000218279</v>
      </c>
      <c r="AJ186" s="166">
        <v>3.11511</v>
      </c>
      <c r="AK186" s="82" t="str">
        <v>Base</v>
      </c>
      <c r="AL186" s="162">
        <v>-18</v>
      </c>
      <c r="AM186" s="162">
        <v>-3.1234401255759972</v>
      </c>
      <c r="AN186" s="162">
        <v>-0.31064713020892903</v>
      </c>
      <c r="AO186" s="162">
        <v>39.331621798201397</v>
      </c>
      <c r="AP186" s="162">
        <v>-21.344699921723134</v>
      </c>
      <c r="AQ186" s="162">
        <v>0</v>
      </c>
      <c r="AR186" s="710" t="str">
        <v>1613.par</v>
      </c>
      <c r="AV186" s="82" t="str">
        <v>0,204,0</v>
      </c>
      <c r="AW186" s="947">
        <v>20.200000000000003</v>
      </c>
      <c r="AX186" s="947">
        <v>39.331621798201397</v>
      </c>
      <c r="AY186" s="947">
        <v>0</v>
      </c>
    </row>
    <row r="187" spans="2:51" x14ac:dyDescent="0.25">
      <c r="B187" s="650">
        <v>1.2359775901684651</v>
      </c>
      <c r="C187" s="651">
        <v>-2.8653715047827344</v>
      </c>
      <c r="D187" s="652">
        <v>-0.4412630329251262</v>
      </c>
      <c r="E187" s="653">
        <v>0.2422643444640866</v>
      </c>
      <c r="F187" s="651">
        <v>-0.56164234268814284</v>
      </c>
      <c r="G187" s="654">
        <v>0.79111684743858235</v>
      </c>
      <c r="H187" s="653">
        <v>0.25700000000000001</v>
      </c>
      <c r="I187" s="920">
        <v>0.41499999999999992</v>
      </c>
      <c r="J187" s="924">
        <v>3.2149999999999999</v>
      </c>
      <c r="K187" s="790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940" t="s">
        <v>420</v>
      </c>
      <c r="M187" s="981">
        <f>IFERROR(INDEX([1]List!$AG$1:$AG$65480,MATCH(RIGHT((J187*1000),2),[1]List!$AI$1:$AI$65480,0))*-1,"")</f>
        <v>-20.200000000000003</v>
      </c>
      <c r="N187" s="941"/>
      <c r="O187" s="942"/>
      <c r="Q187" s="162">
        <f t="shared" si="1059"/>
        <v>1.2359775901684651</v>
      </c>
      <c r="R187" s="162">
        <f t="shared" si="1060"/>
        <v>-2.8653715047827344</v>
      </c>
      <c r="S187" s="162">
        <f t="shared" si="1061"/>
        <v>-0.4412630329251262</v>
      </c>
      <c r="T187" s="162">
        <f t="shared" si="1062"/>
        <v>0.2422643444640866</v>
      </c>
      <c r="U187" s="162">
        <f t="shared" si="1063"/>
        <v>-0.56164234268814284</v>
      </c>
      <c r="V187" s="162">
        <f t="shared" si="1064"/>
        <v>0.79111684743858235</v>
      </c>
      <c r="W187" s="162">
        <f>IFERROR(IF(ISNUMBER(MATCH($Z187,Settings!$AK$28:$AK$36,0)),INDEX(Settings!$AO$14:$AO$36,MATCH($Z187,Settings!$AK$14:$AK$36,0))/2,INDEX(Settings!$AM$14:$AM$36,MATCH($Z187,Settings!$AK$14:$AK$36,0))/2),"")</f>
        <v>0.255</v>
      </c>
      <c r="X187" s="162">
        <f t="shared" si="1065"/>
        <v>0.41499999999999992</v>
      </c>
      <c r="Y187" s="75">
        <v>3.2149999999999999</v>
      </c>
      <c r="Z187" s="917" t="str">
        <f t="shared" si="1066"/>
        <v>CPS-32193r1</v>
      </c>
      <c r="AA187" s="82"/>
      <c r="AB187" s="75"/>
      <c r="AC187" s="75">
        <v>4.1000299999999994</v>
      </c>
      <c r="AD187" s="166">
        <v>-4.5</v>
      </c>
      <c r="AE187" s="75">
        <v>3.11</v>
      </c>
      <c r="AF187" s="82">
        <v>3</v>
      </c>
      <c r="AG187" s="82">
        <v>1</v>
      </c>
      <c r="AH187" s="82">
        <v>1</v>
      </c>
      <c r="AI187" s="82">
        <v>0.99999999998544808</v>
      </c>
      <c r="AJ187" s="166">
        <v>3.1101099999999997</v>
      </c>
      <c r="AK187" s="82" t="str">
        <v>Base</v>
      </c>
      <c r="AL187" s="162">
        <v>-18</v>
      </c>
      <c r="AM187" s="162">
        <v>-2.426280184175504</v>
      </c>
      <c r="AN187" s="162">
        <v>1.4812597421197143E-2</v>
      </c>
      <c r="AO187" s="162">
        <v>13.5509700977363</v>
      </c>
      <c r="AP187" s="162">
        <v>-16.763541572912672</v>
      </c>
      <c r="AQ187" s="162">
        <v>0</v>
      </c>
      <c r="AR187" s="710" t="str">
        <v>1613.par</v>
      </c>
      <c r="AV187" s="82" t="str">
        <v>0,204,0</v>
      </c>
      <c r="AW187" s="947">
        <v>-0.5</v>
      </c>
      <c r="AX187" s="947">
        <v>13.5509700977363</v>
      </c>
      <c r="AY187" s="947">
        <v>0</v>
      </c>
    </row>
    <row r="188" spans="2:51" x14ac:dyDescent="0.25">
      <c r="B188" s="650">
        <v>1.4210298632619276</v>
      </c>
      <c r="C188" s="651">
        <v>-3.2590123336029335</v>
      </c>
      <c r="D188" s="652">
        <v>-1.0706714382279447</v>
      </c>
      <c r="E188" s="653">
        <v>0.36821402439763767</v>
      </c>
      <c r="F188" s="651">
        <v>-0.84446785950217762</v>
      </c>
      <c r="G188" s="654">
        <v>0.38896332282710977</v>
      </c>
      <c r="H188" s="653">
        <v>0.25700000000000001</v>
      </c>
      <c r="I188" s="920">
        <v>0.41499999999999992</v>
      </c>
      <c r="J188" s="924">
        <v>3.22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420</v>
      </c>
      <c r="M188" s="981">
        <f>IFERROR(INDEX([1]List!$AG$1:$AG$65480,MATCH(RIGHT((J188*1000),2),[1]List!$AI$1:$AI$65480,0))*-1,"")</f>
        <v>-41</v>
      </c>
      <c r="N188" s="941"/>
      <c r="O188" s="942"/>
      <c r="Q188" s="162">
        <f t="shared" si="1059"/>
        <v>1.4210298632619276</v>
      </c>
      <c r="R188" s="162">
        <f t="shared" si="1060"/>
        <v>-3.2590123336029335</v>
      </c>
      <c r="S188" s="162">
        <f t="shared" si="1061"/>
        <v>-1.0706714382279447</v>
      </c>
      <c r="T188" s="162">
        <f t="shared" si="1062"/>
        <v>0.36821402439763767</v>
      </c>
      <c r="U188" s="162">
        <f t="shared" si="1063"/>
        <v>-0.84446785950217762</v>
      </c>
      <c r="V188" s="162">
        <f t="shared" si="1064"/>
        <v>0.38896332282710977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3.22</v>
      </c>
      <c r="Z188" s="917" t="str">
        <f t="shared" si="1066"/>
        <v>CPS-32193r1</v>
      </c>
      <c r="AA188" s="82"/>
      <c r="AB188" s="75"/>
      <c r="AC188" s="75">
        <v>3.2000300000000004</v>
      </c>
      <c r="AD188" s="166">
        <v>-3.75</v>
      </c>
      <c r="AE188" s="75">
        <v>3.1059999999999999</v>
      </c>
      <c r="AF188" s="82">
        <v>3</v>
      </c>
      <c r="AG188" s="82">
        <v>1</v>
      </c>
      <c r="AH188" s="82">
        <v>1</v>
      </c>
      <c r="AI188" s="82">
        <v>0.99999999998544808</v>
      </c>
      <c r="AJ188" s="166">
        <v>3.1061099999999997</v>
      </c>
      <c r="AK188" s="82" t="str">
        <v>Base</v>
      </c>
      <c r="AL188" s="162">
        <v>-18</v>
      </c>
      <c r="AM188" s="162">
        <v>-1.6807064386047792</v>
      </c>
      <c r="AN188" s="162">
        <v>-4.8960439568464839E-2</v>
      </c>
      <c r="AO188" s="162">
        <v>-3.4540511789656145</v>
      </c>
      <c r="AP188" s="162">
        <v>-15.025596167188894</v>
      </c>
      <c r="AQ188" s="162">
        <v>0</v>
      </c>
      <c r="AR188" s="710" t="str">
        <v>1613.par</v>
      </c>
      <c r="AV188" s="82" t="str">
        <v>0,204,0</v>
      </c>
      <c r="AW188" s="947">
        <v>-20</v>
      </c>
      <c r="AX188" s="947">
        <v>-3.4540511789656145</v>
      </c>
      <c r="AY188" s="947">
        <v>0</v>
      </c>
    </row>
    <row r="189" spans="2:51" x14ac:dyDescent="0.25">
      <c r="B189" s="650">
        <v>1.3715873729187167</v>
      </c>
      <c r="C189" s="651">
        <v>-3.3847301102814309</v>
      </c>
      <c r="D189" s="652">
        <v>-1.8334774941800427</v>
      </c>
      <c r="E189" s="653">
        <v>0.37413474364534782</v>
      </c>
      <c r="F189" s="651">
        <v>-0.92326975089021857</v>
      </c>
      <c r="G189" s="654">
        <v>8.7155956127759254E-2</v>
      </c>
      <c r="H189" s="653">
        <v>0.25700000000000001</v>
      </c>
      <c r="I189" s="920">
        <v>0.41499999999999992</v>
      </c>
      <c r="J189" s="924">
        <v>3.2250000000000001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420</v>
      </c>
      <c r="M189" s="981">
        <f>IFERROR(INDEX([1]List!$AG$1:$AG$65480,MATCH(RIGHT((J189*1000),2),[1]List!$AI$1:$AI$65480,0))*-1,"")</f>
        <v>-61.900000000000006</v>
      </c>
      <c r="N189" s="941"/>
      <c r="O189" s="942"/>
      <c r="Q189" s="162">
        <f t="shared" si="1059"/>
        <v>1.3715873729187167</v>
      </c>
      <c r="R189" s="162">
        <f t="shared" si="1060"/>
        <v>-3.3847301102814309</v>
      </c>
      <c r="S189" s="162">
        <f t="shared" si="1061"/>
        <v>-1.8334774941800427</v>
      </c>
      <c r="T189" s="162">
        <f t="shared" si="1062"/>
        <v>0.37413474364534782</v>
      </c>
      <c r="U189" s="162">
        <f t="shared" si="1063"/>
        <v>-0.92326975089021857</v>
      </c>
      <c r="V189" s="162">
        <f t="shared" si="1064"/>
        <v>8.7155956127759254E-2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3.2250000000000001</v>
      </c>
      <c r="Z189" s="917" t="str">
        <f t="shared" si="1066"/>
        <v>CPS-32193r1</v>
      </c>
      <c r="AA189" s="82"/>
      <c r="AB189" s="75"/>
      <c r="AC189" s="75">
        <v>3.1000300000000003</v>
      </c>
      <c r="AD189" s="166">
        <v>-3</v>
      </c>
      <c r="AE189" s="75">
        <v>3.1030000000000002</v>
      </c>
      <c r="AF189" s="82">
        <v>3</v>
      </c>
      <c r="AG189" s="82">
        <v>1</v>
      </c>
      <c r="AH189" s="82">
        <v>1</v>
      </c>
      <c r="AI189" s="82">
        <v>0.99999999998544808</v>
      </c>
      <c r="AJ189" s="166">
        <v>3.10311</v>
      </c>
      <c r="AK189" s="82" t="str">
        <v>Base</v>
      </c>
      <c r="AL189" s="162">
        <v>-18</v>
      </c>
      <c r="AM189" s="162">
        <v>-0.89311540451662941</v>
      </c>
      <c r="AN189" s="162">
        <v>-0.40232431284444148</v>
      </c>
      <c r="AO189" s="162">
        <v>-7.9767601641004298</v>
      </c>
      <c r="AP189" s="162">
        <v>-17.128097297467228</v>
      </c>
      <c r="AQ189" s="162">
        <v>0</v>
      </c>
      <c r="AR189" s="710" t="str">
        <v>1913.par</v>
      </c>
      <c r="AV189" s="82" t="str">
        <v>0,204,0</v>
      </c>
      <c r="AW189" s="947">
        <v>-20</v>
      </c>
      <c r="AX189" s="947">
        <v>-7.9767601641004298</v>
      </c>
      <c r="AY189" s="947">
        <v>0</v>
      </c>
    </row>
    <row r="190" spans="2:51" x14ac:dyDescent="0.25">
      <c r="B190" s="650">
        <v>-0.34907985414899489</v>
      </c>
      <c r="C190" s="651">
        <v>-0.49853731019231745</v>
      </c>
      <c r="D190" s="652">
        <v>-0.59224878622233934</v>
      </c>
      <c r="E190" s="653">
        <v>0.79404275274651781</v>
      </c>
      <c r="F190" s="651">
        <v>-0.51445080508160124</v>
      </c>
      <c r="G190" s="654">
        <v>0.32378461353440635</v>
      </c>
      <c r="H190" s="653">
        <v>0.3765</v>
      </c>
      <c r="I190" s="920">
        <v>0.52</v>
      </c>
      <c r="J190" s="924">
        <v>4.1020000000000003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1913</v>
      </c>
      <c r="L190" s="940" t="s">
        <v>424</v>
      </c>
      <c r="M190" s="981">
        <f>IFERROR(INDEX([1]List!$AG$1:$AG$65480,MATCH(RIGHT((J190*1000),2),[1]List!$AI$1:$AI$65480,0))*-1,"")</f>
        <v>20</v>
      </c>
      <c r="N190" s="941"/>
      <c r="O190" s="942"/>
      <c r="Q190" s="162">
        <f t="shared" si="1059"/>
        <v>-0.34907985414899489</v>
      </c>
      <c r="R190" s="162">
        <f t="shared" si="1060"/>
        <v>-0.49853731019231745</v>
      </c>
      <c r="S190" s="162">
        <f t="shared" si="1061"/>
        <v>-0.59224878622233934</v>
      </c>
      <c r="T190" s="162">
        <f t="shared" si="1062"/>
        <v>0.79404275274651781</v>
      </c>
      <c r="U190" s="162">
        <f t="shared" si="1063"/>
        <v>-0.51445080508160124</v>
      </c>
      <c r="V190" s="162">
        <f t="shared" si="1064"/>
        <v>0.32378461353440635</v>
      </c>
      <c r="W190" s="162">
        <f>IFERROR(IF(ISNUMBER(MATCH($Z190,Settings!$AK$28:$AK$36,0)),INDEX(Settings!$AO$14:$AO$36,MATCH($Z190,Settings!$AK$14:$AK$36,0))/2,INDEX(Settings!$AM$14:$AM$36,MATCH($Z190,Settings!$AK$14:$AK$36,0))/2),"")</f>
        <v>0.375</v>
      </c>
      <c r="X190" s="162">
        <f t="shared" si="1065"/>
        <v>0.52</v>
      </c>
      <c r="Y190" s="75">
        <v>4.1020000000000003</v>
      </c>
      <c r="Z190" s="917">
        <f t="shared" si="1066"/>
        <v>1913</v>
      </c>
      <c r="AA190" s="82"/>
      <c r="AB190" s="75"/>
      <c r="AC190" s="75">
        <v>2.2000300000000004</v>
      </c>
      <c r="AD190" s="166">
        <v>-2.25</v>
      </c>
      <c r="AE190" s="75">
        <v>2.226</v>
      </c>
      <c r="AF190" s="82">
        <v>2</v>
      </c>
      <c r="AG190" s="82">
        <v>2</v>
      </c>
      <c r="AH190" s="82">
        <v>1</v>
      </c>
      <c r="AI190" s="82">
        <v>0.99999999998544808</v>
      </c>
      <c r="AJ190" s="166">
        <v>2.2261099999999998</v>
      </c>
      <c r="AK190" s="82" t="str">
        <v>Base</v>
      </c>
      <c r="AL190" s="162">
        <v>-17.25</v>
      </c>
      <c r="AM190" s="162">
        <v>-3.6520747310256154</v>
      </c>
      <c r="AN190" s="162">
        <v>-1.9277103013509072</v>
      </c>
      <c r="AO190" s="162">
        <v>84.999987727520192</v>
      </c>
      <c r="AP190" s="162">
        <v>0</v>
      </c>
      <c r="AQ190" s="162">
        <v>0</v>
      </c>
      <c r="AR190" s="710" t="str">
        <v>32193r1.par</v>
      </c>
      <c r="AV190" s="82" t="str">
        <v>255,255,91</v>
      </c>
      <c r="AW190" s="947">
        <v>66.099999999999994</v>
      </c>
      <c r="AX190" s="947">
        <v>84.999987727520192</v>
      </c>
      <c r="AY190" s="947">
        <v>0</v>
      </c>
    </row>
    <row r="191" spans="2:51" x14ac:dyDescent="0.25">
      <c r="B191" s="650">
        <v>-0.83753927543273465</v>
      </c>
      <c r="C191" s="651">
        <v>-1.1961291165672394</v>
      </c>
      <c r="D191" s="652">
        <v>-0.28224785125951929</v>
      </c>
      <c r="E191" s="653">
        <v>0.79642083976409639</v>
      </c>
      <c r="F191" s="651">
        <v>-0.54663347462480316</v>
      </c>
      <c r="G191" s="654">
        <v>0.25866134308989114</v>
      </c>
      <c r="H191" s="653">
        <v>0.3765</v>
      </c>
      <c r="I191" s="920">
        <v>0.52</v>
      </c>
      <c r="J191" s="924">
        <v>4.1050000000000004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1913</v>
      </c>
      <c r="L191" s="940" t="s">
        <v>424</v>
      </c>
      <c r="M191" s="981">
        <f>IFERROR(INDEX([1]List!$AG$1:$AG$65480,MATCH(RIGHT((J191*1000),2),[1]List!$AI$1:$AI$65480,0))*-1,"")</f>
        <v>20</v>
      </c>
      <c r="N191" s="941"/>
      <c r="O191" s="942"/>
      <c r="Q191" s="162">
        <f t="shared" si="1059"/>
        <v>-0.83753927543273465</v>
      </c>
      <c r="R191" s="162">
        <f t="shared" si="1060"/>
        <v>-1.1961291165672394</v>
      </c>
      <c r="S191" s="162">
        <f t="shared" si="1061"/>
        <v>-0.28224785125951929</v>
      </c>
      <c r="T191" s="162">
        <f t="shared" si="1062"/>
        <v>0.79642083976409639</v>
      </c>
      <c r="U191" s="162">
        <f t="shared" si="1063"/>
        <v>-0.54663347462480316</v>
      </c>
      <c r="V191" s="162">
        <f t="shared" si="1064"/>
        <v>0.25866134308989114</v>
      </c>
      <c r="W191" s="162">
        <f>IFERROR(IF(ISNUMBER(MATCH($Z191,Settings!$AK$28:$AK$36,0)),INDEX(Settings!$AO$14:$AO$36,MATCH($Z191,Settings!$AK$14:$AK$36,0))/2,INDEX(Settings!$AM$14:$AM$36,MATCH($Z191,Settings!$AK$14:$AK$36,0))/2),"")</f>
        <v>0.375</v>
      </c>
      <c r="X191" s="162">
        <f t="shared" si="1065"/>
        <v>0.52</v>
      </c>
      <c r="Y191" s="75">
        <v>4.1050000000000004</v>
      </c>
      <c r="Z191" s="917">
        <f t="shared" si="1066"/>
        <v>1913</v>
      </c>
      <c r="AA191" s="82"/>
      <c r="AB191" s="75"/>
      <c r="AC191" s="75">
        <v>2.1000300000000003</v>
      </c>
      <c r="AD191" s="166">
        <v>-1.5</v>
      </c>
      <c r="AE191" s="75">
        <v>2.2210000000000001</v>
      </c>
      <c r="AF191" s="82">
        <v>2</v>
      </c>
      <c r="AG191" s="82">
        <v>2</v>
      </c>
      <c r="AH191" s="82">
        <v>1</v>
      </c>
      <c r="AI191" s="82">
        <v>0.99999999998544808</v>
      </c>
      <c r="AJ191" s="166">
        <v>2.2211099999999999</v>
      </c>
      <c r="AK191" s="82" t="str">
        <v>Base</v>
      </c>
      <c r="AL191" s="162">
        <v>-17.25</v>
      </c>
      <c r="AM191" s="162">
        <v>-3.6015244604327941</v>
      </c>
      <c r="AN191" s="162">
        <v>-1.1565921840049291</v>
      </c>
      <c r="AO191" s="162">
        <v>73.059989451442661</v>
      </c>
      <c r="AP191" s="162">
        <v>0</v>
      </c>
      <c r="AQ191" s="162">
        <v>0</v>
      </c>
      <c r="AR191" s="710" t="str">
        <v>32193r1.par</v>
      </c>
      <c r="AV191" s="82" t="str">
        <v>255,255,91</v>
      </c>
      <c r="AW191" s="947">
        <v>45.199999999999989</v>
      </c>
      <c r="AX191" s="947">
        <v>73.059989451442661</v>
      </c>
      <c r="AY191" s="947">
        <v>0</v>
      </c>
    </row>
    <row r="192" spans="2:51" x14ac:dyDescent="0.25">
      <c r="B192" s="650">
        <v>-1.3039443652070173</v>
      </c>
      <c r="C192" s="651">
        <v>-1.8611868507432301</v>
      </c>
      <c r="D192" s="652">
        <v>-5.3847162403041576E-2</v>
      </c>
      <c r="E192" s="653">
        <v>0.7601613071669423</v>
      </c>
      <c r="F192" s="651">
        <v>-0.59078714701157209</v>
      </c>
      <c r="G192" s="654">
        <v>0.27041696324781994</v>
      </c>
      <c r="H192" s="653">
        <v>0.314</v>
      </c>
      <c r="I192" s="920">
        <v>0.52</v>
      </c>
      <c r="J192" s="924">
        <v>4.109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423</v>
      </c>
      <c r="M192" s="981">
        <f>IFERROR(INDEX([1]List!$AG$1:$AG$65480,MATCH(RIGHT((J192*1000),2),[1]List!$AI$1:$AI$65480,0))*-1,"")</f>
        <v>4.5999999999999943</v>
      </c>
      <c r="N192" s="941"/>
      <c r="O192" s="942"/>
      <c r="Q192" s="162">
        <f t="shared" si="1059"/>
        <v>-1.3039443652070173</v>
      </c>
      <c r="R192" s="162">
        <f t="shared" si="1060"/>
        <v>-1.8611868507432301</v>
      </c>
      <c r="S192" s="162">
        <f t="shared" si="1061"/>
        <v>-5.3847162403041576E-2</v>
      </c>
      <c r="T192" s="162">
        <f t="shared" si="1062"/>
        <v>0.7601613071669423</v>
      </c>
      <c r="U192" s="162">
        <f t="shared" si="1063"/>
        <v>-0.59078714701157209</v>
      </c>
      <c r="V192" s="162">
        <f t="shared" si="1064"/>
        <v>0.27041696324781994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4.109</v>
      </c>
      <c r="Z192" s="917">
        <f t="shared" si="1066"/>
        <v>1613</v>
      </c>
      <c r="AA192" s="82"/>
      <c r="AB192" s="75"/>
      <c r="AC192" s="75">
        <v>1.2000299999999999</v>
      </c>
      <c r="AD192" s="166">
        <v>-0.75</v>
      </c>
      <c r="AE192" s="75">
        <v>2.2160000000000002</v>
      </c>
      <c r="AF192" s="82">
        <v>2</v>
      </c>
      <c r="AG192" s="82">
        <v>2</v>
      </c>
      <c r="AH192" s="82">
        <v>1</v>
      </c>
      <c r="AI192" s="82">
        <v>0.99999999998544808</v>
      </c>
      <c r="AJ192" s="166">
        <v>2.21611</v>
      </c>
      <c r="AK192" s="82" t="str">
        <v>Base</v>
      </c>
      <c r="AL192" s="162">
        <v>-17.25</v>
      </c>
      <c r="AM192" s="162">
        <v>-3.2325517523043978</v>
      </c>
      <c r="AN192" s="162">
        <v>-0.48665697869593222</v>
      </c>
      <c r="AO192" s="162">
        <v>43.539993713602684</v>
      </c>
      <c r="AP192" s="162">
        <v>0</v>
      </c>
      <c r="AQ192" s="162">
        <v>0</v>
      </c>
      <c r="AR192" s="710" t="str">
        <v>32193r1.par</v>
      </c>
      <c r="AV192" s="82" t="str">
        <v>255,255,91</v>
      </c>
      <c r="AW192" s="947">
        <v>24.400000000000006</v>
      </c>
      <c r="AX192" s="947">
        <v>43.539993713602684</v>
      </c>
      <c r="AY192" s="947">
        <v>0</v>
      </c>
    </row>
    <row r="193" spans="2:51" x14ac:dyDescent="0.25">
      <c r="B193" s="650">
        <v>-1.7462651624394148</v>
      </c>
      <c r="C193" s="651">
        <v>-2.443567873790113</v>
      </c>
      <c r="D193" s="652">
        <v>-0.3031479142941097</v>
      </c>
      <c r="E193" s="653">
        <v>0.64397831882648926</v>
      </c>
      <c r="F193" s="651">
        <v>-0.7085428309627706</v>
      </c>
      <c r="G193" s="654">
        <v>0.28854632482960374</v>
      </c>
      <c r="H193" s="653">
        <v>0.314</v>
      </c>
      <c r="I193" s="920">
        <v>0.52</v>
      </c>
      <c r="J193" s="924">
        <v>4.1139999999999999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423</v>
      </c>
      <c r="M193" s="981">
        <f>IFERROR(INDEX([1]List!$AG$1:$AG$65480,MATCH(RIGHT((J193*1000),2),[1]List!$AI$1:$AI$65480,0))*-1,"")</f>
        <v>-16.099999999999994</v>
      </c>
      <c r="N193" s="941"/>
      <c r="O193" s="942"/>
      <c r="Q193" s="162">
        <f t="shared" si="1059"/>
        <v>-1.7462651624394148</v>
      </c>
      <c r="R193" s="162">
        <f t="shared" si="1060"/>
        <v>-2.443567873790113</v>
      </c>
      <c r="S193" s="162">
        <f t="shared" si="1061"/>
        <v>-0.3031479142941097</v>
      </c>
      <c r="T193" s="162">
        <f t="shared" si="1062"/>
        <v>0.64397831882648926</v>
      </c>
      <c r="U193" s="162">
        <f t="shared" si="1063"/>
        <v>-0.7085428309627706</v>
      </c>
      <c r="V193" s="162">
        <f t="shared" si="1064"/>
        <v>0.28854632482960374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4.1139999999999999</v>
      </c>
      <c r="Z193" s="917">
        <f t="shared" si="1066"/>
        <v>1613</v>
      </c>
      <c r="AA193" s="82"/>
      <c r="AB193" s="75"/>
      <c r="AC193" s="75">
        <v>1.1000300000000001</v>
      </c>
      <c r="AD193" s="166">
        <v>0</v>
      </c>
      <c r="AE193" s="75">
        <v>2.1259999999999999</v>
      </c>
      <c r="AF193" s="82">
        <v>2</v>
      </c>
      <c r="AG193" s="82">
        <v>1</v>
      </c>
      <c r="AH193" s="82">
        <v>1</v>
      </c>
      <c r="AI193" s="82">
        <v>0.99999999998544808</v>
      </c>
      <c r="AJ193" s="166">
        <v>2.1261099999999997</v>
      </c>
      <c r="AK193" s="82" t="str">
        <v>Base</v>
      </c>
      <c r="AL193" s="162">
        <v>-16.5</v>
      </c>
      <c r="AM193" s="162">
        <v>-3.6763899735491368</v>
      </c>
      <c r="AN193" s="162">
        <v>-1.9045073130997137</v>
      </c>
      <c r="AO193" s="162">
        <v>84.958848408102114</v>
      </c>
      <c r="AP193" s="162">
        <v>-29.731093753399275</v>
      </c>
      <c r="AQ193" s="162">
        <v>0</v>
      </c>
      <c r="AR193" s="710" t="str">
        <v>1613.par</v>
      </c>
      <c r="AV193" s="82" t="str">
        <v>204,204,0</v>
      </c>
      <c r="AW193" s="947">
        <v>66.099999999999994</v>
      </c>
      <c r="AX193" s="947">
        <v>84.958848408102114</v>
      </c>
      <c r="AY193" s="947">
        <v>0</v>
      </c>
    </row>
    <row r="194" spans="2:51" x14ac:dyDescent="0.25">
      <c r="B194" s="650">
        <v>-2.0798087964037504</v>
      </c>
      <c r="C194" s="651">
        <v>-2.8313144344823193</v>
      </c>
      <c r="D194" s="652">
        <v>-0.88464966810339918</v>
      </c>
      <c r="E194" s="653">
        <v>0.50934347236208877</v>
      </c>
      <c r="F194" s="651">
        <v>-0.83358765350329189</v>
      </c>
      <c r="G194" s="654">
        <v>0.21377757386827537</v>
      </c>
      <c r="H194" s="653">
        <v>0.314</v>
      </c>
      <c r="I194" s="920">
        <v>0.52</v>
      </c>
      <c r="J194" s="924">
        <v>4.1189999999999998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423</v>
      </c>
      <c r="M194" s="981">
        <f>IFERROR(INDEX([1]List!$AG$1:$AG$65480,MATCH(RIGHT((J194*1000),2),[1]List!$AI$1:$AI$65480,0))*-1,"")</f>
        <v>-36.799999999999997</v>
      </c>
      <c r="N194" s="941"/>
      <c r="O194" s="942"/>
      <c r="P194">
        <v>-9.5899999999999999E-2</v>
      </c>
      <c r="Q194" s="162">
        <f t="shared" si="1059"/>
        <v>-2.0798087964037504</v>
      </c>
      <c r="R194" s="162">
        <f t="shared" si="1060"/>
        <v>-2.8313144344823193</v>
      </c>
      <c r="S194" s="162">
        <f t="shared" si="1061"/>
        <v>-0.88464966810339918</v>
      </c>
      <c r="T194" s="162">
        <f t="shared" si="1062"/>
        <v>0.50934347236208877</v>
      </c>
      <c r="U194" s="162">
        <f t="shared" si="1063"/>
        <v>-0.83358765350329189</v>
      </c>
      <c r="V194" s="162">
        <f t="shared" si="1064"/>
        <v>0.21377757386827537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4.1189999999999998</v>
      </c>
      <c r="Z194" s="917">
        <f t="shared" si="1066"/>
        <v>1613</v>
      </c>
      <c r="AA194" s="82"/>
      <c r="AB194" s="75"/>
      <c r="AC194" s="75"/>
      <c r="AD194" s="166"/>
      <c r="AE194" s="75">
        <v>2.121</v>
      </c>
      <c r="AF194" s="82">
        <v>2</v>
      </c>
      <c r="AG194" s="82">
        <v>1</v>
      </c>
      <c r="AH194" s="82">
        <v>1</v>
      </c>
      <c r="AI194" s="82">
        <v>0.99999999998544808</v>
      </c>
      <c r="AJ194" s="166">
        <v>2.1211099999999998</v>
      </c>
      <c r="AK194" s="82" t="str">
        <v>Base</v>
      </c>
      <c r="AL194" s="162">
        <v>-16.5</v>
      </c>
      <c r="AM194" s="162">
        <v>-3.6175676985535636</v>
      </c>
      <c r="AN194" s="162">
        <v>-1.1310464389926169</v>
      </c>
      <c r="AO194" s="162">
        <v>69.810444241835896</v>
      </c>
      <c r="AP194" s="162">
        <v>-26.922880210706143</v>
      </c>
      <c r="AQ194" s="162">
        <v>0</v>
      </c>
      <c r="AR194" s="710" t="str">
        <v>1613.par</v>
      </c>
      <c r="AV194" s="82" t="str">
        <v>204,204,0</v>
      </c>
      <c r="AW194" s="947">
        <v>45.199999999999989</v>
      </c>
      <c r="AX194" s="947">
        <v>69.810444241835896</v>
      </c>
      <c r="AY194" s="947">
        <v>0</v>
      </c>
    </row>
    <row r="195" spans="2:51" x14ac:dyDescent="0.25">
      <c r="B195" s="650">
        <v>-2.206436427573871</v>
      </c>
      <c r="C195" s="651">
        <v>-2.9530540037618462</v>
      </c>
      <c r="D195" s="652">
        <v>-1.6390519433806612</v>
      </c>
      <c r="E195" s="653">
        <v>0.39562583842393106</v>
      </c>
      <c r="F195" s="651">
        <v>-0.9173773249304491</v>
      </c>
      <c r="G195" s="654">
        <v>4.3577972357775212E-2</v>
      </c>
      <c r="H195" s="653">
        <v>0.314</v>
      </c>
      <c r="I195" s="920">
        <v>0.52</v>
      </c>
      <c r="J195" s="924">
        <v>4.1239999999999997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423</v>
      </c>
      <c r="M195" s="981">
        <f>IFERROR(INDEX([1]List!$AG$1:$AG$65480,MATCH(RIGHT((J195*1000),2),[1]List!$AI$1:$AI$65480,0))*-1,"")</f>
        <v>-57.699999999999989</v>
      </c>
      <c r="N195" s="941"/>
      <c r="O195" s="942"/>
      <c r="P195">
        <f>-0.0291</f>
        <v>-2.9100000000000001E-2</v>
      </c>
      <c r="Q195" s="162">
        <f t="shared" si="1059"/>
        <v>-2.206436427573871</v>
      </c>
      <c r="R195" s="162">
        <f t="shared" si="1060"/>
        <v>-2.9530540037618462</v>
      </c>
      <c r="S195" s="162">
        <f t="shared" si="1061"/>
        <v>-1.6390519433806612</v>
      </c>
      <c r="T195" s="162">
        <f t="shared" si="1062"/>
        <v>0.39562583842393106</v>
      </c>
      <c r="U195" s="162">
        <f t="shared" si="1063"/>
        <v>-0.9173773249304491</v>
      </c>
      <c r="V195" s="162">
        <f t="shared" si="1064"/>
        <v>4.3577972357775212E-2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4.1239999999999997</v>
      </c>
      <c r="Z195" s="917">
        <f t="shared" si="1066"/>
        <v>1613</v>
      </c>
      <c r="AA195" s="82"/>
      <c r="AB195" s="75"/>
      <c r="AC195" s="75"/>
      <c r="AD195" s="166"/>
      <c r="AE195" s="75">
        <v>2.1160000000000001</v>
      </c>
      <c r="AF195" s="82">
        <v>2</v>
      </c>
      <c r="AG195" s="82">
        <v>1</v>
      </c>
      <c r="AH195" s="82">
        <v>1</v>
      </c>
      <c r="AI195" s="82">
        <v>0.99999999998544808</v>
      </c>
      <c r="AJ195" s="166">
        <v>2.1161099999999999</v>
      </c>
      <c r="AK195" s="82" t="str">
        <v>Base</v>
      </c>
      <c r="AL195" s="162">
        <v>-16.5</v>
      </c>
      <c r="AM195" s="162">
        <v>-3.2370505563810941</v>
      </c>
      <c r="AN195" s="162">
        <v>-0.46196896100573598</v>
      </c>
      <c r="AO195" s="162">
        <v>44.435726774968067</v>
      </c>
      <c r="AP195" s="162">
        <v>-22.269872401611568</v>
      </c>
      <c r="AQ195" s="162">
        <v>0</v>
      </c>
      <c r="AR195" s="710" t="str">
        <v>1613.par</v>
      </c>
      <c r="AV195" s="82" t="str">
        <v>204,204,0</v>
      </c>
      <c r="AW195" s="947">
        <v>24.400000000000006</v>
      </c>
      <c r="AX195" s="947">
        <v>44.435726774968067</v>
      </c>
      <c r="AY195" s="947">
        <v>0</v>
      </c>
    </row>
    <row r="196" spans="2:51" x14ac:dyDescent="0.25">
      <c r="B196" s="650">
        <v>-2.5141417612122501</v>
      </c>
      <c r="C196" s="651">
        <v>-1.6329727183331273</v>
      </c>
      <c r="D196" s="652">
        <v>-0.34673202634927808</v>
      </c>
      <c r="E196" s="653">
        <v>-0.44316388341617086</v>
      </c>
      <c r="F196" s="651">
        <v>-0.28784157780356567</v>
      </c>
      <c r="G196" s="654">
        <v>0.84897173010828364</v>
      </c>
      <c r="H196" s="653">
        <v>0.25700000000000001</v>
      </c>
      <c r="I196" s="920">
        <v>0.41499999999999992</v>
      </c>
      <c r="J196" s="924">
        <v>4.2140000000000004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40" t="s">
        <v>420</v>
      </c>
      <c r="M196" s="981">
        <f>IFERROR(INDEX([1]List!$AG$1:$AG$65480,MATCH(RIGHT((J196*1000),2),[1]List!$AI$1:$AI$65480,0))*-1,"")</f>
        <v>-16.099999999999994</v>
      </c>
      <c r="N196" s="941"/>
      <c r="O196" s="942"/>
      <c r="Q196" s="162">
        <f t="shared" ref="Q196:Q209" si="1067">IFERROR(INDEX(B$164:B$305,MATCH($Y196,$J$164:$J$305,0)),"")</f>
        <v>-2.5141417612122501</v>
      </c>
      <c r="R196" s="162">
        <f t="shared" ref="R196:R209" si="1068">IFERROR(INDEX(C$164:C$305,MATCH($Y196,$J$164:$J$305,0)),"")</f>
        <v>-1.6329727183331273</v>
      </c>
      <c r="S196" s="162">
        <f t="shared" ref="S196:S209" si="1069">IFERROR(INDEX(D$164:D$305,MATCH($Y196,$J$164:$J$305,0)),"")</f>
        <v>-0.34673202634927808</v>
      </c>
      <c r="T196" s="162">
        <f t="shared" ref="T196:T209" si="1070">IFERROR(IF($N196="Y",-1*INDEX(E$164:E$305,MATCH($Y196,$J$164:$J$305,0)),INDEX(E$164:E$305,MATCH($Y196,$J$164:$J$305,0))),"")</f>
        <v>-0.44316388341617086</v>
      </c>
      <c r="U196" s="162">
        <f t="shared" ref="U196:U209" si="1071">IFERROR(IF($N196="Y",-1*INDEX(F$164:F$305,MATCH($Y196,$J$164:$J$305,0)),INDEX(F$164:F$305,MATCH($Y196,$J$164:$J$305,0))),"")</f>
        <v>-0.28784157780356567</v>
      </c>
      <c r="V196" s="162">
        <f t="shared" ref="V196:V209" si="1072">IFERROR(IF($N196="Y",-1*INDEX(G$164:G$305,MATCH($Y196,$J$164:$J$305,0)),INDEX(G$164:G$305,MATCH($Y196,$J$164:$J$305,0))),"")</f>
        <v>0.84897173010828364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09" si="1073">IFERROR(INDEX(I$164:I$305,MATCH($Y196,$J$164:$J$305,0)),"")</f>
        <v>0.41499999999999992</v>
      </c>
      <c r="Y196" s="75">
        <v>4.2140000000000004</v>
      </c>
      <c r="Z196" s="917" t="str">
        <f t="shared" ref="Z196:Z209" si="1074">IFERROR(INDEX(K$164:K$305,MATCH($Y196,$J$164:$J$305,0)),"")</f>
        <v>CPS-32193r1</v>
      </c>
      <c r="AA196" s="82"/>
      <c r="AB196" s="75"/>
      <c r="AC196" s="75"/>
      <c r="AD196" s="166"/>
      <c r="AE196" s="75">
        <v>2.1110000000000002</v>
      </c>
      <c r="AF196" s="82">
        <v>2</v>
      </c>
      <c r="AG196" s="82">
        <v>1</v>
      </c>
      <c r="AH196" s="82">
        <v>1</v>
      </c>
      <c r="AI196" s="82">
        <v>1.0000000000218279</v>
      </c>
      <c r="AJ196" s="166">
        <v>2.11111</v>
      </c>
      <c r="AK196" s="82" t="str">
        <v>Base</v>
      </c>
      <c r="AL196" s="162">
        <v>-16.5</v>
      </c>
      <c r="AM196" s="162">
        <v>-2.5780856008046751</v>
      </c>
      <c r="AN196" s="162">
        <v>-6.4826336755786709E-2</v>
      </c>
      <c r="AO196" s="162">
        <v>18.752253478994469</v>
      </c>
      <c r="AP196" s="162">
        <v>-17.672091036433017</v>
      </c>
      <c r="AQ196" s="162">
        <v>0</v>
      </c>
      <c r="AR196" s="710" t="str">
        <v>1613.par</v>
      </c>
      <c r="AV196" s="82" t="str">
        <v>204,204,0</v>
      </c>
      <c r="AW196" s="947">
        <v>3.7000000000000028</v>
      </c>
      <c r="AX196" s="947">
        <v>18.752253478994469</v>
      </c>
      <c r="AY196" s="947">
        <v>0</v>
      </c>
    </row>
    <row r="197" spans="2:51" x14ac:dyDescent="0.25">
      <c r="B197" s="650">
        <v>-2.90853148579028</v>
      </c>
      <c r="C197" s="651">
        <v>-1.9376813028340476</v>
      </c>
      <c r="D197" s="652">
        <v>-0.92855734225443254</v>
      </c>
      <c r="E197" s="653">
        <v>-0.7292161829286401</v>
      </c>
      <c r="F197" s="651">
        <v>-0.48580824044300003</v>
      </c>
      <c r="G197" s="654">
        <v>0.48190674624107571</v>
      </c>
      <c r="H197" s="653">
        <v>0.25700000000000001</v>
      </c>
      <c r="I197" s="920">
        <v>0.41499999999999992</v>
      </c>
      <c r="J197" s="924">
        <v>4.2190000000000003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40" t="s">
        <v>420</v>
      </c>
      <c r="M197" s="981">
        <f>IFERROR(INDEX([1]List!$AG$1:$AG$65480,MATCH(RIGHT((J197*1000),2),[1]List!$AI$1:$AI$65480,0))*-1,"")</f>
        <v>-36.799999999999997</v>
      </c>
      <c r="N197" s="941"/>
      <c r="O197" s="942"/>
      <c r="Q197" s="162">
        <f t="shared" si="1067"/>
        <v>-2.90853148579028</v>
      </c>
      <c r="R197" s="162">
        <f t="shared" si="1068"/>
        <v>-1.9376813028340476</v>
      </c>
      <c r="S197" s="162">
        <f t="shared" si="1069"/>
        <v>-0.92855734225443254</v>
      </c>
      <c r="T197" s="162">
        <f t="shared" si="1070"/>
        <v>-0.7292161829286401</v>
      </c>
      <c r="U197" s="162">
        <f t="shared" si="1071"/>
        <v>-0.48580824044300003</v>
      </c>
      <c r="V197" s="162">
        <f t="shared" si="1072"/>
        <v>0.48190674624107571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73"/>
        <v>0.41499999999999992</v>
      </c>
      <c r="Y197" s="75">
        <v>4.2190000000000003</v>
      </c>
      <c r="Z197" s="917" t="str">
        <f t="shared" si="1074"/>
        <v>CPS-32193r1</v>
      </c>
      <c r="AA197" s="82"/>
      <c r="AB197" s="75"/>
      <c r="AC197" s="75"/>
      <c r="AD197" s="166"/>
      <c r="AE197" s="75">
        <v>1.2270000000000001</v>
      </c>
      <c r="AF197" s="82">
        <v>1</v>
      </c>
      <c r="AG197" s="82">
        <v>2</v>
      </c>
      <c r="AH197" s="82">
        <v>1</v>
      </c>
      <c r="AI197" s="82">
        <v>1.0000000000218279</v>
      </c>
      <c r="AJ197" s="166">
        <v>1.2271100000000001</v>
      </c>
      <c r="AK197" s="82" t="str">
        <v>Base</v>
      </c>
      <c r="AL197" s="162">
        <v>-15.75</v>
      </c>
      <c r="AM197" s="162">
        <v>-3.6520747310256141</v>
      </c>
      <c r="AN197" s="162">
        <v>-2.132863080728725</v>
      </c>
      <c r="AO197" s="162">
        <v>84.999987727520192</v>
      </c>
      <c r="AP197" s="162">
        <v>0</v>
      </c>
      <c r="AQ197" s="162">
        <v>0</v>
      </c>
      <c r="AR197" s="710" t="str">
        <v>32193r1.par</v>
      </c>
      <c r="AV197" s="82" t="str">
        <v>255,188,121</v>
      </c>
      <c r="AW197" s="947">
        <v>70.300000000000011</v>
      </c>
      <c r="AX197" s="947">
        <v>84.999987727520192</v>
      </c>
      <c r="AY197" s="947">
        <v>0</v>
      </c>
    </row>
    <row r="198" spans="2:51" x14ac:dyDescent="0.25">
      <c r="B198" s="650">
        <v>-3.0819720759566147</v>
      </c>
      <c r="C198" s="651">
        <v>-1.9593616215541962</v>
      </c>
      <c r="D198" s="652">
        <v>-1.6766937675032385</v>
      </c>
      <c r="E198" s="653">
        <v>-0.84068492851930143</v>
      </c>
      <c r="F198" s="651">
        <v>-0.53446486345872468</v>
      </c>
      <c r="G198" s="654">
        <v>8.7155956127759088E-2</v>
      </c>
      <c r="H198" s="653">
        <v>0.25700000000000001</v>
      </c>
      <c r="I198" s="920">
        <v>0.41499999999999992</v>
      </c>
      <c r="J198" s="924">
        <v>4.2240000000000002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420</v>
      </c>
      <c r="M198" s="981">
        <f>IFERROR(INDEX([1]List!$AG$1:$AG$65480,MATCH(RIGHT((J198*1000),2),[1]List!$AI$1:$AI$65480,0))*-1,"")</f>
        <v>-57.699999999999989</v>
      </c>
      <c r="N198" s="941"/>
      <c r="O198" s="942"/>
      <c r="Q198" s="162">
        <f t="shared" si="1067"/>
        <v>-3.0819720759566147</v>
      </c>
      <c r="R198" s="162">
        <f t="shared" si="1068"/>
        <v>-1.9593616215541962</v>
      </c>
      <c r="S198" s="162">
        <f t="shared" si="1069"/>
        <v>-1.6766937675032385</v>
      </c>
      <c r="T198" s="162">
        <f t="shared" si="1070"/>
        <v>-0.84068492851930143</v>
      </c>
      <c r="U198" s="162">
        <f t="shared" si="1071"/>
        <v>-0.53446486345872468</v>
      </c>
      <c r="V198" s="162">
        <f t="shared" si="1072"/>
        <v>8.7155956127759088E-2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3"/>
        <v>0.41499999999999992</v>
      </c>
      <c r="Y198" s="75">
        <v>4.2240000000000002</v>
      </c>
      <c r="Z198" s="917" t="str">
        <f t="shared" si="1074"/>
        <v>CPS-32193r1</v>
      </c>
      <c r="AA198" s="82"/>
      <c r="AB198" s="75"/>
      <c r="AC198" s="75"/>
      <c r="AD198" s="166"/>
      <c r="AE198" s="75">
        <v>1.222</v>
      </c>
      <c r="AF198" s="82">
        <v>1</v>
      </c>
      <c r="AG198" s="82">
        <v>2</v>
      </c>
      <c r="AH198" s="82">
        <v>1</v>
      </c>
      <c r="AI198" s="82">
        <v>1.000000000003638</v>
      </c>
      <c r="AJ198" s="166">
        <v>1.22211</v>
      </c>
      <c r="AK198" s="82" t="str">
        <v>Base</v>
      </c>
      <c r="AL198" s="162">
        <v>-15.75</v>
      </c>
      <c r="AM198" s="162">
        <v>-3.6331656940031252</v>
      </c>
      <c r="AN198" s="162">
        <v>-1.3560967337039851</v>
      </c>
      <c r="AO198" s="162">
        <v>79.019988590925223</v>
      </c>
      <c r="AP198" s="162">
        <v>0</v>
      </c>
      <c r="AQ198" s="162">
        <v>0</v>
      </c>
      <c r="AR198" s="710" t="str">
        <v>32193r1.par</v>
      </c>
      <c r="AV198" s="82" t="str">
        <v>255,188,121</v>
      </c>
      <c r="AW198" s="947">
        <v>49.300000000000011</v>
      </c>
      <c r="AX198" s="947">
        <v>79.019988590925223</v>
      </c>
      <c r="AY198" s="947">
        <v>0</v>
      </c>
    </row>
    <row r="199" spans="2:51" x14ac:dyDescent="0.25">
      <c r="B199" s="650">
        <v>-1.9727025418338338</v>
      </c>
      <c r="C199" s="651">
        <v>0.71800540036372384</v>
      </c>
      <c r="D199" s="652">
        <v>-5.3847007540022571E-2</v>
      </c>
      <c r="E199" s="653">
        <v>-0.35156342402088497</v>
      </c>
      <c r="F199" s="651">
        <v>-0.89995817857349758</v>
      </c>
      <c r="G199" s="654">
        <v>0.25783412440827957</v>
      </c>
      <c r="H199" s="653">
        <v>0.314</v>
      </c>
      <c r="I199" s="920">
        <v>0.52</v>
      </c>
      <c r="J199" s="924">
        <v>5.1079999999999997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81">
        <f>IFERROR(INDEX([1]List!$AG$1:$AG$65480,MATCH(RIGHT((J199*1000),2),[1]List!$AI$1:$AI$65480,0))*-1,"")</f>
        <v>12.900000000000006</v>
      </c>
      <c r="N199" s="941"/>
      <c r="O199" s="942"/>
      <c r="Q199" s="162">
        <f t="shared" si="1067"/>
        <v>-1.9727025418338338</v>
      </c>
      <c r="R199" s="162">
        <f t="shared" si="1068"/>
        <v>0.71800540036372384</v>
      </c>
      <c r="S199" s="162">
        <f t="shared" si="1069"/>
        <v>-5.3847007540022571E-2</v>
      </c>
      <c r="T199" s="162">
        <f t="shared" si="1070"/>
        <v>-0.35156342402088497</v>
      </c>
      <c r="U199" s="162">
        <f t="shared" si="1071"/>
        <v>-0.89995817857349758</v>
      </c>
      <c r="V199" s="162">
        <f t="shared" si="1072"/>
        <v>0.25783412440827957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3"/>
        <v>0.52</v>
      </c>
      <c r="Y199" s="75">
        <v>5.1079999999999997</v>
      </c>
      <c r="Z199" s="917">
        <f t="shared" si="1074"/>
        <v>1613</v>
      </c>
      <c r="AA199" s="82"/>
      <c r="AB199" s="75"/>
      <c r="AC199" s="75"/>
      <c r="AD199" s="166"/>
      <c r="AE199" s="75">
        <v>1.2170000000000001</v>
      </c>
      <c r="AF199" s="82">
        <v>1</v>
      </c>
      <c r="AG199" s="82">
        <v>2</v>
      </c>
      <c r="AH199" s="82">
        <v>1</v>
      </c>
      <c r="AI199" s="82">
        <v>1.0000000000218279</v>
      </c>
      <c r="AJ199" s="166">
        <v>1.2171100000000001</v>
      </c>
      <c r="AK199" s="82" t="str">
        <v>Base</v>
      </c>
      <c r="AL199" s="162">
        <v>-15.75</v>
      </c>
      <c r="AM199" s="162">
        <v>-3.3327710697453417</v>
      </c>
      <c r="AN199" s="162">
        <v>-0.65317303085207401</v>
      </c>
      <c r="AO199" s="162">
        <v>49.399992867523508</v>
      </c>
      <c r="AP199" s="162">
        <v>0</v>
      </c>
      <c r="AQ199" s="162">
        <v>0</v>
      </c>
      <c r="AR199" s="710" t="str">
        <v>32193r1.par</v>
      </c>
      <c r="AV199" s="82" t="str">
        <v>255,188,121</v>
      </c>
      <c r="AW199" s="947">
        <v>28.5</v>
      </c>
      <c r="AX199" s="947">
        <v>49.399992867523508</v>
      </c>
      <c r="AY199" s="947">
        <v>0</v>
      </c>
    </row>
    <row r="200" spans="2:51" x14ac:dyDescent="0.25">
      <c r="B200" s="650">
        <v>-2.6895450336531739</v>
      </c>
      <c r="C200" s="651">
        <v>1.0005005463809402</v>
      </c>
      <c r="D200" s="652">
        <v>-0.22254751634075751</v>
      </c>
      <c r="E200" s="653">
        <v>-0.48614833244856487</v>
      </c>
      <c r="F200" s="651">
        <v>-0.82373462658968355</v>
      </c>
      <c r="G200" s="654">
        <v>0.29175514359584886</v>
      </c>
      <c r="H200" s="653">
        <v>0.314</v>
      </c>
      <c r="I200" s="920">
        <v>0.52</v>
      </c>
      <c r="J200" s="924">
        <v>5.1130000000000004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81">
        <f>IFERROR(INDEX([1]List!$AG$1:$AG$65480,MATCH(RIGHT((J200*1000),2),[1]List!$AI$1:$AI$65480,0))*-1,"")</f>
        <v>-11.900000000000006</v>
      </c>
      <c r="N200" s="941"/>
      <c r="O200" s="942"/>
      <c r="Q200" s="162">
        <f t="shared" si="1067"/>
        <v>-2.6895450336531739</v>
      </c>
      <c r="R200" s="162">
        <f t="shared" si="1068"/>
        <v>1.0005005463809402</v>
      </c>
      <c r="S200" s="162">
        <f t="shared" si="1069"/>
        <v>-0.22254751634075751</v>
      </c>
      <c r="T200" s="162">
        <f t="shared" si="1070"/>
        <v>-0.48614833244856487</v>
      </c>
      <c r="U200" s="162">
        <f t="shared" si="1071"/>
        <v>-0.82373462658968355</v>
      </c>
      <c r="V200" s="162">
        <f t="shared" si="1072"/>
        <v>0.29175514359584886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3"/>
        <v>0.52</v>
      </c>
      <c r="Y200" s="75">
        <v>5.1130000000000004</v>
      </c>
      <c r="Z200" s="917">
        <f t="shared" si="1074"/>
        <v>1613</v>
      </c>
      <c r="AA200" s="82"/>
      <c r="AB200" s="75"/>
      <c r="AC200" s="75"/>
      <c r="AD200" s="166"/>
      <c r="AE200" s="75">
        <v>1.127</v>
      </c>
      <c r="AF200" s="82">
        <v>1</v>
      </c>
      <c r="AG200" s="82">
        <v>1</v>
      </c>
      <c r="AH200" s="82">
        <v>1</v>
      </c>
      <c r="AI200" s="82">
        <v>1.000000000003638</v>
      </c>
      <c r="AJ200" s="166">
        <v>1.1271100000000001</v>
      </c>
      <c r="AK200" s="82" t="str">
        <v>Base</v>
      </c>
      <c r="AL200" s="162">
        <v>-15</v>
      </c>
      <c r="AM200" s="162">
        <v>-3.6763899735491345</v>
      </c>
      <c r="AN200" s="162">
        <v>-2.1093182299486024</v>
      </c>
      <c r="AO200" s="162">
        <v>84.958848408102128</v>
      </c>
      <c r="AP200" s="162">
        <v>-29.73109375339925</v>
      </c>
      <c r="AQ200" s="162">
        <v>0</v>
      </c>
      <c r="AR200" s="710" t="str">
        <v>1613.par</v>
      </c>
      <c r="AV200" s="82" t="str">
        <v>255,127,0</v>
      </c>
      <c r="AW200" s="947">
        <v>70.300000000000011</v>
      </c>
      <c r="AX200" s="947">
        <v>84.958848408102128</v>
      </c>
      <c r="AY200" s="947">
        <v>0</v>
      </c>
    </row>
    <row r="201" spans="2:51" x14ac:dyDescent="0.25">
      <c r="B201" s="650">
        <v>-3.2040176405760019</v>
      </c>
      <c r="C201" s="651">
        <v>1.2403131262451284</v>
      </c>
      <c r="D201" s="652">
        <v>-0.74894910396794512</v>
      </c>
      <c r="E201" s="653">
        <v>-0.64409904514625815</v>
      </c>
      <c r="F201" s="651">
        <v>-0.72739295783815738</v>
      </c>
      <c r="G201" s="654">
        <v>0.23671904217687073</v>
      </c>
      <c r="H201" s="653">
        <v>0.314</v>
      </c>
      <c r="I201" s="920">
        <v>0.52</v>
      </c>
      <c r="J201" s="924">
        <v>5.1180000000000003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81">
        <f>IFERROR(INDEX([1]List!$AG$1:$AG$65480,MATCH(RIGHT((J201*1000),2),[1]List!$AI$1:$AI$65480,0))*-1,"")</f>
        <v>-32.700000000000003</v>
      </c>
      <c r="N201" s="941"/>
      <c r="O201" s="942"/>
      <c r="Q201" s="162">
        <f t="shared" si="1067"/>
        <v>-3.2040176405760019</v>
      </c>
      <c r="R201" s="162">
        <f t="shared" si="1068"/>
        <v>1.2403131262451284</v>
      </c>
      <c r="S201" s="162">
        <f t="shared" si="1069"/>
        <v>-0.74894910396794512</v>
      </c>
      <c r="T201" s="162">
        <f t="shared" si="1070"/>
        <v>-0.64409904514625815</v>
      </c>
      <c r="U201" s="162">
        <f t="shared" si="1071"/>
        <v>-0.72739295783815738</v>
      </c>
      <c r="V201" s="162">
        <f t="shared" si="1072"/>
        <v>0.23671904217687073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3"/>
        <v>0.52</v>
      </c>
      <c r="Y201" s="75">
        <v>5.1180000000000003</v>
      </c>
      <c r="Z201" s="917">
        <f t="shared" si="1074"/>
        <v>1613</v>
      </c>
      <c r="AA201" s="82"/>
      <c r="AB201" s="75"/>
      <c r="AC201" s="75"/>
      <c r="AD201" s="166"/>
      <c r="AE201" s="75">
        <v>1.1220000000000001</v>
      </c>
      <c r="AF201" s="82">
        <v>1</v>
      </c>
      <c r="AG201" s="82">
        <v>1</v>
      </c>
      <c r="AH201" s="82">
        <v>1</v>
      </c>
      <c r="AI201" s="82">
        <v>1.0000000000218279</v>
      </c>
      <c r="AJ201" s="166">
        <v>1.1221100000000002</v>
      </c>
      <c r="AK201" s="82" t="str">
        <v>Base</v>
      </c>
      <c r="AL201" s="162">
        <v>-15</v>
      </c>
      <c r="AM201" s="162">
        <v>-3.651946953520572</v>
      </c>
      <c r="AN201" s="162">
        <v>-1.3312102861237691</v>
      </c>
      <c r="AO201" s="162">
        <v>74.864641684638286</v>
      </c>
      <c r="AP201" s="162">
        <v>-27.857777741111491</v>
      </c>
      <c r="AQ201" s="162">
        <v>0</v>
      </c>
      <c r="AR201" s="710" t="str">
        <v>1613.par</v>
      </c>
      <c r="AV201" s="82" t="str">
        <v>255,127,0</v>
      </c>
      <c r="AW201" s="947">
        <v>49.300000000000011</v>
      </c>
      <c r="AX201" s="947">
        <v>74.864641684638286</v>
      </c>
      <c r="AY201" s="947">
        <v>0</v>
      </c>
    </row>
    <row r="202" spans="2:51" x14ac:dyDescent="0.25">
      <c r="B202" s="650">
        <v>-3.419933242509595</v>
      </c>
      <c r="C202" s="651">
        <v>1.361579725651763</v>
      </c>
      <c r="D202" s="652">
        <v>-1.4828513174170217</v>
      </c>
      <c r="E202" s="653">
        <v>-0.76777363900814244</v>
      </c>
      <c r="F202" s="651">
        <v>-0.63514437498586074</v>
      </c>
      <c r="G202" s="654">
        <v>8.4352013420041089E-2</v>
      </c>
      <c r="H202" s="653">
        <v>0.314</v>
      </c>
      <c r="I202" s="920">
        <v>0.52</v>
      </c>
      <c r="J202" s="924">
        <v>5.1230000000000002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423</v>
      </c>
      <c r="M202" s="981">
        <f>IFERROR(INDEX([1]List!$AG$1:$AG$65480,MATCH(RIGHT((J202*1000),2),[1]List!$AI$1:$AI$65480,0))*-1,"")</f>
        <v>-53.5</v>
      </c>
      <c r="N202" s="941"/>
      <c r="O202" s="942"/>
      <c r="Q202" s="162">
        <f t="shared" si="1067"/>
        <v>-3.419933242509595</v>
      </c>
      <c r="R202" s="162">
        <f t="shared" si="1068"/>
        <v>1.361579725651763</v>
      </c>
      <c r="S202" s="162">
        <f t="shared" si="1069"/>
        <v>-1.4828513174170217</v>
      </c>
      <c r="T202" s="162">
        <f t="shared" si="1070"/>
        <v>-0.76777363900814244</v>
      </c>
      <c r="U202" s="162">
        <f t="shared" si="1071"/>
        <v>-0.63514437498586074</v>
      </c>
      <c r="V202" s="162">
        <f t="shared" si="1072"/>
        <v>8.4352013420041089E-2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3"/>
        <v>0.52</v>
      </c>
      <c r="Y202" s="75">
        <v>5.1230000000000002</v>
      </c>
      <c r="Z202" s="917">
        <f t="shared" si="1074"/>
        <v>1613</v>
      </c>
      <c r="AA202" s="82"/>
      <c r="AB202" s="75"/>
      <c r="AC202" s="75"/>
      <c r="AD202" s="166"/>
      <c r="AE202" s="75">
        <v>1.117</v>
      </c>
      <c r="AF202" s="82">
        <v>1</v>
      </c>
      <c r="AG202" s="82">
        <v>1</v>
      </c>
      <c r="AH202" s="82">
        <v>1</v>
      </c>
      <c r="AI202" s="82">
        <v>1.000000000003638</v>
      </c>
      <c r="AJ202" s="166">
        <v>1.11711</v>
      </c>
      <c r="AK202" s="82" t="str">
        <v>Base</v>
      </c>
      <c r="AL202" s="162">
        <v>-15</v>
      </c>
      <c r="AM202" s="162">
        <v>-3.3391666503730635</v>
      </c>
      <c r="AN202" s="162">
        <v>-0.62788406864081203</v>
      </c>
      <c r="AO202" s="162">
        <v>49.528137719076049</v>
      </c>
      <c r="AP202" s="162">
        <v>-23.197131518106772</v>
      </c>
      <c r="AQ202" s="162">
        <v>0</v>
      </c>
      <c r="AR202" s="710" t="str">
        <v>1613.par</v>
      </c>
      <c r="AV202" s="82" t="str">
        <v>255,127,0</v>
      </c>
      <c r="AW202" s="947">
        <v>28.5</v>
      </c>
      <c r="AX202" s="947">
        <v>49.528137719076049</v>
      </c>
      <c r="AY202" s="947">
        <v>0</v>
      </c>
    </row>
    <row r="203" spans="2:51" x14ac:dyDescent="0.25">
      <c r="B203" s="650">
        <v>-3.4203888436401488</v>
      </c>
      <c r="C203" s="651">
        <v>1.3747108119022062</v>
      </c>
      <c r="D203" s="652">
        <v>-2.2304535721854215</v>
      </c>
      <c r="E203" s="653">
        <v>-0.78512659568481269</v>
      </c>
      <c r="F203" s="651">
        <v>-0.6178002825133394</v>
      </c>
      <c r="G203" s="654">
        <v>4.3577972357774802E-2</v>
      </c>
      <c r="H203" s="653">
        <v>0.314</v>
      </c>
      <c r="I203" s="920">
        <v>0.52</v>
      </c>
      <c r="J203" s="924">
        <v>5.1280000000000001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423</v>
      </c>
      <c r="M203" s="981">
        <f>IFERROR(INDEX([1]List!$AG$1:$AG$65480,MATCH(RIGHT((J203*1000),2),[1]List!$AI$1:$AI$65480,0))*-1,"")</f>
        <v>-74.5</v>
      </c>
      <c r="N203" s="941"/>
      <c r="O203" s="942"/>
      <c r="Q203" s="162">
        <f t="shared" si="1067"/>
        <v>-3.4203888436401488</v>
      </c>
      <c r="R203" s="162">
        <f t="shared" si="1068"/>
        <v>1.3747108119022062</v>
      </c>
      <c r="S203" s="162">
        <f t="shared" si="1069"/>
        <v>-2.2304535721854215</v>
      </c>
      <c r="T203" s="162">
        <f t="shared" si="1070"/>
        <v>-0.78512659568481269</v>
      </c>
      <c r="U203" s="162">
        <f t="shared" si="1071"/>
        <v>-0.6178002825133394</v>
      </c>
      <c r="V203" s="162">
        <f t="shared" si="1072"/>
        <v>4.3577972357774802E-2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3"/>
        <v>0.52</v>
      </c>
      <c r="Y203" s="75">
        <v>5.1280000000000001</v>
      </c>
      <c r="Z203" s="917">
        <f t="shared" si="1074"/>
        <v>1613</v>
      </c>
      <c r="AA203" s="82"/>
      <c r="AB203" s="75"/>
      <c r="AC203" s="75"/>
      <c r="AD203" s="166"/>
      <c r="AE203" s="75">
        <v>1.1120000000000001</v>
      </c>
      <c r="AF203" s="82">
        <v>1</v>
      </c>
      <c r="AG203" s="82">
        <v>1</v>
      </c>
      <c r="AH203" s="82">
        <v>1</v>
      </c>
      <c r="AI203" s="82">
        <v>1.0000000000218279</v>
      </c>
      <c r="AJ203" s="166">
        <v>1.1121100000000002</v>
      </c>
      <c r="AK203" s="82" t="str">
        <v>Base</v>
      </c>
      <c r="AL203" s="162">
        <v>-15</v>
      </c>
      <c r="AM203" s="162">
        <v>-2.7253571079613494</v>
      </c>
      <c r="AN203" s="162">
        <v>-0.16395320746132372</v>
      </c>
      <c r="AO203" s="162">
        <v>23.927284991087728</v>
      </c>
      <c r="AP203" s="162">
        <v>-18.585107858000455</v>
      </c>
      <c r="AQ203" s="162">
        <v>0</v>
      </c>
      <c r="AR203" s="710" t="str">
        <v>1613.par</v>
      </c>
      <c r="AV203" s="82" t="str">
        <v>255,127,0</v>
      </c>
      <c r="AW203" s="947">
        <v>7.7999999999999972</v>
      </c>
      <c r="AX203" s="947">
        <v>23.927284991087728</v>
      </c>
      <c r="AY203" s="947">
        <v>0</v>
      </c>
    </row>
    <row r="204" spans="2:51" x14ac:dyDescent="0.25">
      <c r="B204" s="650">
        <v>-2.5701642382198835</v>
      </c>
      <c r="C204" s="651">
        <v>2.2569553069755797</v>
      </c>
      <c r="D204" s="652">
        <v>-0.793165610718508</v>
      </c>
      <c r="E204" s="653">
        <v>-0.61761578780865045</v>
      </c>
      <c r="F204" s="651">
        <v>0.54235103315112865</v>
      </c>
      <c r="G204" s="654">
        <v>0.56956658565035534</v>
      </c>
      <c r="H204" s="653">
        <v>0.25700000000000001</v>
      </c>
      <c r="I204" s="920">
        <v>0.41499999999999992</v>
      </c>
      <c r="J204" s="924">
        <v>5.218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420</v>
      </c>
      <c r="M204" s="981">
        <f>IFERROR(INDEX([1]List!$AG$1:$AG$65480,MATCH(RIGHT((J204*1000),2),[1]List!$AI$1:$AI$65480,0))*-1,"")</f>
        <v>-32.700000000000003</v>
      </c>
      <c r="N204" s="941"/>
      <c r="O204" s="942"/>
      <c r="Q204" s="162">
        <f t="shared" si="1067"/>
        <v>-2.5701642382198835</v>
      </c>
      <c r="R204" s="162">
        <f t="shared" si="1068"/>
        <v>2.2569553069755797</v>
      </c>
      <c r="S204" s="162">
        <f t="shared" si="1069"/>
        <v>-0.793165610718508</v>
      </c>
      <c r="T204" s="162">
        <f t="shared" si="1070"/>
        <v>-0.61761578780865045</v>
      </c>
      <c r="U204" s="162">
        <f t="shared" si="1071"/>
        <v>0.54235103315112865</v>
      </c>
      <c r="V204" s="162">
        <f t="shared" si="1072"/>
        <v>0.56956658565035534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3"/>
        <v>0.41499999999999992</v>
      </c>
      <c r="Y204" s="75">
        <v>5.218</v>
      </c>
      <c r="Z204" s="917" t="str">
        <f t="shared" si="1074"/>
        <v>CPS-32193r1</v>
      </c>
      <c r="AA204" s="82"/>
      <c r="AB204" s="75"/>
      <c r="AC204" s="75"/>
      <c r="AD204" s="166"/>
      <c r="AE204" s="75">
        <v>1.107</v>
      </c>
      <c r="AF204" s="82">
        <v>1</v>
      </c>
      <c r="AG204" s="82">
        <v>1</v>
      </c>
      <c r="AH204" s="82">
        <v>1</v>
      </c>
      <c r="AI204" s="82">
        <v>1.000000000003638</v>
      </c>
      <c r="AJ204" s="166">
        <v>1.10711</v>
      </c>
      <c r="AK204" s="82" t="str">
        <v>Base</v>
      </c>
      <c r="AL204" s="162">
        <v>-15</v>
      </c>
      <c r="AM204" s="162">
        <v>-1.927402630735195</v>
      </c>
      <c r="AN204" s="162">
        <v>-8.0069447161452242E-2</v>
      </c>
      <c r="AO204" s="162">
        <v>-2.1422449892601327</v>
      </c>
      <c r="AP204" s="162">
        <v>-15.010735304559713</v>
      </c>
      <c r="AQ204" s="162">
        <v>0</v>
      </c>
      <c r="AR204" s="710" t="str">
        <v>1613.par</v>
      </c>
      <c r="AV204" s="82" t="str">
        <v>255,127,0</v>
      </c>
      <c r="AW204" s="947">
        <v>-20</v>
      </c>
      <c r="AX204" s="947">
        <v>-2.1422449892601327</v>
      </c>
      <c r="AY204" s="947">
        <v>0</v>
      </c>
    </row>
    <row r="205" spans="2:51" x14ac:dyDescent="0.25">
      <c r="B205" s="650">
        <v>-2.7048052855862088</v>
      </c>
      <c r="C205" s="651">
        <v>2.4507154493242846</v>
      </c>
      <c r="D205" s="652">
        <v>-1.5224478892884616</v>
      </c>
      <c r="E205" s="653">
        <v>-0.73822582279856097</v>
      </c>
      <c r="F205" s="651">
        <v>0.66887677226291142</v>
      </c>
      <c r="G205" s="654">
        <v>8.7329823545779839E-2</v>
      </c>
      <c r="H205" s="653">
        <v>0.25700000000000001</v>
      </c>
      <c r="I205" s="920">
        <v>0.41499999999999992</v>
      </c>
      <c r="J205" s="924">
        <v>5.2229999999999999</v>
      </c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940" t="s">
        <v>420</v>
      </c>
      <c r="M205" s="981">
        <f>IFERROR(INDEX([1]List!$AG$1:$AG$65480,MATCH(RIGHT((J205*1000),2),[1]List!$AI$1:$AI$65480,0))*-1,"")</f>
        <v>-53.5</v>
      </c>
      <c r="N205" s="941"/>
      <c r="O205" s="942"/>
      <c r="Q205" s="162">
        <f t="shared" si="1067"/>
        <v>-2.7048052855862088</v>
      </c>
      <c r="R205" s="162">
        <f t="shared" si="1068"/>
        <v>2.4507154493242846</v>
      </c>
      <c r="S205" s="162">
        <f t="shared" si="1069"/>
        <v>-1.5224478892884616</v>
      </c>
      <c r="T205" s="162">
        <f t="shared" si="1070"/>
        <v>-0.73822582279856097</v>
      </c>
      <c r="U205" s="162">
        <f t="shared" si="1071"/>
        <v>0.66887677226291142</v>
      </c>
      <c r="V205" s="162">
        <f t="shared" si="1072"/>
        <v>8.7329823545779839E-2</v>
      </c>
      <c r="W205" s="162">
        <f>IFERROR(IF(ISNUMBER(MATCH($Z205,Settings!$AK$28:$AK$36,0)),INDEX(Settings!$AO$14:$AO$36,MATCH($Z205,Settings!$AK$14:$AK$36,0))/2,INDEX(Settings!$AM$14:$AM$36,MATCH($Z205,Settings!$AK$14:$AK$36,0))/2),"")</f>
        <v>0.255</v>
      </c>
      <c r="X205" s="162">
        <f t="shared" si="1073"/>
        <v>0.41499999999999992</v>
      </c>
      <c r="Y205" s="75">
        <v>5.2229999999999999</v>
      </c>
      <c r="Z205" s="917" t="str">
        <f t="shared" si="1074"/>
        <v>CPS-32193r1</v>
      </c>
      <c r="AA205" s="82"/>
      <c r="AB205" s="75"/>
      <c r="AC205" s="75"/>
      <c r="AD205" s="166"/>
      <c r="AE205" s="75">
        <v>1.1040000000000001</v>
      </c>
      <c r="AF205" s="82">
        <v>1</v>
      </c>
      <c r="AG205" s="82">
        <v>1</v>
      </c>
      <c r="AH205" s="82">
        <v>1</v>
      </c>
      <c r="AI205" s="82">
        <v>1.0000000000218279</v>
      </c>
      <c r="AJ205" s="166">
        <v>1.1041100000000001</v>
      </c>
      <c r="AK205" s="82" t="str">
        <v>Base</v>
      </c>
      <c r="AL205" s="162">
        <v>-15</v>
      </c>
      <c r="AM205" s="162">
        <v>-1.1768491068518661</v>
      </c>
      <c r="AN205" s="162">
        <v>-0.39264798713296734</v>
      </c>
      <c r="AO205" s="162">
        <v>-6.2461638467330163</v>
      </c>
      <c r="AP205" s="162">
        <v>-16.075472317824548</v>
      </c>
      <c r="AQ205" s="162">
        <v>0</v>
      </c>
      <c r="AR205" s="710" t="str">
        <v>1913.par</v>
      </c>
      <c r="AV205" s="82" t="str">
        <v>255,127,0</v>
      </c>
      <c r="AW205" s="947">
        <v>-20</v>
      </c>
      <c r="AX205" s="947">
        <v>-6.2461638467330163</v>
      </c>
      <c r="AY205" s="947">
        <v>0</v>
      </c>
    </row>
    <row r="206" spans="2:51" x14ac:dyDescent="0.25">
      <c r="B206" s="650">
        <v>-2.6231515301518753</v>
      </c>
      <c r="C206" s="651">
        <v>2.5410088332899776</v>
      </c>
      <c r="D206" s="652">
        <v>-2.2704368305643672</v>
      </c>
      <c r="E206" s="653">
        <v>-0.71553015480730442</v>
      </c>
      <c r="F206" s="651">
        <v>0.69312368079073106</v>
      </c>
      <c r="G206" s="654">
        <v>8.7155956127759199E-2</v>
      </c>
      <c r="H206" s="653">
        <v>0.25700000000000001</v>
      </c>
      <c r="I206" s="920">
        <v>0.41499999999999992</v>
      </c>
      <c r="J206" s="924">
        <v>5.2279999999999998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40" t="s">
        <v>420</v>
      </c>
      <c r="M206" s="981">
        <f>IFERROR(INDEX([1]List!$AG$1:$AG$65480,MATCH(RIGHT((J206*1000),2),[1]List!$AI$1:$AI$65480,0))*-1,"")</f>
        <v>-74.5</v>
      </c>
      <c r="N206" s="941"/>
      <c r="O206" s="942"/>
      <c r="Q206" s="162">
        <f t="shared" si="1067"/>
        <v>-2.6231515301518753</v>
      </c>
      <c r="R206" s="162">
        <f t="shared" si="1068"/>
        <v>2.5410088332899776</v>
      </c>
      <c r="S206" s="162">
        <f t="shared" si="1069"/>
        <v>-2.2704368305643672</v>
      </c>
      <c r="T206" s="162">
        <f t="shared" si="1070"/>
        <v>-0.71553015480730442</v>
      </c>
      <c r="U206" s="162">
        <f t="shared" si="1071"/>
        <v>0.69312368079073106</v>
      </c>
      <c r="V206" s="162">
        <f t="shared" si="1072"/>
        <v>8.7155956127759199E-2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3"/>
        <v>0.41499999999999992</v>
      </c>
      <c r="Y206" s="75">
        <v>5.2279999999999998</v>
      </c>
      <c r="Z206" s="917" t="str">
        <f t="shared" si="1074"/>
        <v>CPS-32193r1</v>
      </c>
      <c r="AA206" s="82"/>
      <c r="AB206" s="75"/>
      <c r="AC206" s="75"/>
      <c r="AD206" s="166"/>
      <c r="AE206" s="75">
        <v>1.101</v>
      </c>
      <c r="AF206" s="82">
        <v>1</v>
      </c>
      <c r="AG206" s="82">
        <v>1</v>
      </c>
      <c r="AH206" s="82">
        <v>1</v>
      </c>
      <c r="AI206" s="82">
        <v>1.000000000003638</v>
      </c>
      <c r="AJ206" s="166">
        <v>1.10111</v>
      </c>
      <c r="AK206" s="82" t="str">
        <v>Base</v>
      </c>
      <c r="AL206" s="162">
        <v>-15</v>
      </c>
      <c r="AM206" s="162">
        <v>-0.34417298027040027</v>
      </c>
      <c r="AN206" s="162">
        <v>-0.62994861304904404</v>
      </c>
      <c r="AO206" s="162">
        <v>-16.339646098154638</v>
      </c>
      <c r="AP206" s="162">
        <v>-22.678960175933817</v>
      </c>
      <c r="AQ206" s="162">
        <v>0</v>
      </c>
      <c r="AR206" s="710" t="str">
        <v>1613.par</v>
      </c>
      <c r="AV206" s="82" t="str">
        <v>255,127,0</v>
      </c>
      <c r="AW206" s="947">
        <v>-20</v>
      </c>
      <c r="AX206" s="947">
        <v>-16.339646098154638</v>
      </c>
      <c r="AY206" s="947">
        <v>0</v>
      </c>
    </row>
    <row r="207" spans="2:51" x14ac:dyDescent="0.25">
      <c r="B207" s="650"/>
      <c r="C207" s="651"/>
      <c r="D207" s="652"/>
      <c r="E207" s="653"/>
      <c r="F207" s="651"/>
      <c r="G207" s="654"/>
      <c r="H207" s="653"/>
      <c r="I207" s="920"/>
      <c r="J207" s="924"/>
      <c r="K207" s="790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/>
      </c>
      <c r="L207" s="940"/>
      <c r="M207" s="981" t="str">
        <f>IFERROR(INDEX([1]List!$AG$1:$AG$65480,MATCH(RIGHT((J207*1000),2),[1]List!$AI$1:$AI$65480,0))*-1,"")</f>
        <v/>
      </c>
      <c r="N207" s="941"/>
      <c r="O207" s="942"/>
      <c r="Q207" s="162" t="str">
        <f t="shared" si="1067"/>
        <v/>
      </c>
      <c r="R207" s="162" t="str">
        <f t="shared" si="1068"/>
        <v/>
      </c>
      <c r="S207" s="162" t="str">
        <f t="shared" si="1069"/>
        <v/>
      </c>
      <c r="T207" s="162" t="str">
        <f t="shared" si="1070"/>
        <v/>
      </c>
      <c r="U207" s="162" t="str">
        <f t="shared" si="1071"/>
        <v/>
      </c>
      <c r="V207" s="162" t="str">
        <f t="shared" si="1072"/>
        <v/>
      </c>
      <c r="W207" s="162" t="str">
        <f>IFERROR(IF(ISNUMBER(MATCH($Z207,Settings!$AK$28:$AK$36,0)),INDEX(Settings!$AO$14:$AO$36,MATCH($Z207,Settings!$AK$14:$AK$36,0))/2,INDEX(Settings!$AM$14:$AM$36,MATCH($Z207,Settings!$AK$14:$AK$36,0))/2),"")</f>
        <v/>
      </c>
      <c r="X207" s="162" t="str">
        <f t="shared" si="1073"/>
        <v/>
      </c>
      <c r="Y207" s="75"/>
      <c r="Z207" s="917" t="str">
        <f t="shared" si="1074"/>
        <v/>
      </c>
      <c r="AA207" s="82"/>
      <c r="AB207" s="75"/>
      <c r="AC207" s="75"/>
      <c r="AD207" s="166"/>
      <c r="AE207" s="75">
        <v>5.2279999999999998</v>
      </c>
      <c r="AF207" s="82">
        <v>5</v>
      </c>
      <c r="AG207" s="82">
        <v>2</v>
      </c>
      <c r="AH207" s="82">
        <v>2</v>
      </c>
      <c r="AI207" s="82">
        <v>0.99999999998544808</v>
      </c>
      <c r="AJ207" s="166">
        <v>5.2282099999999998</v>
      </c>
      <c r="AK207" s="82">
        <v>5.22811</v>
      </c>
      <c r="AL207" s="162">
        <v>0</v>
      </c>
      <c r="AM207" s="162">
        <v>0</v>
      </c>
      <c r="AN207" s="162">
        <v>0</v>
      </c>
      <c r="AO207" s="162">
        <v>-10.499987727520178</v>
      </c>
      <c r="AP207" s="162">
        <v>0</v>
      </c>
      <c r="AQ207" s="162">
        <v>0</v>
      </c>
      <c r="AR207" s="710" t="str">
        <v>32193r1.par</v>
      </c>
      <c r="AV207" s="82" t="str">
        <v>121,188,255</v>
      </c>
      <c r="AW207" s="947">
        <v>74.5</v>
      </c>
      <c r="AX207" s="947">
        <v>84.999987727520178</v>
      </c>
      <c r="AY207" s="947">
        <v>-10.499987727520178</v>
      </c>
    </row>
    <row r="208" spans="2:51" x14ac:dyDescent="0.25">
      <c r="B208" s="650"/>
      <c r="C208" s="651"/>
      <c r="D208" s="652"/>
      <c r="E208" s="653"/>
      <c r="F208" s="651"/>
      <c r="G208" s="654"/>
      <c r="H208" s="653"/>
      <c r="I208" s="920"/>
      <c r="J208" s="924"/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/>
      </c>
      <c r="L208" s="940"/>
      <c r="M208" s="981" t="str">
        <f>IFERROR(INDEX([1]List!$AG$1:$AG$65480,MATCH(RIGHT((J208*1000),2),[1]List!$AI$1:$AI$65480,0))*-1,"")</f>
        <v/>
      </c>
      <c r="N208" s="941"/>
      <c r="O208" s="942"/>
      <c r="Q208" s="162" t="str">
        <f t="shared" si="1067"/>
        <v/>
      </c>
      <c r="R208" s="162" t="str">
        <f t="shared" si="1068"/>
        <v/>
      </c>
      <c r="S208" s="162" t="str">
        <f t="shared" si="1069"/>
        <v/>
      </c>
      <c r="T208" s="162" t="str">
        <f t="shared" si="1070"/>
        <v/>
      </c>
      <c r="U208" s="162" t="str">
        <f t="shared" si="1071"/>
        <v/>
      </c>
      <c r="V208" s="162" t="str">
        <f t="shared" si="1072"/>
        <v/>
      </c>
      <c r="W208" s="162" t="str">
        <f>IFERROR(IF(ISNUMBER(MATCH($Z208,Settings!$AK$28:$AK$36,0)),INDEX(Settings!$AO$14:$AO$36,MATCH($Z208,Settings!$AK$14:$AK$36,0))/2,INDEX(Settings!$AM$14:$AM$36,MATCH($Z208,Settings!$AK$14:$AK$36,0))/2),"")</f>
        <v/>
      </c>
      <c r="X208" s="162" t="str">
        <f t="shared" si="1073"/>
        <v/>
      </c>
      <c r="Y208" s="75"/>
      <c r="Z208" s="917" t="str">
        <f t="shared" si="1074"/>
        <v/>
      </c>
      <c r="AA208" s="82"/>
      <c r="AB208" s="75"/>
      <c r="AC208" s="75"/>
      <c r="AD208" s="166"/>
      <c r="AE208" s="75">
        <v>5.2229999999999999</v>
      </c>
      <c r="AF208" s="82">
        <v>5</v>
      </c>
      <c r="AG208" s="82">
        <v>2</v>
      </c>
      <c r="AH208" s="82">
        <v>2</v>
      </c>
      <c r="AI208" s="82">
        <v>0.99999999998544808</v>
      </c>
      <c r="AJ208" s="166">
        <v>5.2232099999999999</v>
      </c>
      <c r="AK208" s="82">
        <v>5.2231100000000001</v>
      </c>
      <c r="AL208" s="162">
        <v>0</v>
      </c>
      <c r="AM208" s="162">
        <v>0</v>
      </c>
      <c r="AN208" s="162">
        <v>0</v>
      </c>
      <c r="AO208" s="162">
        <v>-31.48998772896401</v>
      </c>
      <c r="AP208" s="162">
        <v>0</v>
      </c>
      <c r="AQ208" s="162">
        <v>0</v>
      </c>
      <c r="AR208" s="710" t="str">
        <v>32193r1.par</v>
      </c>
      <c r="AV208" s="82" t="str">
        <v>121,188,255</v>
      </c>
      <c r="AW208" s="947">
        <v>53.5</v>
      </c>
      <c r="AX208" s="947">
        <v>84.98998772896401</v>
      </c>
      <c r="AY208" s="947">
        <v>-31.48998772896401</v>
      </c>
    </row>
    <row r="209" spans="2:51" x14ac:dyDescent="0.25">
      <c r="B209" s="650"/>
      <c r="C209" s="651"/>
      <c r="D209" s="652"/>
      <c r="E209" s="653"/>
      <c r="F209" s="651"/>
      <c r="G209" s="654"/>
      <c r="H209" s="653"/>
      <c r="I209" s="920"/>
      <c r="J209" s="924"/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/>
      </c>
      <c r="L209" s="940"/>
      <c r="M209" s="981" t="str">
        <f>IFERROR(INDEX([1]List!$AG$1:$AG$65480,MATCH(RIGHT((J209*1000),2),[1]List!$AI$1:$AI$65480,0))*-1,"")</f>
        <v/>
      </c>
      <c r="N209" s="941"/>
      <c r="O209" s="942"/>
      <c r="Q209" s="162" t="str">
        <f t="shared" si="1067"/>
        <v/>
      </c>
      <c r="R209" s="162" t="str">
        <f t="shared" si="1068"/>
        <v/>
      </c>
      <c r="S209" s="162" t="str">
        <f t="shared" si="1069"/>
        <v/>
      </c>
      <c r="T209" s="162" t="str">
        <f t="shared" si="1070"/>
        <v/>
      </c>
      <c r="U209" s="162" t="str">
        <f t="shared" si="1071"/>
        <v/>
      </c>
      <c r="V209" s="162" t="str">
        <f t="shared" si="1072"/>
        <v/>
      </c>
      <c r="W209" s="162" t="str">
        <f>IFERROR(IF(ISNUMBER(MATCH($Z209,Settings!$AK$28:$AK$36,0)),INDEX(Settings!$AO$14:$AO$36,MATCH($Z209,Settings!$AK$14:$AK$36,0))/2,INDEX(Settings!$AM$14:$AM$36,MATCH($Z209,Settings!$AK$14:$AK$36,0))/2),"")</f>
        <v/>
      </c>
      <c r="X209" s="162" t="str">
        <f t="shared" si="1073"/>
        <v/>
      </c>
      <c r="Y209" s="75"/>
      <c r="Z209" s="917" t="str">
        <f t="shared" si="1074"/>
        <v/>
      </c>
      <c r="AA209" s="82"/>
      <c r="AB209" s="75"/>
      <c r="AC209" s="75"/>
      <c r="AD209" s="166"/>
      <c r="AE209" s="75">
        <v>5.218</v>
      </c>
      <c r="AF209" s="82">
        <v>5</v>
      </c>
      <c r="AG209" s="82">
        <v>2</v>
      </c>
      <c r="AH209" s="82">
        <v>2</v>
      </c>
      <c r="AI209" s="82">
        <v>0.99999999998544808</v>
      </c>
      <c r="AJ209" s="166">
        <v>5.21821</v>
      </c>
      <c r="AK209" s="82">
        <v>5.2181100000000002</v>
      </c>
      <c r="AL209" s="162">
        <v>0</v>
      </c>
      <c r="AM209" s="162">
        <v>0</v>
      </c>
      <c r="AN209" s="162">
        <v>0</v>
      </c>
      <c r="AO209" s="162">
        <v>-22.579992018556638</v>
      </c>
      <c r="AP209" s="162">
        <v>0</v>
      </c>
      <c r="AQ209" s="162">
        <v>0</v>
      </c>
      <c r="AR209" s="710" t="str">
        <v>32193r1.par</v>
      </c>
      <c r="AV209" s="82" t="str">
        <v>121,188,255</v>
      </c>
      <c r="AW209" s="947">
        <v>32.700000000000003</v>
      </c>
      <c r="AX209" s="947">
        <v>55.279992018556641</v>
      </c>
      <c r="AY209" s="947">
        <v>-22.579992018556638</v>
      </c>
    </row>
    <row r="210" spans="2:51" x14ac:dyDescent="0.25">
      <c r="B210" s="650"/>
      <c r="C210" s="651"/>
      <c r="D210" s="652"/>
      <c r="E210" s="653"/>
      <c r="F210" s="651"/>
      <c r="G210" s="654"/>
      <c r="H210" s="653"/>
      <c r="I210" s="920"/>
      <c r="J210" s="924"/>
      <c r="K210" s="790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/>
      </c>
      <c r="L210" s="940"/>
      <c r="M210" s="981" t="str">
        <f>IFERROR(INDEX([1]List!$AG$1:$AG$65480,MATCH(RIGHT((J210*1000),2),[1]List!$AI$1:$AI$65480,0))*-1,"")</f>
        <v/>
      </c>
      <c r="N210" s="941"/>
      <c r="O210" s="942"/>
      <c r="Q210" s="162" t="str">
        <f t="shared" ref="Q210:Q273" si="1075">IFERROR(INDEX(B$164:B$305,MATCH($Y210,$J$164:$J$305,0)),"")</f>
        <v/>
      </c>
      <c r="R210" s="162" t="str">
        <f t="shared" ref="R210:R273" si="1076">IFERROR(INDEX(C$164:C$305,MATCH($Y210,$J$164:$J$305,0)),"")</f>
        <v/>
      </c>
      <c r="S210" s="162" t="str">
        <f t="shared" ref="S210:S273" si="1077">IFERROR(INDEX(D$164:D$305,MATCH($Y210,$J$164:$J$305,0)),"")</f>
        <v/>
      </c>
      <c r="T210" s="162" t="str">
        <f t="shared" ref="T210:T273" si="1078">IFERROR(IF($N210="Y",-1*INDEX(E$164:E$305,MATCH($Y210,$J$164:$J$305,0)),INDEX(E$164:E$305,MATCH($Y210,$J$164:$J$305,0))),"")</f>
        <v/>
      </c>
      <c r="U210" s="162" t="str">
        <f t="shared" ref="U210:U273" si="1079">IFERROR(IF($N210="Y",-1*INDEX(F$164:F$305,MATCH($Y210,$J$164:$J$305,0)),INDEX(F$164:F$305,MATCH($Y210,$J$164:$J$305,0))),"")</f>
        <v/>
      </c>
      <c r="V210" s="162" t="str">
        <f t="shared" ref="V210:V273" si="1080">IFERROR(IF($N210="Y",-1*INDEX(G$164:G$305,MATCH($Y210,$J$164:$J$305,0)),INDEX(G$164:G$305,MATCH($Y210,$J$164:$J$305,0))),"")</f>
        <v/>
      </c>
      <c r="W210" s="162" t="str">
        <f>IFERROR(IF(ISNUMBER(MATCH($Z210,Settings!$AK$28:$AK$36,0)),INDEX(Settings!$AO$14:$AO$36,MATCH($Z210,Settings!$AK$14:$AK$36,0))/2,INDEX(Settings!$AM$14:$AM$36,MATCH($Z210,Settings!$AK$14:$AK$36,0))/2),"")</f>
        <v/>
      </c>
      <c r="X210" s="162" t="str">
        <f t="shared" ref="X210:X273" si="1081">IFERROR(INDEX(I$164:I$305,MATCH($Y210,$J$164:$J$305,0)),"")</f>
        <v/>
      </c>
      <c r="Y210" s="75"/>
      <c r="Z210" s="917" t="str">
        <f t="shared" ref="Z210:Z273" si="1082">IFERROR(INDEX(K$164:K$305,MATCH($Y210,$J$164:$J$305,0)),"")</f>
        <v/>
      </c>
      <c r="AA210" s="82"/>
      <c r="AB210" s="75"/>
      <c r="AC210" s="75"/>
      <c r="AD210" s="166"/>
      <c r="AE210" s="75">
        <v>5.1280000000000001</v>
      </c>
      <c r="AF210" s="82">
        <v>5</v>
      </c>
      <c r="AG210" s="82">
        <v>1</v>
      </c>
      <c r="AH210" s="82">
        <v>2</v>
      </c>
      <c r="AI210" s="82">
        <v>0.99999999998544808</v>
      </c>
      <c r="AJ210" s="166">
        <v>5.1282100000000002</v>
      </c>
      <c r="AK210" s="82">
        <v>5.1281100000000004</v>
      </c>
      <c r="AL210" s="162">
        <v>0</v>
      </c>
      <c r="AM210" s="162">
        <v>0</v>
      </c>
      <c r="AN210" s="162">
        <v>0</v>
      </c>
      <c r="AO210" s="162">
        <v>-10.458848408102128</v>
      </c>
      <c r="AP210" s="162">
        <v>0</v>
      </c>
      <c r="AQ210" s="162">
        <v>0</v>
      </c>
      <c r="AR210" s="710" t="str">
        <v>1613.par</v>
      </c>
      <c r="AV210" s="82" t="str">
        <v>0,102,204</v>
      </c>
      <c r="AW210" s="947">
        <v>74.5</v>
      </c>
      <c r="AX210" s="947">
        <v>84.958848408102128</v>
      </c>
      <c r="AY210" s="947">
        <v>-10.458848408102128</v>
      </c>
    </row>
    <row r="211" spans="2:51" x14ac:dyDescent="0.25">
      <c r="B211" s="650"/>
      <c r="C211" s="651"/>
      <c r="D211" s="652"/>
      <c r="E211" s="653"/>
      <c r="F211" s="651"/>
      <c r="G211" s="654"/>
      <c r="H211" s="653"/>
      <c r="I211" s="920"/>
      <c r="J211" s="924"/>
      <c r="K211" s="790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/>
      </c>
      <c r="L211" s="940"/>
      <c r="M211" s="981" t="str">
        <f>IFERROR(INDEX([1]List!$AG$1:$AG$65480,MATCH(RIGHT((J211*1000),2),[1]List!$AI$1:$AI$65480,0))*-1,"")</f>
        <v/>
      </c>
      <c r="N211" s="941"/>
      <c r="O211" s="942"/>
      <c r="Q211" s="162" t="str">
        <f t="shared" si="1075"/>
        <v/>
      </c>
      <c r="R211" s="162" t="str">
        <f t="shared" si="1076"/>
        <v/>
      </c>
      <c r="S211" s="162" t="str">
        <f t="shared" si="1077"/>
        <v/>
      </c>
      <c r="T211" s="162" t="str">
        <f t="shared" si="1078"/>
        <v/>
      </c>
      <c r="U211" s="162" t="str">
        <f t="shared" si="1079"/>
        <v/>
      </c>
      <c r="V211" s="162" t="str">
        <f t="shared" si="1080"/>
        <v/>
      </c>
      <c r="W211" s="162" t="str">
        <f>IFERROR(IF(ISNUMBER(MATCH($Z211,Settings!$AK$28:$AK$36,0)),INDEX(Settings!$AO$14:$AO$36,MATCH($Z211,Settings!$AK$14:$AK$36,0))/2,INDEX(Settings!$AM$14:$AM$36,MATCH($Z211,Settings!$AK$14:$AK$36,0))/2),"")</f>
        <v/>
      </c>
      <c r="X211" s="162" t="str">
        <f t="shared" si="1081"/>
        <v/>
      </c>
      <c r="Y211" s="75"/>
      <c r="Z211" s="917" t="str">
        <f t="shared" si="1082"/>
        <v/>
      </c>
      <c r="AA211" s="82"/>
      <c r="AB211" s="75"/>
      <c r="AC211" s="75"/>
      <c r="AD211" s="166"/>
      <c r="AE211" s="75">
        <v>5.1230000000000002</v>
      </c>
      <c r="AF211" s="82">
        <v>5</v>
      </c>
      <c r="AG211" s="82">
        <v>1</v>
      </c>
      <c r="AH211" s="82">
        <v>2</v>
      </c>
      <c r="AI211" s="82">
        <v>1.0000000000582077</v>
      </c>
      <c r="AJ211" s="166">
        <v>5.1232100000000003</v>
      </c>
      <c r="AK211" s="82">
        <v>5.1231100000000005</v>
      </c>
      <c r="AL211" s="162">
        <v>0</v>
      </c>
      <c r="AM211" s="162">
        <v>0</v>
      </c>
      <c r="AN211" s="162">
        <v>0</v>
      </c>
      <c r="AO211" s="162">
        <v>-26.413905019697893</v>
      </c>
      <c r="AP211" s="162">
        <v>0</v>
      </c>
      <c r="AQ211" s="162">
        <v>0</v>
      </c>
      <c r="AR211" s="710" t="str">
        <v>1613.par</v>
      </c>
      <c r="AV211" s="82" t="str">
        <v>0,102,204</v>
      </c>
      <c r="AW211" s="947">
        <v>53.5</v>
      </c>
      <c r="AX211" s="947">
        <v>79.913905019697893</v>
      </c>
      <c r="AY211" s="947">
        <v>-26.413905019697893</v>
      </c>
    </row>
    <row r="212" spans="2:51" x14ac:dyDescent="0.25">
      <c r="B212" s="650"/>
      <c r="C212" s="651"/>
      <c r="D212" s="652"/>
      <c r="E212" s="653"/>
      <c r="F212" s="651"/>
      <c r="G212" s="654"/>
      <c r="H212" s="653"/>
      <c r="I212" s="920"/>
      <c r="J212" s="924"/>
      <c r="K212" s="790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/>
      </c>
      <c r="L212" s="940"/>
      <c r="M212" s="981" t="str">
        <f>IFERROR(INDEX([1]List!$AG$1:$AG$65480,MATCH(RIGHT((J212*1000),2),[1]List!$AI$1:$AI$65480,0))*-1,"")</f>
        <v/>
      </c>
      <c r="N212" s="941"/>
      <c r="O212" s="942"/>
      <c r="Q212" s="162" t="str">
        <f t="shared" si="1075"/>
        <v/>
      </c>
      <c r="R212" s="162" t="str">
        <f t="shared" si="1076"/>
        <v/>
      </c>
      <c r="S212" s="162" t="str">
        <f t="shared" si="1077"/>
        <v/>
      </c>
      <c r="T212" s="162" t="str">
        <f t="shared" si="1078"/>
        <v/>
      </c>
      <c r="U212" s="162" t="str">
        <f t="shared" si="1079"/>
        <v/>
      </c>
      <c r="V212" s="162" t="str">
        <f t="shared" si="1080"/>
        <v/>
      </c>
      <c r="W212" s="162" t="str">
        <f>IFERROR(IF(ISNUMBER(MATCH($Z212,Settings!$AK$28:$AK$36,0)),INDEX(Settings!$AO$14:$AO$36,MATCH($Z212,Settings!$AK$14:$AK$36,0))/2,INDEX(Settings!$AM$14:$AM$36,MATCH($Z212,Settings!$AK$14:$AK$36,0))/2),"")</f>
        <v/>
      </c>
      <c r="X212" s="162" t="str">
        <f t="shared" si="1081"/>
        <v/>
      </c>
      <c r="Y212" s="75"/>
      <c r="Z212" s="917" t="str">
        <f t="shared" si="1082"/>
        <v/>
      </c>
      <c r="AA212" s="82"/>
      <c r="AB212" s="75"/>
      <c r="AC212" s="75"/>
      <c r="AD212" s="166"/>
      <c r="AE212" s="75">
        <v>5.1180000000000003</v>
      </c>
      <c r="AF212" s="82">
        <v>5</v>
      </c>
      <c r="AG212" s="82">
        <v>1</v>
      </c>
      <c r="AH212" s="82">
        <v>2</v>
      </c>
      <c r="AI212" s="82">
        <v>1.0000000000582077</v>
      </c>
      <c r="AJ212" s="166">
        <v>5.1182100000000004</v>
      </c>
      <c r="AK212" s="82">
        <v>5.1181100000000006</v>
      </c>
      <c r="AL212" s="162">
        <v>0</v>
      </c>
      <c r="AM212" s="162">
        <v>0</v>
      </c>
      <c r="AN212" s="162">
        <v>0</v>
      </c>
      <c r="AO212" s="162">
        <v>-21.910535577280321</v>
      </c>
      <c r="AP212" s="162">
        <v>0</v>
      </c>
      <c r="AQ212" s="162">
        <v>0</v>
      </c>
      <c r="AR212" s="710" t="str">
        <v>1613.par</v>
      </c>
      <c r="AV212" s="82" t="str">
        <v>0,102,204</v>
      </c>
      <c r="AW212" s="947">
        <v>32.700000000000003</v>
      </c>
      <c r="AX212" s="947">
        <v>54.610535577280324</v>
      </c>
      <c r="AY212" s="947">
        <v>-21.910535577280321</v>
      </c>
    </row>
    <row r="213" spans="2:51" x14ac:dyDescent="0.25">
      <c r="B213" s="650"/>
      <c r="C213" s="651"/>
      <c r="D213" s="652"/>
      <c r="E213" s="653"/>
      <c r="F213" s="651"/>
      <c r="G213" s="654"/>
      <c r="H213" s="653"/>
      <c r="I213" s="920"/>
      <c r="J213" s="924"/>
      <c r="K213" s="790" t="str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/>
      </c>
      <c r="L213" s="940"/>
      <c r="M213" s="981" t="str">
        <f>IFERROR(INDEX([1]List!$AG$1:$AG$65480,MATCH(RIGHT((J213*1000),2),[1]List!$AI$1:$AI$65480,0))*-1,"")</f>
        <v/>
      </c>
      <c r="N213" s="941"/>
      <c r="O213" s="942"/>
      <c r="Q213" s="162" t="str">
        <f t="shared" si="1075"/>
        <v/>
      </c>
      <c r="R213" s="162" t="str">
        <f t="shared" si="1076"/>
        <v/>
      </c>
      <c r="S213" s="162" t="str">
        <f t="shared" si="1077"/>
        <v/>
      </c>
      <c r="T213" s="162" t="str">
        <f t="shared" si="1078"/>
        <v/>
      </c>
      <c r="U213" s="162" t="str">
        <f t="shared" si="1079"/>
        <v/>
      </c>
      <c r="V213" s="162" t="str">
        <f t="shared" si="1080"/>
        <v/>
      </c>
      <c r="W213" s="162" t="str">
        <f>IFERROR(IF(ISNUMBER(MATCH($Z213,Settings!$AK$28:$AK$36,0)),INDEX(Settings!$AO$14:$AO$36,MATCH($Z213,Settings!$AK$14:$AK$36,0))/2,INDEX(Settings!$AM$14:$AM$36,MATCH($Z213,Settings!$AK$14:$AK$36,0))/2),"")</f>
        <v/>
      </c>
      <c r="X213" s="162" t="str">
        <f t="shared" si="1081"/>
        <v/>
      </c>
      <c r="Y213" s="75"/>
      <c r="Z213" s="917" t="str">
        <f t="shared" si="1082"/>
        <v/>
      </c>
      <c r="AA213" s="82"/>
      <c r="AB213" s="75"/>
      <c r="AC213" s="75"/>
      <c r="AD213" s="166"/>
      <c r="AE213" s="75">
        <v>5.1130000000000004</v>
      </c>
      <c r="AF213" s="82">
        <v>5</v>
      </c>
      <c r="AG213" s="82">
        <v>1</v>
      </c>
      <c r="AH213" s="82">
        <v>2</v>
      </c>
      <c r="AI213" s="82">
        <v>1.0000000000582077</v>
      </c>
      <c r="AJ213" s="166">
        <v>5.1132100000000005</v>
      </c>
      <c r="AK213" s="82">
        <v>5.1131100000000007</v>
      </c>
      <c r="AL213" s="162">
        <v>0</v>
      </c>
      <c r="AM213" s="162">
        <v>0</v>
      </c>
      <c r="AN213" s="162">
        <v>0</v>
      </c>
      <c r="AO213" s="162">
        <v>-17.180011129749563</v>
      </c>
      <c r="AP213" s="162">
        <v>0</v>
      </c>
      <c r="AQ213" s="162">
        <v>0</v>
      </c>
      <c r="AR213" s="710" t="str">
        <v>1613.par</v>
      </c>
      <c r="AV213" s="82" t="str">
        <v>0,102,204</v>
      </c>
      <c r="AW213" s="947">
        <v>11.900000000000006</v>
      </c>
      <c r="AX213" s="947">
        <v>29.080011129749568</v>
      </c>
      <c r="AY213" s="947">
        <v>-17.180011129749563</v>
      </c>
    </row>
    <row r="214" spans="2:51" x14ac:dyDescent="0.25">
      <c r="B214" s="650"/>
      <c r="C214" s="651"/>
      <c r="D214" s="652"/>
      <c r="E214" s="653"/>
      <c r="F214" s="651"/>
      <c r="G214" s="654"/>
      <c r="H214" s="653"/>
      <c r="I214" s="920"/>
      <c r="J214" s="924"/>
      <c r="K214" s="790" t="str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/>
      </c>
      <c r="L214" s="940"/>
      <c r="M214" s="981" t="str">
        <f>IFERROR(INDEX([1]List!$AG$1:$AG$65480,MATCH(RIGHT((J214*1000),2),[1]List!$AI$1:$AI$65480,0))*-1,"")</f>
        <v/>
      </c>
      <c r="N214" s="941"/>
      <c r="O214" s="942"/>
      <c r="Q214" s="162" t="str">
        <f t="shared" si="1075"/>
        <v/>
      </c>
      <c r="R214" s="162" t="str">
        <f t="shared" si="1076"/>
        <v/>
      </c>
      <c r="S214" s="162" t="str">
        <f t="shared" si="1077"/>
        <v/>
      </c>
      <c r="T214" s="162" t="str">
        <f t="shared" si="1078"/>
        <v/>
      </c>
      <c r="U214" s="162" t="str">
        <f t="shared" si="1079"/>
        <v/>
      </c>
      <c r="V214" s="162" t="str">
        <f t="shared" si="1080"/>
        <v/>
      </c>
      <c r="W214" s="162" t="str">
        <f>IFERROR(IF(ISNUMBER(MATCH($Z214,Settings!$AK$28:$AK$36,0)),INDEX(Settings!$AO$14:$AO$36,MATCH($Z214,Settings!$AK$14:$AK$36,0))/2,INDEX(Settings!$AM$14:$AM$36,MATCH($Z214,Settings!$AK$14:$AK$36,0))/2),"")</f>
        <v/>
      </c>
      <c r="X214" s="162" t="str">
        <f t="shared" si="1081"/>
        <v/>
      </c>
      <c r="Y214" s="75"/>
      <c r="Z214" s="917" t="str">
        <f t="shared" si="1082"/>
        <v/>
      </c>
      <c r="AA214" s="82"/>
      <c r="AB214" s="75"/>
      <c r="AC214" s="75"/>
      <c r="AD214" s="166"/>
      <c r="AE214" s="75">
        <v>5.1079999999999997</v>
      </c>
      <c r="AF214" s="82">
        <v>5</v>
      </c>
      <c r="AG214" s="82">
        <v>1</v>
      </c>
      <c r="AH214" s="82">
        <v>2</v>
      </c>
      <c r="AI214" s="82">
        <v>0.99999999998544808</v>
      </c>
      <c r="AJ214" s="166">
        <v>5.1082099999999997</v>
      </c>
      <c r="AK214" s="82">
        <v>5.1081099999999999</v>
      </c>
      <c r="AL214" s="162">
        <v>0</v>
      </c>
      <c r="AM214" s="162">
        <v>0</v>
      </c>
      <c r="AN214" s="162">
        <v>0</v>
      </c>
      <c r="AO214" s="162">
        <v>-15.934079293971845</v>
      </c>
      <c r="AP214" s="162">
        <v>0</v>
      </c>
      <c r="AQ214" s="162">
        <v>0</v>
      </c>
      <c r="AR214" s="710" t="str">
        <v>1613.par</v>
      </c>
      <c r="AV214" s="82" t="str">
        <v>0,102,204</v>
      </c>
      <c r="AW214" s="947">
        <v>-12.900000000000006</v>
      </c>
      <c r="AX214" s="947">
        <v>3.0340792939718386</v>
      </c>
      <c r="AY214" s="947">
        <v>-15.934079293971845</v>
      </c>
    </row>
    <row r="215" spans="2:51" x14ac:dyDescent="0.25">
      <c r="B215" s="650"/>
      <c r="C215" s="651"/>
      <c r="D215" s="652"/>
      <c r="E215" s="653"/>
      <c r="F215" s="651"/>
      <c r="G215" s="654"/>
      <c r="H215" s="653"/>
      <c r="I215" s="920"/>
      <c r="J215" s="924"/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/>
      </c>
      <c r="L215" s="940"/>
      <c r="M215" s="981" t="str">
        <f>IFERROR(INDEX([1]List!$AG$1:$AG$65480,MATCH(RIGHT((J215*1000),2),[1]List!$AI$1:$AI$65480,0))*-1,"")</f>
        <v/>
      </c>
      <c r="N215" s="941"/>
      <c r="O215" s="942"/>
      <c r="Q215" s="162" t="str">
        <f t="shared" si="1075"/>
        <v/>
      </c>
      <c r="R215" s="162" t="str">
        <f t="shared" si="1076"/>
        <v/>
      </c>
      <c r="S215" s="162" t="str">
        <f t="shared" si="1077"/>
        <v/>
      </c>
      <c r="T215" s="162" t="str">
        <f t="shared" si="1078"/>
        <v/>
      </c>
      <c r="U215" s="162" t="str">
        <f t="shared" si="1079"/>
        <v/>
      </c>
      <c r="V215" s="162" t="str">
        <f t="shared" si="1080"/>
        <v/>
      </c>
      <c r="W215" s="162" t="str">
        <f>IFERROR(IF(ISNUMBER(MATCH($Z215,Settings!$AK$28:$AK$36,0)),INDEX(Settings!$AO$14:$AO$36,MATCH($Z215,Settings!$AK$14:$AK$36,0))/2,INDEX(Settings!$AM$14:$AM$36,MATCH($Z215,Settings!$AK$14:$AK$36,0))/2),"")</f>
        <v/>
      </c>
      <c r="X215" s="162" t="str">
        <f t="shared" si="1081"/>
        <v/>
      </c>
      <c r="Y215" s="75"/>
      <c r="Z215" s="917" t="str">
        <f t="shared" si="1082"/>
        <v/>
      </c>
      <c r="AA215" s="82"/>
      <c r="AB215" s="75"/>
      <c r="AC215" s="75"/>
      <c r="AD215" s="166"/>
      <c r="AE215" s="75">
        <v>4.2240000000000002</v>
      </c>
      <c r="AF215" s="82">
        <v>4</v>
      </c>
      <c r="AG215" s="82">
        <v>2</v>
      </c>
      <c r="AH215" s="82">
        <v>2</v>
      </c>
      <c r="AI215" s="82">
        <v>1.0000000000582077</v>
      </c>
      <c r="AJ215" s="166">
        <v>4.2242100000000002</v>
      </c>
      <c r="AK215" s="82">
        <v>4.2241100000000005</v>
      </c>
      <c r="AL215" s="162">
        <v>0</v>
      </c>
      <c r="AM215" s="162">
        <v>0</v>
      </c>
      <c r="AN215" s="162">
        <v>0</v>
      </c>
      <c r="AO215" s="162">
        <v>-27.29998772752019</v>
      </c>
      <c r="AP215" s="162">
        <v>0</v>
      </c>
      <c r="AQ215" s="162">
        <v>0</v>
      </c>
      <c r="AR215" s="710" t="str">
        <v>32193r1.par</v>
      </c>
      <c r="AV215" s="82" t="str">
        <v>91,255,255</v>
      </c>
      <c r="AW215" s="947">
        <v>57.699999999999989</v>
      </c>
      <c r="AX215" s="947">
        <v>84.999987727520178</v>
      </c>
      <c r="AY215" s="947">
        <v>-27.29998772752019</v>
      </c>
    </row>
    <row r="216" spans="2:51" x14ac:dyDescent="0.25">
      <c r="B216" s="650"/>
      <c r="C216" s="651"/>
      <c r="D216" s="652"/>
      <c r="E216" s="653"/>
      <c r="F216" s="651"/>
      <c r="G216" s="654"/>
      <c r="H216" s="653"/>
      <c r="I216" s="920"/>
      <c r="J216" s="924"/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/>
      </c>
      <c r="L216" s="940"/>
      <c r="M216" s="981" t="str">
        <f>IFERROR(INDEX([1]List!$AG$1:$AG$65480,MATCH(RIGHT((J216*1000),2),[1]List!$AI$1:$AI$65480,0))*-1,"")</f>
        <v/>
      </c>
      <c r="N216" s="941"/>
      <c r="O216" s="942"/>
      <c r="Q216" s="162" t="str">
        <f t="shared" si="1075"/>
        <v/>
      </c>
      <c r="R216" s="162" t="str">
        <f t="shared" si="1076"/>
        <v/>
      </c>
      <c r="S216" s="162" t="str">
        <f t="shared" si="1077"/>
        <v/>
      </c>
      <c r="T216" s="162" t="str">
        <f t="shared" si="1078"/>
        <v/>
      </c>
      <c r="U216" s="162" t="str">
        <f t="shared" si="1079"/>
        <v/>
      </c>
      <c r="V216" s="162" t="str">
        <f t="shared" si="1080"/>
        <v/>
      </c>
      <c r="W216" s="162" t="str">
        <f>IFERROR(IF(ISNUMBER(MATCH($Z216,Settings!$AK$28:$AK$36,0)),INDEX(Settings!$AO$14:$AO$36,MATCH($Z216,Settings!$AK$14:$AK$36,0))/2,INDEX(Settings!$AM$14:$AM$36,MATCH($Z216,Settings!$AK$14:$AK$36,0))/2),"")</f>
        <v/>
      </c>
      <c r="X216" s="162" t="str">
        <f t="shared" si="1081"/>
        <v/>
      </c>
      <c r="Y216" s="75"/>
      <c r="Z216" s="917" t="str">
        <f t="shared" si="1082"/>
        <v/>
      </c>
      <c r="AA216" s="82"/>
      <c r="AB216" s="75"/>
      <c r="AC216" s="75"/>
      <c r="AD216" s="166"/>
      <c r="AE216" s="75">
        <v>4.2190000000000003</v>
      </c>
      <c r="AF216" s="82">
        <v>4</v>
      </c>
      <c r="AG216" s="82">
        <v>2</v>
      </c>
      <c r="AH216" s="82">
        <v>2</v>
      </c>
      <c r="AI216" s="82">
        <v>1.0000000000582077</v>
      </c>
      <c r="AJ216" s="166">
        <v>4.2192100000000003</v>
      </c>
      <c r="AK216" s="82">
        <v>4.2191100000000006</v>
      </c>
      <c r="AL216" s="162">
        <v>0</v>
      </c>
      <c r="AM216" s="162">
        <v>0</v>
      </c>
      <c r="AN216" s="162">
        <v>0</v>
      </c>
      <c r="AO216" s="162">
        <v>-24.389991165258365</v>
      </c>
      <c r="AP216" s="162">
        <v>0</v>
      </c>
      <c r="AQ216" s="162">
        <v>0</v>
      </c>
      <c r="AR216" s="710" t="str">
        <v>32193r1.par</v>
      </c>
      <c r="AV216" s="82" t="str">
        <v>91,255,255</v>
      </c>
      <c r="AW216" s="947">
        <v>36.799999999999997</v>
      </c>
      <c r="AX216" s="947">
        <v>61.189991165258363</v>
      </c>
      <c r="AY216" s="947">
        <v>-24.389991165258365</v>
      </c>
    </row>
    <row r="217" spans="2:51" x14ac:dyDescent="0.25">
      <c r="B217" s="650"/>
      <c r="C217" s="651"/>
      <c r="D217" s="652"/>
      <c r="E217" s="653"/>
      <c r="F217" s="651"/>
      <c r="G217" s="654"/>
      <c r="H217" s="653"/>
      <c r="I217" s="920"/>
      <c r="J217" s="924"/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/>
      </c>
      <c r="L217" s="940"/>
      <c r="M217" s="981" t="str">
        <f>IFERROR(INDEX([1]List!$AG$1:$AG$65480,MATCH(RIGHT((J217*1000),2),[1]List!$AI$1:$AI$65480,0))*-1,"")</f>
        <v/>
      </c>
      <c r="N217" s="941"/>
      <c r="O217" s="942"/>
      <c r="Q217" s="162" t="str">
        <f t="shared" si="1075"/>
        <v/>
      </c>
      <c r="R217" s="162" t="str">
        <f t="shared" si="1076"/>
        <v/>
      </c>
      <c r="S217" s="162" t="str">
        <f t="shared" si="1077"/>
        <v/>
      </c>
      <c r="T217" s="162" t="str">
        <f t="shared" si="1078"/>
        <v/>
      </c>
      <c r="U217" s="162" t="str">
        <f t="shared" si="1079"/>
        <v/>
      </c>
      <c r="V217" s="162" t="str">
        <f t="shared" si="1080"/>
        <v/>
      </c>
      <c r="W217" s="162" t="str">
        <f>IFERROR(IF(ISNUMBER(MATCH($Z217,Settings!$AK$28:$AK$36,0)),INDEX(Settings!$AO$14:$AO$36,MATCH($Z217,Settings!$AK$14:$AK$36,0))/2,INDEX(Settings!$AM$14:$AM$36,MATCH($Z217,Settings!$AK$14:$AK$36,0))/2),"")</f>
        <v/>
      </c>
      <c r="X217" s="162" t="str">
        <f t="shared" si="1081"/>
        <v/>
      </c>
      <c r="Y217" s="75"/>
      <c r="Z217" s="917" t="str">
        <f t="shared" si="1082"/>
        <v/>
      </c>
      <c r="AA217" s="82"/>
      <c r="AB217" s="75"/>
      <c r="AC217" s="75"/>
      <c r="AD217" s="166"/>
      <c r="AE217" s="75">
        <v>4.2140000000000004</v>
      </c>
      <c r="AF217" s="82">
        <v>4</v>
      </c>
      <c r="AG217" s="82">
        <v>2</v>
      </c>
      <c r="AH217" s="82">
        <v>2</v>
      </c>
      <c r="AI217" s="82">
        <v>1.0000000000582077</v>
      </c>
      <c r="AJ217" s="166">
        <v>4.2142100000000005</v>
      </c>
      <c r="AK217" s="82">
        <v>4.2141100000000007</v>
      </c>
      <c r="AL217" s="162">
        <v>0</v>
      </c>
      <c r="AM217" s="162">
        <v>0</v>
      </c>
      <c r="AN217" s="162">
        <v>0</v>
      </c>
      <c r="AO217" s="162">
        <v>-15.799995394210534</v>
      </c>
      <c r="AP217" s="162">
        <v>0</v>
      </c>
      <c r="AQ217" s="162">
        <v>0</v>
      </c>
      <c r="AR217" s="710" t="str">
        <v>32193r1.par</v>
      </c>
      <c r="AV217" s="82" t="str">
        <v>91,255,255</v>
      </c>
      <c r="AW217" s="947">
        <v>16.099999999999994</v>
      </c>
      <c r="AX217" s="947">
        <v>31.899995394210528</v>
      </c>
      <c r="AY217" s="947">
        <v>-15.799995394210534</v>
      </c>
    </row>
    <row r="218" spans="2:51" x14ac:dyDescent="0.25">
      <c r="B218" s="650"/>
      <c r="C218" s="651"/>
      <c r="D218" s="652"/>
      <c r="E218" s="653"/>
      <c r="F218" s="651"/>
      <c r="G218" s="654"/>
      <c r="H218" s="653"/>
      <c r="I218" s="920"/>
      <c r="J218" s="924"/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/>
      </c>
      <c r="L218" s="940"/>
      <c r="M218" s="981" t="str">
        <f>IFERROR(INDEX([1]List!$AG$1:$AG$65480,MATCH(RIGHT((J218*1000),2),[1]List!$AI$1:$AI$65480,0))*-1,"")</f>
        <v/>
      </c>
      <c r="N218" s="941"/>
      <c r="O218" s="942"/>
      <c r="Q218" s="162" t="str">
        <f t="shared" si="1075"/>
        <v/>
      </c>
      <c r="R218" s="162" t="str">
        <f t="shared" si="1076"/>
        <v/>
      </c>
      <c r="S218" s="162" t="str">
        <f t="shared" si="1077"/>
        <v/>
      </c>
      <c r="T218" s="162" t="str">
        <f t="shared" si="1078"/>
        <v/>
      </c>
      <c r="U218" s="162" t="str">
        <f t="shared" si="1079"/>
        <v/>
      </c>
      <c r="V218" s="162" t="str">
        <f t="shared" si="1080"/>
        <v/>
      </c>
      <c r="W218" s="162" t="str">
        <f>IFERROR(IF(ISNUMBER(MATCH($Z218,Settings!$AK$28:$AK$36,0)),INDEX(Settings!$AO$14:$AO$36,MATCH($Z218,Settings!$AK$14:$AK$36,0))/2,INDEX(Settings!$AM$14:$AM$36,MATCH($Z218,Settings!$AK$14:$AK$36,0))/2),"")</f>
        <v/>
      </c>
      <c r="X218" s="162" t="str">
        <f t="shared" si="1081"/>
        <v/>
      </c>
      <c r="Y218" s="75"/>
      <c r="Z218" s="917" t="str">
        <f t="shared" si="1082"/>
        <v/>
      </c>
      <c r="AA218" s="82"/>
      <c r="AB218" s="75"/>
      <c r="AC218" s="75"/>
      <c r="AD218" s="166"/>
      <c r="AE218" s="75">
        <v>4.1239999999999997</v>
      </c>
      <c r="AF218" s="82">
        <v>4</v>
      </c>
      <c r="AG218" s="82">
        <v>1</v>
      </c>
      <c r="AH218" s="82">
        <v>2</v>
      </c>
      <c r="AI218" s="82">
        <v>0.99999999998544808</v>
      </c>
      <c r="AJ218" s="166">
        <v>4.1242099999999997</v>
      </c>
      <c r="AK218" s="82">
        <v>4.1241099999999999</v>
      </c>
      <c r="AL218" s="162">
        <v>0</v>
      </c>
      <c r="AM218" s="162">
        <v>0</v>
      </c>
      <c r="AN218" s="162">
        <v>0</v>
      </c>
      <c r="AO218" s="162">
        <v>-27.258848408102097</v>
      </c>
      <c r="AP218" s="162">
        <v>0</v>
      </c>
      <c r="AQ218" s="162">
        <v>0</v>
      </c>
      <c r="AR218" s="710" t="str">
        <v>1613.par</v>
      </c>
      <c r="AV218" s="82" t="str">
        <v>0,204,204</v>
      </c>
      <c r="AW218" s="947">
        <v>57.699999999999989</v>
      </c>
      <c r="AX218" s="947">
        <v>84.958848408102085</v>
      </c>
      <c r="AY218" s="947">
        <v>-27.258848408102097</v>
      </c>
    </row>
    <row r="219" spans="2:51" x14ac:dyDescent="0.25">
      <c r="B219" s="650"/>
      <c r="C219" s="651"/>
      <c r="D219" s="652"/>
      <c r="E219" s="653"/>
      <c r="F219" s="651"/>
      <c r="G219" s="654"/>
      <c r="H219" s="653"/>
      <c r="I219" s="920"/>
      <c r="J219" s="924"/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940"/>
      <c r="M219" s="981" t="str">
        <f>IFERROR(INDEX([1]List!$AG$1:$AG$65480,MATCH(RIGHT((J219*1000),2),[1]List!$AI$1:$AI$65480,0))*-1,"")</f>
        <v/>
      </c>
      <c r="N219" s="941"/>
      <c r="O219" s="942"/>
      <c r="Q219" s="162" t="str">
        <f t="shared" si="1075"/>
        <v/>
      </c>
      <c r="R219" s="162" t="str">
        <f t="shared" si="1076"/>
        <v/>
      </c>
      <c r="S219" s="162" t="str">
        <f t="shared" si="1077"/>
        <v/>
      </c>
      <c r="T219" s="162" t="str">
        <f t="shared" si="1078"/>
        <v/>
      </c>
      <c r="U219" s="162" t="str">
        <f t="shared" si="1079"/>
        <v/>
      </c>
      <c r="V219" s="162" t="str">
        <f t="shared" si="1080"/>
        <v/>
      </c>
      <c r="W219" s="162" t="str">
        <f>IFERROR(IF(ISNUMBER(MATCH($Z219,Settings!$AK$28:$AK$36,0)),INDEX(Settings!$AO$14:$AO$36,MATCH($Z219,Settings!$AK$14:$AK$36,0))/2,INDEX(Settings!$AM$14:$AM$36,MATCH($Z219,Settings!$AK$14:$AK$36,0))/2),"")</f>
        <v/>
      </c>
      <c r="X219" s="162" t="str">
        <f t="shared" si="1081"/>
        <v/>
      </c>
      <c r="Y219" s="75"/>
      <c r="Z219" s="917" t="str">
        <f t="shared" si="1082"/>
        <v/>
      </c>
      <c r="AA219" s="82"/>
      <c r="AB219" s="75"/>
      <c r="AC219" s="75"/>
      <c r="AD219" s="166"/>
      <c r="AE219" s="75">
        <v>4.1189999999999998</v>
      </c>
      <c r="AF219" s="82">
        <v>4</v>
      </c>
      <c r="AG219" s="82">
        <v>1</v>
      </c>
      <c r="AH219" s="82">
        <v>2</v>
      </c>
      <c r="AI219" s="82">
        <v>0.99999999998544808</v>
      </c>
      <c r="AJ219" s="166">
        <v>4.1192099999999998</v>
      </c>
      <c r="AK219" s="82">
        <v>4.11911</v>
      </c>
      <c r="AL219" s="162">
        <v>0</v>
      </c>
      <c r="AM219" s="162">
        <v>0</v>
      </c>
      <c r="AN219" s="162">
        <v>0</v>
      </c>
      <c r="AO219" s="162">
        <v>-22.884305452381177</v>
      </c>
      <c r="AP219" s="162">
        <v>0</v>
      </c>
      <c r="AQ219" s="162">
        <v>0</v>
      </c>
      <c r="AR219" s="710" t="str">
        <v>1613.par</v>
      </c>
      <c r="AV219" s="82" t="str">
        <v>0,204,204</v>
      </c>
      <c r="AW219" s="947">
        <v>36.799999999999997</v>
      </c>
      <c r="AX219" s="947">
        <v>59.684305452381174</v>
      </c>
      <c r="AY219" s="947">
        <v>-22.884305452381177</v>
      </c>
    </row>
    <row r="220" spans="2:51" x14ac:dyDescent="0.25">
      <c r="B220" s="650"/>
      <c r="C220" s="651"/>
      <c r="D220" s="652"/>
      <c r="E220" s="653"/>
      <c r="F220" s="651"/>
      <c r="G220" s="654"/>
      <c r="H220" s="653"/>
      <c r="I220" s="920"/>
      <c r="J220" s="924"/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940"/>
      <c r="M220" s="981" t="str">
        <f>IFERROR(INDEX([1]List!$AG$1:$AG$65480,MATCH(RIGHT((J220*1000),2),[1]List!$AI$1:$AI$65480,0))*-1,"")</f>
        <v/>
      </c>
      <c r="N220" s="941"/>
      <c r="O220" s="942"/>
      <c r="Q220" s="162" t="str">
        <f t="shared" si="1075"/>
        <v/>
      </c>
      <c r="R220" s="162" t="str">
        <f t="shared" si="1076"/>
        <v/>
      </c>
      <c r="S220" s="162" t="str">
        <f t="shared" si="1077"/>
        <v/>
      </c>
      <c r="T220" s="162" t="str">
        <f t="shared" si="1078"/>
        <v/>
      </c>
      <c r="U220" s="162" t="str">
        <f t="shared" si="1079"/>
        <v/>
      </c>
      <c r="V220" s="162" t="str">
        <f t="shared" si="1080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1"/>
        <v/>
      </c>
      <c r="Y220" s="75"/>
      <c r="Z220" s="917" t="str">
        <f t="shared" si="1082"/>
        <v/>
      </c>
      <c r="AA220" s="82"/>
      <c r="AB220" s="75"/>
      <c r="AC220" s="75"/>
      <c r="AD220" s="166"/>
      <c r="AE220" s="75">
        <v>4.1139999999999999</v>
      </c>
      <c r="AF220" s="82">
        <v>4</v>
      </c>
      <c r="AG220" s="82">
        <v>1</v>
      </c>
      <c r="AH220" s="82">
        <v>2</v>
      </c>
      <c r="AI220" s="82">
        <v>0.99999999998544808</v>
      </c>
      <c r="AJ220" s="166">
        <v>4.1142099999999999</v>
      </c>
      <c r="AK220" s="82">
        <v>4.1141100000000002</v>
      </c>
      <c r="AL220" s="162">
        <v>0</v>
      </c>
      <c r="AM220" s="162">
        <v>0</v>
      </c>
      <c r="AN220" s="162">
        <v>0</v>
      </c>
      <c r="AO220" s="162">
        <v>-18.113835927781196</v>
      </c>
      <c r="AP220" s="162">
        <v>0</v>
      </c>
      <c r="AQ220" s="162">
        <v>0</v>
      </c>
      <c r="AR220" s="710" t="str">
        <v>1613.par</v>
      </c>
      <c r="AV220" s="82" t="str">
        <v>0,204,204</v>
      </c>
      <c r="AW220" s="947">
        <v>16.099999999999994</v>
      </c>
      <c r="AX220" s="947">
        <v>34.21383592778119</v>
      </c>
      <c r="AY220" s="947">
        <v>-18.113835927781196</v>
      </c>
    </row>
    <row r="221" spans="2:51" x14ac:dyDescent="0.25">
      <c r="B221" s="650"/>
      <c r="C221" s="651"/>
      <c r="D221" s="652"/>
      <c r="E221" s="653"/>
      <c r="F221" s="651"/>
      <c r="G221" s="654"/>
      <c r="H221" s="653"/>
      <c r="I221" s="920"/>
      <c r="J221" s="924"/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940"/>
      <c r="M221" s="981" t="str">
        <f>IFERROR(INDEX([1]List!$AG$1:$AG$65480,MATCH(RIGHT((J221*1000),2),[1]List!$AI$1:$AI$65480,0))*-1,"")</f>
        <v/>
      </c>
      <c r="N221" s="941"/>
      <c r="O221" s="942"/>
      <c r="Q221" s="162" t="str">
        <f t="shared" si="1075"/>
        <v/>
      </c>
      <c r="R221" s="162" t="str">
        <f t="shared" si="1076"/>
        <v/>
      </c>
      <c r="S221" s="162" t="str">
        <f t="shared" si="1077"/>
        <v/>
      </c>
      <c r="T221" s="162" t="str">
        <f t="shared" si="1078"/>
        <v/>
      </c>
      <c r="U221" s="162" t="str">
        <f t="shared" si="1079"/>
        <v/>
      </c>
      <c r="V221" s="162" t="str">
        <f t="shared" si="1080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1"/>
        <v/>
      </c>
      <c r="Y221" s="75"/>
      <c r="Z221" s="917" t="str">
        <f t="shared" si="1082"/>
        <v/>
      </c>
      <c r="AA221" s="82"/>
      <c r="AB221" s="75"/>
      <c r="AC221" s="75"/>
      <c r="AD221" s="166"/>
      <c r="AE221" s="75">
        <v>4.109</v>
      </c>
      <c r="AF221" s="82">
        <v>4</v>
      </c>
      <c r="AG221" s="82">
        <v>1</v>
      </c>
      <c r="AH221" s="82">
        <v>2</v>
      </c>
      <c r="AI221" s="82">
        <v>0.99999999998544808</v>
      </c>
      <c r="AJ221" s="166">
        <v>4.10921</v>
      </c>
      <c r="AK221" s="82">
        <v>4.1091100000000003</v>
      </c>
      <c r="AL221" s="162">
        <v>0</v>
      </c>
      <c r="AM221" s="162">
        <v>0</v>
      </c>
      <c r="AN221" s="162">
        <v>0</v>
      </c>
      <c r="AO221" s="162">
        <v>-12.918695547427795</v>
      </c>
      <c r="AP221" s="162">
        <v>0</v>
      </c>
      <c r="AQ221" s="162">
        <v>0</v>
      </c>
      <c r="AR221" s="710" t="str">
        <v>1613.par</v>
      </c>
      <c r="AV221" s="82" t="str">
        <v>0,204,204</v>
      </c>
      <c r="AW221" s="947">
        <v>-4.5999999999999943</v>
      </c>
      <c r="AX221" s="947">
        <v>8.3186955474278008</v>
      </c>
      <c r="AY221" s="947">
        <v>-12.918695547427795</v>
      </c>
    </row>
    <row r="222" spans="2:51" x14ac:dyDescent="0.25">
      <c r="B222" s="650"/>
      <c r="C222" s="651"/>
      <c r="D222" s="652"/>
      <c r="E222" s="653"/>
      <c r="F222" s="651"/>
      <c r="G222" s="654"/>
      <c r="H222" s="653"/>
      <c r="I222" s="920"/>
      <c r="J222" s="924"/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940"/>
      <c r="M222" s="981" t="str">
        <f>IFERROR(INDEX([1]List!$AG$1:$AG$65480,MATCH(RIGHT((J222*1000),2),[1]List!$AI$1:$AI$65480,0))*-1,"")</f>
        <v/>
      </c>
      <c r="N222" s="941"/>
      <c r="O222" s="942"/>
      <c r="P222">
        <f>-0.0737</f>
        <v>-7.3700000000000002E-2</v>
      </c>
      <c r="Q222" s="162" t="str">
        <f t="shared" si="1075"/>
        <v/>
      </c>
      <c r="R222" s="162" t="str">
        <f t="shared" si="1076"/>
        <v/>
      </c>
      <c r="S222" s="162" t="str">
        <f t="shared" si="1077"/>
        <v/>
      </c>
      <c r="T222" s="162" t="str">
        <f t="shared" si="1078"/>
        <v/>
      </c>
      <c r="U222" s="162" t="str">
        <f t="shared" si="1079"/>
        <v/>
      </c>
      <c r="V222" s="162" t="str">
        <f t="shared" si="1080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1"/>
        <v/>
      </c>
      <c r="Y222" s="75"/>
      <c r="Z222" s="917" t="str">
        <f t="shared" si="1082"/>
        <v/>
      </c>
      <c r="AA222" s="82"/>
      <c r="AB222" s="75"/>
      <c r="AC222" s="75"/>
      <c r="AD222" s="166"/>
      <c r="AE222" s="75">
        <v>4.1050000000000004</v>
      </c>
      <c r="AF222" s="82">
        <v>4</v>
      </c>
      <c r="AG222" s="82">
        <v>1</v>
      </c>
      <c r="AH222" s="82">
        <v>2</v>
      </c>
      <c r="AI222" s="82">
        <v>1.0000000000582077</v>
      </c>
      <c r="AJ222" s="166">
        <v>4.1052100000000005</v>
      </c>
      <c r="AK222" s="82">
        <v>4.1051100000000007</v>
      </c>
      <c r="AL222" s="162">
        <v>0</v>
      </c>
      <c r="AM222" s="162">
        <v>0</v>
      </c>
      <c r="AN222" s="162">
        <v>0</v>
      </c>
      <c r="AO222" s="162">
        <v>-15.180650815494495</v>
      </c>
      <c r="AP222" s="162">
        <v>0</v>
      </c>
      <c r="AQ222" s="162">
        <v>0</v>
      </c>
      <c r="AR222" s="710" t="str">
        <v>1913.par</v>
      </c>
      <c r="AV222" s="82" t="str">
        <v>0,204,204</v>
      </c>
      <c r="AW222" s="947">
        <v>-20</v>
      </c>
      <c r="AX222" s="947">
        <v>-4.8193491845055059</v>
      </c>
      <c r="AY222" s="947">
        <v>-15.180650815494495</v>
      </c>
    </row>
    <row r="223" spans="2:51" x14ac:dyDescent="0.25">
      <c r="B223" s="650"/>
      <c r="C223" s="651"/>
      <c r="D223" s="652"/>
      <c r="E223" s="653"/>
      <c r="F223" s="651"/>
      <c r="G223" s="654"/>
      <c r="H223" s="653"/>
      <c r="I223" s="920"/>
      <c r="J223" s="924"/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940"/>
      <c r="M223" s="981" t="str">
        <f>IFERROR(INDEX([1]List!$AG$1:$AG$65480,MATCH(RIGHT((J223*1000),2),[1]List!$AI$1:$AI$65480,0))*-1,"")</f>
        <v/>
      </c>
      <c r="N223" s="941"/>
      <c r="O223" s="942"/>
      <c r="P223">
        <f>-0.007</f>
        <v>-7.0000000000000001E-3</v>
      </c>
      <c r="Q223" s="162" t="str">
        <f t="shared" si="1075"/>
        <v/>
      </c>
      <c r="R223" s="162" t="str">
        <f t="shared" si="1076"/>
        <v/>
      </c>
      <c r="S223" s="162" t="str">
        <f t="shared" si="1077"/>
        <v/>
      </c>
      <c r="T223" s="162" t="str">
        <f t="shared" si="1078"/>
        <v/>
      </c>
      <c r="U223" s="162" t="str">
        <f t="shared" si="1079"/>
        <v/>
      </c>
      <c r="V223" s="162" t="str">
        <f t="shared" si="1080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1"/>
        <v/>
      </c>
      <c r="Y223" s="75"/>
      <c r="Z223" s="917" t="str">
        <f t="shared" si="1082"/>
        <v/>
      </c>
      <c r="AA223" s="82"/>
      <c r="AB223" s="75"/>
      <c r="AC223" s="75"/>
      <c r="AD223" s="166"/>
      <c r="AE223" s="75">
        <v>4.1020000000000003</v>
      </c>
      <c r="AF223" s="82">
        <v>4</v>
      </c>
      <c r="AG223" s="82">
        <v>1</v>
      </c>
      <c r="AH223" s="82">
        <v>2</v>
      </c>
      <c r="AI223" s="82">
        <v>1.0000000000582077</v>
      </c>
      <c r="AJ223" s="166">
        <v>4.1022100000000004</v>
      </c>
      <c r="AK223" s="82">
        <v>4.1021100000000006</v>
      </c>
      <c r="AL223" s="162">
        <v>0</v>
      </c>
      <c r="AM223" s="162">
        <v>0</v>
      </c>
      <c r="AN223" s="162">
        <v>0</v>
      </c>
      <c r="AO223" s="162">
        <v>-8.9302005777218696</v>
      </c>
      <c r="AP223" s="162">
        <v>0</v>
      </c>
      <c r="AQ223" s="162">
        <v>0</v>
      </c>
      <c r="AR223" s="710" t="str">
        <v>1913.par</v>
      </c>
      <c r="AV223" s="82" t="str">
        <v>0,204,204</v>
      </c>
      <c r="AW223" s="947">
        <v>-20</v>
      </c>
      <c r="AX223" s="947">
        <v>-11.06979942227813</v>
      </c>
      <c r="AY223" s="947">
        <v>-8.9302005777218696</v>
      </c>
    </row>
    <row r="224" spans="2:51" x14ac:dyDescent="0.25">
      <c r="B224" s="650"/>
      <c r="C224" s="651"/>
      <c r="D224" s="652"/>
      <c r="E224" s="653"/>
      <c r="F224" s="651"/>
      <c r="G224" s="654"/>
      <c r="H224" s="653"/>
      <c r="I224" s="920"/>
      <c r="J224" s="924"/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940"/>
      <c r="M224" s="981" t="str">
        <f>IFERROR(INDEX([1]List!$AG$1:$AG$65480,MATCH(RIGHT((J224*1000),2),[1]List!$AI$1:$AI$65480,0))*-1,"")</f>
        <v/>
      </c>
      <c r="N224" s="941"/>
      <c r="O224" s="942"/>
      <c r="Q224" s="162" t="str">
        <f t="shared" si="1075"/>
        <v/>
      </c>
      <c r="R224" s="162" t="str">
        <f t="shared" si="1076"/>
        <v/>
      </c>
      <c r="S224" s="162" t="str">
        <f t="shared" si="1077"/>
        <v/>
      </c>
      <c r="T224" s="162" t="str">
        <f t="shared" si="1078"/>
        <v/>
      </c>
      <c r="U224" s="162" t="str">
        <f t="shared" si="1079"/>
        <v/>
      </c>
      <c r="V224" s="162" t="str">
        <f t="shared" si="1080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1"/>
        <v/>
      </c>
      <c r="Y224" s="75"/>
      <c r="Z224" s="917" t="str">
        <f t="shared" si="1082"/>
        <v/>
      </c>
      <c r="AA224" s="82"/>
      <c r="AB224" s="75"/>
      <c r="AC224" s="75"/>
      <c r="AD224" s="166"/>
      <c r="AE224" s="75">
        <v>3.2250000000000001</v>
      </c>
      <c r="AF224" s="82">
        <v>3</v>
      </c>
      <c r="AG224" s="82">
        <v>2</v>
      </c>
      <c r="AH224" s="82">
        <v>2</v>
      </c>
      <c r="AI224" s="82">
        <v>1.0000000000218279</v>
      </c>
      <c r="AJ224" s="166">
        <v>3.2252100000000001</v>
      </c>
      <c r="AK224" s="82">
        <v>3.2251099999999999</v>
      </c>
      <c r="AL224" s="162">
        <v>0</v>
      </c>
      <c r="AM224" s="162">
        <v>0</v>
      </c>
      <c r="AN224" s="162">
        <v>0</v>
      </c>
      <c r="AO224" s="162">
        <v>-23.099987727520173</v>
      </c>
      <c r="AP224" s="162">
        <v>0</v>
      </c>
      <c r="AQ224" s="162">
        <v>0</v>
      </c>
      <c r="AR224" s="710" t="str">
        <v>32193r1.par</v>
      </c>
      <c r="AV224" s="82" t="str">
        <v>97,255,97</v>
      </c>
      <c r="AW224" s="947">
        <v>61.900000000000006</v>
      </c>
      <c r="AX224" s="947">
        <v>84.999987727520178</v>
      </c>
      <c r="AY224" s="947">
        <v>-23.099987727520173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20"/>
      <c r="J225" s="924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40"/>
      <c r="M225" s="981" t="str">
        <f>IFERROR(INDEX([1]List!$AG$1:$AG$65480,MATCH(RIGHT((J225*1000),2),[1]List!$AI$1:$AI$65480,0))*-1,"")</f>
        <v/>
      </c>
      <c r="N225" s="941"/>
      <c r="O225" s="942"/>
      <c r="Q225" s="162" t="str">
        <f t="shared" si="1075"/>
        <v/>
      </c>
      <c r="R225" s="162" t="str">
        <f t="shared" si="1076"/>
        <v/>
      </c>
      <c r="S225" s="162" t="str">
        <f t="shared" si="1077"/>
        <v/>
      </c>
      <c r="T225" s="162" t="str">
        <f t="shared" si="1078"/>
        <v/>
      </c>
      <c r="U225" s="162" t="str">
        <f t="shared" si="1079"/>
        <v/>
      </c>
      <c r="V225" s="162" t="str">
        <f t="shared" si="1080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1"/>
        <v/>
      </c>
      <c r="Y225" s="75"/>
      <c r="Z225" s="917" t="str">
        <f t="shared" si="1082"/>
        <v/>
      </c>
      <c r="AA225" s="82"/>
      <c r="AB225" s="75"/>
      <c r="AC225" s="75"/>
      <c r="AD225" s="166"/>
      <c r="AE225" s="75">
        <v>3.22</v>
      </c>
      <c r="AF225" s="82">
        <v>3</v>
      </c>
      <c r="AG225" s="82">
        <v>2</v>
      </c>
      <c r="AH225" s="82">
        <v>2</v>
      </c>
      <c r="AI225" s="82">
        <v>1.0000000000218279</v>
      </c>
      <c r="AJ225" s="166">
        <v>3.2202100000000002</v>
      </c>
      <c r="AK225" s="82">
        <v>3.22011</v>
      </c>
      <c r="AL225" s="162">
        <v>0</v>
      </c>
      <c r="AM225" s="162">
        <v>0</v>
      </c>
      <c r="AN225" s="162">
        <v>0</v>
      </c>
      <c r="AO225" s="162">
        <v>-26.109990310516238</v>
      </c>
      <c r="AP225" s="162">
        <v>0</v>
      </c>
      <c r="AQ225" s="162">
        <v>0</v>
      </c>
      <c r="AR225" s="710" t="str">
        <v>32193r1.par</v>
      </c>
      <c r="AV225" s="82" t="str">
        <v>97,255,97</v>
      </c>
      <c r="AW225" s="947">
        <v>41</v>
      </c>
      <c r="AX225" s="947">
        <v>67.109990310516238</v>
      </c>
      <c r="AY225" s="947">
        <v>-26.109990310516238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20"/>
      <c r="J226" s="924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40"/>
      <c r="M226" s="981" t="str">
        <f>IFERROR(INDEX([1]List!$AG$1:$AG$65480,MATCH(RIGHT((J226*1000),2),[1]List!$AI$1:$AI$65480,0))*-1,"")</f>
        <v/>
      </c>
      <c r="N226" s="941"/>
      <c r="O226" s="942"/>
      <c r="Q226" s="162" t="str">
        <f t="shared" si="1075"/>
        <v/>
      </c>
      <c r="R226" s="162" t="str">
        <f t="shared" si="1076"/>
        <v/>
      </c>
      <c r="S226" s="162" t="str">
        <f t="shared" si="1077"/>
        <v/>
      </c>
      <c r="T226" s="162" t="str">
        <f t="shared" si="1078"/>
        <v/>
      </c>
      <c r="U226" s="162" t="str">
        <f t="shared" si="1079"/>
        <v/>
      </c>
      <c r="V226" s="162" t="str">
        <f t="shared" si="1080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1"/>
        <v/>
      </c>
      <c r="Y226" s="75"/>
      <c r="Z226" s="917" t="str">
        <f t="shared" si="1082"/>
        <v/>
      </c>
      <c r="AA226" s="82"/>
      <c r="AB226" s="75"/>
      <c r="AC226" s="75"/>
      <c r="AD226" s="166"/>
      <c r="AE226" s="75">
        <v>3.2149999999999999</v>
      </c>
      <c r="AF226" s="82">
        <v>3</v>
      </c>
      <c r="AG226" s="82">
        <v>2</v>
      </c>
      <c r="AH226" s="82">
        <v>2</v>
      </c>
      <c r="AI226" s="82">
        <v>0.99999999998544808</v>
      </c>
      <c r="AJ226" s="166">
        <v>3.2152099999999999</v>
      </c>
      <c r="AK226" s="82">
        <v>3.2151099999999997</v>
      </c>
      <c r="AL226" s="162">
        <v>0</v>
      </c>
      <c r="AM226" s="162">
        <v>0</v>
      </c>
      <c r="AN226" s="162">
        <v>0</v>
      </c>
      <c r="AO226" s="162">
        <v>-17.50999455535041</v>
      </c>
      <c r="AP226" s="162">
        <v>0</v>
      </c>
      <c r="AQ226" s="162">
        <v>0</v>
      </c>
      <c r="AR226" s="710" t="str">
        <v>32193r1.par</v>
      </c>
      <c r="AV226" s="82" t="str">
        <v>97,255,97</v>
      </c>
      <c r="AW226" s="947">
        <v>20.200000000000003</v>
      </c>
      <c r="AX226" s="947">
        <v>37.709994555350413</v>
      </c>
      <c r="AY226" s="947">
        <v>-17.50999455535041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20"/>
      <c r="J227" s="924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40"/>
      <c r="M227" s="981" t="str">
        <f>IFERROR(INDEX([1]List!$AG$1:$AG$65480,MATCH(RIGHT((J227*1000),2),[1]List!$AI$1:$AI$65480,0))*-1,"")</f>
        <v/>
      </c>
      <c r="N227" s="941"/>
      <c r="O227" s="942"/>
      <c r="Q227" s="162" t="str">
        <f t="shared" si="1075"/>
        <v/>
      </c>
      <c r="R227" s="162" t="str">
        <f t="shared" si="1076"/>
        <v/>
      </c>
      <c r="S227" s="162" t="str">
        <f t="shared" si="1077"/>
        <v/>
      </c>
      <c r="T227" s="162" t="str">
        <f t="shared" si="1078"/>
        <v/>
      </c>
      <c r="U227" s="162" t="str">
        <f t="shared" si="1079"/>
        <v/>
      </c>
      <c r="V227" s="162" t="str">
        <f t="shared" si="1080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1"/>
        <v/>
      </c>
      <c r="Y227" s="75"/>
      <c r="Z227" s="917" t="str">
        <f t="shared" si="1082"/>
        <v/>
      </c>
      <c r="AA227" s="82"/>
      <c r="AB227" s="75"/>
      <c r="AC227" s="75"/>
      <c r="AD227" s="166"/>
      <c r="AE227" s="75">
        <v>3.125</v>
      </c>
      <c r="AF227" s="82">
        <v>3</v>
      </c>
      <c r="AG227" s="82">
        <v>1</v>
      </c>
      <c r="AH227" s="82">
        <v>2</v>
      </c>
      <c r="AI227" s="82">
        <v>1.0000000000218279</v>
      </c>
      <c r="AJ227" s="166">
        <v>3.12521</v>
      </c>
      <c r="AK227" s="82">
        <v>3.1251099999999998</v>
      </c>
      <c r="AL227" s="162">
        <v>0</v>
      </c>
      <c r="AM227" s="162">
        <v>0</v>
      </c>
      <c r="AN227" s="162">
        <v>0</v>
      </c>
      <c r="AO227" s="162">
        <v>-23.058848408102108</v>
      </c>
      <c r="AP227" s="162">
        <v>0</v>
      </c>
      <c r="AQ227" s="162">
        <v>0</v>
      </c>
      <c r="AR227" s="710" t="str">
        <v>1613.par</v>
      </c>
      <c r="AV227" s="82" t="str">
        <v>0,204,0</v>
      </c>
      <c r="AW227" s="947">
        <v>61.900000000000006</v>
      </c>
      <c r="AX227" s="947">
        <v>84.958848408102114</v>
      </c>
      <c r="AY227" s="947">
        <v>-23.058848408102108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20"/>
      <c r="J228" s="924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40"/>
      <c r="M228" s="981" t="str">
        <f>IFERROR(INDEX([1]List!$AG$1:$AG$65480,MATCH(RIGHT((J228*1000),2),[1]List!$AI$1:$AI$65480,0))*-1,"")</f>
        <v/>
      </c>
      <c r="N228" s="941"/>
      <c r="O228" s="942"/>
      <c r="Q228" s="162" t="str">
        <f t="shared" si="1075"/>
        <v/>
      </c>
      <c r="R228" s="162" t="str">
        <f t="shared" si="1076"/>
        <v/>
      </c>
      <c r="S228" s="162" t="str">
        <f t="shared" si="1077"/>
        <v/>
      </c>
      <c r="T228" s="162" t="str">
        <f t="shared" si="1078"/>
        <v/>
      </c>
      <c r="U228" s="162" t="str">
        <f t="shared" si="1079"/>
        <v/>
      </c>
      <c r="V228" s="162" t="str">
        <f t="shared" si="1080"/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si="1081"/>
        <v/>
      </c>
      <c r="Y228" s="75"/>
      <c r="Z228" s="917" t="str">
        <f t="shared" si="1082"/>
        <v/>
      </c>
      <c r="AA228" s="82"/>
      <c r="AB228" s="75"/>
      <c r="AC228" s="75"/>
      <c r="AD228" s="166"/>
      <c r="AE228" s="75">
        <v>3.12</v>
      </c>
      <c r="AF228" s="82">
        <v>3</v>
      </c>
      <c r="AG228" s="82">
        <v>1</v>
      </c>
      <c r="AH228" s="82">
        <v>2</v>
      </c>
      <c r="AI228" s="82">
        <v>1.0000000000218279</v>
      </c>
      <c r="AJ228" s="166">
        <v>3.1202100000000002</v>
      </c>
      <c r="AK228" s="82">
        <v>3.1201099999999999</v>
      </c>
      <c r="AL228" s="162">
        <v>0</v>
      </c>
      <c r="AM228" s="162">
        <v>0</v>
      </c>
      <c r="AN228" s="162">
        <v>0</v>
      </c>
      <c r="AO228" s="162">
        <v>-23.750610463921831</v>
      </c>
      <c r="AP228" s="162">
        <v>0</v>
      </c>
      <c r="AQ228" s="162">
        <v>0</v>
      </c>
      <c r="AR228" s="710" t="str">
        <v>1613.par</v>
      </c>
      <c r="AV228" s="82" t="str">
        <v>0,204,0</v>
      </c>
      <c r="AW228" s="947">
        <v>41</v>
      </c>
      <c r="AX228" s="947">
        <v>64.750610463921831</v>
      </c>
      <c r="AY228" s="947">
        <v>-23.750610463921831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81" t="str">
        <f>IFERROR(INDEX([1]List!$AG$1:$AG$65480,MATCH(RIGHT((J229*1000),2),[1]List!$AI$1:$AI$65480,0))*-1,"")</f>
        <v/>
      </c>
      <c r="N229" s="941"/>
      <c r="O229" s="942"/>
      <c r="Q229" s="162" t="str">
        <f t="shared" si="1075"/>
        <v/>
      </c>
      <c r="R229" s="162" t="str">
        <f t="shared" si="1076"/>
        <v/>
      </c>
      <c r="S229" s="162" t="str">
        <f t="shared" si="1077"/>
        <v/>
      </c>
      <c r="T229" s="162" t="str">
        <f t="shared" si="1078"/>
        <v/>
      </c>
      <c r="U229" s="162" t="str">
        <f t="shared" si="1079"/>
        <v/>
      </c>
      <c r="V229" s="162" t="str">
        <f t="shared" si="1080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1"/>
        <v/>
      </c>
      <c r="Y229" s="75"/>
      <c r="Z229" s="917" t="str">
        <f t="shared" si="1082"/>
        <v/>
      </c>
      <c r="AA229" s="82"/>
      <c r="AB229" s="75"/>
      <c r="AC229" s="75"/>
      <c r="AD229" s="166"/>
      <c r="AE229" s="75">
        <v>3.1150000000000002</v>
      </c>
      <c r="AF229" s="82">
        <v>3</v>
      </c>
      <c r="AG229" s="82">
        <v>1</v>
      </c>
      <c r="AH229" s="82">
        <v>2</v>
      </c>
      <c r="AI229" s="82">
        <v>1.0000000000218279</v>
      </c>
      <c r="AJ229" s="166">
        <v>3.1152100000000003</v>
      </c>
      <c r="AK229" s="82">
        <v>3.11511</v>
      </c>
      <c r="AL229" s="162">
        <v>0</v>
      </c>
      <c r="AM229" s="162">
        <v>0</v>
      </c>
      <c r="AN229" s="162">
        <v>0</v>
      </c>
      <c r="AO229" s="162">
        <v>-19.131621798201394</v>
      </c>
      <c r="AP229" s="162">
        <v>0</v>
      </c>
      <c r="AQ229" s="162">
        <v>0</v>
      </c>
      <c r="AR229" s="710" t="str">
        <v>1613.par</v>
      </c>
      <c r="AV229" s="82" t="str">
        <v>0,204,0</v>
      </c>
      <c r="AW229" s="947">
        <v>20.200000000000003</v>
      </c>
      <c r="AX229" s="947">
        <v>39.331621798201397</v>
      </c>
      <c r="AY229" s="947">
        <v>-19.131621798201394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81" t="str">
        <f>IFERROR(INDEX([1]List!$AG$1:$AG$65480,MATCH(RIGHT((J230*1000),2),[1]List!$AI$1:$AI$65480,0))*-1,"")</f>
        <v/>
      </c>
      <c r="N230" s="941"/>
      <c r="O230" s="942"/>
      <c r="Q230" s="162" t="str">
        <f t="shared" si="1075"/>
        <v/>
      </c>
      <c r="R230" s="162" t="str">
        <f t="shared" si="1076"/>
        <v/>
      </c>
      <c r="S230" s="162" t="str">
        <f t="shared" si="1077"/>
        <v/>
      </c>
      <c r="T230" s="162" t="str">
        <f t="shared" si="1078"/>
        <v/>
      </c>
      <c r="U230" s="162" t="str">
        <f t="shared" si="1079"/>
        <v/>
      </c>
      <c r="V230" s="162" t="str">
        <f t="shared" si="1080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1"/>
        <v/>
      </c>
      <c r="Y230" s="75"/>
      <c r="Z230" s="917" t="str">
        <f t="shared" si="1082"/>
        <v/>
      </c>
      <c r="AA230" s="82"/>
      <c r="AB230" s="75"/>
      <c r="AC230" s="75"/>
      <c r="AD230" s="166"/>
      <c r="AE230" s="75">
        <v>3.11</v>
      </c>
      <c r="AF230" s="82">
        <v>3</v>
      </c>
      <c r="AG230" s="82">
        <v>1</v>
      </c>
      <c r="AH230" s="82">
        <v>2</v>
      </c>
      <c r="AI230" s="82">
        <v>0.99999999998544808</v>
      </c>
      <c r="AJ230" s="166">
        <v>3.1102099999999999</v>
      </c>
      <c r="AK230" s="82">
        <v>3.1101099999999997</v>
      </c>
      <c r="AL230" s="162">
        <v>0</v>
      </c>
      <c r="AM230" s="162">
        <v>0</v>
      </c>
      <c r="AN230" s="162">
        <v>0</v>
      </c>
      <c r="AO230" s="162">
        <v>-14.0509700977363</v>
      </c>
      <c r="AP230" s="162">
        <v>0</v>
      </c>
      <c r="AQ230" s="162">
        <v>0</v>
      </c>
      <c r="AR230" s="710" t="str">
        <v>1613.par</v>
      </c>
      <c r="AV230" s="82" t="str">
        <v>0,204,0</v>
      </c>
      <c r="AW230" s="947">
        <v>-0.5</v>
      </c>
      <c r="AX230" s="947">
        <v>13.5509700977363</v>
      </c>
      <c r="AY230" s="947">
        <v>-14.0509700977363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81" t="str">
        <f>IFERROR(INDEX([1]List!$AG$1:$AG$65480,MATCH(RIGHT((J231*1000),2),[1]List!$AI$1:$AI$65480,0))*-1,"")</f>
        <v/>
      </c>
      <c r="N231" s="941"/>
      <c r="O231" s="942"/>
      <c r="Q231" s="162" t="str">
        <f t="shared" si="1075"/>
        <v/>
      </c>
      <c r="R231" s="162" t="str">
        <f t="shared" si="1076"/>
        <v/>
      </c>
      <c r="S231" s="162" t="str">
        <f t="shared" si="1077"/>
        <v/>
      </c>
      <c r="T231" s="162" t="str">
        <f t="shared" si="1078"/>
        <v/>
      </c>
      <c r="U231" s="162" t="str">
        <f t="shared" si="1079"/>
        <v/>
      </c>
      <c r="V231" s="162" t="str">
        <f t="shared" si="1080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1"/>
        <v/>
      </c>
      <c r="Y231" s="75"/>
      <c r="Z231" s="917" t="str">
        <f t="shared" si="1082"/>
        <v/>
      </c>
      <c r="AA231" s="82"/>
      <c r="AB231" s="75"/>
      <c r="AC231" s="75"/>
      <c r="AD231" s="166"/>
      <c r="AE231" s="75">
        <v>3.1059999999999999</v>
      </c>
      <c r="AF231" s="82">
        <v>3</v>
      </c>
      <c r="AG231" s="82">
        <v>1</v>
      </c>
      <c r="AH231" s="82">
        <v>2</v>
      </c>
      <c r="AI231" s="82">
        <v>0.99999999998544808</v>
      </c>
      <c r="AJ231" s="166">
        <v>3.1062099999999999</v>
      </c>
      <c r="AK231" s="82">
        <v>3.1061099999999997</v>
      </c>
      <c r="AL231" s="162">
        <v>0</v>
      </c>
      <c r="AM231" s="162">
        <v>0</v>
      </c>
      <c r="AN231" s="162">
        <v>0</v>
      </c>
      <c r="AO231" s="162">
        <v>-16.545948821034386</v>
      </c>
      <c r="AP231" s="162">
        <v>0</v>
      </c>
      <c r="AQ231" s="162">
        <v>0</v>
      </c>
      <c r="AR231" s="710" t="str">
        <v>1613.par</v>
      </c>
      <c r="AV231" s="82" t="str">
        <v>0,204,0</v>
      </c>
      <c r="AW231" s="947">
        <v>-20</v>
      </c>
      <c r="AX231" s="947">
        <v>-3.4540511789656145</v>
      </c>
      <c r="AY231" s="947">
        <v>-16.545948821034386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81" t="str">
        <f>IFERROR(INDEX([1]List!$AG$1:$AG$65480,MATCH(RIGHT((J232*1000),2),[1]List!$AI$1:$AI$65480,0))*-1,"")</f>
        <v/>
      </c>
      <c r="N232" s="941"/>
      <c r="O232" s="942"/>
      <c r="Q232" s="162" t="str">
        <f t="shared" si="1075"/>
        <v/>
      </c>
      <c r="R232" s="162" t="str">
        <f t="shared" si="1076"/>
        <v/>
      </c>
      <c r="S232" s="162" t="str">
        <f t="shared" si="1077"/>
        <v/>
      </c>
      <c r="T232" s="162" t="str">
        <f t="shared" si="1078"/>
        <v/>
      </c>
      <c r="U232" s="162" t="str">
        <f t="shared" si="1079"/>
        <v/>
      </c>
      <c r="V232" s="162" t="str">
        <f t="shared" si="1080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1"/>
        <v/>
      </c>
      <c r="Y232" s="75"/>
      <c r="Z232" s="917" t="str">
        <f t="shared" si="1082"/>
        <v/>
      </c>
      <c r="AA232" s="82"/>
      <c r="AB232" s="75"/>
      <c r="AC232" s="75"/>
      <c r="AD232" s="166"/>
      <c r="AE232" s="75">
        <v>3.1030000000000002</v>
      </c>
      <c r="AF232" s="82">
        <v>3</v>
      </c>
      <c r="AG232" s="82">
        <v>1</v>
      </c>
      <c r="AH232" s="82">
        <v>2</v>
      </c>
      <c r="AI232" s="82">
        <v>1.0000000000218279</v>
      </c>
      <c r="AJ232" s="166">
        <v>3.1032100000000002</v>
      </c>
      <c r="AK232" s="82">
        <v>3.10311</v>
      </c>
      <c r="AL232" s="162">
        <v>0</v>
      </c>
      <c r="AM232" s="162">
        <v>0</v>
      </c>
      <c r="AN232" s="162">
        <v>0</v>
      </c>
      <c r="AO232" s="162">
        <v>-12.02323983589957</v>
      </c>
      <c r="AP232" s="162">
        <v>0</v>
      </c>
      <c r="AQ232" s="162">
        <v>0</v>
      </c>
      <c r="AR232" s="710" t="str">
        <v>1913.par</v>
      </c>
      <c r="AV232" s="82" t="str">
        <v>0,204,0</v>
      </c>
      <c r="AW232" s="947">
        <v>-20</v>
      </c>
      <c r="AX232" s="947">
        <v>-7.9767601641004298</v>
      </c>
      <c r="AY232" s="947">
        <v>-12.02323983589957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81" t="str">
        <f>IFERROR(INDEX([1]List!$AG$1:$AG$65480,MATCH(RIGHT((J233*1000),2),[1]List!$AI$1:$AI$65480,0))*-1,"")</f>
        <v/>
      </c>
      <c r="N233" s="941"/>
      <c r="O233" s="942"/>
      <c r="Q233" s="162" t="str">
        <f t="shared" si="1075"/>
        <v/>
      </c>
      <c r="R233" s="162" t="str">
        <f t="shared" si="1076"/>
        <v/>
      </c>
      <c r="S233" s="162" t="str">
        <f t="shared" si="1077"/>
        <v/>
      </c>
      <c r="T233" s="162" t="str">
        <f t="shared" si="1078"/>
        <v/>
      </c>
      <c r="U233" s="162" t="str">
        <f t="shared" si="1079"/>
        <v/>
      </c>
      <c r="V233" s="162" t="str">
        <f t="shared" si="1080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1"/>
        <v/>
      </c>
      <c r="Y233" s="75"/>
      <c r="Z233" s="917" t="str">
        <f t="shared" si="1082"/>
        <v/>
      </c>
      <c r="AA233" s="82"/>
      <c r="AB233" s="75"/>
      <c r="AC233" s="75"/>
      <c r="AD233" s="166"/>
      <c r="AE233" s="75">
        <v>2.226</v>
      </c>
      <c r="AF233" s="82">
        <v>2</v>
      </c>
      <c r="AG233" s="82">
        <v>2</v>
      </c>
      <c r="AH233" s="82">
        <v>2</v>
      </c>
      <c r="AI233" s="82">
        <v>0.99999999998544808</v>
      </c>
      <c r="AJ233" s="166">
        <v>2.22621</v>
      </c>
      <c r="AK233" s="82">
        <v>2.2261099999999998</v>
      </c>
      <c r="AL233" s="162">
        <v>0</v>
      </c>
      <c r="AM233" s="162">
        <v>0</v>
      </c>
      <c r="AN233" s="162">
        <v>0</v>
      </c>
      <c r="AO233" s="162">
        <v>-18.899987727520198</v>
      </c>
      <c r="AP233" s="162">
        <v>0</v>
      </c>
      <c r="AQ233" s="162">
        <v>0</v>
      </c>
      <c r="AR233" s="710" t="str">
        <v>32193r1.par</v>
      </c>
      <c r="AV233" s="82" t="str">
        <v>255,255,91</v>
      </c>
      <c r="AW233" s="947">
        <v>66.099999999999994</v>
      </c>
      <c r="AX233" s="947">
        <v>84.999987727520192</v>
      </c>
      <c r="AY233" s="947">
        <v>-18.899987727520198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81" t="str">
        <f>IFERROR(INDEX([1]List!$AG$1:$AG$65480,MATCH(RIGHT((J234*1000),2),[1]List!$AI$1:$AI$65480,0))*-1,"")</f>
        <v/>
      </c>
      <c r="N234" s="941"/>
      <c r="O234" s="942"/>
      <c r="Q234" s="162" t="str">
        <f t="shared" si="1075"/>
        <v/>
      </c>
      <c r="R234" s="162" t="str">
        <f t="shared" si="1076"/>
        <v/>
      </c>
      <c r="S234" s="162" t="str">
        <f t="shared" si="1077"/>
        <v/>
      </c>
      <c r="T234" s="162" t="str">
        <f t="shared" si="1078"/>
        <v/>
      </c>
      <c r="U234" s="162" t="str">
        <f t="shared" si="1079"/>
        <v/>
      </c>
      <c r="V234" s="162" t="str">
        <f t="shared" si="1080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1"/>
        <v/>
      </c>
      <c r="Y234" s="75"/>
      <c r="Z234" s="917" t="str">
        <f t="shared" si="1082"/>
        <v/>
      </c>
      <c r="AA234" s="82"/>
      <c r="AB234" s="75"/>
      <c r="AC234" s="75"/>
      <c r="AD234" s="166"/>
      <c r="AE234" s="75">
        <v>2.2210000000000001</v>
      </c>
      <c r="AF234" s="82">
        <v>2</v>
      </c>
      <c r="AG234" s="82">
        <v>2</v>
      </c>
      <c r="AH234" s="82">
        <v>2</v>
      </c>
      <c r="AI234" s="82">
        <v>1.0000000000218279</v>
      </c>
      <c r="AJ234" s="166">
        <v>2.2212100000000001</v>
      </c>
      <c r="AK234" s="82">
        <v>2.2211099999999999</v>
      </c>
      <c r="AL234" s="162">
        <v>0</v>
      </c>
      <c r="AM234" s="162">
        <v>0</v>
      </c>
      <c r="AN234" s="162">
        <v>0</v>
      </c>
      <c r="AO234" s="162">
        <v>-27.859989451442672</v>
      </c>
      <c r="AP234" s="162">
        <v>0</v>
      </c>
      <c r="AQ234" s="162">
        <v>0</v>
      </c>
      <c r="AR234" s="710" t="str">
        <v>32193r1.par</v>
      </c>
      <c r="AV234" s="82" t="str">
        <v>255,255,91</v>
      </c>
      <c r="AW234" s="947">
        <v>45.199999999999989</v>
      </c>
      <c r="AX234" s="947">
        <v>73.059989451442661</v>
      </c>
      <c r="AY234" s="947">
        <v>-27.859989451442672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81" t="str">
        <f>IFERROR(INDEX([1]List!$AG$1:$AG$65480,MATCH(RIGHT((J235*1000),2),[1]List!$AI$1:$AI$65480,0))*-1,"")</f>
        <v/>
      </c>
      <c r="N235" s="941"/>
      <c r="O235" s="942"/>
      <c r="Q235" s="162" t="str">
        <f t="shared" si="1075"/>
        <v/>
      </c>
      <c r="R235" s="162" t="str">
        <f t="shared" si="1076"/>
        <v/>
      </c>
      <c r="S235" s="162" t="str">
        <f t="shared" si="1077"/>
        <v/>
      </c>
      <c r="T235" s="162" t="str">
        <f t="shared" si="1078"/>
        <v/>
      </c>
      <c r="U235" s="162" t="str">
        <f t="shared" si="1079"/>
        <v/>
      </c>
      <c r="V235" s="162" t="str">
        <f t="shared" si="1080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1"/>
        <v/>
      </c>
      <c r="Y235" s="75"/>
      <c r="Z235" s="917" t="str">
        <f t="shared" si="1082"/>
        <v/>
      </c>
      <c r="AA235" s="82"/>
      <c r="AB235" s="75"/>
      <c r="AC235" s="75"/>
      <c r="AD235" s="166"/>
      <c r="AE235" s="75">
        <v>2.2160000000000002</v>
      </c>
      <c r="AF235" s="82">
        <v>2</v>
      </c>
      <c r="AG235" s="82">
        <v>2</v>
      </c>
      <c r="AH235" s="82">
        <v>2</v>
      </c>
      <c r="AI235" s="82">
        <v>1.0000000000218279</v>
      </c>
      <c r="AJ235" s="166">
        <v>2.2162100000000002</v>
      </c>
      <c r="AK235" s="82">
        <v>2.21611</v>
      </c>
      <c r="AL235" s="162">
        <v>0</v>
      </c>
      <c r="AM235" s="162">
        <v>0</v>
      </c>
      <c r="AN235" s="162">
        <v>0</v>
      </c>
      <c r="AO235" s="162">
        <v>-19.139993713602678</v>
      </c>
      <c r="AP235" s="162">
        <v>0</v>
      </c>
      <c r="AQ235" s="162">
        <v>0</v>
      </c>
      <c r="AR235" s="710" t="str">
        <v>32193r1.par</v>
      </c>
      <c r="AV235" s="82" t="str">
        <v>255,255,91</v>
      </c>
      <c r="AW235" s="947">
        <v>24.400000000000006</v>
      </c>
      <c r="AX235" s="947">
        <v>43.539993713602684</v>
      </c>
      <c r="AY235" s="947">
        <v>-19.139993713602678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81" t="str">
        <f>IFERROR(INDEX([1]List!$AG$1:$AG$65480,MATCH(RIGHT((J236*1000),2),[1]List!$AI$1:$AI$65480,0))*-1,"")</f>
        <v/>
      </c>
      <c r="N236" s="941"/>
      <c r="O236" s="942"/>
      <c r="Q236" s="162" t="str">
        <f t="shared" si="1075"/>
        <v/>
      </c>
      <c r="R236" s="162" t="str">
        <f t="shared" si="1076"/>
        <v/>
      </c>
      <c r="S236" s="162" t="str">
        <f t="shared" si="1077"/>
        <v/>
      </c>
      <c r="T236" s="162" t="str">
        <f t="shared" si="1078"/>
        <v/>
      </c>
      <c r="U236" s="162" t="str">
        <f t="shared" si="1079"/>
        <v/>
      </c>
      <c r="V236" s="162" t="str">
        <f t="shared" si="1080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1"/>
        <v/>
      </c>
      <c r="Y236" s="75"/>
      <c r="Z236" s="917" t="str">
        <f t="shared" si="1082"/>
        <v/>
      </c>
      <c r="AA236" s="82"/>
      <c r="AB236" s="75"/>
      <c r="AC236" s="75"/>
      <c r="AD236" s="166"/>
      <c r="AE236" s="75">
        <v>2.1259999999999999</v>
      </c>
      <c r="AF236" s="82">
        <v>2</v>
      </c>
      <c r="AG236" s="82">
        <v>1</v>
      </c>
      <c r="AH236" s="82">
        <v>2</v>
      </c>
      <c r="AI236" s="82">
        <v>0.99999999998544808</v>
      </c>
      <c r="AJ236" s="166">
        <v>2.1262099999999999</v>
      </c>
      <c r="AK236" s="82">
        <v>2.1261099999999997</v>
      </c>
      <c r="AL236" s="162">
        <v>0</v>
      </c>
      <c r="AM236" s="162">
        <v>0</v>
      </c>
      <c r="AN236" s="162">
        <v>0</v>
      </c>
      <c r="AO236" s="162">
        <v>-18.858848408102119</v>
      </c>
      <c r="AP236" s="162">
        <v>0</v>
      </c>
      <c r="AQ236" s="162">
        <v>0</v>
      </c>
      <c r="AR236" s="710" t="str">
        <v>1613.par</v>
      </c>
      <c r="AV236" s="82" t="str">
        <v>204,204,0</v>
      </c>
      <c r="AW236" s="947">
        <v>66.099999999999994</v>
      </c>
      <c r="AX236" s="947">
        <v>84.958848408102114</v>
      </c>
      <c r="AY236" s="947">
        <v>-18.858848408102119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81" t="str">
        <f>IFERROR(INDEX([1]List!$AG$1:$AG$65480,MATCH(RIGHT((J237*1000),2),[1]List!$AI$1:$AI$65480,0))*-1,"")</f>
        <v/>
      </c>
      <c r="N237" s="941"/>
      <c r="O237" s="942"/>
      <c r="Q237" s="162" t="str">
        <f t="shared" si="1075"/>
        <v/>
      </c>
      <c r="R237" s="162" t="str">
        <f t="shared" si="1076"/>
        <v/>
      </c>
      <c r="S237" s="162" t="str">
        <f t="shared" si="1077"/>
        <v/>
      </c>
      <c r="T237" s="162" t="str">
        <f t="shared" si="1078"/>
        <v/>
      </c>
      <c r="U237" s="162" t="str">
        <f t="shared" si="1079"/>
        <v/>
      </c>
      <c r="V237" s="162" t="str">
        <f t="shared" si="1080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1"/>
        <v/>
      </c>
      <c r="Y237" s="75"/>
      <c r="Z237" s="917" t="str">
        <f t="shared" si="1082"/>
        <v/>
      </c>
      <c r="AA237" s="82"/>
      <c r="AB237" s="75"/>
      <c r="AC237" s="75"/>
      <c r="AD237" s="166"/>
      <c r="AE237" s="75">
        <v>2.121</v>
      </c>
      <c r="AF237" s="82">
        <v>2</v>
      </c>
      <c r="AG237" s="82">
        <v>1</v>
      </c>
      <c r="AH237" s="82">
        <v>2</v>
      </c>
      <c r="AI237" s="82">
        <v>1.0000000000218279</v>
      </c>
      <c r="AJ237" s="166">
        <v>2.12121</v>
      </c>
      <c r="AK237" s="82">
        <v>2.1211099999999998</v>
      </c>
      <c r="AL237" s="162">
        <v>0</v>
      </c>
      <c r="AM237" s="162">
        <v>0</v>
      </c>
      <c r="AN237" s="162">
        <v>0</v>
      </c>
      <c r="AO237" s="162">
        <v>-24.610444241835907</v>
      </c>
      <c r="AP237" s="162">
        <v>0</v>
      </c>
      <c r="AQ237" s="162">
        <v>0</v>
      </c>
      <c r="AR237" s="710" t="str">
        <v>1613.par</v>
      </c>
      <c r="AV237" s="82" t="str">
        <v>204,204,0</v>
      </c>
      <c r="AW237" s="947">
        <v>45.199999999999989</v>
      </c>
      <c r="AX237" s="947">
        <v>69.810444241835896</v>
      </c>
      <c r="AY237" s="947">
        <v>-24.610444241835907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81" t="str">
        <f>IFERROR(INDEX([1]List!$AG$1:$AG$65480,MATCH(RIGHT((J238*1000),2),[1]List!$AI$1:$AI$65480,0))*-1,"")</f>
        <v/>
      </c>
      <c r="N238" s="941"/>
      <c r="O238" s="942"/>
      <c r="Q238" s="162" t="str">
        <f t="shared" si="1075"/>
        <v/>
      </c>
      <c r="R238" s="162" t="str">
        <f t="shared" si="1076"/>
        <v/>
      </c>
      <c r="S238" s="162" t="str">
        <f t="shared" si="1077"/>
        <v/>
      </c>
      <c r="T238" s="162" t="str">
        <f t="shared" si="1078"/>
        <v/>
      </c>
      <c r="U238" s="162" t="str">
        <f t="shared" si="1079"/>
        <v/>
      </c>
      <c r="V238" s="162" t="str">
        <f t="shared" si="1080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1"/>
        <v/>
      </c>
      <c r="Y238" s="75"/>
      <c r="Z238" s="917" t="str">
        <f t="shared" si="1082"/>
        <v/>
      </c>
      <c r="AA238" s="82"/>
      <c r="AB238" s="75"/>
      <c r="AC238" s="75"/>
      <c r="AD238" s="166"/>
      <c r="AE238" s="75">
        <v>2.1160000000000001</v>
      </c>
      <c r="AF238" s="82">
        <v>2</v>
      </c>
      <c r="AG238" s="82">
        <v>1</v>
      </c>
      <c r="AH238" s="82">
        <v>2</v>
      </c>
      <c r="AI238" s="82">
        <v>1.0000000000218279</v>
      </c>
      <c r="AJ238" s="166">
        <v>2.1162100000000001</v>
      </c>
      <c r="AK238" s="82">
        <v>2.1161099999999999</v>
      </c>
      <c r="AL238" s="162">
        <v>0</v>
      </c>
      <c r="AM238" s="162">
        <v>0</v>
      </c>
      <c r="AN238" s="162">
        <v>0</v>
      </c>
      <c r="AO238" s="162">
        <v>-20.035726774968062</v>
      </c>
      <c r="AP238" s="162">
        <v>0</v>
      </c>
      <c r="AQ238" s="162">
        <v>0</v>
      </c>
      <c r="AR238" s="710" t="str">
        <v>1613.par</v>
      </c>
      <c r="AV238" s="82" t="str">
        <v>204,204,0</v>
      </c>
      <c r="AW238" s="947">
        <v>24.400000000000006</v>
      </c>
      <c r="AX238" s="947">
        <v>44.435726774968067</v>
      </c>
      <c r="AY238" s="947">
        <v>-20.035726774968062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81" t="str">
        <f>IFERROR(INDEX([1]List!$AG$1:$AG$65480,MATCH(RIGHT((J239*1000),2),[1]List!$AI$1:$AI$65480,0))*-1,"")</f>
        <v/>
      </c>
      <c r="N239" s="941"/>
      <c r="O239" s="942"/>
      <c r="Q239" s="162" t="str">
        <f t="shared" si="1075"/>
        <v/>
      </c>
      <c r="R239" s="162" t="str">
        <f t="shared" si="1076"/>
        <v/>
      </c>
      <c r="S239" s="162" t="str">
        <f t="shared" si="1077"/>
        <v/>
      </c>
      <c r="T239" s="162" t="str">
        <f t="shared" si="1078"/>
        <v/>
      </c>
      <c r="U239" s="162" t="str">
        <f t="shared" si="1079"/>
        <v/>
      </c>
      <c r="V239" s="162" t="str">
        <f t="shared" si="1080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1"/>
        <v/>
      </c>
      <c r="Y239" s="75"/>
      <c r="Z239" s="917" t="str">
        <f t="shared" si="1082"/>
        <v/>
      </c>
      <c r="AA239" s="82"/>
      <c r="AB239" s="75"/>
      <c r="AC239" s="75"/>
      <c r="AD239" s="166"/>
      <c r="AE239" s="75">
        <v>2.1110000000000002</v>
      </c>
      <c r="AF239" s="82">
        <v>2</v>
      </c>
      <c r="AG239" s="82">
        <v>1</v>
      </c>
      <c r="AH239" s="82">
        <v>2</v>
      </c>
      <c r="AI239" s="82">
        <v>1.0000000000218279</v>
      </c>
      <c r="AJ239" s="166">
        <v>2.1112100000000003</v>
      </c>
      <c r="AK239" s="82">
        <v>2.11111</v>
      </c>
      <c r="AL239" s="162">
        <v>0</v>
      </c>
      <c r="AM239" s="162">
        <v>0</v>
      </c>
      <c r="AN239" s="162">
        <v>0</v>
      </c>
      <c r="AO239" s="162">
        <v>-15.052253478994466</v>
      </c>
      <c r="AP239" s="162">
        <v>0</v>
      </c>
      <c r="AQ239" s="162">
        <v>0</v>
      </c>
      <c r="AR239" s="710" t="str">
        <v>1613.par</v>
      </c>
      <c r="AV239" s="82" t="str">
        <v>204,204,0</v>
      </c>
      <c r="AW239" s="947">
        <v>3.7000000000000028</v>
      </c>
      <c r="AX239" s="947">
        <v>18.752253478994469</v>
      </c>
      <c r="AY239" s="947">
        <v>-15.052253478994466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81" t="str">
        <f>IFERROR(INDEX([1]List!$AG$1:$AG$65480,MATCH(RIGHT((J240*1000),2),[1]List!$AI$1:$AI$65480,0))*-1,"")</f>
        <v/>
      </c>
      <c r="N240" s="941"/>
      <c r="O240" s="942"/>
      <c r="Q240" s="162" t="str">
        <f t="shared" si="1075"/>
        <v/>
      </c>
      <c r="R240" s="162" t="str">
        <f t="shared" si="1076"/>
        <v/>
      </c>
      <c r="S240" s="162" t="str">
        <f t="shared" si="1077"/>
        <v/>
      </c>
      <c r="T240" s="162" t="str">
        <f t="shared" si="1078"/>
        <v/>
      </c>
      <c r="U240" s="162" t="str">
        <f t="shared" si="1079"/>
        <v/>
      </c>
      <c r="V240" s="162" t="str">
        <f t="shared" si="1080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1"/>
        <v/>
      </c>
      <c r="Y240" s="75"/>
      <c r="Z240" s="917" t="str">
        <f t="shared" si="1082"/>
        <v/>
      </c>
      <c r="AA240" s="82"/>
      <c r="AB240" s="75"/>
      <c r="AC240" s="75"/>
      <c r="AD240" s="166"/>
      <c r="AE240" s="75">
        <v>1.2270000000000001</v>
      </c>
      <c r="AF240" s="82">
        <v>1</v>
      </c>
      <c r="AG240" s="82">
        <v>2</v>
      </c>
      <c r="AH240" s="82">
        <v>2</v>
      </c>
      <c r="AI240" s="82">
        <v>1.0000000000218279</v>
      </c>
      <c r="AJ240" s="166">
        <v>1.2272100000000001</v>
      </c>
      <c r="AK240" s="82">
        <v>1.2271100000000001</v>
      </c>
      <c r="AL240" s="162">
        <v>0</v>
      </c>
      <c r="AM240" s="162">
        <v>0</v>
      </c>
      <c r="AN240" s="162">
        <v>0</v>
      </c>
      <c r="AO240" s="162">
        <v>-14.699987727520181</v>
      </c>
      <c r="AP240" s="162">
        <v>0</v>
      </c>
      <c r="AQ240" s="162">
        <v>0</v>
      </c>
      <c r="AR240" s="710" t="str">
        <v>32193r1.par</v>
      </c>
      <c r="AV240" s="82" t="str">
        <v>255,188,121</v>
      </c>
      <c r="AW240" s="947">
        <v>70.300000000000011</v>
      </c>
      <c r="AX240" s="947">
        <v>84.999987727520192</v>
      </c>
      <c r="AY240" s="947">
        <v>-14.699987727520181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81" t="str">
        <f>IFERROR(INDEX([1]List!$AG$1:$AG$65480,MATCH(RIGHT((J241*1000),2),[1]List!$AI$1:$AI$65480,0))*-1,"")</f>
        <v/>
      </c>
      <c r="N241" s="941"/>
      <c r="O241" s="942"/>
      <c r="Q241" s="162" t="str">
        <f t="shared" si="1075"/>
        <v/>
      </c>
      <c r="R241" s="162" t="str">
        <f t="shared" si="1076"/>
        <v/>
      </c>
      <c r="S241" s="162" t="str">
        <f t="shared" si="1077"/>
        <v/>
      </c>
      <c r="T241" s="162" t="str">
        <f t="shared" si="1078"/>
        <v/>
      </c>
      <c r="U241" s="162" t="str">
        <f t="shared" si="1079"/>
        <v/>
      </c>
      <c r="V241" s="162" t="str">
        <f t="shared" si="1080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1"/>
        <v/>
      </c>
      <c r="Y241" s="75"/>
      <c r="Z241" s="917" t="str">
        <f t="shared" si="1082"/>
        <v/>
      </c>
      <c r="AA241" s="82"/>
      <c r="AB241" s="75"/>
      <c r="AC241" s="75"/>
      <c r="AD241" s="166"/>
      <c r="AE241" s="75">
        <v>1.222</v>
      </c>
      <c r="AF241" s="82">
        <v>1</v>
      </c>
      <c r="AG241" s="82">
        <v>2</v>
      </c>
      <c r="AH241" s="82">
        <v>2</v>
      </c>
      <c r="AI241" s="82">
        <v>1.000000000003638</v>
      </c>
      <c r="AJ241" s="166">
        <v>1.22221</v>
      </c>
      <c r="AK241" s="82">
        <v>1.22211</v>
      </c>
      <c r="AL241" s="162">
        <v>0</v>
      </c>
      <c r="AM241" s="162">
        <v>0</v>
      </c>
      <c r="AN241" s="162">
        <v>0</v>
      </c>
      <c r="AO241" s="162">
        <v>-29.719988590925212</v>
      </c>
      <c r="AP241" s="162">
        <v>0</v>
      </c>
      <c r="AQ241" s="162">
        <v>0</v>
      </c>
      <c r="AR241" s="710" t="str">
        <v>32193r1.par</v>
      </c>
      <c r="AV241" s="82" t="str">
        <v>255,188,121</v>
      </c>
      <c r="AW241" s="947">
        <v>49.300000000000011</v>
      </c>
      <c r="AX241" s="947">
        <v>79.019988590925223</v>
      </c>
      <c r="AY241" s="947">
        <v>-29.719988590925212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81" t="str">
        <f>IFERROR(INDEX([1]List!$AG$1:$AG$65480,MATCH(RIGHT((J242*1000),2),[1]List!$AI$1:$AI$65480,0))*-1,"")</f>
        <v/>
      </c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1.2170000000000001</v>
      </c>
      <c r="AF242" s="82">
        <v>1</v>
      </c>
      <c r="AG242" s="82">
        <v>2</v>
      </c>
      <c r="AH242" s="82">
        <v>2</v>
      </c>
      <c r="AI242" s="82">
        <v>1.000000000003638</v>
      </c>
      <c r="AJ242" s="166">
        <v>1.2172100000000001</v>
      </c>
      <c r="AK242" s="82">
        <v>1.2171100000000001</v>
      </c>
      <c r="AL242" s="162">
        <v>0</v>
      </c>
      <c r="AM242" s="162">
        <v>0</v>
      </c>
      <c r="AN242" s="162">
        <v>0</v>
      </c>
      <c r="AO242" s="162">
        <v>-20.899992867523508</v>
      </c>
      <c r="AP242" s="162">
        <v>0</v>
      </c>
      <c r="AQ242" s="162">
        <v>0</v>
      </c>
      <c r="AR242" s="710" t="str">
        <v>32193r1.par</v>
      </c>
      <c r="AV242" s="82" t="str">
        <v>255,188,121</v>
      </c>
      <c r="AW242" s="947">
        <v>28.5</v>
      </c>
      <c r="AX242" s="947">
        <v>49.399992867523508</v>
      </c>
      <c r="AY242" s="947">
        <v>-20.899992867523508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81" t="str">
        <f>IFERROR(INDEX([1]List!$AG$1:$AG$65480,MATCH(RIGHT((J243*1000),2),[1]List!$AI$1:$AI$65480,0))*-1,"")</f>
        <v/>
      </c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1.127</v>
      </c>
      <c r="AF243" s="82">
        <v>1</v>
      </c>
      <c r="AG243" s="82">
        <v>1</v>
      </c>
      <c r="AH243" s="82">
        <v>2</v>
      </c>
      <c r="AI243" s="82">
        <v>1.000000000003638</v>
      </c>
      <c r="AJ243" s="166">
        <v>1.12721</v>
      </c>
      <c r="AK243" s="82">
        <v>1.1271100000000001</v>
      </c>
      <c r="AL243" s="162">
        <v>0</v>
      </c>
      <c r="AM243" s="162">
        <v>0</v>
      </c>
      <c r="AN243" s="162">
        <v>0</v>
      </c>
      <c r="AO243" s="162">
        <v>-14.658848408102116</v>
      </c>
      <c r="AP243" s="162">
        <v>0</v>
      </c>
      <c r="AQ243" s="162">
        <v>0</v>
      </c>
      <c r="AR243" s="710" t="str">
        <v>1613.par</v>
      </c>
      <c r="AV243" s="82" t="str">
        <v>255,127,0</v>
      </c>
      <c r="AW243" s="947">
        <v>70.300000000000011</v>
      </c>
      <c r="AX243" s="947">
        <v>84.958848408102128</v>
      </c>
      <c r="AY243" s="947">
        <v>-14.658848408102116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81" t="str">
        <f>IFERROR(INDEX([1]List!$AG$1:$AG$65480,MATCH(RIGHT((J244*1000),2),[1]List!$AI$1:$AI$65480,0))*-1,"")</f>
        <v/>
      </c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1.1220000000000001</v>
      </c>
      <c r="AF244" s="82">
        <v>1</v>
      </c>
      <c r="AG244" s="82">
        <v>1</v>
      </c>
      <c r="AH244" s="82">
        <v>2</v>
      </c>
      <c r="AI244" s="82">
        <v>1.0000000000218279</v>
      </c>
      <c r="AJ244" s="166">
        <v>1.1222100000000002</v>
      </c>
      <c r="AK244" s="82">
        <v>1.1221100000000002</v>
      </c>
      <c r="AL244" s="162">
        <v>0</v>
      </c>
      <c r="AM244" s="162">
        <v>0</v>
      </c>
      <c r="AN244" s="162">
        <v>0</v>
      </c>
      <c r="AO244" s="162">
        <v>-25.564641684638275</v>
      </c>
      <c r="AP244" s="162">
        <v>0</v>
      </c>
      <c r="AQ244" s="162">
        <v>0</v>
      </c>
      <c r="AR244" s="710" t="str">
        <v>1613.par</v>
      </c>
      <c r="AV244" s="82" t="str">
        <v>255,127,0</v>
      </c>
      <c r="AW244" s="947">
        <v>49.300000000000011</v>
      </c>
      <c r="AX244" s="947">
        <v>74.864641684638286</v>
      </c>
      <c r="AY244" s="947">
        <v>-25.564641684638275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81" t="str">
        <f>IFERROR(INDEX([1]List!$AG$1:$AG$65480,MATCH(RIGHT((J245*1000),2),[1]List!$AI$1:$AI$65480,0))*-1,"")</f>
        <v/>
      </c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1.117</v>
      </c>
      <c r="AF245" s="82">
        <v>1</v>
      </c>
      <c r="AG245" s="82">
        <v>1</v>
      </c>
      <c r="AH245" s="82">
        <v>2</v>
      </c>
      <c r="AI245" s="82">
        <v>1.000000000003638</v>
      </c>
      <c r="AJ245" s="166">
        <v>1.11721</v>
      </c>
      <c r="AK245" s="82">
        <v>1.11711</v>
      </c>
      <c r="AL245" s="162">
        <v>0</v>
      </c>
      <c r="AM245" s="162">
        <v>0</v>
      </c>
      <c r="AN245" s="162">
        <v>0</v>
      </c>
      <c r="AO245" s="162">
        <v>-21.028137719076049</v>
      </c>
      <c r="AP245" s="162">
        <v>0</v>
      </c>
      <c r="AQ245" s="162">
        <v>0</v>
      </c>
      <c r="AR245" s="710" t="str">
        <v>1613.par</v>
      </c>
      <c r="AV245" s="82" t="str">
        <v>255,127,0</v>
      </c>
      <c r="AW245" s="947">
        <v>28.5</v>
      </c>
      <c r="AX245" s="947">
        <v>49.528137719076049</v>
      </c>
      <c r="AY245" s="947">
        <v>-21.028137719076049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81" t="str">
        <f>IFERROR(INDEX([1]List!$AG$1:$AG$65480,MATCH(RIGHT((J246*1000),2),[1]List!$AI$1:$AI$65480,0))*-1,"")</f>
        <v/>
      </c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1.1120000000000001</v>
      </c>
      <c r="AF246" s="82">
        <v>1</v>
      </c>
      <c r="AG246" s="82">
        <v>1</v>
      </c>
      <c r="AH246" s="82">
        <v>2</v>
      </c>
      <c r="AI246" s="82">
        <v>1.0000000000218279</v>
      </c>
      <c r="AJ246" s="166">
        <v>1.1122100000000001</v>
      </c>
      <c r="AK246" s="82">
        <v>1.1121100000000002</v>
      </c>
      <c r="AL246" s="162">
        <v>0</v>
      </c>
      <c r="AM246" s="162">
        <v>0</v>
      </c>
      <c r="AN246" s="162">
        <v>0</v>
      </c>
      <c r="AO246" s="162">
        <v>-16.127284991087731</v>
      </c>
      <c r="AP246" s="162">
        <v>0</v>
      </c>
      <c r="AQ246" s="162">
        <v>0</v>
      </c>
      <c r="AR246" s="710" t="str">
        <v>1613.par</v>
      </c>
      <c r="AV246" s="82" t="str">
        <v>255,127,0</v>
      </c>
      <c r="AW246" s="947">
        <v>7.7999999999999972</v>
      </c>
      <c r="AX246" s="947">
        <v>23.927284991087728</v>
      </c>
      <c r="AY246" s="947">
        <v>-16.127284991087731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81" t="str">
        <f>IFERROR(INDEX([1]List!$AG$1:$AG$65480,MATCH(RIGHT((J247*1000),2),[1]List!$AI$1:$AI$65480,0))*-1,"")</f>
        <v/>
      </c>
      <c r="N247" s="941"/>
      <c r="O247" s="942"/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1.107</v>
      </c>
      <c r="AF247" s="82">
        <v>1</v>
      </c>
      <c r="AG247" s="82">
        <v>1</v>
      </c>
      <c r="AH247" s="82">
        <v>2</v>
      </c>
      <c r="AI247" s="82">
        <v>1.000000000003638</v>
      </c>
      <c r="AJ247" s="166">
        <v>1.10721</v>
      </c>
      <c r="AK247" s="82">
        <v>1.10711</v>
      </c>
      <c r="AL247" s="162">
        <v>0</v>
      </c>
      <c r="AM247" s="162">
        <v>0</v>
      </c>
      <c r="AN247" s="162">
        <v>0</v>
      </c>
      <c r="AO247" s="162">
        <v>-17.857755010739869</v>
      </c>
      <c r="AP247" s="162">
        <v>0</v>
      </c>
      <c r="AQ247" s="162">
        <v>0</v>
      </c>
      <c r="AR247" s="710" t="str">
        <v>1613.par</v>
      </c>
      <c r="AV247" s="82" t="str">
        <v>255,127,0</v>
      </c>
      <c r="AW247" s="947">
        <v>-20</v>
      </c>
      <c r="AX247" s="947">
        <v>-2.1422449892601327</v>
      </c>
      <c r="AY247" s="947">
        <v>-17.857755010739869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 t="str">
        <f>IFERROR(INDEX([1]List!$AG$1:$AG$65480,MATCH(RIGHT((J248*1000),2),[1]List!$AI$1:$AI$65480,0))*-1,"")</f>
        <v/>
      </c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1.1040000000000001</v>
      </c>
      <c r="AF248" s="82">
        <v>1</v>
      </c>
      <c r="AG248" s="82">
        <v>1</v>
      </c>
      <c r="AH248" s="82">
        <v>2</v>
      </c>
      <c r="AI248" s="82">
        <v>1.0000000000218279</v>
      </c>
      <c r="AJ248" s="166">
        <v>1.1042100000000001</v>
      </c>
      <c r="AK248" s="82">
        <v>1.1041100000000001</v>
      </c>
      <c r="AL248" s="162">
        <v>0</v>
      </c>
      <c r="AM248" s="162">
        <v>0</v>
      </c>
      <c r="AN248" s="162">
        <v>0</v>
      </c>
      <c r="AO248" s="162">
        <v>-13.753836153266985</v>
      </c>
      <c r="AP248" s="162">
        <v>0</v>
      </c>
      <c r="AQ248" s="162">
        <v>0</v>
      </c>
      <c r="AR248" s="710" t="str">
        <v>1913.par</v>
      </c>
      <c r="AV248" s="82" t="str">
        <v>255,127,0</v>
      </c>
      <c r="AW248" s="947">
        <v>-20</v>
      </c>
      <c r="AX248" s="947">
        <v>-6.2461638467330163</v>
      </c>
      <c r="AY248" s="947">
        <v>-13.753836153266985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 t="str">
        <f>IFERROR(INDEX([1]List!$AG$1:$AG$65480,MATCH(RIGHT((J249*1000),2),[1]List!$AI$1:$AI$65480,0))*-1,"")</f>
        <v/>
      </c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1.101</v>
      </c>
      <c r="AF249" s="82">
        <v>1</v>
      </c>
      <c r="AG249" s="82">
        <v>1</v>
      </c>
      <c r="AH249" s="82">
        <v>2</v>
      </c>
      <c r="AI249" s="82">
        <v>1.000000000003638</v>
      </c>
      <c r="AJ249" s="166">
        <v>1.10121</v>
      </c>
      <c r="AK249" s="82">
        <v>1.10111</v>
      </c>
      <c r="AL249" s="162">
        <v>0</v>
      </c>
      <c r="AM249" s="162">
        <v>0</v>
      </c>
      <c r="AN249" s="162">
        <v>0</v>
      </c>
      <c r="AO249" s="162">
        <v>-3.6603539018453617</v>
      </c>
      <c r="AP249" s="162">
        <v>0</v>
      </c>
      <c r="AQ249" s="162">
        <v>0</v>
      </c>
      <c r="AR249" s="710" t="str">
        <v>1613.par</v>
      </c>
      <c r="AV249" s="82" t="str">
        <v>255,127,0</v>
      </c>
      <c r="AW249" s="947">
        <v>-20</v>
      </c>
      <c r="AX249" s="947">
        <v>-16.339646098154638</v>
      </c>
      <c r="AY249" s="947">
        <v>-3.6603539018453617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81" t="str">
        <f>IFERROR(INDEX([1]List!$AG$1:$AG$65480,MATCH(RIGHT((J250*1000),2),[1]List!$AI$1:$AI$65480,0))*-1,"")</f>
        <v/>
      </c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5.2279999999999998</v>
      </c>
      <c r="AF250" s="82">
        <v>5</v>
      </c>
      <c r="AG250" s="82">
        <v>2</v>
      </c>
      <c r="AH250" s="82">
        <v>1</v>
      </c>
      <c r="AI250" s="82">
        <v>1.9999999999708962</v>
      </c>
      <c r="AJ250" s="166">
        <v>5.2281199999999997</v>
      </c>
      <c r="AK250" s="82" t="str">
        <v>Base</v>
      </c>
      <c r="AL250" s="162">
        <v>-14.25</v>
      </c>
      <c r="AM250" s="162">
        <v>-3.652074731025615</v>
      </c>
      <c r="AN250" s="162">
        <v>-2.3044644825784508</v>
      </c>
      <c r="AO250" s="162">
        <v>84.999987727520178</v>
      </c>
      <c r="AP250" s="162">
        <v>0</v>
      </c>
      <c r="AQ250" s="162">
        <v>0</v>
      </c>
      <c r="AR250" s="710" t="str">
        <v>32193r1.par</v>
      </c>
      <c r="AV250" s="82" t="str">
        <v>121,188,255</v>
      </c>
      <c r="AW250" s="947">
        <v>74.5</v>
      </c>
      <c r="AX250" s="947">
        <v>84.999987727520178</v>
      </c>
      <c r="AY250" s="947">
        <v>0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81" t="str">
        <f>IFERROR(INDEX([1]List!$AG$1:$AG$65480,MATCH(RIGHT((J251*1000),2),[1]List!$AI$1:$AI$65480,0))*-1,"")</f>
        <v/>
      </c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5.2229999999999999</v>
      </c>
      <c r="AF251" s="82">
        <v>5</v>
      </c>
      <c r="AG251" s="82">
        <v>2</v>
      </c>
      <c r="AH251" s="82">
        <v>1</v>
      </c>
      <c r="AI251" s="82">
        <v>1.9999999999708962</v>
      </c>
      <c r="AJ251" s="166">
        <v>5.2231199999999998</v>
      </c>
      <c r="AK251" s="82" t="str">
        <v>Base</v>
      </c>
      <c r="AL251" s="162">
        <v>-14.25</v>
      </c>
      <c r="AM251" s="162">
        <v>-3.6499284714212994</v>
      </c>
      <c r="AN251" s="162">
        <v>-1.557802105377931</v>
      </c>
      <c r="AO251" s="162">
        <v>84.98998772896401</v>
      </c>
      <c r="AP251" s="162">
        <v>0</v>
      </c>
      <c r="AQ251" s="162">
        <v>0</v>
      </c>
      <c r="AR251" s="710" t="str">
        <v>32193r1.par</v>
      </c>
      <c r="AV251" s="82" t="str">
        <v>121,188,255</v>
      </c>
      <c r="AW251" s="947">
        <v>53.5</v>
      </c>
      <c r="AX251" s="947">
        <v>84.98998772896401</v>
      </c>
      <c r="AY251" s="947">
        <v>0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81" t="str">
        <f>IFERROR(INDEX([1]List!$AG$1:$AG$65480,MATCH(RIGHT((J252*1000),2),[1]List!$AI$1:$AI$65480,0))*-1,"")</f>
        <v/>
      </c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5.218</v>
      </c>
      <c r="AF252" s="82">
        <v>5</v>
      </c>
      <c r="AG252" s="82">
        <v>2</v>
      </c>
      <c r="AH252" s="82">
        <v>1</v>
      </c>
      <c r="AI252" s="82">
        <v>1.9999999999708962</v>
      </c>
      <c r="AJ252" s="166">
        <v>5.2181199999999999</v>
      </c>
      <c r="AK252" s="82" t="str">
        <v>Base</v>
      </c>
      <c r="AL252" s="162">
        <v>-14.25</v>
      </c>
      <c r="AM252" s="162">
        <v>-3.4204665572271904</v>
      </c>
      <c r="AN252" s="162">
        <v>-0.82913851315246756</v>
      </c>
      <c r="AO252" s="162">
        <v>55.279992018556641</v>
      </c>
      <c r="AP252" s="162">
        <v>0</v>
      </c>
      <c r="AQ252" s="162">
        <v>0</v>
      </c>
      <c r="AR252" s="710" t="str">
        <v>32193r1.par</v>
      </c>
      <c r="AV252" s="82" t="str">
        <v>121,188,255</v>
      </c>
      <c r="AW252" s="947">
        <v>32.700000000000003</v>
      </c>
      <c r="AX252" s="947">
        <v>55.279992018556641</v>
      </c>
      <c r="AY252" s="947">
        <v>0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81" t="str">
        <f>IFERROR(INDEX([1]List!$AG$1:$AG$65480,MATCH(RIGHT((J253*1000),2),[1]List!$AI$1:$AI$65480,0))*-1,"")</f>
        <v/>
      </c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5.1280000000000001</v>
      </c>
      <c r="AF253" s="82">
        <v>5</v>
      </c>
      <c r="AG253" s="82">
        <v>1</v>
      </c>
      <c r="AH253" s="82">
        <v>1</v>
      </c>
      <c r="AI253" s="82">
        <v>1.9999999999708962</v>
      </c>
      <c r="AJ253" s="166">
        <v>5.12812</v>
      </c>
      <c r="AK253" s="82" t="str">
        <v>Base</v>
      </c>
      <c r="AL253" s="162">
        <v>-13.5</v>
      </c>
      <c r="AM253" s="162">
        <v>-3.6763899735491363</v>
      </c>
      <c r="AN253" s="162">
        <v>-2.280576926327111</v>
      </c>
      <c r="AO253" s="162">
        <v>84.958848408102128</v>
      </c>
      <c r="AP253" s="162">
        <v>-29.731093753399225</v>
      </c>
      <c r="AQ253" s="162">
        <v>0</v>
      </c>
      <c r="AR253" s="710" t="str">
        <v>1613.par</v>
      </c>
      <c r="AV253" s="82" t="str">
        <v>0,102,204</v>
      </c>
      <c r="AW253" s="947">
        <v>74.5</v>
      </c>
      <c r="AX253" s="947">
        <v>84.958848408102128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81" t="str">
        <f>IFERROR(INDEX([1]List!$AG$1:$AG$65480,MATCH(RIGHT((J254*1000),2),[1]List!$AI$1:$AI$65480,0))*-1,"")</f>
        <v/>
      </c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5.1230000000000002</v>
      </c>
      <c r="AF254" s="82">
        <v>5</v>
      </c>
      <c r="AG254" s="82">
        <v>1</v>
      </c>
      <c r="AH254" s="82">
        <v>1</v>
      </c>
      <c r="AI254" s="82">
        <v>2.0000000000436557</v>
      </c>
      <c r="AJ254" s="166">
        <v>5.1231200000000001</v>
      </c>
      <c r="AK254" s="82" t="str">
        <v>Base</v>
      </c>
      <c r="AL254" s="162">
        <v>-13.5</v>
      </c>
      <c r="AM254" s="162">
        <v>-3.6714850525293294</v>
      </c>
      <c r="AN254" s="162">
        <v>-1.5339180150047074</v>
      </c>
      <c r="AO254" s="162">
        <v>79.913905019697893</v>
      </c>
      <c r="AP254" s="162">
        <v>-28.793860688744381</v>
      </c>
      <c r="AQ254" s="162">
        <v>0</v>
      </c>
      <c r="AR254" s="710" t="str">
        <v>1613.par</v>
      </c>
      <c r="AV254" s="82" t="str">
        <v>0,102,204</v>
      </c>
      <c r="AW254" s="947">
        <v>53.5</v>
      </c>
      <c r="AX254" s="947">
        <v>79.913905019697893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81" t="str">
        <f>IFERROR(INDEX([1]List!$AG$1:$AG$65480,MATCH(RIGHT((J255*1000),2),[1]List!$AI$1:$AI$65480,0))*-1,"")</f>
        <v/>
      </c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5.1180000000000003</v>
      </c>
      <c r="AF255" s="82">
        <v>5</v>
      </c>
      <c r="AG255" s="82">
        <v>1</v>
      </c>
      <c r="AH255" s="82">
        <v>1</v>
      </c>
      <c r="AI255" s="82">
        <v>2.0000000000436557</v>
      </c>
      <c r="AJ255" s="166">
        <v>5.1181200000000002</v>
      </c>
      <c r="AK255" s="82" t="str">
        <v>Base</v>
      </c>
      <c r="AL255" s="162">
        <v>-13.5</v>
      </c>
      <c r="AM255" s="162">
        <v>-3.4289973594508538</v>
      </c>
      <c r="AN255" s="162">
        <v>-0.80342107120250339</v>
      </c>
      <c r="AO255" s="162">
        <v>54.610535577280324</v>
      </c>
      <c r="AP255" s="162">
        <v>-24.126241920524311</v>
      </c>
      <c r="AQ255" s="162">
        <v>0</v>
      </c>
      <c r="AR255" s="710" t="str">
        <v>1613.par</v>
      </c>
      <c r="AV255" s="82" t="str">
        <v>0,102,204</v>
      </c>
      <c r="AW255" s="947">
        <v>32.700000000000003</v>
      </c>
      <c r="AX255" s="947">
        <v>54.610535577280324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81" t="str">
        <f>IFERROR(INDEX([1]List!$AG$1:$AG$65480,MATCH(RIGHT((J256*1000),2),[1]List!$AI$1:$AI$65480,0))*-1,"")</f>
        <v/>
      </c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5.1130000000000004</v>
      </c>
      <c r="AF256" s="82">
        <v>5</v>
      </c>
      <c r="AG256" s="82">
        <v>1</v>
      </c>
      <c r="AH256" s="82">
        <v>1</v>
      </c>
      <c r="AI256" s="82">
        <v>2.0000000000436557</v>
      </c>
      <c r="AJ256" s="166">
        <v>5.1131200000000003</v>
      </c>
      <c r="AK256" s="82" t="str">
        <v>Base</v>
      </c>
      <c r="AL256" s="162">
        <v>-13.5</v>
      </c>
      <c r="AM256" s="162">
        <v>-2.8663016148626594</v>
      </c>
      <c r="AN256" s="162">
        <v>-0.27859588319889583</v>
      </c>
      <c r="AO256" s="162">
        <v>29.080011129749568</v>
      </c>
      <c r="AP256" s="162">
        <v>-19.501903116233269</v>
      </c>
      <c r="AQ256" s="162">
        <v>0</v>
      </c>
      <c r="AR256" s="710" t="str">
        <v>1613.par</v>
      </c>
      <c r="AV256" s="82" t="str">
        <v>0,102,204</v>
      </c>
      <c r="AW256" s="947">
        <v>11.900000000000006</v>
      </c>
      <c r="AX256" s="947">
        <v>29.080011129749568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81" t="str">
        <f>IFERROR(INDEX([1]List!$AG$1:$AG$65480,MATCH(RIGHT((J257*1000),2),[1]List!$AI$1:$AI$65480,0))*-1,"")</f>
        <v/>
      </c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5.1079999999999997</v>
      </c>
      <c r="AF257" s="82">
        <v>5</v>
      </c>
      <c r="AG257" s="82">
        <v>1</v>
      </c>
      <c r="AH257" s="82">
        <v>1</v>
      </c>
      <c r="AI257" s="82">
        <v>1.9999999999708962</v>
      </c>
      <c r="AJ257" s="166">
        <v>5.1081199999999995</v>
      </c>
      <c r="AK257" s="82" t="str">
        <v>Base</v>
      </c>
      <c r="AL257" s="162">
        <v>-13.5</v>
      </c>
      <c r="AM257" s="162">
        <v>-2.0989440852534105</v>
      </c>
      <c r="AN257" s="162">
        <v>-0.10939339026206707</v>
      </c>
      <c r="AO257" s="162">
        <v>3.0340792939718386</v>
      </c>
      <c r="AP257" s="162">
        <v>-14.963049383604226</v>
      </c>
      <c r="AQ257" s="162">
        <v>0</v>
      </c>
      <c r="AR257" s="710" t="str">
        <v>1613.par</v>
      </c>
      <c r="AV257" s="82" t="str">
        <v>0,102,204</v>
      </c>
      <c r="AW257" s="947">
        <v>-12.900000000000006</v>
      </c>
      <c r="AX257" s="947">
        <v>3.0340792939718386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81" t="str">
        <f>IFERROR(INDEX([1]List!$AG$1:$AG$65480,MATCH(RIGHT((J258*1000),2),[1]List!$AI$1:$AI$65480,0))*-1,"")</f>
        <v/>
      </c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4.2240000000000002</v>
      </c>
      <c r="AF258" s="82">
        <v>4</v>
      </c>
      <c r="AG258" s="82">
        <v>2</v>
      </c>
      <c r="AH258" s="82">
        <v>1</v>
      </c>
      <c r="AI258" s="82">
        <v>2.0000000000436557</v>
      </c>
      <c r="AJ258" s="166">
        <v>4.2241200000000001</v>
      </c>
      <c r="AK258" s="82" t="str">
        <v>Base</v>
      </c>
      <c r="AL258" s="162">
        <v>-12.75</v>
      </c>
      <c r="AM258" s="162">
        <v>-3.6520747310256145</v>
      </c>
      <c r="AN258" s="162">
        <v>-1.7638706176372461</v>
      </c>
      <c r="AO258" s="162">
        <v>84.999987727520178</v>
      </c>
      <c r="AP258" s="162">
        <v>0</v>
      </c>
      <c r="AQ258" s="162">
        <v>0</v>
      </c>
      <c r="AR258" s="710" t="str">
        <v>32193r1.par</v>
      </c>
      <c r="AV258" s="82" t="str">
        <v>91,255,255</v>
      </c>
      <c r="AW258" s="947">
        <v>57.699999999999989</v>
      </c>
      <c r="AX258" s="947">
        <v>84.999987727520178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81" t="str">
        <f>IFERROR(INDEX([1]List!$AG$1:$AG$65480,MATCH(RIGHT((J259*1000),2),[1]List!$AI$1:$AI$65480,0))*-1,"")</f>
        <v/>
      </c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4.2190000000000003</v>
      </c>
      <c r="AF259" s="82">
        <v>4</v>
      </c>
      <c r="AG259" s="82">
        <v>2</v>
      </c>
      <c r="AH259" s="82">
        <v>1</v>
      </c>
      <c r="AI259" s="82">
        <v>2.0000000000436557</v>
      </c>
      <c r="AJ259" s="166">
        <v>4.2191200000000002</v>
      </c>
      <c r="AK259" s="82" t="str">
        <v>Base</v>
      </c>
      <c r="AL259" s="162">
        <v>-12.75</v>
      </c>
      <c r="AM259" s="162">
        <v>-3.494876855510944</v>
      </c>
      <c r="AN259" s="162">
        <v>-1.0165853456356466</v>
      </c>
      <c r="AO259" s="162">
        <v>61.189991165258363</v>
      </c>
      <c r="AP259" s="162">
        <v>0</v>
      </c>
      <c r="AQ259" s="162">
        <v>0</v>
      </c>
      <c r="AR259" s="710" t="str">
        <v>32193r1.par</v>
      </c>
      <c r="AV259" s="82" t="str">
        <v>91,255,255</v>
      </c>
      <c r="AW259" s="947">
        <v>36.799999999999997</v>
      </c>
      <c r="AX259" s="947">
        <v>61.189991165258363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81" t="str">
        <f>IFERROR(INDEX([1]List!$AG$1:$AG$65480,MATCH(RIGHT((J260*1000),2),[1]List!$AI$1:$AI$65480,0))*-1,"")</f>
        <v/>
      </c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4.2140000000000004</v>
      </c>
      <c r="AF260" s="82">
        <v>4</v>
      </c>
      <c r="AG260" s="82">
        <v>2</v>
      </c>
      <c r="AH260" s="82">
        <v>1</v>
      </c>
      <c r="AI260" s="82">
        <v>2.0000000000436557</v>
      </c>
      <c r="AJ260" s="166">
        <v>4.2141200000000003</v>
      </c>
      <c r="AK260" s="82" t="str">
        <v>Base</v>
      </c>
      <c r="AL260" s="162">
        <v>-12.75</v>
      </c>
      <c r="AM260" s="162">
        <v>-2.9979173928398555</v>
      </c>
      <c r="AN260" s="162">
        <v>-0.43429651174958805</v>
      </c>
      <c r="AO260" s="162">
        <v>31.899995394210528</v>
      </c>
      <c r="AP260" s="162">
        <v>0</v>
      </c>
      <c r="AQ260" s="162">
        <v>0</v>
      </c>
      <c r="AR260" s="710" t="str">
        <v>32193r1.par</v>
      </c>
      <c r="AV260" s="82" t="str">
        <v>91,255,255</v>
      </c>
      <c r="AW260" s="947">
        <v>16.099999999999994</v>
      </c>
      <c r="AX260" s="947">
        <v>31.899995394210528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81" t="str">
        <f>IFERROR(INDEX([1]List!$AG$1:$AG$65480,MATCH(RIGHT((J261*1000),2),[1]List!$AI$1:$AI$65480,0))*-1,"")</f>
        <v/>
      </c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4.1239999999999997</v>
      </c>
      <c r="AF261" s="82">
        <v>4</v>
      </c>
      <c r="AG261" s="82">
        <v>1</v>
      </c>
      <c r="AH261" s="82">
        <v>1</v>
      </c>
      <c r="AI261" s="82">
        <v>1.9999999999708962</v>
      </c>
      <c r="AJ261" s="166">
        <v>4.1241199999999996</v>
      </c>
      <c r="AK261" s="82" t="str">
        <v>Base</v>
      </c>
      <c r="AL261" s="162">
        <v>-12</v>
      </c>
      <c r="AM261" s="162">
        <v>-3.6763899735491368</v>
      </c>
      <c r="AN261" s="162">
        <v>-1.7413489011005256</v>
      </c>
      <c r="AO261" s="162">
        <v>84.958848408102085</v>
      </c>
      <c r="AP261" s="162">
        <v>-29.73109375339925</v>
      </c>
      <c r="AQ261" s="162">
        <v>0</v>
      </c>
      <c r="AR261" s="710" t="str">
        <v>1613.par</v>
      </c>
      <c r="AV261" s="82" t="str">
        <v>0,204,204</v>
      </c>
      <c r="AW261" s="947">
        <v>57.699999999999989</v>
      </c>
      <c r="AX261" s="947">
        <v>84.958848408102085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81" t="str">
        <f>IFERROR(INDEX([1]List!$AG$1:$AG$65480,MATCH(RIGHT((J262*1000),2),[1]List!$AI$1:$AI$65480,0))*-1,"")</f>
        <v/>
      </c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4.1189999999999998</v>
      </c>
      <c r="AF262" s="82">
        <v>4</v>
      </c>
      <c r="AG262" s="82">
        <v>1</v>
      </c>
      <c r="AH262" s="82">
        <v>1</v>
      </c>
      <c r="AI262" s="82">
        <v>1.9999999999708962</v>
      </c>
      <c r="AJ262" s="166">
        <v>4.1191199999999997</v>
      </c>
      <c r="AK262" s="82" t="str">
        <v>Base</v>
      </c>
      <c r="AL262" s="162">
        <v>-12</v>
      </c>
      <c r="AM262" s="162">
        <v>-3.5057517463881398</v>
      </c>
      <c r="AN262" s="162">
        <v>-0.99065648704484</v>
      </c>
      <c r="AO262" s="162">
        <v>59.684305452381174</v>
      </c>
      <c r="AP262" s="162">
        <v>-25.057004984027962</v>
      </c>
      <c r="AQ262" s="162">
        <v>0</v>
      </c>
      <c r="AR262" s="710" t="str">
        <v>1613.par</v>
      </c>
      <c r="AV262" s="82" t="str">
        <v>0,204,204</v>
      </c>
      <c r="AW262" s="947">
        <v>36.799999999999997</v>
      </c>
      <c r="AX262" s="947">
        <v>59.684305452381174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81" t="str">
        <f>IFERROR(INDEX([1]List!$AG$1:$AG$65480,MATCH(RIGHT((J263*1000),2),[1]List!$AI$1:$AI$65480,0))*-1,"")</f>
        <v/>
      </c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4.1139999999999999</v>
      </c>
      <c r="AF263" s="82">
        <v>4</v>
      </c>
      <c r="AG263" s="82">
        <v>1</v>
      </c>
      <c r="AH263" s="82">
        <v>1</v>
      </c>
      <c r="AI263" s="82">
        <v>1.9999999999708962</v>
      </c>
      <c r="AJ263" s="166">
        <v>4.1141199999999998</v>
      </c>
      <c r="AK263" s="82" t="str">
        <v>Base</v>
      </c>
      <c r="AL263" s="162">
        <v>-12</v>
      </c>
      <c r="AM263" s="162">
        <v>-2.9994266191990069</v>
      </c>
      <c r="AN263" s="162">
        <v>-0.41112713974635412</v>
      </c>
      <c r="AO263" s="162">
        <v>34.21383592778119</v>
      </c>
      <c r="AP263" s="162">
        <v>-20.421917838998581</v>
      </c>
      <c r="AQ263" s="162">
        <v>0</v>
      </c>
      <c r="AR263" s="710" t="str">
        <v>1613.par</v>
      </c>
      <c r="AV263" s="82" t="str">
        <v>0,204,204</v>
      </c>
      <c r="AW263" s="947">
        <v>16.099999999999994</v>
      </c>
      <c r="AX263" s="947">
        <v>34.21383592778119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81" t="str">
        <f>IFERROR(INDEX([1]List!$AG$1:$AG$65480,MATCH(RIGHT((J264*1000),2),[1]List!$AI$1:$AI$65480,0))*-1,"")</f>
        <v/>
      </c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4.109</v>
      </c>
      <c r="AF264" s="82">
        <v>4</v>
      </c>
      <c r="AG264" s="82">
        <v>1</v>
      </c>
      <c r="AH264" s="82">
        <v>1</v>
      </c>
      <c r="AI264" s="82">
        <v>1.9999999999708962</v>
      </c>
      <c r="AJ264" s="166">
        <v>4.1091199999999999</v>
      </c>
      <c r="AK264" s="82" t="str">
        <v>Base</v>
      </c>
      <c r="AL264" s="162">
        <v>-12</v>
      </c>
      <c r="AM264" s="162">
        <v>-2.2716346233806917</v>
      </c>
      <c r="AN264" s="162">
        <v>-0.16174748056417357</v>
      </c>
      <c r="AO264" s="162">
        <v>8.3186955474278008</v>
      </c>
      <c r="AP264" s="162">
        <v>-15.860276532774082</v>
      </c>
      <c r="AQ264" s="162">
        <v>0</v>
      </c>
      <c r="AR264" s="710" t="str">
        <v>1613.par</v>
      </c>
      <c r="AV264" s="82" t="str">
        <v>0,204,204</v>
      </c>
      <c r="AW264" s="947">
        <v>-4.5999999999999943</v>
      </c>
      <c r="AX264" s="947">
        <v>8.3186955474278008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81" t="str">
        <f>IFERROR(INDEX([1]List!$AG$1:$AG$65480,MATCH(RIGHT((J265*1000),2),[1]List!$AI$1:$AI$65480,0))*-1,"")</f>
        <v/>
      </c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4.1050000000000004</v>
      </c>
      <c r="AF265" s="82">
        <v>4</v>
      </c>
      <c r="AG265" s="82">
        <v>1</v>
      </c>
      <c r="AH265" s="82">
        <v>1</v>
      </c>
      <c r="AI265" s="82">
        <v>2.0000000000436557</v>
      </c>
      <c r="AJ265" s="166">
        <v>4.1051200000000003</v>
      </c>
      <c r="AK265" s="82" t="str">
        <v>Base</v>
      </c>
      <c r="AL265" s="162">
        <v>-12</v>
      </c>
      <c r="AM265" s="162">
        <v>-1.4605128276860875</v>
      </c>
      <c r="AN265" s="162">
        <v>-0.38973401226254367</v>
      </c>
      <c r="AO265" s="162">
        <v>-4.8193491845055059</v>
      </c>
      <c r="AP265" s="162">
        <v>-15.045087330454345</v>
      </c>
      <c r="AQ265" s="162">
        <v>0</v>
      </c>
      <c r="AR265" s="710" t="str">
        <v>1913.par</v>
      </c>
      <c r="AV265" s="82" t="str">
        <v>0,204,204</v>
      </c>
      <c r="AW265" s="947">
        <v>-20</v>
      </c>
      <c r="AX265" s="947">
        <v>-4.8193491845055059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81" t="str">
        <f>IFERROR(INDEX([1]List!$AG$1:$AG$65480,MATCH(RIGHT((J266*1000),2),[1]List!$AI$1:$AI$65480,0))*-1,"")</f>
        <v/>
      </c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4.1020000000000003</v>
      </c>
      <c r="AF266" s="82">
        <v>4</v>
      </c>
      <c r="AG266" s="82">
        <v>1</v>
      </c>
      <c r="AH266" s="82">
        <v>1</v>
      </c>
      <c r="AI266" s="82">
        <v>2.0000000000436557</v>
      </c>
      <c r="AJ266" s="166">
        <v>4.1021200000000002</v>
      </c>
      <c r="AK266" s="82" t="str">
        <v>Base</v>
      </c>
      <c r="AL266" s="162">
        <v>-12</v>
      </c>
      <c r="AM266" s="162">
        <v>-0.60957584921410435</v>
      </c>
      <c r="AN266" s="162">
        <v>-0.70032919073435496</v>
      </c>
      <c r="AO266" s="162">
        <v>-11.06979942227813</v>
      </c>
      <c r="AP266" s="162">
        <v>-19.264111801865333</v>
      </c>
      <c r="AQ266" s="162">
        <v>0</v>
      </c>
      <c r="AR266" s="710" t="str">
        <v>1913.par</v>
      </c>
      <c r="AV266" s="82" t="str">
        <v>0,204,204</v>
      </c>
      <c r="AW266" s="947">
        <v>-20</v>
      </c>
      <c r="AX266" s="947">
        <v>-11.06979942227813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81" t="str">
        <f>IFERROR(INDEX([1]List!$AG$1:$AG$65480,MATCH(RIGHT((J267*1000),2),[1]List!$AI$1:$AI$65480,0))*-1,"")</f>
        <v/>
      </c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3.2250000000000001</v>
      </c>
      <c r="AF267" s="82">
        <v>3</v>
      </c>
      <c r="AG267" s="82">
        <v>2</v>
      </c>
      <c r="AH267" s="82">
        <v>1</v>
      </c>
      <c r="AI267" s="82">
        <v>2.000000000007276</v>
      </c>
      <c r="AJ267" s="166">
        <v>3.22512</v>
      </c>
      <c r="AK267" s="82" t="str">
        <v>Base</v>
      </c>
      <c r="AL267" s="162">
        <v>-11.25</v>
      </c>
      <c r="AM267" s="162">
        <v>-3.6520747310256145</v>
      </c>
      <c r="AN267" s="162">
        <v>-1.9759411750098506</v>
      </c>
      <c r="AO267" s="162">
        <v>84.999987727520178</v>
      </c>
      <c r="AP267" s="162">
        <v>0</v>
      </c>
      <c r="AQ267" s="162">
        <v>0</v>
      </c>
      <c r="AR267" s="710" t="str">
        <v>32193r1.par</v>
      </c>
      <c r="AV267" s="82" t="str">
        <v>97,255,97</v>
      </c>
      <c r="AW267" s="947">
        <v>61.900000000000006</v>
      </c>
      <c r="AX267" s="947">
        <v>84.999987727520178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81" t="str">
        <f>IFERROR(INDEX([1]List!$AG$1:$AG$65480,MATCH(RIGHT((J268*1000),2),[1]List!$AI$1:$AI$65480,0))*-1,"")</f>
        <v/>
      </c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3.22</v>
      </c>
      <c r="AF268" s="82">
        <v>3</v>
      </c>
      <c r="AG268" s="82">
        <v>2</v>
      </c>
      <c r="AH268" s="82">
        <v>1</v>
      </c>
      <c r="AI268" s="82">
        <v>2.000000000007276</v>
      </c>
      <c r="AJ268" s="166">
        <v>3.2201200000000001</v>
      </c>
      <c r="AK268" s="82" t="str">
        <v>Base</v>
      </c>
      <c r="AL268" s="162">
        <v>-11.25</v>
      </c>
      <c r="AM268" s="162">
        <v>-3.5553462929591331</v>
      </c>
      <c r="AN268" s="162">
        <v>-1.2141764506320771</v>
      </c>
      <c r="AO268" s="162">
        <v>67.109990310516238</v>
      </c>
      <c r="AP268" s="162">
        <v>0</v>
      </c>
      <c r="AQ268" s="162">
        <v>0</v>
      </c>
      <c r="AR268" s="710" t="str">
        <v>32193r1.par</v>
      </c>
      <c r="AV268" s="82" t="str">
        <v>97,255,97</v>
      </c>
      <c r="AW268" s="947">
        <v>41</v>
      </c>
      <c r="AX268" s="947">
        <v>67.109990310516238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81" t="str">
        <f>IFERROR(INDEX([1]List!$AG$1:$AG$65480,MATCH(RIGHT((J269*1000),2),[1]List!$AI$1:$AI$65480,0))*-1,"")</f>
        <v/>
      </c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3.2149999999999999</v>
      </c>
      <c r="AF269" s="82">
        <v>3</v>
      </c>
      <c r="AG269" s="82">
        <v>2</v>
      </c>
      <c r="AH269" s="82">
        <v>1</v>
      </c>
      <c r="AI269" s="82">
        <v>1.9999999999708962</v>
      </c>
      <c r="AJ269" s="166">
        <v>3.2151199999999998</v>
      </c>
      <c r="AK269" s="82" t="str">
        <v>Base</v>
      </c>
      <c r="AL269" s="162">
        <v>-11.25</v>
      </c>
      <c r="AM269" s="162">
        <v>-3.120575982702475</v>
      </c>
      <c r="AN269" s="162">
        <v>-0.58461128074597057</v>
      </c>
      <c r="AO269" s="162">
        <v>37.709994555350413</v>
      </c>
      <c r="AP269" s="162">
        <v>0</v>
      </c>
      <c r="AQ269" s="162">
        <v>0</v>
      </c>
      <c r="AR269" s="710" t="str">
        <v>32193r1.par</v>
      </c>
      <c r="AV269" s="82" t="str">
        <v>97,255,97</v>
      </c>
      <c r="AW269" s="947">
        <v>20.200000000000003</v>
      </c>
      <c r="AX269" s="947">
        <v>37.709994555350413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81" t="str">
        <f>IFERROR(INDEX([1]List!$AG$1:$AG$65480,MATCH(RIGHT((J270*1000),2),[1]List!$AI$1:$AI$65480,0))*-1,"")</f>
        <v/>
      </c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3.125</v>
      </c>
      <c r="AF270" s="82">
        <v>3</v>
      </c>
      <c r="AG270" s="82">
        <v>1</v>
      </c>
      <c r="AH270" s="82">
        <v>1</v>
      </c>
      <c r="AI270" s="82">
        <v>2.000000000007276</v>
      </c>
      <c r="AJ270" s="166">
        <v>3.1251199999999999</v>
      </c>
      <c r="AK270" s="82" t="str">
        <v>Base</v>
      </c>
      <c r="AL270" s="162">
        <v>-10.5</v>
      </c>
      <c r="AM270" s="162">
        <v>-3.6763899735491354</v>
      </c>
      <c r="AN270" s="162">
        <v>-1.953079225303834</v>
      </c>
      <c r="AO270" s="162">
        <v>84.958848408102114</v>
      </c>
      <c r="AP270" s="162">
        <v>-29.7310937533993</v>
      </c>
      <c r="AQ270" s="162">
        <v>0</v>
      </c>
      <c r="AR270" s="710" t="str">
        <v>1613.par</v>
      </c>
      <c r="AV270" s="82" t="str">
        <v>0,204,0</v>
      </c>
      <c r="AW270" s="947">
        <v>61.900000000000006</v>
      </c>
      <c r="AX270" s="947">
        <v>84.958848408102114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81" t="str">
        <f>IFERROR(INDEX([1]List!$AG$1:$AG$65480,MATCH(RIGHT((J271*1000),2),[1]List!$AI$1:$AI$65480,0))*-1,"")</f>
        <v/>
      </c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3.12</v>
      </c>
      <c r="AF271" s="82">
        <v>3</v>
      </c>
      <c r="AG271" s="82">
        <v>1</v>
      </c>
      <c r="AH271" s="82">
        <v>1</v>
      </c>
      <c r="AI271" s="82">
        <v>2.000000000007276</v>
      </c>
      <c r="AJ271" s="166">
        <v>3.12012</v>
      </c>
      <c r="AK271" s="82" t="str">
        <v>Base</v>
      </c>
      <c r="AL271" s="162">
        <v>-10.5</v>
      </c>
      <c r="AM271" s="162">
        <v>-3.5687388749237061</v>
      </c>
      <c r="AN271" s="162">
        <v>-1.1882930084926477</v>
      </c>
      <c r="AO271" s="162">
        <v>64.750610463921831</v>
      </c>
      <c r="AP271" s="162">
        <v>-25.989257556112339</v>
      </c>
      <c r="AQ271" s="162">
        <v>0</v>
      </c>
      <c r="AR271" s="710" t="str">
        <v>1613.par</v>
      </c>
      <c r="AV271" s="82" t="str">
        <v>0,204,0</v>
      </c>
      <c r="AW271" s="947">
        <v>41</v>
      </c>
      <c r="AX271" s="947">
        <v>64.750610463921831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81" t="str">
        <f>IFERROR(INDEX([1]List!$AG$1:$AG$65480,MATCH(RIGHT((J272*1000),2),[1]List!$AI$1:$AI$65480,0))*-1,"")</f>
        <v/>
      </c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3.1150000000000002</v>
      </c>
      <c r="AF272" s="82">
        <v>3</v>
      </c>
      <c r="AG272" s="82">
        <v>1</v>
      </c>
      <c r="AH272" s="82">
        <v>1</v>
      </c>
      <c r="AI272" s="82">
        <v>2.000000000007276</v>
      </c>
      <c r="AJ272" s="166">
        <v>3.1151200000000001</v>
      </c>
      <c r="AK272" s="82" t="str">
        <v>Base</v>
      </c>
      <c r="AL272" s="162">
        <v>-10.5</v>
      </c>
      <c r="AM272" s="162">
        <v>-3.1234401255759972</v>
      </c>
      <c r="AN272" s="162">
        <v>-0.56064713020529111</v>
      </c>
      <c r="AO272" s="162">
        <v>39.331621798201397</v>
      </c>
      <c r="AP272" s="162">
        <v>-21.344699921723134</v>
      </c>
      <c r="AQ272" s="162">
        <v>0</v>
      </c>
      <c r="AR272" s="710" t="str">
        <v>1613.par</v>
      </c>
      <c r="AV272" s="82" t="str">
        <v>0,204,0</v>
      </c>
      <c r="AW272" s="947">
        <v>20.200000000000003</v>
      </c>
      <c r="AX272" s="947">
        <v>39.331621798201397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81" t="str">
        <f>IFERROR(INDEX([1]List!$AG$1:$AG$65480,MATCH(RIGHT((J273*1000),2),[1]List!$AI$1:$AI$65480,0))*-1,"")</f>
        <v/>
      </c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3.11</v>
      </c>
      <c r="AF273" s="82">
        <v>3</v>
      </c>
      <c r="AG273" s="82">
        <v>1</v>
      </c>
      <c r="AH273" s="82">
        <v>1</v>
      </c>
      <c r="AI273" s="82">
        <v>1.9999999999708962</v>
      </c>
      <c r="AJ273" s="166">
        <v>3.1101199999999998</v>
      </c>
      <c r="AK273" s="82" t="str">
        <v>Base</v>
      </c>
      <c r="AL273" s="162">
        <v>-10.5</v>
      </c>
      <c r="AM273" s="162">
        <v>-2.426280184175504</v>
      </c>
      <c r="AN273" s="162">
        <v>-0.23518740257516488</v>
      </c>
      <c r="AO273" s="162">
        <v>13.5509700977363</v>
      </c>
      <c r="AP273" s="162">
        <v>-16.763541572912672</v>
      </c>
      <c r="AQ273" s="162">
        <v>0</v>
      </c>
      <c r="AR273" s="710" t="str">
        <v>1613.par</v>
      </c>
      <c r="AV273" s="82" t="str">
        <v>0,204,0</v>
      </c>
      <c r="AW273" s="947">
        <v>-0.5</v>
      </c>
      <c r="AX273" s="947">
        <v>13.5509700977363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81" t="str">
        <f>IFERROR(INDEX([1]List!$AG$1:$AG$65480,MATCH(RIGHT((J274*1000),2),[1]List!$AI$1:$AI$65480,0))*-1,"")</f>
        <v/>
      </c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3.1059999999999999</v>
      </c>
      <c r="AF274" s="82">
        <v>3</v>
      </c>
      <c r="AG274" s="82">
        <v>1</v>
      </c>
      <c r="AH274" s="82">
        <v>1</v>
      </c>
      <c r="AI274" s="82">
        <v>1.9999999999708962</v>
      </c>
      <c r="AJ274" s="166">
        <v>3.1061199999999998</v>
      </c>
      <c r="AK274" s="82" t="str">
        <v>Base</v>
      </c>
      <c r="AL274" s="162">
        <v>-10.5</v>
      </c>
      <c r="AM274" s="162">
        <v>-1.6807064386047792</v>
      </c>
      <c r="AN274" s="162">
        <v>-0.29896043956482687</v>
      </c>
      <c r="AO274" s="162">
        <v>-3.4540511789656145</v>
      </c>
      <c r="AP274" s="162">
        <v>-15.025596167188894</v>
      </c>
      <c r="AQ274" s="162">
        <v>0</v>
      </c>
      <c r="AR274" s="710" t="str">
        <v>1613.par</v>
      </c>
      <c r="AV274" s="82" t="str">
        <v>0,204,0</v>
      </c>
      <c r="AW274" s="947">
        <v>-20</v>
      </c>
      <c r="AX274" s="947">
        <v>-3.4540511789656145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81" t="str">
        <f>IFERROR(INDEX([1]List!$AG$1:$AG$65480,MATCH(RIGHT((J275*1000),2),[1]List!$AI$1:$AI$65480,0))*-1,"")</f>
        <v/>
      </c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3.1030000000000002</v>
      </c>
      <c r="AF275" s="82">
        <v>3</v>
      </c>
      <c r="AG275" s="82">
        <v>1</v>
      </c>
      <c r="AH275" s="82">
        <v>1</v>
      </c>
      <c r="AI275" s="82">
        <v>2.000000000007276</v>
      </c>
      <c r="AJ275" s="166">
        <v>3.1031200000000001</v>
      </c>
      <c r="AK275" s="82" t="str">
        <v>Base</v>
      </c>
      <c r="AL275" s="162">
        <v>-10.5</v>
      </c>
      <c r="AM275" s="162">
        <v>-0.89311540451662941</v>
      </c>
      <c r="AN275" s="162">
        <v>-0.65232431284989845</v>
      </c>
      <c r="AO275" s="162">
        <v>-7.9767601641004298</v>
      </c>
      <c r="AP275" s="162">
        <v>-17.128097297467228</v>
      </c>
      <c r="AQ275" s="162">
        <v>0</v>
      </c>
      <c r="AR275" s="710" t="str">
        <v>1913.par</v>
      </c>
      <c r="AV275" s="82" t="str">
        <v>0,204,0</v>
      </c>
      <c r="AW275" s="947">
        <v>-20</v>
      </c>
      <c r="AX275" s="947">
        <v>-7.9767601641004298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81" t="str">
        <f>IFERROR(INDEX([1]List!$AG$1:$AG$65480,MATCH(RIGHT((J276*1000),2),[1]List!$AI$1:$AI$65480,0))*-1,"")</f>
        <v/>
      </c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2.226</v>
      </c>
      <c r="AF276" s="82">
        <v>2</v>
      </c>
      <c r="AG276" s="82">
        <v>2</v>
      </c>
      <c r="AH276" s="82">
        <v>1</v>
      </c>
      <c r="AI276" s="82">
        <v>1.9999999999708962</v>
      </c>
      <c r="AJ276" s="166">
        <v>2.2261199999999999</v>
      </c>
      <c r="AK276" s="82" t="str">
        <v>Base</v>
      </c>
      <c r="AL276" s="162">
        <v>-9.75</v>
      </c>
      <c r="AM276" s="162">
        <v>-3.6520747310256154</v>
      </c>
      <c r="AN276" s="162">
        <v>-2.1777103013472692</v>
      </c>
      <c r="AO276" s="162">
        <v>84.999987727520192</v>
      </c>
      <c r="AP276" s="162">
        <v>0</v>
      </c>
      <c r="AQ276" s="162">
        <v>0</v>
      </c>
      <c r="AR276" s="710" t="str">
        <v>32193r1.par</v>
      </c>
      <c r="AV276" s="82" t="str">
        <v>255,255,91</v>
      </c>
      <c r="AW276" s="947">
        <v>66.099999999999994</v>
      </c>
      <c r="AX276" s="947">
        <v>84.999987727520192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81" t="str">
        <f>IFERROR(INDEX([1]List!$AG$1:$AG$65480,MATCH(RIGHT((J277*1000),2),[1]List!$AI$1:$AI$65480,0))*-1,"")</f>
        <v/>
      </c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2.2210000000000001</v>
      </c>
      <c r="AF277" s="82">
        <v>2</v>
      </c>
      <c r="AG277" s="82">
        <v>2</v>
      </c>
      <c r="AH277" s="82">
        <v>1</v>
      </c>
      <c r="AI277" s="82">
        <v>2.000000000007276</v>
      </c>
      <c r="AJ277" s="166">
        <v>2.22112</v>
      </c>
      <c r="AK277" s="82" t="str">
        <v>Base</v>
      </c>
      <c r="AL277" s="162">
        <v>-9.75</v>
      </c>
      <c r="AM277" s="162">
        <v>-3.6015244604327941</v>
      </c>
      <c r="AN277" s="162">
        <v>-1.4065921840103861</v>
      </c>
      <c r="AO277" s="162">
        <v>73.059989451442661</v>
      </c>
      <c r="AP277" s="162">
        <v>0</v>
      </c>
      <c r="AQ277" s="162">
        <v>0</v>
      </c>
      <c r="AR277" s="710" t="str">
        <v>32193r1.par</v>
      </c>
      <c r="AV277" s="82" t="str">
        <v>255,255,91</v>
      </c>
      <c r="AW277" s="947">
        <v>45.199999999999989</v>
      </c>
      <c r="AX277" s="947">
        <v>73.059989451442661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81" t="str">
        <f>IFERROR(INDEX([1]List!$AG$1:$AG$65480,MATCH(RIGHT((J278*1000),2),[1]List!$AI$1:$AI$65480,0))*-1,"")</f>
        <v/>
      </c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2.2160000000000002</v>
      </c>
      <c r="AF278" s="82">
        <v>2</v>
      </c>
      <c r="AG278" s="82">
        <v>2</v>
      </c>
      <c r="AH278" s="82">
        <v>1</v>
      </c>
      <c r="AI278" s="82">
        <v>2.000000000007276</v>
      </c>
      <c r="AJ278" s="166">
        <v>2.2161200000000001</v>
      </c>
      <c r="AK278" s="82" t="str">
        <v>Base</v>
      </c>
      <c r="AL278" s="162">
        <v>-9.75</v>
      </c>
      <c r="AM278" s="162">
        <v>-3.2325517523043978</v>
      </c>
      <c r="AN278" s="162">
        <v>-0.73665697870138924</v>
      </c>
      <c r="AO278" s="162">
        <v>43.539993713602684</v>
      </c>
      <c r="AP278" s="162">
        <v>0</v>
      </c>
      <c r="AQ278" s="162">
        <v>0</v>
      </c>
      <c r="AR278" s="710" t="str">
        <v>32193r1.par</v>
      </c>
      <c r="AV278" s="82" t="str">
        <v>255,255,91</v>
      </c>
      <c r="AW278" s="947">
        <v>24.400000000000006</v>
      </c>
      <c r="AX278" s="947">
        <v>43.539993713602684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IFERROR(INDEX([1]List!$AG$1:$AG$65480,MATCH(RIGHT((J279*1000),2),[1]List!$AI$1:$AI$65480,0))*-1,"")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2.1259999999999999</v>
      </c>
      <c r="AF279" s="82">
        <v>2</v>
      </c>
      <c r="AG279" s="82">
        <v>1</v>
      </c>
      <c r="AH279" s="82">
        <v>1</v>
      </c>
      <c r="AI279" s="82">
        <v>1.9999999999708962</v>
      </c>
      <c r="AJ279" s="166">
        <v>2.1261199999999998</v>
      </c>
      <c r="AK279" s="82" t="str">
        <v>Base</v>
      </c>
      <c r="AL279" s="162">
        <v>-9</v>
      </c>
      <c r="AM279" s="162">
        <v>-3.6763899735491368</v>
      </c>
      <c r="AN279" s="162">
        <v>-2.1545073130960759</v>
      </c>
      <c r="AO279" s="162">
        <v>84.958848408102114</v>
      </c>
      <c r="AP279" s="162">
        <v>-29.731093753399275</v>
      </c>
      <c r="AQ279" s="162">
        <v>0</v>
      </c>
      <c r="AR279" s="710" t="str">
        <v>1613.par</v>
      </c>
      <c r="AV279" s="82" t="str">
        <v>204,204,0</v>
      </c>
      <c r="AW279" s="947">
        <v>66.099999999999994</v>
      </c>
      <c r="AX279" s="947">
        <v>84.958848408102114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IFERROR(INDEX([1]List!$AG$1:$AG$65480,MATCH(RIGHT((J280*1000),2),[1]List!$AI$1:$AI$65480,0))*-1,"")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2.121</v>
      </c>
      <c r="AF280" s="82">
        <v>2</v>
      </c>
      <c r="AG280" s="82">
        <v>1</v>
      </c>
      <c r="AH280" s="82">
        <v>1</v>
      </c>
      <c r="AI280" s="82">
        <v>2.000000000007276</v>
      </c>
      <c r="AJ280" s="166">
        <v>2.1211199999999999</v>
      </c>
      <c r="AK280" s="82" t="str">
        <v>Base</v>
      </c>
      <c r="AL280" s="162">
        <v>-9</v>
      </c>
      <c r="AM280" s="162">
        <v>-3.6175676985535636</v>
      </c>
      <c r="AN280" s="162">
        <v>-1.3810464389980739</v>
      </c>
      <c r="AO280" s="162">
        <v>69.810444241835896</v>
      </c>
      <c r="AP280" s="162">
        <v>-26.922880210706143</v>
      </c>
      <c r="AQ280" s="162">
        <v>0</v>
      </c>
      <c r="AR280" s="710" t="str">
        <v>1613.par</v>
      </c>
      <c r="AV280" s="82" t="str">
        <v>204,204,0</v>
      </c>
      <c r="AW280" s="947">
        <v>45.199999999999989</v>
      </c>
      <c r="AX280" s="947">
        <v>69.810444241835896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IFERROR(INDEX([1]List!$AG$1:$AG$65480,MATCH(RIGHT((J281*1000),2),[1]List!$AI$1:$AI$65480,0))*-1,"")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2.1160000000000001</v>
      </c>
      <c r="AF281" s="82">
        <v>2</v>
      </c>
      <c r="AG281" s="82">
        <v>1</v>
      </c>
      <c r="AH281" s="82">
        <v>1</v>
      </c>
      <c r="AI281" s="82">
        <v>2.000000000007276</v>
      </c>
      <c r="AJ281" s="166">
        <v>2.11612</v>
      </c>
      <c r="AK281" s="82" t="str">
        <v>Base</v>
      </c>
      <c r="AL281" s="162">
        <v>-9</v>
      </c>
      <c r="AM281" s="162">
        <v>-3.2370505563810941</v>
      </c>
      <c r="AN281" s="162">
        <v>-0.711968961011193</v>
      </c>
      <c r="AO281" s="162">
        <v>44.435726774968067</v>
      </c>
      <c r="AP281" s="162">
        <v>-22.269872401611568</v>
      </c>
      <c r="AQ281" s="162">
        <v>0</v>
      </c>
      <c r="AR281" s="710" t="str">
        <v>1613.par</v>
      </c>
      <c r="AV281" s="82" t="str">
        <v>204,204,0</v>
      </c>
      <c r="AW281" s="947">
        <v>24.400000000000006</v>
      </c>
      <c r="AX281" s="947">
        <v>44.435726774968067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IFERROR(INDEX([1]List!$AG$1:$AG$65480,MATCH(RIGHT((J282*1000),2),[1]List!$AI$1:$AI$65480,0))*-1,"")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2.1110000000000002</v>
      </c>
      <c r="AF282" s="82">
        <v>2</v>
      </c>
      <c r="AG282" s="82">
        <v>1</v>
      </c>
      <c r="AH282" s="82">
        <v>1</v>
      </c>
      <c r="AI282" s="82">
        <v>2.000000000007276</v>
      </c>
      <c r="AJ282" s="166">
        <v>2.1111200000000001</v>
      </c>
      <c r="AK282" s="82" t="str">
        <v>Base</v>
      </c>
      <c r="AL282" s="162">
        <v>-9</v>
      </c>
      <c r="AM282" s="162">
        <v>-2.5780856008046751</v>
      </c>
      <c r="AN282" s="162">
        <v>-0.31482633675214872</v>
      </c>
      <c r="AO282" s="162">
        <v>18.752253478994469</v>
      </c>
      <c r="AP282" s="162">
        <v>-17.672091036433017</v>
      </c>
      <c r="AQ282" s="162">
        <v>0</v>
      </c>
      <c r="AR282" s="710" t="str">
        <v>1613.par</v>
      </c>
      <c r="AV282" s="82" t="str">
        <v>204,204,0</v>
      </c>
      <c r="AW282" s="947">
        <v>3.7000000000000028</v>
      </c>
      <c r="AX282" s="947">
        <v>18.752253478994469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IFERROR(INDEX([1]List!$AG$1:$AG$65480,MATCH(RIGHT((J283*1000),2),[1]List!$AI$1:$AI$65480,0))*-1,"")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1.2270000000000001</v>
      </c>
      <c r="AF283" s="82">
        <v>1</v>
      </c>
      <c r="AG283" s="82">
        <v>2</v>
      </c>
      <c r="AH283" s="82">
        <v>1</v>
      </c>
      <c r="AI283" s="82">
        <v>2.000000000007276</v>
      </c>
      <c r="AJ283" s="166">
        <v>1.22712</v>
      </c>
      <c r="AK283" s="82" t="str">
        <v>Base</v>
      </c>
      <c r="AL283" s="162">
        <v>-8.25</v>
      </c>
      <c r="AM283" s="162">
        <v>-3.6520747310256141</v>
      </c>
      <c r="AN283" s="162">
        <v>-2.382863080725087</v>
      </c>
      <c r="AO283" s="162">
        <v>84.999987727520192</v>
      </c>
      <c r="AP283" s="162">
        <v>0</v>
      </c>
      <c r="AQ283" s="162">
        <v>0</v>
      </c>
      <c r="AR283" s="710" t="str">
        <v>32193r1.par</v>
      </c>
      <c r="AV283" s="82" t="str">
        <v>255,188,121</v>
      </c>
      <c r="AW283" s="947">
        <v>70.300000000000011</v>
      </c>
      <c r="AX283" s="947">
        <v>84.999987727520192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IFERROR(INDEX([1]List!$AG$1:$AG$65480,MATCH(RIGHT((J284*1000),2),[1]List!$AI$1:$AI$65480,0))*-1,"")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1.222</v>
      </c>
      <c r="AF284" s="82">
        <v>1</v>
      </c>
      <c r="AG284" s="82">
        <v>2</v>
      </c>
      <c r="AH284" s="82">
        <v>1</v>
      </c>
      <c r="AI284" s="82">
        <v>1.9999999999890861</v>
      </c>
      <c r="AJ284" s="166">
        <v>1.2221199999999999</v>
      </c>
      <c r="AK284" s="82" t="str">
        <v>Base</v>
      </c>
      <c r="AL284" s="162">
        <v>-8.25</v>
      </c>
      <c r="AM284" s="162">
        <v>-3.6331656940031252</v>
      </c>
      <c r="AN284" s="162">
        <v>-1.6060967337003471</v>
      </c>
      <c r="AO284" s="162">
        <v>79.019988590925223</v>
      </c>
      <c r="AP284" s="162">
        <v>0</v>
      </c>
      <c r="AQ284" s="162">
        <v>0</v>
      </c>
      <c r="AR284" s="710" t="str">
        <v>32193r1.par</v>
      </c>
      <c r="AV284" s="82" t="str">
        <v>255,188,121</v>
      </c>
      <c r="AW284" s="947">
        <v>49.300000000000011</v>
      </c>
      <c r="AX284" s="947">
        <v>79.019988590925223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IFERROR(INDEX([1]List!$AG$1:$AG$65480,MATCH(RIGHT((J285*1000),2),[1]List!$AI$1:$AI$65480,0))*-1,"")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1.2170000000000001</v>
      </c>
      <c r="AF285" s="82">
        <v>1</v>
      </c>
      <c r="AG285" s="82">
        <v>2</v>
      </c>
      <c r="AH285" s="82">
        <v>1</v>
      </c>
      <c r="AI285" s="82">
        <v>1.9999999999890861</v>
      </c>
      <c r="AJ285" s="166">
        <v>1.21712</v>
      </c>
      <c r="AK285" s="82" t="str">
        <v>Base</v>
      </c>
      <c r="AL285" s="162">
        <v>-8.25</v>
      </c>
      <c r="AM285" s="162">
        <v>-3.3327710697453417</v>
      </c>
      <c r="AN285" s="162">
        <v>-0.90317303084388856</v>
      </c>
      <c r="AO285" s="162">
        <v>49.399992867523508</v>
      </c>
      <c r="AP285" s="162">
        <v>0</v>
      </c>
      <c r="AQ285" s="162">
        <v>0</v>
      </c>
      <c r="AR285" s="710" t="str">
        <v>32193r1.par</v>
      </c>
      <c r="AV285" s="82" t="str">
        <v>255,188,121</v>
      </c>
      <c r="AW285" s="947">
        <v>28.5</v>
      </c>
      <c r="AX285" s="947">
        <v>49.399992867523508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IFERROR(INDEX([1]List!$AG$1:$AG$65480,MATCH(RIGHT((J286*1000),2),[1]List!$AI$1:$AI$65480,0))*-1,"")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1.127</v>
      </c>
      <c r="AF286" s="82">
        <v>1</v>
      </c>
      <c r="AG286" s="82">
        <v>1</v>
      </c>
      <c r="AH286" s="82">
        <v>1</v>
      </c>
      <c r="AI286" s="82">
        <v>1.9999999999890861</v>
      </c>
      <c r="AJ286" s="166">
        <v>1.1271199999999999</v>
      </c>
      <c r="AK286" s="82" t="str">
        <v>Base</v>
      </c>
      <c r="AL286" s="162">
        <v>-7.5</v>
      </c>
      <c r="AM286" s="162">
        <v>-3.6763899735491345</v>
      </c>
      <c r="AN286" s="162">
        <v>-2.3593182299449644</v>
      </c>
      <c r="AO286" s="162">
        <v>84.958848408102128</v>
      </c>
      <c r="AP286" s="162">
        <v>-29.73109375339925</v>
      </c>
      <c r="AQ286" s="162">
        <v>0</v>
      </c>
      <c r="AR286" s="710" t="str">
        <v>1613.par</v>
      </c>
      <c r="AV286" s="82" t="str">
        <v>255,127,0</v>
      </c>
      <c r="AW286" s="947">
        <v>70.300000000000011</v>
      </c>
      <c r="AX286" s="947">
        <v>84.958848408102128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IFERROR(INDEX([1]List!$AG$1:$AG$65480,MATCH(RIGHT((J287*1000),2),[1]List!$AI$1:$AI$65480,0))*-1,"")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1.1220000000000001</v>
      </c>
      <c r="AF287" s="82">
        <v>1</v>
      </c>
      <c r="AG287" s="82">
        <v>1</v>
      </c>
      <c r="AH287" s="82">
        <v>1</v>
      </c>
      <c r="AI287" s="82">
        <v>2.000000000007276</v>
      </c>
      <c r="AJ287" s="166">
        <v>1.12212</v>
      </c>
      <c r="AK287" s="82" t="str">
        <v>Base</v>
      </c>
      <c r="AL287" s="162">
        <v>-7.5</v>
      </c>
      <c r="AM287" s="162">
        <v>-3.651946953520572</v>
      </c>
      <c r="AN287" s="162">
        <v>-1.5812102861201311</v>
      </c>
      <c r="AO287" s="162">
        <v>74.864641684638286</v>
      </c>
      <c r="AP287" s="162">
        <v>-27.857777741111491</v>
      </c>
      <c r="AQ287" s="162">
        <v>0</v>
      </c>
      <c r="AR287" s="710" t="str">
        <v>1613.par</v>
      </c>
      <c r="AV287" s="82" t="str">
        <v>255,127,0</v>
      </c>
      <c r="AW287" s="947">
        <v>49.300000000000011</v>
      </c>
      <c r="AX287" s="947">
        <v>74.864641684638286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IFERROR(INDEX([1]List!$AG$1:$AG$65480,MATCH(RIGHT((J288*1000),2),[1]List!$AI$1:$AI$65480,0))*-1,"")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1.117</v>
      </c>
      <c r="AF288" s="82">
        <v>1</v>
      </c>
      <c r="AG288" s="82">
        <v>1</v>
      </c>
      <c r="AH288" s="82">
        <v>1</v>
      </c>
      <c r="AI288" s="82">
        <v>1.9999999999890861</v>
      </c>
      <c r="AJ288" s="166">
        <v>1.1171199999999999</v>
      </c>
      <c r="AK288" s="82" t="str">
        <v>Base</v>
      </c>
      <c r="AL288" s="162">
        <v>-7.5</v>
      </c>
      <c r="AM288" s="162">
        <v>-3.3391666503730635</v>
      </c>
      <c r="AN288" s="162">
        <v>-0.87788406863717405</v>
      </c>
      <c r="AO288" s="162">
        <v>49.528137719076049</v>
      </c>
      <c r="AP288" s="162">
        <v>-23.197131518106772</v>
      </c>
      <c r="AQ288" s="162">
        <v>0</v>
      </c>
      <c r="AR288" s="710" t="str">
        <v>1613.par</v>
      </c>
      <c r="AV288" s="82" t="str">
        <v>255,127,0</v>
      </c>
      <c r="AW288" s="947">
        <v>28.5</v>
      </c>
      <c r="AX288" s="947">
        <v>49.528137719076049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IFERROR(INDEX([1]List!$AG$1:$AG$65480,MATCH(RIGHT((J289*1000),2),[1]List!$AI$1:$AI$65480,0))*-1,"")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1.1120000000000001</v>
      </c>
      <c r="AF289" s="82">
        <v>1</v>
      </c>
      <c r="AG289" s="82">
        <v>1</v>
      </c>
      <c r="AH289" s="82">
        <v>1</v>
      </c>
      <c r="AI289" s="82">
        <v>2.000000000007276</v>
      </c>
      <c r="AJ289" s="166">
        <v>1.11212</v>
      </c>
      <c r="AK289" s="82" t="str">
        <v>Base</v>
      </c>
      <c r="AL289" s="162">
        <v>-7.5</v>
      </c>
      <c r="AM289" s="162">
        <v>-2.7253571079613494</v>
      </c>
      <c r="AN289" s="162">
        <v>-0.41395320745768571</v>
      </c>
      <c r="AO289" s="162">
        <v>23.927284991087728</v>
      </c>
      <c r="AP289" s="162">
        <v>-18.585107858000455</v>
      </c>
      <c r="AQ289" s="162">
        <v>0</v>
      </c>
      <c r="AR289" s="710" t="str">
        <v>1613.par</v>
      </c>
      <c r="AV289" s="82" t="str">
        <v>255,127,0</v>
      </c>
      <c r="AW289" s="947">
        <v>7.7999999999999972</v>
      </c>
      <c r="AX289" s="947">
        <v>23.927284991087728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IFERROR(INDEX([1]List!$AG$1:$AG$65480,MATCH(RIGHT((J290*1000),2),[1]List!$AI$1:$AI$65480,0))*-1,"")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1.107</v>
      </c>
      <c r="AF290" s="82">
        <v>1</v>
      </c>
      <c r="AG290" s="82">
        <v>1</v>
      </c>
      <c r="AH290" s="82">
        <v>1</v>
      </c>
      <c r="AI290" s="82">
        <v>1.9999999999890861</v>
      </c>
      <c r="AJ290" s="166">
        <v>1.1071199999999999</v>
      </c>
      <c r="AK290" s="82" t="str">
        <v>Base</v>
      </c>
      <c r="AL290" s="162">
        <v>-7.5</v>
      </c>
      <c r="AM290" s="162">
        <v>-1.927402630735195</v>
      </c>
      <c r="AN290" s="162">
        <v>-0.33006944715781428</v>
      </c>
      <c r="AO290" s="162">
        <v>-2.1422449892601327</v>
      </c>
      <c r="AP290" s="162">
        <v>-15.010735304559713</v>
      </c>
      <c r="AQ290" s="162">
        <v>0</v>
      </c>
      <c r="AR290" s="710" t="str">
        <v>1613.par</v>
      </c>
      <c r="AV290" s="82" t="str">
        <v>255,127,0</v>
      </c>
      <c r="AW290" s="947">
        <v>-20</v>
      </c>
      <c r="AX290" s="947">
        <v>-2.1422449892601327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IFERROR(INDEX([1]List!$AG$1:$AG$65480,MATCH(RIGHT((J291*1000),2),[1]List!$AI$1:$AI$65480,0))*-1,"")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1.1040000000000001</v>
      </c>
      <c r="AF291" s="82">
        <v>1</v>
      </c>
      <c r="AG291" s="82">
        <v>1</v>
      </c>
      <c r="AH291" s="82">
        <v>1</v>
      </c>
      <c r="AI291" s="82">
        <v>2.000000000007276</v>
      </c>
      <c r="AJ291" s="166">
        <v>1.10412</v>
      </c>
      <c r="AK291" s="82" t="str">
        <v>Base</v>
      </c>
      <c r="AL291" s="162">
        <v>-7.5</v>
      </c>
      <c r="AM291" s="162">
        <v>-1.1768491068518661</v>
      </c>
      <c r="AN291" s="162">
        <v>-0.64264798712932936</v>
      </c>
      <c r="AO291" s="162">
        <v>-6.2461638467330163</v>
      </c>
      <c r="AP291" s="162">
        <v>-16.075472317824548</v>
      </c>
      <c r="AQ291" s="162">
        <v>0</v>
      </c>
      <c r="AR291" s="710" t="str">
        <v>1913.par</v>
      </c>
      <c r="AV291" s="82" t="str">
        <v>255,127,0</v>
      </c>
      <c r="AW291" s="947">
        <v>-20</v>
      </c>
      <c r="AX291" s="947">
        <v>-6.2461638467330163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IFERROR(INDEX([1]List!$AG$1:$AG$65480,MATCH(RIGHT((J292*1000),2),[1]List!$AI$1:$AI$65480,0))*-1,"")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1.101</v>
      </c>
      <c r="AF292" s="82">
        <v>1</v>
      </c>
      <c r="AG292" s="82">
        <v>1</v>
      </c>
      <c r="AH292" s="82">
        <v>1</v>
      </c>
      <c r="AI292" s="82">
        <v>1.9999999999890861</v>
      </c>
      <c r="AJ292" s="166">
        <v>1.1011199999999999</v>
      </c>
      <c r="AK292" s="82" t="str">
        <v>Base</v>
      </c>
      <c r="AL292" s="162">
        <v>-7.5</v>
      </c>
      <c r="AM292" s="162">
        <v>-0.34417298027040027</v>
      </c>
      <c r="AN292" s="162">
        <v>-0.87994861304540606</v>
      </c>
      <c r="AO292" s="162">
        <v>-16.339646098154638</v>
      </c>
      <c r="AP292" s="162">
        <v>-22.678960175933817</v>
      </c>
      <c r="AQ292" s="162">
        <v>0</v>
      </c>
      <c r="AR292" s="710" t="str">
        <v>1613.par</v>
      </c>
      <c r="AV292" s="82" t="str">
        <v>255,127,0</v>
      </c>
      <c r="AW292" s="947">
        <v>-20</v>
      </c>
      <c r="AX292" s="947">
        <v>-16.339646098154638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IFERROR(INDEX([1]List!$AG$1:$AG$65480,MATCH(RIGHT((J293*1000),2),[1]List!$AI$1:$AI$65480,0))*-1,"")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5.2279999999999998</v>
      </c>
      <c r="AF293" s="82">
        <v>5</v>
      </c>
      <c r="AG293" s="82">
        <v>2</v>
      </c>
      <c r="AH293" s="82">
        <v>2</v>
      </c>
      <c r="AI293" s="82">
        <v>1.9999999999708962</v>
      </c>
      <c r="AJ293" s="166">
        <v>5.2282199999999994</v>
      </c>
      <c r="AK293" s="82">
        <v>5.2281199999999997</v>
      </c>
      <c r="AL293" s="162">
        <v>0</v>
      </c>
      <c r="AM293" s="162">
        <v>0</v>
      </c>
      <c r="AN293" s="162">
        <v>0</v>
      </c>
      <c r="AO293" s="162">
        <v>-10.499987727520178</v>
      </c>
      <c r="AP293" s="162">
        <v>0</v>
      </c>
      <c r="AQ293" s="162">
        <v>0</v>
      </c>
      <c r="AR293" s="710" t="str">
        <v>32193r1.par</v>
      </c>
      <c r="AV293" s="82" t="str">
        <v>121,188,255</v>
      </c>
      <c r="AW293" s="947">
        <v>74.5</v>
      </c>
      <c r="AX293" s="947">
        <v>84.999987727520178</v>
      </c>
      <c r="AY293" s="947">
        <v>-10.499987727520178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IFERROR(INDEX([1]List!$AG$1:$AG$65480,MATCH(RIGHT((J294*1000),2),[1]List!$AI$1:$AI$65480,0))*-1,"")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5.2229999999999999</v>
      </c>
      <c r="AF294" s="82">
        <v>5</v>
      </c>
      <c r="AG294" s="82">
        <v>2</v>
      </c>
      <c r="AH294" s="82">
        <v>2</v>
      </c>
      <c r="AI294" s="82">
        <v>1.9999999999708962</v>
      </c>
      <c r="AJ294" s="166">
        <v>5.2232199999999995</v>
      </c>
      <c r="AK294" s="82">
        <v>5.2231199999999998</v>
      </c>
      <c r="AL294" s="162">
        <v>0</v>
      </c>
      <c r="AM294" s="162">
        <v>0</v>
      </c>
      <c r="AN294" s="162">
        <v>0</v>
      </c>
      <c r="AO294" s="162">
        <v>-31.48998772896401</v>
      </c>
      <c r="AP294" s="162">
        <v>0</v>
      </c>
      <c r="AQ294" s="162">
        <v>0</v>
      </c>
      <c r="AR294" s="710" t="str">
        <v>32193r1.par</v>
      </c>
      <c r="AV294" s="82" t="str">
        <v>121,188,255</v>
      </c>
      <c r="AW294" s="947">
        <v>53.5</v>
      </c>
      <c r="AX294" s="947">
        <v>84.98998772896401</v>
      </c>
      <c r="AY294" s="947">
        <v>-31.48998772896401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IFERROR(INDEX([1]List!$AG$1:$AG$65480,MATCH(RIGHT((J295*1000),2),[1]List!$AI$1:$AI$65480,0))*-1,"")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5.218</v>
      </c>
      <c r="AF295" s="82">
        <v>5</v>
      </c>
      <c r="AG295" s="82">
        <v>2</v>
      </c>
      <c r="AH295" s="82">
        <v>2</v>
      </c>
      <c r="AI295" s="82">
        <v>1.9999999999708962</v>
      </c>
      <c r="AJ295" s="166">
        <v>5.2182199999999996</v>
      </c>
      <c r="AK295" s="82">
        <v>5.2181199999999999</v>
      </c>
      <c r="AL295" s="162">
        <v>0</v>
      </c>
      <c r="AM295" s="162">
        <v>0</v>
      </c>
      <c r="AN295" s="162">
        <v>0</v>
      </c>
      <c r="AO295" s="162">
        <v>-22.579992018556638</v>
      </c>
      <c r="AP295" s="162">
        <v>0</v>
      </c>
      <c r="AQ295" s="162">
        <v>0</v>
      </c>
      <c r="AR295" s="710" t="str">
        <v>32193r1.par</v>
      </c>
      <c r="AV295" s="82" t="str">
        <v>121,188,255</v>
      </c>
      <c r="AW295" s="947">
        <v>32.700000000000003</v>
      </c>
      <c r="AX295" s="947">
        <v>55.279992018556641</v>
      </c>
      <c r="AY295" s="947">
        <v>-22.579992018556638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IFERROR(INDEX([1]List!$AG$1:$AG$65480,MATCH(RIGHT((J296*1000),2),[1]List!$AI$1:$AI$65480,0))*-1,"")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5.1280000000000001</v>
      </c>
      <c r="AF296" s="82">
        <v>5</v>
      </c>
      <c r="AG296" s="82">
        <v>1</v>
      </c>
      <c r="AH296" s="82">
        <v>2</v>
      </c>
      <c r="AI296" s="82">
        <v>1.9999999999708962</v>
      </c>
      <c r="AJ296" s="166">
        <v>5.1282199999999998</v>
      </c>
      <c r="AK296" s="82">
        <v>5.12812</v>
      </c>
      <c r="AL296" s="162">
        <v>0</v>
      </c>
      <c r="AM296" s="162">
        <v>0</v>
      </c>
      <c r="AN296" s="162">
        <v>0</v>
      </c>
      <c r="AO296" s="162">
        <v>-10.458848408102128</v>
      </c>
      <c r="AP296" s="162">
        <v>0</v>
      </c>
      <c r="AQ296" s="162">
        <v>0</v>
      </c>
      <c r="AR296" s="710" t="str">
        <v>1613.par</v>
      </c>
      <c r="AV296" s="82" t="str">
        <v>0,102,204</v>
      </c>
      <c r="AW296" s="947">
        <v>74.5</v>
      </c>
      <c r="AX296" s="947">
        <v>84.958848408102128</v>
      </c>
      <c r="AY296" s="947">
        <v>-10.458848408102128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IFERROR(INDEX([1]List!$AG$1:$AG$65480,MATCH(RIGHT((J297*1000),2),[1]List!$AI$1:$AI$65480,0))*-1,"")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5.1230000000000002</v>
      </c>
      <c r="AF297" s="82">
        <v>5</v>
      </c>
      <c r="AG297" s="82">
        <v>1</v>
      </c>
      <c r="AH297" s="82">
        <v>2</v>
      </c>
      <c r="AI297" s="82">
        <v>1.9999999999708962</v>
      </c>
      <c r="AJ297" s="166">
        <v>5.1232199999999999</v>
      </c>
      <c r="AK297" s="82">
        <v>5.1231200000000001</v>
      </c>
      <c r="AL297" s="162">
        <v>0</v>
      </c>
      <c r="AM297" s="162">
        <v>0</v>
      </c>
      <c r="AN297" s="162">
        <v>0</v>
      </c>
      <c r="AO297" s="162">
        <v>-26.413905019697893</v>
      </c>
      <c r="AP297" s="162">
        <v>0</v>
      </c>
      <c r="AQ297" s="162">
        <v>0</v>
      </c>
      <c r="AR297" s="710" t="str">
        <v>1613.par</v>
      </c>
      <c r="AV297" s="82" t="str">
        <v>0,102,204</v>
      </c>
      <c r="AW297" s="947">
        <v>53.5</v>
      </c>
      <c r="AX297" s="947">
        <v>79.913905019697893</v>
      </c>
      <c r="AY297" s="947">
        <v>-26.413905019697893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IFERROR(INDEX([1]List!$AG$1:$AG$65480,MATCH(RIGHT((J298*1000),2),[1]List!$AI$1:$AI$65480,0))*-1,"")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5.1180000000000003</v>
      </c>
      <c r="AF298" s="82">
        <v>5</v>
      </c>
      <c r="AG298" s="82">
        <v>1</v>
      </c>
      <c r="AH298" s="82">
        <v>2</v>
      </c>
      <c r="AI298" s="82">
        <v>1.9999999999708962</v>
      </c>
      <c r="AJ298" s="166">
        <v>5.11822</v>
      </c>
      <c r="AK298" s="82">
        <v>5.1181200000000002</v>
      </c>
      <c r="AL298" s="162">
        <v>0</v>
      </c>
      <c r="AM298" s="162">
        <v>0</v>
      </c>
      <c r="AN298" s="162">
        <v>0</v>
      </c>
      <c r="AO298" s="162">
        <v>-21.910535577280321</v>
      </c>
      <c r="AP298" s="162">
        <v>0</v>
      </c>
      <c r="AQ298" s="162">
        <v>0</v>
      </c>
      <c r="AR298" s="710" t="str">
        <v>1613.par</v>
      </c>
      <c r="AV298" s="82" t="str">
        <v>0,102,204</v>
      </c>
      <c r="AW298" s="947">
        <v>32.700000000000003</v>
      </c>
      <c r="AX298" s="947">
        <v>54.610535577280324</v>
      </c>
      <c r="AY298" s="947">
        <v>-21.910535577280321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IFERROR(INDEX([1]List!$AG$1:$AG$65480,MATCH(RIGHT((J299*1000),2),[1]List!$AI$1:$AI$65480,0))*-1,"")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5.1130000000000004</v>
      </c>
      <c r="AF299" s="82">
        <v>5</v>
      </c>
      <c r="AG299" s="82">
        <v>1</v>
      </c>
      <c r="AH299" s="82">
        <v>2</v>
      </c>
      <c r="AI299" s="82">
        <v>2.0000000000436557</v>
      </c>
      <c r="AJ299" s="166">
        <v>5.1132200000000001</v>
      </c>
      <c r="AK299" s="82">
        <v>5.1131200000000003</v>
      </c>
      <c r="AL299" s="162">
        <v>0</v>
      </c>
      <c r="AM299" s="162">
        <v>0</v>
      </c>
      <c r="AN299" s="162">
        <v>0</v>
      </c>
      <c r="AO299" s="162">
        <v>-17.180011129749563</v>
      </c>
      <c r="AP299" s="162">
        <v>0</v>
      </c>
      <c r="AQ299" s="162">
        <v>0</v>
      </c>
      <c r="AR299" s="710" t="str">
        <v>1613.par</v>
      </c>
      <c r="AV299" s="82" t="str">
        <v>0,102,204</v>
      </c>
      <c r="AW299" s="947">
        <v>11.900000000000006</v>
      </c>
      <c r="AX299" s="947">
        <v>29.080011129749568</v>
      </c>
      <c r="AY299" s="947">
        <v>-17.180011129749563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IFERROR(INDEX([1]List!$AG$1:$AG$65480,MATCH(RIGHT((J300*1000),2),[1]List!$AI$1:$AI$65480,0))*-1,"")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5.1079999999999997</v>
      </c>
      <c r="AF300" s="82">
        <v>5</v>
      </c>
      <c r="AG300" s="82">
        <v>1</v>
      </c>
      <c r="AH300" s="82">
        <v>2</v>
      </c>
      <c r="AI300" s="82">
        <v>1.9999999998981366</v>
      </c>
      <c r="AJ300" s="166">
        <v>5.1082199999999993</v>
      </c>
      <c r="AK300" s="82">
        <v>5.1081199999999995</v>
      </c>
      <c r="AL300" s="162">
        <v>0</v>
      </c>
      <c r="AM300" s="162">
        <v>0</v>
      </c>
      <c r="AN300" s="162">
        <v>0</v>
      </c>
      <c r="AO300" s="162">
        <v>-15.934079293971845</v>
      </c>
      <c r="AP300" s="162">
        <v>0</v>
      </c>
      <c r="AQ300" s="162">
        <v>0</v>
      </c>
      <c r="AR300" s="710" t="str">
        <v>1613.par</v>
      </c>
      <c r="AV300" s="82" t="str">
        <v>0,102,204</v>
      </c>
      <c r="AW300" s="947">
        <v>-12.900000000000006</v>
      </c>
      <c r="AX300" s="947">
        <v>3.0340792939718386</v>
      </c>
      <c r="AY300" s="947">
        <v>-15.934079293971845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IFERROR(INDEX([1]List!$AG$1:$AG$65480,MATCH(RIGHT((J301*1000),2),[1]List!$AI$1:$AI$65480,0))*-1,"")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4.2240000000000002</v>
      </c>
      <c r="AF301" s="82">
        <v>4</v>
      </c>
      <c r="AG301" s="82">
        <v>2</v>
      </c>
      <c r="AH301" s="82">
        <v>2</v>
      </c>
      <c r="AI301" s="82">
        <v>1.9999999999708962</v>
      </c>
      <c r="AJ301" s="166">
        <v>4.2242199999999999</v>
      </c>
      <c r="AK301" s="82">
        <v>4.2241200000000001</v>
      </c>
      <c r="AL301" s="162">
        <v>0</v>
      </c>
      <c r="AM301" s="162">
        <v>0</v>
      </c>
      <c r="AN301" s="162">
        <v>0</v>
      </c>
      <c r="AO301" s="162">
        <v>-27.29998772752019</v>
      </c>
      <c r="AP301" s="162">
        <v>0</v>
      </c>
      <c r="AQ301" s="162">
        <v>0</v>
      </c>
      <c r="AR301" s="710" t="str">
        <v>32193r1.par</v>
      </c>
      <c r="AV301" s="82" t="str">
        <v>91,255,255</v>
      </c>
      <c r="AW301" s="947">
        <v>57.699999999999989</v>
      </c>
      <c r="AX301" s="947">
        <v>84.999987727520178</v>
      </c>
      <c r="AY301" s="947">
        <v>-27.29998772752019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IFERROR(INDEX([1]List!$AG$1:$AG$65480,MATCH(RIGHT((J302*1000),2),[1]List!$AI$1:$AI$65480,0))*-1,"")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4.2190000000000003</v>
      </c>
      <c r="AF302" s="82">
        <v>4</v>
      </c>
      <c r="AG302" s="82">
        <v>2</v>
      </c>
      <c r="AH302" s="82">
        <v>2</v>
      </c>
      <c r="AI302" s="82">
        <v>1.9999999999708962</v>
      </c>
      <c r="AJ302" s="166">
        <v>4.21922</v>
      </c>
      <c r="AK302" s="82">
        <v>4.2191200000000002</v>
      </c>
      <c r="AL302" s="162">
        <v>0</v>
      </c>
      <c r="AM302" s="162">
        <v>0</v>
      </c>
      <c r="AN302" s="162">
        <v>0</v>
      </c>
      <c r="AO302" s="162">
        <v>-24.389991165258365</v>
      </c>
      <c r="AP302" s="162">
        <v>0</v>
      </c>
      <c r="AQ302" s="162">
        <v>0</v>
      </c>
      <c r="AR302" s="710" t="str">
        <v>32193r1.par</v>
      </c>
      <c r="AV302" s="82" t="str">
        <v>91,255,255</v>
      </c>
      <c r="AW302" s="947">
        <v>36.799999999999997</v>
      </c>
      <c r="AX302" s="947">
        <v>61.189991165258363</v>
      </c>
      <c r="AY302" s="947">
        <v>-24.389991165258365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IFERROR(INDEX([1]List!$AG$1:$AG$65480,MATCH(RIGHT((J303*1000),2),[1]List!$AI$1:$AI$65480,0))*-1,"")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4.2140000000000004</v>
      </c>
      <c r="AF303" s="82">
        <v>4</v>
      </c>
      <c r="AG303" s="82">
        <v>2</v>
      </c>
      <c r="AH303" s="82">
        <v>2</v>
      </c>
      <c r="AI303" s="82">
        <v>2.0000000000436557</v>
      </c>
      <c r="AJ303" s="166">
        <v>4.2142200000000001</v>
      </c>
      <c r="AK303" s="82">
        <v>4.2141200000000003</v>
      </c>
      <c r="AL303" s="162">
        <v>0</v>
      </c>
      <c r="AM303" s="162">
        <v>0</v>
      </c>
      <c r="AN303" s="162">
        <v>0</v>
      </c>
      <c r="AO303" s="162">
        <v>-15.799995394210534</v>
      </c>
      <c r="AP303" s="162">
        <v>0</v>
      </c>
      <c r="AQ303" s="162">
        <v>0</v>
      </c>
      <c r="AR303" s="710" t="str">
        <v>32193r1.par</v>
      </c>
      <c r="AV303" s="82" t="str">
        <v>91,255,255</v>
      </c>
      <c r="AW303" s="947">
        <v>16.099999999999994</v>
      </c>
      <c r="AX303" s="947">
        <v>31.899995394210528</v>
      </c>
      <c r="AY303" s="947">
        <v>-15.799995394210534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IFERROR(INDEX([1]List!$AG$1:$AG$65480,MATCH(RIGHT((J304*1000),2),[1]List!$AI$1:$AI$65480,0))*-1,"")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4.1239999999999997</v>
      </c>
      <c r="AF304" s="82">
        <v>4</v>
      </c>
      <c r="AG304" s="82">
        <v>1</v>
      </c>
      <c r="AH304" s="82">
        <v>2</v>
      </c>
      <c r="AI304" s="82">
        <v>1.9999999998981366</v>
      </c>
      <c r="AJ304" s="166">
        <v>4.1242199999999993</v>
      </c>
      <c r="AK304" s="82">
        <v>4.1241199999999996</v>
      </c>
      <c r="AL304" s="162">
        <v>0</v>
      </c>
      <c r="AM304" s="162">
        <v>0</v>
      </c>
      <c r="AN304" s="162">
        <v>0</v>
      </c>
      <c r="AO304" s="162">
        <v>-27.258848408102097</v>
      </c>
      <c r="AP304" s="162">
        <v>0</v>
      </c>
      <c r="AQ304" s="162">
        <v>0</v>
      </c>
      <c r="AR304" s="710" t="str">
        <v>1613.par</v>
      </c>
      <c r="AV304" s="82" t="str">
        <v>0,204,204</v>
      </c>
      <c r="AW304" s="947">
        <v>57.699999999999989</v>
      </c>
      <c r="AX304" s="947">
        <v>84.958848408102085</v>
      </c>
      <c r="AY304" s="947">
        <v>-27.258848408102097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IFERROR(INDEX([1]List!$AG$1:$AG$65480,MATCH(RIGHT((J305*1000),2),[1]List!$AI$1:$AI$65480,0))*-1,"")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4.1189999999999998</v>
      </c>
      <c r="AF305" s="82">
        <v>4</v>
      </c>
      <c r="AG305" s="82">
        <v>1</v>
      </c>
      <c r="AH305" s="82">
        <v>2</v>
      </c>
      <c r="AI305" s="82">
        <v>1.9999999999708962</v>
      </c>
      <c r="AJ305" s="166">
        <v>4.1192199999999994</v>
      </c>
      <c r="AK305" s="82">
        <v>4.1191199999999997</v>
      </c>
      <c r="AL305" s="162">
        <v>0</v>
      </c>
      <c r="AM305" s="162">
        <v>0</v>
      </c>
      <c r="AN305" s="162">
        <v>0</v>
      </c>
      <c r="AO305" s="162">
        <v>-22.884305452381177</v>
      </c>
      <c r="AP305" s="162">
        <v>0</v>
      </c>
      <c r="AQ305" s="162">
        <v>0</v>
      </c>
      <c r="AR305" s="710" t="str">
        <v>1613.par</v>
      </c>
      <c r="AV305" s="82" t="str">
        <v>0,204,204</v>
      </c>
      <c r="AW305" s="947">
        <v>36.799999999999997</v>
      </c>
      <c r="AX305" s="947">
        <v>59.684305452381174</v>
      </c>
      <c r="AY305" s="947">
        <v>-22.884305452381177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4.1139999999999999</v>
      </c>
      <c r="AF306" s="82">
        <v>4</v>
      </c>
      <c r="AG306" s="82">
        <v>1</v>
      </c>
      <c r="AH306" s="82">
        <v>2</v>
      </c>
      <c r="AI306" s="82">
        <v>1.9999999999708962</v>
      </c>
      <c r="AJ306" s="166">
        <v>4.1142199999999995</v>
      </c>
      <c r="AK306" s="82">
        <v>4.1141199999999998</v>
      </c>
      <c r="AL306" s="162">
        <v>0</v>
      </c>
      <c r="AM306" s="162">
        <v>0</v>
      </c>
      <c r="AN306" s="162">
        <v>0</v>
      </c>
      <c r="AO306" s="162">
        <v>-18.113835927781196</v>
      </c>
      <c r="AP306" s="162">
        <v>0</v>
      </c>
      <c r="AQ306" s="162">
        <v>0</v>
      </c>
      <c r="AR306" s="710" t="str">
        <v>1613.par</v>
      </c>
      <c r="AV306" s="82" t="str">
        <v>0,204,204</v>
      </c>
      <c r="AW306" s="947">
        <v>16.099999999999994</v>
      </c>
      <c r="AX306" s="947">
        <v>34.21383592778119</v>
      </c>
      <c r="AY306" s="947">
        <v>-18.113835927781196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4.109</v>
      </c>
      <c r="AF307" s="82">
        <v>4</v>
      </c>
      <c r="AG307" s="82">
        <v>1</v>
      </c>
      <c r="AH307" s="82">
        <v>2</v>
      </c>
      <c r="AI307" s="82">
        <v>1.9999999999708962</v>
      </c>
      <c r="AJ307" s="166">
        <v>4.1092199999999997</v>
      </c>
      <c r="AK307" s="82">
        <v>4.1091199999999999</v>
      </c>
      <c r="AL307" s="162">
        <v>0</v>
      </c>
      <c r="AM307" s="162">
        <v>0</v>
      </c>
      <c r="AN307" s="162">
        <v>0</v>
      </c>
      <c r="AO307" s="162">
        <v>-12.918695547427795</v>
      </c>
      <c r="AP307" s="162">
        <v>0</v>
      </c>
      <c r="AQ307" s="162">
        <v>0</v>
      </c>
      <c r="AR307" s="710" t="str">
        <v>1613.par</v>
      </c>
      <c r="AV307" s="82" t="str">
        <v>0,204,204</v>
      </c>
      <c r="AW307" s="947">
        <v>-4.5999999999999943</v>
      </c>
      <c r="AX307" s="947">
        <v>8.3186955474278008</v>
      </c>
      <c r="AY307" s="947">
        <v>-12.918695547427795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4.1050000000000004</v>
      </c>
      <c r="AF308" s="82">
        <v>4</v>
      </c>
      <c r="AG308" s="82">
        <v>1</v>
      </c>
      <c r="AH308" s="82">
        <v>2</v>
      </c>
      <c r="AI308" s="82">
        <v>2.0000000000436557</v>
      </c>
      <c r="AJ308" s="166">
        <v>4.1052200000000001</v>
      </c>
      <c r="AK308" s="82">
        <v>4.1051200000000003</v>
      </c>
      <c r="AL308" s="162">
        <v>0</v>
      </c>
      <c r="AM308" s="162">
        <v>0</v>
      </c>
      <c r="AN308" s="162">
        <v>0</v>
      </c>
      <c r="AO308" s="162">
        <v>-15.180650815494495</v>
      </c>
      <c r="AP308" s="162">
        <v>0</v>
      </c>
      <c r="AQ308" s="162">
        <v>0</v>
      </c>
      <c r="AR308" s="710" t="str">
        <v>1913.par</v>
      </c>
      <c r="AV308" s="82" t="str">
        <v>0,204,204</v>
      </c>
      <c r="AW308" s="947">
        <v>-20</v>
      </c>
      <c r="AX308" s="947">
        <v>-4.8193491845055059</v>
      </c>
      <c r="AY308" s="947">
        <v>-15.180650815494495</v>
      </c>
    </row>
    <row r="309" spans="2:51" x14ac:dyDescent="0.25">
      <c r="E309" s="1086" t="s">
        <v>11</v>
      </c>
      <c r="F309" s="1087"/>
      <c r="G309" s="1088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4.1020000000000003</v>
      </c>
      <c r="AF309" s="82">
        <v>4</v>
      </c>
      <c r="AG309" s="82">
        <v>1</v>
      </c>
      <c r="AH309" s="82">
        <v>2</v>
      </c>
      <c r="AI309" s="82">
        <v>1.9999999999708962</v>
      </c>
      <c r="AJ309" s="166">
        <v>4.10222</v>
      </c>
      <c r="AK309" s="82">
        <v>4.1021200000000002</v>
      </c>
      <c r="AL309" s="162">
        <v>0</v>
      </c>
      <c r="AM309" s="162">
        <v>0</v>
      </c>
      <c r="AN309" s="162">
        <v>0</v>
      </c>
      <c r="AO309" s="162">
        <v>-8.9302005777218696</v>
      </c>
      <c r="AP309" s="162">
        <v>0</v>
      </c>
      <c r="AQ309" s="162">
        <v>0</v>
      </c>
      <c r="AR309" s="710" t="str">
        <v>1913.par</v>
      </c>
      <c r="AV309" s="82" t="str">
        <v>0,204,204</v>
      </c>
      <c r="AW309" s="947">
        <v>-20</v>
      </c>
      <c r="AX309" s="947">
        <v>-11.06979942227813</v>
      </c>
      <c r="AY309" s="947">
        <v>-8.9302005777218696</v>
      </c>
    </row>
    <row r="310" spans="2:51" ht="15.75" thickBot="1" x14ac:dyDescent="0.3">
      <c r="E310" s="975" t="s">
        <v>18</v>
      </c>
      <c r="F310" s="976" t="s">
        <v>19</v>
      </c>
      <c r="G310" s="1089"/>
      <c r="H310" s="977" t="s">
        <v>26</v>
      </c>
      <c r="I310" s="978" t="s">
        <v>27</v>
      </c>
      <c r="J310" s="31" t="s">
        <v>421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3.2250000000000001</v>
      </c>
      <c r="AF310" s="82">
        <v>3</v>
      </c>
      <c r="AG310" s="82">
        <v>2</v>
      </c>
      <c r="AH310" s="82">
        <v>2</v>
      </c>
      <c r="AI310" s="82">
        <v>2.000000000007276</v>
      </c>
      <c r="AJ310" s="166">
        <v>3.2252200000000002</v>
      </c>
      <c r="AK310" s="82">
        <v>3.22512</v>
      </c>
      <c r="AL310" s="162">
        <v>0</v>
      </c>
      <c r="AM310" s="162">
        <v>0</v>
      </c>
      <c r="AN310" s="162">
        <v>0</v>
      </c>
      <c r="AO310" s="162">
        <v>-23.099987727520173</v>
      </c>
      <c r="AP310" s="162">
        <v>0</v>
      </c>
      <c r="AQ310" s="162">
        <v>0</v>
      </c>
      <c r="AR310" s="710" t="str">
        <v>32193r1.par</v>
      </c>
      <c r="AV310" s="82" t="str">
        <v>97,255,97</v>
      </c>
      <c r="AW310" s="947">
        <v>61.900000000000006</v>
      </c>
      <c r="AX310" s="947">
        <v>84.999987727520178</v>
      </c>
      <c r="AY310" s="947">
        <v>-23.099987727520173</v>
      </c>
    </row>
    <row r="311" spans="2:51" ht="15.75" thickTop="1" x14ac:dyDescent="0.25">
      <c r="D311" s="163">
        <v>1.101</v>
      </c>
      <c r="E311">
        <f>INDEX($Q$9:$Q$150,MATCH($D311,$M$9:$M$150,0))</f>
        <v>86.911468239859033</v>
      </c>
      <c r="F311">
        <f>INDEX($R$9:$R$150,MATCH($D311,$M$9:$M$150,0))</f>
        <v>0.34417298027040027</v>
      </c>
      <c r="G311">
        <f>INDEX($S$9:$S$150,MATCH($D311,$M$9:$M$150,0))</f>
        <v>-0.62994861304813454</v>
      </c>
      <c r="H311">
        <f>INDEX($AN$9:$AN$150,MATCH($D311,$M$9:$M$150,0))</f>
        <v>16.339646098154638</v>
      </c>
      <c r="I311">
        <f>INDEX($AO$9:$AO$150,MATCH($D311,$M$9:$M$150,0))</f>
        <v>22.678960175933817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3.22</v>
      </c>
      <c r="AF311" s="82">
        <v>3</v>
      </c>
      <c r="AG311" s="82">
        <v>2</v>
      </c>
      <c r="AH311" s="82">
        <v>2</v>
      </c>
      <c r="AI311" s="82">
        <v>2.0000000000436557</v>
      </c>
      <c r="AJ311" s="166">
        <v>3.2202200000000003</v>
      </c>
      <c r="AK311" s="82">
        <v>3.2201200000000001</v>
      </c>
      <c r="AL311" s="162">
        <v>0</v>
      </c>
      <c r="AM311" s="162">
        <v>0</v>
      </c>
      <c r="AN311" s="162">
        <v>0</v>
      </c>
      <c r="AO311" s="162">
        <v>-26.109990310516238</v>
      </c>
      <c r="AP311" s="162">
        <v>0</v>
      </c>
      <c r="AQ311" s="162">
        <v>0</v>
      </c>
      <c r="AR311" s="710" t="str">
        <v>32193r1.par</v>
      </c>
      <c r="AV311" s="82" t="str">
        <v>97,255,97</v>
      </c>
      <c r="AW311" s="947">
        <v>41</v>
      </c>
      <c r="AX311" s="947">
        <v>67.109990310516238</v>
      </c>
      <c r="AY311" s="947">
        <v>-26.109990310516238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89.0639634403027</v>
      </c>
      <c r="F312">
        <f t="shared" ref="F312:F357" si="1092">INDEX($R$9:$R$150,MATCH($D312,$M$9:$M$150,0))</f>
        <v>1.1768491068518661</v>
      </c>
      <c r="G312">
        <f t="shared" ref="G312:G357" si="1093">INDEX($S$9:$S$150,MATCH($D312,$M$9:$M$150,0))</f>
        <v>-0.39115319879386889</v>
      </c>
      <c r="H312">
        <f t="shared" ref="H312:H357" si="1094">INDEX($AN$9:$AN$150,MATCH($D312,$M$9:$M$150,0))</f>
        <v>6.2461638467330163</v>
      </c>
      <c r="I312">
        <f t="shared" ref="I312:I357" si="1095">INDEX($AO$9:$AO$150,MATCH($D312,$M$9:$M$150,0))</f>
        <v>16.075472317824548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3.2149999999999999</v>
      </c>
      <c r="AF312" s="82">
        <v>3</v>
      </c>
      <c r="AG312" s="82">
        <v>2</v>
      </c>
      <c r="AH312" s="82">
        <v>2</v>
      </c>
      <c r="AI312" s="82">
        <v>2.000000000007276</v>
      </c>
      <c r="AJ312" s="166">
        <v>3.21522</v>
      </c>
      <c r="AK312" s="82">
        <v>3.2151199999999998</v>
      </c>
      <c r="AL312" s="162">
        <v>0</v>
      </c>
      <c r="AM312" s="162">
        <v>0</v>
      </c>
      <c r="AN312" s="162">
        <v>0</v>
      </c>
      <c r="AO312" s="162">
        <v>-17.50999455535041</v>
      </c>
      <c r="AP312" s="162">
        <v>0</v>
      </c>
      <c r="AQ312" s="162">
        <v>0</v>
      </c>
      <c r="AR312" s="710" t="str">
        <v>32193r1.par</v>
      </c>
      <c r="AV312" s="82" t="str">
        <v>97,255,97</v>
      </c>
      <c r="AW312" s="947">
        <v>20.200000000000003</v>
      </c>
      <c r="AX312" s="947">
        <v>37.709994555350413</v>
      </c>
      <c r="AY312" s="947">
        <v>-17.50999455535041</v>
      </c>
    </row>
    <row r="313" spans="2:51" x14ac:dyDescent="0.25">
      <c r="D313" s="164">
        <v>1.107</v>
      </c>
      <c r="E313">
        <f t="shared" si="1091"/>
        <v>89.425710025052325</v>
      </c>
      <c r="F313">
        <f t="shared" si="1092"/>
        <v>1.927402630735195</v>
      </c>
      <c r="G313">
        <f t="shared" si="1093"/>
        <v>-7.8323445920825144E-2</v>
      </c>
      <c r="H313">
        <f t="shared" si="1094"/>
        <v>2.1422449892601327</v>
      </c>
      <c r="I313">
        <f t="shared" si="1095"/>
        <v>15.010735304559713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3.125</v>
      </c>
      <c r="AF313" s="82">
        <v>3</v>
      </c>
      <c r="AG313" s="82">
        <v>1</v>
      </c>
      <c r="AH313" s="82">
        <v>2</v>
      </c>
      <c r="AI313" s="82">
        <v>2.000000000007276</v>
      </c>
      <c r="AJ313" s="166">
        <v>3.1252200000000001</v>
      </c>
      <c r="AK313" s="82">
        <v>3.1251199999999999</v>
      </c>
      <c r="AL313" s="162">
        <v>0</v>
      </c>
      <c r="AM313" s="162">
        <v>0</v>
      </c>
      <c r="AN313" s="162">
        <v>0</v>
      </c>
      <c r="AO313" s="162">
        <v>-23.058848408102108</v>
      </c>
      <c r="AP313" s="162">
        <v>0</v>
      </c>
      <c r="AQ313" s="162">
        <v>0</v>
      </c>
      <c r="AR313" s="710" t="str">
        <v>1613.par</v>
      </c>
      <c r="AV313" s="82" t="str">
        <v>0,204,0</v>
      </c>
      <c r="AW313" s="947">
        <v>61.900000000000006</v>
      </c>
      <c r="AX313" s="947">
        <v>84.958848408102114</v>
      </c>
      <c r="AY313" s="947">
        <v>-23.058848408102108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3.12</v>
      </c>
      <c r="AF314" s="82">
        <v>3</v>
      </c>
      <c r="AG314" s="82">
        <v>1</v>
      </c>
      <c r="AH314" s="82">
        <v>2</v>
      </c>
      <c r="AI314" s="82">
        <v>2.000000000007276</v>
      </c>
      <c r="AJ314" s="166">
        <v>3.1202200000000002</v>
      </c>
      <c r="AK314" s="82">
        <v>3.12012</v>
      </c>
      <c r="AL314" s="162">
        <v>0</v>
      </c>
      <c r="AM314" s="162">
        <v>0</v>
      </c>
      <c r="AN314" s="162">
        <v>0</v>
      </c>
      <c r="AO314" s="162">
        <v>-23.750610463921831</v>
      </c>
      <c r="AP314" s="162">
        <v>0</v>
      </c>
      <c r="AQ314" s="162">
        <v>0</v>
      </c>
      <c r="AR314" s="710" t="str">
        <v>1613.par</v>
      </c>
      <c r="AV314" s="82" t="str">
        <v>0,204,0</v>
      </c>
      <c r="AW314" s="947">
        <v>41</v>
      </c>
      <c r="AX314" s="947">
        <v>64.750610463921831</v>
      </c>
      <c r="AY314" s="947">
        <v>-23.750610463921831</v>
      </c>
    </row>
    <row r="315" spans="2:51" x14ac:dyDescent="0.25">
      <c r="D315" s="164">
        <v>1.117</v>
      </c>
      <c r="E315">
        <f t="shared" si="1091"/>
        <v>88.671138183453195</v>
      </c>
      <c r="F315">
        <f t="shared" si="1092"/>
        <v>3.3391666503730635</v>
      </c>
      <c r="G315">
        <f t="shared" si="1093"/>
        <v>-0.62666207562351772</v>
      </c>
      <c r="H315">
        <f t="shared" si="1094"/>
        <v>-49.528137719076049</v>
      </c>
      <c r="I315">
        <f t="shared" si="1095"/>
        <v>23.197131518106772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3.1150000000000002</v>
      </c>
      <c r="AF315" s="82">
        <v>3</v>
      </c>
      <c r="AG315" s="82">
        <v>1</v>
      </c>
      <c r="AH315" s="82">
        <v>2</v>
      </c>
      <c r="AI315" s="82">
        <v>2.0000000000436557</v>
      </c>
      <c r="AJ315" s="166">
        <v>3.1152200000000003</v>
      </c>
      <c r="AK315" s="82">
        <v>3.1151200000000001</v>
      </c>
      <c r="AL315" s="162">
        <v>0</v>
      </c>
      <c r="AM315" s="162">
        <v>0</v>
      </c>
      <c r="AN315" s="162">
        <v>0</v>
      </c>
      <c r="AO315" s="162">
        <v>-19.131621798201394</v>
      </c>
      <c r="AP315" s="162">
        <v>0</v>
      </c>
      <c r="AQ315" s="162">
        <v>0</v>
      </c>
      <c r="AR315" s="710" t="str">
        <v>1613.par</v>
      </c>
      <c r="AV315" s="82" t="str">
        <v>0,204,0</v>
      </c>
      <c r="AW315" s="947">
        <v>20.200000000000003</v>
      </c>
      <c r="AX315" s="947">
        <v>39.331621798201397</v>
      </c>
      <c r="AY315" s="947">
        <v>-19.131621798201394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3.11</v>
      </c>
      <c r="AF316" s="82">
        <v>3</v>
      </c>
      <c r="AG316" s="82">
        <v>1</v>
      </c>
      <c r="AH316" s="82">
        <v>2</v>
      </c>
      <c r="AI316" s="82">
        <v>2.000000000007276</v>
      </c>
      <c r="AJ316" s="166">
        <v>3.11022</v>
      </c>
      <c r="AK316" s="82">
        <v>3.1101199999999998</v>
      </c>
      <c r="AL316" s="162">
        <v>0</v>
      </c>
      <c r="AM316" s="162">
        <v>0</v>
      </c>
      <c r="AN316" s="162">
        <v>0</v>
      </c>
      <c r="AO316" s="162">
        <v>-14.0509700977363</v>
      </c>
      <c r="AP316" s="162">
        <v>0</v>
      </c>
      <c r="AQ316" s="162">
        <v>0</v>
      </c>
      <c r="AR316" s="710" t="str">
        <v>1613.par</v>
      </c>
      <c r="AV316" s="82" t="str">
        <v>0,204,0</v>
      </c>
      <c r="AW316" s="947">
        <v>-0.5</v>
      </c>
      <c r="AX316" s="947">
        <v>13.5509700977363</v>
      </c>
      <c r="AY316" s="947">
        <v>-14.0509700977363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3.1059999999999999</v>
      </c>
      <c r="AF317" s="82">
        <v>3</v>
      </c>
      <c r="AG317" s="82">
        <v>1</v>
      </c>
      <c r="AH317" s="82">
        <v>2</v>
      </c>
      <c r="AI317" s="82">
        <v>2.000000000007276</v>
      </c>
      <c r="AJ317" s="166">
        <v>3.10622</v>
      </c>
      <c r="AK317" s="82">
        <v>3.1061199999999998</v>
      </c>
      <c r="AL317" s="162">
        <v>0</v>
      </c>
      <c r="AM317" s="162">
        <v>0</v>
      </c>
      <c r="AN317" s="162">
        <v>0</v>
      </c>
      <c r="AO317" s="162">
        <v>-16.545948821034386</v>
      </c>
      <c r="AP317" s="162">
        <v>0</v>
      </c>
      <c r="AQ317" s="162">
        <v>0</v>
      </c>
      <c r="AR317" s="710" t="str">
        <v>1613.par</v>
      </c>
      <c r="AV317" s="82" t="str">
        <v>0,204,0</v>
      </c>
      <c r="AW317" s="947">
        <v>-20</v>
      </c>
      <c r="AX317" s="947">
        <v>-3.4540511789656145</v>
      </c>
      <c r="AY317" s="947">
        <v>-16.545948821034386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3.1030000000000002</v>
      </c>
      <c r="AF318" s="82">
        <v>3</v>
      </c>
      <c r="AG318" s="82">
        <v>1</v>
      </c>
      <c r="AH318" s="82">
        <v>2</v>
      </c>
      <c r="AI318" s="82">
        <v>2.0000000000436557</v>
      </c>
      <c r="AJ318" s="166">
        <v>3.1032200000000003</v>
      </c>
      <c r="AK318" s="82">
        <v>3.1031200000000001</v>
      </c>
      <c r="AL318" s="162">
        <v>0</v>
      </c>
      <c r="AM318" s="162">
        <v>0</v>
      </c>
      <c r="AN318" s="162">
        <v>0</v>
      </c>
      <c r="AO318" s="162">
        <v>-12.02323983589957</v>
      </c>
      <c r="AP318" s="162">
        <v>0</v>
      </c>
      <c r="AQ318" s="162">
        <v>0</v>
      </c>
      <c r="AR318" s="710" t="str">
        <v>1913.par</v>
      </c>
      <c r="AV318" s="82" t="str">
        <v>0,204,0</v>
      </c>
      <c r="AW318" s="947">
        <v>-20</v>
      </c>
      <c r="AX318" s="947">
        <v>-7.9767601641004298</v>
      </c>
      <c r="AY318" s="947">
        <v>-12.02323983589957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2.226</v>
      </c>
      <c r="AF319" s="82">
        <v>2</v>
      </c>
      <c r="AG319" s="82">
        <v>2</v>
      </c>
      <c r="AH319" s="82">
        <v>2</v>
      </c>
      <c r="AI319" s="82">
        <v>2.000000000007276</v>
      </c>
      <c r="AJ319" s="166">
        <v>2.2262200000000001</v>
      </c>
      <c r="AK319" s="82">
        <v>2.2261199999999999</v>
      </c>
      <c r="AL319" s="162">
        <v>0</v>
      </c>
      <c r="AM319" s="162">
        <v>0</v>
      </c>
      <c r="AN319" s="162">
        <v>0</v>
      </c>
      <c r="AO319" s="162">
        <v>-18.899987727520198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66.099999999999994</v>
      </c>
      <c r="AX319" s="947">
        <v>84.999987727520192</v>
      </c>
      <c r="AY319" s="947">
        <v>-18.899987727520198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2.2210000000000001</v>
      </c>
      <c r="AF320" s="82">
        <v>2</v>
      </c>
      <c r="AG320" s="82">
        <v>2</v>
      </c>
      <c r="AH320" s="82">
        <v>2</v>
      </c>
      <c r="AI320" s="82">
        <v>2.000000000007276</v>
      </c>
      <c r="AJ320" s="166">
        <v>2.2212200000000002</v>
      </c>
      <c r="AK320" s="82">
        <v>2.22112</v>
      </c>
      <c r="AL320" s="162">
        <v>0</v>
      </c>
      <c r="AM320" s="162">
        <v>0</v>
      </c>
      <c r="AN320" s="162">
        <v>0</v>
      </c>
      <c r="AO320" s="162">
        <v>-27.859989451442672</v>
      </c>
      <c r="AP320" s="162">
        <v>0</v>
      </c>
      <c r="AQ320" s="162">
        <v>0</v>
      </c>
      <c r="AR320" s="710" t="str">
        <v>32193r1.par</v>
      </c>
      <c r="AV320" s="82" t="str">
        <v>255,255,91</v>
      </c>
      <c r="AW320" s="947">
        <v>45.199999999999989</v>
      </c>
      <c r="AX320" s="947">
        <v>73.059989451442661</v>
      </c>
      <c r="AY320" s="947">
        <v>-27.859989451442672</v>
      </c>
    </row>
    <row r="321" spans="4:51" x14ac:dyDescent="0.25">
      <c r="D321" s="164">
        <v>2.1160000000000001</v>
      </c>
      <c r="E321">
        <f t="shared" si="1091"/>
        <v>18.81190320275174</v>
      </c>
      <c r="F321">
        <f t="shared" si="1092"/>
        <v>3.2370505563810941</v>
      </c>
      <c r="G321">
        <f t="shared" si="1093"/>
        <v>-0.50926032561847623</v>
      </c>
      <c r="H321">
        <f t="shared" si="1094"/>
        <v>-44.435726774968067</v>
      </c>
      <c r="I321">
        <f t="shared" si="1095"/>
        <v>22.269872401611568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2.2160000000000002</v>
      </c>
      <c r="AF321" s="82">
        <v>2</v>
      </c>
      <c r="AG321" s="82">
        <v>2</v>
      </c>
      <c r="AH321" s="82">
        <v>2</v>
      </c>
      <c r="AI321" s="82">
        <v>2.0000000000436557</v>
      </c>
      <c r="AJ321" s="166">
        <v>2.2162200000000003</v>
      </c>
      <c r="AK321" s="82">
        <v>2.2161200000000001</v>
      </c>
      <c r="AL321" s="162">
        <v>0</v>
      </c>
      <c r="AM321" s="162">
        <v>0</v>
      </c>
      <c r="AN321" s="162">
        <v>0</v>
      </c>
      <c r="AO321" s="162">
        <v>-19.139993713602678</v>
      </c>
      <c r="AP321" s="162">
        <v>0</v>
      </c>
      <c r="AQ321" s="162">
        <v>0</v>
      </c>
      <c r="AR321" s="710" t="str">
        <v>32193r1.par</v>
      </c>
      <c r="AV321" s="82" t="str">
        <v>255,255,91</v>
      </c>
      <c r="AW321" s="947">
        <v>24.400000000000006</v>
      </c>
      <c r="AX321" s="947">
        <v>43.539993713602684</v>
      </c>
      <c r="AY321" s="947">
        <v>-19.139993713602678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2.1259999999999999</v>
      </c>
      <c r="AF322" s="82">
        <v>2</v>
      </c>
      <c r="AG322" s="82">
        <v>1</v>
      </c>
      <c r="AH322" s="82">
        <v>2</v>
      </c>
      <c r="AI322" s="82">
        <v>2.000000000007276</v>
      </c>
      <c r="AJ322" s="166">
        <v>2.12622</v>
      </c>
      <c r="AK322" s="82">
        <v>2.1261199999999998</v>
      </c>
      <c r="AL322" s="162">
        <v>0</v>
      </c>
      <c r="AM322" s="162">
        <v>0</v>
      </c>
      <c r="AN322" s="162">
        <v>0</v>
      </c>
      <c r="AO322" s="162">
        <v>-18.858848408102119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66.099999999999994</v>
      </c>
      <c r="AX322" s="947">
        <v>84.958848408102114</v>
      </c>
      <c r="AY322" s="947">
        <v>-18.858848408102119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2.121</v>
      </c>
      <c r="AF323" s="82">
        <v>2</v>
      </c>
      <c r="AG323" s="82">
        <v>1</v>
      </c>
      <c r="AH323" s="82">
        <v>2</v>
      </c>
      <c r="AI323" s="82">
        <v>2.000000000007276</v>
      </c>
      <c r="AJ323" s="166">
        <v>2.1212200000000001</v>
      </c>
      <c r="AK323" s="82">
        <v>2.1211199999999999</v>
      </c>
      <c r="AL323" s="162">
        <v>0</v>
      </c>
      <c r="AM323" s="162">
        <v>0</v>
      </c>
      <c r="AN323" s="162">
        <v>0</v>
      </c>
      <c r="AO323" s="162">
        <v>-24.610444241835907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45.199999999999989</v>
      </c>
      <c r="AX323" s="947">
        <v>69.810444241835896</v>
      </c>
      <c r="AY323" s="947">
        <v>-24.610444241835907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2.1160000000000001</v>
      </c>
      <c r="AF324" s="82">
        <v>2</v>
      </c>
      <c r="AG324" s="82">
        <v>1</v>
      </c>
      <c r="AH324" s="82">
        <v>2</v>
      </c>
      <c r="AI324" s="82">
        <v>2.000000000007276</v>
      </c>
      <c r="AJ324" s="166">
        <v>2.1162200000000002</v>
      </c>
      <c r="AK324" s="82">
        <v>2.11612</v>
      </c>
      <c r="AL324" s="162">
        <v>0</v>
      </c>
      <c r="AM324" s="162">
        <v>0</v>
      </c>
      <c r="AN324" s="162">
        <v>0</v>
      </c>
      <c r="AO324" s="162">
        <v>-20.035726774968062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24.400000000000006</v>
      </c>
      <c r="AX324" s="947">
        <v>44.435726774968067</v>
      </c>
      <c r="AY324" s="947">
        <v>-20.035726774968062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2.1110000000000002</v>
      </c>
      <c r="AF325" s="82">
        <v>2</v>
      </c>
      <c r="AG325" s="82">
        <v>1</v>
      </c>
      <c r="AH325" s="82">
        <v>2</v>
      </c>
      <c r="AI325" s="82">
        <v>2.0000000000436557</v>
      </c>
      <c r="AJ325" s="166">
        <v>2.1112200000000003</v>
      </c>
      <c r="AK325" s="82">
        <v>2.1111200000000001</v>
      </c>
      <c r="AL325" s="162">
        <v>0</v>
      </c>
      <c r="AM325" s="162">
        <v>0</v>
      </c>
      <c r="AN325" s="162">
        <v>0</v>
      </c>
      <c r="AO325" s="162">
        <v>-15.052253478994466</v>
      </c>
      <c r="AP325" s="162">
        <v>0</v>
      </c>
      <c r="AQ325" s="162">
        <v>0</v>
      </c>
      <c r="AR325" s="710" t="str">
        <v>1613.par</v>
      </c>
      <c r="AV325" s="82" t="str">
        <v>204,204,0</v>
      </c>
      <c r="AW325" s="947">
        <v>3.7000000000000028</v>
      </c>
      <c r="AX325" s="947">
        <v>18.752253478994469</v>
      </c>
      <c r="AY325" s="947">
        <v>-15.052253478994466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1.2270000000000001</v>
      </c>
      <c r="AF326" s="82">
        <v>1</v>
      </c>
      <c r="AG326" s="82">
        <v>2</v>
      </c>
      <c r="AH326" s="82">
        <v>2</v>
      </c>
      <c r="AI326" s="82">
        <v>2.0000000000254659</v>
      </c>
      <c r="AJ326" s="166">
        <v>1.2272200000000002</v>
      </c>
      <c r="AK326" s="82">
        <v>1.2271200000000002</v>
      </c>
      <c r="AL326" s="162">
        <v>0</v>
      </c>
      <c r="AM326" s="162">
        <v>0</v>
      </c>
      <c r="AN326" s="162">
        <v>0</v>
      </c>
      <c r="AO326" s="162">
        <v>-14.699987727520181</v>
      </c>
      <c r="AP326" s="162">
        <v>0</v>
      </c>
      <c r="AQ326" s="162">
        <v>0</v>
      </c>
      <c r="AR326" s="710" t="str">
        <v>32193r1.par</v>
      </c>
      <c r="AV326" s="82" t="str">
        <v>255,188,121</v>
      </c>
      <c r="AW326" s="947">
        <v>70.300000000000011</v>
      </c>
      <c r="AX326" s="947">
        <v>84.999987727520192</v>
      </c>
      <c r="AY326" s="947">
        <v>-14.699987727520181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1.222</v>
      </c>
      <c r="AF327" s="82">
        <v>1</v>
      </c>
      <c r="AG327" s="82">
        <v>2</v>
      </c>
      <c r="AH327" s="82">
        <v>2</v>
      </c>
      <c r="AI327" s="82">
        <v>2.000000000007276</v>
      </c>
      <c r="AJ327" s="166">
        <v>1.2222200000000001</v>
      </c>
      <c r="AK327" s="82">
        <v>1.2221200000000001</v>
      </c>
      <c r="AL327" s="162">
        <v>0</v>
      </c>
      <c r="AM327" s="162">
        <v>0</v>
      </c>
      <c r="AN327" s="162">
        <v>0</v>
      </c>
      <c r="AO327" s="162">
        <v>-29.719988590925212</v>
      </c>
      <c r="AP327" s="162">
        <v>0</v>
      </c>
      <c r="AQ327" s="162">
        <v>0</v>
      </c>
      <c r="AR327" s="710" t="str">
        <v>32193r1.par</v>
      </c>
      <c r="AV327" s="82" t="str">
        <v>255,188,121</v>
      </c>
      <c r="AW327" s="947">
        <v>49.300000000000011</v>
      </c>
      <c r="AX327" s="947">
        <v>79.019988590925223</v>
      </c>
      <c r="AY327" s="947">
        <v>-29.719988590925212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1.2170000000000001</v>
      </c>
      <c r="AF328" s="82">
        <v>1</v>
      </c>
      <c r="AG328" s="82">
        <v>2</v>
      </c>
      <c r="AH328" s="82">
        <v>2</v>
      </c>
      <c r="AI328" s="82">
        <v>2.0000000000254659</v>
      </c>
      <c r="AJ328" s="166">
        <v>1.2172200000000002</v>
      </c>
      <c r="AK328" s="82">
        <v>1.2171200000000002</v>
      </c>
      <c r="AL328" s="162">
        <v>0</v>
      </c>
      <c r="AM328" s="162">
        <v>0</v>
      </c>
      <c r="AN328" s="162">
        <v>0</v>
      </c>
      <c r="AO328" s="162">
        <v>-20.899992867523508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28.5</v>
      </c>
      <c r="AX328" s="947">
        <v>49.399992867523508</v>
      </c>
      <c r="AY328" s="947">
        <v>-20.899992867523508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1">
        <v>82.9</v>
      </c>
      <c r="AA329" s="82"/>
      <c r="AB329" s="75"/>
      <c r="AC329" s="75"/>
      <c r="AD329" s="166"/>
      <c r="AE329" s="75">
        <v>1.127</v>
      </c>
      <c r="AF329" s="82">
        <v>1</v>
      </c>
      <c r="AG329" s="82">
        <v>1</v>
      </c>
      <c r="AH329" s="82">
        <v>2</v>
      </c>
      <c r="AI329" s="82">
        <v>2.000000000007276</v>
      </c>
      <c r="AJ329" s="166">
        <v>1.1272200000000001</v>
      </c>
      <c r="AK329" s="82">
        <v>1.1271200000000001</v>
      </c>
      <c r="AL329" s="162">
        <v>0</v>
      </c>
      <c r="AM329" s="162">
        <v>0</v>
      </c>
      <c r="AN329" s="162">
        <v>0</v>
      </c>
      <c r="AO329" s="162">
        <v>-14.658848408102116</v>
      </c>
      <c r="AP329" s="162">
        <v>0</v>
      </c>
      <c r="AQ329" s="162">
        <v>0</v>
      </c>
      <c r="AR329" s="710" t="str">
        <v>1613.par</v>
      </c>
      <c r="AV329" s="82" t="str">
        <v>255,127,0</v>
      </c>
      <c r="AW329" s="947">
        <v>70.300000000000011</v>
      </c>
      <c r="AX329" s="947">
        <v>84.958848408102128</v>
      </c>
      <c r="AY329" s="947">
        <v>-14.658848408102116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1.1220000000000001</v>
      </c>
      <c r="AF330" s="82">
        <v>1</v>
      </c>
      <c r="AG330" s="82">
        <v>1</v>
      </c>
      <c r="AH330" s="82">
        <v>2</v>
      </c>
      <c r="AI330" s="82">
        <v>2.0000000000254659</v>
      </c>
      <c r="AJ330" s="166">
        <v>1.1222200000000002</v>
      </c>
      <c r="AK330" s="82">
        <v>1.1221200000000002</v>
      </c>
      <c r="AL330" s="162">
        <v>0</v>
      </c>
      <c r="AM330" s="162">
        <v>0</v>
      </c>
      <c r="AN330" s="162">
        <v>0</v>
      </c>
      <c r="AO330" s="162">
        <v>-25.564641684638275</v>
      </c>
      <c r="AP330" s="162">
        <v>0</v>
      </c>
      <c r="AQ330" s="162">
        <v>0</v>
      </c>
      <c r="AR330" s="710" t="str">
        <v>1613.par</v>
      </c>
      <c r="AV330" s="82" t="str">
        <v>255,127,0</v>
      </c>
      <c r="AW330" s="947">
        <v>49.300000000000011</v>
      </c>
      <c r="AX330" s="947">
        <v>74.864641684638286</v>
      </c>
      <c r="AY330" s="947">
        <v>-25.564641684638275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1.117</v>
      </c>
      <c r="AF331" s="82">
        <v>1</v>
      </c>
      <c r="AG331" s="82">
        <v>1</v>
      </c>
      <c r="AH331" s="82">
        <v>2</v>
      </c>
      <c r="AI331" s="82">
        <v>2.000000000007276</v>
      </c>
      <c r="AJ331" s="166">
        <v>1.1172200000000001</v>
      </c>
      <c r="AK331" s="82">
        <v>1.1171200000000001</v>
      </c>
      <c r="AL331" s="162">
        <v>0</v>
      </c>
      <c r="AM331" s="162">
        <v>0</v>
      </c>
      <c r="AN331" s="162">
        <v>0</v>
      </c>
      <c r="AO331" s="162">
        <v>-21.028137719076049</v>
      </c>
      <c r="AP331" s="162">
        <v>0</v>
      </c>
      <c r="AQ331" s="162">
        <v>0</v>
      </c>
      <c r="AR331" s="710" t="str">
        <v>1613.par</v>
      </c>
      <c r="AV331" s="82" t="str">
        <v>255,127,0</v>
      </c>
      <c r="AW331" s="947">
        <v>28.5</v>
      </c>
      <c r="AX331" s="947">
        <v>49.528137719076049</v>
      </c>
      <c r="AY331" s="947">
        <v>-21.028137719076049</v>
      </c>
    </row>
    <row r="332" spans="4:51" x14ac:dyDescent="0.25">
      <c r="D332" s="164">
        <v>3.125</v>
      </c>
      <c r="E332">
        <f t="shared" si="1091"/>
        <v>312.92703021781028</v>
      </c>
      <c r="F332">
        <f t="shared" si="1092"/>
        <v>3.6763899735491354</v>
      </c>
      <c r="G332">
        <f t="shared" si="1093"/>
        <v>-1.7961239739284378</v>
      </c>
      <c r="H332">
        <f t="shared" si="1094"/>
        <v>-84.958848408102114</v>
      </c>
      <c r="I332">
        <f t="shared" si="1095"/>
        <v>29.7310937533993</v>
      </c>
      <c r="J332" s="971">
        <v>139.80000000000001</v>
      </c>
      <c r="AA332" s="82"/>
      <c r="AB332" s="75"/>
      <c r="AC332" s="75"/>
      <c r="AD332" s="166"/>
      <c r="AE332" s="75">
        <v>1.1120000000000001</v>
      </c>
      <c r="AF332" s="82">
        <v>1</v>
      </c>
      <c r="AG332" s="82">
        <v>1</v>
      </c>
      <c r="AH332" s="82">
        <v>2</v>
      </c>
      <c r="AI332" s="82">
        <v>2.0000000000254659</v>
      </c>
      <c r="AJ332" s="166">
        <v>1.1122200000000002</v>
      </c>
      <c r="AK332" s="82">
        <v>1.1121200000000002</v>
      </c>
      <c r="AL332" s="162">
        <v>0</v>
      </c>
      <c r="AM332" s="162">
        <v>0</v>
      </c>
      <c r="AN332" s="162">
        <v>0</v>
      </c>
      <c r="AO332" s="162">
        <v>-16.127284991087731</v>
      </c>
      <c r="AP332" s="162">
        <v>0</v>
      </c>
      <c r="AQ332" s="162">
        <v>0</v>
      </c>
      <c r="AR332" s="710" t="str">
        <v>1613.par</v>
      </c>
      <c r="AV332" s="82" t="str">
        <v>255,127,0</v>
      </c>
      <c r="AW332" s="947">
        <v>7.7999999999999972</v>
      </c>
      <c r="AX332" s="947">
        <v>23.927284991087728</v>
      </c>
      <c r="AY332" s="947">
        <v>-16.127284991087731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1.107</v>
      </c>
      <c r="AF333" s="82">
        <v>1</v>
      </c>
      <c r="AG333" s="82">
        <v>1</v>
      </c>
      <c r="AH333" s="82">
        <v>2</v>
      </c>
      <c r="AI333" s="82">
        <v>2.000000000007276</v>
      </c>
      <c r="AJ333" s="166">
        <v>1.1072200000000001</v>
      </c>
      <c r="AK333" s="82">
        <v>1.1071200000000001</v>
      </c>
      <c r="AL333" s="162">
        <v>0</v>
      </c>
      <c r="AM333" s="162">
        <v>0</v>
      </c>
      <c r="AN333" s="162">
        <v>0</v>
      </c>
      <c r="AO333" s="162">
        <v>-17.857755010739869</v>
      </c>
      <c r="AP333" s="162">
        <v>0</v>
      </c>
      <c r="AQ333" s="162">
        <v>0</v>
      </c>
      <c r="AR333" s="710" t="str">
        <v>1613.par</v>
      </c>
      <c r="AV333" s="82" t="str">
        <v>255,127,0</v>
      </c>
      <c r="AW333" s="947">
        <v>-20</v>
      </c>
      <c r="AX333" s="947">
        <v>-2.1422449892601327</v>
      </c>
      <c r="AY333" s="947">
        <v>-17.857755010739869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1.1040000000000001</v>
      </c>
      <c r="AF334" s="82">
        <v>1</v>
      </c>
      <c r="AG334" s="82">
        <v>1</v>
      </c>
      <c r="AH334" s="82">
        <v>2</v>
      </c>
      <c r="AI334" s="82">
        <v>2.0000000000254659</v>
      </c>
      <c r="AJ334" s="166">
        <v>1.1042200000000002</v>
      </c>
      <c r="AK334" s="82">
        <v>1.1041200000000002</v>
      </c>
      <c r="AL334" s="162">
        <v>0</v>
      </c>
      <c r="AM334" s="162">
        <v>0</v>
      </c>
      <c r="AN334" s="162">
        <v>0</v>
      </c>
      <c r="AO334" s="162">
        <v>-13.753836153266985</v>
      </c>
      <c r="AP334" s="162">
        <v>0</v>
      </c>
      <c r="AQ334" s="162">
        <v>0</v>
      </c>
      <c r="AR334" s="710" t="str">
        <v>1913.par</v>
      </c>
      <c r="AV334" s="82" t="str">
        <v>255,127,0</v>
      </c>
      <c r="AW334" s="947">
        <v>-20</v>
      </c>
      <c r="AX334" s="947">
        <v>-6.2461638467330163</v>
      </c>
      <c r="AY334" s="947">
        <v>-13.753836153266985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1.101</v>
      </c>
      <c r="AF335" s="82">
        <v>1</v>
      </c>
      <c r="AG335" s="82">
        <v>1</v>
      </c>
      <c r="AH335" s="82">
        <v>2</v>
      </c>
      <c r="AI335" s="82">
        <v>2.000000000007276</v>
      </c>
      <c r="AJ335" s="166">
        <v>1.1012200000000001</v>
      </c>
      <c r="AK335" s="82">
        <v>1.1011200000000001</v>
      </c>
      <c r="AL335" s="162">
        <v>0</v>
      </c>
      <c r="AM335" s="162">
        <v>0</v>
      </c>
      <c r="AN335" s="162">
        <v>0</v>
      </c>
      <c r="AO335" s="162">
        <v>-3.6603539018453617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-20</v>
      </c>
      <c r="AX335" s="947">
        <v>-16.339646098154638</v>
      </c>
      <c r="AY335" s="947">
        <v>-3.6603539018453617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5.2279999999999998</v>
      </c>
      <c r="AF336" s="82">
        <v>5</v>
      </c>
      <c r="AG336" s="82">
        <v>2</v>
      </c>
      <c r="AH336" s="82">
        <v>1</v>
      </c>
      <c r="AI336" s="82">
        <v>3.0000000000291038</v>
      </c>
      <c r="AJ336" s="166">
        <v>5.2281300000000002</v>
      </c>
      <c r="AK336" s="82" t="str">
        <v>Base</v>
      </c>
      <c r="AL336" s="162">
        <v>-6.75</v>
      </c>
      <c r="AM336" s="162">
        <v>-3.652074731025615</v>
      </c>
      <c r="AN336" s="162">
        <v>-2.5544644825930027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74.5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5.2229999999999999</v>
      </c>
      <c r="AF337" s="82">
        <v>5</v>
      </c>
      <c r="AG337" s="82">
        <v>2</v>
      </c>
      <c r="AH337" s="82">
        <v>1</v>
      </c>
      <c r="AI337" s="82">
        <v>3.0000000000291038</v>
      </c>
      <c r="AJ337" s="166">
        <v>5.2231300000000003</v>
      </c>
      <c r="AK337" s="82" t="str">
        <v>Base</v>
      </c>
      <c r="AL337" s="162">
        <v>-6.75</v>
      </c>
      <c r="AM337" s="162">
        <v>-3.6499284714212994</v>
      </c>
      <c r="AN337" s="162">
        <v>-1.8078021053924829</v>
      </c>
      <c r="AO337" s="162">
        <v>84.98998772896401</v>
      </c>
      <c r="AP337" s="162">
        <v>0</v>
      </c>
      <c r="AQ337" s="162">
        <v>0</v>
      </c>
      <c r="AR337" s="710" t="str">
        <v>32193r1.par</v>
      </c>
      <c r="AV337" s="82" t="str">
        <v>121,188,255</v>
      </c>
      <c r="AW337" s="947">
        <v>53.5</v>
      </c>
      <c r="AX337" s="947">
        <v>84.98998772896401</v>
      </c>
      <c r="AY337" s="947">
        <v>0</v>
      </c>
    </row>
    <row r="338" spans="4:51" x14ac:dyDescent="0.25">
      <c r="D338" s="164">
        <v>4.1239999999999997</v>
      </c>
      <c r="E338">
        <f t="shared" si="1091"/>
        <v>232.96404176303736</v>
      </c>
      <c r="F338">
        <f t="shared" si="1092"/>
        <v>3.6763899735491368</v>
      </c>
      <c r="G338">
        <f t="shared" si="1093"/>
        <v>-1.6399235028278167</v>
      </c>
      <c r="H338">
        <f t="shared" si="1094"/>
        <v>-84.958848408102085</v>
      </c>
      <c r="I338">
        <f t="shared" si="1095"/>
        <v>29.73109375339925</v>
      </c>
      <c r="J338" s="971">
        <v>136.6</v>
      </c>
      <c r="AA338" s="82"/>
      <c r="AB338" s="75"/>
      <c r="AC338" s="75"/>
      <c r="AD338" s="166"/>
      <c r="AE338" s="75">
        <v>5.218</v>
      </c>
      <c r="AF338" s="82">
        <v>5</v>
      </c>
      <c r="AG338" s="82">
        <v>2</v>
      </c>
      <c r="AH338" s="82">
        <v>1</v>
      </c>
      <c r="AI338" s="82">
        <v>3.0000000000291038</v>
      </c>
      <c r="AJ338" s="166">
        <v>5.2181300000000004</v>
      </c>
      <c r="AK338" s="82" t="str">
        <v>Base</v>
      </c>
      <c r="AL338" s="162">
        <v>-6.75</v>
      </c>
      <c r="AM338" s="162">
        <v>-3.4204665572271904</v>
      </c>
      <c r="AN338" s="162">
        <v>-1.0791385131670195</v>
      </c>
      <c r="AO338" s="162">
        <v>55.279992018556641</v>
      </c>
      <c r="AP338" s="162">
        <v>0</v>
      </c>
      <c r="AQ338" s="162">
        <v>0</v>
      </c>
      <c r="AR338" s="710" t="str">
        <v>32193r1.par</v>
      </c>
      <c r="AV338" s="82" t="str">
        <v>121,188,255</v>
      </c>
      <c r="AW338" s="947">
        <v>32.700000000000003</v>
      </c>
      <c r="AX338" s="947">
        <v>55.279992018556641</v>
      </c>
      <c r="AY338" s="947">
        <v>0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5.1280000000000001</v>
      </c>
      <c r="AF339" s="82">
        <v>5</v>
      </c>
      <c r="AG339" s="82">
        <v>1</v>
      </c>
      <c r="AH339" s="82">
        <v>1</v>
      </c>
      <c r="AI339" s="82">
        <v>3.0000000000291038</v>
      </c>
      <c r="AJ339" s="166">
        <v>5.1281300000000005</v>
      </c>
      <c r="AK339" s="82" t="str">
        <v>Base</v>
      </c>
      <c r="AL339" s="162">
        <v>-6</v>
      </c>
      <c r="AM339" s="162">
        <v>-3.6763899735491363</v>
      </c>
      <c r="AN339" s="162">
        <v>-2.5305769263416629</v>
      </c>
      <c r="AO339" s="162">
        <v>84.958848408102128</v>
      </c>
      <c r="AP339" s="162">
        <v>-29.731093753399225</v>
      </c>
      <c r="AQ339" s="162">
        <v>0</v>
      </c>
      <c r="AR339" s="710" t="str">
        <v>1613.par</v>
      </c>
      <c r="AV339" s="82" t="str">
        <v>0,102,204</v>
      </c>
      <c r="AW339" s="947">
        <v>74.5</v>
      </c>
      <c r="AX339" s="947">
        <v>84.958848408102128</v>
      </c>
      <c r="AY339" s="947">
        <v>0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5.1230000000000002</v>
      </c>
      <c r="AF340" s="82">
        <v>5</v>
      </c>
      <c r="AG340" s="82">
        <v>1</v>
      </c>
      <c r="AH340" s="82">
        <v>1</v>
      </c>
      <c r="AI340" s="82">
        <v>3.0000000000291038</v>
      </c>
      <c r="AJ340" s="166">
        <v>5.1231300000000006</v>
      </c>
      <c r="AK340" s="82" t="str">
        <v>Base</v>
      </c>
      <c r="AL340" s="162">
        <v>-6</v>
      </c>
      <c r="AM340" s="162">
        <v>-3.6714850525293294</v>
      </c>
      <c r="AN340" s="162">
        <v>-1.7839180150010694</v>
      </c>
      <c r="AO340" s="162">
        <v>79.913905019697893</v>
      </c>
      <c r="AP340" s="162">
        <v>-28.793860688744381</v>
      </c>
      <c r="AQ340" s="162">
        <v>0</v>
      </c>
      <c r="AR340" s="710" t="str">
        <v>1613.par</v>
      </c>
      <c r="AV340" s="82" t="str">
        <v>0,102,204</v>
      </c>
      <c r="AW340" s="947">
        <v>53.5</v>
      </c>
      <c r="AX340" s="947">
        <v>79.913905019697893</v>
      </c>
      <c r="AY340" s="947">
        <v>0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5.1180000000000003</v>
      </c>
      <c r="AF341" s="82">
        <v>5</v>
      </c>
      <c r="AG341" s="82">
        <v>1</v>
      </c>
      <c r="AH341" s="82">
        <v>1</v>
      </c>
      <c r="AI341" s="82">
        <v>3.0000000001018634</v>
      </c>
      <c r="AJ341" s="166">
        <v>5.1181300000000007</v>
      </c>
      <c r="AK341" s="82" t="str">
        <v>Base</v>
      </c>
      <c r="AL341" s="162">
        <v>-6</v>
      </c>
      <c r="AM341" s="162">
        <v>-3.4289973594508538</v>
      </c>
      <c r="AN341" s="162">
        <v>-1.0534210712170553</v>
      </c>
      <c r="AO341" s="162">
        <v>54.610535577280324</v>
      </c>
      <c r="AP341" s="162">
        <v>-24.126241920524311</v>
      </c>
      <c r="AQ341" s="162">
        <v>0</v>
      </c>
      <c r="AR341" s="710" t="str">
        <v>1613.par</v>
      </c>
      <c r="AV341" s="82" t="str">
        <v>0,102,204</v>
      </c>
      <c r="AW341" s="947">
        <v>32.700000000000003</v>
      </c>
      <c r="AX341" s="947">
        <v>54.610535577280324</v>
      </c>
      <c r="AY341" s="947">
        <v>0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1">
        <v>70</v>
      </c>
      <c r="AA342" s="82"/>
      <c r="AB342" s="75"/>
      <c r="AC342" s="75"/>
      <c r="AD342" s="166"/>
      <c r="AE342" s="75">
        <v>5.1130000000000004</v>
      </c>
      <c r="AF342" s="82">
        <v>5</v>
      </c>
      <c r="AG342" s="82">
        <v>1</v>
      </c>
      <c r="AH342" s="82">
        <v>1</v>
      </c>
      <c r="AI342" s="82">
        <v>3.0000000001018634</v>
      </c>
      <c r="AJ342" s="166">
        <v>5.1131300000000008</v>
      </c>
      <c r="AK342" s="82" t="str">
        <v>Base</v>
      </c>
      <c r="AL342" s="162">
        <v>-6</v>
      </c>
      <c r="AM342" s="162">
        <v>-2.8663016148626594</v>
      </c>
      <c r="AN342" s="162">
        <v>-0.52859588321344775</v>
      </c>
      <c r="AO342" s="162">
        <v>29.080011129749568</v>
      </c>
      <c r="AP342" s="162">
        <v>-19.501903116233269</v>
      </c>
      <c r="AQ342" s="162">
        <v>0</v>
      </c>
      <c r="AR342" s="710" t="str">
        <v>1613.par</v>
      </c>
      <c r="AV342" s="82" t="str">
        <v>0,102,204</v>
      </c>
      <c r="AW342" s="947">
        <v>11.900000000000006</v>
      </c>
      <c r="AX342" s="947">
        <v>29.080011129749568</v>
      </c>
      <c r="AY342" s="947">
        <v>0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1">
        <v>70.599999999999994</v>
      </c>
      <c r="AA343" s="82"/>
      <c r="AB343" s="75"/>
      <c r="AC343" s="75"/>
      <c r="AD343" s="166"/>
      <c r="AE343" s="75">
        <v>5.1079999999999997</v>
      </c>
      <c r="AF343" s="82">
        <v>5</v>
      </c>
      <c r="AG343" s="82">
        <v>1</v>
      </c>
      <c r="AH343" s="82">
        <v>1</v>
      </c>
      <c r="AI343" s="82">
        <v>3.0000000000291038</v>
      </c>
      <c r="AJ343" s="166">
        <v>5.1081300000000001</v>
      </c>
      <c r="AK343" s="82" t="str">
        <v>Base</v>
      </c>
      <c r="AL343" s="162">
        <v>-6</v>
      </c>
      <c r="AM343" s="162">
        <v>-2.0989440852534105</v>
      </c>
      <c r="AN343" s="162">
        <v>-0.35939339027661898</v>
      </c>
      <c r="AO343" s="162">
        <v>3.0340792939718386</v>
      </c>
      <c r="AP343" s="162">
        <v>-14.963049383604226</v>
      </c>
      <c r="AQ343" s="162">
        <v>0</v>
      </c>
      <c r="AR343" s="710" t="str">
        <v>1613.par</v>
      </c>
      <c r="AV343" s="82" t="str">
        <v>0,102,204</v>
      </c>
      <c r="AW343" s="947">
        <v>-12.900000000000006</v>
      </c>
      <c r="AX343" s="947">
        <v>3.0340792939718386</v>
      </c>
      <c r="AY343" s="947">
        <v>0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4.2240000000000002</v>
      </c>
      <c r="AF344" s="82">
        <v>4</v>
      </c>
      <c r="AG344" s="82">
        <v>2</v>
      </c>
      <c r="AH344" s="82">
        <v>1</v>
      </c>
      <c r="AI344" s="82">
        <v>3.0000000000291038</v>
      </c>
      <c r="AJ344" s="166">
        <v>4.2241300000000006</v>
      </c>
      <c r="AK344" s="82" t="str">
        <v>Base</v>
      </c>
      <c r="AL344" s="162">
        <v>-5.25</v>
      </c>
      <c r="AM344" s="162">
        <v>-3.6520747310256145</v>
      </c>
      <c r="AN344" s="162">
        <v>-2.0138706176336081</v>
      </c>
      <c r="AO344" s="162">
        <v>84.999987727520178</v>
      </c>
      <c r="AP344" s="162">
        <v>0</v>
      </c>
      <c r="AQ344" s="162">
        <v>0</v>
      </c>
      <c r="AR344" s="710" t="str">
        <v>32193r1.par</v>
      </c>
      <c r="AV344" s="82" t="str">
        <v>91,255,255</v>
      </c>
      <c r="AW344" s="947">
        <v>57.699999999999989</v>
      </c>
      <c r="AX344" s="947">
        <v>84.999987727520178</v>
      </c>
      <c r="AY344" s="947">
        <v>0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4.2190000000000003</v>
      </c>
      <c r="AF345" s="82">
        <v>4</v>
      </c>
      <c r="AG345" s="82">
        <v>2</v>
      </c>
      <c r="AH345" s="82">
        <v>1</v>
      </c>
      <c r="AI345" s="82">
        <v>3.0000000001018634</v>
      </c>
      <c r="AJ345" s="166">
        <v>4.2191300000000007</v>
      </c>
      <c r="AK345" s="82" t="str">
        <v>Base</v>
      </c>
      <c r="AL345" s="162">
        <v>-5.25</v>
      </c>
      <c r="AM345" s="162">
        <v>-3.494876855510944</v>
      </c>
      <c r="AN345" s="162">
        <v>-1.2665853456501985</v>
      </c>
      <c r="AO345" s="162">
        <v>61.189991165258363</v>
      </c>
      <c r="AP345" s="162">
        <v>0</v>
      </c>
      <c r="AQ345" s="162">
        <v>0</v>
      </c>
      <c r="AR345" s="710" t="str">
        <v>32193r1.par</v>
      </c>
      <c r="AV345" s="82" t="str">
        <v>91,255,255</v>
      </c>
      <c r="AW345" s="947">
        <v>36.799999999999997</v>
      </c>
      <c r="AX345" s="947">
        <v>61.189991165258363</v>
      </c>
      <c r="AY345" s="947">
        <v>0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4.2140000000000004</v>
      </c>
      <c r="AF346" s="82">
        <v>4</v>
      </c>
      <c r="AG346" s="82">
        <v>2</v>
      </c>
      <c r="AH346" s="82">
        <v>1</v>
      </c>
      <c r="AI346" s="82">
        <v>3.0000000001018634</v>
      </c>
      <c r="AJ346" s="166">
        <v>4.2141300000000008</v>
      </c>
      <c r="AK346" s="82" t="str">
        <v>Base</v>
      </c>
      <c r="AL346" s="162">
        <v>-5.25</v>
      </c>
      <c r="AM346" s="162">
        <v>-2.9979173928398555</v>
      </c>
      <c r="AN346" s="162">
        <v>-0.68429651176413997</v>
      </c>
      <c r="AO346" s="162">
        <v>31.899995394210528</v>
      </c>
      <c r="AP346" s="162">
        <v>0</v>
      </c>
      <c r="AQ346" s="162">
        <v>0</v>
      </c>
      <c r="AR346" s="710" t="str">
        <v>32193r1.par</v>
      </c>
      <c r="AV346" s="82" t="str">
        <v>91,255,255</v>
      </c>
      <c r="AW346" s="947">
        <v>16.099999999999994</v>
      </c>
      <c r="AX346" s="947">
        <v>31.899995394210528</v>
      </c>
      <c r="AY346" s="947">
        <v>0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4.1239999999999997</v>
      </c>
      <c r="AF347" s="82">
        <v>4</v>
      </c>
      <c r="AG347" s="82">
        <v>1</v>
      </c>
      <c r="AH347" s="82">
        <v>1</v>
      </c>
      <c r="AI347" s="82">
        <v>3.0000000000291038</v>
      </c>
      <c r="AJ347" s="166">
        <v>4.1241300000000001</v>
      </c>
      <c r="AK347" s="82" t="str">
        <v>Base</v>
      </c>
      <c r="AL347" s="162">
        <v>-4.5</v>
      </c>
      <c r="AM347" s="162">
        <v>-3.6763899735491368</v>
      </c>
      <c r="AN347" s="162">
        <v>-1.9913489011150776</v>
      </c>
      <c r="AO347" s="162">
        <v>84.958848408102085</v>
      </c>
      <c r="AP347" s="162">
        <v>-29.73109375339925</v>
      </c>
      <c r="AQ347" s="162">
        <v>0</v>
      </c>
      <c r="AR347" s="710" t="str">
        <v>1613.par</v>
      </c>
      <c r="AV347" s="82" t="str">
        <v>0,204,204</v>
      </c>
      <c r="AW347" s="947">
        <v>57.699999999999989</v>
      </c>
      <c r="AX347" s="947">
        <v>84.958848408102085</v>
      </c>
      <c r="AY347" s="947">
        <v>0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4.1189999999999998</v>
      </c>
      <c r="AF348" s="82">
        <v>4</v>
      </c>
      <c r="AG348" s="82">
        <v>1</v>
      </c>
      <c r="AH348" s="82">
        <v>1</v>
      </c>
      <c r="AI348" s="82">
        <v>3.0000000000291038</v>
      </c>
      <c r="AJ348" s="166">
        <v>4.1191300000000002</v>
      </c>
      <c r="AK348" s="82" t="str">
        <v>Base</v>
      </c>
      <c r="AL348" s="162">
        <v>-4.5</v>
      </c>
      <c r="AM348" s="162">
        <v>-3.5057517463881398</v>
      </c>
      <c r="AN348" s="162">
        <v>-1.2406564870593919</v>
      </c>
      <c r="AO348" s="162">
        <v>59.684305452381174</v>
      </c>
      <c r="AP348" s="162">
        <v>-25.057004984027962</v>
      </c>
      <c r="AQ348" s="162">
        <v>0</v>
      </c>
      <c r="AR348" s="710" t="str">
        <v>1613.par</v>
      </c>
      <c r="AV348" s="82" t="str">
        <v>0,204,204</v>
      </c>
      <c r="AW348" s="947">
        <v>36.799999999999997</v>
      </c>
      <c r="AX348" s="947">
        <v>59.684305452381174</v>
      </c>
      <c r="AY348" s="947">
        <v>0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4.1139999999999999</v>
      </c>
      <c r="AF349" s="82">
        <v>4</v>
      </c>
      <c r="AG349" s="82">
        <v>1</v>
      </c>
      <c r="AH349" s="82">
        <v>1</v>
      </c>
      <c r="AI349" s="82">
        <v>3.0000000000291038</v>
      </c>
      <c r="AJ349" s="166">
        <v>4.1141300000000003</v>
      </c>
      <c r="AK349" s="82" t="str">
        <v>Base</v>
      </c>
      <c r="AL349" s="162">
        <v>-4.5</v>
      </c>
      <c r="AM349" s="162">
        <v>-2.9994266191990069</v>
      </c>
      <c r="AN349" s="162">
        <v>-0.66112713976090598</v>
      </c>
      <c r="AO349" s="162">
        <v>34.21383592778119</v>
      </c>
      <c r="AP349" s="162">
        <v>-20.421917838998581</v>
      </c>
      <c r="AQ349" s="162">
        <v>0</v>
      </c>
      <c r="AR349" s="710" t="str">
        <v>1613.par</v>
      </c>
      <c r="AV349" s="82" t="str">
        <v>0,204,204</v>
      </c>
      <c r="AW349" s="947">
        <v>16.099999999999994</v>
      </c>
      <c r="AX349" s="947">
        <v>34.21383592778119</v>
      </c>
      <c r="AY349" s="947">
        <v>0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4.109</v>
      </c>
      <c r="AF350" s="82">
        <v>4</v>
      </c>
      <c r="AG350" s="82">
        <v>1</v>
      </c>
      <c r="AH350" s="82">
        <v>1</v>
      </c>
      <c r="AI350" s="82">
        <v>3.0000000000291038</v>
      </c>
      <c r="AJ350" s="166">
        <v>4.1091300000000004</v>
      </c>
      <c r="AK350" s="82" t="str">
        <v>Base</v>
      </c>
      <c r="AL350" s="162">
        <v>-4.5</v>
      </c>
      <c r="AM350" s="162">
        <v>-2.2716346233806917</v>
      </c>
      <c r="AN350" s="162">
        <v>-0.41174748057872546</v>
      </c>
      <c r="AO350" s="162">
        <v>8.3186955474278008</v>
      </c>
      <c r="AP350" s="162">
        <v>-15.860276532774082</v>
      </c>
      <c r="AQ350" s="162">
        <v>0</v>
      </c>
      <c r="AR350" s="710" t="str">
        <v>1613.par</v>
      </c>
      <c r="AV350" s="82" t="str">
        <v>0,204,204</v>
      </c>
      <c r="AW350" s="947">
        <v>-4.5999999999999943</v>
      </c>
      <c r="AX350" s="947">
        <v>8.3186955474278008</v>
      </c>
      <c r="AY350" s="947">
        <v>0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4.1050000000000004</v>
      </c>
      <c r="AF351" s="82">
        <v>4</v>
      </c>
      <c r="AG351" s="82">
        <v>1</v>
      </c>
      <c r="AH351" s="82">
        <v>1</v>
      </c>
      <c r="AI351" s="82">
        <v>3.0000000001018634</v>
      </c>
      <c r="AJ351" s="166">
        <v>4.1051300000000008</v>
      </c>
      <c r="AK351" s="82" t="str">
        <v>Base</v>
      </c>
      <c r="AL351" s="162">
        <v>-4.5</v>
      </c>
      <c r="AM351" s="162">
        <v>-1.4605128276860875</v>
      </c>
      <c r="AN351" s="162">
        <v>-0.63973401227709559</v>
      </c>
      <c r="AO351" s="162">
        <v>-4.8193491845055059</v>
      </c>
      <c r="AP351" s="162">
        <v>-15.045087330454345</v>
      </c>
      <c r="AQ351" s="162">
        <v>0</v>
      </c>
      <c r="AR351" s="710" t="str">
        <v>1913.par</v>
      </c>
      <c r="AV351" s="82" t="str">
        <v>0,204,204</v>
      </c>
      <c r="AW351" s="947">
        <v>-20</v>
      </c>
      <c r="AX351" s="947">
        <v>-4.8193491845055059</v>
      </c>
      <c r="AY351" s="947">
        <v>0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4.1020000000000003</v>
      </c>
      <c r="AF352" s="82">
        <v>4</v>
      </c>
      <c r="AG352" s="82">
        <v>1</v>
      </c>
      <c r="AH352" s="82">
        <v>1</v>
      </c>
      <c r="AI352" s="82">
        <v>3.0000000001018634</v>
      </c>
      <c r="AJ352" s="166">
        <v>4.1021300000000007</v>
      </c>
      <c r="AK352" s="82" t="str">
        <v>Base</v>
      </c>
      <c r="AL352" s="162">
        <v>-4.5</v>
      </c>
      <c r="AM352" s="162">
        <v>-0.60957584921410435</v>
      </c>
      <c r="AN352" s="162">
        <v>-0.95032919074890687</v>
      </c>
      <c r="AO352" s="162">
        <v>-11.06979942227813</v>
      </c>
      <c r="AP352" s="162">
        <v>-19.264111801865333</v>
      </c>
      <c r="AQ352" s="162">
        <v>0</v>
      </c>
      <c r="AR352" s="710" t="str">
        <v>1913.par</v>
      </c>
      <c r="AV352" s="82" t="str">
        <v>0,204,204</v>
      </c>
      <c r="AW352" s="947">
        <v>-20</v>
      </c>
      <c r="AX352" s="947">
        <v>-11.06979942227813</v>
      </c>
      <c r="AY352" s="947">
        <v>0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3.2250000000000001</v>
      </c>
      <c r="AF353" s="82">
        <v>3</v>
      </c>
      <c r="AG353" s="82">
        <v>2</v>
      </c>
      <c r="AH353" s="82">
        <v>1</v>
      </c>
      <c r="AI353" s="82">
        <v>2.999999999992724</v>
      </c>
      <c r="AJ353" s="166">
        <v>3.2251300000000001</v>
      </c>
      <c r="AK353" s="82" t="str">
        <v>Base</v>
      </c>
      <c r="AL353" s="162">
        <v>-3.75</v>
      </c>
      <c r="AM353" s="162">
        <v>-3.6520747310256145</v>
      </c>
      <c r="AN353" s="162">
        <v>-2.2259411750062128</v>
      </c>
      <c r="AO353" s="162">
        <v>84.999987727520178</v>
      </c>
      <c r="AP353" s="162">
        <v>0</v>
      </c>
      <c r="AQ353" s="162">
        <v>0</v>
      </c>
      <c r="AR353" s="710" t="str">
        <v>32193r1.par</v>
      </c>
      <c r="AV353" s="82" t="str">
        <v>97,255,97</v>
      </c>
      <c r="AW353" s="947">
        <v>61.900000000000006</v>
      </c>
      <c r="AX353" s="947">
        <v>84.999987727520178</v>
      </c>
      <c r="AY353" s="947">
        <v>0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3.22</v>
      </c>
      <c r="AF354" s="82">
        <v>3</v>
      </c>
      <c r="AG354" s="82">
        <v>2</v>
      </c>
      <c r="AH354" s="82">
        <v>1</v>
      </c>
      <c r="AI354" s="82">
        <v>3.0000000000291038</v>
      </c>
      <c r="AJ354" s="166">
        <v>3.2201300000000002</v>
      </c>
      <c r="AK354" s="82" t="str">
        <v>Base</v>
      </c>
      <c r="AL354" s="162">
        <v>-3.75</v>
      </c>
      <c r="AM354" s="162">
        <v>-3.5553462929591331</v>
      </c>
      <c r="AN354" s="162">
        <v>-1.4641764506375341</v>
      </c>
      <c r="AO354" s="162">
        <v>67.109990310516238</v>
      </c>
      <c r="AP354" s="162">
        <v>0</v>
      </c>
      <c r="AQ354" s="162">
        <v>0</v>
      </c>
      <c r="AR354" s="710" t="str">
        <v>32193r1.par</v>
      </c>
      <c r="AV354" s="82" t="str">
        <v>97,255,97</v>
      </c>
      <c r="AW354" s="947">
        <v>41</v>
      </c>
      <c r="AX354" s="947">
        <v>67.109990310516238</v>
      </c>
      <c r="AY354" s="947">
        <v>0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3.2149999999999999</v>
      </c>
      <c r="AF355" s="82">
        <v>3</v>
      </c>
      <c r="AG355" s="82">
        <v>2</v>
      </c>
      <c r="AH355" s="82">
        <v>1</v>
      </c>
      <c r="AI355" s="82">
        <v>2.999999999992724</v>
      </c>
      <c r="AJ355" s="166">
        <v>3.2151299999999998</v>
      </c>
      <c r="AK355" s="82" t="str">
        <v>Base</v>
      </c>
      <c r="AL355" s="162">
        <v>-3.75</v>
      </c>
      <c r="AM355" s="162">
        <v>-3.120575982702475</v>
      </c>
      <c r="AN355" s="162">
        <v>-0.83461128075142754</v>
      </c>
      <c r="AO355" s="162">
        <v>37.709994555350413</v>
      </c>
      <c r="AP355" s="162">
        <v>0</v>
      </c>
      <c r="AQ355" s="162">
        <v>0</v>
      </c>
      <c r="AR355" s="710" t="str">
        <v>32193r1.par</v>
      </c>
      <c r="AV355" s="82" t="str">
        <v>97,255,97</v>
      </c>
      <c r="AW355" s="947">
        <v>20.200000000000003</v>
      </c>
      <c r="AX355" s="947">
        <v>37.709994555350413</v>
      </c>
      <c r="AY355" s="947">
        <v>0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3.125</v>
      </c>
      <c r="AF356" s="82">
        <v>3</v>
      </c>
      <c r="AG356" s="82">
        <v>1</v>
      </c>
      <c r="AH356" s="82">
        <v>1</v>
      </c>
      <c r="AI356" s="82">
        <v>2.999999999992724</v>
      </c>
      <c r="AJ356" s="166">
        <v>3.12513</v>
      </c>
      <c r="AK356" s="82" t="str">
        <v>Base</v>
      </c>
      <c r="AL356" s="162">
        <v>-3</v>
      </c>
      <c r="AM356" s="162">
        <v>-3.6763899735491354</v>
      </c>
      <c r="AN356" s="162">
        <v>-2.2030792253001961</v>
      </c>
      <c r="AO356" s="162">
        <v>84.958848408102114</v>
      </c>
      <c r="AP356" s="162">
        <v>-29.7310937533993</v>
      </c>
      <c r="AQ356" s="162">
        <v>0</v>
      </c>
      <c r="AR356" s="710" t="str">
        <v>1613.par</v>
      </c>
      <c r="AV356" s="82" t="str">
        <v>0,204,0</v>
      </c>
      <c r="AW356" s="947">
        <v>61.900000000000006</v>
      </c>
      <c r="AX356" s="947">
        <v>84.958848408102114</v>
      </c>
      <c r="AY356" s="947">
        <v>0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3.12</v>
      </c>
      <c r="AF357" s="82">
        <v>3</v>
      </c>
      <c r="AG357" s="82">
        <v>1</v>
      </c>
      <c r="AH357" s="82">
        <v>1</v>
      </c>
      <c r="AI357" s="82">
        <v>2.999999999992724</v>
      </c>
      <c r="AJ357" s="166">
        <v>3.1201300000000001</v>
      </c>
      <c r="AK357" s="82" t="str">
        <v>Base</v>
      </c>
      <c r="AL357" s="162">
        <v>-3</v>
      </c>
      <c r="AM357" s="162">
        <v>-3.5687388749237061</v>
      </c>
      <c r="AN357" s="162">
        <v>-1.4382930084890098</v>
      </c>
      <c r="AO357" s="162">
        <v>64.750610463921831</v>
      </c>
      <c r="AP357" s="162">
        <v>-25.989257556112339</v>
      </c>
      <c r="AQ357" s="162">
        <v>0</v>
      </c>
      <c r="AR357" s="710" t="str">
        <v>1613.par</v>
      </c>
      <c r="AV357" s="82" t="str">
        <v>0,204,0</v>
      </c>
      <c r="AW357" s="947">
        <v>41</v>
      </c>
      <c r="AX357" s="947">
        <v>64.750610463921831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3.1150000000000002</v>
      </c>
      <c r="AF358" s="82">
        <v>3</v>
      </c>
      <c r="AG358" s="82">
        <v>1</v>
      </c>
      <c r="AH358" s="82">
        <v>1</v>
      </c>
      <c r="AI358" s="82">
        <v>3.0000000000291038</v>
      </c>
      <c r="AJ358" s="166">
        <v>3.1151300000000002</v>
      </c>
      <c r="AK358" s="82" t="str">
        <v>Base</v>
      </c>
      <c r="AL358" s="162">
        <v>-3</v>
      </c>
      <c r="AM358" s="162">
        <v>-3.1234401255759972</v>
      </c>
      <c r="AN358" s="162">
        <v>-0.81064713021074808</v>
      </c>
      <c r="AO358" s="162">
        <v>39.331621798201397</v>
      </c>
      <c r="AP358" s="162">
        <v>-21.344699921723134</v>
      </c>
      <c r="AQ358" s="162">
        <v>0</v>
      </c>
      <c r="AR358" s="710" t="str">
        <v>1613.par</v>
      </c>
      <c r="AV358" s="82" t="str">
        <v>0,204,0</v>
      </c>
      <c r="AW358" s="947">
        <v>20.200000000000003</v>
      </c>
      <c r="AX358" s="947">
        <v>39.331621798201397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3.11</v>
      </c>
      <c r="AF359" s="82">
        <v>3</v>
      </c>
      <c r="AG359" s="82">
        <v>1</v>
      </c>
      <c r="AH359" s="82">
        <v>1</v>
      </c>
      <c r="AI359" s="82">
        <v>2.999999999992724</v>
      </c>
      <c r="AJ359" s="166">
        <v>3.1101299999999998</v>
      </c>
      <c r="AK359" s="82" t="str">
        <v>Base</v>
      </c>
      <c r="AL359" s="162">
        <v>-3</v>
      </c>
      <c r="AM359" s="162">
        <v>-2.426280184175504</v>
      </c>
      <c r="AN359" s="162">
        <v>-0.48518740258062187</v>
      </c>
      <c r="AO359" s="162">
        <v>13.5509700977363</v>
      </c>
      <c r="AP359" s="162">
        <v>-16.763541572912672</v>
      </c>
      <c r="AQ359" s="162">
        <v>0</v>
      </c>
      <c r="AR359" s="710" t="str">
        <v>1613.par</v>
      </c>
      <c r="AV359" s="82" t="str">
        <v>0,204,0</v>
      </c>
      <c r="AW359" s="947">
        <v>-0.5</v>
      </c>
      <c r="AX359" s="947">
        <v>13.5509700977363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3.1059999999999999</v>
      </c>
      <c r="AF360" s="82">
        <v>3</v>
      </c>
      <c r="AG360" s="82">
        <v>1</v>
      </c>
      <c r="AH360" s="82">
        <v>1</v>
      </c>
      <c r="AI360" s="82">
        <v>2.999999999992724</v>
      </c>
      <c r="AJ360" s="166">
        <v>3.1061299999999998</v>
      </c>
      <c r="AK360" s="82" t="str">
        <v>Base</v>
      </c>
      <c r="AL360" s="162">
        <v>-3</v>
      </c>
      <c r="AM360" s="162">
        <v>-1.6807064386047792</v>
      </c>
      <c r="AN360" s="162">
        <v>-0.54896043957028384</v>
      </c>
      <c r="AO360" s="162">
        <v>-3.4540511789656145</v>
      </c>
      <c r="AP360" s="162">
        <v>-15.025596167188894</v>
      </c>
      <c r="AQ360" s="162">
        <v>0</v>
      </c>
      <c r="AR360" s="710" t="str">
        <v>1613.par</v>
      </c>
      <c r="AV360" s="82" t="str">
        <v>0,204,0</v>
      </c>
      <c r="AW360" s="947">
        <v>-20</v>
      </c>
      <c r="AX360" s="947">
        <v>-3.4540511789656145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3.1030000000000002</v>
      </c>
      <c r="AF361" s="82">
        <v>3</v>
      </c>
      <c r="AG361" s="82">
        <v>1</v>
      </c>
      <c r="AH361" s="82">
        <v>1</v>
      </c>
      <c r="AI361" s="82">
        <v>3.0000000000291038</v>
      </c>
      <c r="AJ361" s="166">
        <v>3.1031300000000002</v>
      </c>
      <c r="AK361" s="82" t="str">
        <v>Base</v>
      </c>
      <c r="AL361" s="162">
        <v>-3</v>
      </c>
      <c r="AM361" s="162">
        <v>-0.89311540451662941</v>
      </c>
      <c r="AN361" s="162">
        <v>-0.90232431285535541</v>
      </c>
      <c r="AO361" s="162">
        <v>-7.9767601641004298</v>
      </c>
      <c r="AP361" s="162">
        <v>-17.128097297467228</v>
      </c>
      <c r="AQ361" s="162">
        <v>0</v>
      </c>
      <c r="AR361" s="710" t="str">
        <v>1913.par</v>
      </c>
      <c r="AV361" s="82" t="str">
        <v>0,204,0</v>
      </c>
      <c r="AW361" s="947">
        <v>-20</v>
      </c>
      <c r="AX361" s="947">
        <v>-7.9767601641004298</v>
      </c>
      <c r="AY361" s="947">
        <v>0</v>
      </c>
    </row>
    <row r="362" spans="4:51" x14ac:dyDescent="0.25">
      <c r="AE362">
        <v>2.226</v>
      </c>
      <c r="AF362" s="82">
        <v>2</v>
      </c>
      <c r="AG362">
        <v>2</v>
      </c>
      <c r="AH362">
        <v>1</v>
      </c>
      <c r="AI362">
        <v>2.999999999992724</v>
      </c>
      <c r="AJ362">
        <v>2.2261299999999999</v>
      </c>
      <c r="AK362" t="str">
        <v>Base</v>
      </c>
      <c r="AL362">
        <v>-2.25</v>
      </c>
      <c r="AM362">
        <v>-3.6520747310256154</v>
      </c>
      <c r="AN362">
        <v>-2.4277103013527261</v>
      </c>
      <c r="AO362">
        <v>84.999987727520192</v>
      </c>
      <c r="AP362">
        <v>0</v>
      </c>
      <c r="AQ362">
        <v>0</v>
      </c>
      <c r="AR362" t="str">
        <v>32193r1.par</v>
      </c>
      <c r="AV362" t="str">
        <v>255,255,91</v>
      </c>
      <c r="AW362" s="31">
        <v>66.099999999999994</v>
      </c>
      <c r="AX362" s="31">
        <v>84.999987727520192</v>
      </c>
      <c r="AY362" s="31">
        <v>0</v>
      </c>
    </row>
    <row r="363" spans="4:51" x14ac:dyDescent="0.25">
      <c r="AE363">
        <v>2.2210000000000001</v>
      </c>
      <c r="AF363" s="82">
        <v>2</v>
      </c>
      <c r="AG363">
        <v>2</v>
      </c>
      <c r="AH363">
        <v>1</v>
      </c>
      <c r="AI363">
        <v>2.999999999992724</v>
      </c>
      <c r="AJ363">
        <v>2.22113</v>
      </c>
      <c r="AK363" t="str">
        <v>Base</v>
      </c>
      <c r="AL363">
        <v>-2.25</v>
      </c>
      <c r="AM363">
        <v>-3.6015244604327941</v>
      </c>
      <c r="AN363">
        <v>-1.6565921840067481</v>
      </c>
      <c r="AO363">
        <v>73.059989451442661</v>
      </c>
      <c r="AP363">
        <v>0</v>
      </c>
      <c r="AQ363">
        <v>0</v>
      </c>
      <c r="AR363" t="str">
        <v>32193r1.par</v>
      </c>
      <c r="AV363" t="str">
        <v>255,255,91</v>
      </c>
      <c r="AW363" s="31">
        <v>45.199999999999989</v>
      </c>
      <c r="AX363" s="31">
        <v>73.059989451442661</v>
      </c>
      <c r="AY363" s="31">
        <v>0</v>
      </c>
    </row>
    <row r="364" spans="4:51" x14ac:dyDescent="0.25">
      <c r="AE364">
        <v>2.2160000000000002</v>
      </c>
      <c r="AF364" s="82">
        <v>2</v>
      </c>
      <c r="AG364">
        <v>2</v>
      </c>
      <c r="AH364">
        <v>1</v>
      </c>
      <c r="AI364">
        <v>3.0000000000291038</v>
      </c>
      <c r="AJ364">
        <v>2.2161300000000002</v>
      </c>
      <c r="AK364" t="str">
        <v>Base</v>
      </c>
      <c r="AL364">
        <v>-2.25</v>
      </c>
      <c r="AM364">
        <v>-3.2325517523043978</v>
      </c>
      <c r="AN364">
        <v>-0.98665697870684621</v>
      </c>
      <c r="AO364">
        <v>43.539993713602684</v>
      </c>
      <c r="AP364">
        <v>0</v>
      </c>
      <c r="AQ364">
        <v>0</v>
      </c>
      <c r="AR364" t="str">
        <v>32193r1.par</v>
      </c>
      <c r="AV364" t="str">
        <v>255,255,91</v>
      </c>
      <c r="AW364" s="31">
        <v>24.400000000000006</v>
      </c>
      <c r="AX364" s="31">
        <v>43.539993713602684</v>
      </c>
      <c r="AY364" s="31">
        <v>0</v>
      </c>
    </row>
    <row r="365" spans="4:51" x14ac:dyDescent="0.25">
      <c r="AE365">
        <v>2.1259999999999999</v>
      </c>
      <c r="AF365" s="82">
        <v>2</v>
      </c>
      <c r="AG365">
        <v>1</v>
      </c>
      <c r="AH365">
        <v>1</v>
      </c>
      <c r="AI365">
        <v>2.999999999992724</v>
      </c>
      <c r="AJ365">
        <v>2.1261299999999999</v>
      </c>
      <c r="AK365" t="str">
        <v>Base</v>
      </c>
      <c r="AL365">
        <v>-1.5</v>
      </c>
      <c r="AM365">
        <v>-3.6763899735491368</v>
      </c>
      <c r="AN365">
        <v>-2.4045073131015329</v>
      </c>
      <c r="AO365">
        <v>84.958848408102114</v>
      </c>
      <c r="AP365">
        <v>-29.731093753399275</v>
      </c>
      <c r="AQ365">
        <v>0</v>
      </c>
      <c r="AR365" t="str">
        <v>1613.par</v>
      </c>
      <c r="AV365" t="str">
        <v>204,204,0</v>
      </c>
      <c r="AW365" s="31">
        <v>66.099999999999994</v>
      </c>
      <c r="AX365" s="31">
        <v>84.958848408102114</v>
      </c>
      <c r="AY365" s="31">
        <v>0</v>
      </c>
    </row>
    <row r="366" spans="4:51" x14ac:dyDescent="0.25">
      <c r="AE366">
        <v>2.121</v>
      </c>
      <c r="AF366" s="82">
        <v>2</v>
      </c>
      <c r="AG366">
        <v>1</v>
      </c>
      <c r="AH366">
        <v>1</v>
      </c>
      <c r="AI366">
        <v>2.999999999992724</v>
      </c>
      <c r="AJ366">
        <v>2.12113</v>
      </c>
      <c r="AK366" t="str">
        <v>Base</v>
      </c>
      <c r="AL366">
        <v>-1.5</v>
      </c>
      <c r="AM366">
        <v>-3.6175676985535636</v>
      </c>
      <c r="AN366">
        <v>-1.6310464389944359</v>
      </c>
      <c r="AO366">
        <v>69.810444241835896</v>
      </c>
      <c r="AP366">
        <v>-26.922880210706143</v>
      </c>
      <c r="AQ366">
        <v>0</v>
      </c>
      <c r="AR366" t="str">
        <v>1613.par</v>
      </c>
      <c r="AV366" t="str">
        <v>204,204,0</v>
      </c>
      <c r="AW366" s="31">
        <v>45.199999999999989</v>
      </c>
      <c r="AX366" s="31">
        <v>69.810444241835896</v>
      </c>
      <c r="AY366" s="31">
        <v>0</v>
      </c>
    </row>
    <row r="367" spans="4:51" x14ac:dyDescent="0.25">
      <c r="AE367">
        <v>2.1160000000000001</v>
      </c>
      <c r="AF367" s="82">
        <v>2</v>
      </c>
      <c r="AG367">
        <v>1</v>
      </c>
      <c r="AH367">
        <v>1</v>
      </c>
      <c r="AI367">
        <v>2.999999999992724</v>
      </c>
      <c r="AJ367">
        <v>2.1161300000000001</v>
      </c>
      <c r="AK367" t="str">
        <v>Base</v>
      </c>
      <c r="AL367">
        <v>-1.5</v>
      </c>
      <c r="AM367">
        <v>-3.2370505563810941</v>
      </c>
      <c r="AN367">
        <v>-0.96196896100755502</v>
      </c>
      <c r="AO367">
        <v>44.435726774968067</v>
      </c>
      <c r="AP367">
        <v>-22.269872401611568</v>
      </c>
      <c r="AQ367">
        <v>0</v>
      </c>
      <c r="AR367" t="str">
        <v>1613.par</v>
      </c>
      <c r="AV367" t="str">
        <v>204,204,0</v>
      </c>
      <c r="AW367" s="31">
        <v>24.400000000000006</v>
      </c>
      <c r="AX367" s="31">
        <v>44.435726774968067</v>
      </c>
      <c r="AY367" s="31">
        <v>0</v>
      </c>
    </row>
    <row r="368" spans="4:51" x14ac:dyDescent="0.25">
      <c r="AE368">
        <v>2.1110000000000002</v>
      </c>
      <c r="AF368" s="82">
        <v>2</v>
      </c>
      <c r="AG368">
        <v>1</v>
      </c>
      <c r="AH368">
        <v>1</v>
      </c>
      <c r="AI368">
        <v>3.0000000000291038</v>
      </c>
      <c r="AJ368">
        <v>2.1111300000000002</v>
      </c>
      <c r="AK368" t="str">
        <v>Base</v>
      </c>
      <c r="AL368">
        <v>-1.5</v>
      </c>
      <c r="AM368">
        <v>-2.5780856008046751</v>
      </c>
      <c r="AN368">
        <v>-0.56482633675760574</v>
      </c>
      <c r="AO368">
        <v>18.752253478994469</v>
      </c>
      <c r="AP368">
        <v>-17.672091036433017</v>
      </c>
      <c r="AQ368">
        <v>0</v>
      </c>
      <c r="AR368" t="str">
        <v>1613.par</v>
      </c>
      <c r="AV368" t="str">
        <v>204,204,0</v>
      </c>
      <c r="AW368" s="31">
        <v>3.7000000000000028</v>
      </c>
      <c r="AX368" s="31">
        <v>18.752253478994469</v>
      </c>
      <c r="AY368" s="31">
        <v>0</v>
      </c>
    </row>
    <row r="369" spans="31:51" x14ac:dyDescent="0.25">
      <c r="AE369">
        <v>1.2270000000000001</v>
      </c>
      <c r="AF369" s="82">
        <v>1</v>
      </c>
      <c r="AG369">
        <v>2</v>
      </c>
      <c r="AH369">
        <v>1</v>
      </c>
      <c r="AI369">
        <v>3.0000000000109139</v>
      </c>
      <c r="AJ369">
        <v>1.2271300000000001</v>
      </c>
      <c r="AK369" t="str">
        <v>Base</v>
      </c>
      <c r="AL369">
        <v>-0.75</v>
      </c>
      <c r="AM369">
        <v>-3.6520747310256141</v>
      </c>
      <c r="AN369">
        <v>-2.6328630807259965</v>
      </c>
      <c r="AO369">
        <v>84.999987727520192</v>
      </c>
      <c r="AP369">
        <v>0</v>
      </c>
      <c r="AQ369">
        <v>0</v>
      </c>
      <c r="AR369" t="str">
        <v>32193r1.par</v>
      </c>
      <c r="AV369" t="str">
        <v>255,188,121</v>
      </c>
      <c r="AW369" s="31">
        <v>70.300000000000011</v>
      </c>
      <c r="AX369" s="31">
        <v>84.999987727520192</v>
      </c>
      <c r="AY369" s="31">
        <v>0</v>
      </c>
    </row>
    <row r="370" spans="31:51" x14ac:dyDescent="0.25">
      <c r="AE370">
        <v>1.222</v>
      </c>
      <c r="AF370" s="82">
        <v>1</v>
      </c>
      <c r="AG370">
        <v>2</v>
      </c>
      <c r="AH370">
        <v>1</v>
      </c>
      <c r="AI370">
        <v>2.999999999992724</v>
      </c>
      <c r="AJ370">
        <v>1.2221299999999999</v>
      </c>
      <c r="AK370" t="str">
        <v>Base</v>
      </c>
      <c r="AL370">
        <v>-0.75</v>
      </c>
      <c r="AM370">
        <v>-3.6331656940031252</v>
      </c>
      <c r="AN370">
        <v>-1.8560967337012566</v>
      </c>
      <c r="AO370">
        <v>79.019988590925223</v>
      </c>
      <c r="AP370">
        <v>0</v>
      </c>
      <c r="AQ370">
        <v>0</v>
      </c>
      <c r="AR370" t="str">
        <v>32193r1.par</v>
      </c>
      <c r="AV370" t="str">
        <v>255,188,121</v>
      </c>
      <c r="AW370" s="31">
        <v>49.300000000000011</v>
      </c>
      <c r="AX370" s="31">
        <v>79.019988590925223</v>
      </c>
      <c r="AY370" s="31">
        <v>0</v>
      </c>
    </row>
    <row r="371" spans="31:51" x14ac:dyDescent="0.25">
      <c r="AE371">
        <v>1.2170000000000001</v>
      </c>
      <c r="AF371" s="82">
        <v>1</v>
      </c>
      <c r="AG371">
        <v>2</v>
      </c>
      <c r="AH371">
        <v>1</v>
      </c>
      <c r="AI371">
        <v>3.0000000000109139</v>
      </c>
      <c r="AJ371">
        <v>1.21713</v>
      </c>
      <c r="AK371" t="str">
        <v>Base</v>
      </c>
      <c r="AL371">
        <v>-0.75</v>
      </c>
      <c r="AM371">
        <v>-3.3327710697453417</v>
      </c>
      <c r="AN371">
        <v>-1.1531730308493455</v>
      </c>
      <c r="AO371">
        <v>49.399992867523508</v>
      </c>
      <c r="AP371">
        <v>0</v>
      </c>
      <c r="AQ371">
        <v>0</v>
      </c>
      <c r="AR371" t="str">
        <v>32193r1.par</v>
      </c>
      <c r="AV371" t="str">
        <v>255,188,121</v>
      </c>
      <c r="AW371" s="31">
        <v>28.5</v>
      </c>
      <c r="AX371" s="31">
        <v>49.399992867523508</v>
      </c>
      <c r="AY371" s="31">
        <v>0</v>
      </c>
    </row>
    <row r="372" spans="31:51" x14ac:dyDescent="0.25">
      <c r="AE372">
        <v>1.127</v>
      </c>
      <c r="AF372" s="82">
        <v>1</v>
      </c>
      <c r="AG372">
        <v>1</v>
      </c>
      <c r="AH372">
        <v>1</v>
      </c>
      <c r="AI372">
        <v>2.999999999992724</v>
      </c>
      <c r="AJ372">
        <v>1.12713</v>
      </c>
      <c r="AK372" t="str">
        <v>Base</v>
      </c>
      <c r="AL372">
        <v>0</v>
      </c>
      <c r="AM372">
        <v>-3.6763899735491345</v>
      </c>
      <c r="AN372">
        <v>-2.6093182299458739</v>
      </c>
      <c r="AO372">
        <v>84.958848408102128</v>
      </c>
      <c r="AP372">
        <v>-29.73109375339925</v>
      </c>
      <c r="AQ372">
        <v>0</v>
      </c>
      <c r="AR372" t="str">
        <v>1613.par</v>
      </c>
      <c r="AV372" t="str">
        <v>255,127,0</v>
      </c>
      <c r="AW372" s="31">
        <v>70.300000000000011</v>
      </c>
      <c r="AX372" s="31">
        <v>84.958848408102128</v>
      </c>
      <c r="AY372" s="31">
        <v>0</v>
      </c>
    </row>
    <row r="373" spans="31:51" x14ac:dyDescent="0.25">
      <c r="AE373">
        <v>1.1220000000000001</v>
      </c>
      <c r="AF373" s="82">
        <v>1</v>
      </c>
      <c r="AG373">
        <v>1</v>
      </c>
      <c r="AH373">
        <v>1</v>
      </c>
      <c r="AI373">
        <v>3.0000000000109139</v>
      </c>
      <c r="AJ373">
        <v>1.1221300000000001</v>
      </c>
      <c r="AK373" t="str">
        <v>Base</v>
      </c>
      <c r="AL373">
        <v>0</v>
      </c>
      <c r="AM373">
        <v>-3.651946953520572</v>
      </c>
      <c r="AN373">
        <v>-1.8312102861210406</v>
      </c>
      <c r="AO373">
        <v>74.864641684638286</v>
      </c>
      <c r="AP373">
        <v>-27.857777741111491</v>
      </c>
      <c r="AQ373">
        <v>0</v>
      </c>
      <c r="AR373" t="str">
        <v>1613.par</v>
      </c>
      <c r="AV373" t="str">
        <v>255,127,0</v>
      </c>
      <c r="AW373" s="31">
        <v>49.300000000000011</v>
      </c>
      <c r="AX373" s="31">
        <v>74.864641684638286</v>
      </c>
      <c r="AY373" s="31">
        <v>0</v>
      </c>
    </row>
    <row r="374" spans="31:51" x14ac:dyDescent="0.25">
      <c r="AE374">
        <v>1.117</v>
      </c>
      <c r="AF374">
        <v>1</v>
      </c>
      <c r="AG374">
        <v>1</v>
      </c>
      <c r="AH374">
        <v>1</v>
      </c>
      <c r="AI374">
        <v>2.999999999992724</v>
      </c>
      <c r="AJ374">
        <v>1.11713</v>
      </c>
      <c r="AK374" t="str">
        <v>Base</v>
      </c>
      <c r="AL374">
        <v>0</v>
      </c>
      <c r="AM374">
        <v>-3.3391666503730635</v>
      </c>
      <c r="AN374">
        <v>-1.1278840686380835</v>
      </c>
      <c r="AO374">
        <v>49.528137719076049</v>
      </c>
      <c r="AP374">
        <v>-23.197131518106772</v>
      </c>
      <c r="AQ374">
        <v>0</v>
      </c>
      <c r="AR374" t="str">
        <v>1613.par</v>
      </c>
      <c r="AV374" t="str">
        <v>255,127,0</v>
      </c>
      <c r="AW374" s="31">
        <v>28.5</v>
      </c>
      <c r="AX374" s="31">
        <v>49.528137719076049</v>
      </c>
      <c r="AY374" s="31">
        <v>0</v>
      </c>
    </row>
    <row r="375" spans="31:51" x14ac:dyDescent="0.25">
      <c r="AE375">
        <v>1.1120000000000001</v>
      </c>
      <c r="AF375">
        <v>1</v>
      </c>
      <c r="AG375">
        <v>1</v>
      </c>
      <c r="AH375">
        <v>1</v>
      </c>
      <c r="AI375">
        <v>3.0000000000109139</v>
      </c>
      <c r="AJ375">
        <v>1.1121300000000001</v>
      </c>
      <c r="AK375" t="str">
        <v>Base</v>
      </c>
      <c r="AL375">
        <v>0</v>
      </c>
      <c r="AM375">
        <v>-2.7253571079613494</v>
      </c>
      <c r="AN375">
        <v>-0.66395320745859521</v>
      </c>
      <c r="AO375">
        <v>23.927284991087728</v>
      </c>
      <c r="AP375">
        <v>-18.585107858000455</v>
      </c>
      <c r="AQ375">
        <v>0</v>
      </c>
      <c r="AR375" t="str">
        <v>1613.par</v>
      </c>
      <c r="AV375" t="str">
        <v>255,127,0</v>
      </c>
      <c r="AW375" s="31">
        <v>7.7999999999999972</v>
      </c>
      <c r="AX375" s="31">
        <v>23.927284991087728</v>
      </c>
      <c r="AY375" s="31">
        <v>0</v>
      </c>
    </row>
    <row r="376" spans="31:51" x14ac:dyDescent="0.25">
      <c r="AE376">
        <v>1.107</v>
      </c>
      <c r="AF376">
        <v>1</v>
      </c>
      <c r="AG376">
        <v>1</v>
      </c>
      <c r="AH376">
        <v>1</v>
      </c>
      <c r="AI376">
        <v>2.999999999992724</v>
      </c>
      <c r="AJ376">
        <v>1.1071299999999999</v>
      </c>
      <c r="AK376" t="str">
        <v>Base</v>
      </c>
      <c r="AL376">
        <v>0</v>
      </c>
      <c r="AM376">
        <v>-1.927402630735195</v>
      </c>
      <c r="AN376">
        <v>-0.58006944715872377</v>
      </c>
      <c r="AO376">
        <v>-2.1422449892601327</v>
      </c>
      <c r="AP376">
        <v>-15.010735304559713</v>
      </c>
      <c r="AQ376">
        <v>0</v>
      </c>
      <c r="AR376" t="str">
        <v>1613.par</v>
      </c>
      <c r="AV376" t="str">
        <v>255,127,0</v>
      </c>
      <c r="AW376" s="31">
        <v>-20</v>
      </c>
      <c r="AX376" s="31">
        <v>-2.1422449892601327</v>
      </c>
      <c r="AY376" s="31">
        <v>0</v>
      </c>
    </row>
    <row r="377" spans="31:51" x14ac:dyDescent="0.25">
      <c r="AE377">
        <v>1.1040000000000001</v>
      </c>
      <c r="AF377">
        <v>1</v>
      </c>
      <c r="AG377">
        <v>1</v>
      </c>
      <c r="AH377">
        <v>1</v>
      </c>
      <c r="AI377">
        <v>3.0000000000109139</v>
      </c>
      <c r="AJ377">
        <v>1.1041300000000001</v>
      </c>
      <c r="AK377" t="str">
        <v>Base</v>
      </c>
      <c r="AL377">
        <v>0</v>
      </c>
      <c r="AM377">
        <v>-1.1768491068518661</v>
      </c>
      <c r="AN377">
        <v>-0.89264798713023885</v>
      </c>
      <c r="AO377">
        <v>-6.2461638467330163</v>
      </c>
      <c r="AP377">
        <v>-16.075472317824548</v>
      </c>
      <c r="AQ377">
        <v>0</v>
      </c>
      <c r="AR377" t="str">
        <v>1913.par</v>
      </c>
      <c r="AV377" t="str">
        <v>255,127,0</v>
      </c>
      <c r="AW377" s="31">
        <v>-20</v>
      </c>
      <c r="AX377" s="31">
        <v>-6.2461638467330163</v>
      </c>
      <c r="AY377" s="31">
        <v>0</v>
      </c>
    </row>
    <row r="378" spans="31:51" x14ac:dyDescent="0.25">
      <c r="AE378">
        <v>1.101</v>
      </c>
      <c r="AF378">
        <v>1</v>
      </c>
      <c r="AG378">
        <v>1</v>
      </c>
      <c r="AH378">
        <v>1</v>
      </c>
      <c r="AI378">
        <v>2.999999999992724</v>
      </c>
      <c r="AJ378">
        <v>1.1011299999999999</v>
      </c>
      <c r="AK378" t="str">
        <v>Base</v>
      </c>
      <c r="AL378">
        <v>0</v>
      </c>
      <c r="AM378">
        <v>-0.34417298027040027</v>
      </c>
      <c r="AN378">
        <v>-1.1299486130463157</v>
      </c>
      <c r="AO378">
        <v>-16.339646098154638</v>
      </c>
      <c r="AP378">
        <v>-22.678960175933817</v>
      </c>
      <c r="AQ378">
        <v>0</v>
      </c>
      <c r="AR378" t="str">
        <v>1613.par</v>
      </c>
      <c r="AV378" t="str">
        <v>255,127,0</v>
      </c>
      <c r="AW378" s="31">
        <v>-20</v>
      </c>
      <c r="AX378" s="31">
        <v>-16.339646098154638</v>
      </c>
      <c r="AY378" s="31">
        <v>0</v>
      </c>
    </row>
    <row r="379" spans="31:51" x14ac:dyDescent="0.25">
      <c r="AE379">
        <v>5.2279999999999998</v>
      </c>
      <c r="AF379">
        <v>5</v>
      </c>
      <c r="AG379">
        <v>2</v>
      </c>
      <c r="AH379">
        <v>2</v>
      </c>
      <c r="AI379">
        <v>3.0000000000291038</v>
      </c>
      <c r="AJ379">
        <v>5.2282299999999999</v>
      </c>
      <c r="AK379">
        <v>5.2281300000000002</v>
      </c>
      <c r="AL379">
        <v>0</v>
      </c>
      <c r="AM379">
        <v>0</v>
      </c>
      <c r="AN379">
        <v>0</v>
      </c>
      <c r="AO379">
        <v>-10.499987727520178</v>
      </c>
      <c r="AP379">
        <v>0</v>
      </c>
      <c r="AQ379">
        <v>0</v>
      </c>
      <c r="AR379" t="str">
        <v>32193r1.par</v>
      </c>
      <c r="AV379" t="str">
        <v>121,188,255</v>
      </c>
      <c r="AW379" s="31">
        <v>74.5</v>
      </c>
      <c r="AX379" s="31">
        <v>84.999987727520178</v>
      </c>
      <c r="AY379" s="31">
        <v>-10.499987727520178</v>
      </c>
    </row>
    <row r="380" spans="31:51" x14ac:dyDescent="0.25">
      <c r="AE380">
        <v>5.2229999999999999</v>
      </c>
      <c r="AF380">
        <v>5</v>
      </c>
      <c r="AG380">
        <v>2</v>
      </c>
      <c r="AH380">
        <v>2</v>
      </c>
      <c r="AI380">
        <v>3.0000000000291038</v>
      </c>
      <c r="AJ380">
        <v>5.22323</v>
      </c>
      <c r="AK380">
        <v>5.2231300000000003</v>
      </c>
      <c r="AL380">
        <v>0</v>
      </c>
      <c r="AM380">
        <v>0</v>
      </c>
      <c r="AN380">
        <v>0</v>
      </c>
      <c r="AO380">
        <v>-31.48998772896401</v>
      </c>
      <c r="AP380">
        <v>0</v>
      </c>
      <c r="AQ380">
        <v>0</v>
      </c>
      <c r="AR380" t="str">
        <v>32193r1.par</v>
      </c>
      <c r="AV380" t="str">
        <v>121,188,255</v>
      </c>
      <c r="AW380" s="31">
        <v>53.5</v>
      </c>
      <c r="AX380" s="31">
        <v>84.98998772896401</v>
      </c>
      <c r="AY380" s="31">
        <v>-31.48998772896401</v>
      </c>
    </row>
    <row r="381" spans="31:51" x14ac:dyDescent="0.25">
      <c r="AE381">
        <v>5.218</v>
      </c>
      <c r="AF381">
        <v>5</v>
      </c>
      <c r="AG381">
        <v>2</v>
      </c>
      <c r="AH381">
        <v>2</v>
      </c>
      <c r="AI381">
        <v>3.0000000000291038</v>
      </c>
      <c r="AJ381">
        <v>5.2182300000000001</v>
      </c>
      <c r="AK381">
        <v>5.2181300000000004</v>
      </c>
      <c r="AL381">
        <v>0</v>
      </c>
      <c r="AM381">
        <v>0</v>
      </c>
      <c r="AN381">
        <v>0</v>
      </c>
      <c r="AO381">
        <v>-22.579992018556638</v>
      </c>
      <c r="AP381">
        <v>0</v>
      </c>
      <c r="AQ381">
        <v>0</v>
      </c>
      <c r="AR381" t="str">
        <v>32193r1.par</v>
      </c>
      <c r="AV381" t="str">
        <v>121,188,255</v>
      </c>
      <c r="AW381" s="31">
        <v>32.700000000000003</v>
      </c>
      <c r="AX381" s="31">
        <v>55.279992018556641</v>
      </c>
      <c r="AY381" s="31">
        <v>-22.579992018556638</v>
      </c>
    </row>
    <row r="382" spans="31:51" x14ac:dyDescent="0.25">
      <c r="AE382">
        <v>5.1280000000000001</v>
      </c>
      <c r="AF382">
        <v>5</v>
      </c>
      <c r="AG382">
        <v>1</v>
      </c>
      <c r="AH382">
        <v>2</v>
      </c>
      <c r="AI382">
        <v>3.0000000000291038</v>
      </c>
      <c r="AJ382">
        <v>5.1282300000000003</v>
      </c>
      <c r="AK382">
        <v>5.1281300000000005</v>
      </c>
      <c r="AL382">
        <v>0</v>
      </c>
      <c r="AM382">
        <v>0</v>
      </c>
      <c r="AN382">
        <v>0</v>
      </c>
      <c r="AO382">
        <v>-10.458848408102128</v>
      </c>
      <c r="AP382">
        <v>0</v>
      </c>
      <c r="AQ382">
        <v>0</v>
      </c>
      <c r="AR382" t="str">
        <v>1613.par</v>
      </c>
      <c r="AV382" t="str">
        <v>0,102,204</v>
      </c>
      <c r="AW382" s="31">
        <v>74.5</v>
      </c>
      <c r="AX382" s="31">
        <v>84.958848408102128</v>
      </c>
      <c r="AY382" s="31">
        <v>-10.458848408102128</v>
      </c>
    </row>
    <row r="383" spans="31:51" x14ac:dyDescent="0.25">
      <c r="AE383">
        <v>5.1230000000000002</v>
      </c>
      <c r="AF383">
        <v>5</v>
      </c>
      <c r="AG383">
        <v>1</v>
      </c>
      <c r="AH383">
        <v>2</v>
      </c>
      <c r="AI383">
        <v>3.0000000000291038</v>
      </c>
      <c r="AJ383">
        <v>5.1232300000000004</v>
      </c>
      <c r="AK383">
        <v>5.1231300000000006</v>
      </c>
      <c r="AL383">
        <v>0</v>
      </c>
      <c r="AM383">
        <v>0</v>
      </c>
      <c r="AN383">
        <v>0</v>
      </c>
      <c r="AO383">
        <v>-26.413905019697893</v>
      </c>
      <c r="AP383">
        <v>0</v>
      </c>
      <c r="AQ383">
        <v>0</v>
      </c>
      <c r="AR383" t="str">
        <v>1613.par</v>
      </c>
      <c r="AV383" t="str">
        <v>0,102,204</v>
      </c>
      <c r="AW383" s="31">
        <v>53.5</v>
      </c>
      <c r="AX383" s="31">
        <v>79.913905019697893</v>
      </c>
      <c r="AY383" s="31">
        <v>-26.413905019697893</v>
      </c>
    </row>
    <row r="384" spans="31:51" x14ac:dyDescent="0.25">
      <c r="AE384">
        <v>5.1180000000000003</v>
      </c>
      <c r="AF384">
        <v>5</v>
      </c>
      <c r="AG384">
        <v>1</v>
      </c>
      <c r="AH384">
        <v>2</v>
      </c>
      <c r="AI384">
        <v>3.0000000000291038</v>
      </c>
      <c r="AJ384">
        <v>5.1182300000000005</v>
      </c>
      <c r="AK384">
        <v>5.1181300000000007</v>
      </c>
      <c r="AL384">
        <v>0</v>
      </c>
      <c r="AM384">
        <v>0</v>
      </c>
      <c r="AN384">
        <v>0</v>
      </c>
      <c r="AO384">
        <v>-21.910535577280321</v>
      </c>
      <c r="AP384">
        <v>0</v>
      </c>
      <c r="AQ384">
        <v>0</v>
      </c>
      <c r="AR384" t="str">
        <v>1613.par</v>
      </c>
      <c r="AV384" t="str">
        <v>0,102,204</v>
      </c>
      <c r="AW384" s="31">
        <v>32.700000000000003</v>
      </c>
      <c r="AX384" s="31">
        <v>54.610535577280324</v>
      </c>
      <c r="AY384" s="31">
        <v>-21.910535577280321</v>
      </c>
    </row>
    <row r="385" spans="31:51" x14ac:dyDescent="0.25">
      <c r="AE385">
        <v>5.1130000000000004</v>
      </c>
      <c r="AF385">
        <v>5</v>
      </c>
      <c r="AG385">
        <v>1</v>
      </c>
      <c r="AH385">
        <v>2</v>
      </c>
      <c r="AI385">
        <v>3.0000000000291038</v>
      </c>
      <c r="AJ385">
        <v>5.1132300000000006</v>
      </c>
      <c r="AK385">
        <v>5.1131300000000008</v>
      </c>
      <c r="AL385">
        <v>0</v>
      </c>
      <c r="AM385">
        <v>0</v>
      </c>
      <c r="AN385">
        <v>0</v>
      </c>
      <c r="AO385">
        <v>-17.180011129749563</v>
      </c>
      <c r="AP385">
        <v>0</v>
      </c>
      <c r="AQ385">
        <v>0</v>
      </c>
      <c r="AR385" t="str">
        <v>1613.par</v>
      </c>
      <c r="AV385" t="str">
        <v>0,102,204</v>
      </c>
      <c r="AW385" s="31">
        <v>11.900000000000006</v>
      </c>
      <c r="AX385" s="31">
        <v>29.080011129749568</v>
      </c>
      <c r="AY385" s="31">
        <v>-17.180011129749563</v>
      </c>
    </row>
    <row r="386" spans="31:51" x14ac:dyDescent="0.25">
      <c r="AE386">
        <v>5.1079999999999997</v>
      </c>
      <c r="AF386">
        <v>5</v>
      </c>
      <c r="AG386">
        <v>1</v>
      </c>
      <c r="AH386">
        <v>2</v>
      </c>
      <c r="AI386">
        <v>2.9999999999563443</v>
      </c>
      <c r="AJ386">
        <v>5.1082299999999998</v>
      </c>
      <c r="AK386">
        <v>5.1081300000000001</v>
      </c>
      <c r="AL386">
        <v>0</v>
      </c>
      <c r="AM386">
        <v>0</v>
      </c>
      <c r="AN386">
        <v>0</v>
      </c>
      <c r="AO386">
        <v>-15.934079293971845</v>
      </c>
      <c r="AP386">
        <v>0</v>
      </c>
      <c r="AQ386">
        <v>0</v>
      </c>
      <c r="AR386" t="str">
        <v>1613.par</v>
      </c>
      <c r="AV386" t="str">
        <v>0,102,204</v>
      </c>
      <c r="AW386" s="31">
        <v>-12.900000000000006</v>
      </c>
      <c r="AX386" s="31">
        <v>3.0340792939718386</v>
      </c>
      <c r="AY386" s="31">
        <v>-15.934079293971845</v>
      </c>
    </row>
    <row r="387" spans="31:51" x14ac:dyDescent="0.25">
      <c r="AE387">
        <v>4.2240000000000002</v>
      </c>
      <c r="AF387">
        <v>4</v>
      </c>
      <c r="AG387">
        <v>2</v>
      </c>
      <c r="AH387">
        <v>2</v>
      </c>
      <c r="AI387">
        <v>3.0000000000291038</v>
      </c>
      <c r="AJ387">
        <v>4.2242300000000004</v>
      </c>
      <c r="AK387">
        <v>4.2241300000000006</v>
      </c>
      <c r="AL387">
        <v>0</v>
      </c>
      <c r="AM387">
        <v>0</v>
      </c>
      <c r="AN387">
        <v>0</v>
      </c>
      <c r="AO387">
        <v>-27.29998772752019</v>
      </c>
      <c r="AP387">
        <v>0</v>
      </c>
      <c r="AQ387">
        <v>0</v>
      </c>
      <c r="AR387" t="str">
        <v>32193r1.par</v>
      </c>
      <c r="AV387" t="str">
        <v>91,255,255</v>
      </c>
      <c r="AW387" s="31">
        <v>57.699999999999989</v>
      </c>
      <c r="AX387" s="31">
        <v>84.999987727520178</v>
      </c>
      <c r="AY387" s="31">
        <v>-27.29998772752019</v>
      </c>
    </row>
    <row r="388" spans="31:51" x14ac:dyDescent="0.25">
      <c r="AE388">
        <v>4.2190000000000003</v>
      </c>
      <c r="AF388">
        <v>4</v>
      </c>
      <c r="AG388">
        <v>2</v>
      </c>
      <c r="AH388">
        <v>2</v>
      </c>
      <c r="AI388">
        <v>3.0000000000291038</v>
      </c>
      <c r="AJ388">
        <v>4.2192300000000005</v>
      </c>
      <c r="AK388">
        <v>4.2191300000000007</v>
      </c>
      <c r="AL388">
        <v>0</v>
      </c>
      <c r="AM388">
        <v>0</v>
      </c>
      <c r="AN388">
        <v>0</v>
      </c>
      <c r="AO388">
        <v>-24.389991165258365</v>
      </c>
      <c r="AP388">
        <v>0</v>
      </c>
      <c r="AQ388">
        <v>0</v>
      </c>
      <c r="AR388" t="str">
        <v>32193r1.par</v>
      </c>
      <c r="AV388" t="str">
        <v>91,255,255</v>
      </c>
      <c r="AW388" s="31">
        <v>36.799999999999997</v>
      </c>
      <c r="AX388" s="31">
        <v>61.189991165258363</v>
      </c>
      <c r="AY388" s="31">
        <v>-24.389991165258365</v>
      </c>
    </row>
    <row r="389" spans="31:51" x14ac:dyDescent="0.25">
      <c r="AE389">
        <v>4.2140000000000004</v>
      </c>
      <c r="AF389">
        <v>4</v>
      </c>
      <c r="AG389">
        <v>2</v>
      </c>
      <c r="AH389">
        <v>2</v>
      </c>
      <c r="AI389">
        <v>3.0000000000291038</v>
      </c>
      <c r="AJ389">
        <v>4.2142300000000006</v>
      </c>
      <c r="AK389">
        <v>4.2141300000000008</v>
      </c>
      <c r="AL389">
        <v>0</v>
      </c>
      <c r="AM389">
        <v>0</v>
      </c>
      <c r="AN389">
        <v>0</v>
      </c>
      <c r="AO389">
        <v>-15.799995394210534</v>
      </c>
      <c r="AP389">
        <v>0</v>
      </c>
      <c r="AQ389">
        <v>0</v>
      </c>
      <c r="AR389" t="str">
        <v>32193r1.par</v>
      </c>
      <c r="AV389" t="str">
        <v>91,255,255</v>
      </c>
      <c r="AW389" s="31">
        <v>16.099999999999994</v>
      </c>
      <c r="AX389" s="31">
        <v>31.899995394210528</v>
      </c>
      <c r="AY389" s="31">
        <v>-15.799995394210534</v>
      </c>
    </row>
    <row r="390" spans="31:51" x14ac:dyDescent="0.25">
      <c r="AE390">
        <v>4.1239999999999997</v>
      </c>
      <c r="AF390">
        <v>4</v>
      </c>
      <c r="AG390">
        <v>1</v>
      </c>
      <c r="AH390">
        <v>2</v>
      </c>
      <c r="AI390">
        <v>2.9999999999563443</v>
      </c>
      <c r="AJ390">
        <v>4.1242299999999998</v>
      </c>
      <c r="AK390">
        <v>4.1241300000000001</v>
      </c>
      <c r="AL390">
        <v>0</v>
      </c>
      <c r="AM390">
        <v>0</v>
      </c>
      <c r="AN390">
        <v>0</v>
      </c>
      <c r="AO390">
        <v>-27.258848408102097</v>
      </c>
      <c r="AP390">
        <v>0</v>
      </c>
      <c r="AQ390">
        <v>0</v>
      </c>
      <c r="AR390" t="str">
        <v>1613.par</v>
      </c>
      <c r="AV390" t="str">
        <v>0,204,204</v>
      </c>
      <c r="AW390" s="31">
        <v>57.699999999999989</v>
      </c>
      <c r="AX390" s="31">
        <v>84.958848408102085</v>
      </c>
      <c r="AY390" s="31">
        <v>-27.258848408102097</v>
      </c>
    </row>
    <row r="391" spans="31:51" x14ac:dyDescent="0.25">
      <c r="AE391">
        <v>4.1189999999999998</v>
      </c>
      <c r="AF391">
        <v>4</v>
      </c>
      <c r="AG391">
        <v>1</v>
      </c>
      <c r="AH391">
        <v>2</v>
      </c>
      <c r="AI391">
        <v>3.0000000000291038</v>
      </c>
      <c r="AJ391">
        <v>4.1192299999999999</v>
      </c>
      <c r="AK391">
        <v>4.1191300000000002</v>
      </c>
      <c r="AL391">
        <v>0</v>
      </c>
      <c r="AM391">
        <v>0</v>
      </c>
      <c r="AN391">
        <v>0</v>
      </c>
      <c r="AO391">
        <v>-22.884305452381177</v>
      </c>
      <c r="AP391">
        <v>0</v>
      </c>
      <c r="AQ391">
        <v>0</v>
      </c>
      <c r="AR391" t="str">
        <v>1613.par</v>
      </c>
      <c r="AV391" t="str">
        <v>0,204,204</v>
      </c>
      <c r="AW391" s="31">
        <v>36.799999999999997</v>
      </c>
      <c r="AX391" s="31">
        <v>59.684305452381174</v>
      </c>
      <c r="AY391" s="31">
        <v>-22.884305452381177</v>
      </c>
    </row>
    <row r="392" spans="31:51" x14ac:dyDescent="0.25">
      <c r="AE392">
        <v>4.1139999999999999</v>
      </c>
      <c r="AF392">
        <v>4</v>
      </c>
      <c r="AG392">
        <v>1</v>
      </c>
      <c r="AH392">
        <v>2</v>
      </c>
      <c r="AI392">
        <v>3.0000000000291038</v>
      </c>
      <c r="AJ392">
        <v>4.1142300000000001</v>
      </c>
      <c r="AK392">
        <v>4.1141300000000003</v>
      </c>
      <c r="AL392">
        <v>0</v>
      </c>
      <c r="AM392">
        <v>0</v>
      </c>
      <c r="AN392">
        <v>0</v>
      </c>
      <c r="AO392">
        <v>-18.113835927781196</v>
      </c>
      <c r="AP392">
        <v>0</v>
      </c>
      <c r="AQ392">
        <v>0</v>
      </c>
      <c r="AR392" t="str">
        <v>1613.par</v>
      </c>
      <c r="AV392" t="str">
        <v>0,204,204</v>
      </c>
      <c r="AW392" s="31">
        <v>16.099999999999994</v>
      </c>
      <c r="AX392" s="31">
        <v>34.21383592778119</v>
      </c>
      <c r="AY392" s="31">
        <v>-18.113835927781196</v>
      </c>
    </row>
    <row r="393" spans="31:51" x14ac:dyDescent="0.25">
      <c r="AE393">
        <v>4.109</v>
      </c>
      <c r="AF393">
        <v>4</v>
      </c>
      <c r="AG393">
        <v>1</v>
      </c>
      <c r="AH393">
        <v>2</v>
      </c>
      <c r="AI393">
        <v>3.0000000000291038</v>
      </c>
      <c r="AJ393">
        <v>4.1092300000000002</v>
      </c>
      <c r="AK393">
        <v>4.1091300000000004</v>
      </c>
      <c r="AL393">
        <v>0</v>
      </c>
      <c r="AM393">
        <v>0</v>
      </c>
      <c r="AN393">
        <v>0</v>
      </c>
      <c r="AO393">
        <v>-12.918695547427795</v>
      </c>
      <c r="AP393">
        <v>0</v>
      </c>
      <c r="AQ393">
        <v>0</v>
      </c>
      <c r="AR393" t="str">
        <v>1613.par</v>
      </c>
      <c r="AV393" t="str">
        <v>0,204,204</v>
      </c>
      <c r="AW393" s="31">
        <v>-4.5999999999999943</v>
      </c>
      <c r="AX393" s="31">
        <v>8.3186955474278008</v>
      </c>
      <c r="AY393" s="31">
        <v>-12.918695547427795</v>
      </c>
    </row>
    <row r="394" spans="31:51" x14ac:dyDescent="0.25">
      <c r="AE394">
        <v>4.1050000000000004</v>
      </c>
      <c r="AF394">
        <v>4</v>
      </c>
      <c r="AG394">
        <v>1</v>
      </c>
      <c r="AH394">
        <v>2</v>
      </c>
      <c r="AI394">
        <v>3.0000000000291038</v>
      </c>
      <c r="AJ394">
        <v>4.1052300000000006</v>
      </c>
      <c r="AK394">
        <v>4.1051300000000008</v>
      </c>
      <c r="AL394">
        <v>0</v>
      </c>
      <c r="AM394">
        <v>0</v>
      </c>
      <c r="AN394">
        <v>0</v>
      </c>
      <c r="AO394">
        <v>-15.180650815494495</v>
      </c>
      <c r="AP394">
        <v>0</v>
      </c>
      <c r="AQ394">
        <v>0</v>
      </c>
      <c r="AR394" t="str">
        <v>1913.par</v>
      </c>
      <c r="AV394" t="str">
        <v>0,204,204</v>
      </c>
      <c r="AW394" s="31">
        <v>-20</v>
      </c>
      <c r="AX394" s="31">
        <v>-4.8193491845055059</v>
      </c>
      <c r="AY394" s="31">
        <v>-15.180650815494495</v>
      </c>
    </row>
    <row r="395" spans="31:51" x14ac:dyDescent="0.25">
      <c r="AE395">
        <v>4.1020000000000003</v>
      </c>
      <c r="AF395">
        <v>4</v>
      </c>
      <c r="AG395">
        <v>1</v>
      </c>
      <c r="AH395">
        <v>2</v>
      </c>
      <c r="AI395">
        <v>3.0000000000291038</v>
      </c>
      <c r="AJ395">
        <v>4.1022300000000005</v>
      </c>
      <c r="AK395">
        <v>4.1021300000000007</v>
      </c>
      <c r="AL395">
        <v>0</v>
      </c>
      <c r="AM395">
        <v>0</v>
      </c>
      <c r="AN395">
        <v>0</v>
      </c>
      <c r="AO395">
        <v>-8.9302005777218696</v>
      </c>
      <c r="AP395">
        <v>0</v>
      </c>
      <c r="AQ395">
        <v>0</v>
      </c>
      <c r="AR395" t="str">
        <v>1913.par</v>
      </c>
      <c r="AV395" t="str">
        <v>0,204,204</v>
      </c>
      <c r="AW395" s="31">
        <v>-20</v>
      </c>
      <c r="AX395" s="31">
        <v>-11.06979942227813</v>
      </c>
      <c r="AY395" s="31">
        <v>-8.9302005777218696</v>
      </c>
    </row>
    <row r="396" spans="31:51" x14ac:dyDescent="0.25">
      <c r="AE396">
        <v>3.2250000000000001</v>
      </c>
      <c r="AF396">
        <v>3</v>
      </c>
      <c r="AG396">
        <v>2</v>
      </c>
      <c r="AH396">
        <v>2</v>
      </c>
      <c r="AI396">
        <v>3.0000000000291038</v>
      </c>
      <c r="AJ396">
        <v>3.2252300000000003</v>
      </c>
      <c r="AK396">
        <v>3.2251300000000001</v>
      </c>
      <c r="AL396">
        <v>0</v>
      </c>
      <c r="AM396">
        <v>0</v>
      </c>
      <c r="AN396">
        <v>0</v>
      </c>
      <c r="AO396">
        <v>-23.099987727520173</v>
      </c>
      <c r="AP396">
        <v>0</v>
      </c>
      <c r="AQ396">
        <v>0</v>
      </c>
      <c r="AR396" t="str">
        <v>32193r1.par</v>
      </c>
      <c r="AV396" t="str">
        <v>97,255,97</v>
      </c>
      <c r="AW396" s="31">
        <v>61.900000000000006</v>
      </c>
      <c r="AX396" s="31">
        <v>84.999987727520178</v>
      </c>
      <c r="AY396" s="31">
        <v>-23.099987727520173</v>
      </c>
    </row>
    <row r="397" spans="31:51" x14ac:dyDescent="0.25">
      <c r="AE397">
        <v>3.22</v>
      </c>
      <c r="AF397">
        <v>3</v>
      </c>
      <c r="AG397">
        <v>2</v>
      </c>
      <c r="AH397">
        <v>2</v>
      </c>
      <c r="AI397">
        <v>3.0000000000291038</v>
      </c>
      <c r="AJ397">
        <v>3.2202300000000004</v>
      </c>
      <c r="AK397">
        <v>3.2201300000000002</v>
      </c>
      <c r="AL397">
        <v>0</v>
      </c>
      <c r="AM397">
        <v>0</v>
      </c>
      <c r="AN397">
        <v>0</v>
      </c>
      <c r="AO397">
        <v>-26.109990310516238</v>
      </c>
      <c r="AP397">
        <v>0</v>
      </c>
      <c r="AQ397">
        <v>0</v>
      </c>
      <c r="AR397" t="str">
        <v>32193r1.par</v>
      </c>
      <c r="AV397" t="str">
        <v>97,255,97</v>
      </c>
      <c r="AW397" s="31">
        <v>41</v>
      </c>
      <c r="AX397" s="31">
        <v>67.109990310516238</v>
      </c>
      <c r="AY397" s="31">
        <v>-26.109990310516238</v>
      </c>
    </row>
    <row r="398" spans="31:51" x14ac:dyDescent="0.25">
      <c r="AE398">
        <v>3.2149999999999999</v>
      </c>
      <c r="AF398">
        <v>3</v>
      </c>
      <c r="AG398">
        <v>2</v>
      </c>
      <c r="AH398">
        <v>2</v>
      </c>
      <c r="AI398">
        <v>2.999999999992724</v>
      </c>
      <c r="AJ398">
        <v>3.21523</v>
      </c>
      <c r="AK398">
        <v>3.2151299999999998</v>
      </c>
      <c r="AL398">
        <v>0</v>
      </c>
      <c r="AM398">
        <v>0</v>
      </c>
      <c r="AN398">
        <v>0</v>
      </c>
      <c r="AO398">
        <v>-17.50999455535041</v>
      </c>
      <c r="AP398">
        <v>0</v>
      </c>
      <c r="AQ398">
        <v>0</v>
      </c>
      <c r="AR398" t="str">
        <v>32193r1.par</v>
      </c>
      <c r="AV398" t="str">
        <v>97,255,97</v>
      </c>
      <c r="AW398" s="31">
        <v>20.200000000000003</v>
      </c>
      <c r="AX398" s="31">
        <v>37.709994555350413</v>
      </c>
      <c r="AY398" s="31">
        <v>-17.50999455535041</v>
      </c>
    </row>
    <row r="399" spans="31:51" x14ac:dyDescent="0.25">
      <c r="AE399">
        <v>3.125</v>
      </c>
      <c r="AF399">
        <v>3</v>
      </c>
      <c r="AG399">
        <v>1</v>
      </c>
      <c r="AH399">
        <v>2</v>
      </c>
      <c r="AI399">
        <v>3.0000000000291038</v>
      </c>
      <c r="AJ399">
        <v>3.1252300000000002</v>
      </c>
      <c r="AK399">
        <v>3.12513</v>
      </c>
      <c r="AL399">
        <v>0</v>
      </c>
      <c r="AM399">
        <v>0</v>
      </c>
      <c r="AN399">
        <v>0</v>
      </c>
      <c r="AO399">
        <v>-23.058848408102108</v>
      </c>
      <c r="AP399">
        <v>0</v>
      </c>
      <c r="AQ399">
        <v>0</v>
      </c>
      <c r="AR399" t="str">
        <v>1613.par</v>
      </c>
      <c r="AV399" t="str">
        <v>0,204,0</v>
      </c>
      <c r="AW399" s="31">
        <v>61.900000000000006</v>
      </c>
      <c r="AX399" s="31">
        <v>84.958848408102114</v>
      </c>
      <c r="AY399" s="31">
        <v>-23.058848408102108</v>
      </c>
    </row>
    <row r="400" spans="31:51" x14ac:dyDescent="0.25">
      <c r="AE400">
        <v>3.12</v>
      </c>
      <c r="AF400">
        <v>3</v>
      </c>
      <c r="AG400">
        <v>1</v>
      </c>
      <c r="AH400">
        <v>2</v>
      </c>
      <c r="AI400">
        <v>3.0000000000291038</v>
      </c>
      <c r="AJ400">
        <v>3.1202300000000003</v>
      </c>
      <c r="AK400">
        <v>3.1201300000000001</v>
      </c>
      <c r="AL400">
        <v>0</v>
      </c>
      <c r="AM400">
        <v>0</v>
      </c>
      <c r="AN400">
        <v>0</v>
      </c>
      <c r="AO400">
        <v>-23.750610463921831</v>
      </c>
      <c r="AP400">
        <v>0</v>
      </c>
      <c r="AQ400">
        <v>0</v>
      </c>
      <c r="AR400" t="str">
        <v>1613.par</v>
      </c>
      <c r="AV400" t="str">
        <v>0,204,0</v>
      </c>
      <c r="AW400" s="31">
        <v>41</v>
      </c>
      <c r="AX400" s="31">
        <v>64.750610463921831</v>
      </c>
      <c r="AY400" s="31">
        <v>-23.750610463921831</v>
      </c>
    </row>
    <row r="401" spans="31:51" x14ac:dyDescent="0.25">
      <c r="AE401">
        <v>3.1150000000000002</v>
      </c>
      <c r="AF401">
        <v>3</v>
      </c>
      <c r="AG401">
        <v>1</v>
      </c>
      <c r="AH401">
        <v>2</v>
      </c>
      <c r="AI401">
        <v>3.0000000000291038</v>
      </c>
      <c r="AJ401">
        <v>3.1152300000000004</v>
      </c>
      <c r="AK401">
        <v>3.1151300000000002</v>
      </c>
      <c r="AL401">
        <v>0</v>
      </c>
      <c r="AM401">
        <v>0</v>
      </c>
      <c r="AN401">
        <v>0</v>
      </c>
      <c r="AO401">
        <v>-19.131621798201394</v>
      </c>
      <c r="AP401">
        <v>0</v>
      </c>
      <c r="AQ401">
        <v>0</v>
      </c>
      <c r="AR401" t="str">
        <v>1613.par</v>
      </c>
      <c r="AV401" t="str">
        <v>0,204,0</v>
      </c>
      <c r="AW401" s="31">
        <v>20.200000000000003</v>
      </c>
      <c r="AX401" s="31">
        <v>39.331621798201397</v>
      </c>
      <c r="AY401" s="31">
        <v>-19.131621798201394</v>
      </c>
    </row>
    <row r="402" spans="31:51" x14ac:dyDescent="0.25">
      <c r="AE402">
        <v>3.11</v>
      </c>
      <c r="AF402">
        <v>3</v>
      </c>
      <c r="AG402">
        <v>1</v>
      </c>
      <c r="AH402">
        <v>2</v>
      </c>
      <c r="AI402">
        <v>2.999999999992724</v>
      </c>
      <c r="AJ402">
        <v>3.1102300000000001</v>
      </c>
      <c r="AK402">
        <v>3.1101299999999998</v>
      </c>
      <c r="AL402">
        <v>0</v>
      </c>
      <c r="AM402">
        <v>0</v>
      </c>
      <c r="AN402">
        <v>0</v>
      </c>
      <c r="AO402">
        <v>-14.0509700977363</v>
      </c>
      <c r="AP402">
        <v>0</v>
      </c>
      <c r="AQ402">
        <v>0</v>
      </c>
      <c r="AR402" t="str">
        <v>1613.par</v>
      </c>
      <c r="AV402" t="str">
        <v>0,204,0</v>
      </c>
      <c r="AW402" s="31">
        <v>-0.5</v>
      </c>
      <c r="AX402" s="31">
        <v>13.5509700977363</v>
      </c>
      <c r="AY402" s="31">
        <v>-14.0509700977363</v>
      </c>
    </row>
    <row r="403" spans="31:51" x14ac:dyDescent="0.25">
      <c r="AE403">
        <v>3.1059999999999999</v>
      </c>
      <c r="AF403">
        <v>3</v>
      </c>
      <c r="AG403">
        <v>1</v>
      </c>
      <c r="AH403">
        <v>2</v>
      </c>
      <c r="AI403">
        <v>2.999999999992724</v>
      </c>
      <c r="AJ403">
        <v>3.10623</v>
      </c>
      <c r="AK403">
        <v>3.1061299999999998</v>
      </c>
      <c r="AL403">
        <v>0</v>
      </c>
      <c r="AM403">
        <v>0</v>
      </c>
      <c r="AN403">
        <v>0</v>
      </c>
      <c r="AO403">
        <v>-16.545948821034386</v>
      </c>
      <c r="AP403">
        <v>0</v>
      </c>
      <c r="AQ403">
        <v>0</v>
      </c>
      <c r="AR403" t="str">
        <v>1613.par</v>
      </c>
      <c r="AV403" t="str">
        <v>0,204,0</v>
      </c>
      <c r="AW403" s="31">
        <v>-20</v>
      </c>
      <c r="AX403" s="31">
        <v>-3.4540511789656145</v>
      </c>
      <c r="AY403" s="31">
        <v>-16.545948821034386</v>
      </c>
    </row>
    <row r="404" spans="31:51" x14ac:dyDescent="0.25">
      <c r="AE404">
        <v>3.1030000000000002</v>
      </c>
      <c r="AF404">
        <v>3</v>
      </c>
      <c r="AG404">
        <v>1</v>
      </c>
      <c r="AH404">
        <v>2</v>
      </c>
      <c r="AI404">
        <v>3.0000000000291038</v>
      </c>
      <c r="AJ404">
        <v>3.1032300000000004</v>
      </c>
      <c r="AK404">
        <v>3.1031300000000002</v>
      </c>
      <c r="AL404">
        <v>0</v>
      </c>
      <c r="AM404">
        <v>0</v>
      </c>
      <c r="AN404">
        <v>0</v>
      </c>
      <c r="AO404">
        <v>-12.02323983589957</v>
      </c>
      <c r="AP404">
        <v>0</v>
      </c>
      <c r="AQ404">
        <v>0</v>
      </c>
      <c r="AR404" t="str">
        <v>1913.par</v>
      </c>
      <c r="AV404" t="str">
        <v>0,204,0</v>
      </c>
      <c r="AW404" s="31">
        <v>-20</v>
      </c>
      <c r="AX404" s="31">
        <v>-7.9767601641004298</v>
      </c>
      <c r="AY404" s="31">
        <v>-12.02323983589957</v>
      </c>
    </row>
    <row r="405" spans="31:51" x14ac:dyDescent="0.25">
      <c r="AE405">
        <v>2.226</v>
      </c>
      <c r="AF405">
        <v>2</v>
      </c>
      <c r="AG405">
        <v>2</v>
      </c>
      <c r="AH405">
        <v>2</v>
      </c>
      <c r="AI405">
        <v>3.0000000000291038</v>
      </c>
      <c r="AJ405">
        <v>2.2262300000000002</v>
      </c>
      <c r="AK405">
        <v>2.2261299999999999</v>
      </c>
      <c r="AL405">
        <v>0</v>
      </c>
      <c r="AM405">
        <v>0</v>
      </c>
      <c r="AN405">
        <v>0</v>
      </c>
      <c r="AO405">
        <v>-18.899987727520198</v>
      </c>
      <c r="AP405">
        <v>0</v>
      </c>
      <c r="AQ405">
        <v>0</v>
      </c>
      <c r="AR405" t="str">
        <v>32193r1.par</v>
      </c>
      <c r="AV405" t="str">
        <v>255,255,91</v>
      </c>
      <c r="AW405" s="31">
        <v>66.099999999999994</v>
      </c>
      <c r="AX405" s="31">
        <v>84.999987727520192</v>
      </c>
      <c r="AY405" s="31">
        <v>-18.899987727520198</v>
      </c>
    </row>
    <row r="406" spans="31:51" x14ac:dyDescent="0.25">
      <c r="AE406">
        <v>2.2210000000000001</v>
      </c>
      <c r="AF406">
        <v>2</v>
      </c>
      <c r="AG406">
        <v>2</v>
      </c>
      <c r="AH406">
        <v>2</v>
      </c>
      <c r="AI406">
        <v>3.0000000000291038</v>
      </c>
      <c r="AJ406">
        <v>2.2212300000000003</v>
      </c>
      <c r="AK406">
        <v>2.22113</v>
      </c>
      <c r="AL406">
        <v>0</v>
      </c>
      <c r="AM406">
        <v>0</v>
      </c>
      <c r="AN406">
        <v>0</v>
      </c>
      <c r="AO406">
        <v>-27.859989451442672</v>
      </c>
      <c r="AP406">
        <v>0</v>
      </c>
      <c r="AQ406">
        <v>0</v>
      </c>
      <c r="AR406" t="str">
        <v>32193r1.par</v>
      </c>
      <c r="AV406" t="str">
        <v>255,255,91</v>
      </c>
      <c r="AW406" s="31">
        <v>45.199999999999989</v>
      </c>
      <c r="AX406" s="31">
        <v>73.059989451442661</v>
      </c>
      <c r="AY406" s="31">
        <v>-27.859989451442672</v>
      </c>
    </row>
    <row r="407" spans="31:51" x14ac:dyDescent="0.25">
      <c r="AE407">
        <v>2.2160000000000002</v>
      </c>
      <c r="AF407">
        <v>2</v>
      </c>
      <c r="AG407">
        <v>2</v>
      </c>
      <c r="AH407">
        <v>2</v>
      </c>
      <c r="AI407">
        <v>3.0000000000291038</v>
      </c>
      <c r="AJ407">
        <v>2.2162300000000004</v>
      </c>
      <c r="AK407">
        <v>2.2161300000000002</v>
      </c>
      <c r="AL407">
        <v>0</v>
      </c>
      <c r="AM407">
        <v>0</v>
      </c>
      <c r="AN407">
        <v>0</v>
      </c>
      <c r="AO407">
        <v>-19.139993713602678</v>
      </c>
      <c r="AP407">
        <v>0</v>
      </c>
      <c r="AQ407">
        <v>0</v>
      </c>
      <c r="AR407" t="str">
        <v>32193r1.par</v>
      </c>
      <c r="AV407" t="str">
        <v>255,255,91</v>
      </c>
      <c r="AW407" s="31">
        <v>24.400000000000006</v>
      </c>
      <c r="AX407" s="31">
        <v>43.539993713602684</v>
      </c>
      <c r="AY407" s="31">
        <v>-19.139993713602678</v>
      </c>
    </row>
    <row r="408" spans="31:51" x14ac:dyDescent="0.25">
      <c r="AE408">
        <v>2.1259999999999999</v>
      </c>
      <c r="AF408">
        <v>2</v>
      </c>
      <c r="AG408">
        <v>1</v>
      </c>
      <c r="AH408">
        <v>2</v>
      </c>
      <c r="AI408">
        <v>2.999999999992724</v>
      </c>
      <c r="AJ408">
        <v>2.1262300000000001</v>
      </c>
      <c r="AK408">
        <v>2.1261299999999999</v>
      </c>
      <c r="AL408">
        <v>0</v>
      </c>
      <c r="AM408">
        <v>0</v>
      </c>
      <c r="AN408">
        <v>0</v>
      </c>
      <c r="AO408">
        <v>-18.858848408102119</v>
      </c>
      <c r="AP408">
        <v>0</v>
      </c>
      <c r="AQ408">
        <v>0</v>
      </c>
      <c r="AR408" t="str">
        <v>1613.par</v>
      </c>
      <c r="AV408" t="str">
        <v>204,204,0</v>
      </c>
      <c r="AW408" s="31">
        <v>66.099999999999994</v>
      </c>
      <c r="AX408" s="31">
        <v>84.958848408102114</v>
      </c>
      <c r="AY408" s="31">
        <v>-18.858848408102119</v>
      </c>
    </row>
    <row r="409" spans="31:51" x14ac:dyDescent="0.25">
      <c r="AE409">
        <v>2.121</v>
      </c>
      <c r="AF409">
        <v>2</v>
      </c>
      <c r="AG409">
        <v>1</v>
      </c>
      <c r="AH409">
        <v>2</v>
      </c>
      <c r="AI409">
        <v>3.0000000000291038</v>
      </c>
      <c r="AJ409">
        <v>2.1212300000000002</v>
      </c>
      <c r="AK409">
        <v>2.12113</v>
      </c>
      <c r="AL409">
        <v>0</v>
      </c>
      <c r="AM409">
        <v>0</v>
      </c>
      <c r="AN409">
        <v>0</v>
      </c>
      <c r="AO409">
        <v>-24.610444241835907</v>
      </c>
      <c r="AP409">
        <v>0</v>
      </c>
      <c r="AQ409">
        <v>0</v>
      </c>
      <c r="AR409" t="str">
        <v>1613.par</v>
      </c>
      <c r="AV409" t="str">
        <v>204,204,0</v>
      </c>
      <c r="AW409" s="31">
        <v>45.199999999999989</v>
      </c>
      <c r="AX409" s="31">
        <v>69.810444241835896</v>
      </c>
      <c r="AY409" s="31">
        <v>-24.610444241835907</v>
      </c>
    </row>
    <row r="410" spans="31:51" x14ac:dyDescent="0.25">
      <c r="AE410">
        <v>2.1160000000000001</v>
      </c>
      <c r="AF410">
        <v>2</v>
      </c>
      <c r="AG410">
        <v>1</v>
      </c>
      <c r="AH410">
        <v>2</v>
      </c>
      <c r="AI410">
        <v>3.0000000000291038</v>
      </c>
      <c r="AJ410">
        <v>2.1162300000000003</v>
      </c>
      <c r="AK410">
        <v>2.1161300000000001</v>
      </c>
      <c r="AL410">
        <v>0</v>
      </c>
      <c r="AM410">
        <v>0</v>
      </c>
      <c r="AN410">
        <v>0</v>
      </c>
      <c r="AO410">
        <v>-20.035726774968062</v>
      </c>
      <c r="AP410">
        <v>0</v>
      </c>
      <c r="AQ410">
        <v>0</v>
      </c>
      <c r="AR410" t="str">
        <v>1613.par</v>
      </c>
      <c r="AV410" t="str">
        <v>204,204,0</v>
      </c>
      <c r="AW410" s="31">
        <v>24.400000000000006</v>
      </c>
      <c r="AX410" s="31">
        <v>44.435726774968067</v>
      </c>
      <c r="AY410" s="31">
        <v>-20.035726774968062</v>
      </c>
    </row>
    <row r="411" spans="31:51" x14ac:dyDescent="0.25">
      <c r="AE411">
        <v>2.1110000000000002</v>
      </c>
      <c r="AF411">
        <v>2</v>
      </c>
      <c r="AG411">
        <v>1</v>
      </c>
      <c r="AH411">
        <v>2</v>
      </c>
      <c r="AI411">
        <v>3.0000000000291038</v>
      </c>
      <c r="AJ411">
        <v>2.1112300000000004</v>
      </c>
      <c r="AK411">
        <v>2.1111300000000002</v>
      </c>
      <c r="AL411">
        <v>0</v>
      </c>
      <c r="AM411">
        <v>0</v>
      </c>
      <c r="AN411">
        <v>0</v>
      </c>
      <c r="AO411">
        <v>-15.052253478994466</v>
      </c>
      <c r="AP411">
        <v>0</v>
      </c>
      <c r="AQ411">
        <v>0</v>
      </c>
      <c r="AR411" t="str">
        <v>1613.par</v>
      </c>
      <c r="AV411" t="str">
        <v>204,204,0</v>
      </c>
      <c r="AW411" s="31">
        <v>3.7000000000000028</v>
      </c>
      <c r="AX411" s="31">
        <v>18.752253478994469</v>
      </c>
      <c r="AY411" s="31">
        <v>-15.052253478994466</v>
      </c>
    </row>
    <row r="412" spans="31:51" x14ac:dyDescent="0.25">
      <c r="AE412">
        <v>1.2270000000000001</v>
      </c>
      <c r="AF412">
        <v>1</v>
      </c>
      <c r="AG412">
        <v>2</v>
      </c>
      <c r="AH412">
        <v>2</v>
      </c>
      <c r="AI412">
        <v>3.0000000000109139</v>
      </c>
      <c r="AJ412">
        <v>1.22723</v>
      </c>
      <c r="AK412">
        <v>1.2271300000000001</v>
      </c>
      <c r="AL412">
        <v>0</v>
      </c>
      <c r="AM412">
        <v>0</v>
      </c>
      <c r="AN412">
        <v>0</v>
      </c>
      <c r="AO412">
        <v>-14.699987727520181</v>
      </c>
      <c r="AP412">
        <v>0</v>
      </c>
      <c r="AQ412">
        <v>0</v>
      </c>
      <c r="AR412" t="str">
        <v>32193r1.par</v>
      </c>
      <c r="AV412" t="str">
        <v>255,188,121</v>
      </c>
      <c r="AW412" s="31">
        <v>70.300000000000011</v>
      </c>
      <c r="AX412" s="31">
        <v>84.999987727520192</v>
      </c>
      <c r="AY412" s="31">
        <v>-14.699987727520181</v>
      </c>
    </row>
    <row r="413" spans="31:51" x14ac:dyDescent="0.25">
      <c r="AE413">
        <v>1.222</v>
      </c>
      <c r="AF413">
        <v>1</v>
      </c>
      <c r="AG413">
        <v>2</v>
      </c>
      <c r="AH413">
        <v>2</v>
      </c>
      <c r="AI413">
        <v>2.999999999992724</v>
      </c>
      <c r="AJ413">
        <v>1.2222299999999999</v>
      </c>
      <c r="AK413">
        <v>1.2221299999999999</v>
      </c>
      <c r="AL413">
        <v>0</v>
      </c>
      <c r="AM413">
        <v>0</v>
      </c>
      <c r="AN413">
        <v>0</v>
      </c>
      <c r="AO413">
        <v>-29.719988590925212</v>
      </c>
      <c r="AP413">
        <v>0</v>
      </c>
      <c r="AQ413">
        <v>0</v>
      </c>
      <c r="AR413" t="str">
        <v>32193r1.par</v>
      </c>
      <c r="AV413" t="str">
        <v>255,188,121</v>
      </c>
      <c r="AW413" s="31">
        <v>49.300000000000011</v>
      </c>
      <c r="AX413" s="31">
        <v>79.019988590925223</v>
      </c>
      <c r="AY413" s="31">
        <v>-29.719988590925212</v>
      </c>
    </row>
    <row r="414" spans="31:51" x14ac:dyDescent="0.25">
      <c r="AE414">
        <v>1.2170000000000001</v>
      </c>
      <c r="AF414">
        <v>1</v>
      </c>
      <c r="AG414">
        <v>2</v>
      </c>
      <c r="AH414">
        <v>2</v>
      </c>
      <c r="AI414">
        <v>3.0000000000109139</v>
      </c>
      <c r="AJ414">
        <v>1.21723</v>
      </c>
      <c r="AK414">
        <v>1.21713</v>
      </c>
      <c r="AL414">
        <v>0</v>
      </c>
      <c r="AM414">
        <v>0</v>
      </c>
      <c r="AN414">
        <v>0</v>
      </c>
      <c r="AO414">
        <v>-20.899992867523508</v>
      </c>
      <c r="AP414">
        <v>0</v>
      </c>
      <c r="AQ414">
        <v>0</v>
      </c>
      <c r="AR414" t="str">
        <v>32193r1.par</v>
      </c>
      <c r="AV414" t="str">
        <v>255,188,121</v>
      </c>
      <c r="AW414" s="31">
        <v>28.5</v>
      </c>
      <c r="AX414" s="31">
        <v>49.399992867523508</v>
      </c>
      <c r="AY414" s="31">
        <v>-20.899992867523508</v>
      </c>
    </row>
    <row r="415" spans="31:51" x14ac:dyDescent="0.25">
      <c r="AE415">
        <v>1.127</v>
      </c>
      <c r="AF415">
        <v>1</v>
      </c>
      <c r="AG415">
        <v>1</v>
      </c>
      <c r="AH415">
        <v>2</v>
      </c>
      <c r="AI415">
        <v>2.999999999992724</v>
      </c>
      <c r="AJ415">
        <v>1.12723</v>
      </c>
      <c r="AK415">
        <v>1.12713</v>
      </c>
      <c r="AL415">
        <v>0</v>
      </c>
      <c r="AM415">
        <v>0</v>
      </c>
      <c r="AN415">
        <v>0</v>
      </c>
      <c r="AO415">
        <v>-14.658848408102116</v>
      </c>
      <c r="AP415">
        <v>0</v>
      </c>
      <c r="AQ415">
        <v>0</v>
      </c>
      <c r="AR415" t="str">
        <v>1613.par</v>
      </c>
      <c r="AV415" t="str">
        <v>255,127,0</v>
      </c>
      <c r="AW415" s="31">
        <v>70.300000000000011</v>
      </c>
      <c r="AX415" s="31">
        <v>84.958848408102128</v>
      </c>
      <c r="AY415" s="31">
        <v>-14.658848408102116</v>
      </c>
    </row>
    <row r="416" spans="31:51" x14ac:dyDescent="0.25">
      <c r="AE416">
        <v>1.1220000000000001</v>
      </c>
      <c r="AF416">
        <v>1</v>
      </c>
      <c r="AG416">
        <v>1</v>
      </c>
      <c r="AH416">
        <v>2</v>
      </c>
      <c r="AI416">
        <v>3.0000000000109139</v>
      </c>
      <c r="AJ416">
        <v>1.1222300000000001</v>
      </c>
      <c r="AK416">
        <v>1.1221300000000001</v>
      </c>
      <c r="AL416">
        <v>0</v>
      </c>
      <c r="AM416">
        <v>0</v>
      </c>
      <c r="AN416">
        <v>0</v>
      </c>
      <c r="AO416">
        <v>-25.564641684638275</v>
      </c>
      <c r="AP416">
        <v>0</v>
      </c>
      <c r="AQ416">
        <v>0</v>
      </c>
      <c r="AR416" t="str">
        <v>1613.par</v>
      </c>
      <c r="AV416" t="str">
        <v>255,127,0</v>
      </c>
      <c r="AW416" s="31">
        <v>49.300000000000011</v>
      </c>
      <c r="AX416" s="31">
        <v>74.864641684638286</v>
      </c>
      <c r="AY416" s="31">
        <v>-25.564641684638275</v>
      </c>
    </row>
    <row r="417" spans="31:51" x14ac:dyDescent="0.25">
      <c r="AE417">
        <v>1.117</v>
      </c>
      <c r="AF417">
        <v>1</v>
      </c>
      <c r="AG417">
        <v>1</v>
      </c>
      <c r="AH417">
        <v>2</v>
      </c>
      <c r="AI417">
        <v>2.999999999992724</v>
      </c>
      <c r="AJ417">
        <v>1.1172299999999999</v>
      </c>
      <c r="AK417">
        <v>1.11713</v>
      </c>
      <c r="AL417">
        <v>0</v>
      </c>
      <c r="AM417">
        <v>0</v>
      </c>
      <c r="AN417">
        <v>0</v>
      </c>
      <c r="AO417">
        <v>-21.028137719076049</v>
      </c>
      <c r="AP417">
        <v>0</v>
      </c>
      <c r="AQ417">
        <v>0</v>
      </c>
      <c r="AR417" t="str">
        <v>1613.par</v>
      </c>
      <c r="AV417" t="str">
        <v>255,127,0</v>
      </c>
      <c r="AW417" s="31">
        <v>28.5</v>
      </c>
      <c r="AX417" s="31">
        <v>49.528137719076049</v>
      </c>
      <c r="AY417" s="31">
        <v>-21.028137719076049</v>
      </c>
    </row>
    <row r="418" spans="31:51" x14ac:dyDescent="0.25">
      <c r="AE418">
        <v>1.1120000000000001</v>
      </c>
      <c r="AF418">
        <v>1</v>
      </c>
      <c r="AG418">
        <v>1</v>
      </c>
      <c r="AH418">
        <v>2</v>
      </c>
      <c r="AI418">
        <v>3.0000000000109139</v>
      </c>
      <c r="AJ418">
        <v>1.1122300000000001</v>
      </c>
      <c r="AK418">
        <v>1.1121300000000001</v>
      </c>
      <c r="AL418">
        <v>0</v>
      </c>
      <c r="AM418">
        <v>0</v>
      </c>
      <c r="AN418">
        <v>0</v>
      </c>
      <c r="AO418">
        <v>-16.127284991087731</v>
      </c>
      <c r="AP418">
        <v>0</v>
      </c>
      <c r="AQ418">
        <v>0</v>
      </c>
      <c r="AR418" t="str">
        <v>1613.par</v>
      </c>
      <c r="AV418" t="str">
        <v>255,127,0</v>
      </c>
      <c r="AW418" s="31">
        <v>7.7999999999999972</v>
      </c>
      <c r="AX418" s="31">
        <v>23.927284991087728</v>
      </c>
      <c r="AY418" s="31">
        <v>-16.127284991087731</v>
      </c>
    </row>
    <row r="419" spans="31:51" x14ac:dyDescent="0.25">
      <c r="AE419">
        <v>1.107</v>
      </c>
      <c r="AF419">
        <v>1</v>
      </c>
      <c r="AG419">
        <v>1</v>
      </c>
      <c r="AH419">
        <v>2</v>
      </c>
      <c r="AI419">
        <v>2.999999999992724</v>
      </c>
      <c r="AJ419">
        <v>1.1072299999999999</v>
      </c>
      <c r="AK419">
        <v>1.1071299999999999</v>
      </c>
      <c r="AL419">
        <v>0</v>
      </c>
      <c r="AM419">
        <v>0</v>
      </c>
      <c r="AN419">
        <v>0</v>
      </c>
      <c r="AO419">
        <v>-17.857755010739869</v>
      </c>
      <c r="AP419">
        <v>0</v>
      </c>
      <c r="AQ419">
        <v>0</v>
      </c>
      <c r="AR419" t="str">
        <v>1613.par</v>
      </c>
      <c r="AV419" t="str">
        <v>255,127,0</v>
      </c>
      <c r="AW419" s="31">
        <v>-20</v>
      </c>
      <c r="AX419" s="31">
        <v>-2.1422449892601327</v>
      </c>
      <c r="AY419" s="31">
        <v>-17.857755010739869</v>
      </c>
    </row>
    <row r="420" spans="31:51" x14ac:dyDescent="0.25">
      <c r="AE420">
        <v>1.1040000000000001</v>
      </c>
      <c r="AF420">
        <v>1</v>
      </c>
      <c r="AG420">
        <v>1</v>
      </c>
      <c r="AH420">
        <v>2</v>
      </c>
      <c r="AI420">
        <v>3.0000000000109139</v>
      </c>
      <c r="AJ420">
        <v>1.10423</v>
      </c>
      <c r="AK420">
        <v>1.1041300000000001</v>
      </c>
      <c r="AL420">
        <v>0</v>
      </c>
      <c r="AM420">
        <v>0</v>
      </c>
      <c r="AN420">
        <v>0</v>
      </c>
      <c r="AO420">
        <v>-13.753836153266985</v>
      </c>
      <c r="AP420">
        <v>0</v>
      </c>
      <c r="AQ420">
        <v>0</v>
      </c>
      <c r="AR420" t="str">
        <v>1913.par</v>
      </c>
      <c r="AV420" t="str">
        <v>255,127,0</v>
      </c>
      <c r="AW420" s="31">
        <v>-20</v>
      </c>
      <c r="AX420" s="31">
        <v>-6.2461638467330163</v>
      </c>
      <c r="AY420" s="31">
        <v>-13.753836153266985</v>
      </c>
    </row>
    <row r="421" spans="31:51" x14ac:dyDescent="0.25">
      <c r="AE421">
        <v>1.101</v>
      </c>
      <c r="AF421">
        <v>1</v>
      </c>
      <c r="AG421">
        <v>1</v>
      </c>
      <c r="AH421">
        <v>2</v>
      </c>
      <c r="AI421">
        <v>2.999999999992724</v>
      </c>
      <c r="AJ421">
        <v>1.1012299999999999</v>
      </c>
      <c r="AK421">
        <v>1.1011299999999999</v>
      </c>
      <c r="AL421">
        <v>0</v>
      </c>
      <c r="AM421">
        <v>0</v>
      </c>
      <c r="AN421">
        <v>0</v>
      </c>
      <c r="AO421">
        <v>-3.6603539018453617</v>
      </c>
      <c r="AP421">
        <v>0</v>
      </c>
      <c r="AQ421">
        <v>0</v>
      </c>
      <c r="AR421" t="str">
        <v>1613.par</v>
      </c>
      <c r="AV421" t="str">
        <v>255,127,0</v>
      </c>
      <c r="AW421" s="31">
        <v>-20</v>
      </c>
      <c r="AX421" s="31">
        <v>-16.339646098154638</v>
      </c>
      <c r="AY421" s="31">
        <v>-3.6603539018453617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2" t="str">
        <f>CONCATENATE(Settings!$C$19," ",Settings!$B$28)</f>
        <v>7.875 6841r00</v>
      </c>
      <c r="D1" s="1272"/>
      <c r="E1" s="1272"/>
      <c r="F1" s="1272"/>
      <c r="G1" s="1272"/>
      <c r="H1" s="1272"/>
      <c r="I1" s="1272"/>
      <c r="J1" s="1272"/>
      <c r="K1" s="1272"/>
      <c r="M1" s="103" t="s">
        <v>310</v>
      </c>
      <c r="N1" s="1390" t="s">
        <v>312</v>
      </c>
      <c r="O1" s="1390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9" t="str">
        <f>Settings!B28</f>
        <v>6841r00</v>
      </c>
      <c r="C2" s="1400"/>
      <c r="D2" s="1400"/>
      <c r="E2" s="1400"/>
      <c r="F2" s="1400"/>
      <c r="G2" s="1400"/>
      <c r="H2" s="1400"/>
      <c r="I2" s="1400"/>
      <c r="J2" s="1400"/>
      <c r="K2" s="1401"/>
      <c r="L2" s="1156" t="str" cm="1">
        <f t="array" ref="L2">IF(OR($K$9:$K$150="Undefined"),"Undefined Element","")</f>
        <v/>
      </c>
      <c r="M2" s="1396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412" t="str">
        <f>M2</f>
        <v>CS-Name</v>
      </c>
      <c r="AW2" s="1426"/>
      <c r="AX2" s="1426"/>
      <c r="AY2" s="1426"/>
      <c r="AZ2" s="1426"/>
      <c r="BA2" s="1426"/>
      <c r="BB2" s="1426"/>
      <c r="BC2" s="1427"/>
      <c r="BF2" s="1419" t="s">
        <v>313</v>
      </c>
      <c r="BG2" s="1420"/>
      <c r="BH2" s="1420"/>
      <c r="BI2" s="1420"/>
      <c r="BJ2" s="1420"/>
      <c r="BK2" s="1421"/>
      <c r="BM2" s="1436" t="s">
        <v>270</v>
      </c>
      <c r="BN2" s="1370"/>
      <c r="BO2" s="1370"/>
      <c r="BP2" s="1371"/>
      <c r="BR2" s="1436" t="s">
        <v>270</v>
      </c>
      <c r="BS2" s="1370"/>
      <c r="BT2" s="1370"/>
      <c r="BU2" s="137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4"/>
      <c r="C3" s="1275"/>
      <c r="D3" s="1275"/>
      <c r="E3" s="1275"/>
      <c r="F3" s="1275"/>
      <c r="G3" s="1275"/>
      <c r="H3" s="1275"/>
      <c r="I3" s="1275"/>
      <c r="J3" s="1275"/>
      <c r="K3" s="1276"/>
      <c r="L3" s="1156"/>
      <c r="M3" s="1397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134"/>
      <c r="AA3" s="1135"/>
      <c r="AB3" s="1135"/>
      <c r="AC3" s="1135"/>
      <c r="AD3" s="1135"/>
      <c r="AE3" s="1135"/>
      <c r="AF3" s="1135"/>
      <c r="AG3" s="1135"/>
      <c r="AH3" s="1135"/>
      <c r="AI3" s="1135"/>
      <c r="AJ3" s="1135"/>
      <c r="AK3" s="1135"/>
      <c r="AL3" s="1135"/>
      <c r="AM3" s="1135"/>
      <c r="AN3" s="1135"/>
      <c r="AO3" s="1135"/>
      <c r="AP3" s="1135"/>
      <c r="AQ3" s="1253"/>
      <c r="AS3" s="415">
        <v>100</v>
      </c>
      <c r="AT3" s="412" t="s">
        <v>45</v>
      </c>
      <c r="AV3" s="1413"/>
      <c r="AW3" s="1428"/>
      <c r="AX3" s="1428"/>
      <c r="AY3" s="1428"/>
      <c r="AZ3" s="1428"/>
      <c r="BA3" s="1428"/>
      <c r="BB3" s="1428"/>
      <c r="BC3" s="1429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1" t="s">
        <v>307</v>
      </c>
      <c r="C4" s="1023"/>
      <c r="D4" s="1023"/>
      <c r="E4" s="1023"/>
      <c r="F4" s="1023"/>
      <c r="G4" s="1023"/>
      <c r="H4" s="1023"/>
      <c r="I4" s="1023"/>
      <c r="J4" s="1023"/>
      <c r="K4" s="1402"/>
      <c r="L4" s="1156"/>
      <c r="M4" s="1397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Q4</f>
        <v>Polar XY; Cartesian Z</v>
      </c>
      <c r="X4" s="1257"/>
      <c r="Y4" s="1273"/>
      <c r="Z4" s="1392" t="s">
        <v>3</v>
      </c>
      <c r="AA4" s="1393"/>
      <c r="AB4" s="1393"/>
      <c r="AC4" s="1393"/>
      <c r="AD4" s="1393"/>
      <c r="AE4" s="1393"/>
      <c r="AF4" s="1393"/>
      <c r="AG4" s="1432" t="s">
        <v>31</v>
      </c>
      <c r="AH4" s="1393"/>
      <c r="AI4" s="1393"/>
      <c r="AJ4" s="1433"/>
      <c r="AK4" s="1439" t="s">
        <v>32</v>
      </c>
      <c r="AL4" s="1440"/>
      <c r="AM4" s="1440"/>
      <c r="AN4" s="1440"/>
      <c r="AO4" s="1440"/>
      <c r="AP4" s="1440"/>
      <c r="AQ4" s="1441"/>
      <c r="AS4" s="416">
        <v>0</v>
      </c>
      <c r="AT4" s="413" t="s">
        <v>46</v>
      </c>
      <c r="AV4" s="1413"/>
      <c r="AW4" s="1430"/>
      <c r="AX4" s="1430"/>
      <c r="AY4" s="1430"/>
      <c r="AZ4" s="1431"/>
      <c r="BA4" s="1430" t="str">
        <f>Z2</f>
        <v>PDC Orientation</v>
      </c>
      <c r="BB4" s="1430"/>
      <c r="BC4" s="143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10" t="s">
        <v>372</v>
      </c>
      <c r="IF4" s="101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4" t="str">
        <f>CONCATENATE(B7," ; ",E7," ; ",H8)</f>
        <v>Absolute-Point ; Incremental-Vector Point ; Radius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397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&amp; Z; Z Axis")</f>
        <v>Relative to 's θ &amp; Z; Z Axis</v>
      </c>
      <c r="U5" s="1264"/>
      <c r="V5" s="1343"/>
      <c r="W5" s="1264" t="str">
        <f>CONCATENATE("Relative to ",M8,"'s θ &amp; Z; Z Axis")</f>
        <v>Relative to 's θ &amp; Z;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</v>
      </c>
      <c r="AT5" s="413" t="s">
        <v>47</v>
      </c>
      <c r="AV5" s="1413"/>
      <c r="AW5" s="1302" t="str">
        <f>W4</f>
        <v>Polar XY; Cartesian Z</v>
      </c>
      <c r="AX5" s="1257"/>
      <c r="AY5" s="1257"/>
      <c r="AZ5" s="1157" t="s">
        <v>104</v>
      </c>
      <c r="BA5" s="1257" t="str">
        <f>AK4</f>
        <v>Polar Z Projection → XZ Plane</v>
      </c>
      <c r="BB5" s="1257"/>
      <c r="BC5" s="125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397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Q6</f>
        <v>Projected XY</v>
      </c>
      <c r="X6" s="1260"/>
      <c r="Y6" s="1337" t="str">
        <f>S6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02" t="str">
        <f>AD6</f>
        <v>Unit Vector</v>
      </c>
      <c r="AL6" s="1257"/>
      <c r="AM6" s="1258"/>
      <c r="AN6" s="34" t="s">
        <v>15</v>
      </c>
      <c r="AO6" s="35" t="s">
        <v>16</v>
      </c>
      <c r="AP6" s="680" t="s">
        <v>17</v>
      </c>
      <c r="AQ6" s="1394" t="s">
        <v>108</v>
      </c>
      <c r="AS6" s="168">
        <f>(AS5/360)</f>
        <v>0</v>
      </c>
      <c r="AT6" s="414" t="s">
        <v>48</v>
      </c>
      <c r="AV6" s="1413"/>
      <c r="AW6" s="1319" t="str">
        <f>W5</f>
        <v>Relative to 's θ &amp; Z; Z Axis</v>
      </c>
      <c r="AX6" s="1264"/>
      <c r="AY6" s="1264"/>
      <c r="AZ6" s="1409"/>
      <c r="BA6" s="1264" t="str">
        <f>AK5</f>
        <v>Vector Along X Axis</v>
      </c>
      <c r="BB6" s="1264"/>
      <c r="BC6" s="1265"/>
      <c r="BD6" s="417"/>
      <c r="BF6" s="410">
        <f>SUM(AZ9:AZ150)</f>
        <v>0</v>
      </c>
      <c r="BG6" s="1391" t="s">
        <v>309</v>
      </c>
      <c r="BH6" s="1391"/>
      <c r="BI6" s="1391"/>
      <c r="BJ6" s="1391"/>
      <c r="BK6" s="1391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5" t="s">
        <v>40</v>
      </c>
      <c r="C7" s="1296"/>
      <c r="D7" s="1297"/>
      <c r="E7" s="1298" t="s">
        <v>41</v>
      </c>
      <c r="F7" s="1296"/>
      <c r="G7" s="1299"/>
      <c r="H7" s="990" t="s">
        <v>305</v>
      </c>
      <c r="I7" s="988"/>
      <c r="J7" s="989"/>
      <c r="K7" s="488"/>
      <c r="L7" s="1156"/>
      <c r="M7" s="1398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Q7</f>
        <v>&lt; θ°</v>
      </c>
      <c r="X7" s="27" t="str">
        <f>R7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5"/>
      <c r="AS7" s="1434" t="s">
        <v>54</v>
      </c>
      <c r="AT7" s="1437" t="s">
        <v>53</v>
      </c>
      <c r="AV7" s="1413"/>
      <c r="AW7" s="1408" t="str">
        <f>$W$6</f>
        <v>Projected XY</v>
      </c>
      <c r="AX7" s="1260"/>
      <c r="AY7" s="1410" t="str">
        <f>$Y$6</f>
        <v>Z</v>
      </c>
      <c r="AZ7" s="1409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1"/>
      <c r="BH7" s="1391"/>
      <c r="BI7" s="1391"/>
      <c r="BJ7" s="1391"/>
      <c r="BK7" s="1391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6" t="s">
        <v>33</v>
      </c>
      <c r="IH7" s="1171" t="s">
        <v>376</v>
      </c>
      <c r="II7" s="992" t="s">
        <v>324</v>
      </c>
      <c r="IJ7" s="993"/>
      <c r="IK7" s="993"/>
      <c r="IL7" s="988"/>
      <c r="IM7" s="988"/>
      <c r="IN7" s="988"/>
      <c r="IO7" s="989"/>
      <c r="IP7" s="990" t="s">
        <v>320</v>
      </c>
      <c r="IQ7" s="988"/>
      <c r="IR7" s="988"/>
      <c r="IS7" s="988"/>
      <c r="IT7" s="988"/>
      <c r="IU7" s="990" t="s">
        <v>319</v>
      </c>
      <c r="IV7" s="988"/>
      <c r="IW7" s="988"/>
      <c r="IX7" s="988"/>
      <c r="IY7" s="989"/>
      <c r="JA7" s="725"/>
      <c r="JB7" s="1442" t="s">
        <v>355</v>
      </c>
      <c r="JC7" s="1367"/>
      <c r="JD7" s="1367"/>
      <c r="JE7" s="136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5"/>
      <c r="AT8" s="1438"/>
      <c r="AV8" s="1414"/>
      <c r="AW8" s="46" t="str">
        <f>$W$7</f>
        <v>&lt; θ°</v>
      </c>
      <c r="AX8" s="27" t="str">
        <f>$X$7</f>
        <v>r</v>
      </c>
      <c r="AY8" s="1411"/>
      <c r="AZ8" s="115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3"/>
      <c r="IH8" s="1172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9" t="s">
        <v>356</v>
      </c>
      <c r="JC19" s="1370"/>
      <c r="JD19" s="1370"/>
      <c r="JE19" s="1370"/>
      <c r="JF19" s="1370"/>
      <c r="JG19" s="1370"/>
      <c r="JH19" s="1370"/>
      <c r="JI19" s="137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2" t="s">
        <v>360</v>
      </c>
      <c r="JC20" s="1373"/>
      <c r="JD20" s="1373"/>
      <c r="JE20" s="1373"/>
      <c r="JF20" s="1151" t="s">
        <v>361</v>
      </c>
      <c r="JG20" s="1152"/>
      <c r="JH20" s="1152"/>
      <c r="JI20" s="115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5"/>
      <c r="JC21" s="1226"/>
      <c r="JD21" s="1226"/>
      <c r="JE21" s="1226"/>
      <c r="JF21" s="1154" t="s">
        <v>349</v>
      </c>
      <c r="JG21" s="1155"/>
      <c r="JH21" s="1374" t="s">
        <v>362</v>
      </c>
      <c r="JI21" s="137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6" t="str">
        <f>$W$6</f>
        <v>Projected XY</v>
      </c>
      <c r="AX152" s="1407"/>
      <c r="AY152" s="1424" t="str">
        <f>$Y$6</f>
        <v>Z</v>
      </c>
      <c r="AZ152" s="1422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5"/>
      <c r="AZ153" s="1423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80" t="s">
        <v>42</v>
      </c>
      <c r="C157" s="1281"/>
      <c r="D157" s="1281"/>
      <c r="E157" s="1281"/>
      <c r="F157" s="1281"/>
      <c r="G157" s="1281"/>
      <c r="H157" s="1281"/>
      <c r="I157" s="1281"/>
      <c r="J157" s="1281"/>
      <c r="K157" s="128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3"/>
      <c r="C158" s="1284"/>
      <c r="D158" s="1284"/>
      <c r="E158" s="1284"/>
      <c r="F158" s="1284"/>
      <c r="G158" s="1284"/>
      <c r="H158" s="1284"/>
      <c r="I158" s="1284"/>
      <c r="J158" s="1284"/>
      <c r="K158" s="128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6"/>
      <c r="C159" s="1287"/>
      <c r="D159" s="1287"/>
      <c r="E159" s="1287"/>
      <c r="F159" s="1287"/>
      <c r="G159" s="1287"/>
      <c r="H159" s="1287"/>
      <c r="I159" s="1287"/>
      <c r="J159" s="1287"/>
      <c r="K159" s="1288"/>
      <c r="AQ159" s="162"/>
      <c r="BD159" s="417"/>
    </row>
    <row r="160" spans="1:259" ht="15" customHeight="1" x14ac:dyDescent="0.25">
      <c r="B160" s="1274" t="str">
        <f>CONCATENATE(B162," ; ",E162," ; ",H163)</f>
        <v>Absolute-Point ; Incremental-Vector Point ; Radius</v>
      </c>
      <c r="C160" s="1275"/>
      <c r="D160" s="1275"/>
      <c r="E160" s="1275"/>
      <c r="F160" s="1275"/>
      <c r="G160" s="1275"/>
      <c r="H160" s="1275"/>
      <c r="I160" s="1275"/>
      <c r="J160" s="1275"/>
      <c r="K160" s="1276"/>
      <c r="AQ160" s="162"/>
      <c r="BD160" s="417"/>
    </row>
    <row r="161" spans="2:56" ht="15" customHeight="1" x14ac:dyDescent="0.25">
      <c r="B161" s="1277"/>
      <c r="C161" s="1278"/>
      <c r="D161" s="1278"/>
      <c r="E161" s="1278"/>
      <c r="F161" s="1278"/>
      <c r="G161" s="1278"/>
      <c r="H161" s="1278"/>
      <c r="I161" s="1278"/>
      <c r="J161" s="1278"/>
      <c r="K161" s="1279"/>
      <c r="AQ161" s="162"/>
      <c r="BD161" s="417"/>
    </row>
    <row r="162" spans="2:56" ht="15" customHeight="1" x14ac:dyDescent="0.25">
      <c r="B162" s="1295" t="s">
        <v>40</v>
      </c>
      <c r="C162" s="1296"/>
      <c r="D162" s="1297"/>
      <c r="E162" s="1298" t="s">
        <v>41</v>
      </c>
      <c r="F162" s="1296"/>
      <c r="G162" s="1299"/>
      <c r="H162" s="990" t="s">
        <v>305</v>
      </c>
      <c r="I162" s="988"/>
      <c r="J162" s="989"/>
      <c r="K162" s="488"/>
      <c r="M162" s="1116" t="s">
        <v>304</v>
      </c>
      <c r="N162" s="1403"/>
      <c r="O162" s="1415" t="s">
        <v>283</v>
      </c>
      <c r="P162" s="1416"/>
      <c r="Q162" s="1417"/>
      <c r="R162" s="1418" t="s">
        <v>41</v>
      </c>
      <c r="S162" s="1416"/>
      <c r="T162" s="1417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4"/>
      <c r="N163" s="140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1913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1.2170000000000001</v>
      </c>
      <c r="N171" s="810" t="str">
        <f>Assy.Model!K16</f>
        <v>CPS-32193r1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1.222</v>
      </c>
      <c r="N172" s="810" t="str">
        <f>Assy.Model!K17</f>
        <v>CPS-32193r1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1.2270000000000001</v>
      </c>
      <c r="N173" s="810" t="str">
        <f>Assy.Model!K18</f>
        <v>CPS-32193r1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2.1110000000000002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2.1160000000000001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2.121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2.1259999999999999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2.2160000000000002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2.2210000000000001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2.226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3.1030000000000002</v>
      </c>
      <c r="N181" s="810">
        <f>Assy.Model!K26</f>
        <v>1913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3.1059999999999999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3.11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3.1150000000000002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3.12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3.125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3.2149999999999999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3.22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3.2250000000000001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4.1020000000000003</v>
      </c>
      <c r="N190" s="810">
        <f>Assy.Model!K35</f>
        <v>1913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4.1050000000000004</v>
      </c>
      <c r="N191" s="810">
        <f>Assy.Model!K36</f>
        <v>1913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4.109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4.1139999999999999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4.1189999999999998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4.1239999999999997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4.2140000000000004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4.2190000000000003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4.2240000000000002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5.1079999999999997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5.1130000000000004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5.1180000000000003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5.1230000000000002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5.1280000000000001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5.218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5.2229999999999999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5.2279999999999998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5" t="s">
        <v>33</v>
      </c>
      <c r="C7" s="1443" t="s">
        <v>105</v>
      </c>
      <c r="D7" s="1444"/>
      <c r="E7" s="1447" t="s">
        <v>110</v>
      </c>
    </row>
    <row r="8" spans="1:5" ht="15.75" thickBot="1" x14ac:dyDescent="0.3">
      <c r="A8" s="31" t="s">
        <v>419</v>
      </c>
      <c r="B8" s="1446"/>
      <c r="C8" s="955" t="s">
        <v>8</v>
      </c>
      <c r="D8" s="956" t="s">
        <v>9</v>
      </c>
      <c r="E8" s="1448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2025-11-21T19:33:26Z</dcterms:modified>
</cp:coreProperties>
</file>