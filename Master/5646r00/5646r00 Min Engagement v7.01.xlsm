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646\"/>
    </mc:Choice>
  </mc:AlternateContent>
  <xr:revisionPtr revIDLastSave="0" documentId="13_ncr:1_{A603AA9E-3165-49B1-9A54-D5E52A2F3250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7" i="4" l="1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Q33" i="4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191" i="1" l="1"/>
  <c r="U191" i="1" s="1"/>
  <c r="H36" i="1" s="1"/>
  <c r="X219" i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K36" i="1" l="1"/>
  <c r="A36" i="1" s="1"/>
  <c r="D36" i="1" s="1"/>
  <c r="U219" i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D52" i="1"/>
  <c r="B52" i="1"/>
  <c r="C52" i="1"/>
  <c r="D65" i="1"/>
  <c r="C65" i="1"/>
  <c r="B65" i="1"/>
  <c r="C64" i="1"/>
  <c r="D64" i="1"/>
  <c r="B64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36" i="1" l="1"/>
  <c r="C36" i="1"/>
  <c r="B51" i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K189" i="1"/>
  <c r="X189" i="1" s="1"/>
  <c r="K211" i="1"/>
  <c r="K182" i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X188" i="1" s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U188" i="1" l="1"/>
  <c r="H33" i="1" s="1"/>
  <c r="K33" i="1"/>
  <c r="A33" i="1" s="1"/>
  <c r="X182" i="1"/>
  <c r="K27" i="1" s="1"/>
  <c r="A27" i="1" s="1"/>
  <c r="X217" i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U182" i="1"/>
  <c r="H27" i="1" s="1"/>
  <c r="B33" i="1"/>
  <c r="D33" i="1"/>
  <c r="C33" i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IT59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B62" i="1" l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IW136" i="1"/>
  <c r="IG136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ES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EY132" i="1" s="1"/>
  <c r="DF132" i="1"/>
  <c r="BY132" i="1"/>
  <c r="GW132" i="1"/>
  <c r="BH132" i="1"/>
  <c r="BK132" i="1" s="1"/>
  <c r="CI132" i="1"/>
  <c r="ET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S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BJ132" i="1" s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BB132" i="1"/>
  <c r="BE132" i="1" s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ET130" i="1"/>
  <c r="EU130" i="1"/>
  <c r="EY130" i="1" s="1"/>
  <c r="GJ130" i="1"/>
  <c r="GK130" i="1" s="1"/>
  <c r="GL130" i="1"/>
  <c r="DC130" i="1"/>
  <c r="DB130" i="1"/>
  <c r="DK130" i="1"/>
  <c r="DE130" i="1"/>
  <c r="BG130" i="1"/>
  <c r="BJ130" i="1" s="1"/>
  <c r="AZ130" i="1"/>
  <c r="GM130" i="1" s="1"/>
  <c r="BB130" i="1"/>
  <c r="BE130" i="1" s="1"/>
  <c r="BH130" i="1"/>
  <c r="BN130" i="1" s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9" i="1" l="1"/>
  <c r="JD15" i="1" s="1" a="1"/>
  <c r="JD15" i="1" s="1"/>
  <c r="JD12" i="1" a="1"/>
  <c r="JD12" i="1" s="1"/>
  <c r="DJ132" i="1"/>
  <c r="DI132" i="1"/>
  <c r="DK132" i="1"/>
  <c r="FK132" i="1"/>
  <c r="GV132" i="1"/>
  <c r="GU132" i="1" s="1"/>
  <c r="BN132" i="1"/>
  <c r="CA132" i="1"/>
  <c r="BX132" i="1"/>
  <c r="BU132" i="1"/>
  <c r="FK130" i="1"/>
  <c r="CD132" i="1"/>
  <c r="BM132" i="1"/>
  <c r="BI132" i="1"/>
  <c r="BL132" i="1"/>
  <c r="DI130" i="1"/>
  <c r="GV130" i="1"/>
  <c r="GU130" i="1" s="1"/>
  <c r="BM130" i="1"/>
  <c r="DJ130" i="1"/>
  <c r="CA130" i="1"/>
  <c r="BU130" i="1"/>
  <c r="BX130" i="1"/>
  <c r="CD130" i="1"/>
  <c r="BI130" i="1"/>
  <c r="BK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C23" i="1" l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BO132" i="1"/>
  <c r="GX132" i="1"/>
  <c r="DT132" i="1"/>
  <c r="BP132" i="1"/>
  <c r="CB132" i="1"/>
  <c r="BQ132" i="1"/>
  <c r="BR132" i="1"/>
  <c r="CC132" i="1"/>
  <c r="CE132" i="1"/>
  <c r="DT130" i="1"/>
  <c r="BQ130" i="1"/>
  <c r="CE130" i="1"/>
  <c r="CC130" i="1"/>
  <c r="BR130" i="1"/>
  <c r="BP130" i="1"/>
  <c r="BO130" i="1"/>
  <c r="CB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BN102" i="1" s="1"/>
  <c r="DF102" i="1"/>
  <c r="BB102" i="1"/>
  <c r="BE102" i="1" s="1"/>
  <c r="BX102" i="1" s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B54" i="1"/>
  <c r="BE54" i="1" s="1"/>
  <c r="BU54" i="1" s="1"/>
  <c r="ES54" i="1"/>
  <c r="ET54" i="1"/>
  <c r="BH54" i="1"/>
  <c r="BN54" i="1" s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BF106" i="1"/>
  <c r="BI106" i="1" s="1"/>
  <c r="AZ92" i="1"/>
  <c r="CP92" i="1"/>
  <c r="EQ93" i="1"/>
  <c r="DC106" i="1"/>
  <c r="ES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M128" i="1" s="1"/>
  <c r="BF128" i="1"/>
  <c r="BI128" i="1" s="1"/>
  <c r="AZ128" i="1"/>
  <c r="GM128" i="1" s="1"/>
  <c r="DE128" i="1"/>
  <c r="BB128" i="1"/>
  <c r="BE128" i="1" s="1"/>
  <c r="BU128" i="1" s="1"/>
  <c r="CO128" i="1"/>
  <c r="BS128" i="1"/>
  <c r="DB128" i="1"/>
  <c r="BH128" i="1"/>
  <c r="BK128" i="1" s="1"/>
  <c r="DG128" i="1"/>
  <c r="ET128" i="1"/>
  <c r="ES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K106" i="1"/>
  <c r="GW106" i="1"/>
  <c r="GL106" i="1"/>
  <c r="DE106" i="1"/>
  <c r="BL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J106" i="1" s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V42" i="1"/>
  <c r="CQ125" i="1"/>
  <c r="BH106" i="1"/>
  <c r="BK106" i="1" s="1"/>
  <c r="BV106" i="1"/>
  <c r="GV74" i="1"/>
  <c r="GW74" i="1"/>
  <c r="DC74" i="1"/>
  <c r="DM74" i="1"/>
  <c r="BY74" i="1"/>
  <c r="CS74" i="1"/>
  <c r="CR129" i="1"/>
  <c r="CX129" i="1"/>
  <c r="GX125" i="1"/>
  <c r="HA74" i="1"/>
  <c r="BB106" i="1"/>
  <c r="BE106" i="1" s="1"/>
  <c r="EU106" i="1"/>
  <c r="EY106" i="1" s="1"/>
  <c r="GZ74" i="1"/>
  <c r="CN129" i="1"/>
  <c r="CG125" i="1"/>
  <c r="DA125" i="1"/>
  <c r="HG74" i="1"/>
  <c r="DH106" i="1"/>
  <c r="ET106" i="1"/>
  <c r="FK106" i="1" s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EU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BN122" i="1" s="1"/>
  <c r="CZ109" i="1"/>
  <c r="CM77" i="1"/>
  <c r="CZ77" i="1"/>
  <c r="CH105" i="1"/>
  <c r="CN105" i="1"/>
  <c r="GR90" i="1"/>
  <c r="DY58" i="1"/>
  <c r="EY122" i="1"/>
  <c r="BZ122" i="1"/>
  <c r="ES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BL122" i="1" s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BB122" i="1"/>
  <c r="BE122" i="1" s="1"/>
  <c r="DC122" i="1"/>
  <c r="BV122" i="1"/>
  <c r="BG122" i="1"/>
  <c r="BM122" i="1" s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ET122" i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EY126" i="1" s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B99" i="1"/>
  <c r="BE99" i="1" s="1"/>
  <c r="BH99" i="1"/>
  <c r="BN99" i="1" s="1"/>
  <c r="DD99" i="1"/>
  <c r="GJ99" i="1"/>
  <c r="DG99" i="1"/>
  <c r="ES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BJ104" i="1" s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M99" i="1" s="1"/>
  <c r="EU99" i="1"/>
  <c r="EY99" i="1" s="1"/>
  <c r="ET99" i="1"/>
  <c r="BF99" i="1"/>
  <c r="BI99" i="1" s="1"/>
  <c r="BD99" i="1"/>
  <c r="DH99" i="1" s="1"/>
  <c r="DB99" i="1"/>
  <c r="HI99" i="1"/>
  <c r="BS99" i="1"/>
  <c r="GL104" i="1"/>
  <c r="EY104" i="1"/>
  <c r="BS104" i="1"/>
  <c r="CI104" i="1"/>
  <c r="BY104" i="1"/>
  <c r="GJ104" i="1"/>
  <c r="BT104" i="1"/>
  <c r="DE104" i="1"/>
  <c r="BW104" i="1"/>
  <c r="BF104" i="1"/>
  <c r="BI104" i="1" s="1"/>
  <c r="HI104" i="1"/>
  <c r="BB104" i="1"/>
  <c r="BE104" i="1" s="1"/>
  <c r="BU104" i="1" s="1"/>
  <c r="BD104" i="1"/>
  <c r="DH104" i="1" s="1"/>
  <c r="GW104" i="1"/>
  <c r="BV104" i="1"/>
  <c r="BZ104" i="1"/>
  <c r="ES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T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K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BN104" i="1" s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DK126" i="1" s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GV54" i="1" s="1"/>
  <c r="DB54" i="1"/>
  <c r="CO54" i="1"/>
  <c r="BT54" i="1"/>
  <c r="BG54" i="1"/>
  <c r="BM54" i="1" s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BB126" i="1"/>
  <c r="BE126" i="1" s="1"/>
  <c r="GL126" i="1"/>
  <c r="ET126" i="1"/>
  <c r="BH126" i="1"/>
  <c r="BN126" i="1" s="1"/>
  <c r="ES126" i="1"/>
  <c r="HI126" i="1"/>
  <c r="CC52" i="1"/>
  <c r="GO52" i="1"/>
  <c r="GY52" i="1"/>
  <c r="HC52" i="1"/>
  <c r="BG126" i="1"/>
  <c r="BJ126" i="1" s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BM102" i="1" s="1"/>
  <c r="CI102" i="1"/>
  <c r="GL102" i="1"/>
  <c r="BY102" i="1"/>
  <c r="EU102" i="1"/>
  <c r="EY102" i="1" s="1"/>
  <c r="DE102" i="1"/>
  <c r="DI102" i="1" s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U112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B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ES112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BK102" i="1"/>
  <c r="B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EY100" i="1" s="1"/>
  <c r="GW100" i="1"/>
  <c r="BG100" i="1"/>
  <c r="BM100" i="1" s="1"/>
  <c r="CI100" i="1"/>
  <c r="CO100" i="1"/>
  <c r="DD100" i="1"/>
  <c r="BS100" i="1"/>
  <c r="CG85" i="1"/>
  <c r="DA85" i="1"/>
  <c r="DD98" i="1"/>
  <c r="GJ98" i="1"/>
  <c r="GK98" i="1" s="1"/>
  <c r="BF98" i="1"/>
  <c r="BL98" i="1" s="1"/>
  <c r="ES98" i="1"/>
  <c r="BG98" i="1"/>
  <c r="BJ98" i="1" s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B98" i="1"/>
  <c r="BE98" i="1" s="1"/>
  <c r="CA98" i="1" s="1"/>
  <c r="BH98" i="1"/>
  <c r="BK98" i="1" s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EU98" i="1"/>
  <c r="EY98" i="1" s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B108" i="1"/>
  <c r="BT108" i="1"/>
  <c r="BW108" i="1"/>
  <c r="BG108" i="1"/>
  <c r="BJ108" i="1" s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U108" i="1"/>
  <c r="EY108" i="1" s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DI108" i="1" s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BE108" i="1"/>
  <c r="BU108" i="1" s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BK112" i="1" s="1"/>
  <c r="HI112" i="1"/>
  <c r="BD112" i="1"/>
  <c r="DH112" i="1" s="1"/>
  <c r="GM112" i="1"/>
  <c r="CO112" i="1"/>
  <c r="EY112" i="1"/>
  <c r="BT112" i="1"/>
  <c r="BE112" i="1"/>
  <c r="BX112" i="1" s="1"/>
  <c r="BV112" i="1"/>
  <c r="GJ112" i="1"/>
  <c r="GK112" i="1" s="1"/>
  <c r="BG112" i="1"/>
  <c r="BM112" i="1" s="1"/>
  <c r="BW112" i="1"/>
  <c r="BY112" i="1"/>
  <c r="GL112" i="1"/>
  <c r="BF112" i="1"/>
  <c r="BI112" i="1" s="1"/>
  <c r="CI112" i="1"/>
  <c r="GW112" i="1"/>
  <c r="DE112" i="1"/>
  <c r="DI112" i="1" s="1"/>
  <c r="ET112" i="1"/>
  <c r="FK112" i="1" s="1"/>
  <c r="DF112" i="1"/>
  <c r="BS112" i="1"/>
  <c r="DD112" i="1"/>
  <c r="DK112" i="1" s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ET110" i="1"/>
  <c r="HI110" i="1"/>
  <c r="BH110" i="1"/>
  <c r="BN110" i="1" s="1"/>
  <c r="BG110" i="1"/>
  <c r="BJ110" i="1" s="1"/>
  <c r="GW110" i="1"/>
  <c r="ES110" i="1"/>
  <c r="DB110" i="1"/>
  <c r="BF110" i="1"/>
  <c r="BI110" i="1" s="1"/>
  <c r="DG110" i="1"/>
  <c r="EU110" i="1"/>
  <c r="EY110" i="1" s="1"/>
  <c r="BB110" i="1"/>
  <c r="BE110" i="1" s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ET100" i="1"/>
  <c r="ES100" i="1"/>
  <c r="GJ100" i="1"/>
  <c r="GK100" i="1" s="1"/>
  <c r="DC100" i="1"/>
  <c r="DF100" i="1"/>
  <c r="BH100" i="1"/>
  <c r="BN100" i="1" s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BB100" i="1"/>
  <c r="BE100" i="1" s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BL124" i="1" s="1"/>
  <c r="GW124" i="1"/>
  <c r="GV124" i="1" s="1"/>
  <c r="CI124" i="1"/>
  <c r="DC124" i="1"/>
  <c r="CO124" i="1"/>
  <c r="ET124" i="1"/>
  <c r="BG124" i="1"/>
  <c r="BJ124" i="1" s="1"/>
  <c r="BV124" i="1"/>
  <c r="BZ124" i="1"/>
  <c r="BY124" i="1"/>
  <c r="BW124" i="1"/>
  <c r="DD124" i="1"/>
  <c r="DB124" i="1"/>
  <c r="BH124" i="1"/>
  <c r="BN124" i="1" s="1"/>
  <c r="DE124" i="1"/>
  <c r="AZ124" i="1"/>
  <c r="GM124" i="1" s="1"/>
  <c r="ES124" i="1"/>
  <c r="GJ124" i="1"/>
  <c r="GK124" i="1" s="1"/>
  <c r="DF124" i="1"/>
  <c r="BB124" i="1"/>
  <c r="BE124" i="1" s="1"/>
  <c r="CA124" i="1" s="1"/>
  <c r="BT124" i="1"/>
  <c r="BD124" i="1"/>
  <c r="DH124" i="1" s="1"/>
  <c r="DG124" i="1"/>
  <c r="EU124" i="1"/>
  <c r="EY124" i="1" s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BS108" i="1"/>
  <c r="CD108" i="1" s="1"/>
  <c r="BN108" i="1"/>
  <c r="GL108" i="1"/>
  <c r="BM108" i="1"/>
  <c r="BD108" i="1"/>
  <c r="DH108" i="1" s="1"/>
  <c r="CI108" i="1"/>
  <c r="CO108" i="1"/>
  <c r="BK108" i="1"/>
  <c r="ES108" i="1"/>
  <c r="FK108" i="1" s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JO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JD23" i="1" l="1" a="1"/>
  <c r="JD23" i="1" s="1"/>
  <c r="IS23" i="1"/>
  <c r="IS22" i="1"/>
  <c r="IS26" i="1"/>
  <c r="IS21" i="1"/>
  <c r="BL112" i="1"/>
  <c r="BN112" i="1"/>
  <c r="GV112" i="1"/>
  <c r="GU112" i="1" s="1"/>
  <c r="CA112" i="1"/>
  <c r="DJ112" i="1"/>
  <c r="DT112" i="1" s="1"/>
  <c r="CD112" i="1"/>
  <c r="CH132" i="1"/>
  <c r="BJ112" i="1"/>
  <c r="CG132" i="1"/>
  <c r="BU112" i="1"/>
  <c r="CJ132" i="1"/>
  <c r="CK132" i="1"/>
  <c r="CF132" i="1"/>
  <c r="CL132" i="1" s="1"/>
  <c r="FK110" i="1"/>
  <c r="GV110" i="1"/>
  <c r="GU110" i="1" s="1"/>
  <c r="CD110" i="1"/>
  <c r="DK110" i="1"/>
  <c r="DJ110" i="1"/>
  <c r="CG130" i="1"/>
  <c r="DI110" i="1"/>
  <c r="BX110" i="1"/>
  <c r="CA110" i="1"/>
  <c r="BU110" i="1"/>
  <c r="BM110" i="1"/>
  <c r="BK110" i="1"/>
  <c r="BL110" i="1"/>
  <c r="CF130" i="1"/>
  <c r="CL130" i="1" s="1"/>
  <c r="CK130" i="1"/>
  <c r="CJ130" i="1"/>
  <c r="CH130" i="1"/>
  <c r="DK108" i="1"/>
  <c r="DT108" i="1" s="1"/>
  <c r="GV108" i="1"/>
  <c r="GX108" i="1" s="1"/>
  <c r="BO108" i="1"/>
  <c r="BX108" i="1"/>
  <c r="BL108" i="1"/>
  <c r="BR108" i="1" s="1"/>
  <c r="CA108" i="1"/>
  <c r="GV128" i="1"/>
  <c r="GU128" i="1" s="1"/>
  <c r="DK100" i="1"/>
  <c r="DJ128" i="1"/>
  <c r="DK128" i="1"/>
  <c r="BL128" i="1"/>
  <c r="DI126" i="1"/>
  <c r="CA128" i="1"/>
  <c r="BX128" i="1"/>
  <c r="DI128" i="1"/>
  <c r="FK128" i="1"/>
  <c r="BJ128" i="1"/>
  <c r="CD128" i="1"/>
  <c r="EY128" i="1"/>
  <c r="BN128" i="1"/>
  <c r="DJ102" i="1"/>
  <c r="BK54" i="1"/>
  <c r="DI106" i="1"/>
  <c r="DK106" i="1"/>
  <c r="GV106" i="1"/>
  <c r="GX106" i="1" s="1"/>
  <c r="CD106" i="1"/>
  <c r="BX106" i="1"/>
  <c r="BU106" i="1"/>
  <c r="CA106" i="1"/>
  <c r="BM106" i="1"/>
  <c r="BN106" i="1"/>
  <c r="BP106" i="1" s="1"/>
  <c r="BJ106" i="1"/>
  <c r="FK98" i="1"/>
  <c r="BK126" i="1"/>
  <c r="BM126" i="1"/>
  <c r="GV126" i="1"/>
  <c r="GU126" i="1" s="1"/>
  <c r="FK126" i="1"/>
  <c r="BL126" i="1"/>
  <c r="DJ126" i="1"/>
  <c r="CD126" i="1"/>
  <c r="CA126" i="1"/>
  <c r="BX126" i="1"/>
  <c r="BU126" i="1"/>
  <c r="GX126" i="1"/>
  <c r="BM104" i="1"/>
  <c r="DI104" i="1"/>
  <c r="BI124" i="1"/>
  <c r="DK124" i="1"/>
  <c r="GV104" i="1"/>
  <c r="GX104" i="1" s="1"/>
  <c r="BM124" i="1"/>
  <c r="DJ124" i="1"/>
  <c r="DJ54" i="1"/>
  <c r="DJ104" i="1"/>
  <c r="DK104" i="1"/>
  <c r="FK124" i="1"/>
  <c r="BK99" i="1"/>
  <c r="FK104" i="1"/>
  <c r="BK124" i="1"/>
  <c r="BK104" i="1"/>
  <c r="BL104" i="1"/>
  <c r="GK104" i="1"/>
  <c r="BX104" i="1"/>
  <c r="CD104" i="1"/>
  <c r="CA104" i="1"/>
  <c r="BI98" i="1"/>
  <c r="DI124" i="1"/>
  <c r="BK122" i="1"/>
  <c r="GU124" i="1"/>
  <c r="CD124" i="1"/>
  <c r="GX124" i="1"/>
  <c r="BX124" i="1"/>
  <c r="BU124" i="1"/>
  <c r="GV100" i="1"/>
  <c r="GX100" i="1" s="1"/>
  <c r="CD102" i="1"/>
  <c r="CA102" i="1"/>
  <c r="GV102" i="1"/>
  <c r="GU102" i="1" s="1"/>
  <c r="BP102" i="1"/>
  <c r="BJ102" i="1"/>
  <c r="BQ102" i="1" s="1"/>
  <c r="DK102" i="1"/>
  <c r="FK99" i="1"/>
  <c r="BU102" i="1"/>
  <c r="DJ122" i="1"/>
  <c r="CD122" i="1"/>
  <c r="GV122" i="1"/>
  <c r="GX122" i="1" s="1"/>
  <c r="DI122" i="1"/>
  <c r="FK122" i="1"/>
  <c r="BU122" i="1"/>
  <c r="BX122" i="1"/>
  <c r="CA122" i="1"/>
  <c r="BI122" i="1"/>
  <c r="BJ122" i="1"/>
  <c r="BM98" i="1"/>
  <c r="DI100" i="1"/>
  <c r="BL100" i="1"/>
  <c r="DI99" i="1"/>
  <c r="DK99" i="1"/>
  <c r="BJ99" i="1"/>
  <c r="BJ100" i="1"/>
  <c r="GV98" i="1"/>
  <c r="GX98" i="1" s="1"/>
  <c r="DJ100" i="1"/>
  <c r="FK100" i="1"/>
  <c r="DK98" i="1"/>
  <c r="BX100" i="1"/>
  <c r="CA100" i="1"/>
  <c r="BU100" i="1"/>
  <c r="GM100" i="1"/>
  <c r="CD100" i="1"/>
  <c r="BK100" i="1"/>
  <c r="BL99" i="1"/>
  <c r="DJ99" i="1"/>
  <c r="CA99" i="1"/>
  <c r="BX99" i="1"/>
  <c r="BU99" i="1"/>
  <c r="GU99" i="1"/>
  <c r="GX99" i="1"/>
  <c r="BN98" i="1"/>
  <c r="CD99" i="1"/>
  <c r="GM99" i="1"/>
  <c r="CD98" i="1"/>
  <c r="DJ98" i="1"/>
  <c r="DI98" i="1"/>
  <c r="BX98" i="1"/>
  <c r="BU98" i="1"/>
  <c r="DI54" i="1"/>
  <c r="FK54" i="1"/>
  <c r="CD54" i="1"/>
  <c r="BL54" i="1"/>
  <c r="GU54" i="1"/>
  <c r="GX54" i="1"/>
  <c r="CA54" i="1"/>
  <c r="BJ54" i="1"/>
  <c r="BX54" i="1"/>
  <c r="AG118" i="1"/>
  <c r="IR126" i="1"/>
  <c r="IR125" i="1"/>
  <c r="IR120" i="1"/>
  <c r="IR119" i="1"/>
  <c r="IR107" i="1"/>
  <c r="AG102" i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112" i="1" l="1"/>
  <c r="BP112" i="1"/>
  <c r="CM132" i="1"/>
  <c r="CB112" i="1"/>
  <c r="BO112" i="1"/>
  <c r="BR112" i="1"/>
  <c r="BQ112" i="1"/>
  <c r="CE112" i="1"/>
  <c r="CC112" i="1"/>
  <c r="BA130" i="1"/>
  <c r="GN130" i="1" s="1"/>
  <c r="BA132" i="1"/>
  <c r="GN132" i="1" s="1"/>
  <c r="CN132" i="1"/>
  <c r="CR132" i="1"/>
  <c r="DT110" i="1"/>
  <c r="GX110" i="1"/>
  <c r="CM130" i="1"/>
  <c r="CB110" i="1"/>
  <c r="BO110" i="1"/>
  <c r="BQ110" i="1"/>
  <c r="BR110" i="1"/>
  <c r="BP110" i="1"/>
  <c r="BA110" i="1"/>
  <c r="GN110" i="1" s="1"/>
  <c r="CC110" i="1"/>
  <c r="CE110" i="1"/>
  <c r="CN130" i="1"/>
  <c r="CR130" i="1"/>
  <c r="CB108" i="1"/>
  <c r="BQ128" i="1"/>
  <c r="BP108" i="1"/>
  <c r="BQ108" i="1"/>
  <c r="GU108" i="1"/>
  <c r="CE108" i="1"/>
  <c r="GX128" i="1"/>
  <c r="BP128" i="1"/>
  <c r="CC108" i="1"/>
  <c r="CB128" i="1"/>
  <c r="BA128" i="1"/>
  <c r="GN128" i="1" s="1"/>
  <c r="BA108" i="1"/>
  <c r="GN108" i="1" s="1"/>
  <c r="DT126" i="1"/>
  <c r="CE128" i="1"/>
  <c r="CC128" i="1"/>
  <c r="DT128" i="1"/>
  <c r="BR128" i="1"/>
  <c r="BO128" i="1"/>
  <c r="BP54" i="1"/>
  <c r="DT102" i="1"/>
  <c r="DT106" i="1"/>
  <c r="GU106" i="1"/>
  <c r="CC106" i="1"/>
  <c r="BA126" i="1"/>
  <c r="GN126" i="1" s="1"/>
  <c r="BA106" i="1"/>
  <c r="GN106" i="1" s="1"/>
  <c r="BQ106" i="1"/>
  <c r="BO106" i="1"/>
  <c r="BR106" i="1"/>
  <c r="CE106" i="1"/>
  <c r="CB106" i="1"/>
  <c r="BP126" i="1"/>
  <c r="BQ126" i="1"/>
  <c r="CE126" i="1"/>
  <c r="CC126" i="1"/>
  <c r="BR126" i="1"/>
  <c r="BO126" i="1"/>
  <c r="CB126" i="1"/>
  <c r="BQ104" i="1"/>
  <c r="BO104" i="1"/>
  <c r="BR124" i="1"/>
  <c r="BQ124" i="1"/>
  <c r="DT104" i="1"/>
  <c r="GU104" i="1"/>
  <c r="DT54" i="1"/>
  <c r="BO99" i="1"/>
  <c r="DT124" i="1"/>
  <c r="BQ98" i="1"/>
  <c r="BO124" i="1"/>
  <c r="BP124" i="1"/>
  <c r="BR104" i="1"/>
  <c r="CB104" i="1"/>
  <c r="CE104" i="1"/>
  <c r="CC104" i="1"/>
  <c r="BP104" i="1"/>
  <c r="BP122" i="1"/>
  <c r="BA98" i="1"/>
  <c r="GN98" i="1" s="1"/>
  <c r="BA104" i="1"/>
  <c r="GN104" i="1" s="1"/>
  <c r="CC124" i="1"/>
  <c r="CB124" i="1"/>
  <c r="BA124" i="1"/>
  <c r="GN124" i="1" s="1"/>
  <c r="CE124" i="1"/>
  <c r="GU100" i="1"/>
  <c r="GX102" i="1"/>
  <c r="CE102" i="1"/>
  <c r="BR102" i="1"/>
  <c r="BO102" i="1"/>
  <c r="CC102" i="1"/>
  <c r="CF102" i="1" s="1"/>
  <c r="CL102" i="1" s="1"/>
  <c r="BA102" i="1"/>
  <c r="GN102" i="1" s="1"/>
  <c r="CB102" i="1"/>
  <c r="BQ122" i="1"/>
  <c r="GU122" i="1"/>
  <c r="DT122" i="1"/>
  <c r="BQ100" i="1"/>
  <c r="CC122" i="1"/>
  <c r="CE122" i="1"/>
  <c r="BA122" i="1"/>
  <c r="GN122" i="1" s="1"/>
  <c r="BR122" i="1"/>
  <c r="BO122" i="1"/>
  <c r="CB122" i="1"/>
  <c r="BR98" i="1"/>
  <c r="DT100" i="1"/>
  <c r="BR99" i="1"/>
  <c r="BP100" i="1"/>
  <c r="GU98" i="1"/>
  <c r="DT99" i="1"/>
  <c r="CE100" i="1"/>
  <c r="BA100" i="1"/>
  <c r="GN100" i="1" s="1"/>
  <c r="CB100" i="1"/>
  <c r="CC100" i="1"/>
  <c r="BR100" i="1"/>
  <c r="BO100" i="1"/>
  <c r="GU56" i="1"/>
  <c r="BP99" i="1"/>
  <c r="BQ99" i="1"/>
  <c r="CB98" i="1"/>
  <c r="CB99" i="1"/>
  <c r="CE99" i="1"/>
  <c r="CC99" i="1"/>
  <c r="BA99" i="1"/>
  <c r="GN99" i="1" s="1"/>
  <c r="BO98" i="1"/>
  <c r="BP98" i="1"/>
  <c r="DT98" i="1"/>
  <c r="CC98" i="1"/>
  <c r="CE98" i="1"/>
  <c r="BR54" i="1"/>
  <c r="BO54" i="1"/>
  <c r="BA46" i="1"/>
  <c r="GN46" i="1" s="1"/>
  <c r="BA54" i="1"/>
  <c r="GN54" i="1" s="1"/>
  <c r="CC54" i="1"/>
  <c r="CE54" i="1"/>
  <c r="CB54" i="1"/>
  <c r="BQ54" i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CP132" i="1" l="1"/>
  <c r="CG112" i="1"/>
  <c r="CJ112" i="1"/>
  <c r="CK112" i="1"/>
  <c r="CH112" i="1"/>
  <c r="CF112" i="1"/>
  <c r="CL112" i="1" s="1"/>
  <c r="CQ132" i="1"/>
  <c r="CG110" i="1"/>
  <c r="CP130" i="1"/>
  <c r="CH110" i="1"/>
  <c r="CF110" i="1"/>
  <c r="CL110" i="1" s="1"/>
  <c r="CJ110" i="1"/>
  <c r="CQ130" i="1"/>
  <c r="CG108" i="1"/>
  <c r="CK110" i="1"/>
  <c r="CK108" i="1"/>
  <c r="CF128" i="1"/>
  <c r="CL128" i="1" s="1"/>
  <c r="CH108" i="1"/>
  <c r="CF108" i="1"/>
  <c r="CL108" i="1" s="1"/>
  <c r="CJ108" i="1"/>
  <c r="CH128" i="1"/>
  <c r="CK128" i="1"/>
  <c r="CJ128" i="1"/>
  <c r="CG128" i="1"/>
  <c r="CF106" i="1"/>
  <c r="CL106" i="1" s="1"/>
  <c r="CJ106" i="1"/>
  <c r="CH106" i="1"/>
  <c r="CG106" i="1"/>
  <c r="CK106" i="1"/>
  <c r="CG126" i="1"/>
  <c r="CJ126" i="1"/>
  <c r="CF126" i="1"/>
  <c r="CL126" i="1" s="1"/>
  <c r="CK126" i="1"/>
  <c r="CH126" i="1"/>
  <c r="CG104" i="1"/>
  <c r="CG124" i="1"/>
  <c r="CF124" i="1"/>
  <c r="CL124" i="1" s="1"/>
  <c r="CJ104" i="1"/>
  <c r="CF104" i="1"/>
  <c r="CL104" i="1" s="1"/>
  <c r="CK124" i="1"/>
  <c r="CK104" i="1"/>
  <c r="CH104" i="1"/>
  <c r="CH124" i="1"/>
  <c r="CJ124" i="1"/>
  <c r="CF122" i="1"/>
  <c r="CL122" i="1" s="1"/>
  <c r="CG102" i="1"/>
  <c r="CJ102" i="1"/>
  <c r="CK102" i="1"/>
  <c r="CH102" i="1"/>
  <c r="CH122" i="1"/>
  <c r="CJ122" i="1"/>
  <c r="CK122" i="1"/>
  <c r="CG122" i="1"/>
  <c r="CF100" i="1"/>
  <c r="CL100" i="1" s="1"/>
  <c r="CH100" i="1"/>
  <c r="CJ100" i="1"/>
  <c r="CK100" i="1"/>
  <c r="CG100" i="1"/>
  <c r="CG98" i="1"/>
  <c r="CJ99" i="1"/>
  <c r="CG99" i="1"/>
  <c r="CF98" i="1"/>
  <c r="CL98" i="1" s="1"/>
  <c r="CH99" i="1"/>
  <c r="CK99" i="1"/>
  <c r="CF99" i="1"/>
  <c r="CL99" i="1" s="1"/>
  <c r="CH98" i="1"/>
  <c r="CK98" i="1"/>
  <c r="CJ98" i="1"/>
  <c r="CG54" i="1"/>
  <c r="CF54" i="1"/>
  <c r="CL54" i="1" s="1"/>
  <c r="CK54" i="1"/>
  <c r="CH54" i="1"/>
  <c r="CJ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CM112" i="1" l="1"/>
  <c r="CS130" i="1"/>
  <c r="CT130" i="1" s="1"/>
  <c r="CW130" i="1" s="1"/>
  <c r="CN112" i="1"/>
  <c r="CR112" i="1"/>
  <c r="CS132" i="1"/>
  <c r="CU132" i="1" s="1"/>
  <c r="CM110" i="1"/>
  <c r="CR110" i="1"/>
  <c r="CN110" i="1"/>
  <c r="CN128" i="1"/>
  <c r="CN108" i="1"/>
  <c r="CM108" i="1"/>
  <c r="CR108" i="1"/>
  <c r="CM128" i="1"/>
  <c r="CR128" i="1"/>
  <c r="CM126" i="1"/>
  <c r="CR106" i="1"/>
  <c r="CM106" i="1"/>
  <c r="CR126" i="1"/>
  <c r="CN126" i="1"/>
  <c r="CN106" i="1"/>
  <c r="CM104" i="1"/>
  <c r="CR104" i="1"/>
  <c r="CN124" i="1"/>
  <c r="CN104" i="1"/>
  <c r="CR124" i="1"/>
  <c r="CM124" i="1"/>
  <c r="CR102" i="1"/>
  <c r="CM102" i="1"/>
  <c r="CN102" i="1"/>
  <c r="CR122" i="1"/>
  <c r="CN122" i="1"/>
  <c r="CM122" i="1"/>
  <c r="CR99" i="1"/>
  <c r="CM100" i="1"/>
  <c r="CN100" i="1"/>
  <c r="CR100" i="1"/>
  <c r="CM99" i="1"/>
  <c r="CN98" i="1"/>
  <c r="CN99" i="1"/>
  <c r="CR98" i="1"/>
  <c r="CM98" i="1"/>
  <c r="CM54" i="1"/>
  <c r="CR54" i="1"/>
  <c r="CN54" i="1"/>
  <c r="JA139" i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112" i="1" l="1"/>
  <c r="CX130" i="1"/>
  <c r="DN130" i="1" s="1"/>
  <c r="CV130" i="1"/>
  <c r="DL130" i="1" s="1"/>
  <c r="CU130" i="1"/>
  <c r="CY130" i="1" s="1"/>
  <c r="CP112" i="1"/>
  <c r="CY132" i="1"/>
  <c r="CZ132" i="1"/>
  <c r="DA132" i="1"/>
  <c r="CT132" i="1"/>
  <c r="CP110" i="1"/>
  <c r="CQ110" i="1"/>
  <c r="DM130" i="1"/>
  <c r="CP108" i="1"/>
  <c r="CQ108" i="1"/>
  <c r="CP128" i="1"/>
  <c r="CQ128" i="1"/>
  <c r="CQ126" i="1"/>
  <c r="CP106" i="1"/>
  <c r="CP126" i="1"/>
  <c r="CQ106" i="1"/>
  <c r="CP104" i="1"/>
  <c r="CQ104" i="1"/>
  <c r="CQ124" i="1"/>
  <c r="CP124" i="1"/>
  <c r="CP102" i="1"/>
  <c r="CQ102" i="1"/>
  <c r="CQ122" i="1"/>
  <c r="CP122" i="1"/>
  <c r="CQ100" i="1"/>
  <c r="CP100" i="1"/>
  <c r="CQ99" i="1"/>
  <c r="CQ98" i="1"/>
  <c r="CP98" i="1"/>
  <c r="CP99" i="1"/>
  <c r="CQ54" i="1"/>
  <c r="CP54" i="1"/>
  <c r="IH139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S112" i="1" l="1"/>
  <c r="CU112" i="1" s="1"/>
  <c r="CY112" i="1" s="1"/>
  <c r="DO130" i="1"/>
  <c r="DS130" i="1" s="1"/>
  <c r="DA130" i="1"/>
  <c r="DQ130" i="1" s="1"/>
  <c r="CZ130" i="1"/>
  <c r="DP130" i="1" s="1"/>
  <c r="CV132" i="1"/>
  <c r="DO132" i="1" s="1"/>
  <c r="CW132" i="1"/>
  <c r="DP132" i="1" s="1"/>
  <c r="CX132" i="1"/>
  <c r="DQ132" i="1" s="1"/>
  <c r="CS110" i="1"/>
  <c r="CT110" i="1" s="1"/>
  <c r="DU130" i="1"/>
  <c r="DV130" i="1"/>
  <c r="DW130" i="1"/>
  <c r="DX130" i="1" s="1"/>
  <c r="DR130" i="1"/>
  <c r="CS108" i="1"/>
  <c r="CT108" i="1" s="1"/>
  <c r="CV108" i="1" s="1"/>
  <c r="CS128" i="1"/>
  <c r="CT128" i="1" s="1"/>
  <c r="CS126" i="1"/>
  <c r="CU126" i="1" s="1"/>
  <c r="CY126" i="1" s="1"/>
  <c r="CS106" i="1"/>
  <c r="CT106" i="1" s="1"/>
  <c r="CW106" i="1" s="1"/>
  <c r="CS104" i="1"/>
  <c r="CU104" i="1" s="1"/>
  <c r="CS124" i="1"/>
  <c r="CT124" i="1" s="1"/>
  <c r="CS102" i="1"/>
  <c r="CU102" i="1" s="1"/>
  <c r="DA102" i="1" s="1"/>
  <c r="CS122" i="1"/>
  <c r="CU122" i="1" s="1"/>
  <c r="CY122" i="1" s="1"/>
  <c r="CS100" i="1"/>
  <c r="CU100" i="1" s="1"/>
  <c r="CY100" i="1" s="1"/>
  <c r="CS99" i="1"/>
  <c r="CT99" i="1" s="1"/>
  <c r="CS98" i="1"/>
  <c r="CU98" i="1" s="1"/>
  <c r="CY98" i="1" s="1"/>
  <c r="CS54" i="1"/>
  <c r="CU54" i="1" s="1"/>
  <c r="CY54" i="1" s="1"/>
  <c r="IN142" i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CT112" i="1" l="1"/>
  <c r="CV112" i="1" s="1"/>
  <c r="DL112" i="1" s="1"/>
  <c r="DA112" i="1"/>
  <c r="CZ112" i="1"/>
  <c r="DS132" i="1"/>
  <c r="DU132" i="1"/>
  <c r="DN132" i="1"/>
  <c r="DM132" i="1"/>
  <c r="DL132" i="1"/>
  <c r="CU110" i="1"/>
  <c r="CY110" i="1" s="1"/>
  <c r="DY130" i="1"/>
  <c r="CV110" i="1"/>
  <c r="CW110" i="1"/>
  <c r="CX110" i="1"/>
  <c r="EA130" i="1"/>
  <c r="DZ130" i="1"/>
  <c r="CU108" i="1"/>
  <c r="CY108" i="1" s="1"/>
  <c r="DO108" i="1" s="1"/>
  <c r="DU108" i="1" s="1"/>
  <c r="CU128" i="1"/>
  <c r="CY128" i="1" s="1"/>
  <c r="CW108" i="1"/>
  <c r="DM108" i="1" s="1"/>
  <c r="CX108" i="1"/>
  <c r="DN108" i="1" s="1"/>
  <c r="DA126" i="1"/>
  <c r="DL108" i="1"/>
  <c r="CV128" i="1"/>
  <c r="CX128" i="1"/>
  <c r="CW128" i="1"/>
  <c r="CZ126" i="1"/>
  <c r="CT126" i="1"/>
  <c r="CV126" i="1" s="1"/>
  <c r="DL126" i="1" s="1"/>
  <c r="CV106" i="1"/>
  <c r="DL106" i="1" s="1"/>
  <c r="CU106" i="1"/>
  <c r="CY106" i="1" s="1"/>
  <c r="CX106" i="1"/>
  <c r="DN106" i="1" s="1"/>
  <c r="DM106" i="1"/>
  <c r="DA104" i="1"/>
  <c r="CY104" i="1"/>
  <c r="CZ104" i="1"/>
  <c r="CT104" i="1"/>
  <c r="CV124" i="1"/>
  <c r="CX124" i="1"/>
  <c r="CW124" i="1"/>
  <c r="CU124" i="1"/>
  <c r="CZ102" i="1"/>
  <c r="CY102" i="1"/>
  <c r="CT102" i="1"/>
  <c r="CV102" i="1" s="1"/>
  <c r="CT122" i="1"/>
  <c r="CV122" i="1" s="1"/>
  <c r="DO122" i="1" s="1"/>
  <c r="DA122" i="1"/>
  <c r="CZ122" i="1"/>
  <c r="CT100" i="1"/>
  <c r="CV100" i="1" s="1"/>
  <c r="DO100" i="1" s="1"/>
  <c r="DA100" i="1"/>
  <c r="CZ100" i="1"/>
  <c r="CU99" i="1"/>
  <c r="CZ99" i="1" s="1"/>
  <c r="DA98" i="1"/>
  <c r="CZ98" i="1"/>
  <c r="CT98" i="1"/>
  <c r="CV98" i="1" s="1"/>
  <c r="DO98" i="1" s="1"/>
  <c r="DS98" i="1" s="1"/>
  <c r="CV99" i="1"/>
  <c r="DL99" i="1" s="1"/>
  <c r="DR99" i="1" s="1"/>
  <c r="CW99" i="1"/>
  <c r="DM99" i="1" s="1"/>
  <c r="CX99" i="1"/>
  <c r="DN99" i="1" s="1"/>
  <c r="CT54" i="1"/>
  <c r="CX54" i="1" s="1"/>
  <c r="DA54" i="1"/>
  <c r="CZ54" i="1"/>
  <c r="JA138" i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45" i="1"/>
  <c r="JA29" i="1"/>
  <c r="IV100" i="1"/>
  <c r="JA79" i="1"/>
  <c r="IV16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V21" i="1" l="1"/>
  <c r="IV23" i="1"/>
  <c r="IV26" i="1"/>
  <c r="DO112" i="1"/>
  <c r="CW112" i="1"/>
  <c r="DP112" i="1" s="1"/>
  <c r="CX112" i="1"/>
  <c r="DN112" i="1" s="1"/>
  <c r="DQ112" i="1"/>
  <c r="DV112" i="1"/>
  <c r="DW112" i="1"/>
  <c r="DX112" i="1" s="1"/>
  <c r="DR112" i="1"/>
  <c r="DY132" i="1"/>
  <c r="DU112" i="1"/>
  <c r="DS112" i="1"/>
  <c r="DW132" i="1"/>
  <c r="DX132" i="1" s="1"/>
  <c r="DV132" i="1"/>
  <c r="DR132" i="1"/>
  <c r="DA128" i="1"/>
  <c r="DQ128" i="1" s="1"/>
  <c r="DA110" i="1"/>
  <c r="DQ110" i="1" s="1"/>
  <c r="CZ110" i="1"/>
  <c r="DP110" i="1" s="1"/>
  <c r="DO110" i="1"/>
  <c r="DU110" i="1" s="1"/>
  <c r="DN110" i="1"/>
  <c r="DM110" i="1"/>
  <c r="DL110" i="1"/>
  <c r="EC130" i="1"/>
  <c r="ED130" i="1"/>
  <c r="EB130" i="1"/>
  <c r="CZ128" i="1"/>
  <c r="CZ108" i="1"/>
  <c r="DP108" i="1" s="1"/>
  <c r="DA108" i="1"/>
  <c r="DQ108" i="1" s="1"/>
  <c r="DS108" i="1"/>
  <c r="DY108" i="1" s="1"/>
  <c r="DO128" i="1"/>
  <c r="DU128" i="1" s="1"/>
  <c r="DW108" i="1"/>
  <c r="DX108" i="1" s="1"/>
  <c r="DV108" i="1"/>
  <c r="DR108" i="1"/>
  <c r="DP128" i="1"/>
  <c r="DM128" i="1"/>
  <c r="DN128" i="1"/>
  <c r="DL128" i="1"/>
  <c r="DO126" i="1"/>
  <c r="CW126" i="1"/>
  <c r="DM126" i="1" s="1"/>
  <c r="CX126" i="1"/>
  <c r="DN126" i="1" s="1"/>
  <c r="DO106" i="1"/>
  <c r="DU106" i="1" s="1"/>
  <c r="DA106" i="1"/>
  <c r="DQ106" i="1" s="1"/>
  <c r="CZ106" i="1"/>
  <c r="DP106" i="1" s="1"/>
  <c r="DW106" i="1"/>
  <c r="DX106" i="1" s="1"/>
  <c r="DR106" i="1"/>
  <c r="CV104" i="1"/>
  <c r="DL104" i="1" s="1"/>
  <c r="CW104" i="1"/>
  <c r="DM104" i="1" s="1"/>
  <c r="CX104" i="1"/>
  <c r="DN104" i="1" s="1"/>
  <c r="CY124" i="1"/>
  <c r="DO124" i="1" s="1"/>
  <c r="DA124" i="1"/>
  <c r="DQ124" i="1" s="1"/>
  <c r="CZ124" i="1"/>
  <c r="DP124" i="1" s="1"/>
  <c r="DM124" i="1"/>
  <c r="DN124" i="1"/>
  <c r="DL124" i="1"/>
  <c r="DO102" i="1"/>
  <c r="DU102" i="1" s="1"/>
  <c r="CW102" i="1"/>
  <c r="DP102" i="1" s="1"/>
  <c r="CX102" i="1"/>
  <c r="DQ102" i="1" s="1"/>
  <c r="CW122" i="1"/>
  <c r="DP122" i="1" s="1"/>
  <c r="CX122" i="1"/>
  <c r="DQ122" i="1" s="1"/>
  <c r="DL102" i="1"/>
  <c r="DU122" i="1"/>
  <c r="DS122" i="1"/>
  <c r="DL122" i="1"/>
  <c r="CW100" i="1"/>
  <c r="DP100" i="1" s="1"/>
  <c r="CX100" i="1"/>
  <c r="DQ100" i="1" s="1"/>
  <c r="CY99" i="1"/>
  <c r="DO99" i="1" s="1"/>
  <c r="DA99" i="1"/>
  <c r="DQ99" i="1" s="1"/>
  <c r="DU100" i="1"/>
  <c r="DS100" i="1"/>
  <c r="DW99" i="1"/>
  <c r="DX99" i="1" s="1"/>
  <c r="EA99" i="1" s="1"/>
  <c r="CV54" i="1"/>
  <c r="DO54" i="1" s="1"/>
  <c r="DS54" i="1" s="1"/>
  <c r="CX98" i="1"/>
  <c r="DQ98" i="1" s="1"/>
  <c r="DL100" i="1"/>
  <c r="DL98" i="1"/>
  <c r="DW98" i="1" s="1"/>
  <c r="DX98" i="1" s="1"/>
  <c r="CW98" i="1"/>
  <c r="DP98" i="1" s="1"/>
  <c r="CW54" i="1"/>
  <c r="DP54" i="1" s="1"/>
  <c r="DP99" i="1"/>
  <c r="DU98" i="1"/>
  <c r="DY98" i="1" s="1"/>
  <c r="DQ54" i="1"/>
  <c r="DN54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35" i="1"/>
  <c r="JV34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42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24" i="1" l="1"/>
  <c r="JV31" i="1"/>
  <c r="JV30" i="1"/>
  <c r="DM112" i="1"/>
  <c r="DY112" i="1"/>
  <c r="DZ112" i="1"/>
  <c r="EA112" i="1"/>
  <c r="EA132" i="1"/>
  <c r="DZ132" i="1"/>
  <c r="DS110" i="1"/>
  <c r="DY110" i="1" s="1"/>
  <c r="DW110" i="1"/>
  <c r="DX110" i="1" s="1"/>
  <c r="DV110" i="1"/>
  <c r="DR110" i="1"/>
  <c r="EL130" i="1"/>
  <c r="EI130" i="1"/>
  <c r="EJ130" i="1"/>
  <c r="EH130" i="1"/>
  <c r="EK130" i="1"/>
  <c r="EF130" i="1"/>
  <c r="EG130" i="1"/>
  <c r="EE130" i="1"/>
  <c r="DS128" i="1"/>
  <c r="DY128" i="1" s="1"/>
  <c r="DW126" i="1"/>
  <c r="DX126" i="1" s="1"/>
  <c r="DZ108" i="1"/>
  <c r="EA108" i="1"/>
  <c r="DR126" i="1"/>
  <c r="DP126" i="1"/>
  <c r="DW128" i="1"/>
  <c r="DX128" i="1" s="1"/>
  <c r="DV128" i="1"/>
  <c r="DR128" i="1"/>
  <c r="DS106" i="1"/>
  <c r="DY106" i="1" s="1"/>
  <c r="DV106" i="1"/>
  <c r="DQ126" i="1"/>
  <c r="EA106" i="1"/>
  <c r="DO104" i="1"/>
  <c r="DW104" i="1"/>
  <c r="DX104" i="1" s="1"/>
  <c r="DR104" i="1"/>
  <c r="DP104" i="1"/>
  <c r="DQ104" i="1"/>
  <c r="DN122" i="1"/>
  <c r="DV124" i="1"/>
  <c r="DW124" i="1"/>
  <c r="DX124" i="1" s="1"/>
  <c r="DR124" i="1"/>
  <c r="DS124" i="1"/>
  <c r="DU124" i="1"/>
  <c r="DS102" i="1"/>
  <c r="DY102" i="1" s="1"/>
  <c r="DN102" i="1"/>
  <c r="DM102" i="1"/>
  <c r="DM122" i="1"/>
  <c r="DM100" i="1"/>
  <c r="DV102" i="1"/>
  <c r="DW102" i="1"/>
  <c r="DX102" i="1" s="1"/>
  <c r="DR102" i="1"/>
  <c r="DN100" i="1"/>
  <c r="DY122" i="1"/>
  <c r="DV122" i="1"/>
  <c r="DW122" i="1"/>
  <c r="DX122" i="1" s="1"/>
  <c r="DR122" i="1"/>
  <c r="DV98" i="1"/>
  <c r="DU54" i="1"/>
  <c r="DY54" i="1" s="1"/>
  <c r="DL54" i="1"/>
  <c r="DV54" i="1" s="1"/>
  <c r="DN98" i="1"/>
  <c r="DY100" i="1"/>
  <c r="DM54" i="1"/>
  <c r="DR98" i="1"/>
  <c r="DW100" i="1"/>
  <c r="DX100" i="1" s="1"/>
  <c r="DV100" i="1"/>
  <c r="DR100" i="1"/>
  <c r="DM98" i="1"/>
  <c r="DU99" i="1"/>
  <c r="DS99" i="1"/>
  <c r="DV99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ED112" i="1" l="1"/>
  <c r="EL112" i="1" s="1"/>
  <c r="EC112" i="1"/>
  <c r="EK112" i="1" s="1"/>
  <c r="EB112" i="1"/>
  <c r="ED132" i="1"/>
  <c r="EC132" i="1"/>
  <c r="EB132" i="1"/>
  <c r="DZ110" i="1"/>
  <c r="EA110" i="1"/>
  <c r="EM130" i="1"/>
  <c r="EO130" i="1"/>
  <c r="ER130" i="1" s="1"/>
  <c r="EN130" i="1"/>
  <c r="DU126" i="1"/>
  <c r="EA126" i="1"/>
  <c r="ED108" i="1"/>
  <c r="EC108" i="1"/>
  <c r="EB108" i="1"/>
  <c r="DS126" i="1"/>
  <c r="DZ106" i="1"/>
  <c r="EB106" i="1" s="1"/>
  <c r="DV126" i="1"/>
  <c r="DZ128" i="1"/>
  <c r="EA128" i="1"/>
  <c r="EA104" i="1"/>
  <c r="DY124" i="1"/>
  <c r="DV104" i="1"/>
  <c r="DS104" i="1"/>
  <c r="DU104" i="1"/>
  <c r="EA124" i="1"/>
  <c r="DZ124" i="1"/>
  <c r="EA102" i="1"/>
  <c r="DZ102" i="1"/>
  <c r="EA122" i="1"/>
  <c r="DZ122" i="1"/>
  <c r="DZ98" i="1"/>
  <c r="DR54" i="1"/>
  <c r="DZ54" i="1" s="1"/>
  <c r="DW54" i="1"/>
  <c r="DX54" i="1" s="1"/>
  <c r="EA100" i="1"/>
  <c r="EA98" i="1"/>
  <c r="DZ100" i="1"/>
  <c r="DZ99" i="1"/>
  <c r="DY99" i="1"/>
  <c r="KC20" i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EH112" i="1" l="1"/>
  <c r="EJ112" i="1"/>
  <c r="EI112" i="1"/>
  <c r="EG112" i="1"/>
  <c r="EB110" i="1"/>
  <c r="EE112" i="1"/>
  <c r="EF112" i="1"/>
  <c r="EO112" i="1"/>
  <c r="ER112" i="1" s="1"/>
  <c r="EM112" i="1"/>
  <c r="EN112" i="1"/>
  <c r="EL132" i="1"/>
  <c r="EH132" i="1"/>
  <c r="EJ132" i="1"/>
  <c r="EI132" i="1"/>
  <c r="EK132" i="1"/>
  <c r="EE132" i="1"/>
  <c r="EG132" i="1"/>
  <c r="EF132" i="1"/>
  <c r="ED110" i="1"/>
  <c r="EC110" i="1"/>
  <c r="DY126" i="1"/>
  <c r="EQ130" i="1"/>
  <c r="EZ130" i="1" s="1"/>
  <c r="FC130" i="1" s="1"/>
  <c r="EP130" i="1"/>
  <c r="DZ126" i="1"/>
  <c r="ED106" i="1"/>
  <c r="EL106" i="1" s="1"/>
  <c r="EC106" i="1"/>
  <c r="EG106" i="1" s="1"/>
  <c r="EK108" i="1"/>
  <c r="EE108" i="1"/>
  <c r="EF108" i="1"/>
  <c r="EG108" i="1"/>
  <c r="EL108" i="1"/>
  <c r="EH108" i="1"/>
  <c r="EI108" i="1"/>
  <c r="EJ108" i="1"/>
  <c r="EB128" i="1"/>
  <c r="EC128" i="1"/>
  <c r="ED128" i="1"/>
  <c r="DZ104" i="1"/>
  <c r="DY104" i="1"/>
  <c r="EB124" i="1"/>
  <c r="ED124" i="1"/>
  <c r="EC124" i="1"/>
  <c r="EC102" i="1"/>
  <c r="EB102" i="1"/>
  <c r="ED102" i="1"/>
  <c r="EC122" i="1"/>
  <c r="EK122" i="1" s="1"/>
  <c r="EB122" i="1"/>
  <c r="ED122" i="1"/>
  <c r="EI122" i="1" s="1"/>
  <c r="EB98" i="1"/>
  <c r="EC98" i="1"/>
  <c r="EG98" i="1" s="1"/>
  <c r="EA54" i="1"/>
  <c r="EB54" i="1" s="1"/>
  <c r="ED98" i="1"/>
  <c r="EI98" i="1" s="1"/>
  <c r="EB100" i="1"/>
  <c r="EC100" i="1"/>
  <c r="ED100" i="1"/>
  <c r="EC99" i="1"/>
  <c r="EB99" i="1"/>
  <c r="ED99" i="1"/>
  <c r="KH34" i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EP112" i="1" l="1"/>
  <c r="EQ112" i="1"/>
  <c r="EZ112" i="1" s="1"/>
  <c r="FC112" i="1" s="1"/>
  <c r="EO132" i="1"/>
  <c r="ER132" i="1" s="1"/>
  <c r="EN132" i="1"/>
  <c r="EM132" i="1"/>
  <c r="EB126" i="1"/>
  <c r="EK110" i="1"/>
  <c r="EE110" i="1"/>
  <c r="EF110" i="1"/>
  <c r="EG110" i="1"/>
  <c r="EL110" i="1"/>
  <c r="EH110" i="1"/>
  <c r="EJ110" i="1"/>
  <c r="EI110" i="1"/>
  <c r="FY130" i="1"/>
  <c r="HE130" i="1" s="1"/>
  <c r="FF130" i="1"/>
  <c r="FI130" i="1" s="1"/>
  <c r="FA130" i="1"/>
  <c r="EV130" i="1"/>
  <c r="FB130" i="1"/>
  <c r="ED126" i="1"/>
  <c r="EL126" i="1" s="1"/>
  <c r="EC126" i="1"/>
  <c r="EK126" i="1" s="1"/>
  <c r="EI106" i="1"/>
  <c r="EH106" i="1"/>
  <c r="EJ106" i="1"/>
  <c r="EE106" i="1"/>
  <c r="EF106" i="1"/>
  <c r="EK106" i="1"/>
  <c r="EM106" i="1" s="1"/>
  <c r="EO108" i="1"/>
  <c r="ER108" i="1" s="1"/>
  <c r="EM108" i="1"/>
  <c r="EN108" i="1"/>
  <c r="EL128" i="1"/>
  <c r="EH128" i="1"/>
  <c r="EI128" i="1"/>
  <c r="EJ128" i="1"/>
  <c r="EK128" i="1"/>
  <c r="EF128" i="1"/>
  <c r="EE128" i="1"/>
  <c r="EG128" i="1"/>
  <c r="EC104" i="1"/>
  <c r="EK104" i="1" s="1"/>
  <c r="ED104" i="1"/>
  <c r="EH104" i="1" s="1"/>
  <c r="EB104" i="1"/>
  <c r="EK124" i="1"/>
  <c r="EE124" i="1"/>
  <c r="EG124" i="1"/>
  <c r="EF124" i="1"/>
  <c r="EL124" i="1"/>
  <c r="EJ124" i="1"/>
  <c r="EH124" i="1"/>
  <c r="EI124" i="1"/>
  <c r="ED54" i="1"/>
  <c r="EH54" i="1" s="1"/>
  <c r="EE122" i="1"/>
  <c r="EF122" i="1"/>
  <c r="EG122" i="1"/>
  <c r="EK102" i="1"/>
  <c r="EG102" i="1"/>
  <c r="EE102" i="1"/>
  <c r="EF102" i="1"/>
  <c r="EJ122" i="1"/>
  <c r="EL102" i="1"/>
  <c r="EH102" i="1"/>
  <c r="EJ102" i="1"/>
  <c r="EI102" i="1"/>
  <c r="EH122" i="1"/>
  <c r="EL122" i="1"/>
  <c r="EM122" i="1"/>
  <c r="EN122" i="1"/>
  <c r="EO122" i="1"/>
  <c r="ER122" i="1" s="1"/>
  <c r="EF98" i="1"/>
  <c r="EE98" i="1"/>
  <c r="EK98" i="1"/>
  <c r="EO98" i="1" s="1"/>
  <c r="ER98" i="1" s="1"/>
  <c r="EC54" i="1"/>
  <c r="EG54" i="1" s="1"/>
  <c r="EJ98" i="1"/>
  <c r="EH98" i="1"/>
  <c r="EL98" i="1"/>
  <c r="EL100" i="1"/>
  <c r="EI100" i="1"/>
  <c r="EH100" i="1"/>
  <c r="EJ100" i="1"/>
  <c r="EK100" i="1"/>
  <c r="EF100" i="1"/>
  <c r="EE100" i="1"/>
  <c r="EG100" i="1"/>
  <c r="EL99" i="1"/>
  <c r="EJ99" i="1"/>
  <c r="EH99" i="1"/>
  <c r="EI99" i="1"/>
  <c r="EF99" i="1"/>
  <c r="EK99" i="1"/>
  <c r="EG99" i="1"/>
  <c r="EE99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FY112" i="1" l="1"/>
  <c r="HE112" i="1" s="1"/>
  <c r="FF112" i="1"/>
  <c r="FI112" i="1" s="1"/>
  <c r="EV112" i="1"/>
  <c r="FB112" i="1"/>
  <c r="FA112" i="1"/>
  <c r="EP132" i="1"/>
  <c r="EQ132" i="1"/>
  <c r="EZ132" i="1" s="1"/>
  <c r="FC132" i="1" s="1"/>
  <c r="EO110" i="1"/>
  <c r="ER110" i="1" s="1"/>
  <c r="EM110" i="1"/>
  <c r="EN110" i="1"/>
  <c r="EM126" i="1"/>
  <c r="FE130" i="1"/>
  <c r="HB130" i="1"/>
  <c r="HF130" i="1" s="1"/>
  <c r="HH130" i="1" s="1"/>
  <c r="EW130" i="1"/>
  <c r="FD130" i="1"/>
  <c r="FV130" i="1" s="1"/>
  <c r="EX130" i="1"/>
  <c r="FL130" i="1"/>
  <c r="FO130" i="1"/>
  <c r="EJ126" i="1"/>
  <c r="EH126" i="1"/>
  <c r="EI126" i="1"/>
  <c r="EN126" i="1"/>
  <c r="EE126" i="1"/>
  <c r="EN106" i="1"/>
  <c r="EP106" i="1" s="1"/>
  <c r="EV106" i="1" s="1"/>
  <c r="EG126" i="1"/>
  <c r="EO126" i="1"/>
  <c r="ER126" i="1" s="1"/>
  <c r="EF126" i="1"/>
  <c r="EO106" i="1"/>
  <c r="ER106" i="1" s="1"/>
  <c r="EQ108" i="1"/>
  <c r="EZ108" i="1" s="1"/>
  <c r="FC108" i="1" s="1"/>
  <c r="EP108" i="1"/>
  <c r="EN128" i="1"/>
  <c r="EO128" i="1"/>
  <c r="ER128" i="1" s="1"/>
  <c r="EM128" i="1"/>
  <c r="EE104" i="1"/>
  <c r="EF104" i="1"/>
  <c r="EG104" i="1"/>
  <c r="EJ104" i="1"/>
  <c r="EI104" i="1"/>
  <c r="EL104" i="1"/>
  <c r="EO104" i="1" s="1"/>
  <c r="ER104" i="1" s="1"/>
  <c r="EL54" i="1"/>
  <c r="EN124" i="1"/>
  <c r="EO124" i="1"/>
  <c r="ER124" i="1" s="1"/>
  <c r="EM124" i="1"/>
  <c r="EI54" i="1"/>
  <c r="EJ54" i="1"/>
  <c r="EM102" i="1"/>
  <c r="EO102" i="1"/>
  <c r="ER102" i="1" s="1"/>
  <c r="EN102" i="1"/>
  <c r="EN98" i="1"/>
  <c r="EQ122" i="1"/>
  <c r="EZ122" i="1" s="1"/>
  <c r="FC122" i="1" s="1"/>
  <c r="EP122" i="1"/>
  <c r="EM98" i="1"/>
  <c r="EK54" i="1"/>
  <c r="EO54" i="1" s="1"/>
  <c r="ER54" i="1" s="1"/>
  <c r="EE54" i="1"/>
  <c r="EF54" i="1"/>
  <c r="EO100" i="1"/>
  <c r="ER100" i="1" s="1"/>
  <c r="EM100" i="1"/>
  <c r="EN100" i="1"/>
  <c r="EM99" i="1"/>
  <c r="EO99" i="1"/>
  <c r="ER99" i="1" s="1"/>
  <c r="EN99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FL112" i="1" l="1"/>
  <c r="FO112" i="1"/>
  <c r="FE112" i="1"/>
  <c r="EX112" i="1"/>
  <c r="HB112" i="1"/>
  <c r="HF112" i="1" s="1"/>
  <c r="HG112" i="1" s="1"/>
  <c r="EW112" i="1"/>
  <c r="FD112" i="1"/>
  <c r="FV112" i="1" s="1"/>
  <c r="FB132" i="1"/>
  <c r="EV132" i="1"/>
  <c r="FA132" i="1"/>
  <c r="FY132" i="1"/>
  <c r="HE132" i="1" s="1"/>
  <c r="FF132" i="1"/>
  <c r="FI132" i="1" s="1"/>
  <c r="EP110" i="1"/>
  <c r="EQ110" i="1"/>
  <c r="EZ110" i="1" s="1"/>
  <c r="FC110" i="1" s="1"/>
  <c r="FH130" i="1"/>
  <c r="HG130" i="1"/>
  <c r="EP126" i="1"/>
  <c r="EV126" i="1" s="1"/>
  <c r="HB126" i="1" s="1"/>
  <c r="HF126" i="1" s="1"/>
  <c r="FG130" i="1"/>
  <c r="FU130" i="1"/>
  <c r="EQ106" i="1"/>
  <c r="EZ106" i="1" s="1"/>
  <c r="FC106" i="1" s="1"/>
  <c r="FF106" i="1" s="1"/>
  <c r="FI106" i="1" s="1"/>
  <c r="EQ126" i="1"/>
  <c r="EZ126" i="1" s="1"/>
  <c r="FC126" i="1" s="1"/>
  <c r="FY126" i="1" s="1"/>
  <c r="HE126" i="1" s="1"/>
  <c r="EV108" i="1"/>
  <c r="FA108" i="1"/>
  <c r="FB108" i="1"/>
  <c r="FY108" i="1"/>
  <c r="HE108" i="1" s="1"/>
  <c r="FF108" i="1"/>
  <c r="FI108" i="1" s="1"/>
  <c r="EQ128" i="1"/>
  <c r="EZ128" i="1" s="1"/>
  <c r="FC128" i="1" s="1"/>
  <c r="EP128" i="1"/>
  <c r="EW106" i="1"/>
  <c r="EX106" i="1"/>
  <c r="HB106" i="1"/>
  <c r="HF106" i="1" s="1"/>
  <c r="EN104" i="1"/>
  <c r="EM104" i="1"/>
  <c r="EP124" i="1"/>
  <c r="EQ124" i="1"/>
  <c r="EZ124" i="1" s="1"/>
  <c r="FC124" i="1" s="1"/>
  <c r="EQ98" i="1"/>
  <c r="EZ98" i="1" s="1"/>
  <c r="FC98" i="1" s="1"/>
  <c r="FF98" i="1" s="1"/>
  <c r="FI98" i="1" s="1"/>
  <c r="EQ102" i="1"/>
  <c r="EZ102" i="1" s="1"/>
  <c r="FC102" i="1" s="1"/>
  <c r="EP102" i="1"/>
  <c r="EP98" i="1"/>
  <c r="FB122" i="1"/>
  <c r="FA122" i="1"/>
  <c r="EV122" i="1"/>
  <c r="FF122" i="1"/>
  <c r="FI122" i="1" s="1"/>
  <c r="FY122" i="1"/>
  <c r="HE122" i="1" s="1"/>
  <c r="EN54" i="1"/>
  <c r="EM54" i="1"/>
  <c r="EQ100" i="1"/>
  <c r="EZ100" i="1" s="1"/>
  <c r="FC100" i="1" s="1"/>
  <c r="EP100" i="1"/>
  <c r="EQ99" i="1"/>
  <c r="EZ99" i="1" s="1"/>
  <c r="FC99" i="1" s="1"/>
  <c r="EP99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FH112" i="1" l="1"/>
  <c r="HH112" i="1"/>
  <c r="FG112" i="1"/>
  <c r="FU112" i="1"/>
  <c r="FL132" i="1"/>
  <c r="FO132" i="1"/>
  <c r="HB132" i="1"/>
  <c r="HF132" i="1" s="1"/>
  <c r="HG132" i="1" s="1"/>
  <c r="EW132" i="1"/>
  <c r="EX132" i="1"/>
  <c r="FE132" i="1"/>
  <c r="FD132" i="1"/>
  <c r="FV132" i="1" s="1"/>
  <c r="FY106" i="1"/>
  <c r="HE106" i="1" s="1"/>
  <c r="HG106" i="1" s="1"/>
  <c r="FB106" i="1"/>
  <c r="FA106" i="1"/>
  <c r="FY110" i="1"/>
  <c r="HE110" i="1" s="1"/>
  <c r="FF110" i="1"/>
  <c r="FI110" i="1" s="1"/>
  <c r="EV110" i="1"/>
  <c r="FA110" i="1"/>
  <c r="FB110" i="1"/>
  <c r="EW126" i="1"/>
  <c r="FU126" i="1" s="1"/>
  <c r="EX126" i="1"/>
  <c r="FF126" i="1"/>
  <c r="FI126" i="1" s="1"/>
  <c r="FJ130" i="1"/>
  <c r="GQ130" i="1" s="1"/>
  <c r="FW130" i="1"/>
  <c r="FX130" i="1" s="1"/>
  <c r="FZ130" i="1" s="1"/>
  <c r="FM130" i="1"/>
  <c r="FN130" i="1" s="1"/>
  <c r="FB126" i="1"/>
  <c r="FA126" i="1"/>
  <c r="HG126" i="1"/>
  <c r="FL108" i="1"/>
  <c r="FO108" i="1"/>
  <c r="FE108" i="1"/>
  <c r="HB108" i="1"/>
  <c r="HF108" i="1" s="1"/>
  <c r="HG108" i="1" s="1"/>
  <c r="EW108" i="1"/>
  <c r="EX108" i="1"/>
  <c r="FD108" i="1"/>
  <c r="FV108" i="1" s="1"/>
  <c r="EV128" i="1"/>
  <c r="FA128" i="1"/>
  <c r="FB128" i="1"/>
  <c r="FF128" i="1"/>
  <c r="FI128" i="1" s="1"/>
  <c r="FY128" i="1"/>
  <c r="HE128" i="1" s="1"/>
  <c r="FU106" i="1"/>
  <c r="HH126" i="1"/>
  <c r="EP104" i="1"/>
  <c r="EV104" i="1" s="1"/>
  <c r="EX104" i="1" s="1"/>
  <c r="EQ104" i="1"/>
  <c r="EZ104" i="1" s="1"/>
  <c r="FC104" i="1" s="1"/>
  <c r="FY104" i="1" s="1"/>
  <c r="HE104" i="1" s="1"/>
  <c r="FY98" i="1"/>
  <c r="HE98" i="1" s="1"/>
  <c r="FF124" i="1"/>
  <c r="FI124" i="1" s="1"/>
  <c r="FY124" i="1"/>
  <c r="HE124" i="1" s="1"/>
  <c r="FA124" i="1"/>
  <c r="EV124" i="1"/>
  <c r="FB124" i="1"/>
  <c r="FB98" i="1"/>
  <c r="EV102" i="1"/>
  <c r="FA102" i="1"/>
  <c r="FB102" i="1"/>
  <c r="FY102" i="1"/>
  <c r="HE102" i="1" s="1"/>
  <c r="FF102" i="1"/>
  <c r="FI102" i="1" s="1"/>
  <c r="FA98" i="1"/>
  <c r="EV98" i="1"/>
  <c r="EX98" i="1" s="1"/>
  <c r="FE122" i="1"/>
  <c r="FD122" i="1"/>
  <c r="FV122" i="1" s="1"/>
  <c r="EW122" i="1"/>
  <c r="HB122" i="1"/>
  <c r="HF122" i="1" s="1"/>
  <c r="HG122" i="1" s="1"/>
  <c r="EX122" i="1"/>
  <c r="FL122" i="1"/>
  <c r="FO122" i="1"/>
  <c r="EP54" i="1"/>
  <c r="EQ54" i="1"/>
  <c r="EZ54" i="1" s="1"/>
  <c r="FC54" i="1" s="1"/>
  <c r="FY54" i="1" s="1"/>
  <c r="HE54" i="1" s="1"/>
  <c r="FY100" i="1"/>
  <c r="HE100" i="1" s="1"/>
  <c r="FF100" i="1"/>
  <c r="FI100" i="1" s="1"/>
  <c r="FB100" i="1"/>
  <c r="FA100" i="1"/>
  <c r="EV100" i="1"/>
  <c r="FF99" i="1"/>
  <c r="FI99" i="1" s="1"/>
  <c r="FY99" i="1"/>
  <c r="HE99" i="1" s="1"/>
  <c r="FB99" i="1"/>
  <c r="EV99" i="1"/>
  <c r="FA99" i="1"/>
  <c r="HZ22" i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FM112" i="1" l="1"/>
  <c r="FN112" i="1" s="1"/>
  <c r="FW112" i="1"/>
  <c r="FX112" i="1" s="1"/>
  <c r="FZ112" i="1" s="1"/>
  <c r="FJ112" i="1"/>
  <c r="GQ112" i="1" s="1"/>
  <c r="FH132" i="1"/>
  <c r="FG132" i="1"/>
  <c r="FU132" i="1"/>
  <c r="HH132" i="1"/>
  <c r="FE126" i="1"/>
  <c r="FH126" i="1" s="1"/>
  <c r="HH106" i="1"/>
  <c r="FD106" i="1"/>
  <c r="FV106" i="1" s="1"/>
  <c r="FL126" i="1"/>
  <c r="FL106" i="1"/>
  <c r="FO106" i="1"/>
  <c r="FE106" i="1"/>
  <c r="FH106" i="1" s="1"/>
  <c r="FL110" i="1"/>
  <c r="FO110" i="1"/>
  <c r="HB110" i="1"/>
  <c r="HF110" i="1" s="1"/>
  <c r="HH110" i="1" s="1"/>
  <c r="EW110" i="1"/>
  <c r="FD110" i="1"/>
  <c r="FV110" i="1" s="1"/>
  <c r="FE110" i="1"/>
  <c r="EX110" i="1"/>
  <c r="FP130" i="1"/>
  <c r="FQ130" i="1"/>
  <c r="FR130" i="1"/>
  <c r="GP130" i="1"/>
  <c r="GA130" i="1"/>
  <c r="GD130" i="1"/>
  <c r="FH108" i="1"/>
  <c r="FD126" i="1"/>
  <c r="FV126" i="1" s="1"/>
  <c r="FO126" i="1"/>
  <c r="FG108" i="1"/>
  <c r="FU108" i="1"/>
  <c r="HH108" i="1"/>
  <c r="FL128" i="1"/>
  <c r="FO128" i="1"/>
  <c r="FD128" i="1"/>
  <c r="FV128" i="1" s="1"/>
  <c r="EX128" i="1"/>
  <c r="FE128" i="1"/>
  <c r="HB128" i="1"/>
  <c r="HF128" i="1" s="1"/>
  <c r="HH128" i="1" s="1"/>
  <c r="EW128" i="1"/>
  <c r="HB104" i="1"/>
  <c r="HF104" i="1" s="1"/>
  <c r="HH104" i="1" s="1"/>
  <c r="EW104" i="1"/>
  <c r="FU104" i="1" s="1"/>
  <c r="FF104" i="1"/>
  <c r="FI104" i="1" s="1"/>
  <c r="FA104" i="1"/>
  <c r="FB104" i="1"/>
  <c r="FE124" i="1"/>
  <c r="FD124" i="1"/>
  <c r="FV124" i="1" s="1"/>
  <c r="EX124" i="1"/>
  <c r="EW124" i="1"/>
  <c r="HB124" i="1"/>
  <c r="HF124" i="1" s="1"/>
  <c r="HH124" i="1" s="1"/>
  <c r="FL124" i="1"/>
  <c r="FO124" i="1"/>
  <c r="HB98" i="1"/>
  <c r="HF98" i="1" s="1"/>
  <c r="HG98" i="1" s="1"/>
  <c r="FL98" i="1"/>
  <c r="EW98" i="1"/>
  <c r="FU98" i="1" s="1"/>
  <c r="FE98" i="1"/>
  <c r="FH98" i="1" s="1"/>
  <c r="FO98" i="1"/>
  <c r="FD98" i="1"/>
  <c r="FV98" i="1" s="1"/>
  <c r="FE102" i="1"/>
  <c r="EX102" i="1"/>
  <c r="FD102" i="1"/>
  <c r="FV102" i="1" s="1"/>
  <c r="EW102" i="1"/>
  <c r="HB102" i="1"/>
  <c r="HF102" i="1" s="1"/>
  <c r="HG102" i="1" s="1"/>
  <c r="FF54" i="1"/>
  <c r="FI54" i="1" s="1"/>
  <c r="FL102" i="1"/>
  <c r="FO102" i="1"/>
  <c r="FG122" i="1"/>
  <c r="FU122" i="1"/>
  <c r="HH122" i="1"/>
  <c r="FH122" i="1"/>
  <c r="FB54" i="1"/>
  <c r="FA54" i="1"/>
  <c r="EV54" i="1"/>
  <c r="HB54" i="1" s="1"/>
  <c r="HF54" i="1" s="1"/>
  <c r="HG54" i="1" s="1"/>
  <c r="HB100" i="1"/>
  <c r="HF100" i="1" s="1"/>
  <c r="HH100" i="1" s="1"/>
  <c r="FD100" i="1"/>
  <c r="FV100" i="1" s="1"/>
  <c r="FE100" i="1"/>
  <c r="EW100" i="1"/>
  <c r="EX100" i="1"/>
  <c r="FL100" i="1"/>
  <c r="FO100" i="1"/>
  <c r="FO99" i="1"/>
  <c r="FL99" i="1"/>
  <c r="FD99" i="1"/>
  <c r="FV99" i="1" s="1"/>
  <c r="FE99" i="1"/>
  <c r="EX99" i="1"/>
  <c r="EW99" i="1"/>
  <c r="HB99" i="1"/>
  <c r="HF99" i="1" s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GD112" i="1" l="1"/>
  <c r="GP112" i="1"/>
  <c r="GA112" i="1"/>
  <c r="FR112" i="1"/>
  <c r="FP112" i="1"/>
  <c r="FQ112" i="1"/>
  <c r="FS112" i="1" s="1"/>
  <c r="FJ132" i="1"/>
  <c r="GQ132" i="1" s="1"/>
  <c r="FM132" i="1"/>
  <c r="FN132" i="1" s="1"/>
  <c r="FW132" i="1"/>
  <c r="FX132" i="1" s="1"/>
  <c r="FZ132" i="1" s="1"/>
  <c r="FG106" i="1"/>
  <c r="FW106" i="1" s="1"/>
  <c r="FX106" i="1" s="1"/>
  <c r="FZ106" i="1" s="1"/>
  <c r="GD106" i="1" s="1"/>
  <c r="FH110" i="1"/>
  <c r="HG110" i="1"/>
  <c r="FG110" i="1"/>
  <c r="FU110" i="1"/>
  <c r="FS130" i="1"/>
  <c r="FG126" i="1"/>
  <c r="FW126" i="1" s="1"/>
  <c r="FX126" i="1" s="1"/>
  <c r="FZ126" i="1" s="1"/>
  <c r="GD126" i="1" s="1"/>
  <c r="FT130" i="1"/>
  <c r="GC130" i="1"/>
  <c r="GB130" i="1"/>
  <c r="GO130" i="1"/>
  <c r="FM108" i="1"/>
  <c r="FN108" i="1" s="1"/>
  <c r="FJ108" i="1"/>
  <c r="GQ108" i="1" s="1"/>
  <c r="FW108" i="1"/>
  <c r="FX108" i="1" s="1"/>
  <c r="FZ108" i="1" s="1"/>
  <c r="FH128" i="1"/>
  <c r="HG128" i="1"/>
  <c r="FG128" i="1"/>
  <c r="FU128" i="1"/>
  <c r="HG104" i="1"/>
  <c r="FO104" i="1"/>
  <c r="FD104" i="1"/>
  <c r="FV104" i="1" s="1"/>
  <c r="FE104" i="1"/>
  <c r="FH104" i="1" s="1"/>
  <c r="FL104" i="1"/>
  <c r="HG124" i="1"/>
  <c r="FH124" i="1"/>
  <c r="FG124" i="1"/>
  <c r="FU124" i="1"/>
  <c r="HH98" i="1"/>
  <c r="FG98" i="1"/>
  <c r="FW98" i="1" s="1"/>
  <c r="FX98" i="1" s="1"/>
  <c r="FZ98" i="1" s="1"/>
  <c r="HH102" i="1"/>
  <c r="FU102" i="1"/>
  <c r="FG102" i="1"/>
  <c r="FH102" i="1"/>
  <c r="FL54" i="1"/>
  <c r="FW122" i="1"/>
  <c r="FX122" i="1" s="1"/>
  <c r="FZ122" i="1" s="1"/>
  <c r="FM122" i="1"/>
  <c r="FN122" i="1" s="1"/>
  <c r="FJ122" i="1"/>
  <c r="GQ122" i="1" s="1"/>
  <c r="FD54" i="1"/>
  <c r="FV54" i="1" s="1"/>
  <c r="FO54" i="1"/>
  <c r="EW54" i="1"/>
  <c r="FU54" i="1" s="1"/>
  <c r="FE54" i="1"/>
  <c r="EX54" i="1"/>
  <c r="FH99" i="1"/>
  <c r="HG100" i="1"/>
  <c r="FH100" i="1"/>
  <c r="FU100" i="1"/>
  <c r="FG100" i="1"/>
  <c r="HG99" i="1"/>
  <c r="HH99" i="1"/>
  <c r="FU99" i="1"/>
  <c r="FG99" i="1"/>
  <c r="HH54" i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GO112" i="1" l="1"/>
  <c r="GC112" i="1"/>
  <c r="GB112" i="1"/>
  <c r="FT112" i="1"/>
  <c r="GP132" i="1"/>
  <c r="GA132" i="1"/>
  <c r="GD132" i="1"/>
  <c r="FP132" i="1"/>
  <c r="FQ132" i="1"/>
  <c r="FR132" i="1"/>
  <c r="GP106" i="1"/>
  <c r="FJ106" i="1"/>
  <c r="GQ106" i="1" s="1"/>
  <c r="GA106" i="1"/>
  <c r="FM106" i="1"/>
  <c r="FN106" i="1" s="1"/>
  <c r="FP106" i="1" s="1"/>
  <c r="GC106" i="1" s="1"/>
  <c r="GI130" i="1"/>
  <c r="FM110" i="1"/>
  <c r="FN110" i="1" s="1"/>
  <c r="FJ110" i="1"/>
  <c r="GQ110" i="1" s="1"/>
  <c r="FW110" i="1"/>
  <c r="FX110" i="1" s="1"/>
  <c r="FZ110" i="1" s="1"/>
  <c r="GH130" i="1"/>
  <c r="FM126" i="1"/>
  <c r="FN126" i="1" s="1"/>
  <c r="FP126" i="1" s="1"/>
  <c r="GC126" i="1" s="1"/>
  <c r="GP126" i="1"/>
  <c r="GA126" i="1"/>
  <c r="GG130" i="1"/>
  <c r="GE130" i="1"/>
  <c r="GF130" i="1" s="1"/>
  <c r="FJ126" i="1"/>
  <c r="GQ126" i="1" s="1"/>
  <c r="GD108" i="1"/>
  <c r="GA108" i="1"/>
  <c r="GP108" i="1"/>
  <c r="FP108" i="1"/>
  <c r="FR108" i="1"/>
  <c r="FQ108" i="1"/>
  <c r="FJ128" i="1"/>
  <c r="GQ128" i="1" s="1"/>
  <c r="FW128" i="1"/>
  <c r="FX128" i="1" s="1"/>
  <c r="FZ128" i="1" s="1"/>
  <c r="FM128" i="1"/>
  <c r="FN128" i="1" s="1"/>
  <c r="FG104" i="1"/>
  <c r="FM104" i="1" s="1"/>
  <c r="FN104" i="1" s="1"/>
  <c r="FP104" i="1" s="1"/>
  <c r="FM98" i="1"/>
  <c r="FN98" i="1" s="1"/>
  <c r="FP98" i="1" s="1"/>
  <c r="FM124" i="1"/>
  <c r="FN124" i="1" s="1"/>
  <c r="FW124" i="1"/>
  <c r="FX124" i="1" s="1"/>
  <c r="FZ124" i="1" s="1"/>
  <c r="FJ124" i="1"/>
  <c r="GQ124" i="1" s="1"/>
  <c r="FJ98" i="1"/>
  <c r="GQ98" i="1" s="1"/>
  <c r="FG54" i="1"/>
  <c r="FW54" i="1" s="1"/>
  <c r="FX54" i="1" s="1"/>
  <c r="FZ54" i="1" s="1"/>
  <c r="FM102" i="1"/>
  <c r="FN102" i="1" s="1"/>
  <c r="FW102" i="1"/>
  <c r="FX102" i="1" s="1"/>
  <c r="FZ102" i="1" s="1"/>
  <c r="FJ102" i="1"/>
  <c r="GQ102" i="1" s="1"/>
  <c r="GD122" i="1"/>
  <c r="GA122" i="1"/>
  <c r="GP122" i="1"/>
  <c r="FR122" i="1"/>
  <c r="FP122" i="1"/>
  <c r="FQ122" i="1"/>
  <c r="FH54" i="1"/>
  <c r="FM100" i="1"/>
  <c r="FN100" i="1" s="1"/>
  <c r="FJ100" i="1"/>
  <c r="GQ100" i="1" s="1"/>
  <c r="FW100" i="1"/>
  <c r="FX100" i="1" s="1"/>
  <c r="FZ100" i="1" s="1"/>
  <c r="FJ99" i="1"/>
  <c r="GQ99" i="1" s="1"/>
  <c r="FW99" i="1"/>
  <c r="FX99" i="1" s="1"/>
  <c r="FZ99" i="1" s="1"/>
  <c r="FM99" i="1"/>
  <c r="FN99" i="1" s="1"/>
  <c r="GP98" i="1"/>
  <c r="GD98" i="1"/>
  <c r="GA98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GI112" i="1" l="1"/>
  <c r="GO106" i="1"/>
  <c r="GE112" i="1"/>
  <c r="GF112" i="1" s="1"/>
  <c r="GG112" i="1"/>
  <c r="GH112" i="1"/>
  <c r="FS132" i="1"/>
  <c r="FQ106" i="1"/>
  <c r="FT132" i="1"/>
  <c r="GC132" i="1"/>
  <c r="GO132" i="1"/>
  <c r="GB132" i="1"/>
  <c r="GB106" i="1"/>
  <c r="GI106" i="1" s="1"/>
  <c r="FR106" i="1"/>
  <c r="GY130" i="1"/>
  <c r="GZ130" i="1" s="1"/>
  <c r="GB126" i="1"/>
  <c r="GH126" i="1" s="1"/>
  <c r="GD110" i="1"/>
  <c r="GP110" i="1"/>
  <c r="GA110" i="1"/>
  <c r="FR110" i="1"/>
  <c r="FP110" i="1"/>
  <c r="FQ110" i="1"/>
  <c r="GS130" i="1"/>
  <c r="HA130" i="1" s="1"/>
  <c r="FR126" i="1"/>
  <c r="FQ126" i="1"/>
  <c r="GO126" i="1"/>
  <c r="FS108" i="1"/>
  <c r="FT108" i="1"/>
  <c r="GB108" i="1"/>
  <c r="GC108" i="1"/>
  <c r="GO108" i="1"/>
  <c r="GA128" i="1"/>
  <c r="GP128" i="1"/>
  <c r="GD128" i="1"/>
  <c r="FR128" i="1"/>
  <c r="FQ128" i="1"/>
  <c r="FP128" i="1"/>
  <c r="FJ104" i="1"/>
  <c r="GQ104" i="1" s="1"/>
  <c r="FW104" i="1"/>
  <c r="FX104" i="1" s="1"/>
  <c r="FZ104" i="1" s="1"/>
  <c r="GA104" i="1" s="1"/>
  <c r="FM54" i="1"/>
  <c r="FN54" i="1" s="1"/>
  <c r="FR54" i="1" s="1"/>
  <c r="FR104" i="1"/>
  <c r="FQ104" i="1"/>
  <c r="GO104" i="1"/>
  <c r="FQ98" i="1"/>
  <c r="FR98" i="1"/>
  <c r="GD124" i="1"/>
  <c r="GP124" i="1"/>
  <c r="GA124" i="1"/>
  <c r="FR124" i="1"/>
  <c r="FQ124" i="1"/>
  <c r="FP124" i="1"/>
  <c r="FJ54" i="1"/>
  <c r="GQ54" i="1" s="1"/>
  <c r="FQ102" i="1"/>
  <c r="FR102" i="1"/>
  <c r="FP102" i="1"/>
  <c r="GP102" i="1"/>
  <c r="GA102" i="1"/>
  <c r="GD102" i="1"/>
  <c r="FS122" i="1"/>
  <c r="GB122" i="1"/>
  <c r="GO122" i="1"/>
  <c r="GC122" i="1"/>
  <c r="FT122" i="1"/>
  <c r="FR100" i="1"/>
  <c r="FQ100" i="1"/>
  <c r="FP100" i="1"/>
  <c r="GP100" i="1"/>
  <c r="GD100" i="1"/>
  <c r="GA100" i="1"/>
  <c r="GP99" i="1"/>
  <c r="GD99" i="1"/>
  <c r="GA99" i="1"/>
  <c r="FQ99" i="1"/>
  <c r="FR99" i="1"/>
  <c r="FP99" i="1"/>
  <c r="GO98" i="1"/>
  <c r="GB98" i="1"/>
  <c r="GC98" i="1"/>
  <c r="GA54" i="1"/>
  <c r="GD54" i="1"/>
  <c r="GP54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GI132" i="1" l="1"/>
  <c r="GS112" i="1"/>
  <c r="GY112" i="1"/>
  <c r="GZ112" i="1" s="1"/>
  <c r="FS106" i="1"/>
  <c r="GE106" i="1"/>
  <c r="GF106" i="1" s="1"/>
  <c r="GE132" i="1"/>
  <c r="GF132" i="1" s="1"/>
  <c r="GG132" i="1"/>
  <c r="GH132" i="1"/>
  <c r="GG106" i="1"/>
  <c r="GH106" i="1"/>
  <c r="GY106" i="1" s="1"/>
  <c r="GZ106" i="1" s="1"/>
  <c r="FT106" i="1"/>
  <c r="FS110" i="1"/>
  <c r="GG126" i="1"/>
  <c r="GS126" i="1" s="1"/>
  <c r="GE126" i="1"/>
  <c r="GF126" i="1" s="1"/>
  <c r="GI126" i="1"/>
  <c r="GY126" i="1" s="1"/>
  <c r="GZ126" i="1" s="1"/>
  <c r="FT126" i="1"/>
  <c r="GT130" i="1"/>
  <c r="GC110" i="1"/>
  <c r="GO110" i="1"/>
  <c r="GB110" i="1"/>
  <c r="FT110" i="1"/>
  <c r="GR130" i="1"/>
  <c r="FS126" i="1"/>
  <c r="HD130" i="1"/>
  <c r="HC130" i="1"/>
  <c r="GI108" i="1"/>
  <c r="GH108" i="1"/>
  <c r="FS128" i="1"/>
  <c r="GG108" i="1"/>
  <c r="GE108" i="1"/>
  <c r="GF108" i="1" s="1"/>
  <c r="GC128" i="1"/>
  <c r="GB128" i="1"/>
  <c r="GO128" i="1"/>
  <c r="FT128" i="1"/>
  <c r="FQ54" i="1"/>
  <c r="FS54" i="1" s="1"/>
  <c r="GB104" i="1"/>
  <c r="GC104" i="1"/>
  <c r="GD104" i="1"/>
  <c r="GP104" i="1"/>
  <c r="FT104" i="1"/>
  <c r="FS104" i="1"/>
  <c r="FP54" i="1"/>
  <c r="GB54" i="1" s="1"/>
  <c r="FS98" i="1"/>
  <c r="FT98" i="1"/>
  <c r="FS124" i="1"/>
  <c r="FT124" i="1"/>
  <c r="GO124" i="1"/>
  <c r="GB124" i="1"/>
  <c r="GC124" i="1"/>
  <c r="FS102" i="1"/>
  <c r="GC102" i="1"/>
  <c r="GB102" i="1"/>
  <c r="GO102" i="1"/>
  <c r="FT102" i="1"/>
  <c r="GI122" i="1"/>
  <c r="GH122" i="1"/>
  <c r="GG122" i="1"/>
  <c r="GE122" i="1"/>
  <c r="GF122" i="1" s="1"/>
  <c r="FS100" i="1"/>
  <c r="FT99" i="1"/>
  <c r="GC100" i="1"/>
  <c r="GB100" i="1"/>
  <c r="GO100" i="1"/>
  <c r="FT100" i="1"/>
  <c r="FS99" i="1"/>
  <c r="GO99" i="1"/>
  <c r="GB99" i="1"/>
  <c r="GC99" i="1"/>
  <c r="GH98" i="1"/>
  <c r="GI98" i="1"/>
  <c r="GE98" i="1"/>
  <c r="GF98" i="1" s="1"/>
  <c r="GG98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GT112" i="1" l="1"/>
  <c r="GR112" i="1"/>
  <c r="HA112" i="1"/>
  <c r="GS106" i="1"/>
  <c r="GT106" i="1" s="1"/>
  <c r="GS132" i="1"/>
  <c r="GY132" i="1"/>
  <c r="GZ132" i="1" s="1"/>
  <c r="GY108" i="1"/>
  <c r="GZ108" i="1" s="1"/>
  <c r="GI110" i="1"/>
  <c r="GG110" i="1"/>
  <c r="GE110" i="1"/>
  <c r="GF110" i="1" s="1"/>
  <c r="GH110" i="1"/>
  <c r="GS108" i="1"/>
  <c r="GT108" i="1" s="1"/>
  <c r="GI128" i="1"/>
  <c r="GG128" i="1"/>
  <c r="GE128" i="1"/>
  <c r="GF128" i="1" s="1"/>
  <c r="GH128" i="1"/>
  <c r="FT54" i="1"/>
  <c r="GH104" i="1"/>
  <c r="GI104" i="1"/>
  <c r="GR106" i="1"/>
  <c r="GG104" i="1"/>
  <c r="GE104" i="1"/>
  <c r="GF104" i="1" s="1"/>
  <c r="GR126" i="1"/>
  <c r="GT126" i="1"/>
  <c r="HA126" i="1"/>
  <c r="GC54" i="1"/>
  <c r="GE54" i="1" s="1"/>
  <c r="GF54" i="1" s="1"/>
  <c r="GO54" i="1"/>
  <c r="GI124" i="1"/>
  <c r="GH124" i="1"/>
  <c r="GE124" i="1"/>
  <c r="GF124" i="1" s="1"/>
  <c r="GG124" i="1"/>
  <c r="GG102" i="1"/>
  <c r="GE102" i="1"/>
  <c r="GF102" i="1" s="1"/>
  <c r="GH102" i="1"/>
  <c r="GI102" i="1"/>
  <c r="GS122" i="1"/>
  <c r="GY122" i="1"/>
  <c r="GZ122" i="1" s="1"/>
  <c r="GY98" i="1"/>
  <c r="GZ98" i="1" s="1"/>
  <c r="GI100" i="1"/>
  <c r="GG100" i="1"/>
  <c r="GE100" i="1"/>
  <c r="GF100" i="1" s="1"/>
  <c r="GH100" i="1"/>
  <c r="GH99" i="1"/>
  <c r="GS98" i="1"/>
  <c r="GE99" i="1"/>
  <c r="GF99" i="1" s="1"/>
  <c r="GG99" i="1"/>
  <c r="GI99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A106" i="1" l="1"/>
  <c r="HD106" i="1" s="1"/>
  <c r="HC112" i="1"/>
  <c r="HD112" i="1"/>
  <c r="GT132" i="1"/>
  <c r="GR132" i="1"/>
  <c r="HA132" i="1"/>
  <c r="GY110" i="1"/>
  <c r="GZ110" i="1" s="1"/>
  <c r="GS110" i="1"/>
  <c r="HA108" i="1"/>
  <c r="HD108" i="1" s="1"/>
  <c r="GR108" i="1"/>
  <c r="GY128" i="1"/>
  <c r="GZ128" i="1" s="1"/>
  <c r="GS128" i="1"/>
  <c r="GS104" i="1"/>
  <c r="GT104" i="1" s="1"/>
  <c r="GY104" i="1"/>
  <c r="GZ104" i="1" s="1"/>
  <c r="HC126" i="1"/>
  <c r="HD126" i="1"/>
  <c r="GI54" i="1"/>
  <c r="GH54" i="1"/>
  <c r="GG54" i="1"/>
  <c r="GY124" i="1"/>
  <c r="GZ124" i="1" s="1"/>
  <c r="GS124" i="1"/>
  <c r="GT124" i="1" s="1"/>
  <c r="GS102" i="1"/>
  <c r="GY102" i="1"/>
  <c r="GZ102" i="1" s="1"/>
  <c r="GR98" i="1"/>
  <c r="GT122" i="1"/>
  <c r="GR122" i="1"/>
  <c r="HA122" i="1"/>
  <c r="GY99" i="1"/>
  <c r="GZ99" i="1" s="1"/>
  <c r="GS99" i="1"/>
  <c r="GS100" i="1"/>
  <c r="GY100" i="1"/>
  <c r="GZ100" i="1" s="1"/>
  <c r="HA98" i="1"/>
  <c r="HD98" i="1" s="1"/>
  <c r="GT98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C106" i="1" l="1"/>
  <c r="HD132" i="1"/>
  <c r="HC132" i="1"/>
  <c r="GT110" i="1"/>
  <c r="GR110" i="1"/>
  <c r="HA110" i="1"/>
  <c r="HC108" i="1"/>
  <c r="GT128" i="1"/>
  <c r="GR128" i="1"/>
  <c r="HA128" i="1"/>
  <c r="GR104" i="1"/>
  <c r="HA104" i="1"/>
  <c r="HC104" i="1" s="1"/>
  <c r="GY54" i="1"/>
  <c r="GZ54" i="1" s="1"/>
  <c r="GS54" i="1"/>
  <c r="GT54" i="1" s="1"/>
  <c r="GR124" i="1"/>
  <c r="HA124" i="1"/>
  <c r="HD124" i="1" s="1"/>
  <c r="GR102" i="1"/>
  <c r="GT102" i="1"/>
  <c r="HA102" i="1"/>
  <c r="HC122" i="1"/>
  <c r="HD122" i="1"/>
  <c r="GR99" i="1"/>
  <c r="HA99" i="1"/>
  <c r="HD99" i="1" s="1"/>
  <c r="GT99" i="1"/>
  <c r="HC98" i="1"/>
  <c r="GR100" i="1"/>
  <c r="GT100" i="1"/>
  <c r="HA100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D110" i="1" l="1"/>
  <c r="HC110" i="1"/>
  <c r="HD104" i="1"/>
  <c r="HC128" i="1"/>
  <c r="HD128" i="1"/>
  <c r="GR54" i="1"/>
  <c r="HA54" i="1"/>
  <c r="HD54" i="1" s="1"/>
  <c r="HC124" i="1"/>
  <c r="HD102" i="1"/>
  <c r="HC102" i="1"/>
  <c r="HC99" i="1"/>
  <c r="HD100" i="1"/>
  <c r="HC100" i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HC54" i="1" l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HY14" i="1"/>
  <c r="ED38" i="1"/>
  <c r="EL38" i="1" s="1"/>
  <c r="GZ27" i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FM56" i="1"/>
  <c r="FN56" i="1" s="1"/>
  <c r="FU57" i="1"/>
  <c r="AS74" i="1"/>
  <c r="AT74" i="1" s="1"/>
  <c r="HQ27" i="1" l="1"/>
  <c r="HQ13" i="1"/>
  <c r="HQ21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HE8" i="1"/>
  <c r="GD55" i="1"/>
  <c r="GA55" i="1"/>
  <c r="GP55" i="1"/>
  <c r="FR56" i="1"/>
  <c r="FQ56" i="1"/>
  <c r="FP56" i="1"/>
  <c r="FP55" i="1"/>
  <c r="FR55" i="1"/>
  <c r="FQ55" i="1"/>
  <c r="AS75" i="1"/>
  <c r="AT75" i="1" s="1"/>
  <c r="HR27" i="1" l="1"/>
  <c r="HR13" i="1"/>
  <c r="HR21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21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13" i="1" s="1"/>
  <c r="GS56" i="1"/>
  <c r="HY13" i="1" s="1"/>
  <c r="GS55" i="1"/>
  <c r="GY55" i="1"/>
  <c r="GE57" i="1"/>
  <c r="GF57" i="1" s="1"/>
  <c r="GG57" i="1"/>
  <c r="GH57" i="1"/>
  <c r="GI57" i="1"/>
  <c r="AS78" i="1"/>
  <c r="AT78" i="1" s="1"/>
  <c r="HY21" i="1" l="1"/>
  <c r="HY11" i="1"/>
  <c r="IA2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21" i="1"/>
  <c r="IB11" i="1"/>
  <c r="IE21" i="1"/>
  <c r="IE11" i="1"/>
  <c r="IC2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l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AT139" i="1" l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AT140" i="1" l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AT141" i="1" l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AT142" i="1" l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AT143" i="1" l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AT144" i="1" l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AT145" i="1" l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AT146" i="1" l="1"/>
  <c r="AS147" i="1"/>
  <c r="HN150" i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  <c r="AT147" i="1" l="1"/>
  <c r="AS148" i="1"/>
  <c r="AT148" i="1" l="1"/>
  <c r="AS149" i="1"/>
  <c r="AT149" i="1" l="1"/>
  <c r="AS150" i="1"/>
  <c r="AT1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<sst xmlns="http://schemas.openxmlformats.org/spreadsheetml/2006/main" count="918" uniqueCount="407">
  <si>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</si>
  <si>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</si>
  <si>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</si>
  <si>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</si>
  <si>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</si>
  <si>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</si>
  <si>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</si>
  <si>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</si>
  <si>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</si>
  <si>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</si>
  <si>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</si>
  <si>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</si>
  <si>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</si>
  <si>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</si>
  <si>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</si>
  <si>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</si>
  <si>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</si>
  <si>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</si>
  <si>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</si>
  <si>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</si>
  <si>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</si>
  <si>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</si>
  <si>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</si>
  <si>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</si>
  <si>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</si>
  <si>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</si>
  <si>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</si>
  <si>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</si>
  <si>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</si>
  <si>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</si>
  <si>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</si>
  <si>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</si>
  <si>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</si>
  <si>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</si>
  <si>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</si>
  <si>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</si>
  <si>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</si>
  <si>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</si>
  <si>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</si>
  <si>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</si>
  <si>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</si>
  <si>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</si>
  <si>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</si>
  <si>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</si>
  <si>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</si>
  <si>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</si>
  <si>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</si>
  <si>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</si>
  <si>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</si>
  <si>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</si>
  <si>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</si>
  <si>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</si>
  <si>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</si>
  <si>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</si>
  <si>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</si>
  <si>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</si>
  <si>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</si>
  <si>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</si>
  <si>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</si>
  <si>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</si>
  <si>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</si>
  <si>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</si>
  <si>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</si>
  <si>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</si>
  <si>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</si>
  <si>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</si>
  <si>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</si>
  <si>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</si>
  <si>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</si>
  <si>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</si>
  <si>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</si>
  <si>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</si>
  <si>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</si>
  <si>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</si>
  <si>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</si>
  <si>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</si>
  <si>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</si>
  <si>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</si>
  <si>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</si>
  <si>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</si>
  <si>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</si>
  <si>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</si>
  <si>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</si>
  <si>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</si>
  <si>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</si>
  <si>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</si>
  <si>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</si>
  <si>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</si>
  <si>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</si>
  <si>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</si>
  <si>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</si>
  <si>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</si>
  <si>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</si>
  <si>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</si>
  <si>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</si>
  <si>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</si>
  <si>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</si>
  <si>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</si>
  <si>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</si>
  <si>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</si>
  <si>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</si>
  <si>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</si>
  <si>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</si>
  <si>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</si>
  <si>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</si>
  <si>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</si>
  <si>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</si>
  <si>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</si>
  <si>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</si>
  <si>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</si>
  <si>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</si>
  <si>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</si>
  <si>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</si>
  <si>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</si>
  <si>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</si>
  <si>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</si>
  <si>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</si>
  <si>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</si>
  <si>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</si>
  <si>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</si>
  <si>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</si>
  <si>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</si>
  <si>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</si>
  <si>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</si>
  <si>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</si>
  <si>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</si>
  <si>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</si>
  <si>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</si>
  <si>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</si>
  <si>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</si>
  <si>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</si>
  <si>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</si>
  <si>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</si>
  <si>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</si>
  <si>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</si>
  <si>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</si>
  <si>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</si>
  <si>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</si>
  <si>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</si>
  <si>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</si>
  <si>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</si>
  <si>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</si>
  <si>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</si>
  <si>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</si>
  <si>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</si>
  <si>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</si>
  <si>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</si>
  <si>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</si>
  <si>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</si>
  <si>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</si>
  <si>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</si>
  <si>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</si>
  <si>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</si>
  <si>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</si>
  <si>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</si>
  <si>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</si>
  <si>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</si>
  <si>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</si>
  <si>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</si>
  <si>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</si>
  <si>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</si>
  <si>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</si>
  <si>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</si>
  <si>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</si>
  <si>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</si>
  <si>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</si>
  <si>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</si>
  <si>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</si>
  <si>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</si>
  <si>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</si>
  <si>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</si>
  <si>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</si>
  <si>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</si>
  <si>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</si>
  <si>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</si>
  <si>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</si>
  <si>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</si>
  <si>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</si>
  <si>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</si>
  <si>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</si>
  <si>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</si>
  <si>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</si>
  <si>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</si>
  <si>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</si>
  <si>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</si>
  <si>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</si>
  <si>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</si>
  <si>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</si>
  <si>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</si>
  <si>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</si>
  <si>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</si>
  <si>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</si>
  <si>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</si>
  <si>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</si>
  <si>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</si>
  <si>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</si>
  <si>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</si>
  <si>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</si>
  <si>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</si>
  <si>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</si>
  <si>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</si>
  <si>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</si>
  <si>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</si>
  <si>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</si>
  <si>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</si>
  <si>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</si>
  <si>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</si>
  <si>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</si>
  <si>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</si>
  <si>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</si>
  <si>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</si>
  <si>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</si>
  <si>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</si>
  <si>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</si>
  <si>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</si>
  <si>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</si>
  <si>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</si>
  <si>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</si>
  <si>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</si>
  <si>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</si>
  <si>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</si>
  <si>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</si>
  <si>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</si>
  <si>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</si>
  <si>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</si>
  <si>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</si>
  <si>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</si>
  <si>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</si>
  <si>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</si>
  <si>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</si>
  <si>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</si>
  <si>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</si>
  <si>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</si>
  <si>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</si>
  <si>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</si>
  <si>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</si>
  <si>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</si>
  <si>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</si>
  <si>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</si>
  <si>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</si>
  <si>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</si>
  <si>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</si>
  <si>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</si>
  <si>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</si>
  <si>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</si>
  <si>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</si>
  <si>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</si>
  <si>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</si>
  <si>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</si>
  <si>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</si>
  <si>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</si>
  <si>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</si>
  <si>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</si>
  <si>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</si>
  <si>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</si>
  <si>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</si>
  <si>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</si>
  <si>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</si>
  <si>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</si>
  <si>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</si>
  <si>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</si>
  <si>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</si>
  <si>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</si>
  <si>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</si>
  <si>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</si>
  <si>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</si>
  <si>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</si>
  <si>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</si>
  <si>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</si>
  <si>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</si>
  <si>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</si>
  <si>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</si>
  <si>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</si>
  <si>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</si>
  <si>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</si>
  <si>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</si>
  <si>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</si>
  <si>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</si>
  <si>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</si>
  <si>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</si>
  <si>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</si>
  <si>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</si>
  <si>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</si>
  <si>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</si>
  <si>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</si>
  <si>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</si>
  <si>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</si>
  <si>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</si>
  <si>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</si>
  <si>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</si>
  <si>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</si>
  <si>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</si>
  <si>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</si>
  <si>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</si>
  <si>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</si>
  <si>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</si>
  <si>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</si>
  <si>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</si>
  <si>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</si>
  <si>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</si>
  <si>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</si>
  <si>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</si>
  <si>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</si>
  <si>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</si>
  <si>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</si>
  <si>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</si>
  <si>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</si>
  <si>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</si>
  <si>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</si>
  <si>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</si>
  <si>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</si>
  <si>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</si>
  <si>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</si>
  <si>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</si>
  <si>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</si>
  <si>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</si>
  <si>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</si>
  <si>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</si>
  <si>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</si>
  <si>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</si>
  <si>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</si>
  <si>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</si>
  <si>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</si>
  <si>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</si>
  <si>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</si>
  <si>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</si>
  <si>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</si>
  <si>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</si>
  <si>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</si>
  <si>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</si>
  <si>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</si>
  <si>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</si>
  <si>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</si>
  <si>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</si>
  <si>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</si>
  <si>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</si>
  <si>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</si>
  <si>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</si>
  <si>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</si>
  <si>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</si>
  <si>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</si>
  <si>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</si>
  <si>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</si>
  <si>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</si>
  <si>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</si>
  <si>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</si>
  <si>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</si>
  <si>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</si>
  <si>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</si>
  <si>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</si>
  <si>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</si>
  <si>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</si>
  <si>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</si>
  <si>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</si>
  <si>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</si>
  <si>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</si>
  <si>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</si>
  <si>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</si>
  <si>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</si>
  <si>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</si>
  <si>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</si>
  <si>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</si>
  <si>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</si>
  <si>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</si>
  <si>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</si>
  <si>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</si>
  <si>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</si>
  <si>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</si>
  <si>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</si>
  <si>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</si>
  <si>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</si>
  <si>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</si>
  <si>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</si>
  <si>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</si>
  <si>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</si>
  <si>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</si>
  <si>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</si>
  <si>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</si>
  <si>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</si>
  <si>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</si>
  <si>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</si>
  <si>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</si>
  <si>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</si>
  <si>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</si>
  <si>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</si>
  <si>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</si>
  <si>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</si>
  <si>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</si>
  <si>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</si>
  <si>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</si>
  <si>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</si>
  <si>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</si>
  <si>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</si>
  <si>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</si>
  <si>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</si>
  <si>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</si>
  <si>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</si>
  <si>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</si>
  <si>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</si>
  <si>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</si>
  <si>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</si>
  <si>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</si>
  <si>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</si>
  <si>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</si>
  <si>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</si>
  <si>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</si>
  <si>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5646r00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</si>
</sst>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8.1827363217991103</c:v>
                </c:pt>
                <c:pt idx="14">
                  <c:v>4.4261832018870155</c:v>
                </c:pt>
                <c:pt idx="15">
                  <c:v>17.026312740360915</c:v>
                </c:pt>
                <c:pt idx="16">
                  <c:v>16.96175269033208</c:v>
                </c:pt>
                <c:pt idx="17">
                  <c:v>17.17969260934591</c:v>
                </c:pt>
                <c:pt idx="18">
                  <c:v>15.380556969494002</c:v>
                </c:pt>
                <c:pt idx="19">
                  <c:v>12.884007092365046</c:v>
                </c:pt>
                <c:pt idx="20">
                  <c:v>13.142452047584285</c:v>
                </c:pt>
                <c:pt idx="21">
                  <c:v>13.973580188080197</c:v>
                </c:pt>
                <c:pt idx="22">
                  <c:v>15.129561492526353</c:v>
                </c:pt>
                <c:pt idx="23">
                  <c:v>15.343030828371202</c:v>
                </c:pt>
                <c:pt idx="24">
                  <c:v>16.517546068772319</c:v>
                </c:pt>
                <c:pt idx="25">
                  <c:v>17.670961459643586</c:v>
                </c:pt>
                <c:pt idx="26">
                  <c:v>18.806709635560772</c:v>
                </c:pt>
                <c:pt idx="27">
                  <c:v>20.35419491307875</c:v>
                </c:pt>
                <c:pt idx="28">
                  <c:v>22.033021990470537</c:v>
                </c:pt>
                <c:pt idx="29">
                  <c:v>23.006502366979966</c:v>
                </c:pt>
                <c:pt idx="30">
                  <c:v>24.24583672105798</c:v>
                </c:pt>
                <c:pt idx="31">
                  <c:v>25.824057231277241</c:v>
                </c:pt>
                <c:pt idx="32">
                  <c:v>26.889884456913606</c:v>
                </c:pt>
                <c:pt idx="33">
                  <c:v>27.87020229668012</c:v>
                </c:pt>
                <c:pt idx="34">
                  <c:v>29.486160594290624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X1" zoomScaleNormal="100" workbookViewId="0">
      <selection activeCell="AN29" sqref="AN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>INDEX($BA$14:$BA$18,MATCH(RIGHT($AK18,2),$AZ$14:$AZ$18,0))</f>
        <v>0.52</v>
      </c>
      <c r="AO18" s="691"/>
      <c r="AP18" s="9">
        <f>($AM18+AP$9)</f>
        <v>0.48399999999999999</v>
      </c>
      <c r="AQ18" s="8">
        <f>($AN18-($AO18/2))</f>
        <v>0.52</v>
      </c>
      <c r="AR18" s="177">
        <f>IF($AO18&lt;0,$AO18/2,$AM18/2)</f>
        <v>0.24049999999999999</v>
      </c>
      <c r="AS18" s="4">
        <f>($AM18+AS$9)</f>
        <v>0.48</v>
      </c>
      <c r="AT18" s="8">
        <f>($AM18+AT$9)</f>
        <v>0.48199999999999998</v>
      </c>
      <c r="AU18" s="173">
        <f>($AP18+AU$9)</f>
        <v>0.48499999999999999</v>
      </c>
      <c r="AV18" s="6">
        <f>($AP18+AV$9)</f>
        <v>0.48799999999999999</v>
      </c>
      <c r="AW18" s="173">
        <f>($AU18-$AT18)/2</f>
        <v>1.5000000000000013E-3</v>
      </c>
      <c r="AX18" s="8">
        <f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8.5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>ROUND(((ROUND(AP19,6)*1000000)+AQ19),6)</f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>INDEX($BA$14:$BA$18,MATCH(RIGHT($AK19,2),$AZ$14:$AZ$18,0))</f>
        <v>0.315</v>
      </c>
      <c r="AO19" s="691"/>
      <c r="AP19" s="9">
        <f>($AM19+AP$9)</f>
        <v>0.53200000000000003</v>
      </c>
      <c r="AQ19" s="8">
        <f>($AN19-($AO19/2))</f>
        <v>0.315</v>
      </c>
      <c r="AR19" s="177">
        <f>IF($AO19&lt;0,$AO19/2,$AM19/2)</f>
        <v>0.26450000000000001</v>
      </c>
      <c r="AS19" s="4">
        <f>($AM19+AS$9)</f>
        <v>0.52800000000000002</v>
      </c>
      <c r="AT19" s="8">
        <f>($AM19+AT$9)</f>
        <v>0.53</v>
      </c>
      <c r="AU19" s="173">
        <f>($AP19+AU$9)</f>
        <v>0.53300000000000003</v>
      </c>
      <c r="AV19" s="6">
        <f>($AP19+AV$9)</f>
        <v>0.53600000000000003</v>
      </c>
      <c r="AW19" s="173">
        <f>($AU19-$AT19)/2</f>
        <v>1.5000000000000013E-3</v>
      </c>
      <c r="AX19" s="8">
        <f>($AV19-$AS19)/2</f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>ROUND(((ROUND(AP20,6)*1000000)+AQ20),6)</f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>INDEX($BA$14:$BA$18,MATCH(RIGHT($AK20,2),$AZ$14:$AZ$18,0))</f>
        <v>0.39400000000000002</v>
      </c>
      <c r="AO20" s="691"/>
      <c r="AP20" s="9">
        <f>($AM20+AP$9)</f>
        <v>0.53200000000000003</v>
      </c>
      <c r="AQ20" s="8">
        <f>($AN20-($AO20/2))</f>
        <v>0.39400000000000002</v>
      </c>
      <c r="AR20" s="177">
        <f>IF($AO20&lt;0,$AO20/2,$AM20/2)</f>
        <v>0.26450000000000001</v>
      </c>
      <c r="AS20" s="4">
        <f>($AM20+AS$9)</f>
        <v>0.52800000000000002</v>
      </c>
      <c r="AT20" s="8">
        <f>($AM20+AT$9)</f>
        <v>0.53</v>
      </c>
      <c r="AU20" s="173">
        <f>($AP20+AU$9)</f>
        <v>0.53300000000000003</v>
      </c>
      <c r="AV20" s="6">
        <f>($AP20+AV$9)</f>
        <v>0.53600000000000003</v>
      </c>
      <c r="AW20" s="173">
        <f>($AU20-$AT20)/2</f>
        <v>1.5000000000000013E-3</v>
      </c>
      <c r="AX20" s="8">
        <f>($AV20-$AS20)/2</f>
        <v>4.0000000000000036E-3</v>
      </c>
      <c r="BC20" s="82">
        <v>1310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>ROUND(((ROUND(AP21,6)*1000000)+AQ21),6)</f>
        <v>532000.52</v>
      </c>
      <c r="AJ21" s="780" t="b">
        <f>TRUE</f>
        <v>1</v>
      </c>
      <c r="AK21" s="683">
        <v>1313</v>
      </c>
      <c r="AL21" s="750">
        <f t="shared" ref="AL21:AL28" si="18">AK21</f>
        <v>1313</v>
      </c>
      <c r="AM21" s="689">
        <v>0.52900000000000003</v>
      </c>
      <c r="AN21" s="5">
        <f>INDEX($BA$14:$BA$18,MATCH(RIGHT($AK21,2),$AZ$14:$AZ$18,0))</f>
        <v>0.52</v>
      </c>
      <c r="AO21" s="691"/>
      <c r="AP21" s="9">
        <f>($AM21+AP$9)</f>
        <v>0.53200000000000003</v>
      </c>
      <c r="AQ21" s="8">
        <f>($AN21-($AO21/2))</f>
        <v>0.52</v>
      </c>
      <c r="AR21" s="177">
        <f>IF($AO21&lt;0,$AO21/2,$AM21/2)</f>
        <v>0.26450000000000001</v>
      </c>
      <c r="AS21" s="4">
        <f>($AM21+AS$9)</f>
        <v>0.52800000000000002</v>
      </c>
      <c r="AT21" s="8">
        <f>($AM21+AT$9)</f>
        <v>0.53</v>
      </c>
      <c r="AU21" s="173">
        <f>($AP21+AU$9)</f>
        <v>0.53300000000000003</v>
      </c>
      <c r="AV21" s="6">
        <f>($AP21+AV$9)</f>
        <v>0.53600000000000003</v>
      </c>
      <c r="AW21" s="173">
        <f>($AU21-$AT21)/2</f>
        <v>1.5000000000000013E-3</v>
      </c>
      <c r="AX21" s="8">
        <f>($AV21-$AS21)/2</f>
        <v>4.0000000000000036E-3</v>
      </c>
      <c r="BC21" s="82">
        <v>1313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>ROUND(((ROUND(AP22,6)*1000000)+AQ22),6)</f>
        <v>580000.52</v>
      </c>
      <c r="AJ22" s="780" t="b">
        <f>TRUE</f>
        <v>1</v>
      </c>
      <c r="AK22" s="683">
        <v>1513</v>
      </c>
      <c r="AL22" s="750">
        <f t="shared" si="18"/>
        <v>1513</v>
      </c>
      <c r="AM22" s="689">
        <v>0.57699999999999996</v>
      </c>
      <c r="AN22" s="5">
        <f>INDEX($BA$14:$BA$18,MATCH(RIGHT($AK22,2),$AZ$14:$AZ$18,0))</f>
        <v>0.52</v>
      </c>
      <c r="AO22" s="691"/>
      <c r="AP22" s="9">
        <f>($AM22+AP$9)</f>
        <v>0.57999999999999996</v>
      </c>
      <c r="AQ22" s="8">
        <f>($AN22-($AO22/2))</f>
        <v>0.52</v>
      </c>
      <c r="AR22" s="177">
        <f>IF($AO22&lt;0,$AO22/2,$AM22/2)</f>
        <v>0.28849999999999998</v>
      </c>
      <c r="AS22" s="4">
        <f>($AM22+AS$9)</f>
        <v>0.57599999999999996</v>
      </c>
      <c r="AT22" s="8">
        <f>($AM22+AT$9)</f>
        <v>0.57799999999999996</v>
      </c>
      <c r="AU22" s="173">
        <f>($AP22+AU$9)</f>
        <v>0.58099999999999996</v>
      </c>
      <c r="AV22" s="6">
        <f>($AP22+AV$9)</f>
        <v>0.58399999999999996</v>
      </c>
      <c r="AW22" s="173">
        <f>($AU22-$AT22)/2</f>
        <v>1.5000000000000013E-3</v>
      </c>
      <c r="AX22" s="8">
        <f>($AV22-$AS22)/2</f>
        <v>4.0000000000000036E-3</v>
      </c>
      <c r="BC22" s="82">
        <v>1513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>ROUND(((ROUND(AP23,6)*1000000)+AQ23),6)</f>
        <v>628000.31499999994</v>
      </c>
      <c r="AJ23" s="780" t="b">
        <f>TRUE</f>
        <v>1</v>
      </c>
      <c r="AK23" s="683">
        <v>1608</v>
      </c>
      <c r="AL23" s="750">
        <f t="shared" si="18"/>
        <v>1608</v>
      </c>
      <c r="AM23" s="689">
        <v>0.625</v>
      </c>
      <c r="AN23" s="5">
        <f>INDEX($BA$14:$BA$18,MATCH(RIGHT($AK23,2),$AZ$14:$AZ$18,0))</f>
        <v>0.315</v>
      </c>
      <c r="AO23" s="691"/>
      <c r="AP23" s="9">
        <f>($AM23+AP$9)</f>
        <v>0.628</v>
      </c>
      <c r="AQ23" s="8">
        <f>($AN23-($AO23/2))</f>
        <v>0.315</v>
      </c>
      <c r="AR23" s="177">
        <f>IF($AO23&lt;0,$AO23/2,$AM23/2)</f>
        <v>0.3125</v>
      </c>
      <c r="AS23" s="4">
        <f>($AM23+AS$9)</f>
        <v>0.624</v>
      </c>
      <c r="AT23" s="8">
        <f>($AM23+AT$9)</f>
        <v>0.626</v>
      </c>
      <c r="AU23" s="173">
        <f>($AP23+AU$9)</f>
        <v>0.629</v>
      </c>
      <c r="AV23" s="6">
        <f>($AP23+AV$9)</f>
        <v>0.63200000000000001</v>
      </c>
      <c r="AW23" s="173">
        <f>($AU23-$AT23)/2</f>
        <v>1.5000000000000013E-3</v>
      </c>
      <c r="AX23" s="8">
        <f>($AV23-$AS23)/2</f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>ROUND(((ROUND(AP24,6)*1000000)+AQ24),6)</f>
        <v>628000.39399999997</v>
      </c>
      <c r="AJ24" s="780" t="b">
        <f>TRUE</f>
        <v>1</v>
      </c>
      <c r="AK24" s="683">
        <v>1610</v>
      </c>
      <c r="AL24" s="750">
        <f t="shared" si="18"/>
        <v>1610</v>
      </c>
      <c r="AM24" s="689">
        <v>0.625</v>
      </c>
      <c r="AN24" s="5">
        <f>INDEX($BA$14:$BA$18,MATCH(RIGHT($AK24,2),$AZ$14:$AZ$18,0))</f>
        <v>0.39400000000000002</v>
      </c>
      <c r="AO24" s="691"/>
      <c r="AP24" s="9">
        <f>($AM24+AP$9)</f>
        <v>0.628</v>
      </c>
      <c r="AQ24" s="8">
        <f>($AN24-($AO24/2))</f>
        <v>0.39400000000000002</v>
      </c>
      <c r="AR24" s="177">
        <f>IF($AO24&lt;0,$AO24/2,$AM24/2)</f>
        <v>0.3125</v>
      </c>
      <c r="AS24" s="4">
        <f>($AM24+AS$9)</f>
        <v>0.624</v>
      </c>
      <c r="AT24" s="8">
        <f>($AM24+AT$9)</f>
        <v>0.626</v>
      </c>
      <c r="AU24" s="173">
        <f>($AP24+AU$9)</f>
        <v>0.629</v>
      </c>
      <c r="AV24" s="6">
        <f>($AP24+AV$9)</f>
        <v>0.63200000000000001</v>
      </c>
      <c r="AW24" s="173">
        <f>($AU24-$AT24)/2</f>
        <v>1.5000000000000013E-3</v>
      </c>
      <c r="AX24" s="8">
        <f>($AV24-$AS24)/2</f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4.25</v>
      </c>
      <c r="D25" s="1025"/>
      <c r="E25" s="1025"/>
      <c r="F25" s="1025"/>
      <c r="G25" s="31"/>
      <c r="H25" s="31"/>
      <c r="I25" s="31"/>
      <c r="AI25" s="783">
        <f>ROUND(((ROUND(AP25,6)*1000000)+AQ25),6)</f>
        <v>628000.52</v>
      </c>
      <c r="AJ25" s="780" t="b">
        <f>TRUE</f>
        <v>1</v>
      </c>
      <c r="AK25" s="683">
        <v>1613</v>
      </c>
      <c r="AL25" s="750">
        <f t="shared" si="18"/>
        <v>1613</v>
      </c>
      <c r="AM25" s="689">
        <v>0.625</v>
      </c>
      <c r="AN25" s="5">
        <f>INDEX($BA$14:$BA$18,MATCH(RIGHT($AK25,2),$AZ$14:$AZ$18,0))</f>
        <v>0.52</v>
      </c>
      <c r="AO25" s="691"/>
      <c r="AP25" s="9">
        <f>($AM25+AP$9)</f>
        <v>0.628</v>
      </c>
      <c r="AQ25" s="8">
        <f>($AN25-($AO25/2))</f>
        <v>0.52</v>
      </c>
      <c r="AR25" s="177">
        <f>IF($AO25&lt;0,$AO25/2,$AM25/2)</f>
        <v>0.3125</v>
      </c>
      <c r="AS25" s="4">
        <f>($AM25+AS$9)</f>
        <v>0.624</v>
      </c>
      <c r="AT25" s="8">
        <f>($AM25+AT$9)</f>
        <v>0.626</v>
      </c>
      <c r="AU25" s="173">
        <f>($AP25+AU$9)</f>
        <v>0.629</v>
      </c>
      <c r="AV25" s="6">
        <f>($AP25+AV$9)</f>
        <v>0.63200000000000001</v>
      </c>
      <c r="AW25" s="173">
        <f>($AU25-$AT25)/2</f>
        <v>1.5000000000000013E-3</v>
      </c>
      <c r="AX25" s="8">
        <f>($AV25-$AS25)/2</f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>ROUND(((ROUND(AP26,6)*1000000)+AQ26),6)</f>
        <v>668000.52</v>
      </c>
      <c r="AJ26" s="780" t="b">
        <f>TRUE</f>
        <v>1</v>
      </c>
      <c r="AK26" s="683">
        <v>1713</v>
      </c>
      <c r="AL26" s="750">
        <f t="shared" si="18"/>
        <v>1713</v>
      </c>
      <c r="AM26" s="689">
        <v>0.66500000000000004</v>
      </c>
      <c r="AN26" s="5">
        <f>INDEX($BA$14:$BA$18,MATCH(RIGHT($AK26,2),$AZ$14:$AZ$18,0))</f>
        <v>0.52</v>
      </c>
      <c r="AO26" s="691"/>
      <c r="AP26" s="9">
        <f>($AM26+AP$9)</f>
        <v>0.66800000000000004</v>
      </c>
      <c r="AQ26" s="8">
        <f>($AN26-($AO26/2))</f>
        <v>0.52</v>
      </c>
      <c r="AR26" s="177">
        <f>IF($AO26&lt;0,$AO26/2,$AM26/2)</f>
        <v>0.33250000000000002</v>
      </c>
      <c r="AS26" s="4">
        <f>($AM26+AS$9)</f>
        <v>0.66400000000000003</v>
      </c>
      <c r="AT26" s="8">
        <f>($AM26+AT$9)</f>
        <v>0.66600000000000004</v>
      </c>
      <c r="AU26" s="173">
        <f>($AP26+AU$9)</f>
        <v>0.66900000000000004</v>
      </c>
      <c r="AV26" s="6">
        <f>($AP26+AV$9)</f>
        <v>0.67200000000000004</v>
      </c>
      <c r="AW26" s="173">
        <f>($AU26-$AT26)/2</f>
        <v>1.5000000000000013E-3</v>
      </c>
      <c r="AX26" s="8">
        <f>($AV26-$AS26)/2</f>
        <v>4.0000000000000036E-3</v>
      </c>
      <c r="BC26" s="82">
        <v>1713</v>
      </c>
    </row>
    <row r="27" spans="2:55" x14ac:dyDescent="0.25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>ROUND(((ROUND(AP27,6)*1000000)+AQ27),6)</f>
        <v>711000.52</v>
      </c>
      <c r="AJ27" s="780" t="b">
        <f>TRUE</f>
        <v>1</v>
      </c>
      <c r="AK27" s="683">
        <v>1813</v>
      </c>
      <c r="AL27" s="750">
        <f t="shared" si="18"/>
        <v>1813</v>
      </c>
      <c r="AM27" s="689">
        <v>0.70799999999999996</v>
      </c>
      <c r="AN27" s="5">
        <f>INDEX($BA$14:$BA$18,MATCH(RIGHT($AK27,2),$AZ$14:$AZ$18,0))</f>
        <v>0.52</v>
      </c>
      <c r="AO27" s="691"/>
      <c r="AP27" s="9">
        <f>($AM27+AP$9)</f>
        <v>0.71099999999999997</v>
      </c>
      <c r="AQ27" s="8">
        <f>($AN27-($AO27/2))</f>
        <v>0.52</v>
      </c>
      <c r="AR27" s="177">
        <f>IF($AO27&lt;0,$AO27/2,$AM27/2)</f>
        <v>0.35399999999999998</v>
      </c>
      <c r="AS27" s="4">
        <f>($AM27+AS$9)</f>
        <v>0.70699999999999996</v>
      </c>
      <c r="AT27" s="8">
        <f>($AM27+AT$9)</f>
        <v>0.70899999999999996</v>
      </c>
      <c r="AU27" s="173">
        <f>($AP27+AU$9)</f>
        <v>0.71199999999999997</v>
      </c>
      <c r="AV27" s="6">
        <f>($AP27+AV$9)</f>
        <v>0.71499999999999997</v>
      </c>
      <c r="AW27" s="173">
        <f>($AU27-$AT27)/2</f>
        <v>1.5000000000000013E-3</v>
      </c>
      <c r="AX27" s="8">
        <f>($AV27-$AS27)/2</f>
        <v>4.0000000000000036E-3</v>
      </c>
      <c r="BC27" s="82">
        <v>1813</v>
      </c>
    </row>
    <row r="28" spans="2:55" ht="15.75" thickBot="1" x14ac:dyDescent="0.3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>ROUND(((ROUND(AP28,6)*1000000)+AQ28),6)</f>
        <v>753000.52</v>
      </c>
      <c r="AJ28" s="780" t="b">
        <f>TRUE</f>
        <v>1</v>
      </c>
      <c r="AK28" s="48">
        <v>1913</v>
      </c>
      <c r="AL28" s="751">
        <f t="shared" si="18"/>
        <v>1913</v>
      </c>
      <c r="AM28" s="752">
        <v>0.75</v>
      </c>
      <c r="AN28" s="494">
        <f>INDEX($BA$14:$BA$18,MATCH(RIGHT($AK28,2),$AZ$14:$AZ$18,0))</f>
        <v>0.52</v>
      </c>
      <c r="AO28" s="753"/>
      <c r="AP28" s="496">
        <f>($AM28+AP$9)</f>
        <v>0.753</v>
      </c>
      <c r="AQ28" s="499">
        <f>($AN28-($AO28/2))</f>
        <v>0.52</v>
      </c>
      <c r="AR28" s="506">
        <f>IF($AO28&lt;0,$AO28/2,$AM28/2)</f>
        <v>0.375</v>
      </c>
      <c r="AS28" s="498">
        <f>($AM28+AS$9)</f>
        <v>0.749</v>
      </c>
      <c r="AT28" s="499">
        <f>($AM28+AT$9)</f>
        <v>0.751</v>
      </c>
      <c r="AU28" s="502">
        <f>($AP28+AU$9)</f>
        <v>0.754</v>
      </c>
      <c r="AV28" s="497">
        <f>($AP28+AV$9)</f>
        <v>0.75700000000000001</v>
      </c>
      <c r="AW28" s="502">
        <f>($AU28-$AT28)/2</f>
        <v>1.5000000000000013E-3</v>
      </c>
      <c r="AX28" s="499">
        <f>($AV28-$AS28)/2</f>
        <v>4.0000000000000036E-3</v>
      </c>
      <c r="BC28" s="82">
        <v>1913</v>
      </c>
    </row>
    <row r="29" spans="2:55" x14ac:dyDescent="0.25">
      <c r="B29" s="96"/>
      <c r="D29" s="96"/>
      <c r="AI29" s="783">
        <f>ROUND(((ROUND(AP29,6)*1000000)+AQ29),6)</f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>($AM29+AP$9)+0.007</f>
        <v>0.39</v>
      </c>
      <c r="AQ29" s="771">
        <f>($AN29-($AO29/2))-0.001</f>
        <v>0.21199999999999999</v>
      </c>
      <c r="AR29" s="767">
        <f>IF($AO29&lt;0,$AO29/2,$AM29/2)</f>
        <v>0.19</v>
      </c>
      <c r="AS29" s="760">
        <f>($AM29+AS$9)</f>
        <v>0.379</v>
      </c>
      <c r="AT29" s="761">
        <f>($AM29+AT$9)</f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>($AU29-$AT29)/2</f>
        <v>4.0000000000000036E-3</v>
      </c>
      <c r="AX29" s="761">
        <f>($AV29-$AS29)/2</f>
        <v>6.5000000000000058E-3</v>
      </c>
      <c r="BC29" s="82" t="str">
        <v>CPS-31783r1</v>
      </c>
    </row>
    <row r="30" spans="2:55" x14ac:dyDescent="0.25">
      <c r="AF30" s="96"/>
      <c r="AI30" s="783">
        <f>ROUND(((ROUND(AP30,6)*1000000)+AQ30),6)</f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>($AM30+AP$9)+0.007</f>
        <v>0.39</v>
      </c>
      <c r="AQ30" s="774">
        <f>AN30</f>
        <v>0.438</v>
      </c>
      <c r="AR30" s="177">
        <f>IF($AO30&lt;0,$AO30/2,$AM30/2)</f>
        <v>0.19</v>
      </c>
      <c r="AS30" s="4">
        <f>($AM30+AS$9)</f>
        <v>0.379</v>
      </c>
      <c r="AT30" s="8">
        <f>($AM30+AT$9)</f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>($AU30-$AT30)/2</f>
        <v>4.0000000000000036E-3</v>
      </c>
      <c r="AX30" s="8">
        <f>($AV30-$AS30)/2</f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1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>($AM31+AP$9)+0.007</f>
        <v>0.51400000000000001</v>
      </c>
      <c r="AQ31" s="8">
        <f>($AN31-($AO31/2))</f>
        <v>0.45499999999999996</v>
      </c>
      <c r="AR31" s="177">
        <f>IF($AO31&lt;0,$AO31/2,$AM31/2)</f>
        <v>0.252</v>
      </c>
      <c r="AS31" s="4">
        <f>($AM31+AS$9)</f>
        <v>0.503</v>
      </c>
      <c r="AT31" s="8">
        <f>($AM31+AT$9)</f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>($AU31-$AT31)/2</f>
        <v>3.5000000000000031E-3</v>
      </c>
      <c r="AX31" s="8">
        <f>($AV31-$AS31)/2</f>
        <v>5.5000000000000049E-3</v>
      </c>
      <c r="BC31" s="82" t="str">
        <v>CPS-32193r1</v>
      </c>
    </row>
    <row r="32" spans="2:55" x14ac:dyDescent="0.25">
      <c r="AI32" s="783">
        <f t="shared" si="1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>($AM32+AP$9)+0.007</f>
        <v>0.51400000000000001</v>
      </c>
      <c r="AQ32" s="774">
        <f>AN32</f>
        <v>0.71</v>
      </c>
      <c r="AR32" s="177">
        <f>IF($AO32&lt;0,$AO32/2,$AM32/2)</f>
        <v>0.252</v>
      </c>
      <c r="AS32" s="4">
        <f>($AM32+AS$9)</f>
        <v>0.503</v>
      </c>
      <c r="AT32" s="8">
        <f>($AM32+AT$9)</f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>($AU32-$AT32)/2</f>
        <v>3.5000000000000031E-3</v>
      </c>
      <c r="AX32" s="8">
        <f>($AV32-$AS32)/2</f>
        <v>5.5000000000000049E-3</v>
      </c>
      <c r="BC32" s="82" t="str">
        <v>&lt;&gt;CS CPS-32193r1</v>
      </c>
    </row>
    <row r="33" spans="35:55" x14ac:dyDescent="0.25">
      <c r="AI33" s="783">
        <f t="shared" si="1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>($AM33+AP$9)+0.007</f>
        <v>0.51400000000000001</v>
      </c>
      <c r="AQ33" s="8">
        <f>($AN33-($AO33/2))</f>
        <v>0.41500000000000004</v>
      </c>
      <c r="AR33" s="177">
        <f>IF($AO33&lt;0,$AO33/2,$AM33/2)</f>
        <v>0.252</v>
      </c>
      <c r="AS33" s="4">
        <f>($AM33+AS$9)</f>
        <v>0.503</v>
      </c>
      <c r="AT33" s="8">
        <f>($AM33+AT$9)</f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>($AU33-$AT33)/2</f>
        <v>3.5000000000000031E-3</v>
      </c>
      <c r="AX33" s="8">
        <f>($AV33-$AS33)/2</f>
        <v>5.5000000000000049E-3</v>
      </c>
      <c r="BC33" s="82">
        <v>1213</v>
      </c>
    </row>
    <row r="34" spans="35:55" x14ac:dyDescent="0.25">
      <c r="AI34" s="783">
        <f t="shared" si="1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>($AM34+AP$9)+0.007</f>
        <v>0.51400000000000001</v>
      </c>
      <c r="AQ34" s="774">
        <f>AN34</f>
        <v>0.67</v>
      </c>
      <c r="AR34" s="177">
        <f>IF($AO34&lt;0,$AO34/2,$AM34/2)</f>
        <v>0.252</v>
      </c>
      <c r="AS34" s="4">
        <f>($AM34+AS$9)</f>
        <v>0.503</v>
      </c>
      <c r="AT34" s="8">
        <f>($AM34+AT$9)</f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>($AU34-$AT34)/2</f>
        <v>3.5000000000000031E-3</v>
      </c>
      <c r="AX34" s="8">
        <f>($AV34-$AS34)/2</f>
        <v>5.5000000000000049E-3</v>
      </c>
      <c r="BC34" s="82">
        <v>1308</v>
      </c>
    </row>
    <row r="35" spans="35:55" ht="15" customHeight="1" x14ac:dyDescent="0.25">
      <c r="AI35" s="783">
        <f t="shared" si="1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>IF($AO35&lt;0,$AO35/2,$AM35/2)</f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>($AU35-$AT35)/2</f>
        <v>2.150000000000013E-3</v>
      </c>
      <c r="AX35" s="8">
        <f>($AV35-$AS35)/2</f>
        <v>5.3499999999999936E-3</v>
      </c>
      <c r="BC35" s="82">
        <v>1310</v>
      </c>
    </row>
    <row r="36" spans="35:55" x14ac:dyDescent="0.25">
      <c r="AI36" s="783">
        <f t="shared" si="1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>IF($AO36&lt;0,$AO36/2,$AM36/2)</f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>($AU36-$AT36)/2</f>
        <v>2.150000000000013E-3</v>
      </c>
      <c r="AX36" s="8">
        <f>($AV36-$AS36)/2</f>
        <v>5.3499999999999936E-3</v>
      </c>
      <c r="BC36" s="82">
        <v>1313</v>
      </c>
    </row>
    <row r="37" spans="35:55" x14ac:dyDescent="0.25">
      <c r="AI37" s="783">
        <f t="shared" si="1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>IF($AO37&lt;0,$AO37/2,$AM37/2)</f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>($AU37-$AT37)/2</f>
        <v>3.0999999999999917E-3</v>
      </c>
      <c r="AX37" s="665">
        <f>($AV37-$AS37)/2</f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>INDEX($BA$14:$BA$18,MATCH(RIGHT($AK41,2),$AZ$14:$AZ$18,0))</f>
        <v>0.52</v>
      </c>
      <c r="AO41" s="691"/>
      <c r="AP41" s="9">
        <f>($AM41+AP$9)</f>
        <v>0.48399999999999999</v>
      </c>
      <c r="AQ41" s="8">
        <f>($AN41-($AO41/2))</f>
        <v>0.52</v>
      </c>
      <c r="AR41" s="177">
        <f>IF($AO41&lt;0,$AO41/2,$AM41/2)</f>
        <v>0.24049999999999999</v>
      </c>
      <c r="AS41" s="4">
        <f>($AM41+AS$9)</f>
        <v>0.48</v>
      </c>
      <c r="AT41" s="8">
        <f>($AM41+AT$9)</f>
        <v>0.48199999999999998</v>
      </c>
      <c r="AU41" s="173">
        <f>($AP41+AU$9)</f>
        <v>0.48499999999999999</v>
      </c>
      <c r="AV41" s="6">
        <f>($AP41+AV$9)</f>
        <v>0.48799999999999999</v>
      </c>
      <c r="AW41" s="173">
        <f>($AU41-$AT41)/2</f>
        <v>1.5000000000000013E-3</v>
      </c>
      <c r="AX41" s="8">
        <f>($AV41-$AS41)/2</f>
        <v>4.0000000000000036E-3</v>
      </c>
      <c r="BC41" s="82">
        <v>1713</v>
      </c>
    </row>
    <row r="42" spans="35:55" x14ac:dyDescent="0.25">
      <c r="AI42" s="783">
        <f>ROUND(((ROUND(AP42,6)*1000000)+AQ42),6)</f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>INDEX($BA$14:$BA$18,MATCH(RIGHT($AK42,2),$AZ$14:$AZ$18,0))</f>
        <v>0.315</v>
      </c>
      <c r="AO42" s="691"/>
      <c r="AP42" s="9">
        <f>($AM42+AP$9)</f>
        <v>0.53200000000000003</v>
      </c>
      <c r="AQ42" s="8">
        <f>($AN42-($AO42/2))</f>
        <v>0.315</v>
      </c>
      <c r="AR42" s="177">
        <f>IF($AO42&lt;0,$AO42/2,$AM42/2)</f>
        <v>0.26450000000000001</v>
      </c>
      <c r="AS42" s="4">
        <f>($AM42+AS$9)</f>
        <v>0.52800000000000002</v>
      </c>
      <c r="AT42" s="8">
        <f>($AM42+AT$9)</f>
        <v>0.53</v>
      </c>
      <c r="AU42" s="173">
        <f>($AP42+AU$9)</f>
        <v>0.53300000000000003</v>
      </c>
      <c r="AV42" s="6">
        <f>($AP42+AV$9)</f>
        <v>0.53600000000000003</v>
      </c>
      <c r="AW42" s="173">
        <f>($AU42-$AT42)/2</f>
        <v>1.5000000000000013E-3</v>
      </c>
      <c r="AX42" s="8">
        <f>($AV42-$AS42)/2</f>
        <v>4.0000000000000036E-3</v>
      </c>
      <c r="BC42" s="82">
        <v>1813</v>
      </c>
    </row>
    <row r="43" spans="35:55" x14ac:dyDescent="0.25">
      <c r="AI43" s="783">
        <f>ROUND(((ROUND(AP43,6)*1000000)+AQ43),6)</f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>INDEX($BA$14:$BA$18,MATCH(RIGHT($AK43,2),$AZ$14:$AZ$18,0))</f>
        <v>0.39400000000000002</v>
      </c>
      <c r="AO43" s="691"/>
      <c r="AP43" s="9">
        <f>($AM43+AP$9)</f>
        <v>0.53200000000000003</v>
      </c>
      <c r="AQ43" s="8">
        <f>($AN43-($AO43/2))</f>
        <v>0.39400000000000002</v>
      </c>
      <c r="AR43" s="177">
        <f>IF($AO43&lt;0,$AO43/2,$AM43/2)</f>
        <v>0.26450000000000001</v>
      </c>
      <c r="AS43" s="4">
        <f>($AM43+AS$9)</f>
        <v>0.52800000000000002</v>
      </c>
      <c r="AT43" s="8">
        <f>($AM43+AT$9)</f>
        <v>0.53</v>
      </c>
      <c r="AU43" s="173">
        <f>($AP43+AU$9)</f>
        <v>0.53300000000000003</v>
      </c>
      <c r="AV43" s="6">
        <f>($AP43+AV$9)</f>
        <v>0.53600000000000003</v>
      </c>
      <c r="AW43" s="173">
        <f>($AU43-$AT43)/2</f>
        <v>1.5000000000000013E-3</v>
      </c>
      <c r="AX43" s="8">
        <f>($AV43-$AS43)/2</f>
        <v>4.0000000000000036E-3</v>
      </c>
      <c r="BC43" s="82">
        <v>1913</v>
      </c>
    </row>
    <row r="44" spans="35:55" x14ac:dyDescent="0.25">
      <c r="AI44" s="783">
        <f>ROUND(((ROUND(AP44,6)*1000000)+AQ44),6)</f>
        <v>532000.52</v>
      </c>
      <c r="AJ44" s="780" t="b">
        <f>TRUE</f>
        <v>1</v>
      </c>
      <c r="AK44" s="683">
        <v>1313</v>
      </c>
      <c r="AL44" s="750">
        <f t="shared" ref="AL44:AL51" si="20">AK44</f>
        <v>1313</v>
      </c>
      <c r="AM44" s="689">
        <v>0.52900000000000003</v>
      </c>
      <c r="AN44" s="5">
        <f>INDEX($BA$14:$BA$18,MATCH(RIGHT($AK44,2),$AZ$14:$AZ$18,0))</f>
        <v>0.52</v>
      </c>
      <c r="AO44" s="691"/>
      <c r="AP44" s="9">
        <f>($AM44+AP$9)</f>
        <v>0.53200000000000003</v>
      </c>
      <c r="AQ44" s="8">
        <f>($AN44-($AO44/2))</f>
        <v>0.52</v>
      </c>
      <c r="AR44" s="177">
        <f>IF($AO44&lt;0,$AO44/2,$AM44/2)</f>
        <v>0.26450000000000001</v>
      </c>
      <c r="AS44" s="4">
        <f>($AM44+AS$9)</f>
        <v>0.52800000000000002</v>
      </c>
      <c r="AT44" s="8">
        <f>($AM44+AT$9)</f>
        <v>0.53</v>
      </c>
      <c r="AU44" s="173">
        <f>($AP44+AU$9)</f>
        <v>0.53300000000000003</v>
      </c>
      <c r="AV44" s="6">
        <f>($AP44+AV$9)</f>
        <v>0.53600000000000003</v>
      </c>
      <c r="AW44" s="173">
        <f>($AU44-$AT44)/2</f>
        <v>1.5000000000000013E-3</v>
      </c>
      <c r="AX44" s="8">
        <f>($AV44-$AS44)/2</f>
        <v>4.0000000000000036E-3</v>
      </c>
      <c r="BC44" s="82" t="str">
        <v>CPS-31783r1</v>
      </c>
    </row>
    <row r="45" spans="35:55" x14ac:dyDescent="0.25">
      <c r="AI45" s="783">
        <f>ROUND(((ROUND(AP45,6)*1000000)+AQ45),6)</f>
        <v>580000.52</v>
      </c>
      <c r="AJ45" s="780" t="b">
        <f>TRUE</f>
        <v>1</v>
      </c>
      <c r="AK45" s="683">
        <v>1513</v>
      </c>
      <c r="AL45" s="750">
        <f t="shared" si="20"/>
        <v>1513</v>
      </c>
      <c r="AM45" s="689">
        <v>0.57699999999999996</v>
      </c>
      <c r="AN45" s="5">
        <f>INDEX($BA$14:$BA$18,MATCH(RIGHT($AK45,2),$AZ$14:$AZ$18,0))</f>
        <v>0.52</v>
      </c>
      <c r="AO45" s="691"/>
      <c r="AP45" s="9">
        <f>($AM45+AP$9)</f>
        <v>0.57999999999999996</v>
      </c>
      <c r="AQ45" s="8">
        <f>($AN45-($AO45/2))</f>
        <v>0.52</v>
      </c>
      <c r="AR45" s="177">
        <f>IF($AO45&lt;0,$AO45/2,$AM45/2)</f>
        <v>0.28849999999999998</v>
      </c>
      <c r="AS45" s="4">
        <f>($AM45+AS$9)</f>
        <v>0.57599999999999996</v>
      </c>
      <c r="AT45" s="8">
        <f>($AM45+AT$9)</f>
        <v>0.57799999999999996</v>
      </c>
      <c r="AU45" s="173">
        <f>($AP45+AU$9)</f>
        <v>0.58099999999999996</v>
      </c>
      <c r="AV45" s="6">
        <f>($AP45+AV$9)</f>
        <v>0.58399999999999996</v>
      </c>
      <c r="AW45" s="173">
        <f>($AU45-$AT45)/2</f>
        <v>1.5000000000000013E-3</v>
      </c>
      <c r="AX45" s="8">
        <f>($AV45-$AS45)/2</f>
        <v>4.0000000000000036E-3</v>
      </c>
      <c r="BC45" s="82" t="str">
        <v>&lt;&gt;CS CPS-31783r1</v>
      </c>
    </row>
    <row r="46" spans="35:55" ht="15" customHeight="1" x14ac:dyDescent="0.25">
      <c r="AI46" s="783">
        <f>ROUND(((ROUND(AP46,6)*1000000)+AQ46),6)</f>
        <v>628000.31499999994</v>
      </c>
      <c r="AJ46" s="780" t="b">
        <f>TRUE</f>
        <v>1</v>
      </c>
      <c r="AK46" s="683">
        <v>1608</v>
      </c>
      <c r="AL46" s="750">
        <f t="shared" si="20"/>
        <v>1608</v>
      </c>
      <c r="AM46" s="689">
        <v>0.625</v>
      </c>
      <c r="AN46" s="5">
        <f>INDEX($BA$14:$BA$18,MATCH(RIGHT($AK46,2),$AZ$14:$AZ$18,0))</f>
        <v>0.315</v>
      </c>
      <c r="AO46" s="691"/>
      <c r="AP46" s="9">
        <f>($AM46+AP$9)</f>
        <v>0.628</v>
      </c>
      <c r="AQ46" s="8">
        <f>($AN46-($AO46/2))</f>
        <v>0.315</v>
      </c>
      <c r="AR46" s="177">
        <f>IF($AO46&lt;0,$AO46/2,$AM46/2)</f>
        <v>0.3125</v>
      </c>
      <c r="AS46" s="4">
        <f>($AM46+AS$9)</f>
        <v>0.624</v>
      </c>
      <c r="AT46" s="8">
        <f>($AM46+AT$9)</f>
        <v>0.626</v>
      </c>
      <c r="AU46" s="173">
        <f>($AP46+AU$9)</f>
        <v>0.629</v>
      </c>
      <c r="AV46" s="6">
        <f>($AP46+AV$9)</f>
        <v>0.63200000000000001</v>
      </c>
      <c r="AW46" s="173">
        <f>($AU46-$AT46)/2</f>
        <v>1.5000000000000013E-3</v>
      </c>
      <c r="AX46" s="8">
        <f>($AV46-$AS46)/2</f>
        <v>4.0000000000000036E-3</v>
      </c>
      <c r="BC46" s="82" t="str">
        <v>CPS-32193r1</v>
      </c>
    </row>
    <row r="47" spans="35:55" x14ac:dyDescent="0.25">
      <c r="AI47" s="783">
        <f>ROUND(((ROUND(AP47,6)*1000000)+AQ47),6)</f>
        <v>628000.39399999997</v>
      </c>
      <c r="AJ47" s="780" t="b">
        <f>TRUE</f>
        <v>1</v>
      </c>
      <c r="AK47" s="683">
        <v>1610</v>
      </c>
      <c r="AL47" s="750">
        <f t="shared" si="20"/>
        <v>1610</v>
      </c>
      <c r="AM47" s="689">
        <v>0.625</v>
      </c>
      <c r="AN47" s="5">
        <f>INDEX($BA$14:$BA$18,MATCH(RIGHT($AK47,2),$AZ$14:$AZ$18,0))</f>
        <v>0.39400000000000002</v>
      </c>
      <c r="AO47" s="691"/>
      <c r="AP47" s="9">
        <f>($AM47+AP$9)</f>
        <v>0.628</v>
      </c>
      <c r="AQ47" s="8">
        <f>($AN47-($AO47/2))</f>
        <v>0.39400000000000002</v>
      </c>
      <c r="AR47" s="177">
        <f>IF($AO47&lt;0,$AO47/2,$AM47/2)</f>
        <v>0.3125</v>
      </c>
      <c r="AS47" s="4">
        <f>($AM47+AS$9)</f>
        <v>0.624</v>
      </c>
      <c r="AT47" s="8">
        <f>($AM47+AT$9)</f>
        <v>0.626</v>
      </c>
      <c r="AU47" s="173">
        <f>($AP47+AU$9)</f>
        <v>0.629</v>
      </c>
      <c r="AV47" s="6">
        <f>($AP47+AV$9)</f>
        <v>0.63200000000000001</v>
      </c>
      <c r="AW47" s="173">
        <f>($AU47-$AT47)/2</f>
        <v>1.5000000000000013E-3</v>
      </c>
      <c r="AX47" s="8">
        <f>($AV47-$AS47)/2</f>
        <v>4.0000000000000036E-3</v>
      </c>
      <c r="BC47" s="82" t="str">
        <v>&lt;&gt;CS CPS-32193r1</v>
      </c>
    </row>
    <row r="48" spans="35:55" x14ac:dyDescent="0.25">
      <c r="AI48" s="783">
        <f>ROUND(((ROUND(AP48,6)*1000000)+AQ48),6)</f>
        <v>628000.52</v>
      </c>
      <c r="AJ48" s="780" t="b">
        <f>TRUE</f>
        <v>1</v>
      </c>
      <c r="AK48" s="683">
        <v>1613</v>
      </c>
      <c r="AL48" s="750">
        <f t="shared" si="20"/>
        <v>1613</v>
      </c>
      <c r="AM48" s="689">
        <v>0.625</v>
      </c>
      <c r="AN48" s="5">
        <f>INDEX($BA$14:$BA$18,MATCH(RIGHT($AK48,2),$AZ$14:$AZ$18,0))</f>
        <v>0.52</v>
      </c>
      <c r="AO48" s="691"/>
      <c r="AP48" s="9">
        <f>($AM48+AP$9)</f>
        <v>0.628</v>
      </c>
      <c r="AQ48" s="8">
        <f>($AN48-($AO48/2))</f>
        <v>0.52</v>
      </c>
      <c r="AR48" s="177">
        <f>IF($AO48&lt;0,$AO48/2,$AM48/2)</f>
        <v>0.3125</v>
      </c>
      <c r="AS48" s="4">
        <f>($AM48+AS$9)</f>
        <v>0.624</v>
      </c>
      <c r="AT48" s="8">
        <f>($AM48+AT$9)</f>
        <v>0.626</v>
      </c>
      <c r="AU48" s="173">
        <f>($AP48+AU$9)</f>
        <v>0.629</v>
      </c>
      <c r="AV48" s="6">
        <f>($AP48+AV$9)</f>
        <v>0.63200000000000001</v>
      </c>
      <c r="AW48" s="173">
        <f>($AU48-$AT48)/2</f>
        <v>1.5000000000000013E-3</v>
      </c>
      <c r="AX48" s="8">
        <f>($AV48-$AS48)/2</f>
        <v>4.0000000000000036E-3</v>
      </c>
    </row>
    <row r="49" spans="2:50" x14ac:dyDescent="0.25">
      <c r="AI49" s="783">
        <f>ROUND(((ROUND(AP49,6)*1000000)+AQ49),6)</f>
        <v>668000.52</v>
      </c>
      <c r="AJ49" s="780" t="b">
        <f>TRUE</f>
        <v>1</v>
      </c>
      <c r="AK49" s="683">
        <v>1713</v>
      </c>
      <c r="AL49" s="750">
        <f t="shared" si="20"/>
        <v>1713</v>
      </c>
      <c r="AM49" s="689">
        <v>0.66500000000000004</v>
      </c>
      <c r="AN49" s="5">
        <f>INDEX($BA$14:$BA$18,MATCH(RIGHT($AK49,2),$AZ$14:$AZ$18,0))</f>
        <v>0.52</v>
      </c>
      <c r="AO49" s="691"/>
      <c r="AP49" s="9">
        <f>($AM49+AP$9)</f>
        <v>0.66800000000000004</v>
      </c>
      <c r="AQ49" s="8">
        <f>($AN49-($AO49/2))</f>
        <v>0.52</v>
      </c>
      <c r="AR49" s="177">
        <f>IF($AO49&lt;0,$AO49/2,$AM49/2)</f>
        <v>0.33250000000000002</v>
      </c>
      <c r="AS49" s="4">
        <f>($AM49+AS$9)</f>
        <v>0.66400000000000003</v>
      </c>
      <c r="AT49" s="8">
        <f>($AM49+AT$9)</f>
        <v>0.66600000000000004</v>
      </c>
      <c r="AU49" s="173">
        <f>($AP49+AU$9)</f>
        <v>0.66900000000000004</v>
      </c>
      <c r="AV49" s="6">
        <f>($AP49+AV$9)</f>
        <v>0.67200000000000004</v>
      </c>
      <c r="AW49" s="173">
        <f>($AU49-$AT49)/2</f>
        <v>1.5000000000000013E-3</v>
      </c>
      <c r="AX49" s="8">
        <f>($AV49-$AS49)/2</f>
        <v>4.0000000000000036E-3</v>
      </c>
    </row>
    <row r="50" spans="2:50" x14ac:dyDescent="0.25">
      <c r="AI50" s="783">
        <f>ROUND(((ROUND(AP50,6)*1000000)+AQ50),6)</f>
        <v>711000.52</v>
      </c>
      <c r="AJ50" s="780" t="b">
        <f>TRUE</f>
        <v>1</v>
      </c>
      <c r="AK50" s="683">
        <v>1813</v>
      </c>
      <c r="AL50" s="750">
        <f t="shared" si="20"/>
        <v>1813</v>
      </c>
      <c r="AM50" s="689">
        <v>0.70799999999999996</v>
      </c>
      <c r="AN50" s="5">
        <f>INDEX($BA$14:$BA$18,MATCH(RIGHT($AK50,2),$AZ$14:$AZ$18,0))</f>
        <v>0.52</v>
      </c>
      <c r="AO50" s="691"/>
      <c r="AP50" s="9">
        <f>($AM50+AP$9)</f>
        <v>0.71099999999999997</v>
      </c>
      <c r="AQ50" s="8">
        <f>($AN50-($AO50/2))</f>
        <v>0.52</v>
      </c>
      <c r="AR50" s="177">
        <f>IF($AO50&lt;0,$AO50/2,$AM50/2)</f>
        <v>0.35399999999999998</v>
      </c>
      <c r="AS50" s="4">
        <f>($AM50+AS$9)</f>
        <v>0.70699999999999996</v>
      </c>
      <c r="AT50" s="8">
        <f>($AM50+AT$9)</f>
        <v>0.70899999999999996</v>
      </c>
      <c r="AU50" s="173">
        <f>($AP50+AU$9)</f>
        <v>0.71199999999999997</v>
      </c>
      <c r="AV50" s="6">
        <f>($AP50+AV$9)</f>
        <v>0.71499999999999997</v>
      </c>
      <c r="AW50" s="173">
        <f>($AU50-$AT50)/2</f>
        <v>1.5000000000000013E-3</v>
      </c>
      <c r="AX50" s="8">
        <f>($AV50-$AS50)/2</f>
        <v>4.0000000000000036E-3</v>
      </c>
    </row>
    <row r="51" spans="2:50" ht="15.75" thickBot="1" x14ac:dyDescent="0.3">
      <c r="AI51" s="783">
        <f>ROUND(((ROUND(AP51,6)*1000000)+AQ51),6)</f>
        <v>753000.52</v>
      </c>
      <c r="AJ51" s="780" t="b">
        <f>TRUE</f>
        <v>1</v>
      </c>
      <c r="AK51" s="48">
        <v>1913</v>
      </c>
      <c r="AL51" s="751">
        <f t="shared" si="20"/>
        <v>1913</v>
      </c>
      <c r="AM51" s="752">
        <v>0.75</v>
      </c>
      <c r="AN51" s="494">
        <f>INDEX($BA$14:$BA$18,MATCH(RIGHT($AK51,2),$AZ$14:$AZ$18,0))</f>
        <v>0.52</v>
      </c>
      <c r="AO51" s="753"/>
      <c r="AP51" s="496">
        <f>($AM51+AP$9)</f>
        <v>0.753</v>
      </c>
      <c r="AQ51" s="499">
        <f>($AN51-($AO51/2))</f>
        <v>0.52</v>
      </c>
      <c r="AR51" s="506">
        <f>IF($AO51&lt;0,$AO51/2,$AM51/2)</f>
        <v>0.375</v>
      </c>
      <c r="AS51" s="498">
        <f>($AM51+AS$9)</f>
        <v>0.749</v>
      </c>
      <c r="AT51" s="499">
        <f>($AM51+AT$9)</f>
        <v>0.751</v>
      </c>
      <c r="AU51" s="502">
        <f>($AP51+AU$9)</f>
        <v>0.754</v>
      </c>
      <c r="AV51" s="497">
        <f>($AP51+AV$9)</f>
        <v>0.75700000000000001</v>
      </c>
      <c r="AW51" s="502">
        <f>($AU51-$AT51)/2</f>
        <v>1.5000000000000013E-3</v>
      </c>
      <c r="AX51" s="499">
        <f>($AV51-$AS51)/2</f>
        <v>4.0000000000000036E-3</v>
      </c>
    </row>
    <row r="52" spans="2:50" x14ac:dyDescent="0.25">
      <c r="AI52" s="783">
        <f>ROUND(((ROUND(AP52,6)*1000000)+AQ52),6)</f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>($AM52+AP$9)+0.007</f>
        <v>0.39</v>
      </c>
      <c r="AQ52" s="771">
        <f>($AN52-($AO52/2))-0.001</f>
        <v>0.21199999999999999</v>
      </c>
      <c r="AR52" s="767">
        <f>IF($AO52&lt;0,$AO52/2,$AM52/2)</f>
        <v>0.19</v>
      </c>
      <c r="AS52" s="760">
        <f>($AM52+AS$9)</f>
        <v>0.379</v>
      </c>
      <c r="AT52" s="761">
        <f>($AM52+AT$9)</f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>($AU52-$AT52)/2</f>
        <v>4.0000000000000036E-3</v>
      </c>
      <c r="AX52" s="761">
        <f>($AV52-$AS52)/2</f>
        <v>6.5000000000000058E-3</v>
      </c>
    </row>
    <row r="53" spans="2:50" x14ac:dyDescent="0.25">
      <c r="AI53" s="783">
        <f>ROUND(((ROUND(AP53,6)*1000000)+AQ53),6)</f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>($AM53+AP$9)+0.007</f>
        <v>0.39</v>
      </c>
      <c r="AQ53" s="774">
        <f>AN53</f>
        <v>0.438</v>
      </c>
      <c r="AR53" s="177">
        <f>IF($AO53&lt;0,$AO53/2,$AM53/2)</f>
        <v>0.19</v>
      </c>
      <c r="AS53" s="4">
        <f>($AM53+AS$9)</f>
        <v>0.379</v>
      </c>
      <c r="AT53" s="8">
        <f>($AM53+AT$9)</f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>($AU53-$AT53)/2</f>
        <v>4.0000000000000036E-3</v>
      </c>
      <c r="AX53" s="8">
        <f>($AV53-$AS53)/2</f>
        <v>6.5000000000000058E-3</v>
      </c>
    </row>
    <row r="54" spans="2:50" x14ac:dyDescent="0.25">
      <c r="AI54" s="783">
        <f t="shared" ref="AI54:AI60" si="2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>($AM54+AP$9)+0.007</f>
        <v>0.51400000000000001</v>
      </c>
      <c r="AQ54" s="8">
        <f>($AN54-($AO54/2))</f>
        <v>0.45499999999999996</v>
      </c>
      <c r="AR54" s="177">
        <f>IF($AO54&lt;0,$AO54/2,$AM54/2)</f>
        <v>0.252</v>
      </c>
      <c r="AS54" s="4">
        <f>($AM54+AS$9)</f>
        <v>0.503</v>
      </c>
      <c r="AT54" s="8">
        <f>($AM54+AT$9)</f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>($AU54-$AT54)/2</f>
        <v>3.5000000000000031E-3</v>
      </c>
      <c r="AX54" s="8">
        <f>($AV54-$AS54)/2</f>
        <v>5.5000000000000049E-3</v>
      </c>
    </row>
    <row r="55" spans="2:50" x14ac:dyDescent="0.25">
      <c r="AI55" s="783">
        <f t="shared" si="2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>($AM55+AP$9)+0.007</f>
        <v>0.51400000000000001</v>
      </c>
      <c r="AQ55" s="774">
        <f>AN55</f>
        <v>0.71</v>
      </c>
      <c r="AR55" s="177">
        <f>IF($AO55&lt;0,$AO55/2,$AM55/2)</f>
        <v>0.252</v>
      </c>
      <c r="AS55" s="4">
        <f>($AM55+AS$9)</f>
        <v>0.503</v>
      </c>
      <c r="AT55" s="8">
        <f>($AM55+AT$9)</f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>($AU55-$AT55)/2</f>
        <v>3.5000000000000031E-3</v>
      </c>
      <c r="AX55" s="8">
        <f>($AV55-$AS55)/2</f>
        <v>5.5000000000000049E-3</v>
      </c>
    </row>
    <row r="56" spans="2:50" x14ac:dyDescent="0.25">
      <c r="AI56" s="783">
        <f t="shared" si="2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>($AM56+AP$9)+0.007</f>
        <v>0.51400000000000001</v>
      </c>
      <c r="AQ56" s="8">
        <f>($AN56-($AO56/2))</f>
        <v>0.41500000000000004</v>
      </c>
      <c r="AR56" s="177">
        <f>IF($AO56&lt;0,$AO56/2,$AM56/2)</f>
        <v>0.252</v>
      </c>
      <c r="AS56" s="4">
        <f>($AM56+AS$9)</f>
        <v>0.503</v>
      </c>
      <c r="AT56" s="8">
        <f>($AM56+AT$9)</f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>($AU56-$AT56)/2</f>
        <v>3.5000000000000031E-3</v>
      </c>
      <c r="AX56" s="8">
        <f>($AV56-$AS56)/2</f>
        <v>5.5000000000000049E-3</v>
      </c>
    </row>
    <row r="57" spans="2:50" x14ac:dyDescent="0.25">
      <c r="AI57" s="783">
        <f t="shared" si="2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>($AM57+AP$9)+0.007</f>
        <v>0.51400000000000001</v>
      </c>
      <c r="AQ57" s="774">
        <f>AN57</f>
        <v>0.67</v>
      </c>
      <c r="AR57" s="177">
        <f>IF($AO57&lt;0,$AO57/2,$AM57/2)</f>
        <v>0.252</v>
      </c>
      <c r="AS57" s="4">
        <f>($AM57+AS$9)</f>
        <v>0.503</v>
      </c>
      <c r="AT57" s="8">
        <f>($AM57+AT$9)</f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>($AU57-$AT57)/2</f>
        <v>3.5000000000000031E-3</v>
      </c>
      <c r="AX57" s="8">
        <f>($AV57-$AS57)/2</f>
        <v>5.5000000000000049E-3</v>
      </c>
    </row>
    <row r="58" spans="2:50" x14ac:dyDescent="0.25">
      <c r="AI58" s="783">
        <f t="shared" si="2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>IF($AO58&lt;0,$AO58/2,$AM58/2)</f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>($AU58-$AT58)/2</f>
        <v>2.150000000000013E-3</v>
      </c>
      <c r="AX58" s="8">
        <f>($AV58-$AS58)/2</f>
        <v>5.3499999999999936E-3</v>
      </c>
    </row>
    <row r="59" spans="2:50" x14ac:dyDescent="0.25">
      <c r="AI59" s="783">
        <f t="shared" si="2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>IF($AO59&lt;0,$AO59/2,$AM59/2)</f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>($AU59-$AT59)/2</f>
        <v>2.150000000000013E-3</v>
      </c>
      <c r="AX59" s="8">
        <f>($AV59-$AS59)/2</f>
        <v>5.3499999999999936E-3</v>
      </c>
    </row>
    <row r="60" spans="2:50" x14ac:dyDescent="0.25">
      <c r="AI60" s="783">
        <f t="shared" si="2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>IF($AO60&lt;0,$AO60/2,$AM60/2)</f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>($AU60-$AT60)/2</f>
        <v>3.0999999999999917E-3</v>
      </c>
      <c r="AX60" s="665">
        <f>($AV60-$AS60)/2</f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8.5 5646r00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6.2270000000000003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/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125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/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e">
        <f>CONCATENATE("Yeield Strength of Rock = ",IF(HW6&gt;1000,(ROUNDDOWN(HW6,-3)/1000),""), IF(HW6&gt;1000,",",""),RIGHT(HW6,3)," psi (Tangential Force)")</f>
        <v>#DIV/0!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39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1.114's θ about Z Axis</v>
      </c>
      <c r="U5" s="1268"/>
      <c r="V5" s="1269"/>
      <c r="W5" s="1268" t="str">
        <f>CONCATENATE("Relative to ",M8,"'s θ about Z Axis")</f>
        <v>Relative to 1.114's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0.25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1.114's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6.9444444444444447E-4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1.1140000000000001</v>
      </c>
      <c r="N8" s="551"/>
      <c r="O8" s="552"/>
      <c r="P8" s="562"/>
      <c r="Q8" s="554">
        <f>IFERROR(INDEX(Q$9:Q$150,MATCH($M$8,$M$9:$M$150,0)),"")</f>
        <v>89.386151180142193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-7.5265798812701123E-2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1.8126156273219993E-2</v>
      </c>
      <c r="C9" s="641">
        <f t="shared" si="2"/>
        <v>0.24990400512498639</v>
      </c>
      <c r="D9" s="642">
        <f t="shared" si="2"/>
        <v>-0.28178087754409609</v>
      </c>
      <c r="E9" s="643">
        <f t="shared" ref="E9:K9" si="3">R164</f>
        <v>-0.90630781366099966</v>
      </c>
      <c r="F9" s="641">
        <f t="shared" si="3"/>
        <v>-5.5162737096161395E-2</v>
      </c>
      <c r="G9" s="644">
        <f t="shared" si="3"/>
        <v>0.41900264836045925</v>
      </c>
      <c r="H9" s="643">
        <f t="shared" si="3"/>
        <v>0.2165</v>
      </c>
      <c r="I9" s="641">
        <f t="shared" si="3"/>
        <v>0.52</v>
      </c>
      <c r="J9" s="940">
        <f>IF(W164=0,"",W164)</f>
        <v>1.101</v>
      </c>
      <c r="K9" s="805">
        <f t="shared" si="3"/>
        <v>1113</v>
      </c>
      <c r="M9" s="163">
        <f t="shared" ref="M9:M40" si="4">IF(J9="","",VALUE(J9))</f>
        <v>1.101</v>
      </c>
      <c r="N9" s="566">
        <f t="shared" ref="N9:N40" si="5">IF(M9="","",B9)</f>
        <v>1.8126156273219993E-2</v>
      </c>
      <c r="O9" s="567">
        <f t="shared" ref="O9:O40" si="6">IF(M9="","",C9)</f>
        <v>0.24990400512498639</v>
      </c>
      <c r="P9" s="568">
        <f t="shared" ref="P9:P40" si="7">IF(M9="","",D9)</f>
        <v>-0.28178087754409609</v>
      </c>
      <c r="Q9" s="526">
        <f>IF(M9="","",IF(DEGREES(ATAN2(N9,O9))&lt;0,DEGREES(ATAN2(N9,O9))+360,IF(DEGREES(ATAN2(N9,O9))&gt;360,DEGREES(ATAN2(N9,O9))-360,DEGREES(ATAN2(N9,O9)))))</f>
        <v>85.85146016562112</v>
      </c>
      <c r="R9" s="567">
        <f>IF(M9="","",SQRT(N9^2+O9^2))</f>
        <v>0.25056051029392168</v>
      </c>
      <c r="S9" s="569">
        <f>IF(M9="","",P9)</f>
        <v>-0.28178087754409609</v>
      </c>
      <c r="T9" s="570">
        <f>IF(M9="","",X9*COS(RADIANS(W9)))</f>
        <v>0.25008385707352154</v>
      </c>
      <c r="U9" s="567">
        <f>IF(M9="","",X9*SIN(RADIANS(W9)))</f>
        <v>-1.5447774920061681E-2</v>
      </c>
      <c r="V9" s="571">
        <f>IF(M9="","",Y9)</f>
        <v>-0.28178087754409609</v>
      </c>
      <c r="W9" s="526">
        <f t="shared" ref="W9:W14" si="8">IF(M9="","",IF(Q9-$Q$8&lt;0,360+Q9-$Q$8,Q9-$Q$8))</f>
        <v>356.46530898547894</v>
      </c>
      <c r="X9" s="572">
        <f>IF(M9="","",R9)</f>
        <v>0.25056051029392168</v>
      </c>
      <c r="Y9" s="573">
        <f t="shared" ref="Y9:Y15" si="9">IF(M9="","",S9)</f>
        <v>-0.28178087754409609</v>
      </c>
      <c r="Z9" s="566">
        <f t="shared" ref="Z9:Z40" si="10">IF(M9="","",-E9)</f>
        <v>0.90630781366099966</v>
      </c>
      <c r="AA9" s="567">
        <f t="shared" ref="AA9:AA40" si="11">IF(M9="","",-F9)</f>
        <v>5.5162737096161395E-2</v>
      </c>
      <c r="AB9" s="567">
        <f t="shared" ref="AB9:AB40" si="12">IF(M9="","",-G9)</f>
        <v>-0.41900264836045925</v>
      </c>
      <c r="AC9" s="571">
        <f>IF(M9="","",SQRT(Z9^2+AA9^2+AB9^2))</f>
        <v>1</v>
      </c>
      <c r="AD9" s="574">
        <f>IF(M9="","",Z9*(1/SQRT(Z9^2+AA9^2+AB9^2)))</f>
        <v>0.90630781366099966</v>
      </c>
      <c r="AE9" s="567">
        <f>IF(M9="","",AA9*(1/SQRT(Z9^2+AA9^2+AB9^2)))</f>
        <v>5.5162737096161395E-2</v>
      </c>
      <c r="AF9" s="568">
        <f>IF(M9="","",AB9*(1/SQRT(Z9^2+AA9^2+AB9^2)))</f>
        <v>-0.41900264836045925</v>
      </c>
      <c r="AG9" s="542">
        <f>IF(M9="","",DEGREES(ATAN2(-AF9,AE9)))</f>
        <v>7.499998917134139</v>
      </c>
      <c r="AH9" s="543">
        <f>IF(M9="","",DEGREES(ACOS(AD9)))</f>
        <v>24.999996390447087</v>
      </c>
      <c r="AI9" s="526">
        <f>IF(M9="","",DEGREES(-ACOS(-AF9)))</f>
        <v>-65.228363484651624</v>
      </c>
      <c r="AJ9" s="544">
        <f>IF(M9="","",DEGREES(ATAN2(-AE9,AD9)))</f>
        <v>93.48303051940357</v>
      </c>
      <c r="AK9" s="570">
        <f>IF(M9="","",(COS(RADIANS((90-$Q$8)-W9))*AD9)+(-SIN(RADIANS((90-$Q$8)-W9))*AE9))</f>
        <v>0.89994254821870179</v>
      </c>
      <c r="AL9" s="567">
        <f>IF(M9="","",(SIN(RADIANS((90-$Q$8)-W9))*AD9)+(COS(RADIANS((90-$Q$8)-W9))*AE9))</f>
        <v>0.12058271257751321</v>
      </c>
      <c r="AM9" s="569">
        <f>IF(M9="","",AF9)</f>
        <v>-0.41900264836045925</v>
      </c>
      <c r="AN9" s="524">
        <f>IF(M9="","",DEGREES(ATAN2(-AM9,AL9)))</f>
        <v>16.055029261202971</v>
      </c>
      <c r="AO9" s="525">
        <f>IF(ROUND(IF(M9="",0,DEGREES(ACOS(AK9))),4)=90,0,IF(M9="","",DEGREES(ACOS(AK9))))</f>
        <v>25.849483515914986</v>
      </c>
      <c r="AP9" s="722">
        <f>IF(M9="","",DEGREES(ATAN2(AK9,AL9)))</f>
        <v>7.6315703537824593</v>
      </c>
      <c r="AQ9" s="527">
        <f t="shared" ref="AQ9:AQ40" si="13">IF(M9="","",DEGREES(ATAN(($AS$5*SIN(RADIANS(90)))/(($X9*2*PI())-($AS$5*COS(RADIANS(90)))))))</f>
        <v>9.0231647054658222</v>
      </c>
      <c r="AR9" s="979"/>
      <c r="AS9" s="953">
        <f>IF(M9="","",W9)</f>
        <v>356.46530898547894</v>
      </c>
      <c r="AT9" s="949">
        <f t="shared" ref="AT9:AT40" si="14">IF(M9="","",Y9+(((AS9-$AS$9)*$AS$6)*-1))</f>
        <v>-0.28178087754409609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1113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27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0.25056051029392168</v>
      </c>
      <c r="JP9" s="961">
        <f>AN9</f>
        <v>16.055029261202971</v>
      </c>
      <c r="JQ9" s="961">
        <f>AO9</f>
        <v>25.849483515914986</v>
      </c>
      <c r="JS9" s="82" cm="1">
        <f t="array" ref="JS9:JS48">_xlfn.UNIQUE(_xlfn.SORTBY(JM$9:JM$88,$JM$9:$JM$88))</f>
        <v>1</v>
      </c>
      <c r="JT9" s="322">
        <f>INDEX($JM$9:$JQ$88,MATCH($JS9,$JM$9:$JM$88,0),3)</f>
        <v>0.25056051029392168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25.849483515914986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1.9126095119260719E-2</v>
      </c>
      <c r="C10" s="572">
        <f>IFERROR(P165+($A10*-F10),"")</f>
        <v>0.8438657859943075</v>
      </c>
      <c r="D10" s="576">
        <f>IFERROR(Q165+($A10*-G10),"")</f>
        <v>-0.2118974084995941</v>
      </c>
      <c r="E10" s="580">
        <f t="shared" ref="E10:K10" si="93">R165</f>
        <v>-0.95630475596303555</v>
      </c>
      <c r="F10" s="572">
        <f t="shared" si="93"/>
        <v>-3.8162159851916365E-2</v>
      </c>
      <c r="G10" s="579">
        <f t="shared" si="93"/>
        <v>0.28987042497970711</v>
      </c>
      <c r="H10" s="580">
        <f t="shared" si="93"/>
        <v>0.2165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1113</v>
      </c>
      <c r="M10" s="164">
        <f t="shared" si="4"/>
        <v>1.1040000000000001</v>
      </c>
      <c r="N10" s="575">
        <f t="shared" si="5"/>
        <v>1.9126095119260719E-2</v>
      </c>
      <c r="O10" s="572">
        <f t="shared" si="6"/>
        <v>0.8438657859943075</v>
      </c>
      <c r="P10" s="576">
        <f t="shared" si="7"/>
        <v>-0.2118974084995941</v>
      </c>
      <c r="Q10" s="528">
        <f>IF(M10="","",IF(DEGREES(ATAN2(N10,O10))&lt;0,DEGREES(ATAN2(N10,O10))+360,IF(DEGREES(ATAN2(N10,O10))&gt;360,DEGREES(ATAN2(N10,O10))-360,DEGREES(ATAN2(N10,O10)))))</f>
        <v>88.701621796516065</v>
      </c>
      <c r="R10" s="572">
        <f t="shared" ref="R10:R105" si="95">IF(M10="","",SQRT(N10^2+O10^2))</f>
        <v>0.84408250324615863</v>
      </c>
      <c r="S10" s="577">
        <f t="shared" ref="S10:S105" si="96">IF(M10="","",P10)</f>
        <v>-0.2118974084995941</v>
      </c>
      <c r="T10" s="578">
        <f t="shared" ref="T10:T105" si="97">IF(M10="","",X10*COS(RADIANS(W10)))</f>
        <v>0.84402226273312697</v>
      </c>
      <c r="U10" s="572">
        <f t="shared" ref="U10:U105" si="98">IF(M10="","",X10*SIN(RADIANS(W10)))</f>
        <v>-1.0084259871397412E-2</v>
      </c>
      <c r="V10" s="579">
        <f>IF(M10="","",Y10)</f>
        <v>-0.2118974084995941</v>
      </c>
      <c r="W10" s="528">
        <f t="shared" si="8"/>
        <v>359.31547061637389</v>
      </c>
      <c r="X10" s="572">
        <f t="shared" ref="X10:X105" si="99">IF(M10="","",R10)</f>
        <v>0.84408250324615863</v>
      </c>
      <c r="Y10" s="573">
        <f t="shared" si="9"/>
        <v>-0.2118974084995941</v>
      </c>
      <c r="Z10" s="575">
        <f>IF(M10="","",-E10)</f>
        <v>0.95630475596303555</v>
      </c>
      <c r="AA10" s="572">
        <f t="shared" si="11"/>
        <v>3.8162159851916365E-2</v>
      </c>
      <c r="AB10" s="572">
        <f t="shared" si="12"/>
        <v>-0.28987042497970711</v>
      </c>
      <c r="AC10" s="579">
        <f t="shared" ref="AC10:AC105" si="100">IF(M10="","",SQRT(Z10^2+AA10^2+AB10^2))</f>
        <v>1</v>
      </c>
      <c r="AD10" s="580">
        <f>IF(M10="","",Z10*(1/SQRT(Z10^2+AA10^2+AB10^2)))</f>
        <v>0.95630475596303555</v>
      </c>
      <c r="AE10" s="572">
        <f t="shared" ref="AE10:AE105" si="101">IF(M10="","",AA10*(1/SQRT(Z10^2+AA10^2+AB10^2)))</f>
        <v>3.8162159851916365E-2</v>
      </c>
      <c r="AF10" s="576">
        <f t="shared" ref="AF10:AF105" si="102">IF(M10="","",AB10*(1/SQRT(Z10^2+AA10^2+AB10^2)))</f>
        <v>-0.28987042497970711</v>
      </c>
      <c r="AG10" s="545">
        <f t="shared" ref="AG10:AG105" si="103">IF(M10="","",DEGREES(ATAN2(-AF10,AE10)))</f>
        <v>7.4999989171341337</v>
      </c>
      <c r="AH10" s="546">
        <f t="shared" ref="AH10:AH105" si="104">IF(M10="","",DEGREES(ACOS(AD10)))</f>
        <v>16.999999999999986</v>
      </c>
      <c r="AI10" s="528">
        <f t="shared" ref="AI10:AI105" si="105">IF(M10="","",DEGREES(-ACOS(-AF10)))</f>
        <v>-73.149801284535968</v>
      </c>
      <c r="AJ10" s="529">
        <f t="shared" ref="AJ10:AJ105" si="106">IF(M10="","",DEGREES(ATAN2(-AE10,AD10)))</f>
        <v>92.28522458334561</v>
      </c>
      <c r="AK10" s="578">
        <f>IF(M10="","",(COS(RADIANS((90-$Q$8)-W10))*AD10)+(-SIN(RADIANS((90-$Q$8)-W10))*AE10))</f>
        <v>0.95519450804968031</v>
      </c>
      <c r="AL10" s="572">
        <f t="shared" ref="AL10:AL105" si="107">IF(M10="","",(SIN(RADIANS((90-$Q$8)-W10))*AD10)+(COS(RADIANS((90-$Q$8)-W10))*AE10))</f>
        <v>5.982130484880184E-2</v>
      </c>
      <c r="AM10" s="577">
        <f t="shared" ref="AM10:AM105" si="108">IF(M10="","",AF10)</f>
        <v>-0.28987042497970711</v>
      </c>
      <c r="AN10" s="524">
        <f t="shared" ref="AN10:AN105" si="109">IF(M10="","",DEGREES(ATAN2(-AM10,AL10)))</f>
        <v>11.660576667696859</v>
      </c>
      <c r="AO10" s="525">
        <f t="shared" ref="AO10:AO54" si="110">IF(ROUND(IF(M10="",0,DEGREES(ACOS(AK10))),4)=90,0,IF(M10="","",DEGREES(ACOS(AK10))))</f>
        <v>17.21623995666684</v>
      </c>
      <c r="AP10" s="528">
        <f t="shared" ref="AP10:AP105" si="111">IF(M10="","",DEGREES(ATAN2(AK10,AL10)))</f>
        <v>3.583602786829533</v>
      </c>
      <c r="AQ10" s="529">
        <f t="shared" si="13"/>
        <v>2.69883610701303</v>
      </c>
      <c r="AR10" s="979"/>
      <c r="AS10" s="954">
        <f>IF($M10="","",IF(AND($W10&lt;($AS$9+180),$W10&gt;($AS$9-180)),$W10,IF($W10&gt;($AS$9+180),$W10-360,IF($W10&lt;($AS$9-180),$W10+360,"Error"))))</f>
        <v>359.31547061637389</v>
      </c>
      <c r="AT10" s="950">
        <f t="shared" si="14"/>
        <v>-0.21387668740993782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1113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1113</v>
      </c>
      <c r="JD10" s="728" cm="1">
        <f t="array" ref="JD10">IF($JC10="","",COUNT(IF(IF($IK$9:$IK$150="",$IL$9:$IL$150,"")=$JC10,$II$9:$II$150,"")))</f>
        <v>12</v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0.15551495911896188</v>
      </c>
      <c r="JO10" s="162">
        <f t="shared" ref="JO10:JO70" si="134">X10</f>
        <v>0.84408250324615863</v>
      </c>
      <c r="JP10" s="961">
        <f t="shared" ref="JP10:JP70" si="135">AN10</f>
        <v>11.660576667696859</v>
      </c>
      <c r="JQ10" s="961">
        <f t="shared" ref="JQ10:JQ70" si="136">AO10</f>
        <v>17.21623995666684</v>
      </c>
      <c r="JS10" s="82">
        <v>2</v>
      </c>
      <c r="JT10" s="322">
        <f t="shared" ref="JT10:JT53" si="137">INDEX($JM$9:$JQ$88,MATCH($JS10,$JM$9:$JM$88,0),3)</f>
        <v>0.44826298744204524</v>
      </c>
      <c r="JU10" s="963">
        <f t="shared" ref="JU10:JU53" si="138">INDEX($JM$9:$JQ$88,MATCH($JS10,$JM$9:$JM$88,0),2)</f>
        <v>5.1802111828200034E-2</v>
      </c>
      <c r="JV10" s="961">
        <v>9</v>
      </c>
      <c r="JW10" s="961">
        <f t="shared" si="92"/>
        <v>22.426835771947641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9.8815649498791842</v>
      </c>
      <c r="KD10" s="969">
        <v>6</v>
      </c>
      <c r="KE10" s="968">
        <f t="shared" ref="KE10:KE48" si="140">KD10-KC10</f>
        <v>-3.8815649498791842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1.9126095119258526E-2</v>
      </c>
      <c r="C11" s="572">
        <f t="shared" si="142"/>
        <v>1.4026674713401903</v>
      </c>
      <c r="D11" s="576">
        <f t="shared" si="142"/>
        <v>-0.13729740849959246</v>
      </c>
      <c r="E11" s="580">
        <f>R166</f>
        <v>-0.95630475596303555</v>
      </c>
      <c r="F11" s="572">
        <f t="shared" ref="F11:K11" si="143">S166</f>
        <v>-3.8162159851916365E-2</v>
      </c>
      <c r="G11" s="579">
        <f t="shared" si="143"/>
        <v>0.28987042497970711</v>
      </c>
      <c r="H11" s="580">
        <f t="shared" si="143"/>
        <v>0.2165</v>
      </c>
      <c r="I11" s="572">
        <f t="shared" si="143"/>
        <v>0.52</v>
      </c>
      <c r="J11" s="483">
        <f t="shared" si="94"/>
        <v>1.107</v>
      </c>
      <c r="K11" s="806">
        <f t="shared" si="143"/>
        <v>1113</v>
      </c>
      <c r="L11" s="720" t="s">
        <v>323</v>
      </c>
      <c r="M11" s="164">
        <f t="shared" si="4"/>
        <v>1.107</v>
      </c>
      <c r="N11" s="575">
        <f t="shared" si="5"/>
        <v>1.9126095119258526E-2</v>
      </c>
      <c r="O11" s="572">
        <f t="shared" si="6"/>
        <v>1.4026674713401903</v>
      </c>
      <c r="P11" s="576">
        <f t="shared" si="7"/>
        <v>-0.13729740849959246</v>
      </c>
      <c r="Q11" s="528">
        <f t="shared" ref="Q11:Q73" si="144">IF(M11="","",IF(DEGREES(ATAN2(N11,O11))&lt;0,DEGREES(ATAN2(N11,O11))+360,IF(DEGREES(ATAN2(N11,O11))&gt;360,DEGREES(ATAN2(N11,O11))-360,DEGREES(ATAN2(N11,O11)))))</f>
        <v>89.218790880192344</v>
      </c>
      <c r="R11" s="572">
        <f t="shared" si="95"/>
        <v>1.4027978623701971</v>
      </c>
      <c r="S11" s="577">
        <f t="shared" si="96"/>
        <v>-0.13729740849959246</v>
      </c>
      <c r="T11" s="578">
        <f t="shared" si="97"/>
        <v>1.4027918779177935</v>
      </c>
      <c r="U11" s="572">
        <f t="shared" si="98"/>
        <v>-4.0975502760784606E-3</v>
      </c>
      <c r="V11" s="579">
        <f t="shared" ref="V11:V105" si="145">IF(M11="","",Y11)</f>
        <v>-0.13729740849959246</v>
      </c>
      <c r="W11" s="528">
        <f t="shared" si="8"/>
        <v>359.83263970005015</v>
      </c>
      <c r="X11" s="572">
        <f>IF(M11="","",R11)</f>
        <v>1.4027978623701971</v>
      </c>
      <c r="Y11" s="573">
        <f t="shared" si="9"/>
        <v>-0.13729740849959246</v>
      </c>
      <c r="Z11" s="575">
        <f t="shared" si="10"/>
        <v>0.95630475596303555</v>
      </c>
      <c r="AA11" s="572">
        <f t="shared" si="11"/>
        <v>3.8162159851916365E-2</v>
      </c>
      <c r="AB11" s="572">
        <f t="shared" si="12"/>
        <v>-0.28987042497970711</v>
      </c>
      <c r="AC11" s="579">
        <f t="shared" si="100"/>
        <v>1</v>
      </c>
      <c r="AD11" s="580">
        <f t="shared" ref="AD11:AD105" si="146">IF(M11="","",Z11*(1/SQRT(Z11^2+AA11^2+AB11^2)))</f>
        <v>0.95630475596303555</v>
      </c>
      <c r="AE11" s="572">
        <f t="shared" si="101"/>
        <v>3.8162159851916365E-2</v>
      </c>
      <c r="AF11" s="576">
        <f t="shared" si="102"/>
        <v>-0.28987042497970711</v>
      </c>
      <c r="AG11" s="545">
        <f>IF(M11="","",DEGREES(ATAN2(-AF11,AE11)))</f>
        <v>7.4999989171341337</v>
      </c>
      <c r="AH11" s="546">
        <f t="shared" si="104"/>
        <v>16.999999999999986</v>
      </c>
      <c r="AI11" s="528">
        <f t="shared" si="105"/>
        <v>-73.149801284535968</v>
      </c>
      <c r="AJ11" s="529">
        <f t="shared" si="106"/>
        <v>92.28522458334561</v>
      </c>
      <c r="AK11" s="578">
        <f>IF(M11="","",(COS(RADIANS((90-$Q$8)-W11))*AD11)+(-SIN(RADIANS((90-$Q$8)-W11))*AE11))</f>
        <v>0.95569555439213316</v>
      </c>
      <c r="AL11" s="572">
        <f t="shared" si="107"/>
        <v>5.1197109656675011E-2</v>
      </c>
      <c r="AM11" s="577">
        <f t="shared" si="108"/>
        <v>-0.28987042497970711</v>
      </c>
      <c r="AN11" s="524">
        <f>IF(M11="","",DEGREES(ATAN2(-AM11,AL11)))</f>
        <v>10.016319124518564</v>
      </c>
      <c r="AO11" s="525">
        <f>IF(ROUND(IF(M11="",0,DEGREES(ACOS(AK11))),4)=90,0,IF(M11="","",DEGREES(ACOS(AK11))))</f>
        <v>17.118980611354534</v>
      </c>
      <c r="AP11" s="528">
        <f t="shared" si="111"/>
        <v>3.0664337031532667</v>
      </c>
      <c r="AQ11" s="529">
        <f>IF(M11="","",DEGREES(ATAN(($AS$5*SIN(RADIANS(90)))/(($X11*2*PI())-($AS$5*COS(RADIANS(90)))))))</f>
        <v>1.6246927912009124</v>
      </c>
      <c r="AR11" s="979"/>
      <c r="AS11" s="954">
        <f t="shared" ref="AS11:AS42" si="147">IF(G11="","",IF(AND(W11&lt;(AS10+180),W11&gt;(AS10-180)),W11,IF(W11&gt;(AS10+180),W11-360,IF(W11&lt;(AS10-180),W11+360,"Error"))))</f>
        <v>359.83263970005015</v>
      </c>
      <c r="AT11" s="950">
        <f t="shared" si="14"/>
        <v>-0.13963583260693357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1113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0.30190986489341937</v>
      </c>
      <c r="JO11" s="162">
        <f t="shared" si="134"/>
        <v>1.4027978623701971</v>
      </c>
      <c r="JP11" s="961">
        <f t="shared" si="135"/>
        <v>10.016319124518564</v>
      </c>
      <c r="JQ11" s="961">
        <f t="shared" si="136"/>
        <v>17.118980611354534</v>
      </c>
      <c r="JS11" s="82">
        <v>3</v>
      </c>
      <c r="JT11" s="322">
        <f t="shared" si="137"/>
        <v>0.64632854961976494</v>
      </c>
      <c r="JU11" s="963">
        <f t="shared" si="138"/>
        <v>0.10369935939560576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7.7662478592498605</v>
      </c>
      <c r="KD11" s="969">
        <v>4</v>
      </c>
      <c r="KE11" s="968">
        <f t="shared" si="140"/>
        <v>-3.7662478592498605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1.9126095369759146E-2</v>
      </c>
      <c r="C12" s="572">
        <f t="shared" si="245"/>
        <v>1.9613691562775264</v>
      </c>
      <c r="D12" s="576">
        <f t="shared" si="245"/>
        <v>-6.2697579298177819E-2</v>
      </c>
      <c r="E12" s="580">
        <f t="shared" ref="E12:K12" si="246">R167</f>
        <v>-0.95630476848795665</v>
      </c>
      <c r="F12" s="572">
        <f t="shared" si="246"/>
        <v>-3.8162154504627892E-2</v>
      </c>
      <c r="G12" s="579">
        <f t="shared" si="246"/>
        <v>0.28987038436301249</v>
      </c>
      <c r="H12" s="580">
        <f t="shared" si="246"/>
        <v>0.2165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1113</v>
      </c>
      <c r="L12" s="716" t="s">
        <v>357</v>
      </c>
      <c r="M12" s="164">
        <f t="shared" si="4"/>
        <v>1.1100000000000001</v>
      </c>
      <c r="N12" s="575">
        <f t="shared" si="5"/>
        <v>1.9126095369759146E-2</v>
      </c>
      <c r="O12" s="572">
        <f t="shared" si="6"/>
        <v>1.9613691562775264</v>
      </c>
      <c r="P12" s="576">
        <f t="shared" si="7"/>
        <v>-6.2697579298177819E-2</v>
      </c>
      <c r="Q12" s="528">
        <f>IF(M12="","",IF(DEGREES(ATAN2(N12,O12))&lt;0,DEGREES(ATAN2(N12,O12))+360,IF(DEGREES(ATAN2(N12,O12))&gt;360,DEGREES(ATAN2(N12,O12))-360,DEGREES(ATAN2(N12,O12)))))</f>
        <v>89.441303638747058</v>
      </c>
      <c r="R12" s="572">
        <f t="shared" si="95"/>
        <v>1.9614624071648452</v>
      </c>
      <c r="S12" s="577">
        <f t="shared" si="96"/>
        <v>-6.2697579298177819E-2</v>
      </c>
      <c r="T12" s="578">
        <f>IF(M12="","",X12*COS(RADIANS(W12)))</f>
        <v>1.9614614984357157</v>
      </c>
      <c r="U12" s="572">
        <f t="shared" si="98"/>
        <v>1.8880877165698233E-3</v>
      </c>
      <c r="V12" s="579">
        <f t="shared" si="145"/>
        <v>-6.2697579298177819E-2</v>
      </c>
      <c r="W12" s="528">
        <f>IF(M12="","",IF(Q12-$Q$8&lt;0,360+Q12-$Q$8,Q12-$Q$8))</f>
        <v>5.5152458604865728E-2</v>
      </c>
      <c r="X12" s="572">
        <f t="shared" si="99"/>
        <v>1.9614624071648452</v>
      </c>
      <c r="Y12" s="573">
        <f t="shared" si="9"/>
        <v>-6.2697579298177819E-2</v>
      </c>
      <c r="Z12" s="575">
        <f t="shared" si="10"/>
        <v>0.95630476848795665</v>
      </c>
      <c r="AA12" s="572">
        <f t="shared" si="11"/>
        <v>3.8162154504627892E-2</v>
      </c>
      <c r="AB12" s="572">
        <f t="shared" si="12"/>
        <v>-0.28987038436301249</v>
      </c>
      <c r="AC12" s="579">
        <f t="shared" si="100"/>
        <v>1</v>
      </c>
      <c r="AD12" s="580">
        <f t="shared" si="146"/>
        <v>0.95630476848795665</v>
      </c>
      <c r="AE12" s="572">
        <f t="shared" si="101"/>
        <v>3.8162154504627892E-2</v>
      </c>
      <c r="AF12" s="576">
        <f t="shared" si="102"/>
        <v>-0.28987038436301249</v>
      </c>
      <c r="AG12" s="545">
        <f t="shared" si="103"/>
        <v>7.4999989171341399</v>
      </c>
      <c r="AH12" s="546">
        <f t="shared" si="104"/>
        <v>16.999997545504019</v>
      </c>
      <c r="AI12" s="528">
        <f t="shared" si="105"/>
        <v>-73.149803716098063</v>
      </c>
      <c r="AJ12" s="529">
        <f t="shared" si="106"/>
        <v>92.285224233580692</v>
      </c>
      <c r="AK12" s="578">
        <f t="shared" ref="AK12:AK105" si="247">IF(M12="","",(COS(RADIANS((90-$Q$8)-W12))*AD12)+(-SIN(RADIANS((90-$Q$8)-W12))*AE12))</f>
        <v>0.95588718756884872</v>
      </c>
      <c r="AL12" s="572">
        <f>IF(M12="","",(SIN(RADIANS((90-$Q$8)-W12))*AD12)+(COS(RADIANS((90-$Q$8)-W12))*AE12))</f>
        <v>4.7485207285598109E-2</v>
      </c>
      <c r="AM12" s="577">
        <f t="shared" si="108"/>
        <v>-0.28987038436301249</v>
      </c>
      <c r="AN12" s="524">
        <f>IF(M12="","",DEGREES(ATAN2(-AM12,AL12)))</f>
        <v>9.3032938850138986</v>
      </c>
      <c r="AO12" s="525">
        <f t="shared" si="110"/>
        <v>17.081640225930322</v>
      </c>
      <c r="AP12" s="528">
        <f t="shared" si="111"/>
        <v>2.8439205948336324</v>
      </c>
      <c r="AQ12" s="529">
        <f t="shared" si="13"/>
        <v>1.1620992608220293</v>
      </c>
      <c r="AR12" s="979"/>
      <c r="AS12" s="954">
        <f t="shared" si="147"/>
        <v>360.05515245860488</v>
      </c>
      <c r="AT12" s="950">
        <f>IF(M12="","",Y12+(((AS12-$AS$9)*$AS$6)*-1))</f>
        <v>-6.5190526154515274E-2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1113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0.44829145626933453</v>
      </c>
      <c r="JO12" s="162">
        <f t="shared" si="134"/>
        <v>1.9614624071648452</v>
      </c>
      <c r="JP12" s="961">
        <f t="shared" si="135"/>
        <v>9.3032938850138986</v>
      </c>
      <c r="JQ12" s="961">
        <f t="shared" si="136"/>
        <v>17.081640225930322</v>
      </c>
      <c r="JS12" s="82">
        <v>4</v>
      </c>
      <c r="JT12" s="322">
        <f t="shared" si="137"/>
        <v>0.84408250324615863</v>
      </c>
      <c r="JU12" s="963">
        <f t="shared" si="138"/>
        <v>0.15551495911896188</v>
      </c>
      <c r="JV12" s="964">
        <v>3</v>
      </c>
      <c r="JW12" s="961">
        <f t="shared" si="92"/>
        <v>17.21623995666684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5.6571108643984731</v>
      </c>
      <c r="KD12" s="968">
        <v>3</v>
      </c>
      <c r="KE12" s="968">
        <f t="shared" si="140"/>
        <v>-2.6571108643984731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2.767457527075301E-2</v>
      </c>
      <c r="C13" s="572">
        <f t="shared" si="259"/>
        <v>2.5830068300846363</v>
      </c>
      <c r="D13" s="576">
        <f t="shared" si="259"/>
        <v>-7.5265798812701123E-2</v>
      </c>
      <c r="E13" s="580">
        <f t="shared" ref="E13:K13" si="260">R168</f>
        <v>-0.95570275918628433</v>
      </c>
      <c r="F13" s="572">
        <f t="shared" si="260"/>
        <v>5.9339246813211524E-2</v>
      </c>
      <c r="G13" s="579">
        <f t="shared" si="260"/>
        <v>0.28828994063505559</v>
      </c>
      <c r="H13" s="580">
        <f t="shared" si="260"/>
        <v>0.26450000000000001</v>
      </c>
      <c r="I13" s="572">
        <f t="shared" si="260"/>
        <v>0.52</v>
      </c>
      <c r="J13" s="483">
        <f t="shared" si="94"/>
        <v>1.1140000000000001</v>
      </c>
      <c r="K13" s="806">
        <f t="shared" si="260"/>
        <v>1313</v>
      </c>
      <c r="L13" s="717">
        <f>IF($L12=$JJ$22,$JJ$29,IF($L12=$JK$22,$JK$29,""))</f>
        <v>0</v>
      </c>
      <c r="M13" s="164">
        <f t="shared" si="4"/>
        <v>1.1140000000000001</v>
      </c>
      <c r="N13" s="575">
        <f t="shared" si="5"/>
        <v>2.767457527075301E-2</v>
      </c>
      <c r="O13" s="572">
        <f t="shared" si="6"/>
        <v>2.5830068300846363</v>
      </c>
      <c r="P13" s="576">
        <f t="shared" si="7"/>
        <v>-7.5265798812701123E-2</v>
      </c>
      <c r="Q13" s="528">
        <f t="shared" si="144"/>
        <v>89.386151180142193</v>
      </c>
      <c r="R13" s="572">
        <f t="shared" si="95"/>
        <v>2.5831550798162115</v>
      </c>
      <c r="S13" s="577">
        <f t="shared" si="96"/>
        <v>-7.5265798812701123E-2</v>
      </c>
      <c r="T13" s="578">
        <f>IF(M13="","",X13*COS(RADIANS(W13)))</f>
        <v>2.5831550798162115</v>
      </c>
      <c r="U13" s="572">
        <f t="shared" si="98"/>
        <v>0</v>
      </c>
      <c r="V13" s="579">
        <f t="shared" si="145"/>
        <v>-7.5265798812701123E-2</v>
      </c>
      <c r="W13" s="528">
        <f t="shared" si="8"/>
        <v>0</v>
      </c>
      <c r="X13" s="572">
        <f t="shared" si="99"/>
        <v>2.5831550798162115</v>
      </c>
      <c r="Y13" s="573">
        <f t="shared" si="9"/>
        <v>-7.5265798812701123E-2</v>
      </c>
      <c r="Z13" s="575">
        <f t="shared" si="10"/>
        <v>0.95570275918628433</v>
      </c>
      <c r="AA13" s="572">
        <f t="shared" si="11"/>
        <v>-5.9339246813211524E-2</v>
      </c>
      <c r="AB13" s="572">
        <f t="shared" si="12"/>
        <v>-0.28828994063505559</v>
      </c>
      <c r="AC13" s="579">
        <f t="shared" si="100"/>
        <v>1</v>
      </c>
      <c r="AD13" s="580">
        <f>IF(M13="","",Z13*(1/SQRT(Z13^2+AA13^2+AB13^2)))</f>
        <v>0.95570275918628433</v>
      </c>
      <c r="AE13" s="572">
        <f t="shared" si="101"/>
        <v>-5.9339246813211524E-2</v>
      </c>
      <c r="AF13" s="576">
        <f t="shared" si="102"/>
        <v>-0.28828994063505559</v>
      </c>
      <c r="AG13" s="545">
        <f>IF(M13="","",DEGREES(ATAN2(-AF13,AE13)))</f>
        <v>-11.630857077042652</v>
      </c>
      <c r="AH13" s="546">
        <f t="shared" si="104"/>
        <v>17.117578161992284</v>
      </c>
      <c r="AI13" s="528">
        <f t="shared" si="105"/>
        <v>-73.244395072577476</v>
      </c>
      <c r="AJ13" s="529">
        <f t="shared" si="106"/>
        <v>86.44708624108091</v>
      </c>
      <c r="AK13" s="578">
        <f t="shared" si="247"/>
        <v>0.95628364021299905</v>
      </c>
      <c r="AL13" s="572">
        <f t="shared" si="107"/>
        <v>-4.9096940735768854E-2</v>
      </c>
      <c r="AM13" s="577">
        <f t="shared" si="108"/>
        <v>-0.28828994063505559</v>
      </c>
      <c r="AN13" s="524">
        <f t="shared" si="109"/>
        <v>-9.6649752074063997</v>
      </c>
      <c r="AO13" s="525">
        <f t="shared" si="110"/>
        <v>17.004137542976643</v>
      </c>
      <c r="AP13" s="528">
        <f t="shared" si="111"/>
        <v>-2.9390649390612813</v>
      </c>
      <c r="AQ13" s="529">
        <f t="shared" si="13"/>
        <v>0.88246593540047258</v>
      </c>
      <c r="AR13" s="979"/>
      <c r="AS13" s="954">
        <f t="shared" si="147"/>
        <v>360</v>
      </c>
      <c r="AT13" s="950">
        <f t="shared" si="14"/>
        <v>-7.7720445350562967E-2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1.1140000000000001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14</v>
      </c>
      <c r="JN13" s="960">
        <f>($JO13-SMALL($JO$9:$JO$88,1))/((Settings!$C$19/2)-((Settings!$C$19/2)-LARGE($JO$9:$JO$88,1))-SMALL($JO$9:$JO$88,1))</f>
        <v>0.61118771238113767</v>
      </c>
      <c r="JO13" s="162">
        <f t="shared" si="134"/>
        <v>2.5831550798162115</v>
      </c>
      <c r="JP13" s="961">
        <f t="shared" si="135"/>
        <v>-9.6649752074063997</v>
      </c>
      <c r="JQ13" s="961">
        <f t="shared" si="136"/>
        <v>17.004137542976643</v>
      </c>
      <c r="JS13" s="82">
        <v>5</v>
      </c>
      <c r="JT13" s="322">
        <f t="shared" si="137"/>
        <v>1.0304438634410773</v>
      </c>
      <c r="JU13" s="963">
        <f t="shared" si="138"/>
        <v>0.20434546524377739</v>
      </c>
      <c r="JV13" s="964">
        <v>3</v>
      </c>
      <c r="JW13" s="961">
        <f t="shared" si="92"/>
        <v>17.170267774712219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3.5477464971575712</v>
      </c>
      <c r="KD13" s="968">
        <v>3</v>
      </c>
      <c r="KE13" s="968">
        <f t="shared" si="140"/>
        <v>-0.54774649715757118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5.9549320637408809E-2</v>
      </c>
      <c r="C14" s="572">
        <f t="shared" si="262"/>
        <v>3.2636758118895055</v>
      </c>
      <c r="D14" s="576">
        <f t="shared" si="262"/>
        <v>-0.31861457545926775</v>
      </c>
      <c r="E14" s="580">
        <f t="shared" ref="E14:K14" si="263">R169</f>
        <v>-0.96189602391916296</v>
      </c>
      <c r="F14" s="572">
        <f t="shared" si="263"/>
        <v>0.17426819322275297</v>
      </c>
      <c r="G14" s="579">
        <f t="shared" si="263"/>
        <v>0.21068136130038284</v>
      </c>
      <c r="H14" s="580">
        <f t="shared" si="263"/>
        <v>0.26450000000000001</v>
      </c>
      <c r="I14" s="572">
        <f t="shared" si="263"/>
        <v>0.52</v>
      </c>
      <c r="J14" s="483">
        <f t="shared" si="94"/>
        <v>1.1200000000000001</v>
      </c>
      <c r="K14" s="806">
        <f t="shared" si="263"/>
        <v>1313</v>
      </c>
      <c r="L14" s="719" t="s">
        <v>358</v>
      </c>
      <c r="M14" s="164">
        <f t="shared" si="4"/>
        <v>1.1200000000000001</v>
      </c>
      <c r="N14" s="575">
        <f t="shared" si="5"/>
        <v>5.9549320637408809E-2</v>
      </c>
      <c r="O14" s="572">
        <f t="shared" si="6"/>
        <v>3.2636758118895055</v>
      </c>
      <c r="P14" s="576">
        <f t="shared" si="7"/>
        <v>-0.31861457545926775</v>
      </c>
      <c r="Q14" s="528">
        <f t="shared" si="144"/>
        <v>88.954692075673961</v>
      </c>
      <c r="R14" s="572">
        <f t="shared" si="95"/>
        <v>3.2642190377946454</v>
      </c>
      <c r="S14" s="577">
        <f>IF(M14="","",P14)</f>
        <v>-0.31861457545926775</v>
      </c>
      <c r="T14" s="578">
        <f t="shared" si="97"/>
        <v>3.2641264867647144</v>
      </c>
      <c r="U14" s="572">
        <f t="shared" si="98"/>
        <v>-2.458058384259839E-2</v>
      </c>
      <c r="V14" s="579">
        <f t="shared" si="145"/>
        <v>-0.31861457545926775</v>
      </c>
      <c r="W14" s="528">
        <f t="shared" si="8"/>
        <v>359.56854089553178</v>
      </c>
      <c r="X14" s="572">
        <f t="shared" si="99"/>
        <v>3.2642190377946454</v>
      </c>
      <c r="Y14" s="573">
        <f t="shared" si="9"/>
        <v>-0.31861457545926775</v>
      </c>
      <c r="Z14" s="575">
        <f t="shared" si="10"/>
        <v>0.96189602391916296</v>
      </c>
      <c r="AA14" s="572">
        <f t="shared" si="11"/>
        <v>-0.17426819322275297</v>
      </c>
      <c r="AB14" s="572">
        <f t="shared" si="12"/>
        <v>-0.21068136130038284</v>
      </c>
      <c r="AC14" s="579">
        <f t="shared" si="100"/>
        <v>1</v>
      </c>
      <c r="AD14" s="580">
        <f>IF(M14="","",Z14*(1/SQRT(Z14^2+AA14^2+AB14^2)))</f>
        <v>0.96189602391916296</v>
      </c>
      <c r="AE14" s="572">
        <f t="shared" si="101"/>
        <v>-0.17426819322275297</v>
      </c>
      <c r="AF14" s="576">
        <f t="shared" si="102"/>
        <v>-0.21068136130038284</v>
      </c>
      <c r="AG14" s="545">
        <f t="shared" si="103"/>
        <v>-39.596353057401799</v>
      </c>
      <c r="AH14" s="546">
        <f t="shared" si="104"/>
        <v>15.867610926171832</v>
      </c>
      <c r="AI14" s="528">
        <f t="shared" si="105"/>
        <v>-77.83771526373323</v>
      </c>
      <c r="AJ14" s="529">
        <f t="shared" si="106"/>
        <v>79.731021327181281</v>
      </c>
      <c r="AK14" s="578">
        <f>IF(M14="","",(COS(RADIANS((90-$Q$8)-W14))*AD14)+(-SIN(RADIANS((90-$Q$8)-W14))*AE14))</f>
        <v>0.96491513065274104</v>
      </c>
      <c r="AL14" s="572">
        <f t="shared" si="107"/>
        <v>-0.15669127173528619</v>
      </c>
      <c r="AM14" s="577">
        <f t="shared" si="108"/>
        <v>-0.21068136130038284</v>
      </c>
      <c r="AN14" s="524">
        <f t="shared" si="109"/>
        <v>-36.639502470632927</v>
      </c>
      <c r="AO14" s="525">
        <f t="shared" si="110"/>
        <v>15.222135135657478</v>
      </c>
      <c r="AP14" s="528">
        <f>IF(M14="","",DEGREES(ATAN2(AK14,AL14)))</f>
        <v>-9.2236707484927027</v>
      </c>
      <c r="AQ14" s="529">
        <f t="shared" si="13"/>
        <v>0.69836420534691313</v>
      </c>
      <c r="AR14" s="979"/>
      <c r="AS14" s="954">
        <f t="shared" si="147"/>
        <v>359.56854089553178</v>
      </c>
      <c r="AT14" s="950">
        <f>IF(M14="","",Y14+(((AS14-$AS$9)*$AS$6)*-1))</f>
        <v>-0.32076959761902668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1.1200000000000001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20</v>
      </c>
      <c r="JN14" s="960">
        <f>($JO14-SMALL($JO$9:$JO$88,1))/((Settings!$C$19/2)-((Settings!$C$19/2)-LARGE($JO$9:$JO$88,1))-SMALL($JO$9:$JO$88,1))</f>
        <v>0.78964046533740073</v>
      </c>
      <c r="JO14" s="162">
        <f t="shared" si="134"/>
        <v>3.2642190377946454</v>
      </c>
      <c r="JP14" s="961">
        <f t="shared" si="135"/>
        <v>-36.639502470632927</v>
      </c>
      <c r="JQ14" s="961">
        <f t="shared" si="136"/>
        <v>15.222135135657478</v>
      </c>
      <c r="JS14" s="82">
        <v>6</v>
      </c>
      <c r="JT14" s="322">
        <f t="shared" si="137"/>
        <v>1.2166172570097153</v>
      </c>
      <c r="JU14" s="963">
        <f t="shared" si="138"/>
        <v>0.25312672024976518</v>
      </c>
      <c r="JV14" s="964">
        <v>3</v>
      </c>
      <c r="JW14" s="961">
        <f t="shared" si="92"/>
        <v>17.140167563157384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9.602285986070469E-2</v>
      </c>
      <c r="C15" s="572">
        <f t="shared" si="266"/>
        <v>3.7503850041962394</v>
      </c>
      <c r="D15" s="576">
        <f t="shared" si="266"/>
        <v>-0.80669236353069718</v>
      </c>
      <c r="E15" s="580">
        <f t="shared" ref="E15:K15" si="267">R170</f>
        <v>-0.92351444528805571</v>
      </c>
      <c r="F15" s="572">
        <f t="shared" si="267"/>
        <v>0.32129738505634142</v>
      </c>
      <c r="G15" s="579">
        <f t="shared" si="267"/>
        <v>0.20949715916988443</v>
      </c>
      <c r="H15" s="580">
        <f t="shared" si="267"/>
        <v>0.26450000000000001</v>
      </c>
      <c r="I15" s="572">
        <f t="shared" si="267"/>
        <v>0.52</v>
      </c>
      <c r="J15" s="483">
        <f t="shared" si="94"/>
        <v>1.1259999999999999</v>
      </c>
      <c r="K15" s="806">
        <f t="shared" si="267"/>
        <v>1313</v>
      </c>
      <c r="L15" s="814">
        <f>IF($L14=$JJ$22,$JJ$29,IF($L14=$JK$22,$JK$29,""))</f>
        <v>0</v>
      </c>
      <c r="M15" s="164">
        <f t="shared" si="4"/>
        <v>1.1259999999999999</v>
      </c>
      <c r="N15" s="575">
        <f t="shared" si="5"/>
        <v>9.602285986070469E-2</v>
      </c>
      <c r="O15" s="572">
        <f t="shared" si="6"/>
        <v>3.7503850041962394</v>
      </c>
      <c r="P15" s="576">
        <f t="shared" si="7"/>
        <v>-0.80669236353069718</v>
      </c>
      <c r="Q15" s="528">
        <f t="shared" si="144"/>
        <v>88.533349807561237</v>
      </c>
      <c r="R15" s="572">
        <f t="shared" si="95"/>
        <v>3.7516140618826794</v>
      </c>
      <c r="S15" s="577">
        <f t="shared" si="96"/>
        <v>-0.80669236353069718</v>
      </c>
      <c r="T15" s="578">
        <f t="shared" si="97"/>
        <v>3.7511985048293113</v>
      </c>
      <c r="U15" s="572">
        <f t="shared" si="98"/>
        <v>-5.5837681561800537E-2</v>
      </c>
      <c r="V15" s="579">
        <f t="shared" si="145"/>
        <v>-0.80669236353069718</v>
      </c>
      <c r="W15" s="528">
        <f t="shared" ref="W15:W78" si="268">IF(M15="","",IF(Q15-$Q$8&lt;0,360+Q15-$Q$8,Q15-$Q$8))</f>
        <v>359.14719862741907</v>
      </c>
      <c r="X15" s="572">
        <f>IF(M15="","",R15)</f>
        <v>3.7516140618826794</v>
      </c>
      <c r="Y15" s="573">
        <f t="shared" si="9"/>
        <v>-0.80669236353069718</v>
      </c>
      <c r="Z15" s="575">
        <f t="shared" si="10"/>
        <v>0.92351444528805571</v>
      </c>
      <c r="AA15" s="572">
        <f t="shared" si="11"/>
        <v>-0.32129738505634142</v>
      </c>
      <c r="AB15" s="572">
        <f t="shared" si="12"/>
        <v>-0.20949715916988443</v>
      </c>
      <c r="AC15" s="579">
        <f t="shared" si="100"/>
        <v>1</v>
      </c>
      <c r="AD15" s="580">
        <f t="shared" si="146"/>
        <v>0.92351444528805571</v>
      </c>
      <c r="AE15" s="572">
        <f t="shared" si="101"/>
        <v>-0.32129738505634142</v>
      </c>
      <c r="AF15" s="576">
        <f t="shared" si="102"/>
        <v>-0.20949715916988443</v>
      </c>
      <c r="AG15" s="545">
        <f t="shared" si="103"/>
        <v>-56.894240112910083</v>
      </c>
      <c r="AH15" s="546">
        <f t="shared" si="104"/>
        <v>22.554598460719259</v>
      </c>
      <c r="AI15" s="528">
        <f t="shared" si="105"/>
        <v>-77.907113876321418</v>
      </c>
      <c r="AJ15" s="529">
        <f t="shared" si="106"/>
        <v>70.816842887994611</v>
      </c>
      <c r="AK15" s="578">
        <f t="shared" si="247"/>
        <v>0.93143552692416698</v>
      </c>
      <c r="AL15" s="572">
        <f t="shared" si="107"/>
        <v>-0.2975546999851415</v>
      </c>
      <c r="AM15" s="577">
        <f t="shared" si="108"/>
        <v>-0.20949715916988443</v>
      </c>
      <c r="AN15" s="524">
        <f>IF(M15="","",DEGREES(ATAN2(-AM15,AL15)))</f>
        <v>-54.852053398373712</v>
      </c>
      <c r="AO15" s="525">
        <f t="shared" si="110"/>
        <v>21.340295440056043</v>
      </c>
      <c r="AP15" s="528">
        <f t="shared" si="111"/>
        <v>-17.716506919566658</v>
      </c>
      <c r="AQ15" s="529">
        <f t="shared" si="13"/>
        <v>0.60764277024843316</v>
      </c>
      <c r="AR15" s="979"/>
      <c r="AS15" s="954">
        <f t="shared" si="147"/>
        <v>359.14719862741907</v>
      </c>
      <c r="AT15" s="950">
        <f t="shared" si="14"/>
        <v>-0.80855478689315563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1.1259999999999999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39</v>
      </c>
      <c r="JE15" s="31"/>
      <c r="JF15" s="219"/>
      <c r="JG15" s="219"/>
      <c r="JH15" s="219"/>
      <c r="JI15" s="219"/>
      <c r="JM15" s="489">
        <f t="shared" si="133"/>
        <v>26</v>
      </c>
      <c r="JN15" s="960">
        <f>($JO15-SMALL($JO$9:$JO$88,1))/((Settings!$C$19/2)-((Settings!$C$19/2)-LARGE($JO$9:$JO$88,1))-SMALL($JO$9:$JO$88,1))</f>
        <v>0.91734797768890308</v>
      </c>
      <c r="JO15" s="162">
        <f t="shared" si="134"/>
        <v>3.7516140618826794</v>
      </c>
      <c r="JP15" s="961">
        <f t="shared" si="135"/>
        <v>-54.852053398373712</v>
      </c>
      <c r="JQ15" s="961">
        <f t="shared" si="136"/>
        <v>21.340295440056043</v>
      </c>
      <c r="JS15" s="82">
        <v>7</v>
      </c>
      <c r="JT15" s="322">
        <f t="shared" si="137"/>
        <v>1.4027978623701971</v>
      </c>
      <c r="JU15" s="963">
        <f t="shared" si="138"/>
        <v>0.30190986489341937</v>
      </c>
      <c r="JV15" s="964">
        <v>3</v>
      </c>
      <c r="JW15" s="961">
        <f t="shared" si="92"/>
        <v>17.118980611354534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0.11799618083520107</v>
      </c>
      <c r="C16" s="572">
        <f t="shared" si="269"/>
        <v>3.9914494507962686</v>
      </c>
      <c r="D16" s="576">
        <f t="shared" si="269"/>
        <v>-1.4656479915032903</v>
      </c>
      <c r="E16" s="580">
        <f t="shared" ref="E16:K16" si="270">R171</f>
        <v>-0.86682142027744857</v>
      </c>
      <c r="F16" s="572">
        <f t="shared" si="270"/>
        <v>0.47482857213794588</v>
      </c>
      <c r="G16" s="579">
        <f t="shared" si="270"/>
        <v>0.1521790144192903</v>
      </c>
      <c r="H16" s="580">
        <f t="shared" si="270"/>
        <v>0.26450000000000001</v>
      </c>
      <c r="I16" s="572">
        <f t="shared" si="270"/>
        <v>0.52</v>
      </c>
      <c r="J16" s="483">
        <f t="shared" si="94"/>
        <v>1.1319999999999999</v>
      </c>
      <c r="K16" s="806">
        <f t="shared" si="270"/>
        <v>1313</v>
      </c>
      <c r="L16" s="309"/>
      <c r="M16" s="164">
        <f t="shared" si="4"/>
        <v>1.1319999999999999</v>
      </c>
      <c r="N16" s="575">
        <f t="shared" si="5"/>
        <v>0.11799618083520107</v>
      </c>
      <c r="O16" s="572">
        <f t="shared" si="6"/>
        <v>3.9914494507962686</v>
      </c>
      <c r="P16" s="576">
        <f t="shared" si="7"/>
        <v>-1.4656479915032903</v>
      </c>
      <c r="Q16" s="528">
        <f>IF(M16="","",IF(DEGREES(ATAN2(N16,O16))&lt;0,DEGREES(ATAN2(N16,O16))+360,IF(DEGREES(ATAN2(N16,O16))&gt;360,DEGREES(ATAN2(N16,O16))-360,DEGREES(ATAN2(N16,O16)))))</f>
        <v>88.306701655526155</v>
      </c>
      <c r="R16" s="572">
        <f t="shared" si="95"/>
        <v>3.9931931855287854</v>
      </c>
      <c r="S16" s="577">
        <f t="shared" si="96"/>
        <v>-1.4656479915032903</v>
      </c>
      <c r="T16" s="578">
        <f t="shared" si="97"/>
        <v>3.992484527203179</v>
      </c>
      <c r="U16" s="572">
        <f t="shared" si="98"/>
        <v>-7.5227102807001262E-2</v>
      </c>
      <c r="V16" s="579">
        <f t="shared" si="145"/>
        <v>-1.4656479915032903</v>
      </c>
      <c r="W16" s="528">
        <f>IF(M16="","",IF(Q16-$Q$8&lt;0,360+Q16-$Q$8,Q16-$Q$8))</f>
        <v>358.92055047538395</v>
      </c>
      <c r="X16" s="572">
        <f t="shared" si="99"/>
        <v>3.9931931855287854</v>
      </c>
      <c r="Y16" s="573">
        <f t="shared" ref="Y16:Y75" si="271">IF(M16="","",S16)</f>
        <v>-1.4656479915032903</v>
      </c>
      <c r="Z16" s="575">
        <f t="shared" si="10"/>
        <v>0.86682142027744857</v>
      </c>
      <c r="AA16" s="572">
        <f t="shared" si="11"/>
        <v>-0.47482857213794588</v>
      </c>
      <c r="AB16" s="572">
        <f t="shared" si="12"/>
        <v>-0.1521790144192903</v>
      </c>
      <c r="AC16" s="579">
        <f t="shared" si="100"/>
        <v>1</v>
      </c>
      <c r="AD16" s="580">
        <f t="shared" si="146"/>
        <v>0.86682142027744857</v>
      </c>
      <c r="AE16" s="572">
        <f t="shared" si="101"/>
        <v>-0.47482857213794588</v>
      </c>
      <c r="AF16" s="576">
        <f t="shared" si="102"/>
        <v>-0.1521790144192903</v>
      </c>
      <c r="AG16" s="545">
        <f t="shared" si="103"/>
        <v>-72.229733001975603</v>
      </c>
      <c r="AH16" s="546">
        <f t="shared" si="104"/>
        <v>29.908657077986838</v>
      </c>
      <c r="AI16" s="528">
        <f t="shared" si="105"/>
        <v>-81.246775191528315</v>
      </c>
      <c r="AJ16" s="529">
        <f t="shared" si="106"/>
        <v>61.286895872772682</v>
      </c>
      <c r="AK16" s="578">
        <f t="shared" si="247"/>
        <v>0.88047376538407895</v>
      </c>
      <c r="AL16" s="572">
        <f t="shared" si="107"/>
        <v>-0.44900723384011926</v>
      </c>
      <c r="AM16" s="577">
        <f t="shared" si="108"/>
        <v>-0.1521790144192903</v>
      </c>
      <c r="AN16" s="524">
        <f t="shared" si="109"/>
        <v>-71.277282722912432</v>
      </c>
      <c r="AO16" s="525">
        <f t="shared" si="110"/>
        <v>28.300433638666501</v>
      </c>
      <c r="AP16" s="528">
        <f t="shared" si="111"/>
        <v>-27.01980578275343</v>
      </c>
      <c r="AQ16" s="529">
        <f t="shared" si="13"/>
        <v>0.57088427323036961</v>
      </c>
      <c r="AR16" s="979"/>
      <c r="AS16" s="954">
        <f t="shared" si="147"/>
        <v>358.92055047538395</v>
      </c>
      <c r="AT16" s="950">
        <f t="shared" si="14"/>
        <v>-1.4673530203157243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1.1319999999999999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32</v>
      </c>
      <c r="JN16" s="960">
        <f>($JO16-SMALL($JO$9:$JO$88,1))/((Settings!$C$19/2)-((Settings!$C$19/2)-LARGE($JO$9:$JO$88,1))-SMALL($JO$9:$JO$88,1))</f>
        <v>0.98064667257120408</v>
      </c>
      <c r="JO16" s="162">
        <f t="shared" si="134"/>
        <v>3.9931931855287854</v>
      </c>
      <c r="JP16" s="961">
        <f t="shared" si="135"/>
        <v>-71.277282722912432</v>
      </c>
      <c r="JQ16" s="961">
        <f t="shared" si="136"/>
        <v>28.300433638666501</v>
      </c>
      <c r="JS16" s="82">
        <v>8</v>
      </c>
      <c r="JT16" s="322">
        <f t="shared" si="137"/>
        <v>1.5890831374688348</v>
      </c>
      <c r="JU16" s="963">
        <f t="shared" si="138"/>
        <v>0.35072043515944917</v>
      </c>
      <c r="JV16" s="964">
        <v>3</v>
      </c>
      <c r="JW16" s="961">
        <f t="shared" si="92"/>
        <v>17.103279678163041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0.12530738088775378</v>
      </c>
      <c r="C17" s="572">
        <f t="shared" si="272"/>
        <v>4.065124213734113</v>
      </c>
      <c r="D17" s="576">
        <f t="shared" si="272"/>
        <v>-2.1576227952323492</v>
      </c>
      <c r="E17" s="580">
        <f t="shared" ref="E17:K17" si="273">R172</f>
        <v>-0.84786895559918396</v>
      </c>
      <c r="F17" s="572">
        <f t="shared" si="273"/>
        <v>0.51740233842364114</v>
      </c>
      <c r="G17" s="579">
        <f t="shared" si="273"/>
        <v>0.11581474139718589</v>
      </c>
      <c r="H17" s="580">
        <f t="shared" si="273"/>
        <v>0.26450000000000001</v>
      </c>
      <c r="I17" s="572">
        <f t="shared" si="273"/>
        <v>0.52</v>
      </c>
      <c r="J17" s="483">
        <f t="shared" si="94"/>
        <v>1.1379999999999999</v>
      </c>
      <c r="K17" s="806">
        <f t="shared" si="273"/>
        <v>1313</v>
      </c>
      <c r="M17" s="164">
        <f t="shared" si="4"/>
        <v>1.1379999999999999</v>
      </c>
      <c r="N17" s="575">
        <f t="shared" si="5"/>
        <v>0.12530738088775378</v>
      </c>
      <c r="O17" s="572">
        <f t="shared" si="6"/>
        <v>4.065124213734113</v>
      </c>
      <c r="P17" s="576">
        <f t="shared" si="7"/>
        <v>-2.1576227952323492</v>
      </c>
      <c r="Q17" s="528">
        <f>IF(M17="","",IF(DEGREES(ATAN2(N17,O17))&lt;0,DEGREES(ATAN2(N17,O17))+360,IF(DEGREES(ATAN2(N17,O17))&gt;360,DEGREES(ATAN2(N17,O17))-360,DEGREES(ATAN2(N17,O17)))))</f>
        <v>88.234417690508039</v>
      </c>
      <c r="R17" s="572">
        <f>IF(M17="","",SQRT(N17^2+O17^2))</f>
        <v>4.0670550540645918</v>
      </c>
      <c r="S17" s="577">
        <f>IF(M17="","",P17)</f>
        <v>-2.1576227952323492</v>
      </c>
      <c r="T17" s="578">
        <f>IF(M17="","",X17*COS(RADIANS(W17)))</f>
        <v>4.066233390257521</v>
      </c>
      <c r="U17" s="572">
        <f>IF(M17="","",X17*SIN(RADIANS(W17)))</f>
        <v>-8.1748570306574023E-2</v>
      </c>
      <c r="V17" s="579">
        <f>IF(M17="","",Y17)</f>
        <v>-2.1576227952323492</v>
      </c>
      <c r="W17" s="528">
        <f t="shared" si="268"/>
        <v>358.84826651036587</v>
      </c>
      <c r="X17" s="572">
        <f>IF(M17="","",R17)</f>
        <v>4.0670550540645918</v>
      </c>
      <c r="Y17" s="573">
        <f t="shared" si="271"/>
        <v>-2.1576227952323492</v>
      </c>
      <c r="Z17" s="575">
        <f t="shared" si="10"/>
        <v>0.84786895559918396</v>
      </c>
      <c r="AA17" s="572">
        <f t="shared" si="11"/>
        <v>-0.51740233842364114</v>
      </c>
      <c r="AB17" s="572">
        <f t="shared" si="12"/>
        <v>-0.11581474139718589</v>
      </c>
      <c r="AC17" s="579">
        <f>IF(M17="","",SQRT(Z17^2+AA17^2+AB17^2))</f>
        <v>1</v>
      </c>
      <c r="AD17" s="580">
        <f>IF(M17="","",Z17*(1/SQRT(Z17^2+AA17^2+AB17^2)))</f>
        <v>0.84786895559918396</v>
      </c>
      <c r="AE17" s="572">
        <f>IF(M17="","",AA17*(1/SQRT(Z17^2+AA17^2+AB17^2)))</f>
        <v>-0.51740233842364114</v>
      </c>
      <c r="AF17" s="576">
        <f>IF(M17="","",AB17*(1/SQRT(Z17^2+AA17^2+AB17^2)))</f>
        <v>-0.11581474139718589</v>
      </c>
      <c r="AG17" s="545">
        <f>IF(M17="","",DEGREES(ATAN2(-AF17,AE17)))</f>
        <v>-77.382955806268697</v>
      </c>
      <c r="AH17" s="546">
        <f>IF(M17="","",DEGREES(ACOS(AD17)))</f>
        <v>32.019363748143462</v>
      </c>
      <c r="AI17" s="528">
        <f>IF(M17="","",DEGREES(-ACOS(-AF17)))</f>
        <v>-83.349379695737113</v>
      </c>
      <c r="AJ17" s="529">
        <f>IF(M17="","",DEGREES(ATAN2(-AE17,AD17)))</f>
        <v>58.606847887886907</v>
      </c>
      <c r="AK17" s="578">
        <f>IF(M17="","",(COS(RADIANS((90-$Q$8)-W17))*AD17)+(-SIN(RADIANS((90-$Q$8)-W17))*AE17))</f>
        <v>0.86340777459192763</v>
      </c>
      <c r="AL17" s="572">
        <f>IF(M17="","",(SIN(RADIANS((90-$Q$8)-W17))*AD17)+(COS(RADIANS((90-$Q$8)-W17))*AE17))</f>
        <v>-0.49103356346518523</v>
      </c>
      <c r="AM17" s="577">
        <f>IF(M17="","",AF17)</f>
        <v>-0.11581474139718589</v>
      </c>
      <c r="AN17" s="524">
        <f>IF(M17="","",DEGREES(ATAN2(-AM17,AL17)))</f>
        <v>-76.728810223784308</v>
      </c>
      <c r="AO17" s="525">
        <f t="shared" si="110"/>
        <v>30.298611776153383</v>
      </c>
      <c r="AP17" s="528">
        <f>IF(M17="","",DEGREES(ATAN2(AK17,AL17)))</f>
        <v>-29.627569802621167</v>
      </c>
      <c r="AQ17" s="529">
        <f t="shared" si="13"/>
        <v>0.56051710008027344</v>
      </c>
      <c r="AR17" s="979"/>
      <c r="AS17" s="954">
        <f t="shared" si="147"/>
        <v>358.84826651036587</v>
      </c>
      <c r="AT17" s="950">
        <f t="shared" si="14"/>
        <v>-2.1592776268468539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1.1379999999999999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38</v>
      </c>
      <c r="JN17" s="960">
        <f>($JO17-SMALL($JO$9:$JO$88,1))/((Settings!$C$19/2)-((Settings!$C$19/2)-LARGE($JO$9:$JO$88,1))-SMALL($JO$9:$JO$88,1))</f>
        <v>0.99999999999999978</v>
      </c>
      <c r="JO17" s="162">
        <f t="shared" si="134"/>
        <v>4.0670550540645918</v>
      </c>
      <c r="JP17" s="961">
        <f t="shared" si="135"/>
        <v>-76.728810223784308</v>
      </c>
      <c r="JQ17" s="961">
        <f t="shared" si="136"/>
        <v>30.298611776153383</v>
      </c>
      <c r="JS17" s="82">
        <v>9</v>
      </c>
      <c r="JT17" s="322">
        <f t="shared" si="137"/>
        <v>1.7752716262930897</v>
      </c>
      <c r="JU17" s="963">
        <f t="shared" si="138"/>
        <v>0.39950564543261829</v>
      </c>
      <c r="JV17" s="964">
        <v>3</v>
      </c>
      <c r="JW17" s="961">
        <f t="shared" si="92"/>
        <v>17.091208177133204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0.93340398291315552</v>
      </c>
      <c r="C18" s="572">
        <f t="shared" si="274"/>
        <v>1.9355744458429163</v>
      </c>
      <c r="D18" s="576">
        <f t="shared" si="274"/>
        <v>-0.12815861735987613</v>
      </c>
      <c r="E18" s="580">
        <f>R173</f>
        <v>-5.6696310973310897E-2</v>
      </c>
      <c r="F18" s="572">
        <f t="shared" ref="F18:K18" si="275">S173</f>
        <v>-0.11756959762589117</v>
      </c>
      <c r="G18" s="579">
        <f t="shared" si="275"/>
        <v>0.99144486384069985</v>
      </c>
      <c r="H18" s="580">
        <f t="shared" si="275"/>
        <v>0.22500000000000001</v>
      </c>
      <c r="I18" s="572">
        <f t="shared" si="275"/>
        <v>0.21199999999999999</v>
      </c>
      <c r="J18" s="483">
        <f t="shared" si="94"/>
        <v>1.2110000000000001</v>
      </c>
      <c r="K18" s="806" t="str">
        <f t="shared" si="275"/>
        <v>CPS-31783r1</v>
      </c>
      <c r="L18" s="720" t="s">
        <v>322</v>
      </c>
      <c r="M18" s="164">
        <f t="shared" si="4"/>
        <v>1.2110000000000001</v>
      </c>
      <c r="N18" s="575">
        <f t="shared" si="5"/>
        <v>0.93340398291315552</v>
      </c>
      <c r="O18" s="572">
        <f t="shared" si="6"/>
        <v>1.9355744458429163</v>
      </c>
      <c r="P18" s="576">
        <f t="shared" si="7"/>
        <v>-0.12815861735987613</v>
      </c>
      <c r="Q18" s="528">
        <f t="shared" si="144"/>
        <v>64.25495438166395</v>
      </c>
      <c r="R18" s="572">
        <f>IF(M18="","",SQRT(N18^2+O18^2))</f>
        <v>2.1488814371012315</v>
      </c>
      <c r="S18" s="577">
        <f>IF(M18="","",P18)</f>
        <v>-0.12815861735987613</v>
      </c>
      <c r="T18" s="578">
        <f>IF(M18="","",X18*COS(RADIANS(W18)))</f>
        <v>1.945463364472195</v>
      </c>
      <c r="U18" s="572">
        <f>IF(M18="","",X18*SIN(RADIANS(W18)))</f>
        <v>-0.91261367961190498</v>
      </c>
      <c r="V18" s="579">
        <f>IF(M18="","",Y18)</f>
        <v>-0.12815861735987613</v>
      </c>
      <c r="W18" s="528">
        <f t="shared" si="268"/>
        <v>334.86880320152176</v>
      </c>
      <c r="X18" s="572">
        <f>IF(M18="","",R18)</f>
        <v>2.1488814371012315</v>
      </c>
      <c r="Y18" s="573">
        <f t="shared" si="271"/>
        <v>-0.12815861735987613</v>
      </c>
      <c r="Z18" s="575">
        <f t="shared" si="10"/>
        <v>5.6696310973310897E-2</v>
      </c>
      <c r="AA18" s="572">
        <f t="shared" si="11"/>
        <v>0.11756959762589117</v>
      </c>
      <c r="AB18" s="572">
        <f t="shared" si="12"/>
        <v>-0.99144486384069985</v>
      </c>
      <c r="AC18" s="579">
        <f>IF(M18="","",SQRT(Z18^2+AA18^2+AB18^2))</f>
        <v>1</v>
      </c>
      <c r="AD18" s="580">
        <f>IF(M18="","",Z18*(1/SQRT(Z18^2+AA18^2+AB18^2)))</f>
        <v>5.6696310973310897E-2</v>
      </c>
      <c r="AE18" s="572">
        <f>IF(M18="","",AA18*(1/SQRT(Z18^2+AA18^2+AB18^2)))</f>
        <v>0.11756959762589117</v>
      </c>
      <c r="AF18" s="576">
        <f>IF(M18="","",AB18*(1/SQRT(Z18^2+AA18^2+AB18^2)))</f>
        <v>-0.99144486384069985</v>
      </c>
      <c r="AG18" s="545">
        <f>IF(M18="","",DEGREES(ATAN2(-AF18,AE18)))</f>
        <v>6.7627866335630946</v>
      </c>
      <c r="AH18" s="546">
        <f>IF(M18="","",DEGREES(ACOS(AD18)))</f>
        <v>86.749797798254065</v>
      </c>
      <c r="AI18" s="528">
        <f>IF(M18="","",DEGREES(-ACOS(-AF18)))</f>
        <v>-7.4999989171340955</v>
      </c>
      <c r="AJ18" s="529">
        <f>IF(M18="","",DEGREES(ATAN2(-AE18,AD18)))</f>
        <v>154.25495438166394</v>
      </c>
      <c r="AK18" s="578">
        <f>IF(M18="","",(COS(RADIANS((90-$Q$8)-W18))*AD18)+(-SIN(RADIANS((90-$Q$8)-W18))*AE18))</f>
        <v>-3.4694469519536142E-17</v>
      </c>
      <c r="AL18" s="572">
        <f>IF(M18="","",(SIN(RADIANS((90-$Q$8)-W18))*AD18)+(COS(RADIANS((90-$Q$8)-W18))*AE18))</f>
        <v>0.13052617348216536</v>
      </c>
      <c r="AM18" s="577">
        <f>IF(M18="","",AF18)</f>
        <v>-0.99144486384069985</v>
      </c>
      <c r="AN18" s="524">
        <f>IF(M18="","",DEGREES(ATAN2(-AM18,AL18)))</f>
        <v>7.4999989171341337</v>
      </c>
      <c r="AO18" s="525">
        <f t="shared" si="110"/>
        <v>0</v>
      </c>
      <c r="AP18" s="528">
        <f>IF(M18="","",DEGREES(ATAN2(AK18,AL18)))</f>
        <v>90.000000000000014</v>
      </c>
      <c r="AQ18" s="529">
        <f t="shared" si="13"/>
        <v>1.0607686942079022</v>
      </c>
      <c r="AR18" s="979"/>
      <c r="AS18" s="954">
        <f t="shared" si="147"/>
        <v>334.86880320152176</v>
      </c>
      <c r="AT18" s="950">
        <f t="shared" si="14"/>
        <v>-0.11316104389879475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5.1109999999999998</v>
      </c>
      <c r="IK18" s="677" cm="1">
        <f t="array" ref="IK18">IFERROR(ROUND(VALUE(IF($IJ18&lt;1,$IJ18+LARGE((IF($M$9:$M$150="",0,$M$9:$M$150)-MOD(IF($M$9:$M$150="",0,$M$9:$M$150),1)),1),$IJ18)),4),"")</f>
        <v>5.1109999999999998</v>
      </c>
      <c r="IL18" s="482">
        <f t="shared" si="79"/>
        <v>1113</v>
      </c>
      <c r="IM18" s="482" t="str">
        <f t="shared" si="242"/>
        <v>CPS-31783r1</v>
      </c>
      <c r="IN18" s="670">
        <f t="shared" si="81"/>
        <v>150.23470887127417</v>
      </c>
      <c r="IO18" s="702">
        <v>3.8172926544767102E-2</v>
      </c>
      <c r="IP18" s="5">
        <f t="shared" si="82"/>
        <v>0.16</v>
      </c>
      <c r="IQ18" s="714">
        <v>80</v>
      </c>
      <c r="IR18" s="9">
        <f t="shared" si="132"/>
        <v>-2.1474012882423161</v>
      </c>
      <c r="IS18" s="5">
        <f t="shared" si="83"/>
        <v>-3.782527854482344E-2</v>
      </c>
      <c r="IT18" s="5">
        <f t="shared" si="84"/>
        <v>0.2165</v>
      </c>
      <c r="IU18" s="5">
        <f t="shared" si="85"/>
        <v>0.20698263391098815</v>
      </c>
      <c r="IV18" s="670">
        <f t="shared" si="86"/>
        <v>-6.6579326288792302</v>
      </c>
      <c r="IW18" s="9">
        <f t="shared" si="87"/>
        <v>-2.1488814371012315</v>
      </c>
      <c r="IX18" s="5">
        <f t="shared" si="88"/>
        <v>-0.12815861735987613</v>
      </c>
      <c r="IY18" s="5">
        <f t="shared" si="89"/>
        <v>0.22500000000000001</v>
      </c>
      <c r="IZ18" s="5">
        <f t="shared" si="90"/>
        <v>0.22500000000000001</v>
      </c>
      <c r="JA18" s="705">
        <f t="shared" si="91"/>
        <v>-7.4999989171341337</v>
      </c>
      <c r="JM18" s="489">
        <f t="shared" si="133"/>
        <v>11</v>
      </c>
      <c r="JN18" s="960">
        <f>($JO18-SMALL($JO$9:$JO$88,1))/((Settings!$C$19/2)-((Settings!$C$19/2)-LARGE($JO$9:$JO$88,1))-SMALL($JO$9:$JO$88,1))</f>
        <v>0.49739909360168549</v>
      </c>
      <c r="JO18" s="162">
        <f t="shared" si="134"/>
        <v>2.1488814371012315</v>
      </c>
      <c r="JP18" s="961">
        <f t="shared" si="135"/>
        <v>7.4999989171341337</v>
      </c>
      <c r="JQ18" s="961">
        <f t="shared" si="136"/>
        <v>0</v>
      </c>
      <c r="JS18" s="82">
        <v>10</v>
      </c>
      <c r="JT18" s="322">
        <f t="shared" si="137"/>
        <v>1.9614624071648452</v>
      </c>
      <c r="JU18" s="963">
        <f t="shared" si="138"/>
        <v>0.44829145626933453</v>
      </c>
      <c r="JV18" s="964">
        <v>3</v>
      </c>
      <c r="JW18" s="961">
        <f t="shared" si="92"/>
        <v>17.081640225930322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0.92671937288181006</v>
      </c>
      <c r="C19" s="572">
        <f t="shared" si="276"/>
        <v>3.1321249386807097</v>
      </c>
      <c r="D19" s="576">
        <f t="shared" si="276"/>
        <v>-0.33309330904693468</v>
      </c>
      <c r="E19" s="580">
        <f t="shared" ref="E19:K19" si="277">R174</f>
        <v>-0.84627048688804241</v>
      </c>
      <c r="F19" s="572">
        <f t="shared" si="277"/>
        <v>0.44906154610392024</v>
      </c>
      <c r="G19" s="579">
        <f t="shared" si="277"/>
        <v>0.28665308446453602</v>
      </c>
      <c r="H19" s="580">
        <f t="shared" si="277"/>
        <v>0.26450000000000001</v>
      </c>
      <c r="I19" s="572">
        <f t="shared" si="277"/>
        <v>0.52</v>
      </c>
      <c r="J19" s="483">
        <f t="shared" si="94"/>
        <v>1.22</v>
      </c>
      <c r="K19" s="806">
        <f t="shared" si="277"/>
        <v>1313</v>
      </c>
      <c r="L19" s="718" t="s">
        <v>357</v>
      </c>
      <c r="M19" s="164">
        <f t="shared" si="4"/>
        <v>1.22</v>
      </c>
      <c r="N19" s="575">
        <f t="shared" si="5"/>
        <v>0.92671937288181006</v>
      </c>
      <c r="O19" s="572">
        <f t="shared" si="6"/>
        <v>3.1321249386807097</v>
      </c>
      <c r="P19" s="576">
        <f t="shared" si="7"/>
        <v>-0.33309330904693468</v>
      </c>
      <c r="Q19" s="528">
        <f t="shared" si="144"/>
        <v>73.517799466794045</v>
      </c>
      <c r="R19" s="572">
        <f>IF(M19="","",SQRT(N19^2+O19^2))</f>
        <v>3.2663458830289382</v>
      </c>
      <c r="S19" s="577">
        <f>IF(M19="","",P19)</f>
        <v>-0.33309330904693468</v>
      </c>
      <c r="T19" s="578">
        <f>IF(M19="","",X19*COS(RADIANS(W19)))</f>
        <v>3.1418735707140812</v>
      </c>
      <c r="U19" s="572">
        <f>IF(M19="","",X19*SIN(RADIANS(W19)))</f>
        <v>-0.89311023576512871</v>
      </c>
      <c r="V19" s="579">
        <f>IF(M19="","",Y19)</f>
        <v>-0.33309330904693468</v>
      </c>
      <c r="W19" s="528">
        <f t="shared" si="268"/>
        <v>344.13164828665185</v>
      </c>
      <c r="X19" s="572">
        <f>IF(M19="","",R19)</f>
        <v>3.2663458830289382</v>
      </c>
      <c r="Y19" s="573">
        <f t="shared" si="271"/>
        <v>-0.33309330904693468</v>
      </c>
      <c r="Z19" s="575">
        <f t="shared" si="10"/>
        <v>0.84627048688804241</v>
      </c>
      <c r="AA19" s="572">
        <f t="shared" si="11"/>
        <v>-0.44906154610392024</v>
      </c>
      <c r="AB19" s="572">
        <f t="shared" si="12"/>
        <v>-0.28665308446453602</v>
      </c>
      <c r="AC19" s="579">
        <f>IF(M19="","",SQRT(Z19^2+AA19^2+AB19^2))</f>
        <v>1</v>
      </c>
      <c r="AD19" s="580">
        <f>IF(M19="","",Z19*(1/SQRT(Z19^2+AA19^2+AB19^2)))</f>
        <v>0.84627048688804241</v>
      </c>
      <c r="AE19" s="572">
        <f>IF(M19="","",AA19*(1/SQRT(Z19^2+AA19^2+AB19^2)))</f>
        <v>-0.44906154610392024</v>
      </c>
      <c r="AF19" s="576">
        <f>IF(M19="","",AB19*(1/SQRT(Z19^2+AA19^2+AB19^2)))</f>
        <v>-0.28665308446453602</v>
      </c>
      <c r="AG19" s="545">
        <f>IF(M19="","",DEGREES(ATAN2(-AF19,AE19)))</f>
        <v>-57.448359758330469</v>
      </c>
      <c r="AH19" s="546">
        <f>IF(M19="","",DEGREES(ACOS(AD19)))</f>
        <v>32.191685379954663</v>
      </c>
      <c r="AI19" s="528">
        <f>IF(M19="","",DEGREES(-ACOS(-AF19)))</f>
        <v>-73.342313242746016</v>
      </c>
      <c r="AJ19" s="529">
        <f>IF(M19="","",DEGREES(ATAN2(-AE19,AD19)))</f>
        <v>62.047971046330439</v>
      </c>
      <c r="AK19" s="578">
        <f>IF(M19="","",(COS(RADIANS((90-$Q$8)-W19))*AD19)+(-SIN(RADIANS((90-$Q$8)-W19))*AE19))</f>
        <v>0.93890207622420818</v>
      </c>
      <c r="AL19" s="572">
        <f>IF(M19="","",(SIN(RADIANS((90-$Q$8)-W19))*AD19)+(COS(RADIANS((90-$Q$8)-W19))*AE19))</f>
        <v>-0.19050695637912712</v>
      </c>
      <c r="AM19" s="577">
        <f>IF(M19="","",AF19)</f>
        <v>-0.28665308446453602</v>
      </c>
      <c r="AN19" s="524">
        <f>IF(M19="","",DEGREES(ATAN2(-AM19,AL19)))</f>
        <v>-33.60764022178725</v>
      </c>
      <c r="AO19" s="525">
        <f t="shared" si="110"/>
        <v>20.13201558706491</v>
      </c>
      <c r="AP19" s="528">
        <f>IF(M19="","",DEGREES(ATAN2(AK19,AL19)))</f>
        <v>-11.469828420463614</v>
      </c>
      <c r="AQ19" s="529">
        <f t="shared" si="13"/>
        <v>0.69790951816065461</v>
      </c>
      <c r="AR19" s="979"/>
      <c r="AS19" s="954">
        <f t="shared" si="147"/>
        <v>344.13164828665185</v>
      </c>
      <c r="AT19" s="950">
        <f t="shared" si="14"/>
        <v>-0.32452826689497144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>Taper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1.22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1.1200000000000001</v>
      </c>
      <c r="IK19" s="677" cm="1">
        <f t="array" ref="IK19">IFERROR(ROUND(VALUE(IF($IJ19&lt;1,$IJ19+LARGE((IF($M$9:$M$150="",0,$M$9:$M$150)-MOD(IF($M$9:$M$150="",0,$M$9:$M$150),1)),1),$IJ19)),4),"")</f>
        <v>1.1200000000000001</v>
      </c>
      <c r="IL19" s="482">
        <f t="shared" si="79"/>
        <v>1313</v>
      </c>
      <c r="IM19" s="482">
        <f t="shared" si="242"/>
        <v>1313</v>
      </c>
      <c r="IN19" s="670">
        <f t="shared" si="81"/>
        <v>15.43689260887993</v>
      </c>
      <c r="IO19" s="702">
        <v>4.9556989718486705E-4</v>
      </c>
      <c r="IP19" s="5">
        <f t="shared" si="82"/>
        <v>0</v>
      </c>
      <c r="IQ19" s="714">
        <v>0</v>
      </c>
      <c r="IR19" s="9">
        <f t="shared" si="132"/>
        <v>-3.2642190377946454</v>
      </c>
      <c r="IS19" s="5">
        <f t="shared" si="83"/>
        <v>-0.31861457545926775</v>
      </c>
      <c r="IT19" s="5">
        <f t="shared" si="84"/>
        <v>0.26450000000000001</v>
      </c>
      <c r="IU19" s="5">
        <f t="shared" si="85"/>
        <v>0.25522005205765003</v>
      </c>
      <c r="IV19" s="670">
        <f t="shared" si="86"/>
        <v>36.639502470632927</v>
      </c>
      <c r="IW19" s="9">
        <f t="shared" si="87"/>
        <v>-3.2663458830289382</v>
      </c>
      <c r="IX19" s="5">
        <f t="shared" si="88"/>
        <v>-0.33309330904693468</v>
      </c>
      <c r="IY19" s="5">
        <f t="shared" si="89"/>
        <v>0.26450000000000001</v>
      </c>
      <c r="IZ19" s="5">
        <f t="shared" si="90"/>
        <v>0.24833959916130308</v>
      </c>
      <c r="JA19" s="705">
        <f t="shared" si="91"/>
        <v>33.60764022178725</v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20</v>
      </c>
      <c r="JN19" s="960">
        <f>($JO19-SMALL($JO$9:$JO$88,1))/((Settings!$C$19/2)-((Settings!$C$19/2)-LARGE($JO$9:$JO$88,1))-SMALL($JO$9:$JO$88,1))</f>
        <v>0.79019774249577224</v>
      </c>
      <c r="JO19" s="162">
        <f t="shared" si="134"/>
        <v>3.2663458830289382</v>
      </c>
      <c r="JP19" s="961">
        <f t="shared" si="135"/>
        <v>-33.60764022178725</v>
      </c>
      <c r="JQ19" s="961">
        <f t="shared" si="136"/>
        <v>20.13201558706491</v>
      </c>
      <c r="JS19" s="82">
        <v>11</v>
      </c>
      <c r="JT19" s="322">
        <f t="shared" si="137"/>
        <v>2.1488814371012315</v>
      </c>
      <c r="JU19" s="963">
        <f t="shared" si="138"/>
        <v>0.49739909360168549</v>
      </c>
      <c r="JV19" s="964">
        <v>3</v>
      </c>
      <c r="JW19" s="961">
        <f t="shared" si="92"/>
        <v>0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0.96247025712645373</v>
      </c>
      <c r="C20" s="572">
        <f t="shared" si="278"/>
        <v>3.6312539536153094</v>
      </c>
      <c r="D20" s="576">
        <f t="shared" si="278"/>
        <v>-0.81772280497552063</v>
      </c>
      <c r="E20" s="580">
        <f t="shared" ref="E20:K20" si="279">R175</f>
        <v>-0.77721514260198699</v>
      </c>
      <c r="F20" s="572">
        <f t="shared" si="279"/>
        <v>0.56870694920849885</v>
      </c>
      <c r="G20" s="579">
        <f t="shared" si="279"/>
        <v>0.26927500446965941</v>
      </c>
      <c r="H20" s="580">
        <f t="shared" si="279"/>
        <v>0.26450000000000001</v>
      </c>
      <c r="I20" s="572">
        <f t="shared" si="279"/>
        <v>0.52</v>
      </c>
      <c r="J20" s="483">
        <f t="shared" si="94"/>
        <v>1.226</v>
      </c>
      <c r="K20" s="806">
        <f t="shared" si="279"/>
        <v>1313</v>
      </c>
      <c r="L20" s="717">
        <f>IF($L19=$JJ$22,$JJ$30,IF($L19=$JK$22,$JK$30,""))</f>
        <v>80</v>
      </c>
      <c r="M20" s="164">
        <f t="shared" si="4"/>
        <v>1.226</v>
      </c>
      <c r="N20" s="575">
        <f t="shared" si="5"/>
        <v>0.96247025712645373</v>
      </c>
      <c r="O20" s="572">
        <f t="shared" si="6"/>
        <v>3.6312539536153094</v>
      </c>
      <c r="P20" s="576">
        <f t="shared" si="7"/>
        <v>-0.81772280497552063</v>
      </c>
      <c r="Q20" s="528">
        <f t="shared" si="144"/>
        <v>75.155001859662832</v>
      </c>
      <c r="R20" s="572">
        <f>IF(M20="","",SQRT(N20^2+O20^2))</f>
        <v>3.7566413551868214</v>
      </c>
      <c r="S20" s="577">
        <f>IF(M20="","",P20)</f>
        <v>-0.81772280497552063</v>
      </c>
      <c r="T20" s="578">
        <f>IF(M20="","",X20*COS(RADIANS(W20)))</f>
        <v>3.6413569564728303</v>
      </c>
      <c r="U20" s="572">
        <f>IF(M20="","",X20*SIN(RADIANS(W20)))</f>
        <v>-0.9235116604823157</v>
      </c>
      <c r="V20" s="579">
        <f>IF(M20="","",Y20)</f>
        <v>-0.81772280497552063</v>
      </c>
      <c r="W20" s="528">
        <f t="shared" si="268"/>
        <v>345.76885067952065</v>
      </c>
      <c r="X20" s="572">
        <f>IF(M20="","",R20)</f>
        <v>3.7566413551868214</v>
      </c>
      <c r="Y20" s="573">
        <f t="shared" si="271"/>
        <v>-0.81772280497552063</v>
      </c>
      <c r="Z20" s="575">
        <f t="shared" si="10"/>
        <v>0.77721514260198699</v>
      </c>
      <c r="AA20" s="572">
        <f t="shared" si="11"/>
        <v>-0.56870694920849885</v>
      </c>
      <c r="AB20" s="572">
        <f t="shared" si="12"/>
        <v>-0.26927500446965941</v>
      </c>
      <c r="AC20" s="579">
        <f>IF(M20="","",SQRT(Z20^2+AA20^2+AB20^2))</f>
        <v>1</v>
      </c>
      <c r="AD20" s="580">
        <f>IF(M20="","",Z20*(1/SQRT(Z20^2+AA20^2+AB20^2)))</f>
        <v>0.77721514260198699</v>
      </c>
      <c r="AE20" s="572">
        <f>IF(M20="","",AA20*(1/SQRT(Z20^2+AA20^2+AB20^2)))</f>
        <v>-0.56870694920849885</v>
      </c>
      <c r="AF20" s="576">
        <f>IF(M20="","",AB20*(1/SQRT(Z20^2+AA20^2+AB20^2)))</f>
        <v>-0.26927500446965941</v>
      </c>
      <c r="AG20" s="545">
        <f>IF(M20="","",DEGREES(ATAN2(-AF20,AE20)))</f>
        <v>-64.663081611820189</v>
      </c>
      <c r="AH20" s="546">
        <f>IF(M20="","",DEGREES(ACOS(AD20)))</f>
        <v>38.993701051517547</v>
      </c>
      <c r="AI20" s="528">
        <f>IF(M20="","",DEGREES(-ACOS(-AF20)))</f>
        <v>-74.378870042561488</v>
      </c>
      <c r="AJ20" s="529">
        <f>IF(M20="","",DEGREES(ATAN2(-AE20,AD20)))</f>
        <v>53.806171291428157</v>
      </c>
      <c r="AK20" s="578">
        <f>IF(M20="","",(COS(RADIANS((90-$Q$8)-W20))*AD20)+(-SIN(RADIANS((90-$Q$8)-W20))*AE20))</f>
        <v>0.89697918018311396</v>
      </c>
      <c r="AL20" s="572">
        <f>IF(M20="","",(SIN(RADIANS((90-$Q$8)-W20))*AD20)+(COS(RADIANS((90-$Q$8)-W20))*AE20))</f>
        <v>-0.35059852008514514</v>
      </c>
      <c r="AM20" s="577">
        <f>IF(M20="","",AF20)</f>
        <v>-0.26927500446965941</v>
      </c>
      <c r="AN20" s="524">
        <f>IF(M20="","",DEGREES(ATAN2(-AM20,AL20)))</f>
        <v>-52.474160467048392</v>
      </c>
      <c r="AO20" s="525">
        <f t="shared" si="110"/>
        <v>26.236208161337021</v>
      </c>
      <c r="AP20" s="528">
        <f>IF(M20="","",DEGREES(ATAN2(AK20,AL20)))</f>
        <v>-21.348830568234664</v>
      </c>
      <c r="AQ20" s="529">
        <f t="shared" si="13"/>
        <v>0.60682965833555025</v>
      </c>
      <c r="AR20" s="979"/>
      <c r="AS20" s="954">
        <f t="shared" si="147"/>
        <v>345.76885067952065</v>
      </c>
      <c r="AT20" s="950">
        <f t="shared" si="14"/>
        <v>-0.81029470892971622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1.226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1.1259999999999999</v>
      </c>
      <c r="IK20" s="677" cm="1">
        <f t="array" ref="IK20">IFERROR(ROUND(VALUE(IF($IJ20&lt;1,$IJ20+LARGE((IF($M$9:$M$150="",0,$M$9:$M$150)-MOD(IF($M$9:$M$150="",0,$M$9:$M$150),1)),1),$IJ20)),4),"")</f>
        <v>1.1259999999999999</v>
      </c>
      <c r="IL20" s="482">
        <f t="shared" si="79"/>
        <v>1313</v>
      </c>
      <c r="IM20" s="482">
        <f t="shared" si="242"/>
        <v>1313</v>
      </c>
      <c r="IN20" s="670">
        <f t="shared" si="81"/>
        <v>13.378347947898419</v>
      </c>
      <c r="IO20" s="702">
        <v>4.3020704722190699E-4</v>
      </c>
      <c r="IP20" s="5">
        <f t="shared" si="82"/>
        <v>0</v>
      </c>
      <c r="IQ20" s="714">
        <v>0</v>
      </c>
      <c r="IR20" s="9">
        <f t="shared" si="132"/>
        <v>-3.7516140618826794</v>
      </c>
      <c r="IS20" s="5">
        <f t="shared" si="83"/>
        <v>-0.80669236353069718</v>
      </c>
      <c r="IT20" s="5">
        <f t="shared" si="84"/>
        <v>0.26450000000000001</v>
      </c>
      <c r="IU20" s="5">
        <f t="shared" si="85"/>
        <v>0.24636469687144219</v>
      </c>
      <c r="IV20" s="670">
        <f t="shared" si="86"/>
        <v>54.852053398373712</v>
      </c>
      <c r="IW20" s="9">
        <f t="shared" si="87"/>
        <v>-3.7566413551868214</v>
      </c>
      <c r="IX20" s="5">
        <f t="shared" si="88"/>
        <v>-0.81772280497552063</v>
      </c>
      <c r="IY20" s="5">
        <f t="shared" si="89"/>
        <v>0.26450000000000001</v>
      </c>
      <c r="IZ20" s="5">
        <f t="shared" si="90"/>
        <v>0.23725099315843365</v>
      </c>
      <c r="JA20" s="705">
        <f t="shared" si="91"/>
        <v>52.474160467048392</v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26</v>
      </c>
      <c r="JN20" s="960">
        <f>($JO20-SMALL($JO$9:$JO$88,1))/((Settings!$C$19/2)-((Settings!$C$19/2)-LARGE($JO$9:$JO$88,1))-SMALL($JO$9:$JO$88,1))</f>
        <v>0.9186652318462154</v>
      </c>
      <c r="JO20" s="162">
        <f t="shared" si="134"/>
        <v>3.7566413551868214</v>
      </c>
      <c r="JP20" s="961">
        <f t="shared" si="135"/>
        <v>-52.474160467048392</v>
      </c>
      <c r="JQ20" s="961">
        <f t="shared" si="136"/>
        <v>26.236208161337021</v>
      </c>
      <c r="JS20" s="82">
        <v>12</v>
      </c>
      <c r="JT20" s="322">
        <f t="shared" si="137"/>
        <v>2.3336404770338359</v>
      </c>
      <c r="JU20" s="963">
        <f t="shared" si="138"/>
        <v>0.54580975888985439</v>
      </c>
      <c r="JV20" s="964">
        <v>3</v>
      </c>
      <c r="JW20" s="961">
        <f t="shared" si="92"/>
        <v>17.026756883340141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2.2459217056753524</v>
      </c>
      <c r="C21" s="572">
        <f t="shared" si="281"/>
        <v>1.0201429340848025</v>
      </c>
      <c r="D21" s="576">
        <f t="shared" si="281"/>
        <v>-6.6113413302430812E-2</v>
      </c>
      <c r="E21" s="580">
        <f t="shared" ref="E21:K21" si="282">R176</f>
        <v>-0.37357898908290449</v>
      </c>
      <c r="F21" s="572">
        <f t="shared" si="282"/>
        <v>0.88088284667320615</v>
      </c>
      <c r="G21" s="579">
        <f t="shared" si="282"/>
        <v>0.29066157185411373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2.113</v>
      </c>
      <c r="K21" s="806">
        <f t="shared" si="282"/>
        <v>1313</v>
      </c>
      <c r="L21" s="719" t="s">
        <v>358</v>
      </c>
      <c r="M21" s="164">
        <f t="shared" si="4"/>
        <v>2.113</v>
      </c>
      <c r="N21" s="575">
        <f t="shared" si="5"/>
        <v>2.2459217056753524</v>
      </c>
      <c r="O21" s="572">
        <f t="shared" si="6"/>
        <v>1.0201429340848025</v>
      </c>
      <c r="P21" s="576">
        <f t="shared" si="7"/>
        <v>-6.6113413302430812E-2</v>
      </c>
      <c r="Q21" s="528">
        <f t="shared" si="144"/>
        <v>24.428506694176868</v>
      </c>
      <c r="R21" s="572">
        <f>IF(M21="","",SQRT(N21^2+O21^2))</f>
        <v>2.4667500712449231</v>
      </c>
      <c r="S21" s="577">
        <f>IF(M21="","",P21)</f>
        <v>-6.6113413302430812E-2</v>
      </c>
      <c r="T21" s="578">
        <f>IF(M21="","",X21*COS(RADIANS(W21)))</f>
        <v>1.0441460200258113</v>
      </c>
      <c r="U21" s="572">
        <f>IF(M21="","",X21*SIN(RADIANS(W21)))</f>
        <v>-2.2348635311470568</v>
      </c>
      <c r="V21" s="579">
        <f>IF(M21="","",Y21)</f>
        <v>-6.6113413302430812E-2</v>
      </c>
      <c r="W21" s="528">
        <f t="shared" si="268"/>
        <v>295.04235551403468</v>
      </c>
      <c r="X21" s="572">
        <f>IF(M21="","",R21)</f>
        <v>2.4667500712449231</v>
      </c>
      <c r="Y21" s="573">
        <f t="shared" si="271"/>
        <v>-6.6113413302430812E-2</v>
      </c>
      <c r="Z21" s="575">
        <f t="shared" si="10"/>
        <v>0.37357898908290449</v>
      </c>
      <c r="AA21" s="572">
        <f t="shared" si="11"/>
        <v>-0.88088284667320615</v>
      </c>
      <c r="AB21" s="572">
        <f t="shared" si="12"/>
        <v>-0.29066157185411373</v>
      </c>
      <c r="AC21" s="579">
        <f>IF(M21="","",SQRT(Z21^2+AA21^2+AB21^2))</f>
        <v>1</v>
      </c>
      <c r="AD21" s="580">
        <f>IF(M21="","",Z21*(1/SQRT(Z21^2+AA21^2+AB21^2)))</f>
        <v>0.37357898908290449</v>
      </c>
      <c r="AE21" s="572">
        <f>IF(M21="","",AA21*(1/SQRT(Z21^2+AA21^2+AB21^2)))</f>
        <v>-0.88088284667320615</v>
      </c>
      <c r="AF21" s="576">
        <f>IF(M21="","",AB21*(1/SQRT(Z21^2+AA21^2+AB21^2)))</f>
        <v>-0.29066157185411373</v>
      </c>
      <c r="AG21" s="545">
        <f>IF(M21="","",DEGREES(ATAN2(-AF21,AE21)))</f>
        <v>-71.738856119265776</v>
      </c>
      <c r="AH21" s="546">
        <f>IF(M21="","",DEGREES(ACOS(AD21)))</f>
        <v>68.06348711394503</v>
      </c>
      <c r="AI21" s="528">
        <f>IF(M21="","",DEGREES(-ACOS(-AF21)))</f>
        <v>-73.102432490011125</v>
      </c>
      <c r="AJ21" s="529">
        <f>IF(M21="","",DEGREES(ATAN2(-AE21,AD21)))</f>
        <v>22.981611945121394</v>
      </c>
      <c r="AK21" s="578">
        <f>IF(M21="","",(COS(RADIANS((90-$Q$8)-W21))*AD21)+(-SIN(RADIANS((90-$Q$8)-W21))*AE21))</f>
        <v>0.95652084864240849</v>
      </c>
      <c r="AL21" s="572">
        <f>IF(M21="","",(SIN(RADIANS((90-$Q$8)-W21))*AD21)+(COS(RADIANS((90-$Q$8)-W21))*AE21))</f>
        <v>-2.4160230953008288E-2</v>
      </c>
      <c r="AM21" s="577">
        <f>IF(M21="","",AF21)</f>
        <v>-0.29066157185411373</v>
      </c>
      <c r="AN21" s="524">
        <f>IF(M21="","",DEGREES(ATAN2(-AM21,AL21)))</f>
        <v>-4.7515890281711064</v>
      </c>
      <c r="AO21" s="525">
        <f>IF(ROUND(IF(M21="",0,DEGREES(ACOS(AK21))),4)=90,0,IF(M21="","",DEGREES(ACOS(AK21))))</f>
        <v>16.957601226518715</v>
      </c>
      <c r="AP21" s="528">
        <f>IF(M21="","",DEGREES(ATAN2(AK21,AL21)))</f>
        <v>-1.4468947490554716</v>
      </c>
      <c r="AQ21" s="529">
        <f t="shared" si="13"/>
        <v>0.92410211236227291</v>
      </c>
      <c r="AR21" s="979"/>
      <c r="AS21" s="954">
        <f t="shared" si="147"/>
        <v>295.04235551403468</v>
      </c>
      <c r="AT21" s="950">
        <f t="shared" si="14"/>
        <v>-2.3458584502816744E-2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2.113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1313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13</v>
      </c>
      <c r="JN21" s="960">
        <f>($JO21-SMALL($JO$9:$JO$88,1))/((Settings!$C$19/2)-((Settings!$C$19/2)-LARGE($JO$9:$JO$88,1))-SMALL($JO$9:$JO$88,1))</f>
        <v>0.58068720799517271</v>
      </c>
      <c r="JO21" s="162">
        <f t="shared" si="134"/>
        <v>2.4667500712449231</v>
      </c>
      <c r="JP21" s="961">
        <f t="shared" si="135"/>
        <v>-4.7515890281711064</v>
      </c>
      <c r="JQ21" s="961">
        <f t="shared" si="136"/>
        <v>16.957601226518715</v>
      </c>
      <c r="JS21" s="82">
        <v>13</v>
      </c>
      <c r="JT21" s="322">
        <f t="shared" si="137"/>
        <v>2.4667500712449231</v>
      </c>
      <c r="JU21" s="963">
        <f t="shared" si="138"/>
        <v>0.58068720799517271</v>
      </c>
      <c r="JV21" s="964">
        <v>3</v>
      </c>
      <c r="JW21" s="961">
        <f t="shared" si="92"/>
        <v>16.957601226518715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2.8852592287188537</v>
      </c>
      <c r="C22" s="572">
        <f t="shared" si="283"/>
        <v>1.286700577617528</v>
      </c>
      <c r="D22" s="576">
        <f t="shared" si="283"/>
        <v>-0.25730236007792495</v>
      </c>
      <c r="E22" s="580">
        <f t="shared" ref="E22:K22" si="284">R177</f>
        <v>-0.27221935043570206</v>
      </c>
      <c r="F22" s="572">
        <f t="shared" si="284"/>
        <v>0.94012706171894189</v>
      </c>
      <c r="G22" s="579">
        <f t="shared" si="284"/>
        <v>0.20507982122108792</v>
      </c>
      <c r="H22" s="580">
        <f t="shared" si="284"/>
        <v>0.26450000000000001</v>
      </c>
      <c r="I22" s="572">
        <f t="shared" si="284"/>
        <v>0.52</v>
      </c>
      <c r="J22" s="483">
        <f t="shared" si="94"/>
        <v>2.1190000000000002</v>
      </c>
      <c r="K22" s="806">
        <f t="shared" si="284"/>
        <v>1313</v>
      </c>
      <c r="L22" s="814" t="str">
        <f>IF($L21=$JJ$22,$JJ$30,IF($L21=$JK$22,$JK$30,""))</f>
        <v/>
      </c>
      <c r="M22" s="164">
        <f t="shared" si="4"/>
        <v>2.1190000000000002</v>
      </c>
      <c r="N22" s="575">
        <f t="shared" si="5"/>
        <v>2.8852592287188537</v>
      </c>
      <c r="O22" s="572">
        <f t="shared" si="6"/>
        <v>1.286700577617528</v>
      </c>
      <c r="P22" s="576">
        <f t="shared" si="7"/>
        <v>-0.25730236007792495</v>
      </c>
      <c r="Q22" s="528">
        <f t="shared" si="144"/>
        <v>24.034800343750838</v>
      </c>
      <c r="R22" s="572">
        <f t="shared" si="95"/>
        <v>3.1591643188268308</v>
      </c>
      <c r="S22" s="577">
        <f t="shared" si="96"/>
        <v>-0.25730236007792495</v>
      </c>
      <c r="T22" s="578">
        <f t="shared" si="97"/>
        <v>1.317537894086825</v>
      </c>
      <c r="U22" s="572">
        <f t="shared" si="98"/>
        <v>-2.8713086025354095</v>
      </c>
      <c r="V22" s="579">
        <f t="shared" si="145"/>
        <v>-0.25730236007792495</v>
      </c>
      <c r="W22" s="528">
        <f t="shared" si="268"/>
        <v>294.64864916360864</v>
      </c>
      <c r="X22" s="572">
        <f t="shared" si="99"/>
        <v>3.1591643188268308</v>
      </c>
      <c r="Y22" s="573">
        <f t="shared" si="271"/>
        <v>-0.25730236007792495</v>
      </c>
      <c r="Z22" s="575">
        <f t="shared" si="10"/>
        <v>0.27221935043570206</v>
      </c>
      <c r="AA22" s="572">
        <f t="shared" si="11"/>
        <v>-0.94012706171894189</v>
      </c>
      <c r="AB22" s="572">
        <f t="shared" si="12"/>
        <v>-0.20507982122108792</v>
      </c>
      <c r="AC22" s="579">
        <f t="shared" si="100"/>
        <v>1</v>
      </c>
      <c r="AD22" s="580">
        <f t="shared" si="146"/>
        <v>0.27221935043570206</v>
      </c>
      <c r="AE22" s="572">
        <f t="shared" si="101"/>
        <v>-0.94012706171894189</v>
      </c>
      <c r="AF22" s="576">
        <f t="shared" si="102"/>
        <v>-0.20507982122108792</v>
      </c>
      <c r="AG22" s="545">
        <f t="shared" si="103"/>
        <v>-77.694242013247816</v>
      </c>
      <c r="AH22" s="546">
        <f t="shared" si="104"/>
        <v>74.203626088089763</v>
      </c>
      <c r="AI22" s="528">
        <f t="shared" si="105"/>
        <v>-78.165828254306376</v>
      </c>
      <c r="AJ22" s="529">
        <f t="shared" si="106"/>
        <v>16.148685824116146</v>
      </c>
      <c r="AK22" s="578">
        <f t="shared" si="247"/>
        <v>0.96948900637576751</v>
      </c>
      <c r="AL22" s="572">
        <f t="shared" si="107"/>
        <v>-0.13428824760362953</v>
      </c>
      <c r="AM22" s="577">
        <f t="shared" si="108"/>
        <v>-0.20507982122108792</v>
      </c>
      <c r="AN22" s="524">
        <f t="shared" si="109"/>
        <v>-33.217166504540117</v>
      </c>
      <c r="AO22" s="525">
        <f t="shared" si="110"/>
        <v>14.189799686112464</v>
      </c>
      <c r="AP22" s="528">
        <f t="shared" si="111"/>
        <v>-7.8861145196346607</v>
      </c>
      <c r="AQ22" s="529">
        <f t="shared" si="13"/>
        <v>0.72158516355842628</v>
      </c>
      <c r="AR22" s="979"/>
      <c r="AS22" s="954">
        <f t="shared" si="147"/>
        <v>294.64864916360864</v>
      </c>
      <c r="AT22" s="950">
        <f t="shared" si="14"/>
        <v>-0.21437412409051501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2.1190000000000002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1313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19</v>
      </c>
      <c r="JN22" s="960">
        <f>($JO22-SMALL($JO$9:$JO$88,1))/((Settings!$C$19/2)-((Settings!$C$19/2)-LARGE($JO$9:$JO$88,1))-SMALL($JO$9:$JO$88,1))</f>
        <v>0.76211397007769033</v>
      </c>
      <c r="JO22" s="162">
        <f t="shared" si="134"/>
        <v>3.1591643188268308</v>
      </c>
      <c r="JP22" s="961">
        <f t="shared" si="135"/>
        <v>-33.217166504540117</v>
      </c>
      <c r="JQ22" s="961">
        <f t="shared" si="136"/>
        <v>14.189799686112464</v>
      </c>
      <c r="JS22" s="82">
        <v>14</v>
      </c>
      <c r="JT22" s="322">
        <f t="shared" si="137"/>
        <v>2.5831550798162115</v>
      </c>
      <c r="JU22" s="963">
        <f t="shared" si="138"/>
        <v>0.61118771238113767</v>
      </c>
      <c r="JV22" s="964">
        <v>1.5</v>
      </c>
      <c r="JW22" s="961">
        <f t="shared" si="92"/>
        <v>17.004137542976643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8.1827363217991103</v>
      </c>
      <c r="KG22" s="966">
        <f t="shared" si="244"/>
        <v>-3.837426666666671</v>
      </c>
      <c r="KH22" s="966">
        <f t="shared" si="141"/>
        <v>-6.8172636782008897</v>
      </c>
      <c r="KJ22" s="31"/>
    </row>
    <row r="23" spans="1:296" ht="15" customHeight="1" thickTop="1" x14ac:dyDescent="0.25">
      <c r="A23" s="75">
        <f t="shared" si="1"/>
        <v>0.02</v>
      </c>
      <c r="B23" s="578">
        <f t="shared" ref="B23:D23" si="285">IFERROR(O178+($A23*-E23),"")</f>
        <v>3.3769528149368599</v>
      </c>
      <c r="C23" s="572">
        <f t="shared" si="285"/>
        <v>1.4751712929118339</v>
      </c>
      <c r="D23" s="576">
        <f t="shared" si="285"/>
        <v>-0.7117271391080302</v>
      </c>
      <c r="E23" s="580">
        <f t="shared" ref="E23:K23" si="286">R178</f>
        <v>-0.13641350950521589</v>
      </c>
      <c r="F23" s="572">
        <f t="shared" si="286"/>
        <v>0.96999468955853441</v>
      </c>
      <c r="G23" s="579">
        <f t="shared" si="286"/>
        <v>0.20125023391964775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2.125</v>
      </c>
      <c r="K23" s="806">
        <f t="shared" si="286"/>
        <v>1313</v>
      </c>
      <c r="M23" s="164">
        <f t="shared" si="4"/>
        <v>2.125</v>
      </c>
      <c r="N23" s="575">
        <f t="shared" si="5"/>
        <v>3.3769528149368599</v>
      </c>
      <c r="O23" s="572">
        <f t="shared" si="6"/>
        <v>1.4751712929118339</v>
      </c>
      <c r="P23" s="576">
        <f t="shared" si="7"/>
        <v>-0.7117271391080302</v>
      </c>
      <c r="Q23" s="528">
        <f t="shared" si="144"/>
        <v>23.597391052085008</v>
      </c>
      <c r="R23" s="572">
        <f t="shared" si="95"/>
        <v>3.6850971028917479</v>
      </c>
      <c r="S23" s="577">
        <f t="shared" si="96"/>
        <v>-0.7117271391080302</v>
      </c>
      <c r="T23" s="578">
        <f t="shared" si="97"/>
        <v>1.5112655413149096</v>
      </c>
      <c r="U23" s="572">
        <f t="shared" si="98"/>
        <v>-3.3609547931168766</v>
      </c>
      <c r="V23" s="579">
        <f t="shared" si="145"/>
        <v>-0.7117271391080302</v>
      </c>
      <c r="W23" s="528">
        <f t="shared" si="268"/>
        <v>294.21123987194284</v>
      </c>
      <c r="X23" s="572">
        <f t="shared" si="99"/>
        <v>3.6850971028917479</v>
      </c>
      <c r="Y23" s="573">
        <f t="shared" si="271"/>
        <v>-0.7117271391080302</v>
      </c>
      <c r="Z23" s="575">
        <f t="shared" si="10"/>
        <v>0.13641350950521589</v>
      </c>
      <c r="AA23" s="572">
        <f t="shared" si="11"/>
        <v>-0.96999468955853441</v>
      </c>
      <c r="AB23" s="572">
        <f t="shared" si="12"/>
        <v>-0.20125023391964775</v>
      </c>
      <c r="AC23" s="579">
        <f t="shared" si="100"/>
        <v>1</v>
      </c>
      <c r="AD23" s="580">
        <f t="shared" si="146"/>
        <v>0.13641350950521589</v>
      </c>
      <c r="AE23" s="572">
        <f t="shared" si="101"/>
        <v>-0.96999468955853441</v>
      </c>
      <c r="AF23" s="576">
        <f t="shared" si="102"/>
        <v>-0.20125023391964775</v>
      </c>
      <c r="AG23" s="545">
        <f t="shared" si="103"/>
        <v>-78.278819134860669</v>
      </c>
      <c r="AH23" s="546">
        <f t="shared" si="104"/>
        <v>82.159635762181082</v>
      </c>
      <c r="AI23" s="528">
        <f t="shared" si="105"/>
        <v>-78.389921169410698</v>
      </c>
      <c r="AJ23" s="529">
        <f t="shared" si="106"/>
        <v>8.0051926024171571</v>
      </c>
      <c r="AK23" s="578">
        <f t="shared" si="247"/>
        <v>0.94349198772472165</v>
      </c>
      <c r="AL23" s="572">
        <f t="shared" si="107"/>
        <v>-0.26328921824970497</v>
      </c>
      <c r="AM23" s="577">
        <f t="shared" si="108"/>
        <v>-0.20125023391964775</v>
      </c>
      <c r="AN23" s="524">
        <f t="shared" si="109"/>
        <v>-52.606808821385378</v>
      </c>
      <c r="AO23" s="525">
        <f t="shared" si="110"/>
        <v>19.353488634615253</v>
      </c>
      <c r="AP23" s="528">
        <f t="shared" si="111"/>
        <v>-15.592198449667848</v>
      </c>
      <c r="AQ23" s="529">
        <f t="shared" si="13"/>
        <v>0.61861003513801816</v>
      </c>
      <c r="AR23" s="979"/>
      <c r="AS23" s="954">
        <f t="shared" si="147"/>
        <v>294.21123987194284</v>
      </c>
      <c r="AT23" s="950">
        <f t="shared" si="14"/>
        <v>-0.66849514666807452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2.125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cm="1">
        <f t="array" ref="JC23:JC25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12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4</v>
      </c>
      <c r="JI23" s="742">
        <v>8</v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0</v>
      </c>
      <c r="JK23" s="742">
        <v>0</v>
      </c>
      <c r="JM23" s="489">
        <f t="shared" si="133"/>
        <v>25</v>
      </c>
      <c r="JN23" s="960">
        <f>($JO23-SMALL($JO$9:$JO$88,1))/((Settings!$C$19/2)-((Settings!$C$19/2)-LARGE($JO$9:$JO$88,1))-SMALL($JO$9:$JO$88,1))</f>
        <v>0.89991916749985124</v>
      </c>
      <c r="JO23" s="162">
        <f t="shared" si="134"/>
        <v>3.6850971028917479</v>
      </c>
      <c r="JP23" s="961">
        <f t="shared" si="135"/>
        <v>-52.606808821385378</v>
      </c>
      <c r="JQ23" s="961">
        <f t="shared" si="136"/>
        <v>19.353488634615253</v>
      </c>
      <c r="JS23" s="82">
        <v>15</v>
      </c>
      <c r="JT23" s="322">
        <f t="shared" si="137"/>
        <v>2.7034384897730828</v>
      </c>
      <c r="JU23" s="963">
        <f t="shared" si="138"/>
        <v>0.64270443763185214</v>
      </c>
      <c r="JV23" s="961">
        <f t="shared" ref="JV23:JV53" si="287">INDEX($JM$9:$JQ$88,MATCH($JS23,$JM$9:$JM$88,0),4)</f>
        <v>-11.459520583760254</v>
      </c>
      <c r="JW23" s="961">
        <f t="shared" si="92"/>
        <v>17.615485326776415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4.4261832018870155</v>
      </c>
      <c r="KG23" s="966">
        <f t="shared" si="244"/>
        <v>-3.8120333333333321</v>
      </c>
      <c r="KH23" s="966">
        <f t="shared" si="141"/>
        <v>-3.7565531199120947</v>
      </c>
      <c r="KJ23" s="31"/>
    </row>
    <row r="24" spans="1:296" ht="15" customHeight="1" x14ac:dyDescent="0.25">
      <c r="A24" s="75">
        <f t="shared" si="1"/>
        <v>0.02</v>
      </c>
      <c r="B24" s="578">
        <f t="shared" ref="B24:D24" si="288">IFERROR(O179+($A24*-E24),"")</f>
        <v>3.6473753955618089</v>
      </c>
      <c r="C24" s="572">
        <f t="shared" si="288"/>
        <v>1.5740833389214501</v>
      </c>
      <c r="D24" s="576">
        <f t="shared" si="288"/>
        <v>-1.3496787626350448</v>
      </c>
      <c r="E24" s="580">
        <f t="shared" ref="E24:K24" si="289">R179</f>
        <v>3.9535141581852007E-2</v>
      </c>
      <c r="F24" s="572">
        <f t="shared" si="289"/>
        <v>0.98486823257588463</v>
      </c>
      <c r="G24" s="579">
        <f t="shared" si="289"/>
        <v>0.16873510909990314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2.1309999999999998</v>
      </c>
      <c r="K24" s="806">
        <f t="shared" si="289"/>
        <v>1313</v>
      </c>
      <c r="L24" s="82"/>
      <c r="M24" s="164">
        <f t="shared" si="4"/>
        <v>2.1309999999999998</v>
      </c>
      <c r="N24" s="575">
        <f t="shared" si="5"/>
        <v>3.6473753955618089</v>
      </c>
      <c r="O24" s="572">
        <f t="shared" si="6"/>
        <v>1.5740833389214501</v>
      </c>
      <c r="P24" s="576">
        <f t="shared" si="7"/>
        <v>-1.3496787626350448</v>
      </c>
      <c r="Q24" s="528">
        <f t="shared" si="144"/>
        <v>23.343387314999024</v>
      </c>
      <c r="R24" s="572">
        <f t="shared" si="95"/>
        <v>3.9725414578100708</v>
      </c>
      <c r="S24" s="577">
        <f t="shared" si="96"/>
        <v>-1.3496787626350448</v>
      </c>
      <c r="T24" s="578">
        <f t="shared" si="97"/>
        <v>1.6130690770521465</v>
      </c>
      <c r="U24" s="572">
        <f t="shared" si="98"/>
        <v>-3.6303021618975326</v>
      </c>
      <c r="V24" s="579">
        <f t="shared" si="145"/>
        <v>-1.3496787626350448</v>
      </c>
      <c r="W24" s="528">
        <f t="shared" si="268"/>
        <v>293.95723613485683</v>
      </c>
      <c r="X24" s="572">
        <f t="shared" si="99"/>
        <v>3.9725414578100708</v>
      </c>
      <c r="Y24" s="573">
        <f t="shared" si="271"/>
        <v>-1.3496787626350448</v>
      </c>
      <c r="Z24" s="575">
        <f t="shared" si="10"/>
        <v>-3.9535141581852007E-2</v>
      </c>
      <c r="AA24" s="572">
        <f t="shared" si="11"/>
        <v>-0.98486823257588463</v>
      </c>
      <c r="AB24" s="572">
        <f t="shared" si="12"/>
        <v>-0.16873510909990314</v>
      </c>
      <c r="AC24" s="579">
        <f t="shared" si="100"/>
        <v>1</v>
      </c>
      <c r="AD24" s="580">
        <f t="shared" si="146"/>
        <v>-3.9535141581852007E-2</v>
      </c>
      <c r="AE24" s="572">
        <f t="shared" si="101"/>
        <v>-0.98486823257588463</v>
      </c>
      <c r="AF24" s="576">
        <f t="shared" si="102"/>
        <v>-0.16873510909990314</v>
      </c>
      <c r="AG24" s="545">
        <f t="shared" si="103"/>
        <v>-80.278041703373617</v>
      </c>
      <c r="AH24" s="546">
        <f t="shared" si="104"/>
        <v>92.265787264635421</v>
      </c>
      <c r="AI24" s="528">
        <f t="shared" si="105"/>
        <v>-80.285716226199639</v>
      </c>
      <c r="AJ24" s="529">
        <f t="shared" si="106"/>
        <v>-2.2987655840892152</v>
      </c>
      <c r="AK24" s="578">
        <f>IF(M24="","",(COS(RADIANS((90-$Q$8)-W24))*AD24)+(-SIN(RADIANS((90-$Q$8)-W24))*AE24))</f>
        <v>0.88858797049478233</v>
      </c>
      <c r="AL24" s="572">
        <f t="shared" si="107"/>
        <v>-0.42654411454034613</v>
      </c>
      <c r="AM24" s="577">
        <f t="shared" si="108"/>
        <v>-0.16873510909990314</v>
      </c>
      <c r="AN24" s="524">
        <f t="shared" si="109"/>
        <v>-68.41691552516582</v>
      </c>
      <c r="AO24" s="525">
        <f t="shared" si="110"/>
        <v>27.30365528463081</v>
      </c>
      <c r="AP24" s="528">
        <f t="shared" si="111"/>
        <v>-25.642152899088188</v>
      </c>
      <c r="AQ24" s="529">
        <f t="shared" si="13"/>
        <v>0.57385188484906935</v>
      </c>
      <c r="AR24" s="979"/>
      <c r="AS24" s="954">
        <f t="shared" si="147"/>
        <v>293.95723613485683</v>
      </c>
      <c r="AT24" s="950">
        <f t="shared" si="14"/>
        <v>-1.3062703787110017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2.1309999999999998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 t="str">
        <v>CPS-31783r1</v>
      </c>
      <c r="JD24" s="797" cm="1">
        <f t="array" ref="JD24">IF($JC24="","",COUNT(IF(IF($IK$9:$IK$150&lt;&gt;"",$IM$9:$IM$150,"")=$JC24,$II$9:$II$150,"")))</f>
        <v>3</v>
      </c>
      <c r="JE24" s="5"/>
      <c r="JF24" s="5"/>
      <c r="JG24" s="10"/>
      <c r="JH24" s="236">
        <v>3</v>
      </c>
      <c r="JI24" s="744" t="str">
        <v/>
      </c>
      <c r="JJ24" s="728">
        <v>80</v>
      </c>
      <c r="JK24" s="744" t="str">
        <v/>
      </c>
      <c r="JM24" s="489">
        <f t="shared" si="133"/>
        <v>31</v>
      </c>
      <c r="JN24" s="960">
        <f>($JO24-SMALL($JO$9:$JO$88,1))/((Settings!$C$19/2)-((Settings!$C$19/2)-LARGE($JO$9:$JO$88,1))-SMALL($JO$9:$JO$88,1))</f>
        <v>0.97523549551281619</v>
      </c>
      <c r="JO24" s="162">
        <f t="shared" si="134"/>
        <v>3.9725414578100708</v>
      </c>
      <c r="JP24" s="961">
        <f t="shared" si="135"/>
        <v>-68.41691552516582</v>
      </c>
      <c r="JQ24" s="961">
        <f t="shared" si="136"/>
        <v>27.30365528463081</v>
      </c>
      <c r="JS24" s="82">
        <v>16</v>
      </c>
      <c r="JT24" s="322">
        <f t="shared" si="137"/>
        <v>2.8209044735941622</v>
      </c>
      <c r="JU24" s="963">
        <f t="shared" si="138"/>
        <v>0.67348293933646197</v>
      </c>
      <c r="JV24" s="961">
        <f t="shared" si="287"/>
        <v>-20.666006268892417</v>
      </c>
      <c r="JW24" s="961">
        <f>INDEX($JM$9:$JQ$88,MATCH($JS24,$JM$9:$JM$88,0),5)</f>
        <v>12.573350963572089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17.026312740360915</v>
      </c>
      <c r="KG24" s="966">
        <f t="shared" si="244"/>
        <v>-3.8247733333333382</v>
      </c>
      <c r="KH24" s="966">
        <f t="shared" si="141"/>
        <v>12.600129538473899</v>
      </c>
      <c r="KJ24" s="31"/>
    </row>
    <row r="25" spans="1:296" ht="15" customHeight="1" x14ac:dyDescent="0.25">
      <c r="A25" s="75">
        <f t="shared" si="1"/>
        <v>0.02</v>
      </c>
      <c r="B25" s="578">
        <f t="shared" ref="B25:D25" si="290">IFERROR(O180+($A25*-E25),"")</f>
        <v>3.7372009092816829</v>
      </c>
      <c r="C25" s="572">
        <f t="shared" si="290"/>
        <v>1.6044519863356781</v>
      </c>
      <c r="D25" s="576">
        <f t="shared" si="290"/>
        <v>-2.0087223461485939</v>
      </c>
      <c r="E25" s="580">
        <f t="shared" ref="E25:K25" si="291">R180</f>
        <v>0.11059470671750717</v>
      </c>
      <c r="F25" s="572">
        <f t="shared" si="291"/>
        <v>0.98709460363288981</v>
      </c>
      <c r="G25" s="579">
        <f t="shared" si="291"/>
        <v>0.11581474139718537</v>
      </c>
      <c r="H25" s="580">
        <f t="shared" si="291"/>
        <v>0.26450000000000001</v>
      </c>
      <c r="I25" s="572">
        <f t="shared" si="291"/>
        <v>0.52</v>
      </c>
      <c r="J25" s="483">
        <f t="shared" si="94"/>
        <v>2.137</v>
      </c>
      <c r="K25" s="806">
        <f t="shared" si="291"/>
        <v>1313</v>
      </c>
      <c r="L25" s="82"/>
      <c r="M25" s="164">
        <f t="shared" si="4"/>
        <v>2.137</v>
      </c>
      <c r="N25" s="575">
        <f t="shared" si="5"/>
        <v>3.7372009092816829</v>
      </c>
      <c r="O25" s="572">
        <f t="shared" si="6"/>
        <v>1.6044519863356781</v>
      </c>
      <c r="P25" s="576">
        <f t="shared" si="7"/>
        <v>-2.0087223461485939</v>
      </c>
      <c r="Q25" s="528">
        <f t="shared" si="144"/>
        <v>23.234775097726239</v>
      </c>
      <c r="R25" s="572">
        <f>IF(M25="","",SQRT(N25^2+O25^2))</f>
        <v>4.0670550540645918</v>
      </c>
      <c r="S25" s="577">
        <f>IF(M25="","",P25)</f>
        <v>-2.0087223461485939</v>
      </c>
      <c r="T25" s="578">
        <f>IF(M25="","",X25*COS(RADIANS(W25)))</f>
        <v>1.644398325251144</v>
      </c>
      <c r="U25" s="572">
        <f>IF(M25="","",X25*SIN(RADIANS(W25)))</f>
        <v>-3.7197971666078207</v>
      </c>
      <c r="V25" s="579">
        <f>IF(M25="","",Y25)</f>
        <v>-2.0087223461485939</v>
      </c>
      <c r="W25" s="528">
        <f t="shared" si="268"/>
        <v>293.84862391758406</v>
      </c>
      <c r="X25" s="572">
        <f>IF(M25="","",R25)</f>
        <v>4.0670550540645918</v>
      </c>
      <c r="Y25" s="573">
        <f t="shared" si="271"/>
        <v>-2.0087223461485939</v>
      </c>
      <c r="Z25" s="575">
        <f t="shared" si="10"/>
        <v>-0.11059470671750717</v>
      </c>
      <c r="AA25" s="572">
        <f t="shared" si="11"/>
        <v>-0.98709460363288981</v>
      </c>
      <c r="AB25" s="572">
        <f t="shared" si="12"/>
        <v>-0.11581474139718537</v>
      </c>
      <c r="AC25" s="579">
        <f>IF(M25="","",SQRT(Z25^2+AA25^2+AB25^2))</f>
        <v>1</v>
      </c>
      <c r="AD25" s="580">
        <f>IF(M25="","",Z25*(1/SQRT(Z25^2+AA25^2+AB25^2)))</f>
        <v>-0.11059470671750717</v>
      </c>
      <c r="AE25" s="572">
        <f>IF(M25="","",AA25*(1/SQRT(Z25^2+AA25^2+AB25^2)))</f>
        <v>-0.98709460363288981</v>
      </c>
      <c r="AF25" s="576">
        <f>IF(M25="","",AB25*(1/SQRT(Z25^2+AA25^2+AB25^2)))</f>
        <v>-0.11581474139718537</v>
      </c>
      <c r="AG25" s="545">
        <f>IF(M25="","",DEGREES(ATAN2(-AF25,AE25)))</f>
        <v>-83.308143157276305</v>
      </c>
      <c r="AH25" s="546">
        <f>IF(M25="","",DEGREES(ACOS(AD25)))</f>
        <v>96.349598930192101</v>
      </c>
      <c r="AI25" s="528">
        <f>IF(M25="","",DEGREES(-ACOS(-AF25)))</f>
        <v>-83.349379695737142</v>
      </c>
      <c r="AJ25" s="529">
        <f>IF(M25="","",DEGREES(ATAN2(-AE25,AD25)))</f>
        <v>-6.3927947048949187</v>
      </c>
      <c r="AK25" s="578">
        <f>IF(M25="","",(COS(RADIANS((90-$Q$8)-W25))*AD25)+(-SIN(RADIANS((90-$Q$8)-W25))*AE25))</f>
        <v>0.86340777459192786</v>
      </c>
      <c r="AL25" s="572">
        <f>IF(M25="","",(SIN(RADIANS((90-$Q$8)-W25))*AD25)+(COS(RADIANS((90-$Q$8)-W25))*AE25))</f>
        <v>-0.49103356346518495</v>
      </c>
      <c r="AM25" s="577">
        <f>IF(M25="","",AF25)</f>
        <v>-0.11581474139718537</v>
      </c>
      <c r="AN25" s="524">
        <f>IF(M25="","",DEGREES(ATAN2(-AM25,AL25)))</f>
        <v>-76.728810223784365</v>
      </c>
      <c r="AO25" s="525">
        <f>IF(ROUND(IF(M25="",0,DEGREES(ACOS(AK25))),4)=90,0,IF(M25="","",DEGREES(ACOS(AK25))))</f>
        <v>30.298611776153358</v>
      </c>
      <c r="AP25" s="528">
        <f>IF(M25="","",DEGREES(ATAN2(AK25,AL25)))</f>
        <v>-29.627569802621149</v>
      </c>
      <c r="AQ25" s="529">
        <f t="shared" si="13"/>
        <v>0.56051710008027344</v>
      </c>
      <c r="AR25" s="979"/>
      <c r="AS25" s="954">
        <f t="shared" si="147"/>
        <v>293.84862391758406</v>
      </c>
      <c r="AT25" s="950">
        <f t="shared" si="14"/>
        <v>-1.9652385370736669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2.137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4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 t="str">
        <v>CPS-32193r1</v>
      </c>
      <c r="JD25" s="797" cm="1">
        <f t="array" ref="JD25">IF($JC25="","",COUNT(IF(IF($IK$9:$IK$150&lt;&gt;"",$IM$9:$IM$150,"")=$JC25,$II$9:$II$150,"")))</f>
        <v>2</v>
      </c>
      <c r="JE25" s="5"/>
      <c r="JF25" s="5"/>
      <c r="JG25" s="10"/>
      <c r="JH25" s="236">
        <v>2</v>
      </c>
      <c r="JI25" s="744" t="str">
        <v/>
      </c>
      <c r="JJ25" s="728">
        <v>150</v>
      </c>
      <c r="JK25" s="744" t="str">
        <v/>
      </c>
      <c r="JM25" s="489">
        <f t="shared" si="133"/>
        <v>37</v>
      </c>
      <c r="JN25" s="960">
        <f>($JO25-SMALL($JO$9:$JO$88,1))/((Settings!$C$19/2)-((Settings!$C$19/2)-LARGE($JO$9:$JO$88,1))-SMALL($JO$9:$JO$88,1))</f>
        <v>0.99999999999999978</v>
      </c>
      <c r="JO25" s="162">
        <f t="shared" si="134"/>
        <v>4.0670550540645918</v>
      </c>
      <c r="JP25" s="961">
        <f t="shared" si="135"/>
        <v>-76.728810223784365</v>
      </c>
      <c r="JQ25" s="961">
        <f t="shared" si="136"/>
        <v>30.298611776153358</v>
      </c>
      <c r="JS25" s="82">
        <v>17</v>
      </c>
      <c r="JT25" s="322">
        <f t="shared" si="137"/>
        <v>2.9376285443267598</v>
      </c>
      <c r="JU25" s="963">
        <f t="shared" si="138"/>
        <v>0.70406704456546476</v>
      </c>
      <c r="JV25" s="961">
        <f t="shared" si="287"/>
        <v>-24.984335633462127</v>
      </c>
      <c r="JW25" s="961">
        <f t="shared" si="92"/>
        <v>13.108130717295621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2.866186320834478</v>
      </c>
      <c r="KD25" s="970">
        <v>-19.035433333333334</v>
      </c>
      <c r="KE25" s="968">
        <f t="shared" si="140"/>
        <v>-21.90161965416781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16.96175269033208</v>
      </c>
      <c r="KG25" s="966">
        <f t="shared" si="244"/>
        <v>-3.998626666666663</v>
      </c>
      <c r="KH25" s="966">
        <f t="shared" si="141"/>
        <v>-6.4560050028834581E-2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2.4628032240759818</v>
      </c>
      <c r="C26" s="572">
        <f t="shared" si="292"/>
        <v>0.11604608554606605</v>
      </c>
      <c r="D26" s="576">
        <f t="shared" si="292"/>
        <v>-8.7265459679480906E-2</v>
      </c>
      <c r="E26" s="580">
        <f t="shared" ref="E26:K26" si="293">R181</f>
        <v>8.7059137326413807E-2</v>
      </c>
      <c r="F26" s="572">
        <f t="shared" si="293"/>
        <v>4.1021840474235356E-3</v>
      </c>
      <c r="G26" s="579">
        <f t="shared" si="293"/>
        <v>0.99619469918988313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2.2130000000000001</v>
      </c>
      <c r="K26" s="806" t="str">
        <f t="shared" si="293"/>
        <v>CPS-32193r1</v>
      </c>
      <c r="L26" s="309"/>
      <c r="M26" s="164">
        <f t="shared" si="4"/>
        <v>2.2130000000000001</v>
      </c>
      <c r="N26" s="575">
        <f t="shared" si="5"/>
        <v>2.4628032240759818</v>
      </c>
      <c r="O26" s="572">
        <f t="shared" si="6"/>
        <v>0.11604608554606605</v>
      </c>
      <c r="P26" s="576">
        <f t="shared" si="7"/>
        <v>-8.7265459679480906E-2</v>
      </c>
      <c r="Q26" s="528">
        <f t="shared" si="144"/>
        <v>2.6977537776778906</v>
      </c>
      <c r="R26" s="572">
        <f>IF(M26="","",SQRT(N26^2+O26^2))</f>
        <v>2.4655357256567214</v>
      </c>
      <c r="S26" s="577">
        <f>IF(M26="","",P26)</f>
        <v>-8.7265459679480906E-2</v>
      </c>
      <c r="T26" s="578">
        <f>IF(M26="","",X26*COS(RADIANS(W26)))</f>
        <v>0.14242461385554883</v>
      </c>
      <c r="U26" s="572">
        <f>IF(M26="","",X26*SIN(RADIANS(W26)))</f>
        <v>-2.4614186242607561</v>
      </c>
      <c r="V26" s="579">
        <f>IF(M26="","",Y26)</f>
        <v>-8.7265459679480906E-2</v>
      </c>
      <c r="W26" s="528">
        <f t="shared" si="268"/>
        <v>273.31160259753574</v>
      </c>
      <c r="X26" s="572">
        <f>IF(M26="","",R26)</f>
        <v>2.4655357256567214</v>
      </c>
      <c r="Y26" s="573">
        <f t="shared" si="271"/>
        <v>-8.7265459679480906E-2</v>
      </c>
      <c r="Z26" s="575">
        <f t="shared" si="10"/>
        <v>-8.7059137326413807E-2</v>
      </c>
      <c r="AA26" s="572">
        <f t="shared" si="11"/>
        <v>-4.1021840474235356E-3</v>
      </c>
      <c r="AB26" s="572">
        <f t="shared" si="12"/>
        <v>-0.99619469918988313</v>
      </c>
      <c r="AC26" s="579">
        <f>IF(M26="","",SQRT(Z26^2+AA26^2+AB26^2))</f>
        <v>1</v>
      </c>
      <c r="AD26" s="580">
        <f>IF(M26="","",Z26*(1/SQRT(Z26^2+AA26^2+AB26^2)))</f>
        <v>-8.7059137326413807E-2</v>
      </c>
      <c r="AE26" s="572">
        <f>IF(M26="","",AA26*(1/SQRT(Z26^2+AA26^2+AB26^2)))</f>
        <v>-4.1021840474235356E-3</v>
      </c>
      <c r="AF26" s="576">
        <f>IF(M26="","",AB26*(1/SQRT(Z26^2+AA26^2+AB26^2)))</f>
        <v>-0.99619469918988313</v>
      </c>
      <c r="AG26" s="545">
        <f>IF(M26="","",DEGREES(ATAN2(-AF26,AE26)))</f>
        <v>-0.23593430522942116</v>
      </c>
      <c r="AH26" s="546">
        <f>IF(M26="","",DEGREES(ACOS(AD26)))</f>
        <v>94.994443797528149</v>
      </c>
      <c r="AI26" s="528">
        <f>IF(M26="","",DEGREES(-ACOS(-AF26)))</f>
        <v>-4.9999992780893976</v>
      </c>
      <c r="AJ26" s="529">
        <f>IF(M26="","",DEGREES(ATAN2(-AE26,AD26)))</f>
        <v>-87.302246222322111</v>
      </c>
      <c r="AK26" s="578">
        <f>IF(M26="","",(COS(RADIANS((90-$Q$8)-W26))*AD26)+(-SIN(RADIANS((90-$Q$8)-W26))*AE26))</f>
        <v>-1.3877787807814457E-17</v>
      </c>
      <c r="AL26" s="572">
        <f>IF(M26="","",(SIN(RADIANS((90-$Q$8)-W26))*AD26)+(COS(RADIANS((90-$Q$8)-W26))*AE26))</f>
        <v>-8.7155730195887376E-2</v>
      </c>
      <c r="AM26" s="577">
        <f>IF(M26="","",AF26)</f>
        <v>-0.99619469918988313</v>
      </c>
      <c r="AN26" s="524">
        <f>IF(M26="","",DEGREES(ATAN2(-AM26,AL26)))</f>
        <v>-4.9999992780894207</v>
      </c>
      <c r="AO26" s="525">
        <f t="shared" si="110"/>
        <v>0</v>
      </c>
      <c r="AP26" s="528">
        <f>IF(M26="","",DEGREES(ATAN2(AK26,AL26)))</f>
        <v>-90</v>
      </c>
      <c r="AQ26" s="529">
        <f t="shared" si="13"/>
        <v>0.92455717961911776</v>
      </c>
      <c r="AR26" s="979"/>
      <c r="AS26" s="954">
        <f t="shared" si="147"/>
        <v>273.31160259753574</v>
      </c>
      <c r="AT26" s="950">
        <f t="shared" si="14"/>
        <v>-2.9519830243409234E-2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2.2130000000000001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2.113</v>
      </c>
      <c r="IK26" s="677" cm="1">
        <f t="array" ref="IK26">IFERROR(ROUND(VALUE(IF($IJ26&lt;1,$IJ26+LARGE((IF($M$9:$M$150="",0,$M$9:$M$150)-MOD(IF($M$9:$M$150="",0,$M$9:$M$150),1)),1),$IJ26)),4),"")</f>
        <v>2.113</v>
      </c>
      <c r="IL26" s="482">
        <f t="shared" si="79"/>
        <v>1313</v>
      </c>
      <c r="IM26" s="482" t="str">
        <f t="shared" si="242"/>
        <v>CPS-32193r1</v>
      </c>
      <c r="IN26" s="670">
        <f t="shared" si="81"/>
        <v>21.730752916498943</v>
      </c>
      <c r="IO26" s="702">
        <v>1.7160103414008001E-2</v>
      </c>
      <c r="IP26" s="5">
        <f t="shared" si="82"/>
        <v>0.3</v>
      </c>
      <c r="IQ26" s="714">
        <v>150</v>
      </c>
      <c r="IR26" s="9">
        <f t="shared" si="132"/>
        <v>-2.4667500712449231</v>
      </c>
      <c r="IS26" s="5">
        <f t="shared" si="83"/>
        <v>-6.6113413302430812E-2</v>
      </c>
      <c r="IT26" s="5">
        <f t="shared" si="84"/>
        <v>0.26450000000000001</v>
      </c>
      <c r="IU26" s="5">
        <f t="shared" si="85"/>
        <v>0.25299976446591704</v>
      </c>
      <c r="IV26" s="670">
        <f t="shared" si="86"/>
        <v>4.7515890281711064</v>
      </c>
      <c r="IW26" s="9">
        <f t="shared" si="87"/>
        <v>-2.4655357256567214</v>
      </c>
      <c r="IX26" s="5">
        <f t="shared" si="88"/>
        <v>-8.7265459679480906E-2</v>
      </c>
      <c r="IY26" s="5">
        <f t="shared" si="89"/>
        <v>0.255</v>
      </c>
      <c r="IZ26" s="5">
        <f t="shared" si="90"/>
        <v>0.255</v>
      </c>
      <c r="JA26" s="705">
        <f t="shared" si="91"/>
        <v>4.9999992780894207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13</v>
      </c>
      <c r="JN26" s="960">
        <f>($JO26-SMALL($JO$9:$JO$88,1))/((Settings!$C$19/2)-((Settings!$C$19/2)-LARGE($JO$9:$JO$88,1))-SMALL($JO$9:$JO$88,1))</f>
        <v>0.58036902449608085</v>
      </c>
      <c r="JO26" s="162">
        <f t="shared" si="134"/>
        <v>2.4655357256567214</v>
      </c>
      <c r="JP26" s="961">
        <f t="shared" si="135"/>
        <v>-4.9999992780894207</v>
      </c>
      <c r="JQ26" s="961">
        <f t="shared" si="136"/>
        <v>0</v>
      </c>
      <c r="JS26" s="82">
        <v>18</v>
      </c>
      <c r="JT26" s="322">
        <f t="shared" si="137"/>
        <v>3.0502995036288207</v>
      </c>
      <c r="JU26" s="963">
        <f t="shared" si="138"/>
        <v>0.73358915130762281</v>
      </c>
      <c r="JV26" s="961">
        <f>INDEX($JM$9:$JQ$88,MATCH($JS26,$JM$9:$JM$88,0),4)</f>
        <v>-29.583784554698774</v>
      </c>
      <c r="JW26" s="961">
        <f t="shared" si="92"/>
        <v>13.157461390421032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-2.2214651896751878</v>
      </c>
      <c r="KD26" s="970">
        <v>-23.03406</v>
      </c>
      <c r="KE26" s="968">
        <f t="shared" si="140"/>
        <v>-20.812594810324811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17.17969260934591</v>
      </c>
      <c r="KG26" s="966">
        <f t="shared" si="244"/>
        <v>-3.9986266666666666</v>
      </c>
      <c r="KH26" s="966">
        <f t="shared" si="141"/>
        <v>0.21793991901382981</v>
      </c>
      <c r="KJ26" s="31"/>
    </row>
    <row r="27" spans="1:296" ht="15" customHeight="1" x14ac:dyDescent="0.25">
      <c r="A27" s="75">
        <f t="shared" si="1"/>
        <v>0.02</v>
      </c>
      <c r="B27" s="578">
        <f t="shared" ref="B27:D27" si="294">IFERROR(O182+($A27*-E27),"")</f>
        <v>3.1296229884943974</v>
      </c>
      <c r="C27" s="572">
        <f t="shared" si="294"/>
        <v>0.4435313186417903</v>
      </c>
      <c r="D27" s="576">
        <f t="shared" si="294"/>
        <v>-0.2727093303930988</v>
      </c>
      <c r="E27" s="580">
        <f t="shared" ref="E27:K27" si="295">R182</f>
        <v>3.0030263963404694E-2</v>
      </c>
      <c r="F27" s="572">
        <f t="shared" si="295"/>
        <v>0.95860784310480929</v>
      </c>
      <c r="G27" s="579">
        <f t="shared" si="295"/>
        <v>0.28314163661361025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2.2189999999999999</v>
      </c>
      <c r="K27" s="806">
        <f t="shared" si="295"/>
        <v>1313</v>
      </c>
      <c r="L27" s="309"/>
      <c r="M27" s="164">
        <f t="shared" si="4"/>
        <v>2.2189999999999999</v>
      </c>
      <c r="N27" s="575">
        <f t="shared" si="5"/>
        <v>3.1296229884943974</v>
      </c>
      <c r="O27" s="572">
        <f t="shared" si="6"/>
        <v>0.4435313186417903</v>
      </c>
      <c r="P27" s="576">
        <f t="shared" si="7"/>
        <v>-0.2727093303930988</v>
      </c>
      <c r="Q27" s="528">
        <f t="shared" si="144"/>
        <v>8.0662624133679106</v>
      </c>
      <c r="R27" s="572">
        <f t="shared" si="95"/>
        <v>3.1608954555202753</v>
      </c>
      <c r="S27" s="577">
        <f t="shared" si="96"/>
        <v>-0.2727093303930988</v>
      </c>
      <c r="T27" s="578">
        <f t="shared" si="97"/>
        <v>0.47703501117711744</v>
      </c>
      <c r="U27" s="572">
        <f t="shared" si="98"/>
        <v>-3.1246916133980287</v>
      </c>
      <c r="V27" s="579">
        <f t="shared" si="145"/>
        <v>-0.2727093303930988</v>
      </c>
      <c r="W27" s="528">
        <f t="shared" si="268"/>
        <v>278.68011123322572</v>
      </c>
      <c r="X27" s="572">
        <f t="shared" si="99"/>
        <v>3.1608954555202753</v>
      </c>
      <c r="Y27" s="573">
        <f t="shared" si="271"/>
        <v>-0.2727093303930988</v>
      </c>
      <c r="Z27" s="575">
        <f t="shared" si="10"/>
        <v>-3.0030263963404694E-2</v>
      </c>
      <c r="AA27" s="572">
        <f t="shared" si="11"/>
        <v>-0.95860784310480929</v>
      </c>
      <c r="AB27" s="572">
        <f t="shared" si="12"/>
        <v>-0.28314163661361025</v>
      </c>
      <c r="AC27" s="579">
        <f t="shared" si="100"/>
        <v>1</v>
      </c>
      <c r="AD27" s="580">
        <f t="shared" si="146"/>
        <v>-3.0030263963404694E-2</v>
      </c>
      <c r="AE27" s="572">
        <f t="shared" si="101"/>
        <v>-0.95860784310480929</v>
      </c>
      <c r="AF27" s="576">
        <f t="shared" si="102"/>
        <v>-0.28314163661361025</v>
      </c>
      <c r="AG27" s="545">
        <f t="shared" si="103"/>
        <v>-73.544570327638468</v>
      </c>
      <c r="AH27" s="546">
        <f t="shared" si="104"/>
        <v>91.720866099866655</v>
      </c>
      <c r="AI27" s="528">
        <f t="shared" si="105"/>
        <v>-73.552202762387878</v>
      </c>
      <c r="AJ27" s="529">
        <f t="shared" si="106"/>
        <v>-1.7943154449316729</v>
      </c>
      <c r="AK27" s="578">
        <f t="shared" si="247"/>
        <v>0.94491001748913539</v>
      </c>
      <c r="AL27" s="572">
        <f t="shared" si="107"/>
        <v>-0.16424333308980416</v>
      </c>
      <c r="AM27" s="577">
        <f t="shared" si="108"/>
        <v>-0.28314163661361025</v>
      </c>
      <c r="AN27" s="524">
        <f t="shared" si="109"/>
        <v>-30.116940699971128</v>
      </c>
      <c r="AO27" s="525">
        <f t="shared" si="110"/>
        <v>19.10680927910596</v>
      </c>
      <c r="AP27" s="528">
        <f t="shared" si="111"/>
        <v>-9.8605778582995871</v>
      </c>
      <c r="AQ27" s="529">
        <f t="shared" si="13"/>
        <v>0.72119001269119054</v>
      </c>
      <c r="AR27" s="979"/>
      <c r="AS27" s="954">
        <f t="shared" si="147"/>
        <v>278.68011123322572</v>
      </c>
      <c r="AT27" s="950">
        <f t="shared" si="14"/>
        <v>-0.21869183195403408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Nose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2.2189999999999999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2.1190000000000002</v>
      </c>
      <c r="IK27" s="677" cm="1">
        <f t="array" ref="IK27">IFERROR(ROUND(VALUE(IF($IJ27&lt;1,$IJ27+LARGE((IF($M$9:$M$150="",0,$M$9:$M$150)-MOD(IF($M$9:$M$150="",0,$M$9:$M$150),1)),1),$IJ27)),4),"")</f>
        <v>2.1190000000000002</v>
      </c>
      <c r="IL27" s="482">
        <f t="shared" si="79"/>
        <v>1313</v>
      </c>
      <c r="IM27" s="482">
        <f t="shared" si="242"/>
        <v>1313</v>
      </c>
      <c r="IN27" s="670">
        <f t="shared" si="81"/>
        <v>15.968537930382922</v>
      </c>
      <c r="IO27" s="702">
        <v>2.72354702564961E-4</v>
      </c>
      <c r="IP27" s="5">
        <f t="shared" si="82"/>
        <v>0</v>
      </c>
      <c r="IQ27" s="714">
        <v>0</v>
      </c>
      <c r="IR27" s="9">
        <f t="shared" si="132"/>
        <v>-3.1591643188268308</v>
      </c>
      <c r="IS27" s="5">
        <f t="shared" si="83"/>
        <v>-0.25730236007792495</v>
      </c>
      <c r="IT27" s="5">
        <f t="shared" si="84"/>
        <v>0.26450000000000001</v>
      </c>
      <c r="IU27" s="5">
        <f t="shared" si="85"/>
        <v>0.25642984218639053</v>
      </c>
      <c r="IV27" s="670">
        <f t="shared" si="86"/>
        <v>33.217166504540117</v>
      </c>
      <c r="IW27" s="9">
        <f t="shared" si="87"/>
        <v>-3.1608954555202753</v>
      </c>
      <c r="IX27" s="5">
        <f t="shared" si="88"/>
        <v>-0.2727093303930988</v>
      </c>
      <c r="IY27" s="5">
        <f t="shared" si="89"/>
        <v>0.26450000000000001</v>
      </c>
      <c r="IZ27" s="5">
        <f t="shared" si="90"/>
        <v>0.24992869962587633</v>
      </c>
      <c r="JA27" s="705">
        <f t="shared" si="91"/>
        <v>30.116940699971128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19</v>
      </c>
      <c r="JN27" s="960">
        <f>($JO27-SMALL($JO$9:$JO$88,1))/((Settings!$C$19/2)-((Settings!$C$19/2)-LARGE($JO$9:$JO$88,1))-SMALL($JO$9:$JO$88,1))</f>
        <v>0.76256756346649002</v>
      </c>
      <c r="JO27" s="162">
        <f t="shared" si="134"/>
        <v>3.1608954555202753</v>
      </c>
      <c r="JP27" s="961">
        <f t="shared" si="135"/>
        <v>-30.116940699971128</v>
      </c>
      <c r="JQ27" s="961">
        <f t="shared" si="136"/>
        <v>19.10680927910596</v>
      </c>
      <c r="JS27" s="82">
        <v>19</v>
      </c>
      <c r="JT27" s="322">
        <f t="shared" si="137"/>
        <v>3.1591643188268308</v>
      </c>
      <c r="JU27" s="963">
        <f t="shared" si="138"/>
        <v>0.76211397007769033</v>
      </c>
      <c r="JV27" s="961">
        <f t="shared" si="287"/>
        <v>-33.217166504540117</v>
      </c>
      <c r="JW27" s="961">
        <f t="shared" si="92"/>
        <v>14.189799686112464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-15.540299564735353</v>
      </c>
      <c r="KD27" s="970">
        <v>-27.032773333333331</v>
      </c>
      <c r="KE27" s="968">
        <f t="shared" si="140"/>
        <v>-11.492473768597979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15.380556969494002</v>
      </c>
      <c r="KG27" s="966">
        <f t="shared" si="244"/>
        <v>-3.9987133333333311</v>
      </c>
      <c r="KH27" s="966">
        <f t="shared" si="141"/>
        <v>-1.7991356398519081</v>
      </c>
      <c r="KJ27" s="31"/>
    </row>
    <row r="28" spans="1:296" ht="15" customHeight="1" x14ac:dyDescent="0.25">
      <c r="A28" s="75">
        <f t="shared" si="1"/>
        <v>0.02</v>
      </c>
      <c r="B28" s="578">
        <f t="shared" ref="B28:D28" si="296">IFERROR(O183+($A28*-E28),"")</f>
        <v>3.6336822604665602</v>
      </c>
      <c r="C28" s="572">
        <f t="shared" si="296"/>
        <v>0.6384883243568884</v>
      </c>
      <c r="D28" s="576">
        <f t="shared" si="296"/>
        <v>-0.72342677851424386</v>
      </c>
      <c r="E28" s="580">
        <f t="shared" ref="E28:K28" si="297">R183</f>
        <v>0.15142010284434612</v>
      </c>
      <c r="F28" s="572">
        <f t="shared" si="297"/>
        <v>0.95241136418567185</v>
      </c>
      <c r="G28" s="579">
        <f t="shared" si="297"/>
        <v>0.2645459238480064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2.2250000000000001</v>
      </c>
      <c r="K28" s="806">
        <f t="shared" si="297"/>
        <v>1313</v>
      </c>
      <c r="L28" s="309"/>
      <c r="M28" s="164">
        <f t="shared" si="4"/>
        <v>2.2250000000000001</v>
      </c>
      <c r="N28" s="575">
        <f t="shared" si="5"/>
        <v>3.6336822604665602</v>
      </c>
      <c r="O28" s="572">
        <f t="shared" si="6"/>
        <v>0.6384883243568884</v>
      </c>
      <c r="P28" s="576">
        <f t="shared" si="7"/>
        <v>-0.72342677851424386</v>
      </c>
      <c r="Q28" s="528">
        <f t="shared" si="144"/>
        <v>9.9659263002608114</v>
      </c>
      <c r="R28" s="572">
        <f t="shared" si="95"/>
        <v>3.6893514484756582</v>
      </c>
      <c r="S28" s="577">
        <f t="shared" si="96"/>
        <v>-0.72342677851424386</v>
      </c>
      <c r="T28" s="578">
        <f t="shared" si="97"/>
        <v>0.67738105607461918</v>
      </c>
      <c r="U28" s="572">
        <f t="shared" si="98"/>
        <v>-3.6266332893250555</v>
      </c>
      <c r="V28" s="579">
        <f t="shared" si="145"/>
        <v>-0.72342677851424386</v>
      </c>
      <c r="W28" s="528">
        <f t="shared" si="268"/>
        <v>280.57977512011865</v>
      </c>
      <c r="X28" s="572">
        <f t="shared" si="99"/>
        <v>3.6893514484756582</v>
      </c>
      <c r="Y28" s="573">
        <f t="shared" si="271"/>
        <v>-0.72342677851424386</v>
      </c>
      <c r="Z28" s="575">
        <f t="shared" si="10"/>
        <v>-0.15142010284434612</v>
      </c>
      <c r="AA28" s="572">
        <f t="shared" si="11"/>
        <v>-0.95241136418567185</v>
      </c>
      <c r="AB28" s="572">
        <f t="shared" si="12"/>
        <v>-0.2645459238480064</v>
      </c>
      <c r="AC28" s="579">
        <f t="shared" si="100"/>
        <v>1</v>
      </c>
      <c r="AD28" s="580">
        <f t="shared" si="146"/>
        <v>-0.15142010284434612</v>
      </c>
      <c r="AE28" s="572">
        <f t="shared" si="101"/>
        <v>-0.95241136418567185</v>
      </c>
      <c r="AF28" s="576">
        <f t="shared" si="102"/>
        <v>-0.2645459238480064</v>
      </c>
      <c r="AG28" s="545">
        <f t="shared" si="103"/>
        <v>-74.47660323020385</v>
      </c>
      <c r="AH28" s="546">
        <f t="shared" si="104"/>
        <v>98.709232564048818</v>
      </c>
      <c r="AI28" s="528">
        <f t="shared" si="105"/>
        <v>-74.660026727854628</v>
      </c>
      <c r="AJ28" s="529">
        <f t="shared" si="106"/>
        <v>-9.0336219809631473</v>
      </c>
      <c r="AK28" s="578">
        <f t="shared" si="247"/>
        <v>0.9118351444558489</v>
      </c>
      <c r="AL28" s="572">
        <f t="shared" si="107"/>
        <v>-0.31396197781034885</v>
      </c>
      <c r="AM28" s="577">
        <f t="shared" si="108"/>
        <v>-0.2645459238480064</v>
      </c>
      <c r="AN28" s="524">
        <f t="shared" si="109"/>
        <v>-49.882344734230259</v>
      </c>
      <c r="AO28" s="525">
        <f t="shared" si="110"/>
        <v>24.239800323062987</v>
      </c>
      <c r="AP28" s="528">
        <f t="shared" si="111"/>
        <v>-18.999548281224001</v>
      </c>
      <c r="AQ28" s="529">
        <f t="shared" si="13"/>
        <v>0.61789674535228623</v>
      </c>
      <c r="AR28" s="979"/>
      <c r="AS28" s="954">
        <f t="shared" si="147"/>
        <v>280.57977512011865</v>
      </c>
      <c r="AT28" s="950">
        <f t="shared" si="14"/>
        <v>-0.67072849110774369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2.2250000000000001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2.125</v>
      </c>
      <c r="IK28" s="677" cm="1">
        <f t="array" ref="IK28">IFERROR(ROUND(VALUE(IF($IJ28&lt;1,$IJ28+LARGE((IF($M$9:$M$150="",0,$M$9:$M$150)-MOD(IF($M$9:$M$150="",0,$M$9:$M$150),1)),1),$IJ28)),4),"")</f>
        <v>2.125</v>
      </c>
      <c r="IL28" s="482">
        <f>IF(ISNUMBER($IK28),INDEX($K$9:$K$150,MATCH($IK28,$M$9:$M$150,0)),$K28)</f>
        <v>1313</v>
      </c>
      <c r="IM28" s="482">
        <f t="shared" si="242"/>
        <v>1313</v>
      </c>
      <c r="IN28" s="670">
        <f t="shared" si="81"/>
        <v>13.631464751824183</v>
      </c>
      <c r="IO28" s="702">
        <v>8.0089377535073501E-4</v>
      </c>
      <c r="IP28" s="5">
        <f t="shared" si="82"/>
        <v>0</v>
      </c>
      <c r="IQ28" s="714">
        <v>0</v>
      </c>
      <c r="IR28" s="9">
        <f t="shared" si="132"/>
        <v>-3.6850971028917479</v>
      </c>
      <c r="IS28" s="5">
        <f t="shared" si="83"/>
        <v>-0.7117271391080302</v>
      </c>
      <c r="IT28" s="5">
        <f t="shared" si="84"/>
        <v>0.26450000000000001</v>
      </c>
      <c r="IU28" s="5">
        <f t="shared" si="85"/>
        <v>0.2495536307531889</v>
      </c>
      <c r="IV28" s="670">
        <f t="shared" si="86"/>
        <v>52.606808821385378</v>
      </c>
      <c r="IW28" s="9">
        <f t="shared" si="87"/>
        <v>-3.6893514484756582</v>
      </c>
      <c r="IX28" s="5">
        <f t="shared" si="88"/>
        <v>-0.72342677851424386</v>
      </c>
      <c r="IY28" s="5">
        <f t="shared" si="89"/>
        <v>0.26450000000000001</v>
      </c>
      <c r="IZ28" s="5">
        <f t="shared" si="90"/>
        <v>0.24118039570857205</v>
      </c>
      <c r="JA28" s="705">
        <f t="shared" si="91"/>
        <v>49.882344734230259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25</v>
      </c>
      <c r="JN28" s="960">
        <f>($JO28-SMALL($JO$9:$JO$88,1))/((Settings!$C$19/2)-((Settings!$C$19/2)-LARGE($JO$9:$JO$88,1))-SMALL($JO$9:$JO$88,1))</f>
        <v>0.90103389347027196</v>
      </c>
      <c r="JO28" s="162">
        <f t="shared" si="134"/>
        <v>3.6893514484756582</v>
      </c>
      <c r="JP28" s="961">
        <f t="shared" si="135"/>
        <v>-49.882344734230259</v>
      </c>
      <c r="JQ28" s="961">
        <f t="shared" si="136"/>
        <v>24.239800323062987</v>
      </c>
      <c r="JS28" s="82">
        <v>20</v>
      </c>
      <c r="JT28" s="322">
        <f t="shared" si="137"/>
        <v>3.2642190377946454</v>
      </c>
      <c r="JU28" s="963">
        <f t="shared" si="138"/>
        <v>0.78964046533740073</v>
      </c>
      <c r="JV28" s="961">
        <f t="shared" si="287"/>
        <v>-36.639502470632927</v>
      </c>
      <c r="JW28" s="961">
        <f t="shared" si="92"/>
        <v>15.222135135657478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-23.174544548267335</v>
      </c>
      <c r="KD28" s="970">
        <v>-30.969086666666662</v>
      </c>
      <c r="KE28" s="968">
        <f t="shared" si="140"/>
        <v>-7.7945421183993275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12.884007092365046</v>
      </c>
      <c r="KG28" s="966">
        <f t="shared" si="244"/>
        <v>-3.9363133333333309</v>
      </c>
      <c r="KH28" s="966">
        <f t="shared" si="141"/>
        <v>-2.496549877128956</v>
      </c>
      <c r="KJ28" s="31"/>
    </row>
    <row r="29" spans="1:296" ht="15" customHeight="1" x14ac:dyDescent="0.25">
      <c r="A29" s="75">
        <f t="shared" si="1"/>
        <v>0.02</v>
      </c>
      <c r="B29" s="578">
        <f t="shared" ref="B29:D29" si="298">IFERROR(O184+($A29*-E29),"")</f>
        <v>0.55004192257909046</v>
      </c>
      <c r="C29" s="572">
        <f t="shared" si="298"/>
        <v>-0.33940311940093709</v>
      </c>
      <c r="D29" s="576">
        <f t="shared" si="298"/>
        <v>-0.23655565749133284</v>
      </c>
      <c r="E29" s="580">
        <f t="shared" ref="E29:K29" si="299">R184</f>
        <v>0.43595790309282811</v>
      </c>
      <c r="F29" s="572">
        <f t="shared" si="299"/>
        <v>0.84009042526230393</v>
      </c>
      <c r="G29" s="579">
        <f t="shared" si="299"/>
        <v>0.32278287456664367</v>
      </c>
      <c r="H29" s="580">
        <f t="shared" si="299"/>
        <v>0.2165</v>
      </c>
      <c r="I29" s="572">
        <f t="shared" si="299"/>
        <v>0.52</v>
      </c>
      <c r="J29" s="483">
        <f t="shared" si="94"/>
        <v>3.1030000000000002</v>
      </c>
      <c r="K29" s="806">
        <f t="shared" si="299"/>
        <v>1113</v>
      </c>
      <c r="L29" s="82"/>
      <c r="M29" s="164">
        <f t="shared" si="4"/>
        <v>3.1030000000000002</v>
      </c>
      <c r="N29" s="575">
        <f t="shared" si="5"/>
        <v>0.55004192257909046</v>
      </c>
      <c r="O29" s="572">
        <f t="shared" si="6"/>
        <v>-0.33940311940093709</v>
      </c>
      <c r="P29" s="576">
        <f t="shared" si="7"/>
        <v>-0.23655565749133284</v>
      </c>
      <c r="Q29" s="528">
        <f t="shared" si="144"/>
        <v>328.32335811656753</v>
      </c>
      <c r="R29" s="572">
        <f>IF(M29="","",SQRT(N29^2+O29^2))</f>
        <v>0.64632854961976494</v>
      </c>
      <c r="S29" s="577">
        <f>IF(M29="","",P29)</f>
        <v>-0.23655565749133284</v>
      </c>
      <c r="T29" s="578">
        <f>IF(M29="","",X29*COS(RADIANS(W29)))</f>
        <v>-0.33349077866337734</v>
      </c>
      <c r="U29" s="572">
        <f>IF(M29="","",X29*SIN(RADIANS(W29)))</f>
        <v>-0.55364654302188432</v>
      </c>
      <c r="V29" s="579">
        <f>IF(M29="","",Y29)</f>
        <v>-0.23655565749133284</v>
      </c>
      <c r="W29" s="528">
        <f t="shared" si="268"/>
        <v>238.93720693642535</v>
      </c>
      <c r="X29" s="572">
        <f>IF(M29="","",R29)</f>
        <v>0.64632854961976494</v>
      </c>
      <c r="Y29" s="573">
        <f t="shared" si="271"/>
        <v>-0.23655565749133284</v>
      </c>
      <c r="Z29" s="575">
        <f t="shared" si="10"/>
        <v>-0.43595790309282811</v>
      </c>
      <c r="AA29" s="572">
        <f t="shared" si="11"/>
        <v>-0.84009042526230393</v>
      </c>
      <c r="AB29" s="572">
        <f t="shared" si="12"/>
        <v>-0.32278287456664367</v>
      </c>
      <c r="AC29" s="579">
        <f>IF(M29="","",SQRT(Z29^2+AA29^2+AB29^2))</f>
        <v>1</v>
      </c>
      <c r="AD29" s="580">
        <f>IF(M29="","",Z29*(1/SQRT(Z29^2+AA29^2+AB29^2)))</f>
        <v>-0.43595790309282811</v>
      </c>
      <c r="AE29" s="572">
        <f>IF(M29="","",AA29*(1/SQRT(Z29^2+AA29^2+AB29^2)))</f>
        <v>-0.84009042526230393</v>
      </c>
      <c r="AF29" s="576">
        <f>IF(M29="","",AB29*(1/SQRT(Z29^2+AA29^2+AB29^2)))</f>
        <v>-0.32278287456664367</v>
      </c>
      <c r="AG29" s="545">
        <f>IF(M29="","",DEGREES(ATAN2(-AF29,AE29)))</f>
        <v>-68.98202816606674</v>
      </c>
      <c r="AH29" s="546">
        <f>IF(M29="","",DEGREES(ACOS(AD29)))</f>
        <v>115.8462624131797</v>
      </c>
      <c r="AI29" s="528">
        <f>IF(M29="","",DEGREES(-ACOS(-AF29)))</f>
        <v>-71.168694898930553</v>
      </c>
      <c r="AJ29" s="529">
        <f>IF(M29="","",DEGREES(ATAN2(-AE29,AD29)))</f>
        <v>-27.426678301297883</v>
      </c>
      <c r="AK29" s="578">
        <f>IF(M29="","",(COS(RADIANS((90-$Q$8)-W29))*AD29)+(-SIN(RADIANS((90-$Q$8)-W29))*AE29))</f>
        <v>0.94387045914597667</v>
      </c>
      <c r="AL29" s="572">
        <f>IF(M29="","",(SIN(RADIANS((90-$Q$8)-W29))*AD29)+(COS(RADIANS((90-$Q$8)-W29))*AE29))</f>
        <v>7.0141088087209147E-2</v>
      </c>
      <c r="AM29" s="577">
        <f>IF(M29="","",AF29)</f>
        <v>-0.32278287456664367</v>
      </c>
      <c r="AN29" s="524">
        <f>IF(M29="","",DEGREES(ATAN2(-AM29,AL29)))</f>
        <v>12.259840972783408</v>
      </c>
      <c r="AO29" s="525">
        <f t="shared" si="110"/>
        <v>19.287947010418755</v>
      </c>
      <c r="AP29" s="528">
        <f>IF(M29="","",DEGREES(ATAN2(AK29,AL29)))</f>
        <v>4.2499635821346127</v>
      </c>
      <c r="AQ29" s="529">
        <f t="shared" si="13"/>
        <v>3.522749040359705</v>
      </c>
      <c r="AR29" s="979"/>
      <c r="AS29" s="954">
        <f t="shared" si="147"/>
        <v>238.93720693642535</v>
      </c>
      <c r="AT29" s="950">
        <f t="shared" si="14"/>
        <v>-0.15493891995726783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3.1030000000000002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1113</v>
      </c>
      <c r="IM29" s="482" t="str">
        <f t="shared" si="242"/>
        <v/>
      </c>
      <c r="IN29" s="670" t="str">
        <f t="shared" si="81"/>
        <v/>
      </c>
      <c r="IO29" s="702"/>
      <c r="IP29" s="5" t="str">
        <f t="shared" si="82"/>
        <v/>
      </c>
      <c r="IQ29" s="714"/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12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0</v>
      </c>
      <c r="JM29" s="489">
        <f t="shared" si="133"/>
        <v>3</v>
      </c>
      <c r="JN29" s="960">
        <f>($JO29-SMALL($JO$9:$JO$88,1))/((Settings!$C$19/2)-((Settings!$C$19/2)-LARGE($JO$9:$JO$88,1))-SMALL($JO$9:$JO$88,1))</f>
        <v>0.10369935939560576</v>
      </c>
      <c r="JO29" s="162">
        <f t="shared" si="134"/>
        <v>0.64632854961976494</v>
      </c>
      <c r="JP29" s="961">
        <f t="shared" si="135"/>
        <v>12.259840972783408</v>
      </c>
      <c r="JQ29" s="961">
        <f t="shared" si="136"/>
        <v>19.287947010418755</v>
      </c>
      <c r="JS29" s="82">
        <v>21</v>
      </c>
      <c r="JT29" s="322">
        <f t="shared" si="137"/>
        <v>3.3584178778717111</v>
      </c>
      <c r="JU29" s="963">
        <f t="shared" si="138"/>
        <v>0.81432249723780492</v>
      </c>
      <c r="JV29" s="961">
        <f t="shared" si="287"/>
        <v>-40.714180427077785</v>
      </c>
      <c r="JW29" s="961">
        <f t="shared" si="92"/>
        <v>15.274895277144269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-28.184356950225602</v>
      </c>
      <c r="KD29" s="970">
        <v>-34.905486666666668</v>
      </c>
      <c r="KE29" s="968">
        <f t="shared" si="140"/>
        <v>-6.7211297164410659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13.142452047584285</v>
      </c>
      <c r="KG29" s="966">
        <f t="shared" si="244"/>
        <v>-3.9364000000000061</v>
      </c>
      <c r="KH29" s="966">
        <f t="shared" si="141"/>
        <v>0.2584449552192396</v>
      </c>
      <c r="KJ29" s="31"/>
    </row>
    <row r="30" spans="1:296" ht="15" customHeight="1" x14ac:dyDescent="0.25">
      <c r="A30" s="75">
        <f t="shared" si="1"/>
        <v>0.02</v>
      </c>
      <c r="B30" s="578">
        <f t="shared" ref="B30:D30" si="300">IFERROR(O185+($A30*-E30),"")</f>
        <v>1.043927821286075</v>
      </c>
      <c r="C30" s="572">
        <f t="shared" si="300"/>
        <v>-0.62479777048157958</v>
      </c>
      <c r="D30" s="576">
        <f t="shared" si="300"/>
        <v>-0.16209740849959414</v>
      </c>
      <c r="E30" s="580">
        <f t="shared" ref="E30:K30" si="301">R185</f>
        <v>0.44510349050091264</v>
      </c>
      <c r="F30" s="572">
        <f t="shared" si="301"/>
        <v>0.84726502315744634</v>
      </c>
      <c r="G30" s="579">
        <f t="shared" si="301"/>
        <v>0.28987042497970705</v>
      </c>
      <c r="H30" s="580">
        <f t="shared" si="301"/>
        <v>0.2165</v>
      </c>
      <c r="I30" s="572">
        <f t="shared" si="301"/>
        <v>0.52</v>
      </c>
      <c r="J30" s="483">
        <f t="shared" si="94"/>
        <v>3.1059999999999999</v>
      </c>
      <c r="K30" s="806">
        <f t="shared" si="301"/>
        <v>1113</v>
      </c>
      <c r="L30" s="82"/>
      <c r="M30" s="164">
        <f t="shared" si="4"/>
        <v>3.1059999999999999</v>
      </c>
      <c r="N30" s="575">
        <f t="shared" si="5"/>
        <v>1.043927821286075</v>
      </c>
      <c r="O30" s="572">
        <f t="shared" si="6"/>
        <v>-0.62479777048157958</v>
      </c>
      <c r="P30" s="576">
        <f t="shared" si="7"/>
        <v>-0.16209740849959414</v>
      </c>
      <c r="Q30" s="528">
        <f t="shared" si="144"/>
        <v>329.09919753030181</v>
      </c>
      <c r="R30" s="572">
        <f>IF(M30="","",SQRT(N30^2+O30^2))</f>
        <v>1.2166172570097153</v>
      </c>
      <c r="S30" s="577">
        <f>IF(M30="","",P30)</f>
        <v>-0.16209740849959414</v>
      </c>
      <c r="T30" s="578">
        <f>IF(M30="","",X30*COS(RADIANS(W30)))</f>
        <v>-0.61357781493356056</v>
      </c>
      <c r="U30" s="572">
        <f>IF(M30="","",X30*SIN(RADIANS(W30)))</f>
        <v>-1.050561666479032</v>
      </c>
      <c r="V30" s="579">
        <f>IF(M30="","",Y30)</f>
        <v>-0.16209740849959414</v>
      </c>
      <c r="W30" s="528">
        <f t="shared" si="268"/>
        <v>239.71304635015963</v>
      </c>
      <c r="X30" s="572">
        <f>IF(M30="","",R30)</f>
        <v>1.2166172570097153</v>
      </c>
      <c r="Y30" s="573">
        <f t="shared" si="271"/>
        <v>-0.16209740849959414</v>
      </c>
      <c r="Z30" s="575">
        <f t="shared" si="10"/>
        <v>-0.44510349050091264</v>
      </c>
      <c r="AA30" s="572">
        <f t="shared" si="11"/>
        <v>-0.84726502315744634</v>
      </c>
      <c r="AB30" s="572">
        <f t="shared" si="12"/>
        <v>-0.28987042497970705</v>
      </c>
      <c r="AC30" s="579">
        <f>IF(M30="","",SQRT(Z30^2+AA30^2+AB30^2))</f>
        <v>1</v>
      </c>
      <c r="AD30" s="580">
        <f>IF(M30="","",Z30*(1/SQRT(Z30^2+AA30^2+AB30^2)))</f>
        <v>-0.44510349050091264</v>
      </c>
      <c r="AE30" s="572">
        <f>IF(M30="","",AA30*(1/SQRT(Z30^2+AA30^2+AB30^2)))</f>
        <v>-0.84726502315744634</v>
      </c>
      <c r="AF30" s="576">
        <f>IF(M30="","",AB30*(1/SQRT(Z30^2+AA30^2+AB30^2)))</f>
        <v>-0.28987042497970705</v>
      </c>
      <c r="AG30" s="545">
        <f>IF(M30="","",DEGREES(ATAN2(-AF30,AE30)))</f>
        <v>-71.112907609992703</v>
      </c>
      <c r="AH30" s="546">
        <f>IF(M30="","",DEGREES(ACOS(AD30)))</f>
        <v>116.42996024751056</v>
      </c>
      <c r="AI30" s="528">
        <f>IF(M30="","",DEGREES(-ACOS(-AF30)))</f>
        <v>-73.149801284535968</v>
      </c>
      <c r="AJ30" s="529">
        <f>IF(M30="","",DEGREES(ATAN2(-AE30,AD30)))</f>
        <v>-27.714810068362112</v>
      </c>
      <c r="AK30" s="578">
        <f>IF(M30="","",(COS(RADIANS((90-$Q$8)-W30))*AD30)+(-SIN(RADIANS((90-$Q$8)-W30))*AE30))</f>
        <v>0.95558664113697023</v>
      </c>
      <c r="AL30" s="572">
        <f>IF(M30="","",(SIN(RADIANS((90-$Q$8)-W30))*AD30)+(COS(RADIANS((90-$Q$8)-W30))*AE30))</f>
        <v>5.3191239905151455E-2</v>
      </c>
      <c r="AM30" s="577">
        <f>IF(M30="","",AF30)</f>
        <v>-0.28987042497970705</v>
      </c>
      <c r="AN30" s="524">
        <f>IF(M30="","",DEGREES(ATAN2(-AM30,AL30)))</f>
        <v>10.398099549225455</v>
      </c>
      <c r="AO30" s="525">
        <f>IF(ROUND(IF(M30="",0,DEGREES(ACOS(AK30))),4)=90,0,IF(M30="","",DEGREES(ACOS(AK30))))</f>
        <v>17.140167563157384</v>
      </c>
      <c r="AP30" s="528">
        <f>IF(M30="","",DEGREES(ATAN2(AK30,AL30)))</f>
        <v>3.1859924013360787</v>
      </c>
      <c r="AQ30" s="529">
        <f t="shared" si="13"/>
        <v>1.873156375550117</v>
      </c>
      <c r="AR30" s="979"/>
      <c r="AS30" s="954">
        <f t="shared" si="147"/>
        <v>239.71304635015963</v>
      </c>
      <c r="AT30" s="950">
        <f t="shared" si="14"/>
        <v>-8.1019448336177954E-2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3.1059999999999999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1113</v>
      </c>
      <c r="IM30" s="482" t="str">
        <f t="shared" si="242"/>
        <v/>
      </c>
      <c r="IN30" s="670" t="str">
        <f t="shared" si="81"/>
        <v/>
      </c>
      <c r="IO30" s="702"/>
      <c r="IP30" s="5" t="str">
        <f t="shared" si="82"/>
        <v/>
      </c>
      <c r="IQ30" s="714"/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5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80</v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6</v>
      </c>
      <c r="JN30" s="960">
        <f>($JO30-SMALL($JO$9:$JO$88,1))/((Settings!$C$19/2)-((Settings!$C$19/2)-LARGE($JO$9:$JO$88,1))-SMALL($JO$9:$JO$88,1))</f>
        <v>0.25312672024976518</v>
      </c>
      <c r="JO30" s="162">
        <f t="shared" si="134"/>
        <v>1.2166172570097153</v>
      </c>
      <c r="JP30" s="961">
        <f t="shared" si="135"/>
        <v>10.398099549225455</v>
      </c>
      <c r="JQ30" s="961">
        <f t="shared" si="136"/>
        <v>17.140167563157384</v>
      </c>
      <c r="JS30" s="82">
        <v>22</v>
      </c>
      <c r="JT30" s="322">
        <f t="shared" si="137"/>
        <v>3.4486749667305214</v>
      </c>
      <c r="JU30" s="963">
        <f t="shared" si="138"/>
        <v>0.83797170931545062</v>
      </c>
      <c r="JV30" s="961">
        <f t="shared" si="287"/>
        <v>-43.755531066514841</v>
      </c>
      <c r="JW30" s="961">
        <f t="shared" si="92"/>
        <v>16.299985288326997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-32.456167881672975</v>
      </c>
      <c r="KD30" s="970">
        <v>-38.841799999999999</v>
      </c>
      <c r="KE30" s="968">
        <f t="shared" si="140"/>
        <v>-6.3856321183270239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13.973580188080197</v>
      </c>
      <c r="KG30" s="966">
        <f t="shared" si="244"/>
        <v>-3.9363133333333309</v>
      </c>
      <c r="KH30" s="966">
        <f t="shared" si="141"/>
        <v>0.83112814049591144</v>
      </c>
      <c r="KJ30" s="31"/>
    </row>
    <row r="31" spans="1:296" ht="15" customHeight="1" x14ac:dyDescent="0.25">
      <c r="A31" s="75">
        <f t="shared" si="1"/>
        <v>0.02</v>
      </c>
      <c r="B31" s="578">
        <f t="shared" ref="B31:D31" si="302">IFERROR(O186+($A31*-E31),"")</f>
        <v>1.527777504506052</v>
      </c>
      <c r="C31" s="572">
        <f t="shared" si="302"/>
        <v>-0.90414890579294049</v>
      </c>
      <c r="D31" s="576">
        <f t="shared" si="302"/>
        <v>-8.7497654095203464E-2</v>
      </c>
      <c r="E31" s="580">
        <f t="shared" ref="E31:K31" si="303">R186</f>
        <v>0.44510350139426585</v>
      </c>
      <c r="F31" s="572">
        <f t="shared" si="303"/>
        <v>0.84726503133069531</v>
      </c>
      <c r="G31" s="579">
        <f t="shared" si="303"/>
        <v>0.28987038436301271</v>
      </c>
      <c r="H31" s="580">
        <f t="shared" si="303"/>
        <v>0.2165</v>
      </c>
      <c r="I31" s="572">
        <f t="shared" si="303"/>
        <v>0.52</v>
      </c>
      <c r="J31" s="483">
        <f t="shared" si="94"/>
        <v>3.109</v>
      </c>
      <c r="K31" s="806">
        <f t="shared" si="303"/>
        <v>1113</v>
      </c>
      <c r="L31" s="309"/>
      <c r="M31" s="164">
        <f t="shared" si="4"/>
        <v>3.109</v>
      </c>
      <c r="N31" s="575">
        <f t="shared" si="5"/>
        <v>1.527777504506052</v>
      </c>
      <c r="O31" s="572">
        <f t="shared" si="6"/>
        <v>-0.90414890579294049</v>
      </c>
      <c r="P31" s="576">
        <f t="shared" si="7"/>
        <v>-8.7497654095203464E-2</v>
      </c>
      <c r="Q31" s="528">
        <f t="shared" si="144"/>
        <v>329.3826706608827</v>
      </c>
      <c r="R31" s="572">
        <f>IF(M31="","",SQRT(N31^2+O31^2))</f>
        <v>1.7752716262930897</v>
      </c>
      <c r="S31" s="577">
        <f>IF(M31="","",P31)</f>
        <v>-8.7497654095203464E-2</v>
      </c>
      <c r="T31" s="578">
        <f>IF(M31="","",X31*COS(RADIANS(W31)))</f>
        <v>-0.88772920505200825</v>
      </c>
      <c r="U31" s="572">
        <f>IF(M31="","",X31*SIN(RADIANS(W31)))</f>
        <v>-1.5373764033635489</v>
      </c>
      <c r="V31" s="579">
        <f>IF(M31="","",Y31)</f>
        <v>-8.7497654095203464E-2</v>
      </c>
      <c r="W31" s="528">
        <f t="shared" si="268"/>
        <v>239.99651948074052</v>
      </c>
      <c r="X31" s="572">
        <f>IF(M31="","",R31)</f>
        <v>1.7752716262930897</v>
      </c>
      <c r="Y31" s="573">
        <f t="shared" si="271"/>
        <v>-8.7497654095203464E-2</v>
      </c>
      <c r="Z31" s="575">
        <f t="shared" si="10"/>
        <v>-0.44510350139426585</v>
      </c>
      <c r="AA31" s="572">
        <f t="shared" si="11"/>
        <v>-0.84726503133069531</v>
      </c>
      <c r="AB31" s="572">
        <f t="shared" si="12"/>
        <v>-0.28987038436301271</v>
      </c>
      <c r="AC31" s="579">
        <f>IF(M31="","",SQRT(Z31^2+AA31^2+AB31^2))</f>
        <v>1</v>
      </c>
      <c r="AD31" s="580">
        <f>IF(M31="","",Z31*(1/SQRT(Z31^2+AA31^2+AB31^2)))</f>
        <v>-0.44510350139426585</v>
      </c>
      <c r="AE31" s="572">
        <f>IF(M31="","",AA31*(1/SQRT(Z31^2+AA31^2+AB31^2)))</f>
        <v>-0.84726503133069531</v>
      </c>
      <c r="AF31" s="576">
        <f>IF(M31="","",AB31*(1/SQRT(Z31^2+AA31^2+AB31^2)))</f>
        <v>-0.28987038436301271</v>
      </c>
      <c r="AG31" s="545">
        <f>IF(M31="","",DEGREES(ATAN2(-AF31,AE31)))</f>
        <v>-71.112910238144394</v>
      </c>
      <c r="AH31" s="546">
        <f>IF(M31="","",DEGREES(ACOS(AD31)))</f>
        <v>116.42996094450412</v>
      </c>
      <c r="AI31" s="528">
        <f>IF(M31="","",DEGREES(-ACOS(-AF31)))</f>
        <v>-73.149803716098035</v>
      </c>
      <c r="AJ31" s="529">
        <f>IF(M31="","",DEGREES(ATAN2(-AE31,AD31)))</f>
        <v>-27.714810418127033</v>
      </c>
      <c r="AK31" s="578">
        <f>IF(M31="","",(COS(RADIANS((90-$Q$8)-W31))*AD31)+(-SIN(RADIANS((90-$Q$8)-W31))*AE31))</f>
        <v>0.95583812293282122</v>
      </c>
      <c r="AL31" s="572">
        <f>IF(M31="","",(SIN(RADIANS((90-$Q$8)-W31))*AD31)+(COS(RADIANS((90-$Q$8)-W31))*AE31))</f>
        <v>4.8462800347279733E-2</v>
      </c>
      <c r="AM31" s="577">
        <f>IF(M31="","",AF31)</f>
        <v>-0.28987038436301271</v>
      </c>
      <c r="AN31" s="524">
        <f>IF(M31="","",DEGREES(ATAN2(-AM31,AL31)))</f>
        <v>9.491373132727059</v>
      </c>
      <c r="AO31" s="525">
        <f t="shared" si="110"/>
        <v>17.091208177133204</v>
      </c>
      <c r="AP31" s="528">
        <f>IF(M31="","",DEGREES(ATAN2(AK31,AL31)))</f>
        <v>2.9025189209902589</v>
      </c>
      <c r="AQ31" s="529">
        <f t="shared" si="13"/>
        <v>1.2839415596034138</v>
      </c>
      <c r="AR31" s="979"/>
      <c r="AS31" s="954">
        <f t="shared" si="147"/>
        <v>239.99651948074052</v>
      </c>
      <c r="AT31" s="950">
        <f t="shared" si="14"/>
        <v>-6.6165502724684494E-3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3.109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1113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9</v>
      </c>
      <c r="JN31" s="960">
        <f>($JO31-SMALL($JO$9:$JO$88,1))/((Settings!$C$19/2)-((Settings!$C$19/2)-LARGE($JO$9:$JO$88,1))-SMALL($JO$9:$JO$88,1))</f>
        <v>0.39950564543261829</v>
      </c>
      <c r="JO31" s="162">
        <f t="shared" si="134"/>
        <v>1.7752716262930897</v>
      </c>
      <c r="JP31" s="961">
        <f t="shared" si="135"/>
        <v>9.491373132727059</v>
      </c>
      <c r="JQ31" s="961">
        <f t="shared" si="136"/>
        <v>17.091208177133204</v>
      </c>
      <c r="JS31" s="82">
        <v>23</v>
      </c>
      <c r="JT31" s="322">
        <f t="shared" si="137"/>
        <v>3.5335232858141445</v>
      </c>
      <c r="JU31" s="963">
        <f t="shared" si="138"/>
        <v>0.86020371256097161</v>
      </c>
      <c r="JV31" s="961">
        <f t="shared" si="287"/>
        <v>-46.730271377527835</v>
      </c>
      <c r="JW31" s="961">
        <f t="shared" si="92"/>
        <v>17.321775198001973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-36.332607935005456</v>
      </c>
      <c r="KD31" s="970">
        <v>-42.77811333333333</v>
      </c>
      <c r="KE31" s="968">
        <f t="shared" si="140"/>
        <v>-6.4455053983278745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15.129561492526353</v>
      </c>
      <c r="KG31" s="966">
        <f t="shared" si="244"/>
        <v>-3.9363133333333309</v>
      </c>
      <c r="KH31" s="966">
        <f t="shared" si="141"/>
        <v>1.155981304446156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2.0113602955606709</v>
      </c>
      <c r="C32" s="572">
        <f t="shared" si="304"/>
        <v>-1.1833459500470689</v>
      </c>
      <c r="D32" s="576">
        <f t="shared" si="304"/>
        <v>-2.0941868634488964E-2</v>
      </c>
      <c r="E32" s="580">
        <f t="shared" ref="E32:K32" si="305">R187</f>
        <v>0.46710839768886353</v>
      </c>
      <c r="F32" s="572">
        <f t="shared" si="305"/>
        <v>0.83456046632462622</v>
      </c>
      <c r="G32" s="579">
        <f t="shared" si="305"/>
        <v>0.29209343172444879</v>
      </c>
      <c r="H32" s="580">
        <f t="shared" si="305"/>
        <v>0.2165</v>
      </c>
      <c r="I32" s="572">
        <f t="shared" si="305"/>
        <v>0.52</v>
      </c>
      <c r="J32" s="483">
        <f t="shared" si="94"/>
        <v>3.1120000000000001</v>
      </c>
      <c r="K32" s="806">
        <f t="shared" si="305"/>
        <v>1113</v>
      </c>
      <c r="L32" s="309"/>
      <c r="M32" s="164">
        <f t="shared" si="4"/>
        <v>3.1120000000000001</v>
      </c>
      <c r="N32" s="575">
        <f t="shared" si="5"/>
        <v>2.0113602955606709</v>
      </c>
      <c r="O32" s="572">
        <f t="shared" si="6"/>
        <v>-1.1833459500470689</v>
      </c>
      <c r="P32" s="576">
        <f t="shared" si="7"/>
        <v>-2.0941868634488964E-2</v>
      </c>
      <c r="Q32" s="528">
        <f t="shared" si="144"/>
        <v>329.53037424876374</v>
      </c>
      <c r="R32" s="572">
        <f t="shared" si="95"/>
        <v>2.3336404770338359</v>
      </c>
      <c r="S32" s="577">
        <f t="shared" si="96"/>
        <v>-2.0941868634488964E-2</v>
      </c>
      <c r="T32" s="578">
        <f t="shared" si="97"/>
        <v>-1.1617293723000119</v>
      </c>
      <c r="U32" s="572">
        <f t="shared" si="98"/>
        <v>-2.0239226125487431</v>
      </c>
      <c r="V32" s="579">
        <f t="shared" si="145"/>
        <v>-2.0941868634488964E-2</v>
      </c>
      <c r="W32" s="528">
        <f t="shared" si="268"/>
        <v>240.14422306862156</v>
      </c>
      <c r="X32" s="572">
        <f t="shared" si="99"/>
        <v>2.3336404770338359</v>
      </c>
      <c r="Y32" s="573">
        <f t="shared" si="271"/>
        <v>-2.0941868634488964E-2</v>
      </c>
      <c r="Z32" s="575">
        <f t="shared" si="10"/>
        <v>-0.46710839768886353</v>
      </c>
      <c r="AA32" s="572">
        <f t="shared" si="11"/>
        <v>-0.83456046632462622</v>
      </c>
      <c r="AB32" s="572">
        <f t="shared" si="12"/>
        <v>-0.29209343172444879</v>
      </c>
      <c r="AC32" s="579">
        <f t="shared" si="100"/>
        <v>1</v>
      </c>
      <c r="AD32" s="580">
        <f t="shared" si="146"/>
        <v>-0.46710839768886353</v>
      </c>
      <c r="AE32" s="572">
        <f t="shared" si="101"/>
        <v>-0.83456046632462622</v>
      </c>
      <c r="AF32" s="576">
        <f t="shared" si="102"/>
        <v>-0.29209343172444879</v>
      </c>
      <c r="AG32" s="545">
        <f t="shared" si="103"/>
        <v>-70.710120843089996</v>
      </c>
      <c r="AH32" s="546">
        <f t="shared" si="104"/>
        <v>117.84675948783624</v>
      </c>
      <c r="AI32" s="528">
        <f t="shared" si="105"/>
        <v>-73.016671630386327</v>
      </c>
      <c r="AJ32" s="529">
        <f t="shared" si="106"/>
        <v>-29.235995854452419</v>
      </c>
      <c r="AK32" s="578">
        <f t="shared" si="247"/>
        <v>0.95616811535776725</v>
      </c>
      <c r="AL32" s="572">
        <f t="shared" si="107"/>
        <v>2.0590345228058138E-2</v>
      </c>
      <c r="AM32" s="577">
        <f t="shared" si="108"/>
        <v>-0.29209343172444879</v>
      </c>
      <c r="AN32" s="524">
        <f t="shared" si="109"/>
        <v>4.0322425957307875</v>
      </c>
      <c r="AO32" s="525">
        <f t="shared" si="110"/>
        <v>17.026756883340141</v>
      </c>
      <c r="AP32" s="528">
        <f t="shared" si="111"/>
        <v>1.2336298967838704</v>
      </c>
      <c r="AQ32" s="529">
        <f t="shared" si="13"/>
        <v>0.97680246107314539</v>
      </c>
      <c r="AR32" s="979"/>
      <c r="AS32" s="954">
        <f t="shared" si="147"/>
        <v>240.14422306862156</v>
      </c>
      <c r="AT32" s="950">
        <f t="shared" si="14"/>
        <v>5.9836663252217551E-2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3.1120000000000001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1113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12</v>
      </c>
      <c r="JN32" s="960">
        <f>($JO32-SMALL($JO$9:$JO$88,1))/((Settings!$C$19/2)-((Settings!$C$19/2)-LARGE($JO$9:$JO$88,1))-SMALL($JO$9:$JO$88,1))</f>
        <v>0.54580975888985439</v>
      </c>
      <c r="JO32" s="162">
        <f t="shared" si="134"/>
        <v>2.3336404770338359</v>
      </c>
      <c r="JP32" s="961">
        <f t="shared" si="135"/>
        <v>4.0322425957307875</v>
      </c>
      <c r="JQ32" s="961">
        <f t="shared" si="136"/>
        <v>17.026756883340141</v>
      </c>
      <c r="JS32" s="82">
        <v>24</v>
      </c>
      <c r="JT32" s="322">
        <f t="shared" si="137"/>
        <v>3.6123584443893848</v>
      </c>
      <c r="JU32" s="963">
        <f t="shared" si="138"/>
        <v>0.88086014418195124</v>
      </c>
      <c r="JV32" s="961">
        <f t="shared" si="287"/>
        <v>-49.745642949649842</v>
      </c>
      <c r="JW32" s="961">
        <f t="shared" si="92"/>
        <v>18.339427989165358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-40.916332530826544</v>
      </c>
      <c r="KD32" s="970">
        <v>-46.714513333333329</v>
      </c>
      <c r="KE32" s="968">
        <f t="shared" si="140"/>
        <v>-5.7981808025067849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15.343030828371202</v>
      </c>
      <c r="KG32" s="966">
        <f t="shared" si="244"/>
        <v>-3.936399999999999</v>
      </c>
      <c r="KH32" s="966">
        <f t="shared" si="141"/>
        <v>0.21346933584484873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2.6177001583403428</v>
      </c>
      <c r="C33" s="572">
        <f t="shared" si="306"/>
        <v>-1.5658776909015513</v>
      </c>
      <c r="D33" s="576">
        <f t="shared" si="306"/>
        <v>-0.2033596652113637</v>
      </c>
      <c r="E33" s="580">
        <f t="shared" ref="E33:K33" si="307">R188</f>
        <v>0.59631685026899139</v>
      </c>
      <c r="F33" s="572">
        <f t="shared" si="307"/>
        <v>0.77795934872910544</v>
      </c>
      <c r="G33" s="579">
        <f t="shared" si="307"/>
        <v>0.197953190957498</v>
      </c>
      <c r="H33" s="580">
        <f t="shared" si="307"/>
        <v>0.26450000000000001</v>
      </c>
      <c r="I33" s="572">
        <f t="shared" si="307"/>
        <v>0.52</v>
      </c>
      <c r="J33" s="483">
        <f t="shared" si="94"/>
        <v>3.1179999999999999</v>
      </c>
      <c r="K33" s="806">
        <f t="shared" si="307"/>
        <v>1313</v>
      </c>
      <c r="L33" s="309"/>
      <c r="M33" s="164">
        <f t="shared" si="4"/>
        <v>3.1179999999999999</v>
      </c>
      <c r="N33" s="575">
        <f t="shared" si="5"/>
        <v>2.6177001583403428</v>
      </c>
      <c r="O33" s="572">
        <f t="shared" si="6"/>
        <v>-1.5658776909015513</v>
      </c>
      <c r="P33" s="576">
        <f t="shared" si="7"/>
        <v>-0.2033596652113637</v>
      </c>
      <c r="Q33" s="528">
        <f t="shared" si="144"/>
        <v>329.11262869613813</v>
      </c>
      <c r="R33" s="572">
        <f t="shared" si="95"/>
        <v>3.0502995036288207</v>
      </c>
      <c r="S33" s="577">
        <f t="shared" si="96"/>
        <v>-0.2033596652113637</v>
      </c>
      <c r="T33" s="578">
        <f t="shared" si="97"/>
        <v>-1.5377431504771399</v>
      </c>
      <c r="U33" s="572">
        <f t="shared" si="98"/>
        <v>-2.6343259223184341</v>
      </c>
      <c r="V33" s="579">
        <f t="shared" si="145"/>
        <v>-0.2033596652113637</v>
      </c>
      <c r="W33" s="528">
        <f t="shared" si="268"/>
        <v>239.72647751599595</v>
      </c>
      <c r="X33" s="572">
        <f t="shared" si="99"/>
        <v>3.0502995036288207</v>
      </c>
      <c r="Y33" s="573">
        <f t="shared" si="271"/>
        <v>-0.2033596652113637</v>
      </c>
      <c r="Z33" s="575">
        <f t="shared" si="10"/>
        <v>-0.59631685026899139</v>
      </c>
      <c r="AA33" s="572">
        <f t="shared" si="11"/>
        <v>-0.77795934872910544</v>
      </c>
      <c r="AB33" s="572">
        <f t="shared" si="12"/>
        <v>-0.197953190957498</v>
      </c>
      <c r="AC33" s="579">
        <f t="shared" si="100"/>
        <v>1</v>
      </c>
      <c r="AD33" s="580">
        <f t="shared" si="146"/>
        <v>-0.59631685026899139</v>
      </c>
      <c r="AE33" s="572">
        <f t="shared" si="101"/>
        <v>-0.77795934872910544</v>
      </c>
      <c r="AF33" s="576">
        <f t="shared" si="102"/>
        <v>-0.197953190957498</v>
      </c>
      <c r="AG33" s="545">
        <f t="shared" si="103"/>
        <v>-75.72394148596932</v>
      </c>
      <c r="AH33" s="546">
        <f t="shared" si="104"/>
        <v>126.60656440733281</v>
      </c>
      <c r="AI33" s="528">
        <f t="shared" si="105"/>
        <v>-78.582707330372386</v>
      </c>
      <c r="AJ33" s="529">
        <f t="shared" si="106"/>
        <v>-37.470675575831677</v>
      </c>
      <c r="AK33" s="578">
        <f t="shared" si="247"/>
        <v>0.97374817107692735</v>
      </c>
      <c r="AL33" s="572">
        <f t="shared" si="107"/>
        <v>-0.1123789727399373</v>
      </c>
      <c r="AM33" s="577">
        <f t="shared" si="108"/>
        <v>-0.197953190957498</v>
      </c>
      <c r="AN33" s="524">
        <f t="shared" si="109"/>
        <v>-29.583784554698774</v>
      </c>
      <c r="AO33" s="525">
        <f t="shared" si="110"/>
        <v>13.157461390421032</v>
      </c>
      <c r="AP33" s="528">
        <f t="shared" si="111"/>
        <v>-6.5833042719697943</v>
      </c>
      <c r="AQ33" s="529">
        <f t="shared" si="13"/>
        <v>0.74733557899602743</v>
      </c>
      <c r="AR33" s="979"/>
      <c r="AS33" s="954">
        <f t="shared" si="147"/>
        <v>239.72647751599595</v>
      </c>
      <c r="AT33" s="950">
        <f t="shared" si="14"/>
        <v>-0.12229103224644496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3.1179999999999999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18</v>
      </c>
      <c r="JN33" s="960">
        <f>($JO33-SMALL($JO$9:$JO$88,1))/((Settings!$C$19/2)-((Settings!$C$19/2)-LARGE($JO$9:$JO$88,1))-SMALL($JO$9:$JO$88,1))</f>
        <v>0.73358915130762281</v>
      </c>
      <c r="JO33" s="162">
        <f t="shared" si="134"/>
        <v>3.0502995036288207</v>
      </c>
      <c r="JP33" s="961">
        <f t="shared" si="135"/>
        <v>-29.583784554698774</v>
      </c>
      <c r="JQ33" s="961">
        <f t="shared" si="136"/>
        <v>13.157461390421032</v>
      </c>
      <c r="JS33" s="82">
        <v>25</v>
      </c>
      <c r="JT33" s="322">
        <f t="shared" si="137"/>
        <v>3.6850971028917479</v>
      </c>
      <c r="JU33" s="963">
        <f t="shared" si="138"/>
        <v>0.89991916749985124</v>
      </c>
      <c r="JV33" s="961">
        <f t="shared" si="287"/>
        <v>-52.606808821385378</v>
      </c>
      <c r="JW33" s="961">
        <f t="shared" si="92"/>
        <v>19.353488634615253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-44.388916479267657</v>
      </c>
      <c r="KD33" s="970">
        <v>-50.650826666666667</v>
      </c>
      <c r="KE33" s="968">
        <f t="shared" si="140"/>
        <v>-6.2619101873990104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16.517546068772319</v>
      </c>
      <c r="KG33" s="966">
        <f t="shared" si="244"/>
        <v>-3.936313333333338</v>
      </c>
      <c r="KH33" s="966">
        <f t="shared" si="141"/>
        <v>1.1745152404011172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3.0853714399532883</v>
      </c>
      <c r="C34" s="572">
        <f t="shared" si="308"/>
        <v>-1.8787273906216058</v>
      </c>
      <c r="D34" s="576">
        <f t="shared" si="308"/>
        <v>-0.62146823029903686</v>
      </c>
      <c r="E34" s="580">
        <f t="shared" ref="E34:K34" si="309">R189</f>
        <v>0.6987686561556542</v>
      </c>
      <c r="F34" s="572">
        <f t="shared" si="309"/>
        <v>0.6858454556414979</v>
      </c>
      <c r="G34" s="579">
        <f t="shared" si="309"/>
        <v>0.20331841075103704</v>
      </c>
      <c r="H34" s="580">
        <f t="shared" si="309"/>
        <v>0.26450000000000001</v>
      </c>
      <c r="I34" s="572">
        <f t="shared" si="309"/>
        <v>0.52</v>
      </c>
      <c r="J34" s="483">
        <f t="shared" si="94"/>
        <v>3.1240000000000001</v>
      </c>
      <c r="K34" s="806">
        <f t="shared" si="309"/>
        <v>1313</v>
      </c>
      <c r="L34" s="309"/>
      <c r="M34" s="164">
        <f t="shared" si="4"/>
        <v>3.1240000000000001</v>
      </c>
      <c r="N34" s="575">
        <f t="shared" si="5"/>
        <v>3.0853714399532883</v>
      </c>
      <c r="O34" s="572">
        <f t="shared" si="6"/>
        <v>-1.8787273906216058</v>
      </c>
      <c r="P34" s="576">
        <f t="shared" si="7"/>
        <v>-0.62146823029903686</v>
      </c>
      <c r="Q34" s="528">
        <f t="shared" si="144"/>
        <v>328.66215906483524</v>
      </c>
      <c r="R34" s="572">
        <f>IF(M34="","",SQRT(N34^2+O34^2))</f>
        <v>3.6123584443893848</v>
      </c>
      <c r="S34" s="577">
        <f>IF(M34="","",P34)</f>
        <v>-0.62146823029903686</v>
      </c>
      <c r="T34" s="578">
        <f>IF(M34="","",X34*COS(RADIANS(W34)))</f>
        <v>-1.8455645094403967</v>
      </c>
      <c r="U34" s="572">
        <f>IF(M34="","",X34*SIN(RADIANS(W34)))</f>
        <v>-3.1053220722246064</v>
      </c>
      <c r="V34" s="579">
        <f>IF(M34="","",Y34)</f>
        <v>-0.62146823029903686</v>
      </c>
      <c r="W34" s="528">
        <f t="shared" si="268"/>
        <v>239.27600788469306</v>
      </c>
      <c r="X34" s="572">
        <f>IF(M34="","",R34)</f>
        <v>3.6123584443893848</v>
      </c>
      <c r="Y34" s="573">
        <f t="shared" si="271"/>
        <v>-0.62146823029903686</v>
      </c>
      <c r="Z34" s="575">
        <f t="shared" si="10"/>
        <v>-0.6987686561556542</v>
      </c>
      <c r="AA34" s="572">
        <f t="shared" si="11"/>
        <v>-0.6858454556414979</v>
      </c>
      <c r="AB34" s="572">
        <f t="shared" si="12"/>
        <v>-0.20331841075103704</v>
      </c>
      <c r="AC34" s="579">
        <f>IF(M34="","",SQRT(Z34^2+AA34^2+AB34^2))</f>
        <v>1</v>
      </c>
      <c r="AD34" s="580">
        <f>IF(M34="","",Z34*(1/SQRT(Z34^2+AA34^2+AB34^2)))</f>
        <v>-0.6987686561556542</v>
      </c>
      <c r="AE34" s="572">
        <f>IF(M34="","",AA34*(1/SQRT(Z34^2+AA34^2+AB34^2)))</f>
        <v>-0.6858454556414979</v>
      </c>
      <c r="AF34" s="576">
        <f>IF(M34="","",AB34*(1/SQRT(Z34^2+AA34^2+AB34^2)))</f>
        <v>-0.20331841075103704</v>
      </c>
      <c r="AG34" s="545">
        <f>IF(M34="","",DEGREES(ATAN2(-AF34,AE34)))</f>
        <v>-73.487579571955607</v>
      </c>
      <c r="AH34" s="546">
        <f>IF(M34="","",DEGREES(ACOS(AD34)))</f>
        <v>134.32829640575957</v>
      </c>
      <c r="AI34" s="528">
        <f>IF(M34="","",DEGREES(-ACOS(-AF34)))</f>
        <v>-78.268921903249407</v>
      </c>
      <c r="AJ34" s="529">
        <f>IF(M34="","",DEGREES(ATAN2(-AE34,AD34)))</f>
        <v>-45.534750687070442</v>
      </c>
      <c r="AK34" s="578">
        <f>IF(M34="","",(COS(RADIANS((90-$Q$8)-W34))*AD34)+(-SIN(RADIANS((90-$Q$8)-W34))*AE34))</f>
        <v>0.94920917950740824</v>
      </c>
      <c r="AL34" s="572">
        <f>IF(M34="","",(SIN(RADIANS((90-$Q$8)-W34))*AD34)+(COS(RADIANS((90-$Q$8)-W34))*AE34))</f>
        <v>-0.2401323747197483</v>
      </c>
      <c r="AM34" s="577">
        <f>IF(M34="","",AF34)</f>
        <v>-0.20331841075103704</v>
      </c>
      <c r="AN34" s="524">
        <f>IF(M34="","",DEGREES(ATAN2(-AM34,AL34)))</f>
        <v>-49.745642949649842</v>
      </c>
      <c r="AO34" s="525">
        <f t="shared" si="110"/>
        <v>18.339427989165358</v>
      </c>
      <c r="AP34" s="528">
        <f>IF(M34="","",DEGREES(ATAN2(AK34,AL34)))</f>
        <v>-14.196909751905686</v>
      </c>
      <c r="AQ34" s="529">
        <f t="shared" si="13"/>
        <v>0.63106540513491671</v>
      </c>
      <c r="AR34" s="979"/>
      <c r="AS34" s="954">
        <f t="shared" si="147"/>
        <v>239.27600788469306</v>
      </c>
      <c r="AT34" s="950">
        <f t="shared" si="14"/>
        <v>-0.54008677120126891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3.1240000000000001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1313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24</v>
      </c>
      <c r="JN34" s="960">
        <f>($JO34-SMALL($JO$9:$JO$88,1))/((Settings!$C$19/2)-((Settings!$C$19/2)-LARGE($JO$9:$JO$88,1))-SMALL($JO$9:$JO$88,1))</f>
        <v>0.88086014418195124</v>
      </c>
      <c r="JO34" s="162">
        <f t="shared" si="134"/>
        <v>3.6123584443893848</v>
      </c>
      <c r="JP34" s="961">
        <f t="shared" si="135"/>
        <v>-49.745642949649842</v>
      </c>
      <c r="JQ34" s="961">
        <f t="shared" si="136"/>
        <v>18.339427989165358</v>
      </c>
      <c r="JS34" s="82">
        <v>26</v>
      </c>
      <c r="JT34" s="322">
        <f t="shared" si="137"/>
        <v>3.7516140618826794</v>
      </c>
      <c r="JU34" s="963">
        <f t="shared" si="138"/>
        <v>0.91734797768890308</v>
      </c>
      <c r="JV34" s="961">
        <f t="shared" si="287"/>
        <v>-54.852053398373712</v>
      </c>
      <c r="JW34" s="961">
        <f t="shared" si="92"/>
        <v>21.340295440056043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-47.764933038039729</v>
      </c>
      <c r="KD34" s="970">
        <v>-54.587139999999998</v>
      </c>
      <c r="KE34" s="968">
        <f t="shared" si="140"/>
        <v>-6.8222069619602692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17.670961459643586</v>
      </c>
      <c r="KG34" s="966">
        <f t="shared" si="244"/>
        <v>-3.9363133333333309</v>
      </c>
      <c r="KH34" s="966">
        <f t="shared" si="141"/>
        <v>1.1534153908712668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3.3585355882793562</v>
      </c>
      <c r="C35" s="572">
        <f t="shared" si="310"/>
        <v>-2.0688201627249487</v>
      </c>
      <c r="D35" s="576">
        <f t="shared" si="310"/>
        <v>-1.2351461466337441</v>
      </c>
      <c r="E35" s="580">
        <f t="shared" ref="E35:K35" si="311">R190</f>
        <v>0.81422280190582641</v>
      </c>
      <c r="F35" s="572">
        <f t="shared" si="311"/>
        <v>0.55124671794716096</v>
      </c>
      <c r="G35" s="579">
        <f t="shared" si="311"/>
        <v>0.18212162092708453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3.13</v>
      </c>
      <c r="K35" s="806">
        <f t="shared" si="311"/>
        <v>1313</v>
      </c>
      <c r="L35" s="309"/>
      <c r="M35" s="164">
        <f t="shared" si="4"/>
        <v>3.13</v>
      </c>
      <c r="N35" s="575">
        <f t="shared" si="5"/>
        <v>3.3585355882793562</v>
      </c>
      <c r="O35" s="572">
        <f t="shared" si="6"/>
        <v>-2.0688201627249487</v>
      </c>
      <c r="P35" s="576">
        <f t="shared" si="7"/>
        <v>-1.2351461466337441</v>
      </c>
      <c r="Q35" s="528">
        <f t="shared" si="144"/>
        <v>328.3673976728158</v>
      </c>
      <c r="R35" s="572">
        <f>IF(M35="","",SQRT(N35^2+O35^2))</f>
        <v>3.9445884656623238</v>
      </c>
      <c r="S35" s="577">
        <f>IF(M35="","",P35)</f>
        <v>-1.2351461466337441</v>
      </c>
      <c r="T35" s="578">
        <f>IF(M35="","",X35*COS(RADIANS(W35)))</f>
        <v>-2.0327198338287964</v>
      </c>
      <c r="U35" s="572">
        <f>IF(M35="","",X35*SIN(RADIANS(W35)))</f>
        <v>-3.3805070981430108</v>
      </c>
      <c r="V35" s="579">
        <f>IF(M35="","",Y35)</f>
        <v>-1.2351461466337441</v>
      </c>
      <c r="W35" s="528">
        <f t="shared" si="268"/>
        <v>238.98124649267362</v>
      </c>
      <c r="X35" s="572">
        <f>IF(M35="","",R35)</f>
        <v>3.9445884656623238</v>
      </c>
      <c r="Y35" s="573">
        <f t="shared" si="271"/>
        <v>-1.2351461466337441</v>
      </c>
      <c r="Z35" s="575">
        <f t="shared" si="10"/>
        <v>-0.81422280190582641</v>
      </c>
      <c r="AA35" s="572">
        <f t="shared" si="11"/>
        <v>-0.55124671794716096</v>
      </c>
      <c r="AB35" s="572">
        <f t="shared" si="12"/>
        <v>-0.18212162092708453</v>
      </c>
      <c r="AC35" s="579">
        <f>IF(M35="","",SQRT(Z35^2+AA35^2+AB35^2))</f>
        <v>1</v>
      </c>
      <c r="AD35" s="580">
        <f>IF(M35="","",Z35*(1/SQRT(Z35^2+AA35^2+AB35^2)))</f>
        <v>-0.81422280190582641</v>
      </c>
      <c r="AE35" s="572">
        <f>IF(M35="","",AA35*(1/SQRT(Z35^2+AA35^2+AB35^2)))</f>
        <v>-0.55124671794716096</v>
      </c>
      <c r="AF35" s="576">
        <f>IF(M35="","",AB35*(1/SQRT(Z35^2+AA35^2+AB35^2)))</f>
        <v>-0.18212162092708453</v>
      </c>
      <c r="AG35" s="545">
        <f>IF(M35="","",DEGREES(ATAN2(-AF35,AE35)))</f>
        <v>-71.71740961808824</v>
      </c>
      <c r="AH35" s="546">
        <f>IF(M35="","",DEGREES(ACOS(AD35)))</f>
        <v>144.51058663611462</v>
      </c>
      <c r="AI35" s="528">
        <f>IF(M35="","",DEGREES(-ACOS(-AF35)))</f>
        <v>-79.506637323394344</v>
      </c>
      <c r="AJ35" s="529">
        <f>IF(M35="","",DEGREES(ATAN2(-AE35,AD35)))</f>
        <v>-55.901136928437239</v>
      </c>
      <c r="AK35" s="578">
        <f>IF(M35="","",(COS(RADIANS((90-$Q$8)-W35))*AD35)+(-SIN(RADIANS((90-$Q$8)-W35))*AE35))</f>
        <v>0.89638305756370285</v>
      </c>
      <c r="AL35" s="572">
        <f>IF(M35="","",(SIN(RADIANS((90-$Q$8)-W35))*AD35)+(COS(RADIANS((90-$Q$8)-W35))*AE35))</f>
        <v>-0.404139987261393</v>
      </c>
      <c r="AM35" s="577">
        <f>IF(M35="","",AF35)</f>
        <v>-0.18212162092708453</v>
      </c>
      <c r="AN35" s="524">
        <f>IF(M35="","",DEGREES(ATAN2(-AM35,AL35)))</f>
        <v>-65.741770469504885</v>
      </c>
      <c r="AO35" s="525">
        <f t="shared" si="110"/>
        <v>26.313364509224829</v>
      </c>
      <c r="AP35" s="528">
        <f>IF(M35="","",DEGREES(ATAN2(AK35,AL35)))</f>
        <v>-24.268534601253041</v>
      </c>
      <c r="AQ35" s="529">
        <f t="shared" si="13"/>
        <v>0.57791816279715935</v>
      </c>
      <c r="AR35" s="979"/>
      <c r="AS35" s="954">
        <f t="shared" si="147"/>
        <v>238.98124649267362</v>
      </c>
      <c r="AT35" s="950">
        <f t="shared" si="14"/>
        <v>-1.1535599921248516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3.13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30</v>
      </c>
      <c r="JN35" s="960">
        <f>($JO35-SMALL($JO$9:$JO$88,1))/((Settings!$C$19/2)-((Settings!$C$19/2)-LARGE($JO$9:$JO$88,1))-SMALL($JO$9:$JO$88,1))</f>
        <v>0.96791123713194882</v>
      </c>
      <c r="JO35" s="162">
        <f t="shared" si="134"/>
        <v>3.9445884656623238</v>
      </c>
      <c r="JP35" s="961">
        <f t="shared" si="135"/>
        <v>-65.741770469504885</v>
      </c>
      <c r="JQ35" s="961">
        <f t="shared" si="136"/>
        <v>26.313364509224829</v>
      </c>
      <c r="JS35" s="82">
        <v>27</v>
      </c>
      <c r="JT35" s="322">
        <f t="shared" si="137"/>
        <v>3.8034393983574231</v>
      </c>
      <c r="JU35" s="963">
        <f t="shared" si="138"/>
        <v>0.93092728086368004</v>
      </c>
      <c r="JV35" s="961">
        <f t="shared" si="287"/>
        <v>-57.712480946881278</v>
      </c>
      <c r="JW35" s="961">
        <f t="shared" si="92"/>
        <v>22.342140925381187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-51.064075239822969</v>
      </c>
      <c r="KD35" s="970">
        <v>-58.523539999999997</v>
      </c>
      <c r="KE35" s="968">
        <f t="shared" si="140"/>
        <v>-7.4594647601770276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18.806709635560772</v>
      </c>
      <c r="KG35" s="966">
        <f t="shared" si="244"/>
        <v>-3.936399999999999</v>
      </c>
      <c r="KH35" s="966">
        <f t="shared" si="141"/>
        <v>1.1357481759171861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3.4578608007882741</v>
      </c>
      <c r="C36" s="572">
        <f t="shared" si="312"/>
        <v>-2.1410594328892927</v>
      </c>
      <c r="D36" s="576">
        <f t="shared" si="312"/>
        <v>-1.9002220189116086</v>
      </c>
      <c r="E36" s="580">
        <f t="shared" ref="E36:K36" si="313">R191</f>
        <v>0.87201501431687212</v>
      </c>
      <c r="F36" s="572">
        <f t="shared" si="313"/>
        <v>0.47558044585647985</v>
      </c>
      <c r="G36" s="579">
        <f t="shared" si="313"/>
        <v>0.11581474139718644</v>
      </c>
      <c r="H36" s="580">
        <f t="shared" si="313"/>
        <v>0.26450000000000001</v>
      </c>
      <c r="I36" s="572">
        <f t="shared" si="313"/>
        <v>0.52</v>
      </c>
      <c r="J36" s="483">
        <f t="shared" si="94"/>
        <v>3.1360000000000001</v>
      </c>
      <c r="K36" s="806">
        <f t="shared" si="313"/>
        <v>1313</v>
      </c>
      <c r="L36" s="309"/>
      <c r="M36" s="164">
        <f t="shared" si="4"/>
        <v>3.1360000000000001</v>
      </c>
      <c r="N36" s="575">
        <f t="shared" si="5"/>
        <v>3.4578608007882741</v>
      </c>
      <c r="O36" s="572">
        <f t="shared" si="6"/>
        <v>-2.1410594328892927</v>
      </c>
      <c r="P36" s="576">
        <f t="shared" si="7"/>
        <v>-1.9002220189116086</v>
      </c>
      <c r="Q36" s="528">
        <f t="shared" si="144"/>
        <v>328.23478303874259</v>
      </c>
      <c r="R36" s="572">
        <f>IF(M36="","",SQRT(N36^2+O36^2))</f>
        <v>4.0670550540645918</v>
      </c>
      <c r="S36" s="577">
        <f>IF(M36="","",P36)</f>
        <v>-1.9002220189116086</v>
      </c>
      <c r="T36" s="578">
        <f>IF(M36="","",X36*COS(RADIANS(W36)))</f>
        <v>-2.1038908396276574</v>
      </c>
      <c r="U36" s="572">
        <f>IF(M36="","",X36*SIN(RADIANS(W36)))</f>
        <v>-3.4806005441192429</v>
      </c>
      <c r="V36" s="579">
        <f>IF(M36="","",Y36)</f>
        <v>-1.9002220189116086</v>
      </c>
      <c r="W36" s="528">
        <f t="shared" si="268"/>
        <v>238.84863185860041</v>
      </c>
      <c r="X36" s="572">
        <f>IF(M36="","",R36)</f>
        <v>4.0670550540645918</v>
      </c>
      <c r="Y36" s="573">
        <f t="shared" si="271"/>
        <v>-1.9002220189116086</v>
      </c>
      <c r="Z36" s="575">
        <f t="shared" si="10"/>
        <v>-0.87201501431687212</v>
      </c>
      <c r="AA36" s="572">
        <f t="shared" si="11"/>
        <v>-0.47558044585647985</v>
      </c>
      <c r="AB36" s="572">
        <f t="shared" si="12"/>
        <v>-0.11581474139718644</v>
      </c>
      <c r="AC36" s="579">
        <f>IF(M36="","",SQRT(Z36^2+AA36^2+AB36^2))</f>
        <v>1</v>
      </c>
      <c r="AD36" s="580">
        <f>IF(M36="","",Z36*(1/SQRT(Z36^2+AA36^2+AB36^2)))</f>
        <v>-0.87201501431687212</v>
      </c>
      <c r="AE36" s="572">
        <f>IF(M36="","",AA36*(1/SQRT(Z36^2+AA36^2+AB36^2)))</f>
        <v>-0.47558044585647985</v>
      </c>
      <c r="AF36" s="576">
        <f>IF(M36="","",AB36*(1/SQRT(Z36^2+AA36^2+AB36^2)))</f>
        <v>-0.11581474139718644</v>
      </c>
      <c r="AG36" s="545">
        <f>IF(M36="","",DEGREES(ATAN2(-AF36,AE36)))</f>
        <v>-76.313564405031144</v>
      </c>
      <c r="AH36" s="546">
        <f>IF(M36="","",DEGREES(ACOS(AD36)))</f>
        <v>150.69364821119655</v>
      </c>
      <c r="AI36" s="528">
        <f>IF(M36="","",DEGREES(-ACOS(-AF36)))</f>
        <v>-83.349379695737085</v>
      </c>
      <c r="AJ36" s="529">
        <f>IF(M36="","",DEGREES(ATAN2(-AE36,AD36)))</f>
        <v>-61.392786763878561</v>
      </c>
      <c r="AK36" s="578">
        <f>IF(M36="","",(COS(RADIANS((90-$Q$8)-W36))*AD36)+(-SIN(RADIANS((90-$Q$8)-W36))*AE36))</f>
        <v>0.86340777459192752</v>
      </c>
      <c r="AL36" s="572">
        <f>IF(M36="","",(SIN(RADIANS((90-$Q$8)-W36))*AD36)+(COS(RADIANS((90-$Q$8)-W36))*AE36))</f>
        <v>-0.49103356346518512</v>
      </c>
      <c r="AM36" s="577">
        <f>IF(M36="","",AF36)</f>
        <v>-0.11581474139718644</v>
      </c>
      <c r="AN36" s="524">
        <f>IF(M36="","",DEGREES(ATAN2(-AM36,AL36)))</f>
        <v>-76.728810223784251</v>
      </c>
      <c r="AO36" s="525">
        <f t="shared" si="110"/>
        <v>30.298611776153393</v>
      </c>
      <c r="AP36" s="528">
        <f>IF(M36="","",DEGREES(ATAN2(AK36,AL36)))</f>
        <v>-29.627569802621167</v>
      </c>
      <c r="AQ36" s="529">
        <f t="shared" si="13"/>
        <v>0.56051710008027344</v>
      </c>
      <c r="AR36" s="979"/>
      <c r="AS36" s="954">
        <f t="shared" si="147"/>
        <v>238.84863185860041</v>
      </c>
      <c r="AT36" s="950">
        <f t="shared" si="14"/>
        <v>-1.8185437709068317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3.1360000000000001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36</v>
      </c>
      <c r="JN36" s="960">
        <f>($JO36-SMALL($JO$9:$JO$88,1))/((Settings!$C$19/2)-((Settings!$C$19/2)-LARGE($JO$9:$JO$88,1))-SMALL($JO$9:$JO$88,1))</f>
        <v>0.99999999999999978</v>
      </c>
      <c r="JO36" s="162">
        <f t="shared" si="134"/>
        <v>4.0670550540645918</v>
      </c>
      <c r="JP36" s="961">
        <f t="shared" si="135"/>
        <v>-76.728810223784251</v>
      </c>
      <c r="JQ36" s="961">
        <f t="shared" si="136"/>
        <v>30.298611776153393</v>
      </c>
      <c r="JS36" s="82">
        <v>28</v>
      </c>
      <c r="JT36" s="322">
        <f t="shared" si="137"/>
        <v>3.8650650402661864</v>
      </c>
      <c r="JU36" s="963">
        <f t="shared" si="138"/>
        <v>0.94707446545990825</v>
      </c>
      <c r="JV36" s="961">
        <f t="shared" si="287"/>
        <v>-60.578501860773869</v>
      </c>
      <c r="JW36" s="961">
        <f t="shared" si="92"/>
        <v>23.34462301803374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-53.737683921433103</v>
      </c>
      <c r="KD36" s="970">
        <v>-62.459853333333328</v>
      </c>
      <c r="KE36" s="968">
        <f t="shared" si="140"/>
        <v>-8.7221694119002251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20.35419491307875</v>
      </c>
      <c r="KG36" s="966">
        <f t="shared" si="244"/>
        <v>-3.9363133333333309</v>
      </c>
      <c r="KH36" s="966">
        <f t="shared" si="141"/>
        <v>1.5474852775179784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1.088332107199155</v>
      </c>
      <c r="C37" s="572">
        <f t="shared" si="314"/>
        <v>-1.6345346782444381</v>
      </c>
      <c r="D37" s="576">
        <f t="shared" si="314"/>
        <v>-0.15083010862656146</v>
      </c>
      <c r="E37" s="580">
        <f t="shared" ref="E37:K37" si="315">R192</f>
        <v>-7.2340405729859364E-2</v>
      </c>
      <c r="F37" s="572">
        <f t="shared" si="315"/>
        <v>0.10864597398309636</v>
      </c>
      <c r="G37" s="579">
        <f t="shared" si="315"/>
        <v>0.99144486384069985</v>
      </c>
      <c r="H37" s="580">
        <f t="shared" si="315"/>
        <v>0.22500000000000001</v>
      </c>
      <c r="I37" s="572">
        <f t="shared" si="315"/>
        <v>0.21199999999999999</v>
      </c>
      <c r="J37" s="483">
        <f t="shared" si="94"/>
        <v>3.21</v>
      </c>
      <c r="K37" s="806" t="str">
        <f t="shared" si="315"/>
        <v>CPS-31783r1</v>
      </c>
      <c r="L37" s="309"/>
      <c r="M37" s="164">
        <f t="shared" si="4"/>
        <v>3.21</v>
      </c>
      <c r="N37" s="575">
        <f t="shared" si="5"/>
        <v>1.088332107199155</v>
      </c>
      <c r="O37" s="572">
        <f t="shared" si="6"/>
        <v>-1.6345346782444381</v>
      </c>
      <c r="P37" s="576">
        <f t="shared" si="7"/>
        <v>-0.15083010862656146</v>
      </c>
      <c r="Q37" s="528">
        <f t="shared" si="144"/>
        <v>303.65710723759338</v>
      </c>
      <c r="R37" s="572">
        <f t="shared" si="95"/>
        <v>1.9637134184865677</v>
      </c>
      <c r="S37" s="577">
        <f t="shared" si="96"/>
        <v>-0.15083010862656146</v>
      </c>
      <c r="T37" s="578">
        <f t="shared" si="97"/>
        <v>-1.6227810485902245</v>
      </c>
      <c r="U37" s="572">
        <f t="shared" si="98"/>
        <v>-1.1057811981945673</v>
      </c>
      <c r="V37" s="579">
        <f t="shared" si="145"/>
        <v>-0.15083010862656146</v>
      </c>
      <c r="W37" s="528">
        <f t="shared" si="268"/>
        <v>214.2709560574512</v>
      </c>
      <c r="X37" s="572">
        <f t="shared" si="99"/>
        <v>1.9637134184865677</v>
      </c>
      <c r="Y37" s="573">
        <f t="shared" si="271"/>
        <v>-0.15083010862656146</v>
      </c>
      <c r="Z37" s="575">
        <f t="shared" si="10"/>
        <v>7.2340405729859364E-2</v>
      </c>
      <c r="AA37" s="572">
        <f t="shared" si="11"/>
        <v>-0.10864597398309636</v>
      </c>
      <c r="AB37" s="572">
        <f t="shared" si="12"/>
        <v>-0.99144486384069985</v>
      </c>
      <c r="AC37" s="579">
        <f t="shared" si="100"/>
        <v>1</v>
      </c>
      <c r="AD37" s="580">
        <f t="shared" si="146"/>
        <v>7.2340405729859364E-2</v>
      </c>
      <c r="AE37" s="572">
        <f t="shared" si="101"/>
        <v>-0.10864597398309636</v>
      </c>
      <c r="AF37" s="576">
        <f t="shared" si="102"/>
        <v>-0.99144486384069985</v>
      </c>
      <c r="AG37" s="545">
        <f t="shared" si="103"/>
        <v>-6.2537176449586482</v>
      </c>
      <c r="AH37" s="546">
        <f t="shared" si="104"/>
        <v>85.851576474565405</v>
      </c>
      <c r="AI37" s="528">
        <f t="shared" si="105"/>
        <v>-7.4999989171340955</v>
      </c>
      <c r="AJ37" s="529">
        <f t="shared" si="106"/>
        <v>33.657107237593358</v>
      </c>
      <c r="AK37" s="578">
        <f t="shared" si="247"/>
        <v>5.5511151231257827E-17</v>
      </c>
      <c r="AL37" s="572">
        <f t="shared" si="107"/>
        <v>0.13052617348216533</v>
      </c>
      <c r="AM37" s="577">
        <f t="shared" si="108"/>
        <v>-0.99144486384069985</v>
      </c>
      <c r="AN37" s="524">
        <f t="shared" si="109"/>
        <v>7.4999989171341319</v>
      </c>
      <c r="AO37" s="525">
        <f t="shared" si="110"/>
        <v>0</v>
      </c>
      <c r="AP37" s="528">
        <f t="shared" si="111"/>
        <v>89.999999999999972</v>
      </c>
      <c r="AQ37" s="529">
        <f t="shared" si="13"/>
        <v>1.1607675071942125</v>
      </c>
      <c r="AR37" s="979"/>
      <c r="AS37" s="954">
        <f t="shared" si="147"/>
        <v>214.2709560574512</v>
      </c>
      <c r="AT37" s="950">
        <f t="shared" si="14"/>
        <v>-5.2084030204319967E-2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>Nose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3.21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1.1100000000000001</v>
      </c>
      <c r="IK37" s="677" cm="1">
        <f t="array" ref="IK37">IFERROR(ROUND(VALUE(IF($IJ37&lt;1,$IJ37+LARGE((IF($M$9:$M$150="",0,$M$9:$M$150)-MOD(IF($M$9:$M$150="",0,$M$9:$M$150),1)),1),$IJ37)),4),"")</f>
        <v>1.1100000000000001</v>
      </c>
      <c r="IL37" s="482">
        <f t="shared" si="79"/>
        <v>1113</v>
      </c>
      <c r="IM37" s="482" t="str">
        <f t="shared" si="242"/>
        <v>CPS-31783r1</v>
      </c>
      <c r="IN37" s="670">
        <f t="shared" si="81"/>
        <v>145.78419640115368</v>
      </c>
      <c r="IO37" s="702">
        <v>3.4228800479232803E-2</v>
      </c>
      <c r="IP37" s="5">
        <f t="shared" si="82"/>
        <v>0.16</v>
      </c>
      <c r="IQ37" s="714">
        <v>80</v>
      </c>
      <c r="IR37" s="9">
        <f t="shared" si="132"/>
        <v>-1.9614624071648452</v>
      </c>
      <c r="IS37" s="5">
        <f t="shared" si="83"/>
        <v>-6.2697579298177819E-2</v>
      </c>
      <c r="IT37" s="5">
        <f t="shared" si="84"/>
        <v>0.2165</v>
      </c>
      <c r="IU37" s="5">
        <f t="shared" si="85"/>
        <v>0.20694957610865575</v>
      </c>
      <c r="IV37" s="670">
        <f t="shared" si="86"/>
        <v>-9.3032938850138986</v>
      </c>
      <c r="IW37" s="9">
        <f t="shared" si="87"/>
        <v>-1.9637134184865677</v>
      </c>
      <c r="IX37" s="5">
        <f t="shared" si="88"/>
        <v>-0.15083010862656146</v>
      </c>
      <c r="IY37" s="5">
        <f t="shared" si="89"/>
        <v>0.22500000000000001</v>
      </c>
      <c r="IZ37" s="5">
        <f t="shared" si="90"/>
        <v>0.22500000000000001</v>
      </c>
      <c r="JA37" s="705">
        <f t="shared" si="91"/>
        <v>-7.4999989171341319</v>
      </c>
      <c r="JM37" s="489">
        <f t="shared" si="133"/>
        <v>10</v>
      </c>
      <c r="JN37" s="960">
        <f>($JO37-SMALL($JO$9:$JO$88,1))/((Settings!$C$19/2)-((Settings!$C$19/2)-LARGE($JO$9:$JO$88,1))-SMALL($JO$9:$JO$88,1))</f>
        <v>0.44888126749424423</v>
      </c>
      <c r="JO37" s="162">
        <f t="shared" si="134"/>
        <v>1.9637134184865677</v>
      </c>
      <c r="JP37" s="961">
        <f t="shared" si="135"/>
        <v>7.4999989171341319</v>
      </c>
      <c r="JQ37" s="961">
        <f t="shared" si="136"/>
        <v>0</v>
      </c>
      <c r="JS37" s="82">
        <v>29</v>
      </c>
      <c r="JT37" s="322">
        <f t="shared" si="137"/>
        <v>3.9088538860452169</v>
      </c>
      <c r="JU37" s="963">
        <f t="shared" si="138"/>
        <v>0.958548042921326</v>
      </c>
      <c r="JV37" s="961">
        <f t="shared" si="287"/>
        <v>-62.929337764072571</v>
      </c>
      <c r="JW37" s="961">
        <f t="shared" si="92"/>
        <v>25.319282757180304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-56.829897424636052</v>
      </c>
      <c r="KD37" s="970">
        <v>-66.344253333333327</v>
      </c>
      <c r="KE37" s="968">
        <f t="shared" si="140"/>
        <v>-9.5143559086972758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22.033021990470537</v>
      </c>
      <c r="KG37" s="966">
        <f t="shared" si="244"/>
        <v>-3.8843999999999994</v>
      </c>
      <c r="KH37" s="966">
        <f t="shared" si="141"/>
        <v>1.6788270773917873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2.1061558884031668</v>
      </c>
      <c r="C38" s="572">
        <f t="shared" si="316"/>
        <v>-2.2083345589435535</v>
      </c>
      <c r="D38" s="576">
        <f t="shared" si="316"/>
        <v>-0.21843242610726521</v>
      </c>
      <c r="E38" s="580">
        <f t="shared" ref="E38:K38" si="317">R193</f>
        <v>0.78328788551734385</v>
      </c>
      <c r="F38" s="572">
        <f t="shared" si="317"/>
        <v>0.55607209577359806</v>
      </c>
      <c r="G38" s="579">
        <f t="shared" si="317"/>
        <v>0.27792789119432937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3.218</v>
      </c>
      <c r="K38" s="806">
        <f t="shared" si="317"/>
        <v>1313</v>
      </c>
      <c r="L38" s="309"/>
      <c r="M38" s="164">
        <f t="shared" si="4"/>
        <v>3.218</v>
      </c>
      <c r="N38" s="575">
        <f t="shared" si="5"/>
        <v>2.1061558884031668</v>
      </c>
      <c r="O38" s="572">
        <f t="shared" si="6"/>
        <v>-2.2083345589435535</v>
      </c>
      <c r="P38" s="576">
        <f t="shared" si="7"/>
        <v>-0.21843242610726521</v>
      </c>
      <c r="Q38" s="528">
        <f t="shared" si="144"/>
        <v>313.64333633383609</v>
      </c>
      <c r="R38" s="572">
        <f t="shared" si="95"/>
        <v>3.0516608839253014</v>
      </c>
      <c r="S38" s="577">
        <f t="shared" si="96"/>
        <v>-0.21843242610726521</v>
      </c>
      <c r="T38" s="578">
        <f t="shared" si="97"/>
        <v>-2.1856435656194839</v>
      </c>
      <c r="U38" s="572">
        <f t="shared" si="98"/>
        <v>-2.1296939579540299</v>
      </c>
      <c r="V38" s="579">
        <f t="shared" si="145"/>
        <v>-0.21843242610726521</v>
      </c>
      <c r="W38" s="528">
        <f t="shared" si="268"/>
        <v>224.25718515369391</v>
      </c>
      <c r="X38" s="572">
        <f t="shared" si="99"/>
        <v>3.0516608839253014</v>
      </c>
      <c r="Y38" s="573">
        <f t="shared" si="271"/>
        <v>-0.21843242610726521</v>
      </c>
      <c r="Z38" s="575">
        <f t="shared" si="10"/>
        <v>-0.78328788551734385</v>
      </c>
      <c r="AA38" s="572">
        <f t="shared" si="11"/>
        <v>-0.55607209577359806</v>
      </c>
      <c r="AB38" s="572">
        <f t="shared" si="12"/>
        <v>-0.27792789119432937</v>
      </c>
      <c r="AC38" s="579">
        <f t="shared" si="100"/>
        <v>1</v>
      </c>
      <c r="AD38" s="580">
        <f t="shared" si="146"/>
        <v>-0.78328788551734385</v>
      </c>
      <c r="AE38" s="572">
        <f t="shared" si="101"/>
        <v>-0.55607209577359806</v>
      </c>
      <c r="AF38" s="576">
        <f t="shared" si="102"/>
        <v>-0.27792789119432937</v>
      </c>
      <c r="AG38" s="545">
        <f t="shared" si="103"/>
        <v>-63.443864795023785</v>
      </c>
      <c r="AH38" s="546">
        <f t="shared" si="104"/>
        <v>141.56260472695908</v>
      </c>
      <c r="AI38" s="528">
        <f t="shared" si="105"/>
        <v>-73.863426368710989</v>
      </c>
      <c r="AJ38" s="529">
        <f t="shared" si="106"/>
        <v>-54.628278203259249</v>
      </c>
      <c r="AK38" s="578">
        <f t="shared" si="247"/>
        <v>0.95060897538149736</v>
      </c>
      <c r="AL38" s="572">
        <f t="shared" si="107"/>
        <v>-0.13819791322741776</v>
      </c>
      <c r="AM38" s="577">
        <f t="shared" si="108"/>
        <v>-0.27792789119432937</v>
      </c>
      <c r="AN38" s="524">
        <f t="shared" si="109"/>
        <v>-26.438575802776796</v>
      </c>
      <c r="AO38" s="525">
        <f t="shared" si="110"/>
        <v>18.082795834344047</v>
      </c>
      <c r="AP38" s="528">
        <f t="shared" si="111"/>
        <v>-8.271614537095342</v>
      </c>
      <c r="AQ38" s="529">
        <f t="shared" si="13"/>
        <v>0.74700222196320387</v>
      </c>
      <c r="AR38" s="979"/>
      <c r="AS38" s="954">
        <f t="shared" si="147"/>
        <v>224.25718515369391</v>
      </c>
      <c r="AT38" s="950">
        <f t="shared" si="14"/>
        <v>-0.12662122900185893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>Nose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3.218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3.1179999999999999</v>
      </c>
      <c r="IK38" s="677" cm="1">
        <f t="array" ref="IK38">IFERROR(ROUND(VALUE(IF($IJ38&lt;1,$IJ38+LARGE((IF($M$9:$M$150="",0,$M$9:$M$150)-MOD(IF($M$9:$M$150="",0,$M$9:$M$150),1)),1),$IJ38)),4),"")</f>
        <v>3.1179999999999999</v>
      </c>
      <c r="IL38" s="482">
        <f t="shared" si="79"/>
        <v>1313</v>
      </c>
      <c r="IM38" s="482">
        <f t="shared" si="242"/>
        <v>1313</v>
      </c>
      <c r="IN38" s="670">
        <f t="shared" si="81"/>
        <v>15.469292362302042</v>
      </c>
      <c r="IO38" s="702">
        <v>1.35893371744652E-3</v>
      </c>
      <c r="IP38" s="5">
        <f t="shared" si="82"/>
        <v>0</v>
      </c>
      <c r="IQ38" s="714">
        <v>0</v>
      </c>
      <c r="IR38" s="9">
        <f t="shared" si="132"/>
        <v>-3.0502995036288207</v>
      </c>
      <c r="IS38" s="5">
        <f t="shared" si="83"/>
        <v>-0.2033596652113637</v>
      </c>
      <c r="IT38" s="5">
        <f t="shared" si="84"/>
        <v>0.26450000000000001</v>
      </c>
      <c r="IU38" s="5">
        <f t="shared" si="85"/>
        <v>0.25755639124984731</v>
      </c>
      <c r="IV38" s="670">
        <f t="shared" si="86"/>
        <v>29.583784554698774</v>
      </c>
      <c r="IW38" s="9">
        <f t="shared" si="87"/>
        <v>-3.0516608839253014</v>
      </c>
      <c r="IX38" s="5">
        <f t="shared" si="88"/>
        <v>-0.21843242610726521</v>
      </c>
      <c r="IY38" s="5">
        <f t="shared" si="89"/>
        <v>0.26450000000000001</v>
      </c>
      <c r="IZ38" s="5">
        <f t="shared" si="90"/>
        <v>0.25143607398840606</v>
      </c>
      <c r="JA38" s="705">
        <f t="shared" si="91"/>
        <v>26.438575802776796</v>
      </c>
      <c r="JM38" s="489">
        <f t="shared" si="133"/>
        <v>18</v>
      </c>
      <c r="JN38" s="960">
        <f>($JO38-SMALL($JO$9:$JO$88,1))/((Settings!$C$19/2)-((Settings!$C$19/2)-LARGE($JO$9:$JO$88,1))-SMALL($JO$9:$JO$88,1))</f>
        <v>0.73394586092186886</v>
      </c>
      <c r="JO38" s="162">
        <f t="shared" si="134"/>
        <v>3.0516608839253014</v>
      </c>
      <c r="JP38" s="961">
        <f t="shared" si="135"/>
        <v>-26.438575802776796</v>
      </c>
      <c r="JQ38" s="961">
        <f t="shared" si="136"/>
        <v>18.082795834344047</v>
      </c>
      <c r="JS38" s="82">
        <v>30</v>
      </c>
      <c r="JT38" s="322">
        <f t="shared" si="137"/>
        <v>3.9445884656623238</v>
      </c>
      <c r="JU38" s="963">
        <f t="shared" si="138"/>
        <v>0.96791123713194882</v>
      </c>
      <c r="JV38" s="961">
        <f t="shared" si="287"/>
        <v>-65.741770469504885</v>
      </c>
      <c r="JW38" s="961">
        <f t="shared" si="92"/>
        <v>26.313364509224829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-59.611840346875923</v>
      </c>
      <c r="KD38" s="970">
        <v>-70.228653333333327</v>
      </c>
      <c r="KE38" s="968">
        <f t="shared" si="140"/>
        <v>-10.616812986457404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23.006502366979966</v>
      </c>
      <c r="KG38" s="966">
        <f t="shared" si="244"/>
        <v>-3.8843999999999994</v>
      </c>
      <c r="KH38" s="966">
        <f t="shared" si="141"/>
        <v>0.97348037650942842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2.5458234004524241</v>
      </c>
      <c r="C39" s="572">
        <f t="shared" si="318"/>
        <v>-2.5680815493023932</v>
      </c>
      <c r="D39" s="576">
        <f t="shared" si="318"/>
        <v>-0.63362401606592256</v>
      </c>
      <c r="E39" s="580">
        <f t="shared" ref="E39:K39" si="319">R194</f>
        <v>0.85528472182823356</v>
      </c>
      <c r="F39" s="572">
        <f t="shared" si="319"/>
        <v>0.44253252848780272</v>
      </c>
      <c r="G39" s="579">
        <f t="shared" si="319"/>
        <v>0.26954221531588202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3.2240000000000002</v>
      </c>
      <c r="K39" s="806">
        <f t="shared" si="319"/>
        <v>1313</v>
      </c>
      <c r="L39" s="309"/>
      <c r="M39" s="164">
        <f t="shared" si="4"/>
        <v>3.2240000000000002</v>
      </c>
      <c r="N39" s="575">
        <f t="shared" si="5"/>
        <v>2.5458234004524241</v>
      </c>
      <c r="O39" s="572">
        <f t="shared" si="6"/>
        <v>-2.5680815493023932</v>
      </c>
      <c r="P39" s="576">
        <f t="shared" si="7"/>
        <v>-0.63362401606592256</v>
      </c>
      <c r="Q39" s="528">
        <f t="shared" si="144"/>
        <v>314.75062306624847</v>
      </c>
      <c r="R39" s="572">
        <f t="shared" si="95"/>
        <v>3.6161111197194318</v>
      </c>
      <c r="S39" s="577">
        <f t="shared" si="96"/>
        <v>-0.63362401606592256</v>
      </c>
      <c r="T39" s="578">
        <f t="shared" si="97"/>
        <v>-2.5406595415121163</v>
      </c>
      <c r="U39" s="572">
        <f t="shared" si="98"/>
        <v>-2.5731903785538228</v>
      </c>
      <c r="V39" s="579">
        <f t="shared" si="145"/>
        <v>-0.63362401606592256</v>
      </c>
      <c r="W39" s="528">
        <f t="shared" si="268"/>
        <v>225.36447188610629</v>
      </c>
      <c r="X39" s="572">
        <f t="shared" si="99"/>
        <v>3.6161111197194318</v>
      </c>
      <c r="Y39" s="573">
        <f t="shared" si="271"/>
        <v>-0.63362401606592256</v>
      </c>
      <c r="Z39" s="575">
        <f t="shared" si="10"/>
        <v>-0.85528472182823356</v>
      </c>
      <c r="AA39" s="572">
        <f t="shared" si="11"/>
        <v>-0.44253252848780272</v>
      </c>
      <c r="AB39" s="572">
        <f t="shared" si="12"/>
        <v>-0.26954221531588202</v>
      </c>
      <c r="AC39" s="579">
        <f t="shared" si="100"/>
        <v>1</v>
      </c>
      <c r="AD39" s="580">
        <f t="shared" si="146"/>
        <v>-0.85528472182823356</v>
      </c>
      <c r="AE39" s="572">
        <f t="shared" si="101"/>
        <v>-0.44253252848780272</v>
      </c>
      <c r="AF39" s="576">
        <f t="shared" si="102"/>
        <v>-0.26954221531588202</v>
      </c>
      <c r="AG39" s="545">
        <f t="shared" si="103"/>
        <v>-58.654816527971953</v>
      </c>
      <c r="AH39" s="546">
        <f t="shared" si="104"/>
        <v>148.7912038694034</v>
      </c>
      <c r="AI39" s="528">
        <f t="shared" si="105"/>
        <v>-74.362972180598618</v>
      </c>
      <c r="AJ39" s="529">
        <f t="shared" si="106"/>
        <v>-62.642520622601289</v>
      </c>
      <c r="AK39" s="578">
        <f t="shared" si="247"/>
        <v>0.91895698721525276</v>
      </c>
      <c r="AL39" s="572">
        <f t="shared" si="107"/>
        <v>-0.28786290106728329</v>
      </c>
      <c r="AM39" s="577">
        <f t="shared" si="108"/>
        <v>-0.26954221531588202</v>
      </c>
      <c r="AN39" s="524">
        <f t="shared" si="109"/>
        <v>-46.882509133012171</v>
      </c>
      <c r="AO39" s="525">
        <f t="shared" si="110"/>
        <v>23.225926228738498</v>
      </c>
      <c r="AP39" s="528">
        <f t="shared" si="111"/>
        <v>-17.393143688849751</v>
      </c>
      <c r="AQ39" s="529">
        <f t="shared" si="13"/>
        <v>0.63041056011610741</v>
      </c>
      <c r="AR39" s="979"/>
      <c r="AS39" s="954">
        <f t="shared" si="147"/>
        <v>225.36447188610629</v>
      </c>
      <c r="AT39" s="950">
        <f t="shared" si="14"/>
        <v>-0.54258176808024705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>Taper</v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3.2240000000000002</v>
      </c>
      <c r="IJ39" s="674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3.1240000000000001</v>
      </c>
      <c r="IK39" s="677" cm="1">
        <f t="array" ref="IK39">IFERROR(ROUND(VALUE(IF($IJ39&lt;1,$IJ39+LARGE((IF($M$9:$M$150="",0,$M$9:$M$150)-MOD(IF($M$9:$M$150="",0,$M$9:$M$150),1)),1),$IJ39)),4),"")</f>
        <v>3.1240000000000001</v>
      </c>
      <c r="IL39" s="482">
        <f t="shared" si="79"/>
        <v>1313</v>
      </c>
      <c r="IM39" s="482">
        <f t="shared" si="242"/>
        <v>1313</v>
      </c>
      <c r="IN39" s="670">
        <f t="shared" si="81"/>
        <v>13.911535998586771</v>
      </c>
      <c r="IO39" s="702">
        <v>1.07020220656724E-3</v>
      </c>
      <c r="IP39" s="5">
        <f t="shared" si="82"/>
        <v>0</v>
      </c>
      <c r="IQ39" s="714">
        <v>0</v>
      </c>
      <c r="IR39" s="9">
        <f t="shared" si="132"/>
        <v>-3.6123584443893848</v>
      </c>
      <c r="IS39" s="5">
        <f t="shared" si="83"/>
        <v>-0.62146823029903686</v>
      </c>
      <c r="IT39" s="5">
        <f t="shared" si="84"/>
        <v>0.26450000000000001</v>
      </c>
      <c r="IU39" s="5">
        <f t="shared" si="85"/>
        <v>0.2510658279797095</v>
      </c>
      <c r="IV39" s="670">
        <f t="shared" si="86"/>
        <v>49.745642949649842</v>
      </c>
      <c r="IW39" s="9">
        <f t="shared" si="87"/>
        <v>-3.6161111197194318</v>
      </c>
      <c r="IX39" s="5">
        <f t="shared" si="88"/>
        <v>-0.63362401606592256</v>
      </c>
      <c r="IY39" s="5">
        <f t="shared" si="89"/>
        <v>0.26450000000000001</v>
      </c>
      <c r="IZ39" s="5">
        <f t="shared" si="90"/>
        <v>0.24306412311843439</v>
      </c>
      <c r="JA39" s="705">
        <f t="shared" si="91"/>
        <v>46.882509133012171</v>
      </c>
      <c r="JM39" s="489">
        <f t="shared" si="133"/>
        <v>24</v>
      </c>
      <c r="JN39" s="960">
        <f>($JO39-SMALL($JO$9:$JO$88,1))/((Settings!$C$19/2)-((Settings!$C$19/2)-LARGE($JO$9:$JO$88,1))-SMALL($JO$9:$JO$88,1))</f>
        <v>0.88184342223646117</v>
      </c>
      <c r="JO39" s="162">
        <f t="shared" si="134"/>
        <v>3.6161111197194318</v>
      </c>
      <c r="JP39" s="961">
        <f t="shared" si="135"/>
        <v>-46.882509133012171</v>
      </c>
      <c r="JQ39" s="961">
        <f t="shared" si="136"/>
        <v>23.225926228738498</v>
      </c>
      <c r="JS39" s="82">
        <v>31</v>
      </c>
      <c r="JT39" s="322">
        <f t="shared" si="137"/>
        <v>3.9725414578100708</v>
      </c>
      <c r="JU39" s="963">
        <f t="shared" si="138"/>
        <v>0.97523549551281619</v>
      </c>
      <c r="JV39" s="961">
        <f t="shared" si="287"/>
        <v>-68.41691552516582</v>
      </c>
      <c r="JW39" s="961">
        <f t="shared" si="92"/>
        <v>27.30365528463081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-61.651398364213904</v>
      </c>
      <c r="KD39" s="970">
        <v>-74.113140000000001</v>
      </c>
      <c r="KE39" s="968">
        <f t="shared" si="140"/>
        <v>-12.461741635786098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24.24583672105798</v>
      </c>
      <c r="KG39" s="966">
        <f t="shared" si="244"/>
        <v>-3.8844866666666746</v>
      </c>
      <c r="KH39" s="966">
        <f t="shared" si="141"/>
        <v>1.2393343540780144</v>
      </c>
      <c r="KJ39" s="31"/>
    </row>
    <row r="40" spans="1:296" ht="15" customHeight="1" x14ac:dyDescent="0.25">
      <c r="A40" s="75">
        <f t="shared" si="1"/>
        <v>0.02</v>
      </c>
      <c r="B40" s="578">
        <f t="shared" ref="B40:D40" si="320">IFERROR(O195+($A40*-E40),"")</f>
        <v>-4.1599650859411155E-2</v>
      </c>
      <c r="C40" s="572">
        <f t="shared" si="320"/>
        <v>-2.9373339839881565</v>
      </c>
      <c r="D40" s="576">
        <f t="shared" si="320"/>
        <v>-0.15821181084454233</v>
      </c>
      <c r="E40" s="580">
        <f t="shared" ref="E40:K40" si="321">R195</f>
        <v>0.97248966780250046</v>
      </c>
      <c r="F40" s="572">
        <f t="shared" si="321"/>
        <v>-0.10957157292887981</v>
      </c>
      <c r="G40" s="579">
        <f t="shared" si="321"/>
        <v>0.20556730387703601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4.117</v>
      </c>
      <c r="K40" s="806">
        <f t="shared" si="321"/>
        <v>1313</v>
      </c>
      <c r="L40" s="309"/>
      <c r="M40" s="164">
        <f t="shared" si="4"/>
        <v>4.117</v>
      </c>
      <c r="N40" s="575">
        <f t="shared" si="5"/>
        <v>-4.1599650859411155E-2</v>
      </c>
      <c r="O40" s="572">
        <f t="shared" si="6"/>
        <v>-2.9373339839881565</v>
      </c>
      <c r="P40" s="576">
        <f t="shared" si="7"/>
        <v>-0.15821181084454233</v>
      </c>
      <c r="Q40" s="528">
        <f t="shared" si="144"/>
        <v>269.18860943245375</v>
      </c>
      <c r="R40" s="572">
        <f t="shared" si="95"/>
        <v>2.9376285443267598</v>
      </c>
      <c r="S40" s="577">
        <f t="shared" si="96"/>
        <v>-0.15821181084454233</v>
      </c>
      <c r="T40" s="578">
        <f t="shared" si="97"/>
        <v>-2.9376110845385122</v>
      </c>
      <c r="U40" s="572">
        <f t="shared" si="98"/>
        <v>1.0128200226226548E-2</v>
      </c>
      <c r="V40" s="579">
        <f t="shared" si="145"/>
        <v>-0.15821181084454233</v>
      </c>
      <c r="W40" s="528">
        <f t="shared" si="268"/>
        <v>179.80245825231157</v>
      </c>
      <c r="X40" s="572">
        <f t="shared" si="99"/>
        <v>2.9376285443267598</v>
      </c>
      <c r="Y40" s="573">
        <f t="shared" si="271"/>
        <v>-0.15821181084454233</v>
      </c>
      <c r="Z40" s="575">
        <f t="shared" si="10"/>
        <v>-0.97248966780250046</v>
      </c>
      <c r="AA40" s="572">
        <f t="shared" si="11"/>
        <v>0.10957157292887981</v>
      </c>
      <c r="AB40" s="572">
        <f t="shared" si="12"/>
        <v>-0.20556730387703601</v>
      </c>
      <c r="AC40" s="579">
        <f t="shared" si="100"/>
        <v>1</v>
      </c>
      <c r="AD40" s="580">
        <f t="shared" si="146"/>
        <v>-0.97248966780250046</v>
      </c>
      <c r="AE40" s="572">
        <f t="shared" si="101"/>
        <v>0.10957157292887981</v>
      </c>
      <c r="AF40" s="576">
        <f t="shared" si="102"/>
        <v>-0.20556730387703601</v>
      </c>
      <c r="AG40" s="545">
        <f t="shared" si="103"/>
        <v>28.058527353776508</v>
      </c>
      <c r="AH40" s="546">
        <f t="shared" si="104"/>
        <v>166.52942173059265</v>
      </c>
      <c r="AI40" s="528">
        <f t="shared" si="105"/>
        <v>-78.137289512999601</v>
      </c>
      <c r="AJ40" s="529">
        <f t="shared" si="106"/>
        <v>-96.428472702504649</v>
      </c>
      <c r="AK40" s="578">
        <f t="shared" si="247"/>
        <v>0.97394379388674313</v>
      </c>
      <c r="AL40" s="572">
        <f t="shared" si="107"/>
        <v>-9.5789195247813735E-2</v>
      </c>
      <c r="AM40" s="577">
        <f t="shared" si="108"/>
        <v>-0.20556730387703601</v>
      </c>
      <c r="AN40" s="524">
        <f t="shared" si="109"/>
        <v>-24.984335633462127</v>
      </c>
      <c r="AO40" s="525">
        <f t="shared" si="110"/>
        <v>13.108130717295621</v>
      </c>
      <c r="AP40" s="528">
        <f t="shared" si="111"/>
        <v>-5.6170821349584061</v>
      </c>
      <c r="AQ40" s="529">
        <f t="shared" si="13"/>
        <v>0.77599574105033531</v>
      </c>
      <c r="AR40" s="979"/>
      <c r="AS40" s="954">
        <f t="shared" si="147"/>
        <v>179.80245825231157</v>
      </c>
      <c r="AT40" s="950">
        <f t="shared" si="14"/>
        <v>-3.5529275613176092E-2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4.117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17</v>
      </c>
      <c r="JN40" s="960">
        <f>($JO40-SMALL($JO$9:$JO$88,1))/((Settings!$C$19/2)-((Settings!$C$19/2)-LARGE($JO$9:$JO$88,1))-SMALL($JO$9:$JO$88,1))</f>
        <v>0.70406704456546476</v>
      </c>
      <c r="JO40" s="162">
        <f t="shared" si="134"/>
        <v>2.9376285443267598</v>
      </c>
      <c r="JP40" s="961">
        <f t="shared" si="135"/>
        <v>-24.984335633462127</v>
      </c>
      <c r="JQ40" s="961">
        <f t="shared" si="136"/>
        <v>13.108130717295621</v>
      </c>
      <c r="JS40" s="82">
        <v>32</v>
      </c>
      <c r="JT40" s="322">
        <f t="shared" si="137"/>
        <v>3.9931931855287854</v>
      </c>
      <c r="JU40" s="963">
        <f t="shared" si="138"/>
        <v>0.98064667257120408</v>
      </c>
      <c r="JV40" s="961">
        <f t="shared" si="287"/>
        <v>-71.277282722912432</v>
      </c>
      <c r="JW40" s="961">
        <f t="shared" si="92"/>
        <v>28.300433638666501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-64.357433830515632</v>
      </c>
      <c r="KD40" s="970">
        <v>-76.096977142857128</v>
      </c>
      <c r="KE40" s="968">
        <f t="shared" si="140"/>
        <v>-11.739543312341496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25.824057231277241</v>
      </c>
      <c r="KG40" s="966">
        <f t="shared" si="244"/>
        <v>-1.9838371428571264</v>
      </c>
      <c r="KH40" s="966">
        <f t="shared" si="141"/>
        <v>1.5782205102192606</v>
      </c>
      <c r="KJ40" s="31"/>
    </row>
    <row r="41" spans="1:296" ht="15" customHeight="1" x14ac:dyDescent="0.25">
      <c r="A41" s="75">
        <f t="shared" ref="A41:A72" si="322">IF($K41="","",IF(AND($A$8="Y",ISNUMBER($K41)),$A$5,0))</f>
        <v>0.02</v>
      </c>
      <c r="B41" s="578">
        <f t="shared" ref="B41:D41" si="323">IFERROR(O196+($A41*-E41),"")</f>
        <v>-7.8250815919000405E-2</v>
      </c>
      <c r="C41" s="572">
        <f t="shared" si="323"/>
        <v>-3.532656736961405</v>
      </c>
      <c r="D41" s="576">
        <f t="shared" si="323"/>
        <v>-0.53668319580150792</v>
      </c>
      <c r="E41" s="580">
        <f t="shared" ref="E41:K41" si="324">R196</f>
        <v>0.94961265483697233</v>
      </c>
      <c r="F41" s="572">
        <f t="shared" si="324"/>
        <v>-0.2378810084182934</v>
      </c>
      <c r="G41" s="579">
        <f t="shared" si="324"/>
        <v>0.20407947375317609</v>
      </c>
      <c r="H41" s="580">
        <f t="shared" si="324"/>
        <v>0.26450000000000001</v>
      </c>
      <c r="I41" s="572">
        <f t="shared" si="324"/>
        <v>0.52</v>
      </c>
      <c r="J41" s="483">
        <f t="shared" si="94"/>
        <v>4.1230000000000002</v>
      </c>
      <c r="K41" s="806">
        <f t="shared" si="324"/>
        <v>1313</v>
      </c>
      <c r="L41" s="309"/>
      <c r="M41" s="164">
        <f t="shared" ref="M41:M72" si="325">IF(J41="","",VALUE(J41))</f>
        <v>4.1230000000000002</v>
      </c>
      <c r="N41" s="575">
        <f t="shared" ref="N41:N72" si="326">IF(M41="","",B41)</f>
        <v>-7.8250815919000405E-2</v>
      </c>
      <c r="O41" s="572">
        <f t="shared" ref="O41:O72" si="327">IF(M41="","",C41)</f>
        <v>-3.532656736961405</v>
      </c>
      <c r="P41" s="576">
        <f t="shared" ref="P41:P72" si="328">IF(M41="","",D41)</f>
        <v>-0.53668319580150792</v>
      </c>
      <c r="Q41" s="528">
        <f t="shared" si="144"/>
        <v>268.73106594465526</v>
      </c>
      <c r="R41" s="572">
        <f t="shared" si="95"/>
        <v>3.5335232858141445</v>
      </c>
      <c r="S41" s="577">
        <f t="shared" si="96"/>
        <v>-0.53668319580150792</v>
      </c>
      <c r="T41" s="578">
        <f t="shared" si="97"/>
        <v>-3.5332923328243768</v>
      </c>
      <c r="U41" s="572">
        <f t="shared" si="98"/>
        <v>4.03992845884905E-2</v>
      </c>
      <c r="V41" s="579">
        <f t="shared" si="145"/>
        <v>-0.53668319580150792</v>
      </c>
      <c r="W41" s="528">
        <f t="shared" si="268"/>
        <v>179.34491476451308</v>
      </c>
      <c r="X41" s="572">
        <f t="shared" si="99"/>
        <v>3.5335232858141445</v>
      </c>
      <c r="Y41" s="573">
        <f t="shared" si="271"/>
        <v>-0.53668319580150792</v>
      </c>
      <c r="Z41" s="575">
        <f t="shared" ref="Z41:Z72" si="329">IF(M41="","",-E41)</f>
        <v>-0.94961265483697233</v>
      </c>
      <c r="AA41" s="572">
        <f t="shared" ref="AA41:AA72" si="330">IF(M41="","",-F41)</f>
        <v>0.2378810084182934</v>
      </c>
      <c r="AB41" s="572">
        <f t="shared" ref="AB41:AB72" si="331">IF(M41="","",-G41)</f>
        <v>-0.20407947375317609</v>
      </c>
      <c r="AC41" s="579">
        <f t="shared" si="100"/>
        <v>1</v>
      </c>
      <c r="AD41" s="580">
        <f t="shared" si="146"/>
        <v>-0.94961265483697233</v>
      </c>
      <c r="AE41" s="572">
        <f t="shared" si="101"/>
        <v>0.2378810084182934</v>
      </c>
      <c r="AF41" s="576">
        <f t="shared" si="102"/>
        <v>-0.20407947375317609</v>
      </c>
      <c r="AG41" s="545">
        <f t="shared" si="103"/>
        <v>49.373518562143623</v>
      </c>
      <c r="AH41" s="546">
        <f t="shared" si="104"/>
        <v>161.73418600230255</v>
      </c>
      <c r="AI41" s="528">
        <f t="shared" si="105"/>
        <v>-78.224382369242278</v>
      </c>
      <c r="AJ41" s="529">
        <f t="shared" si="106"/>
        <v>-104.06337551312953</v>
      </c>
      <c r="AK41" s="578">
        <f t="shared" si="247"/>
        <v>0.95464771356014422</v>
      </c>
      <c r="AL41" s="572">
        <f t="shared" si="107"/>
        <v>-0.21679324571354996</v>
      </c>
      <c r="AM41" s="577">
        <f t="shared" si="108"/>
        <v>-0.20407947375317609</v>
      </c>
      <c r="AN41" s="524">
        <f t="shared" si="109"/>
        <v>-46.730271377527835</v>
      </c>
      <c r="AO41" s="525">
        <f t="shared" si="110"/>
        <v>17.321775198001973</v>
      </c>
      <c r="AP41" s="528">
        <f t="shared" si="111"/>
        <v>-12.79444145778478</v>
      </c>
      <c r="AQ41" s="529">
        <f t="shared" ref="AQ41:AQ72" si="332">IF(M41="","",DEGREES(ATAN(($AS$5*SIN(RADIANS(90)))/(($X41*2*PI())-($AS$5*COS(RADIANS(90)))))))</f>
        <v>0.64514369985664977</v>
      </c>
      <c r="AR41" s="979"/>
      <c r="AS41" s="954">
        <f t="shared" si="147"/>
        <v>179.34491476451308</v>
      </c>
      <c r="AT41" s="950">
        <f t="shared" ref="AT41:AT72" si="333">IF(M41="","",Y41+(((AS41-$AS$9)*$AS$6)*-1))</f>
        <v>-0.41368292203694829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4.1230000000000002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1313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23</v>
      </c>
      <c r="JN41" s="960">
        <f>($JO41-SMALL($JO$9:$JO$88,1))/((Settings!$C$19/2)-((Settings!$C$19/2)-LARGE($JO$9:$JO$88,1))-SMALL($JO$9:$JO$88,1))</f>
        <v>0.86020371256097161</v>
      </c>
      <c r="JO41" s="162">
        <f t="shared" si="134"/>
        <v>3.5335232858141445</v>
      </c>
      <c r="JP41" s="961">
        <f t="shared" si="135"/>
        <v>-46.730271377527835</v>
      </c>
      <c r="JQ41" s="961">
        <f t="shared" si="136"/>
        <v>17.321775198001973</v>
      </c>
      <c r="JS41" s="82">
        <v>33</v>
      </c>
      <c r="JT41" s="322">
        <f t="shared" si="137"/>
        <v>4.0329073367169492</v>
      </c>
      <c r="JU41" s="963">
        <f t="shared" si="138"/>
        <v>0.99105259631423293</v>
      </c>
      <c r="JV41" s="961">
        <f t="shared" si="287"/>
        <v>-73.546047338244804</v>
      </c>
      <c r="JW41" s="961">
        <f t="shared" si="92"/>
        <v>30.267589676579636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-67.299166060630384</v>
      </c>
      <c r="KD41" s="970">
        <v>-78.080814285714283</v>
      </c>
      <c r="KE41" s="968">
        <f t="shared" si="140"/>
        <v>-10.781648225083899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26.889884456913606</v>
      </c>
      <c r="KG41" s="966">
        <f t="shared" si="244"/>
        <v>-1.9838371428571548</v>
      </c>
      <c r="KH41" s="966">
        <f t="shared" si="141"/>
        <v>1.0658272256363652</v>
      </c>
      <c r="KJ41" s="31"/>
    </row>
    <row r="42" spans="1:296" ht="15" customHeight="1" x14ac:dyDescent="0.25">
      <c r="A42" s="75">
        <f t="shared" si="322"/>
        <v>0.02</v>
      </c>
      <c r="B42" s="578">
        <f t="shared" ref="B42:D42" si="498">IFERROR(O197+($A42*-E42),"")</f>
        <v>-0.10915567616461459</v>
      </c>
      <c r="C42" s="572">
        <f t="shared" si="498"/>
        <v>-3.9073294896657793</v>
      </c>
      <c r="D42" s="576">
        <f t="shared" si="498"/>
        <v>-1.1227958612077307</v>
      </c>
      <c r="E42" s="580">
        <f t="shared" ref="E42:K42" si="499">R197</f>
        <v>0.89295193955310603</v>
      </c>
      <c r="F42" s="572">
        <f t="shared" si="499"/>
        <v>-0.40590418070614548</v>
      </c>
      <c r="G42" s="579">
        <f t="shared" si="499"/>
        <v>0.19462432975766153</v>
      </c>
      <c r="H42" s="580">
        <f t="shared" si="499"/>
        <v>0.26450000000000001</v>
      </c>
      <c r="I42" s="572">
        <f t="shared" si="499"/>
        <v>0.52</v>
      </c>
      <c r="J42" s="483">
        <f t="shared" si="94"/>
        <v>4.1289999999999996</v>
      </c>
      <c r="K42" s="806">
        <f t="shared" si="499"/>
        <v>1313</v>
      </c>
      <c r="L42" s="309"/>
      <c r="M42" s="164">
        <f t="shared" si="325"/>
        <v>4.1289999999999996</v>
      </c>
      <c r="N42" s="575">
        <f t="shared" si="326"/>
        <v>-0.10915567616461459</v>
      </c>
      <c r="O42" s="572">
        <f t="shared" si="327"/>
        <v>-3.9073294896657793</v>
      </c>
      <c r="P42" s="576">
        <f t="shared" si="328"/>
        <v>-1.1227958612077307</v>
      </c>
      <c r="Q42" s="528">
        <f t="shared" si="144"/>
        <v>268.39979368022887</v>
      </c>
      <c r="R42" s="572">
        <f t="shared" ref="R42:R47" si="500">IF(M42="","",SQRT(N42^2+O42^2))</f>
        <v>3.9088538860452169</v>
      </c>
      <c r="S42" s="577">
        <f t="shared" ref="S42:S47" si="501">IF(M42="","",P42)</f>
        <v>-1.1227958612077307</v>
      </c>
      <c r="T42" s="578">
        <f t="shared" ref="T42:T47" si="502">IF(M42="","",X42*COS(RADIANS(W42)))</f>
        <v>-3.9082746812445994</v>
      </c>
      <c r="U42" s="572">
        <f t="shared" ref="U42:U47" si="503">IF(M42="","",X42*SIN(RADIANS(W42)))</f>
        <v>6.7288322859303015E-2</v>
      </c>
      <c r="V42" s="579">
        <f t="shared" ref="V42:V47" si="504">IF(M42="","",Y42)</f>
        <v>-1.1227958612077307</v>
      </c>
      <c r="W42" s="528">
        <f t="shared" si="268"/>
        <v>179.01364250008669</v>
      </c>
      <c r="X42" s="572">
        <f t="shared" ref="X42:X47" si="505">IF(M42="","",R42)</f>
        <v>3.9088538860452169</v>
      </c>
      <c r="Y42" s="573">
        <f t="shared" si="271"/>
        <v>-1.1227958612077307</v>
      </c>
      <c r="Z42" s="575">
        <f t="shared" si="329"/>
        <v>-0.89295193955310603</v>
      </c>
      <c r="AA42" s="572">
        <f t="shared" si="330"/>
        <v>0.40590418070614548</v>
      </c>
      <c r="AB42" s="572">
        <f t="shared" si="331"/>
        <v>-0.19462432975766153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-0.89295193955310603</v>
      </c>
      <c r="AE42" s="572">
        <f t="shared" ref="AE42:AE47" si="508">IF(M42="","",AA42*(1/SQRT(Z42^2+AA42^2+AB42^2)))</f>
        <v>0.40590418070614548</v>
      </c>
      <c r="AF42" s="576">
        <f t="shared" ref="AF42:AF47" si="509">IF(M42="","",AB42*(1/SQRT(Z42^2+AA42^2+AB42^2)))</f>
        <v>-0.19462432975766153</v>
      </c>
      <c r="AG42" s="545">
        <f t="shared" ref="AG42:AG47" si="510">IF(M42="","",DEGREES(ATAN2(-AF42,AE42)))</f>
        <v>64.383053922022555</v>
      </c>
      <c r="AH42" s="546">
        <f t="shared" ref="AH42:AH47" si="511">IF(M42="","",DEGREES(ACOS(AD42)))</f>
        <v>153.24656271854005</v>
      </c>
      <c r="AI42" s="528">
        <f t="shared" ref="AI42:AI47" si="512">IF(M42="","",DEGREES(-ACOS(-AF42)))</f>
        <v>-78.777221176444854</v>
      </c>
      <c r="AJ42" s="529">
        <f t="shared" ref="AJ42:AJ47" si="513">IF(M42="","",DEGREES(ATAN2(-AE42,AD42)))</f>
        <v>-114.44485535735485</v>
      </c>
      <c r="AK42" s="578">
        <f t="shared" ref="AK42:AK47" si="514">IF(M42="","",(COS(RADIANS((90-$Q$8)-W42))*AD42)+(-SIN(RADIANS((90-$Q$8)-W42))*AE42))</f>
        <v>0.90393867219938762</v>
      </c>
      <c r="AL42" s="572">
        <f t="shared" ref="AL42:AL47" si="515">IF(M42="","",(SIN(RADIANS((90-$Q$8)-W42))*AD42)+(COS(RADIANS((90-$Q$8)-W42))*AE42))</f>
        <v>-0.38080998827340296</v>
      </c>
      <c r="AM42" s="577">
        <f t="shared" ref="AM42:AM47" si="516">IF(M42="","",AF42)</f>
        <v>-0.19462432975766153</v>
      </c>
      <c r="AN42" s="524">
        <f t="shared" ref="AN42:AN47" si="517">IF(M42="","",DEGREES(ATAN2(-AM42,AL42)))</f>
        <v>-62.929337764072571</v>
      </c>
      <c r="AO42" s="525">
        <f t="shared" si="110"/>
        <v>25.319282757180304</v>
      </c>
      <c r="AP42" s="528">
        <f t="shared" ref="AP42:AP47" si="518">IF(M42="","",DEGREES(ATAN2(AK42,AL42)))</f>
        <v>-22.844649037583707</v>
      </c>
      <c r="AQ42" s="529">
        <f t="shared" si="332"/>
        <v>0.58320110333346598</v>
      </c>
      <c r="AR42" s="979"/>
      <c r="AS42" s="954">
        <f t="shared" si="147"/>
        <v>179.01364250008669</v>
      </c>
      <c r="AT42" s="950">
        <f t="shared" si="333"/>
        <v>-0.99956553725954156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4.1289999999999996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1313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29</v>
      </c>
      <c r="JN42" s="960">
        <f>($JO42-SMALL($JO$9:$JO$88,1))/((Settings!$C$19/2)-((Settings!$C$19/2)-LARGE($JO$9:$JO$88,1))-SMALL($JO$9:$JO$88,1))</f>
        <v>0.958548042921326</v>
      </c>
      <c r="JO42" s="162">
        <f t="shared" si="134"/>
        <v>3.9088538860452169</v>
      </c>
      <c r="JP42" s="961">
        <f t="shared" si="135"/>
        <v>-62.929337764072571</v>
      </c>
      <c r="JQ42" s="961">
        <f t="shared" si="136"/>
        <v>25.319282757180304</v>
      </c>
      <c r="JS42" s="82">
        <v>34</v>
      </c>
      <c r="JT42" s="322">
        <f t="shared" si="137"/>
        <v>4.0670550540645918</v>
      </c>
      <c r="JU42" s="963">
        <f t="shared" si="138"/>
        <v>0.99999999999999978</v>
      </c>
      <c r="JV42" s="961">
        <f t="shared" si="287"/>
        <v>-76.728810223784308</v>
      </c>
      <c r="JW42" s="961">
        <f t="shared" si="92"/>
        <v>30.298611776153358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27.87020229668012</v>
      </c>
      <c r="KG42" s="966">
        <f t="shared" si="244"/>
        <v>-1.9838371428571406</v>
      </c>
      <c r="KH42" s="966">
        <f t="shared" si="141"/>
        <v>0.98031783976651354</v>
      </c>
      <c r="KJ42" s="31"/>
    </row>
    <row r="43" spans="1:296" ht="15" customHeight="1" x14ac:dyDescent="0.25">
      <c r="A43" s="75">
        <f t="shared" si="322"/>
        <v>0.02</v>
      </c>
      <c r="B43" s="578">
        <f t="shared" ref="B43:D43" si="522">IFERROR(O198+($A43*-E43),"")</f>
        <v>-0.12528084486722146</v>
      </c>
      <c r="C43" s="572">
        <f t="shared" si="522"/>
        <v>-4.065125031619778</v>
      </c>
      <c r="D43" s="576">
        <f t="shared" si="522"/>
        <v>-1.7924216937858266</v>
      </c>
      <c r="E43" s="580">
        <f t="shared" ref="E43:K43" si="523">R198</f>
        <v>0.84787233304192344</v>
      </c>
      <c r="F43" s="572">
        <f t="shared" si="523"/>
        <v>-0.51739680375621655</v>
      </c>
      <c r="G43" s="579">
        <f t="shared" si="523"/>
        <v>0.11581474139718587</v>
      </c>
      <c r="H43" s="580">
        <f t="shared" si="523"/>
        <v>0.26450000000000001</v>
      </c>
      <c r="I43" s="572">
        <f t="shared" si="523"/>
        <v>0.52</v>
      </c>
      <c r="J43" s="483">
        <f t="shared" si="94"/>
        <v>4.1349999999999998</v>
      </c>
      <c r="K43" s="806">
        <f t="shared" si="523"/>
        <v>1313</v>
      </c>
      <c r="L43" s="309"/>
      <c r="M43" s="164">
        <f t="shared" si="325"/>
        <v>4.1349999999999998</v>
      </c>
      <c r="N43" s="575">
        <f t="shared" si="326"/>
        <v>-0.12528084486722146</v>
      </c>
      <c r="O43" s="572">
        <f t="shared" si="327"/>
        <v>-4.065125031619778</v>
      </c>
      <c r="P43" s="576">
        <f t="shared" si="328"/>
        <v>-1.7924216937858266</v>
      </c>
      <c r="Q43" s="528">
        <f t="shared" si="144"/>
        <v>268.23479170166951</v>
      </c>
      <c r="R43" s="572">
        <f t="shared" si="500"/>
        <v>4.0670550540645927</v>
      </c>
      <c r="S43" s="577">
        <f t="shared" si="501"/>
        <v>-1.7924216937858266</v>
      </c>
      <c r="T43" s="578">
        <f t="shared" si="502"/>
        <v>-4.0662339238031731</v>
      </c>
      <c r="U43" s="572">
        <f t="shared" si="503"/>
        <v>8.1722027046567947E-2</v>
      </c>
      <c r="V43" s="579">
        <f t="shared" si="504"/>
        <v>-1.7924216937858266</v>
      </c>
      <c r="W43" s="528">
        <f t="shared" si="268"/>
        <v>178.84864052152733</v>
      </c>
      <c r="X43" s="572">
        <f t="shared" si="505"/>
        <v>4.0670550540645927</v>
      </c>
      <c r="Y43" s="573">
        <f t="shared" si="271"/>
        <v>-1.7924216937858266</v>
      </c>
      <c r="Z43" s="575">
        <f t="shared" si="329"/>
        <v>-0.84787233304192344</v>
      </c>
      <c r="AA43" s="572">
        <f t="shared" si="330"/>
        <v>0.51739680375621655</v>
      </c>
      <c r="AB43" s="572">
        <f t="shared" si="331"/>
        <v>-0.11581474139718587</v>
      </c>
      <c r="AC43" s="579">
        <f t="shared" si="506"/>
        <v>1</v>
      </c>
      <c r="AD43" s="580">
        <f t="shared" si="507"/>
        <v>-0.84787233304192344</v>
      </c>
      <c r="AE43" s="572">
        <f t="shared" si="508"/>
        <v>0.51739680375621655</v>
      </c>
      <c r="AF43" s="576">
        <f t="shared" si="509"/>
        <v>-0.11581474139718587</v>
      </c>
      <c r="AG43" s="545">
        <f t="shared" si="510"/>
        <v>77.382825161082692</v>
      </c>
      <c r="AH43" s="546">
        <f t="shared" si="511"/>
        <v>147.98100123123831</v>
      </c>
      <c r="AI43" s="528">
        <f t="shared" si="512"/>
        <v>-83.349379695737113</v>
      </c>
      <c r="AJ43" s="529">
        <f t="shared" si="513"/>
        <v>-121.39277810095165</v>
      </c>
      <c r="AK43" s="578">
        <f t="shared" si="514"/>
        <v>0.86340777459192775</v>
      </c>
      <c r="AL43" s="572">
        <f t="shared" si="515"/>
        <v>-0.49103356346518523</v>
      </c>
      <c r="AM43" s="577">
        <f t="shared" si="516"/>
        <v>-0.11581474139718587</v>
      </c>
      <c r="AN43" s="524">
        <f t="shared" si="517"/>
        <v>-76.728810223784308</v>
      </c>
      <c r="AO43" s="525">
        <f t="shared" si="110"/>
        <v>30.298611776153368</v>
      </c>
      <c r="AP43" s="528">
        <f t="shared" si="518"/>
        <v>-29.627569802621167</v>
      </c>
      <c r="AQ43" s="529">
        <f t="shared" si="332"/>
        <v>0.56051710008027333</v>
      </c>
      <c r="AR43" s="979"/>
      <c r="AS43" s="954">
        <f t="shared" ref="AS43:AS74" si="524">IF(G43="","",IF(AND(W43&lt;(AS42+180),W43&gt;(AS42-180)),W43,IF(W43&gt;(AS42+180),W43-360,IF(W43&lt;(AS42-180),W43+360,"Error"))))</f>
        <v>178.84864052152733</v>
      </c>
      <c r="AT43" s="950">
        <f t="shared" si="333"/>
        <v>-1.6690767851303046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4.1349999999999998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1313</v>
      </c>
      <c r="IM43" s="482" t="str">
        <f t="shared" si="242"/>
        <v/>
      </c>
      <c r="IN43" s="670" t="str">
        <f t="shared" si="486"/>
        <v/>
      </c>
      <c r="IO43" s="702"/>
      <c r="IP43" s="5" t="str">
        <f t="shared" si="487"/>
        <v/>
      </c>
      <c r="IQ43" s="714"/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35</v>
      </c>
      <c r="JN43" s="960">
        <f>($JO43-SMALL($JO$9:$JO$88,1))/((Settings!$C$19/2)-((Settings!$C$19/2)-LARGE($JO$9:$JO$88,1))-SMALL($JO$9:$JO$88,1))</f>
        <v>1</v>
      </c>
      <c r="JO43" s="162">
        <f t="shared" si="134"/>
        <v>4.0670550540645927</v>
      </c>
      <c r="JP43" s="961">
        <f t="shared" si="135"/>
        <v>-76.728810223784308</v>
      </c>
      <c r="JQ43" s="961">
        <f t="shared" si="136"/>
        <v>30.298611776153368</v>
      </c>
      <c r="JS43" s="82">
        <v>35</v>
      </c>
      <c r="JT43" s="322">
        <f t="shared" si="137"/>
        <v>4.0670550540645927</v>
      </c>
      <c r="JU43" s="963">
        <f t="shared" si="138"/>
        <v>1</v>
      </c>
      <c r="JV43" s="961">
        <f t="shared" si="287"/>
        <v>-76.728810223784308</v>
      </c>
      <c r="JW43" s="961">
        <f t="shared" si="92"/>
        <v>30.298611776153368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29.486160594290624</v>
      </c>
      <c r="KG43" s="966">
        <f t="shared" si="244"/>
        <v>-1.9838371428571548</v>
      </c>
      <c r="KH43" s="966">
        <f t="shared" si="141"/>
        <v>1.6159582976105042</v>
      </c>
      <c r="KJ43" s="31"/>
    </row>
    <row r="44" spans="1:296" ht="15" customHeight="1" x14ac:dyDescent="0.25">
      <c r="A44" s="75">
        <f t="shared" si="322"/>
        <v>0.02</v>
      </c>
      <c r="B44" s="578">
        <f t="shared" ref="B44:D44" si="527">IFERROR(O199+($A44*-E44),"")</f>
        <v>-0.80364225356937702</v>
      </c>
      <c r="C44" s="572">
        <f t="shared" si="527"/>
        <v>-2.826738214881833</v>
      </c>
      <c r="D44" s="576">
        <f t="shared" si="527"/>
        <v>-0.17270513034727725</v>
      </c>
      <c r="E44" s="580">
        <f t="shared" ref="E44:K44" si="528">R199</f>
        <v>0.88246954016122547</v>
      </c>
      <c r="F44" s="572">
        <f t="shared" si="528"/>
        <v>-0.37279623712441673</v>
      </c>
      <c r="G44" s="579">
        <f t="shared" si="528"/>
        <v>0.286828304519465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4.2169999999999996</v>
      </c>
      <c r="K44" s="806">
        <f t="shared" si="528"/>
        <v>1313</v>
      </c>
      <c r="L44" s="309"/>
      <c r="M44" s="164">
        <f t="shared" si="325"/>
        <v>4.2169999999999996</v>
      </c>
      <c r="N44" s="575">
        <f t="shared" si="326"/>
        <v>-0.80364225356937702</v>
      </c>
      <c r="O44" s="572">
        <f t="shared" si="327"/>
        <v>-2.826738214881833</v>
      </c>
      <c r="P44" s="576">
        <f t="shared" si="328"/>
        <v>-0.17270513034727725</v>
      </c>
      <c r="Q44" s="528">
        <f t="shared" si="144"/>
        <v>254.12953812925895</v>
      </c>
      <c r="R44" s="572">
        <f t="shared" si="500"/>
        <v>2.9387565069592614</v>
      </c>
      <c r="S44" s="577">
        <f t="shared" si="501"/>
        <v>-0.17270513034727725</v>
      </c>
      <c r="T44" s="578">
        <f t="shared" si="502"/>
        <v>-2.8351857893329675</v>
      </c>
      <c r="U44" s="572">
        <f t="shared" si="503"/>
        <v>0.77331193393080222</v>
      </c>
      <c r="V44" s="579">
        <f t="shared" si="504"/>
        <v>-0.17270513034727725</v>
      </c>
      <c r="W44" s="528">
        <f t="shared" si="268"/>
        <v>164.74338694911677</v>
      </c>
      <c r="X44" s="572">
        <f t="shared" si="505"/>
        <v>2.9387565069592614</v>
      </c>
      <c r="Y44" s="573">
        <f t="shared" si="271"/>
        <v>-0.17270513034727725</v>
      </c>
      <c r="Z44" s="575">
        <f t="shared" si="329"/>
        <v>-0.88246954016122547</v>
      </c>
      <c r="AA44" s="572">
        <f t="shared" si="330"/>
        <v>0.37279623712441673</v>
      </c>
      <c r="AB44" s="572">
        <f t="shared" si="331"/>
        <v>-0.286828304519465</v>
      </c>
      <c r="AC44" s="579">
        <f t="shared" si="506"/>
        <v>1</v>
      </c>
      <c r="AD44" s="580">
        <f t="shared" si="507"/>
        <v>-0.88246954016122547</v>
      </c>
      <c r="AE44" s="572">
        <f t="shared" si="508"/>
        <v>0.37279623712441673</v>
      </c>
      <c r="AF44" s="576">
        <f t="shared" si="509"/>
        <v>-0.286828304519465</v>
      </c>
      <c r="AG44" s="545">
        <f t="shared" si="510"/>
        <v>52.42542495715594</v>
      </c>
      <c r="AH44" s="546">
        <f t="shared" si="511"/>
        <v>151.94171270160987</v>
      </c>
      <c r="AI44" s="528">
        <f t="shared" si="512"/>
        <v>-73.331833823772925</v>
      </c>
      <c r="AJ44" s="529">
        <f t="shared" si="513"/>
        <v>-112.90146050420185</v>
      </c>
      <c r="AK44" s="578">
        <f t="shared" si="514"/>
        <v>0.95077804988302761</v>
      </c>
      <c r="AL44" s="572">
        <f t="shared" si="515"/>
        <v>-0.11726305294983577</v>
      </c>
      <c r="AM44" s="577">
        <f t="shared" si="516"/>
        <v>-0.286828304519465</v>
      </c>
      <c r="AN44" s="524">
        <f t="shared" si="517"/>
        <v>-22.236051845011556</v>
      </c>
      <c r="AO44" s="525">
        <f t="shared" si="110"/>
        <v>18.051559910651751</v>
      </c>
      <c r="AP44" s="528">
        <f t="shared" si="518"/>
        <v>-7.0309986334607864</v>
      </c>
      <c r="AQ44" s="529">
        <f t="shared" si="332"/>
        <v>0.77569793235989593</v>
      </c>
      <c r="AR44" s="979"/>
      <c r="AS44" s="954">
        <f t="shared" si="524"/>
        <v>164.74338694911677</v>
      </c>
      <c r="AT44" s="950">
        <f t="shared" si="333"/>
        <v>-3.9564906710914616E-2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4.2169999999999996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4.117</v>
      </c>
      <c r="IK44" s="677" cm="1">
        <f t="array" ref="IK44">IFERROR(ROUND(VALUE(IF($IJ44&lt;1,$IJ44+LARGE((IF($M$9:$M$150="",0,$M$9:$M$150)-MOD(IF($M$9:$M$150="",0,$M$9:$M$150),1)),1),$IJ44)),4),"")</f>
        <v>4.117</v>
      </c>
      <c r="IL44" s="482">
        <f t="shared" si="485"/>
        <v>1313</v>
      </c>
      <c r="IM44" s="482">
        <f t="shared" si="242"/>
        <v>1313</v>
      </c>
      <c r="IN44" s="670">
        <f t="shared" si="486"/>
        <v>15.059071303194798</v>
      </c>
      <c r="IO44" s="702">
        <v>2.2422758110613701E-3</v>
      </c>
      <c r="IP44" s="5">
        <f t="shared" si="487"/>
        <v>0.1</v>
      </c>
      <c r="IQ44" s="714">
        <v>50</v>
      </c>
      <c r="IR44" s="9">
        <f t="shared" si="488"/>
        <v>-2.9376285443267598</v>
      </c>
      <c r="IS44" s="5">
        <f t="shared" si="489"/>
        <v>-0.15821181084454233</v>
      </c>
      <c r="IT44" s="5">
        <f t="shared" si="490"/>
        <v>0.26450000000000001</v>
      </c>
      <c r="IU44" s="5">
        <f t="shared" si="491"/>
        <v>0.25760813348304357</v>
      </c>
      <c r="IV44" s="670">
        <f t="shared" si="492"/>
        <v>24.984335633462127</v>
      </c>
      <c r="IW44" s="9">
        <f t="shared" si="493"/>
        <v>-2.9387565069592614</v>
      </c>
      <c r="IX44" s="5">
        <f t="shared" si="494"/>
        <v>-0.17270513034727725</v>
      </c>
      <c r="IY44" s="5">
        <f t="shared" si="495"/>
        <v>0.26450000000000001</v>
      </c>
      <c r="IZ44" s="5">
        <f t="shared" si="496"/>
        <v>0.25148079419406083</v>
      </c>
      <c r="JA44" s="705">
        <f t="shared" si="497"/>
        <v>22.236051845011556</v>
      </c>
      <c r="JM44" s="489">
        <f t="shared" si="133"/>
        <v>17</v>
      </c>
      <c r="JN44" s="960">
        <f>($JO44-SMALL($JO$9:$JO$88,1))/((Settings!$C$19/2)-((Settings!$C$19/2)-LARGE($JO$9:$JO$88,1))-SMALL($JO$9:$JO$88,1))</f>
        <v>0.70436259395498058</v>
      </c>
      <c r="JO44" s="162">
        <f t="shared" si="134"/>
        <v>2.9387565069592614</v>
      </c>
      <c r="JP44" s="961">
        <f t="shared" si="135"/>
        <v>-22.236051845011556</v>
      </c>
      <c r="JQ44" s="961">
        <f t="shared" si="136"/>
        <v>18.051559910651751</v>
      </c>
      <c r="JS44" s="82">
        <v>36</v>
      </c>
      <c r="JT44" s="322">
        <f t="shared" si="137"/>
        <v>4.0670550540645918</v>
      </c>
      <c r="JU44" s="963">
        <f t="shared" si="138"/>
        <v>0.99999999999999978</v>
      </c>
      <c r="JV44" s="961">
        <f t="shared" si="287"/>
        <v>-76.728810223784251</v>
      </c>
      <c r="JW44" s="961">
        <f t="shared" si="92"/>
        <v>30.298611776153393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0.61383940570937767</v>
      </c>
      <c r="KJ44" s="31"/>
    </row>
    <row r="45" spans="1:296" ht="15" customHeight="1" x14ac:dyDescent="0.25">
      <c r="A45" s="75">
        <f t="shared" si="322"/>
        <v>0.02</v>
      </c>
      <c r="B45" s="578">
        <f t="shared" ref="B45:D45" si="529">IFERROR(O200+($A45*-E45),"")</f>
        <v>-0.94822451421612219</v>
      </c>
      <c r="C45" s="572">
        <f t="shared" si="529"/>
        <v>-3.4073053003030176</v>
      </c>
      <c r="D45" s="576">
        <f t="shared" si="529"/>
        <v>-0.54944097200728237</v>
      </c>
      <c r="E45" s="580">
        <f t="shared" ref="E45:K45" si="530">R200</f>
        <v>0.82186419494211727</v>
      </c>
      <c r="F45" s="572">
        <f t="shared" si="530"/>
        <v>-0.49992687561099108</v>
      </c>
      <c r="G45" s="579">
        <f t="shared" si="530"/>
        <v>0.27315263885596724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4.2229999999999999</v>
      </c>
      <c r="K45" s="806">
        <f t="shared" si="530"/>
        <v>1313</v>
      </c>
      <c r="L45" s="309"/>
      <c r="M45" s="164">
        <f t="shared" si="325"/>
        <v>4.2229999999999999</v>
      </c>
      <c r="N45" s="575">
        <f t="shared" si="326"/>
        <v>-0.94822451421612219</v>
      </c>
      <c r="O45" s="572">
        <f t="shared" si="327"/>
        <v>-3.4073053003030176</v>
      </c>
      <c r="P45" s="576">
        <f t="shared" si="328"/>
        <v>-0.54944097200728237</v>
      </c>
      <c r="Q45" s="528">
        <f t="shared" si="144"/>
        <v>254.44856055257355</v>
      </c>
      <c r="R45" s="572">
        <f t="shared" si="500"/>
        <v>3.5367865554530482</v>
      </c>
      <c r="S45" s="577">
        <f t="shared" si="501"/>
        <v>-0.54944097200728237</v>
      </c>
      <c r="T45" s="578">
        <f t="shared" si="502"/>
        <v>-3.4172685343330529</v>
      </c>
      <c r="U45" s="572">
        <f t="shared" si="503"/>
        <v>0.91166600413236187</v>
      </c>
      <c r="V45" s="579">
        <f t="shared" si="504"/>
        <v>-0.54944097200728237</v>
      </c>
      <c r="W45" s="528">
        <f t="shared" si="268"/>
        <v>165.06240937243138</v>
      </c>
      <c r="X45" s="572">
        <f t="shared" si="505"/>
        <v>3.5367865554530482</v>
      </c>
      <c r="Y45" s="573">
        <f t="shared" si="271"/>
        <v>-0.54944097200728237</v>
      </c>
      <c r="Z45" s="575">
        <f t="shared" si="329"/>
        <v>-0.82186419494211727</v>
      </c>
      <c r="AA45" s="572">
        <f t="shared" si="330"/>
        <v>0.49992687561099108</v>
      </c>
      <c r="AB45" s="572">
        <f t="shared" si="331"/>
        <v>-0.27315263885596724</v>
      </c>
      <c r="AC45" s="579">
        <f t="shared" si="506"/>
        <v>1</v>
      </c>
      <c r="AD45" s="580">
        <f t="shared" si="507"/>
        <v>-0.82186419494211727</v>
      </c>
      <c r="AE45" s="572">
        <f t="shared" si="508"/>
        <v>0.49992687561099108</v>
      </c>
      <c r="AF45" s="576">
        <f t="shared" si="509"/>
        <v>-0.27315263885596724</v>
      </c>
      <c r="AG45" s="545">
        <f t="shared" si="510"/>
        <v>61.348461291271072</v>
      </c>
      <c r="AH45" s="546">
        <f t="shared" si="511"/>
        <v>145.27184456440477</v>
      </c>
      <c r="AI45" s="528">
        <f t="shared" si="512"/>
        <v>-74.148046295318196</v>
      </c>
      <c r="AJ45" s="529">
        <f t="shared" si="513"/>
        <v>-121.31148193822355</v>
      </c>
      <c r="AK45" s="578">
        <f t="shared" si="514"/>
        <v>0.92580796013174416</v>
      </c>
      <c r="AL45" s="572">
        <f t="shared" si="515"/>
        <v>-0.26128003529301791</v>
      </c>
      <c r="AM45" s="577">
        <f t="shared" si="516"/>
        <v>-0.27315263885596724</v>
      </c>
      <c r="AN45" s="524">
        <f t="shared" si="517"/>
        <v>-43.727364107700268</v>
      </c>
      <c r="AO45" s="525">
        <f t="shared" si="110"/>
        <v>22.209494479021345</v>
      </c>
      <c r="AP45" s="528">
        <f t="shared" si="518"/>
        <v>-15.760042490797087</v>
      </c>
      <c r="AQ45" s="529">
        <f t="shared" si="332"/>
        <v>0.64454849850052176</v>
      </c>
      <c r="AR45" s="979"/>
      <c r="AS45" s="954">
        <f t="shared" si="524"/>
        <v>165.06240937243138</v>
      </c>
      <c r="AT45" s="950">
        <f t="shared" si="333"/>
        <v>-0.41652229172044375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4.2229999999999999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4.1230000000000002</v>
      </c>
      <c r="IK45" s="677" cm="1">
        <f t="array" ref="IK45">IFERROR(ROUND(VALUE(IF($IJ45&lt;1,$IJ45+LARGE((IF($M$9:$M$150="",0,$M$9:$M$150)-MOD(IF($M$9:$M$150="",0,$M$9:$M$150),1)),1),$IJ45)),4),"")</f>
        <v>4.1230000000000002</v>
      </c>
      <c r="IL45" s="482">
        <f t="shared" si="485"/>
        <v>1313</v>
      </c>
      <c r="IM45" s="482">
        <f t="shared" si="242"/>
        <v>1313</v>
      </c>
      <c r="IN45" s="670">
        <f t="shared" si="486"/>
        <v>14.282505392081703</v>
      </c>
      <c r="IO45" s="702">
        <v>8.2571962589710805E-4</v>
      </c>
      <c r="IP45" s="5">
        <f t="shared" si="487"/>
        <v>0</v>
      </c>
      <c r="IQ45" s="714">
        <v>0</v>
      </c>
      <c r="IR45" s="9">
        <f t="shared" si="488"/>
        <v>-3.5335232858141445</v>
      </c>
      <c r="IS45" s="5">
        <f t="shared" si="489"/>
        <v>-0.53668319580150792</v>
      </c>
      <c r="IT45" s="5">
        <f t="shared" si="490"/>
        <v>0.26450000000000001</v>
      </c>
      <c r="IU45" s="5">
        <f t="shared" si="491"/>
        <v>0.25250432023665814</v>
      </c>
      <c r="IV45" s="670">
        <f t="shared" si="492"/>
        <v>46.730271377527835</v>
      </c>
      <c r="IW45" s="9">
        <f t="shared" si="493"/>
        <v>-3.5367865554530482</v>
      </c>
      <c r="IX45" s="5">
        <f t="shared" si="494"/>
        <v>-0.54944097200728237</v>
      </c>
      <c r="IY45" s="5">
        <f t="shared" si="495"/>
        <v>0.26450000000000001</v>
      </c>
      <c r="IZ45" s="5">
        <f t="shared" si="496"/>
        <v>0.24487620545484634</v>
      </c>
      <c r="JA45" s="705">
        <f t="shared" si="497"/>
        <v>43.727364107700268</v>
      </c>
      <c r="JM45" s="489">
        <f t="shared" si="133"/>
        <v>23</v>
      </c>
      <c r="JN45" s="960">
        <f>($JO45-SMALL($JO$9:$JO$88,1))/((Settings!$C$19/2)-((Settings!$C$19/2)-LARGE($JO$9:$JO$88,1))-SMALL($JO$9:$JO$88,1))</f>
        <v>0.8610587562670422</v>
      </c>
      <c r="JO45" s="162">
        <f t="shared" si="134"/>
        <v>3.5367865554530482</v>
      </c>
      <c r="JP45" s="961">
        <f t="shared" si="135"/>
        <v>-43.727364107700268</v>
      </c>
      <c r="JQ45" s="961">
        <f t="shared" si="136"/>
        <v>22.209494479021345</v>
      </c>
      <c r="JS45" s="82">
        <v>37</v>
      </c>
      <c r="JT45" s="322">
        <f t="shared" si="137"/>
        <v>4.0670550540645918</v>
      </c>
      <c r="JU45" s="963">
        <f t="shared" si="138"/>
        <v>0.99999999999999978</v>
      </c>
      <c r="JV45" s="961">
        <f t="shared" si="287"/>
        <v>-76.728810223784365</v>
      </c>
      <c r="JW45" s="961">
        <f t="shared" si="92"/>
        <v>30.298611776153358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0.02</v>
      </c>
      <c r="B46" s="578">
        <f t="shared" ref="B46:D46" si="531">IFERROR(O201+($A46*-E46),"")</f>
        <v>-0.37751750964508374</v>
      </c>
      <c r="C46" s="572">
        <f t="shared" si="531"/>
        <v>-0.24170278405893741</v>
      </c>
      <c r="D46" s="576">
        <f t="shared" si="531"/>
        <v>-0.26002803566006127</v>
      </c>
      <c r="E46" s="580">
        <f t="shared" ref="E46:K46" si="532">R201</f>
        <v>0.57186381059109681</v>
      </c>
      <c r="F46" s="572">
        <f t="shared" si="532"/>
        <v>-0.73145915656198657</v>
      </c>
      <c r="G46" s="579">
        <f t="shared" si="532"/>
        <v>0.37140178300306731</v>
      </c>
      <c r="H46" s="580">
        <f t="shared" si="532"/>
        <v>0.2165</v>
      </c>
      <c r="I46" s="572">
        <f t="shared" si="532"/>
        <v>0.52</v>
      </c>
      <c r="J46" s="483">
        <f t="shared" si="94"/>
        <v>5.1020000000000003</v>
      </c>
      <c r="K46" s="806">
        <f t="shared" si="532"/>
        <v>1113</v>
      </c>
      <c r="L46" s="309"/>
      <c r="M46" s="164">
        <f t="shared" si="325"/>
        <v>5.1020000000000003</v>
      </c>
      <c r="N46" s="575">
        <f t="shared" si="326"/>
        <v>-0.37751750964508374</v>
      </c>
      <c r="O46" s="572">
        <f t="shared" si="327"/>
        <v>-0.24170278405893741</v>
      </c>
      <c r="P46" s="576">
        <f t="shared" si="328"/>
        <v>-0.26002803566006127</v>
      </c>
      <c r="Q46" s="528">
        <f t="shared" si="144"/>
        <v>212.62910206110504</v>
      </c>
      <c r="R46" s="572">
        <f t="shared" si="500"/>
        <v>0.44826298744204524</v>
      </c>
      <c r="S46" s="577">
        <f t="shared" si="501"/>
        <v>-0.26002803566006127</v>
      </c>
      <c r="T46" s="578">
        <f t="shared" si="502"/>
        <v>-0.24573343806232886</v>
      </c>
      <c r="U46" s="572">
        <f t="shared" si="503"/>
        <v>0.37490636608163214</v>
      </c>
      <c r="V46" s="579">
        <f t="shared" si="504"/>
        <v>-0.26002803566006127</v>
      </c>
      <c r="W46" s="528">
        <f t="shared" si="268"/>
        <v>123.24295088096285</v>
      </c>
      <c r="X46" s="572">
        <f t="shared" si="505"/>
        <v>0.44826298744204524</v>
      </c>
      <c r="Y46" s="573">
        <f t="shared" si="271"/>
        <v>-0.26002803566006127</v>
      </c>
      <c r="Z46" s="575">
        <f t="shared" si="329"/>
        <v>-0.57186381059109681</v>
      </c>
      <c r="AA46" s="572">
        <f t="shared" si="330"/>
        <v>0.73145915656198657</v>
      </c>
      <c r="AB46" s="572">
        <f t="shared" si="331"/>
        <v>-0.37140178300306731</v>
      </c>
      <c r="AC46" s="579">
        <f t="shared" si="506"/>
        <v>1</v>
      </c>
      <c r="AD46" s="580">
        <f t="shared" si="507"/>
        <v>-0.57186381059109681</v>
      </c>
      <c r="AE46" s="572">
        <f t="shared" si="508"/>
        <v>0.73145915656198657</v>
      </c>
      <c r="AF46" s="576">
        <f t="shared" si="509"/>
        <v>-0.37140178300306731</v>
      </c>
      <c r="AG46" s="545">
        <f t="shared" si="510"/>
        <v>63.080605817690426</v>
      </c>
      <c r="AH46" s="546">
        <f t="shared" si="511"/>
        <v>124.88029746232377</v>
      </c>
      <c r="AI46" s="528">
        <f t="shared" si="512"/>
        <v>-68.197905126886312</v>
      </c>
      <c r="AJ46" s="529">
        <f t="shared" si="513"/>
        <v>-141.98126437543129</v>
      </c>
      <c r="AK46" s="578">
        <f t="shared" si="514"/>
        <v>0.9243674492941869</v>
      </c>
      <c r="AL46" s="572">
        <f t="shared" si="515"/>
        <v>8.7209714295491958E-2</v>
      </c>
      <c r="AM46" s="577">
        <f t="shared" si="516"/>
        <v>-0.37140178300306731</v>
      </c>
      <c r="AN46" s="524">
        <f t="shared" si="517"/>
        <v>13.214360261469199</v>
      </c>
      <c r="AO46" s="525">
        <f t="shared" si="110"/>
        <v>22.426835771947641</v>
      </c>
      <c r="AP46" s="528">
        <f t="shared" si="518"/>
        <v>5.3896335634636792</v>
      </c>
      <c r="AQ46" s="529">
        <f t="shared" si="332"/>
        <v>5.0723966649244936</v>
      </c>
      <c r="AR46" s="979"/>
      <c r="AS46" s="954">
        <f t="shared" si="524"/>
        <v>123.24295088096285</v>
      </c>
      <c r="AT46" s="950">
        <f t="shared" si="333"/>
        <v>-9.8068064754147311E-2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5.1020000000000003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1113</v>
      </c>
      <c r="IM46" s="482" t="str">
        <f t="shared" si="242"/>
        <v/>
      </c>
      <c r="IN46" s="670" t="str">
        <f t="shared" si="486"/>
        <v/>
      </c>
      <c r="IO46" s="702"/>
      <c r="IP46" s="5" t="str">
        <f t="shared" si="487"/>
        <v/>
      </c>
      <c r="IQ46" s="714"/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2</v>
      </c>
      <c r="JN46" s="960">
        <f>($JO46-SMALL($JO$9:$JO$88,1))/((Settings!$C$19/2)-((Settings!$C$19/2)-LARGE($JO$9:$JO$88,1))-SMALL($JO$9:$JO$88,1))</f>
        <v>5.1802111828200034E-2</v>
      </c>
      <c r="JO46" s="162">
        <f t="shared" si="134"/>
        <v>0.44826298744204524</v>
      </c>
      <c r="JP46" s="961">
        <f t="shared" si="135"/>
        <v>13.214360261469199</v>
      </c>
      <c r="JQ46" s="961">
        <f t="shared" si="136"/>
        <v>22.426835771947641</v>
      </c>
      <c r="JS46" s="82">
        <v>38</v>
      </c>
      <c r="JT46" s="322">
        <f t="shared" si="137"/>
        <v>4.0670550540645918</v>
      </c>
      <c r="JU46" s="963">
        <f t="shared" si="138"/>
        <v>0.99999999999999978</v>
      </c>
      <c r="JV46" s="961">
        <f t="shared" si="287"/>
        <v>-76.728810223784308</v>
      </c>
      <c r="JW46" s="961">
        <f t="shared" si="92"/>
        <v>30.298611776153383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-0.85491524395802587</v>
      </c>
      <c r="C47" s="572">
        <f t="shared" si="533"/>
        <v>-0.57526905127215266</v>
      </c>
      <c r="D47" s="576">
        <f t="shared" si="533"/>
        <v>-0.18699740849959418</v>
      </c>
      <c r="E47" s="580">
        <f t="shared" ref="E47:K47" si="534">R202</f>
        <v>0.57977424539030875</v>
      </c>
      <c r="F47" s="572">
        <f t="shared" si="534"/>
        <v>-0.76147026278390029</v>
      </c>
      <c r="G47" s="579">
        <f t="shared" si="534"/>
        <v>0.28987042497970705</v>
      </c>
      <c r="H47" s="580">
        <f t="shared" si="534"/>
        <v>0.2165</v>
      </c>
      <c r="I47" s="572">
        <f t="shared" si="534"/>
        <v>0.52</v>
      </c>
      <c r="J47" s="483">
        <f t="shared" si="94"/>
        <v>5.1050000000000004</v>
      </c>
      <c r="K47" s="806">
        <f t="shared" si="534"/>
        <v>1113</v>
      </c>
      <c r="L47" s="309"/>
      <c r="M47" s="164">
        <f t="shared" si="325"/>
        <v>5.1050000000000004</v>
      </c>
      <c r="N47" s="575">
        <f t="shared" si="326"/>
        <v>-0.85491524395802587</v>
      </c>
      <c r="O47" s="572">
        <f t="shared" si="327"/>
        <v>-0.57526905127215266</v>
      </c>
      <c r="P47" s="576">
        <f t="shared" si="328"/>
        <v>-0.18699740849959418</v>
      </c>
      <c r="Q47" s="528">
        <f t="shared" si="144"/>
        <v>213.9364524389737</v>
      </c>
      <c r="R47" s="572">
        <f t="shared" si="500"/>
        <v>1.0304438634410773</v>
      </c>
      <c r="S47" s="577">
        <f t="shared" si="501"/>
        <v>-0.18699740849959418</v>
      </c>
      <c r="T47" s="578">
        <f t="shared" si="502"/>
        <v>-0.58439515174161116</v>
      </c>
      <c r="U47" s="572">
        <f t="shared" si="503"/>
        <v>0.84870304719864942</v>
      </c>
      <c r="V47" s="579">
        <f t="shared" si="504"/>
        <v>-0.18699740849959418</v>
      </c>
      <c r="W47" s="528">
        <f t="shared" si="268"/>
        <v>124.55030125883151</v>
      </c>
      <c r="X47" s="572">
        <f t="shared" si="505"/>
        <v>1.0304438634410773</v>
      </c>
      <c r="Y47" s="573">
        <f t="shared" si="271"/>
        <v>-0.18699740849959418</v>
      </c>
      <c r="Z47" s="575">
        <f t="shared" si="329"/>
        <v>-0.57977424539030875</v>
      </c>
      <c r="AA47" s="572">
        <f t="shared" si="330"/>
        <v>0.76147026278390029</v>
      </c>
      <c r="AB47" s="572">
        <f t="shared" si="331"/>
        <v>-0.28987042497970705</v>
      </c>
      <c r="AC47" s="579">
        <f t="shared" si="506"/>
        <v>1</v>
      </c>
      <c r="AD47" s="580">
        <f t="shared" si="507"/>
        <v>-0.57977424539030875</v>
      </c>
      <c r="AE47" s="572">
        <f t="shared" si="508"/>
        <v>0.76147026278390029</v>
      </c>
      <c r="AF47" s="576">
        <f t="shared" si="509"/>
        <v>-0.28987042497970705</v>
      </c>
      <c r="AG47" s="545">
        <f t="shared" si="510"/>
        <v>69.159570874432234</v>
      </c>
      <c r="AH47" s="546">
        <f t="shared" si="511"/>
        <v>125.43466582958472</v>
      </c>
      <c r="AI47" s="528">
        <f t="shared" si="512"/>
        <v>-73.149801284535968</v>
      </c>
      <c r="AJ47" s="529">
        <f t="shared" si="513"/>
        <v>-142.71479346441882</v>
      </c>
      <c r="AK47" s="578">
        <f t="shared" si="514"/>
        <v>0.95543168386162947</v>
      </c>
      <c r="AL47" s="572">
        <f t="shared" si="515"/>
        <v>5.5905582864465619E-2</v>
      </c>
      <c r="AM47" s="577">
        <f t="shared" si="516"/>
        <v>-0.28987042497970705</v>
      </c>
      <c r="AN47" s="524">
        <f t="shared" si="517"/>
        <v>10.916263747225383</v>
      </c>
      <c r="AO47" s="525">
        <f t="shared" si="110"/>
        <v>17.170267774712219</v>
      </c>
      <c r="AP47" s="528">
        <f t="shared" si="518"/>
        <v>3.3487540966074736</v>
      </c>
      <c r="AQ47" s="529">
        <f t="shared" si="332"/>
        <v>2.2112748854216466</v>
      </c>
      <c r="AR47" s="979"/>
      <c r="AS47" s="954">
        <f t="shared" si="524"/>
        <v>124.55030125883151</v>
      </c>
      <c r="AT47" s="950">
        <f t="shared" si="333"/>
        <v>-2.594531980053344E-2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5.1050000000000004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1113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5</v>
      </c>
      <c r="JN47" s="960">
        <f>($JO47-SMALL($JO$9:$JO$88,1))/((Settings!$C$19/2)-((Settings!$C$19/2)-LARGE($JO$9:$JO$88,1))-SMALL($JO$9:$JO$88,1))</f>
        <v>0.20434546524377739</v>
      </c>
      <c r="JO47" s="162">
        <f t="shared" si="134"/>
        <v>1.0304438634410773</v>
      </c>
      <c r="JP47" s="961">
        <f t="shared" si="135"/>
        <v>10.916263747225383</v>
      </c>
      <c r="JQ47" s="961">
        <f t="shared" si="136"/>
        <v>17.170267774712219</v>
      </c>
      <c r="JS47" s="82">
        <v>39</v>
      </c>
      <c r="JT47" s="322">
        <f t="shared" si="137"/>
        <v>4.067054441284804</v>
      </c>
      <c r="JU47" s="963">
        <f t="shared" si="138"/>
        <v>0.99999983943910264</v>
      </c>
      <c r="JV47" s="961">
        <f t="shared" si="287"/>
        <v>-76.737982139835736</v>
      </c>
      <c r="JW47" s="961">
        <f t="shared" si="92"/>
        <v>30.299439225530417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-1.3125769724078435</v>
      </c>
      <c r="C48" s="572">
        <f t="shared" si="535"/>
        <v>-0.89572702833645423</v>
      </c>
      <c r="D48" s="576">
        <f t="shared" si="535"/>
        <v>-0.11239772919382995</v>
      </c>
      <c r="E48" s="580">
        <f t="shared" ref="E48:K48" si="536">R203</f>
        <v>0.57977424819406165</v>
      </c>
      <c r="F48" s="572">
        <f t="shared" si="536"/>
        <v>-0.76147027611079476</v>
      </c>
      <c r="G48" s="579">
        <f t="shared" si="536"/>
        <v>0.28987038436301266</v>
      </c>
      <c r="H48" s="580">
        <f t="shared" si="536"/>
        <v>0.2165</v>
      </c>
      <c r="I48" s="572">
        <f t="shared" si="536"/>
        <v>0.52</v>
      </c>
      <c r="J48" s="483">
        <f t="shared" si="94"/>
        <v>5.1079999999999997</v>
      </c>
      <c r="K48" s="806">
        <f t="shared" si="536"/>
        <v>1113</v>
      </c>
      <c r="L48" s="309"/>
      <c r="M48" s="164">
        <f t="shared" si="325"/>
        <v>5.1079999999999997</v>
      </c>
      <c r="N48" s="575">
        <f t="shared" si="326"/>
        <v>-1.3125769724078435</v>
      </c>
      <c r="O48" s="572">
        <f t="shared" si="327"/>
        <v>-0.89572702833645423</v>
      </c>
      <c r="P48" s="576">
        <f t="shared" si="328"/>
        <v>-0.11239772919382995</v>
      </c>
      <c r="Q48" s="528">
        <f t="shared" si="144"/>
        <v>214.31035723900163</v>
      </c>
      <c r="R48" s="572">
        <f t="shared" si="95"/>
        <v>1.5890831374688348</v>
      </c>
      <c r="S48" s="577">
        <f t="shared" si="96"/>
        <v>-0.11239772919382995</v>
      </c>
      <c r="T48" s="578">
        <f t="shared" si="97"/>
        <v>-0.90973788630345565</v>
      </c>
      <c r="U48" s="572">
        <f t="shared" si="98"/>
        <v>1.3029052904996268</v>
      </c>
      <c r="V48" s="579">
        <f t="shared" si="145"/>
        <v>-0.11239772919382995</v>
      </c>
      <c r="W48" s="528">
        <f t="shared" si="268"/>
        <v>124.92420605885944</v>
      </c>
      <c r="X48" s="572">
        <f t="shared" si="99"/>
        <v>1.5890831374688348</v>
      </c>
      <c r="Y48" s="573">
        <f t="shared" si="271"/>
        <v>-0.11239772919382995</v>
      </c>
      <c r="Z48" s="575">
        <f t="shared" si="329"/>
        <v>-0.57977424819406165</v>
      </c>
      <c r="AA48" s="572">
        <f t="shared" si="330"/>
        <v>0.76147027611079476</v>
      </c>
      <c r="AB48" s="572">
        <f t="shared" si="331"/>
        <v>-0.28987038436301266</v>
      </c>
      <c r="AC48" s="579">
        <f t="shared" si="100"/>
        <v>1</v>
      </c>
      <c r="AD48" s="580">
        <f t="shared" si="146"/>
        <v>-0.57977424819406165</v>
      </c>
      <c r="AE48" s="572">
        <f t="shared" si="101"/>
        <v>0.76147027611079476</v>
      </c>
      <c r="AF48" s="576">
        <f t="shared" si="102"/>
        <v>-0.28987038436301266</v>
      </c>
      <c r="AG48" s="545">
        <f t="shared" si="103"/>
        <v>69.159573877172804</v>
      </c>
      <c r="AH48" s="546">
        <f t="shared" si="104"/>
        <v>125.43466602674687</v>
      </c>
      <c r="AI48" s="528">
        <f t="shared" si="105"/>
        <v>-73.149803716098049</v>
      </c>
      <c r="AJ48" s="529">
        <f t="shared" si="106"/>
        <v>-142.71479381418376</v>
      </c>
      <c r="AK48" s="578">
        <f t="shared" si="247"/>
        <v>0.95577618201661096</v>
      </c>
      <c r="AL48" s="572">
        <f t="shared" si="107"/>
        <v>4.9669408683711169E-2</v>
      </c>
      <c r="AM48" s="577">
        <f t="shared" si="108"/>
        <v>-0.28987038436301266</v>
      </c>
      <c r="AN48" s="524">
        <f t="shared" si="109"/>
        <v>9.7232279247625701</v>
      </c>
      <c r="AO48" s="525">
        <f t="shared" si="110"/>
        <v>17.103279678163041</v>
      </c>
      <c r="AP48" s="528">
        <f t="shared" si="111"/>
        <v>2.9748489468146326</v>
      </c>
      <c r="AQ48" s="529">
        <f t="shared" si="332"/>
        <v>1.4343179025091395</v>
      </c>
      <c r="AR48" s="979"/>
      <c r="AS48" s="954">
        <f t="shared" si="524"/>
        <v>124.92420605885944</v>
      </c>
      <c r="AT48" s="950">
        <f t="shared" si="333"/>
        <v>4.8394703394100264E-2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5.1079999999999997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1113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8</v>
      </c>
      <c r="JN48" s="960">
        <f>($JO48-SMALL($JO$9:$JO$88,1))/((Settings!$C$19/2)-((Settings!$C$19/2)-LARGE($JO$9:$JO$88,1))-SMALL($JO$9:$JO$88,1))</f>
        <v>0.35072043515944917</v>
      </c>
      <c r="JO48" s="162">
        <f t="shared" si="134"/>
        <v>1.5890831374688348</v>
      </c>
      <c r="JP48" s="961">
        <f t="shared" si="135"/>
        <v>9.7232279247625701</v>
      </c>
      <c r="JQ48" s="961">
        <f t="shared" si="136"/>
        <v>17.103279678163041</v>
      </c>
      <c r="JS48" s="82" t="e">
        <v>#VALUE!</v>
      </c>
      <c r="JT48" s="322" t="e">
        <f t="shared" si="137"/>
        <v>#VALUE!</v>
      </c>
      <c r="JU48" s="963" t="e">
        <f t="shared" si="138"/>
        <v>#VALUE!</v>
      </c>
      <c r="JV48" s="961" t="e">
        <f t="shared" si="287"/>
        <v>#VALUE!</v>
      </c>
      <c r="JW48" s="961" t="e">
        <f t="shared" si="92"/>
        <v>#VALUE!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0.02</v>
      </c>
      <c r="B49" s="578">
        <f t="shared" ref="B49:D49" si="537">IFERROR(O204+($A49*-E49),"")</f>
        <v>-1.7699490435986291</v>
      </c>
      <c r="C49" s="572">
        <f t="shared" si="537"/>
        <v>-1.2159821856462603</v>
      </c>
      <c r="D49" s="576">
        <f t="shared" si="537"/>
        <v>-3.782527854482344E-2</v>
      </c>
      <c r="E49" s="580">
        <f t="shared" ref="E49:K49" si="538">R204</f>
        <v>0.56938716152390134</v>
      </c>
      <c r="F49" s="572">
        <f t="shared" si="538"/>
        <v>-0.76874338762125938</v>
      </c>
      <c r="G49" s="579">
        <f t="shared" si="538"/>
        <v>0.29125910162661839</v>
      </c>
      <c r="H49" s="580">
        <f t="shared" si="538"/>
        <v>0.2165</v>
      </c>
      <c r="I49" s="572">
        <f t="shared" si="538"/>
        <v>0.52</v>
      </c>
      <c r="J49" s="483">
        <f t="shared" si="94"/>
        <v>5.1109999999999998</v>
      </c>
      <c r="K49" s="806">
        <f t="shared" si="538"/>
        <v>1113</v>
      </c>
      <c r="L49" s="309"/>
      <c r="M49" s="164">
        <f t="shared" si="325"/>
        <v>5.1109999999999998</v>
      </c>
      <c r="N49" s="575">
        <f t="shared" si="326"/>
        <v>-1.7699490435986291</v>
      </c>
      <c r="O49" s="572">
        <f t="shared" si="327"/>
        <v>-1.2159821856462603</v>
      </c>
      <c r="P49" s="576">
        <f t="shared" si="328"/>
        <v>-3.782527854482344E-2</v>
      </c>
      <c r="Q49" s="528">
        <f t="shared" si="144"/>
        <v>214.48966325293813</v>
      </c>
      <c r="R49" s="572">
        <f t="shared" si="95"/>
        <v>2.1474012882423161</v>
      </c>
      <c r="S49" s="577">
        <f t="shared" si="96"/>
        <v>-3.782527854482344E-2</v>
      </c>
      <c r="T49" s="578">
        <f t="shared" si="97"/>
        <v>-1.2348747095141335</v>
      </c>
      <c r="U49" s="572">
        <f t="shared" si="98"/>
        <v>1.7568200660702686</v>
      </c>
      <c r="V49" s="579">
        <f t="shared" si="145"/>
        <v>-3.782527854482344E-2</v>
      </c>
      <c r="W49" s="528">
        <f t="shared" si="268"/>
        <v>125.10351207279594</v>
      </c>
      <c r="X49" s="572">
        <f t="shared" si="99"/>
        <v>2.1474012882423161</v>
      </c>
      <c r="Y49" s="573">
        <f t="shared" si="271"/>
        <v>-3.782527854482344E-2</v>
      </c>
      <c r="Z49" s="575">
        <f t="shared" si="329"/>
        <v>-0.56938716152390134</v>
      </c>
      <c r="AA49" s="572">
        <f t="shared" si="330"/>
        <v>0.76874338762125938</v>
      </c>
      <c r="AB49" s="572">
        <f t="shared" si="331"/>
        <v>-0.29125910162661839</v>
      </c>
      <c r="AC49" s="579">
        <f t="shared" si="100"/>
        <v>1</v>
      </c>
      <c r="AD49" s="580">
        <f t="shared" si="146"/>
        <v>-0.56938716152390134</v>
      </c>
      <c r="AE49" s="572">
        <f t="shared" si="101"/>
        <v>0.76874338762125938</v>
      </c>
      <c r="AF49" s="576">
        <f t="shared" si="102"/>
        <v>-0.29125910162661839</v>
      </c>
      <c r="AG49" s="545">
        <f t="shared" si="103"/>
        <v>69.249459965440082</v>
      </c>
      <c r="AH49" s="546">
        <f t="shared" si="104"/>
        <v>124.70750171226557</v>
      </c>
      <c r="AI49" s="528">
        <f t="shared" si="105"/>
        <v>-73.066648358926756</v>
      </c>
      <c r="AJ49" s="529">
        <f t="shared" si="106"/>
        <v>-143.47366576038036</v>
      </c>
      <c r="AK49" s="578">
        <f t="shared" si="247"/>
        <v>0.95603987949648106</v>
      </c>
      <c r="AL49" s="572">
        <f t="shared" si="107"/>
        <v>3.3998301898904293E-2</v>
      </c>
      <c r="AM49" s="577">
        <f t="shared" si="108"/>
        <v>-0.29125910162661839</v>
      </c>
      <c r="AN49" s="524">
        <f t="shared" si="109"/>
        <v>6.6579326288792302</v>
      </c>
      <c r="AO49" s="525">
        <f t="shared" si="110"/>
        <v>17.051830892662537</v>
      </c>
      <c r="AP49" s="528">
        <f t="shared" si="111"/>
        <v>2.0366709866815182</v>
      </c>
      <c r="AQ49" s="529">
        <f t="shared" si="332"/>
        <v>1.0614996877359093</v>
      </c>
      <c r="AR49" s="979"/>
      <c r="AS49" s="954">
        <f t="shared" si="524"/>
        <v>125.10351207279594</v>
      </c>
      <c r="AT49" s="950">
        <f t="shared" si="333"/>
        <v>0.12284263597787311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5.1109999999999998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1113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11</v>
      </c>
      <c r="JN49" s="960">
        <f>($JO49-SMALL($JO$9:$JO$88,1))/((Settings!$C$19/2)-((Settings!$C$19/2)-LARGE($JO$9:$JO$88,1))-SMALL($JO$9:$JO$88,1))</f>
        <v>0.49701126418336983</v>
      </c>
      <c r="JO49" s="162">
        <f t="shared" si="134"/>
        <v>2.1474012882423161</v>
      </c>
      <c r="JP49" s="961">
        <f t="shared" si="135"/>
        <v>6.6579326288792302</v>
      </c>
      <c r="JQ49" s="961">
        <f t="shared" si="136"/>
        <v>17.051830892662537</v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>
        <f t="shared" si="322"/>
        <v>0.02</v>
      </c>
      <c r="B50" s="578">
        <f t="shared" ref="B50:D50" si="539">IFERROR(O205+($A50*-E50),"")</f>
        <v>-2.331488976031872</v>
      </c>
      <c r="C50" s="572">
        <f t="shared" si="539"/>
        <v>-1.5879739304489262</v>
      </c>
      <c r="D50" s="576">
        <f t="shared" si="539"/>
        <v>-0.12417399780527193</v>
      </c>
      <c r="E50" s="580">
        <f t="shared" ref="E50:K50" si="540">R205</f>
        <v>0.48593291890924839</v>
      </c>
      <c r="F50" s="572">
        <f t="shared" si="540"/>
        <v>-0.84993113319326941</v>
      </c>
      <c r="G50" s="579">
        <f t="shared" si="540"/>
        <v>0.20368177912897112</v>
      </c>
      <c r="H50" s="580">
        <f t="shared" si="540"/>
        <v>0.26450000000000001</v>
      </c>
      <c r="I50" s="572">
        <f t="shared" si="540"/>
        <v>0.52</v>
      </c>
      <c r="J50" s="483">
        <f t="shared" si="94"/>
        <v>5.1159999999999997</v>
      </c>
      <c r="K50" s="806">
        <f t="shared" si="540"/>
        <v>1313</v>
      </c>
      <c r="L50" s="309"/>
      <c r="M50" s="164">
        <f t="shared" si="325"/>
        <v>5.1159999999999997</v>
      </c>
      <c r="N50" s="575">
        <f t="shared" si="326"/>
        <v>-2.331488976031872</v>
      </c>
      <c r="O50" s="572">
        <f t="shared" si="327"/>
        <v>-1.5879739304489262</v>
      </c>
      <c r="P50" s="576">
        <f t="shared" si="328"/>
        <v>-0.12417399780527193</v>
      </c>
      <c r="Q50" s="528">
        <f t="shared" si="144"/>
        <v>214.25872339431237</v>
      </c>
      <c r="R50" s="572">
        <f t="shared" si="95"/>
        <v>2.8209044735941622</v>
      </c>
      <c r="S50" s="577">
        <f t="shared" si="96"/>
        <v>-0.12417399780527193</v>
      </c>
      <c r="T50" s="578">
        <f t="shared" si="97"/>
        <v>-1.6128611511014934</v>
      </c>
      <c r="U50" s="572">
        <f t="shared" si="98"/>
        <v>2.3143424457955919</v>
      </c>
      <c r="V50" s="579">
        <f t="shared" si="145"/>
        <v>-0.12417399780527193</v>
      </c>
      <c r="W50" s="528">
        <f t="shared" si="268"/>
        <v>124.87257221417018</v>
      </c>
      <c r="X50" s="572">
        <f t="shared" si="99"/>
        <v>2.8209044735941622</v>
      </c>
      <c r="Y50" s="573">
        <f t="shared" si="271"/>
        <v>-0.12417399780527193</v>
      </c>
      <c r="Z50" s="575">
        <f t="shared" si="329"/>
        <v>-0.48593291890924839</v>
      </c>
      <c r="AA50" s="572">
        <f t="shared" si="330"/>
        <v>0.84993113319326941</v>
      </c>
      <c r="AB50" s="572">
        <f t="shared" si="331"/>
        <v>-0.20368177912897112</v>
      </c>
      <c r="AC50" s="579">
        <f t="shared" si="100"/>
        <v>1</v>
      </c>
      <c r="AD50" s="580">
        <f t="shared" si="146"/>
        <v>-0.48593291890924839</v>
      </c>
      <c r="AE50" s="572">
        <f t="shared" si="101"/>
        <v>0.84993113319326941</v>
      </c>
      <c r="AF50" s="576">
        <f t="shared" si="102"/>
        <v>-0.20368177912897112</v>
      </c>
      <c r="AG50" s="545">
        <f t="shared" si="103"/>
        <v>76.523498407878748</v>
      </c>
      <c r="AH50" s="546">
        <f t="shared" si="104"/>
        <v>119.07361281200261</v>
      </c>
      <c r="AI50" s="528">
        <f t="shared" si="105"/>
        <v>-78.247657468792639</v>
      </c>
      <c r="AJ50" s="529">
        <f t="shared" si="106"/>
        <v>-150.24200998001467</v>
      </c>
      <c r="AK50" s="578">
        <f t="shared" si="247"/>
        <v>0.97601811772564395</v>
      </c>
      <c r="AL50" s="572">
        <f t="shared" si="107"/>
        <v>-7.682686198295674E-2</v>
      </c>
      <c r="AM50" s="577">
        <f t="shared" si="108"/>
        <v>-0.20368177912897112</v>
      </c>
      <c r="AN50" s="524">
        <f t="shared" si="109"/>
        <v>-20.666006268892417</v>
      </c>
      <c r="AO50" s="525">
        <f t="shared" si="110"/>
        <v>12.573350963572089</v>
      </c>
      <c r="AP50" s="528">
        <f t="shared" si="111"/>
        <v>-4.5007333743270364</v>
      </c>
      <c r="AQ50" s="529">
        <f t="shared" si="332"/>
        <v>0.80810090792196498</v>
      </c>
      <c r="AR50" s="979"/>
      <c r="AS50" s="954">
        <f t="shared" si="524"/>
        <v>124.87257221417018</v>
      </c>
      <c r="AT50" s="950">
        <f t="shared" si="333"/>
        <v>3.6654291619248033E-2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5.1159999999999997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85"/>
        <v>1313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16</v>
      </c>
      <c r="JN50" s="960">
        <f>($JO50-SMALL($JO$9:$JO$88,1))/((Settings!$C$19/2)-((Settings!$C$19/2)-LARGE($JO$9:$JO$88,1))-SMALL($JO$9:$JO$88,1))</f>
        <v>0.67348293933646197</v>
      </c>
      <c r="JO50" s="162">
        <f t="shared" si="134"/>
        <v>2.8209044735941622</v>
      </c>
      <c r="JP50" s="961">
        <f t="shared" si="135"/>
        <v>-20.666006268892417</v>
      </c>
      <c r="JQ50" s="961">
        <f t="shared" si="136"/>
        <v>12.573350963572089</v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-2.8656840769776628</v>
      </c>
      <c r="C51" s="572">
        <f t="shared" si="541"/>
        <v>-1.918648950983594</v>
      </c>
      <c r="D51" s="576">
        <f t="shared" si="541"/>
        <v>-0.45805586128600334</v>
      </c>
      <c r="E51" s="580">
        <f t="shared" ref="E51:K51" si="542">R206</f>
        <v>0.37269054216398023</v>
      </c>
      <c r="F51" s="572">
        <f t="shared" si="542"/>
        <v>-0.90554099629669638</v>
      </c>
      <c r="G51" s="579">
        <f t="shared" si="542"/>
        <v>0.20272460089368777</v>
      </c>
      <c r="H51" s="580">
        <f t="shared" si="542"/>
        <v>0.26450000000000001</v>
      </c>
      <c r="I51" s="572">
        <f t="shared" si="542"/>
        <v>0.52</v>
      </c>
      <c r="J51" s="483">
        <f t="shared" si="94"/>
        <v>5.1219999999999999</v>
      </c>
      <c r="K51" s="806">
        <f t="shared" si="542"/>
        <v>1313</v>
      </c>
      <c r="L51" s="309"/>
      <c r="M51" s="164">
        <f t="shared" si="325"/>
        <v>5.1219999999999999</v>
      </c>
      <c r="N51" s="575">
        <f t="shared" si="326"/>
        <v>-2.8656840769776628</v>
      </c>
      <c r="O51" s="572">
        <f t="shared" si="327"/>
        <v>-1.918648950983594</v>
      </c>
      <c r="P51" s="576">
        <f t="shared" si="328"/>
        <v>-0.45805586128600334</v>
      </c>
      <c r="Q51" s="528">
        <f t="shared" si="144"/>
        <v>213.80332265143286</v>
      </c>
      <c r="R51" s="572">
        <f t="shared" si="95"/>
        <v>3.4486749667305214</v>
      </c>
      <c r="S51" s="577">
        <f t="shared" si="96"/>
        <v>-0.45805586128600334</v>
      </c>
      <c r="T51" s="578">
        <f t="shared" si="97"/>
        <v>-1.9492402813748642</v>
      </c>
      <c r="U51" s="572">
        <f t="shared" si="98"/>
        <v>2.8449642091983169</v>
      </c>
      <c r="V51" s="579">
        <f t="shared" si="145"/>
        <v>-0.45805586128600334</v>
      </c>
      <c r="W51" s="528">
        <f t="shared" si="268"/>
        <v>124.41717147129067</v>
      </c>
      <c r="X51" s="572">
        <f t="shared" si="99"/>
        <v>3.4486749667305214</v>
      </c>
      <c r="Y51" s="573">
        <f t="shared" si="271"/>
        <v>-0.45805586128600334</v>
      </c>
      <c r="Z51" s="575">
        <f t="shared" si="329"/>
        <v>-0.37269054216398023</v>
      </c>
      <c r="AA51" s="572">
        <f t="shared" si="330"/>
        <v>0.90554099629669638</v>
      </c>
      <c r="AB51" s="572">
        <f t="shared" si="331"/>
        <v>-0.20272460089368777</v>
      </c>
      <c r="AC51" s="579">
        <f t="shared" si="100"/>
        <v>1</v>
      </c>
      <c r="AD51" s="580">
        <f t="shared" si="146"/>
        <v>-0.37269054216398023</v>
      </c>
      <c r="AE51" s="572">
        <f t="shared" si="101"/>
        <v>0.90554099629669638</v>
      </c>
      <c r="AF51" s="576">
        <f t="shared" si="102"/>
        <v>-0.20272460089368777</v>
      </c>
      <c r="AG51" s="545">
        <f t="shared" si="103"/>
        <v>77.381187321325825</v>
      </c>
      <c r="AH51" s="546">
        <f t="shared" si="104"/>
        <v>111.88164598028047</v>
      </c>
      <c r="AI51" s="528">
        <f t="shared" si="105"/>
        <v>-78.303668321722796</v>
      </c>
      <c r="AJ51" s="529">
        <f t="shared" si="106"/>
        <v>-157.62956462753226</v>
      </c>
      <c r="AK51" s="578">
        <f t="shared" si="247"/>
        <v>0.95980536404114125</v>
      </c>
      <c r="AL51" s="572">
        <f t="shared" si="107"/>
        <v>-0.19410409411021556</v>
      </c>
      <c r="AM51" s="577">
        <f t="shared" si="108"/>
        <v>-0.20272460089368777</v>
      </c>
      <c r="AN51" s="524">
        <f t="shared" si="109"/>
        <v>-43.755531066514841</v>
      </c>
      <c r="AO51" s="525">
        <f t="shared" si="110"/>
        <v>16.299985288326997</v>
      </c>
      <c r="AP51" s="528">
        <f t="shared" si="111"/>
        <v>-11.432887278965127</v>
      </c>
      <c r="AQ51" s="529">
        <f t="shared" si="332"/>
        <v>0.66101488524466556</v>
      </c>
      <c r="AR51" s="979"/>
      <c r="AS51" s="954">
        <f t="shared" si="524"/>
        <v>124.41717147129067</v>
      </c>
      <c r="AT51" s="950">
        <f t="shared" si="333"/>
        <v>-0.29691132134559484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5.1219999999999999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1313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22</v>
      </c>
      <c r="JN51" s="960">
        <f>($JO51-SMALL($JO$9:$JO$88,1))/((Settings!$C$19/2)-((Settings!$C$19/2)-LARGE($JO$9:$JO$88,1))-SMALL($JO$9:$JO$88,1))</f>
        <v>0.83797170931545062</v>
      </c>
      <c r="JO51" s="162">
        <f t="shared" si="134"/>
        <v>3.4486749667305214</v>
      </c>
      <c r="JP51" s="961">
        <f t="shared" si="135"/>
        <v>-43.755531066514841</v>
      </c>
      <c r="JQ51" s="961">
        <f t="shared" si="136"/>
        <v>16.299985288326997</v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-3.2253309736515048</v>
      </c>
      <c r="C52" s="572">
        <f t="shared" si="543"/>
        <v>-2.1297811802840436</v>
      </c>
      <c r="D52" s="576">
        <f t="shared" si="543"/>
        <v>-1.0131961516250942</v>
      </c>
      <c r="E52" s="580">
        <f t="shared" ref="E52:K52" si="544">R207</f>
        <v>0.21789924670753943</v>
      </c>
      <c r="F52" s="572">
        <f t="shared" si="544"/>
        <v>-0.95636248460586448</v>
      </c>
      <c r="G52" s="579">
        <f t="shared" si="544"/>
        <v>0.19465537835565866</v>
      </c>
      <c r="H52" s="580">
        <f t="shared" si="544"/>
        <v>0.26450000000000001</v>
      </c>
      <c r="I52" s="572">
        <f t="shared" si="544"/>
        <v>0.52</v>
      </c>
      <c r="J52" s="483">
        <f t="shared" si="94"/>
        <v>5.1280000000000001</v>
      </c>
      <c r="K52" s="806">
        <f t="shared" si="544"/>
        <v>1313</v>
      </c>
      <c r="L52" s="309"/>
      <c r="M52" s="164">
        <f t="shared" si="325"/>
        <v>5.1280000000000001</v>
      </c>
      <c r="N52" s="575">
        <f t="shared" si="326"/>
        <v>-3.2253309736515048</v>
      </c>
      <c r="O52" s="572">
        <f t="shared" si="327"/>
        <v>-2.1297811802840436</v>
      </c>
      <c r="P52" s="576">
        <f t="shared" si="328"/>
        <v>-1.0131961516250942</v>
      </c>
      <c r="Q52" s="528">
        <f t="shared" si="144"/>
        <v>213.43795965144335</v>
      </c>
      <c r="R52" s="572">
        <f t="shared" si="95"/>
        <v>3.8650650402661864</v>
      </c>
      <c r="S52" s="577">
        <f t="shared" si="96"/>
        <v>-1.0131961516250942</v>
      </c>
      <c r="T52" s="578">
        <f t="shared" si="97"/>
        <v>-2.1642134627320035</v>
      </c>
      <c r="U52" s="572">
        <f t="shared" si="98"/>
        <v>3.2023285048878738</v>
      </c>
      <c r="V52" s="579">
        <f t="shared" si="145"/>
        <v>-1.0131961516250942</v>
      </c>
      <c r="W52" s="528">
        <f t="shared" si="268"/>
        <v>124.05180847130116</v>
      </c>
      <c r="X52" s="572">
        <f t="shared" si="99"/>
        <v>3.8650650402661864</v>
      </c>
      <c r="Y52" s="573">
        <f t="shared" si="271"/>
        <v>-1.0131961516250942</v>
      </c>
      <c r="Z52" s="575">
        <f t="shared" si="329"/>
        <v>-0.21789924670753943</v>
      </c>
      <c r="AA52" s="572">
        <f t="shared" si="330"/>
        <v>0.95636248460586448</v>
      </c>
      <c r="AB52" s="572">
        <f t="shared" si="331"/>
        <v>-0.19465537835565866</v>
      </c>
      <c r="AC52" s="579">
        <f t="shared" si="100"/>
        <v>1</v>
      </c>
      <c r="AD52" s="580">
        <f t="shared" si="146"/>
        <v>-0.21789924670753943</v>
      </c>
      <c r="AE52" s="572">
        <f t="shared" si="101"/>
        <v>0.95636248460586448</v>
      </c>
      <c r="AF52" s="576">
        <f t="shared" si="102"/>
        <v>-0.19465537835565866</v>
      </c>
      <c r="AG52" s="545">
        <f t="shared" si="103"/>
        <v>78.49532690858689</v>
      </c>
      <c r="AH52" s="546">
        <f t="shared" si="104"/>
        <v>102.58567554531027</v>
      </c>
      <c r="AI52" s="528">
        <f t="shared" si="105"/>
        <v>-78.775407536551455</v>
      </c>
      <c r="AJ52" s="529">
        <f t="shared" si="106"/>
        <v>-167.1647396116754</v>
      </c>
      <c r="AK52" s="578">
        <f t="shared" si="247"/>
        <v>0.91813804463921689</v>
      </c>
      <c r="AL52" s="572">
        <f t="shared" si="107"/>
        <v>-0.34515476914464155</v>
      </c>
      <c r="AM52" s="577">
        <f t="shared" si="108"/>
        <v>-0.19465537835565866</v>
      </c>
      <c r="AN52" s="524">
        <f t="shared" si="109"/>
        <v>-60.578501860773869</v>
      </c>
      <c r="AO52" s="525">
        <f t="shared" si="110"/>
        <v>23.34462301803374</v>
      </c>
      <c r="AP52" s="528">
        <f t="shared" si="111"/>
        <v>-20.602699263118744</v>
      </c>
      <c r="AQ52" s="529">
        <f t="shared" si="332"/>
        <v>0.58980795442742784</v>
      </c>
      <c r="AR52" s="979"/>
      <c r="AS52" s="954">
        <f t="shared" si="524"/>
        <v>124.05180847130116</v>
      </c>
      <c r="AT52" s="950">
        <f t="shared" si="333"/>
        <v>-0.85179788737913742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5.1280000000000001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1313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28</v>
      </c>
      <c r="JN52" s="960">
        <f>($JO52-SMALL($JO$9:$JO$88,1))/((Settings!$C$19/2)-((Settings!$C$19/2)-LARGE($JO$9:$JO$88,1))-SMALL($JO$9:$JO$88,1))</f>
        <v>0.94707446545990825</v>
      </c>
      <c r="JO52" s="162">
        <f t="shared" si="134"/>
        <v>3.8650650402661864</v>
      </c>
      <c r="JP52" s="961">
        <f t="shared" si="135"/>
        <v>-60.578501860773869</v>
      </c>
      <c r="JQ52" s="961">
        <f t="shared" si="136"/>
        <v>23.34462301803374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-3.4017160568022846</v>
      </c>
      <c r="C53" s="572">
        <f t="shared" si="545"/>
        <v>-2.229184757189465</v>
      </c>
      <c r="D53" s="576">
        <f t="shared" si="545"/>
        <v>-1.6657213116574741</v>
      </c>
      <c r="E53" s="580">
        <f t="shared" ref="E53:K53" si="546">R208</f>
        <v>6.2536329041490354E-2</v>
      </c>
      <c r="F53" s="572">
        <f t="shared" si="546"/>
        <v>-0.991300233645245</v>
      </c>
      <c r="G53" s="579">
        <f t="shared" si="546"/>
        <v>0.11581474139718573</v>
      </c>
      <c r="H53" s="580">
        <f t="shared" si="546"/>
        <v>0.26450000000000001</v>
      </c>
      <c r="I53" s="572">
        <f t="shared" si="546"/>
        <v>0.52</v>
      </c>
      <c r="J53" s="483">
        <f t="shared" si="94"/>
        <v>5.1340000000000003</v>
      </c>
      <c r="K53" s="806">
        <f t="shared" si="546"/>
        <v>1313</v>
      </c>
      <c r="L53" s="309"/>
      <c r="M53" s="164">
        <f t="shared" si="325"/>
        <v>5.1340000000000003</v>
      </c>
      <c r="N53" s="575">
        <f t="shared" si="326"/>
        <v>-3.4017160568022846</v>
      </c>
      <c r="O53" s="572">
        <f t="shared" si="327"/>
        <v>-2.229184757189465</v>
      </c>
      <c r="P53" s="576">
        <f t="shared" si="328"/>
        <v>-1.6657213116574741</v>
      </c>
      <c r="Q53" s="528">
        <f t="shared" si="144"/>
        <v>213.23729942286408</v>
      </c>
      <c r="R53" s="572">
        <f t="shared" ref="R53:R58" si="547">IF(M53="","",SQRT(N53^2+O53^2))</f>
        <v>4.0670550540645918</v>
      </c>
      <c r="S53" s="577">
        <f t="shared" ref="S53:S58" si="548">IF(M53="","",P53)</f>
        <v>-1.6657213116574741</v>
      </c>
      <c r="T53" s="578">
        <f t="shared" ref="T53:T58" si="549">IF(M53="","",X53*COS(RADIANS(W53)))</f>
        <v>-2.2655010324897038</v>
      </c>
      <c r="U53" s="572">
        <f t="shared" ref="U53:U58" si="550">IF(M53="","",X53*SIN(RADIANS(W53)))</f>
        <v>3.3776385070904831</v>
      </c>
      <c r="V53" s="579">
        <f t="shared" ref="V53:V58" si="551">IF(M53="","",Y53)</f>
        <v>-1.6657213116574741</v>
      </c>
      <c r="W53" s="528">
        <f t="shared" si="268"/>
        <v>123.85114824272189</v>
      </c>
      <c r="X53" s="572">
        <f t="shared" ref="X53:X58" si="552">IF(M53="","",R53)</f>
        <v>4.0670550540645918</v>
      </c>
      <c r="Y53" s="573">
        <f t="shared" si="271"/>
        <v>-1.6657213116574741</v>
      </c>
      <c r="Z53" s="575">
        <f t="shared" si="329"/>
        <v>-6.2536329041490354E-2</v>
      </c>
      <c r="AA53" s="572">
        <f t="shared" si="330"/>
        <v>0.991300233645245</v>
      </c>
      <c r="AB53" s="572">
        <f t="shared" si="331"/>
        <v>-0.11581474139718573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-6.2536329041490354E-2</v>
      </c>
      <c r="AE53" s="572">
        <f t="shared" ref="AE53:AE58" si="555">IF(M53="","",AA53*(1/SQRT(Z53^2+AA53^2+AB53^2)))</f>
        <v>0.991300233645245</v>
      </c>
      <c r="AF53" s="576">
        <f t="shared" ref="AF53:AF58" si="556">IF(M53="","",AB53*(1/SQRT(Z53^2+AA53^2+AB53^2)))</f>
        <v>-0.11581474139718573</v>
      </c>
      <c r="AG53" s="545">
        <f t="shared" ref="AG53:AG58" si="557">IF(M53="","",DEGREES(ATAN2(-AF53,AE53)))</f>
        <v>83.336277759741037</v>
      </c>
      <c r="AH53" s="546">
        <f t="shared" ref="AH53:AH58" si="558">IF(M53="","",DEGREES(ACOS(AD53)))</f>
        <v>93.585407278981094</v>
      </c>
      <c r="AI53" s="528">
        <f t="shared" ref="AI53:AI58" si="559">IF(M53="","",DEGREES(-ACOS(-AF53)))</f>
        <v>-83.349379695737113</v>
      </c>
      <c r="AJ53" s="529">
        <f t="shared" ref="AJ53:AJ58" si="560">IF(M53="","",DEGREES(ATAN2(-AE53,AD53)))</f>
        <v>-176.39027037975708</v>
      </c>
      <c r="AK53" s="578">
        <f t="shared" ref="AK53:AK58" si="561">IF(M53="","",(COS(RADIANS((90-$Q$8)-W53))*AD53)+(-SIN(RADIANS((90-$Q$8)-W53))*AE53))</f>
        <v>0.86340777459192786</v>
      </c>
      <c r="AL53" s="572">
        <f t="shared" ref="AL53:AL58" si="562">IF(M53="","",(SIN(RADIANS((90-$Q$8)-W53))*AD53)+(COS(RADIANS((90-$Q$8)-W53))*AE53))</f>
        <v>-0.4910335634651849</v>
      </c>
      <c r="AM53" s="577">
        <f t="shared" ref="AM53:AM58" si="563">IF(M53="","",AF53)</f>
        <v>-0.11581474139718573</v>
      </c>
      <c r="AN53" s="524">
        <f t="shared" ref="AN53:AN58" si="564">IF(M53="","",DEGREES(ATAN2(-AM53,AL53)))</f>
        <v>-76.728810223784308</v>
      </c>
      <c r="AO53" s="525">
        <f t="shared" si="110"/>
        <v>30.298611776153358</v>
      </c>
      <c r="AP53" s="528">
        <f t="shared" ref="AP53:AP58" si="565">IF(M53="","",DEGREES(ATAN2(AK53,AL53)))</f>
        <v>-29.627569802621149</v>
      </c>
      <c r="AQ53" s="529">
        <f t="shared" si="332"/>
        <v>0.56051710008027344</v>
      </c>
      <c r="AR53" s="979"/>
      <c r="AS53" s="954">
        <f t="shared" si="524"/>
        <v>123.85114824272189</v>
      </c>
      <c r="AT53" s="950">
        <f t="shared" si="333"/>
        <v>-1.5041837000305593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5.1340000000000003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1313</v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34</v>
      </c>
      <c r="JN53" s="960">
        <f>($JO53-SMALL($JO$9:$JO$88,1))/((Settings!$C$19/2)-((Settings!$C$19/2)-LARGE($JO$9:$JO$88,1))-SMALL($JO$9:$JO$88,1))</f>
        <v>0.99999999999999978</v>
      </c>
      <c r="JO53" s="162">
        <f t="shared" si="134"/>
        <v>4.0670550540645918</v>
      </c>
      <c r="JP53" s="961">
        <f t="shared" si="135"/>
        <v>-76.728810223784308</v>
      </c>
      <c r="JQ53" s="961">
        <f t="shared" si="136"/>
        <v>30.298611776153358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</v>
      </c>
      <c r="B54" s="578">
        <f t="shared" ref="B54:D54" si="566">IFERROR(O209+($A54*-E54),"")</f>
        <v>-1.7650434300559494</v>
      </c>
      <c r="C54" s="572">
        <f t="shared" si="566"/>
        <v>-0.21017527561847232</v>
      </c>
      <c r="D54" s="576">
        <f t="shared" si="566"/>
        <v>-0.17412436539978829</v>
      </c>
      <c r="E54" s="580">
        <f t="shared" ref="E54:K54" si="567">R209</f>
        <v>0.12961051958639341</v>
      </c>
      <c r="F54" s="572">
        <f t="shared" si="567"/>
        <v>1.5433573028999156E-2</v>
      </c>
      <c r="G54" s="579">
        <f t="shared" si="567"/>
        <v>0.99144486384069974</v>
      </c>
      <c r="H54" s="580">
        <f t="shared" si="567"/>
        <v>0.22500000000000001</v>
      </c>
      <c r="I54" s="572">
        <f t="shared" si="567"/>
        <v>0.21199999999999999</v>
      </c>
      <c r="J54" s="483">
        <f t="shared" si="94"/>
        <v>5.2089999999999996</v>
      </c>
      <c r="K54" s="806" t="str">
        <f t="shared" si="567"/>
        <v>CPS-31783r1</v>
      </c>
      <c r="L54" s="309"/>
      <c r="M54" s="164">
        <f t="shared" si="325"/>
        <v>5.2089999999999996</v>
      </c>
      <c r="N54" s="575">
        <f t="shared" si="326"/>
        <v>-1.7650434300559494</v>
      </c>
      <c r="O54" s="572">
        <f t="shared" si="327"/>
        <v>-0.21017527561847232</v>
      </c>
      <c r="P54" s="576">
        <f t="shared" si="328"/>
        <v>-0.17412436539978829</v>
      </c>
      <c r="Q54" s="528">
        <f t="shared" si="144"/>
        <v>186.79060881397945</v>
      </c>
      <c r="R54" s="572">
        <f t="shared" si="547"/>
        <v>1.7775128569056742</v>
      </c>
      <c r="S54" s="577">
        <f t="shared" si="548"/>
        <v>-0.17412436539978829</v>
      </c>
      <c r="T54" s="578">
        <f t="shared" si="549"/>
        <v>-0.22907296752031145</v>
      </c>
      <c r="U54" s="572">
        <f t="shared" si="550"/>
        <v>1.7626904243276555</v>
      </c>
      <c r="V54" s="579">
        <f t="shared" si="551"/>
        <v>-0.17412436539978829</v>
      </c>
      <c r="W54" s="528">
        <f t="shared" si="268"/>
        <v>97.404457633837254</v>
      </c>
      <c r="X54" s="572">
        <f t="shared" si="552"/>
        <v>1.7775128569056742</v>
      </c>
      <c r="Y54" s="573">
        <f t="shared" si="271"/>
        <v>-0.17412436539978829</v>
      </c>
      <c r="Z54" s="575">
        <f t="shared" si="329"/>
        <v>-0.12961051958639341</v>
      </c>
      <c r="AA54" s="572">
        <f t="shared" si="330"/>
        <v>-1.5433573028999156E-2</v>
      </c>
      <c r="AB54" s="572">
        <f t="shared" si="331"/>
        <v>-0.99144486384069974</v>
      </c>
      <c r="AC54" s="579">
        <f t="shared" si="553"/>
        <v>1</v>
      </c>
      <c r="AD54" s="580">
        <f t="shared" si="554"/>
        <v>-0.12961051958639341</v>
      </c>
      <c r="AE54" s="572">
        <f t="shared" si="555"/>
        <v>-1.5433573028999156E-2</v>
      </c>
      <c r="AF54" s="576">
        <f t="shared" si="556"/>
        <v>-0.99144486384069974</v>
      </c>
      <c r="AG54" s="545">
        <f t="shared" si="557"/>
        <v>-0.89183696722835681</v>
      </c>
      <c r="AH54" s="546">
        <f t="shared" si="558"/>
        <v>97.447086320549602</v>
      </c>
      <c r="AI54" s="528">
        <f t="shared" si="559"/>
        <v>-7.4999989171341337</v>
      </c>
      <c r="AJ54" s="529">
        <f t="shared" si="560"/>
        <v>-83.209391186020568</v>
      </c>
      <c r="AK54" s="578">
        <f t="shared" si="561"/>
        <v>1.0408340855860843E-17</v>
      </c>
      <c r="AL54" s="572">
        <f t="shared" si="562"/>
        <v>0.1305261734821653</v>
      </c>
      <c r="AM54" s="577">
        <f t="shared" si="563"/>
        <v>-0.99144486384069974</v>
      </c>
      <c r="AN54" s="524">
        <f t="shared" si="564"/>
        <v>7.4999989171341319</v>
      </c>
      <c r="AO54" s="525">
        <f t="shared" si="110"/>
        <v>0</v>
      </c>
      <c r="AP54" s="528">
        <f t="shared" si="565"/>
        <v>90</v>
      </c>
      <c r="AQ54" s="529">
        <f t="shared" si="332"/>
        <v>1.2823232041128718</v>
      </c>
      <c r="AR54" s="979"/>
      <c r="AS54" s="954">
        <f t="shared" si="524"/>
        <v>97.404457633837254</v>
      </c>
      <c r="AT54" s="950">
        <f t="shared" si="333"/>
        <v>5.7790035944073337E-3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>Nose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5.2089999999999996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3.109</v>
      </c>
      <c r="IK54" s="677" cm="1">
        <f t="array" ref="IK54">IFERROR(ROUND(VALUE(IF($IJ54&lt;1,$IJ54+LARGE((IF($M$9:$M$150="",0,$M$9:$M$150)-MOD(IF($M$9:$M$150="",0,$M$9:$M$150),1)),1),$IJ54)),4),"")</f>
        <v>3.109</v>
      </c>
      <c r="IL54" s="482">
        <f t="shared" si="485"/>
        <v>1113</v>
      </c>
      <c r="IM54" s="482" t="str">
        <f t="shared" si="242"/>
        <v>CPS-31783r1</v>
      </c>
      <c r="IN54" s="670">
        <f t="shared" si="486"/>
        <v>142.59206184690328</v>
      </c>
      <c r="IO54" s="702">
        <v>3.3077326437697098E-2</v>
      </c>
      <c r="IP54" s="5">
        <f t="shared" si="487"/>
        <v>0.16</v>
      </c>
      <c r="IQ54" s="714">
        <v>80</v>
      </c>
      <c r="IR54" s="9">
        <f t="shared" si="488"/>
        <v>-1.7752716262930897</v>
      </c>
      <c r="IS54" s="5">
        <f t="shared" si="489"/>
        <v>-8.7497654095203464E-2</v>
      </c>
      <c r="IT54" s="5">
        <f t="shared" si="490"/>
        <v>0.2165</v>
      </c>
      <c r="IU54" s="5">
        <f t="shared" si="491"/>
        <v>0.20693895361495579</v>
      </c>
      <c r="IV54" s="670">
        <f t="shared" si="492"/>
        <v>-9.491373132727059</v>
      </c>
      <c r="IW54" s="9">
        <f t="shared" si="493"/>
        <v>-1.7775128569056742</v>
      </c>
      <c r="IX54" s="5">
        <f t="shared" si="494"/>
        <v>-0.17412436539978829</v>
      </c>
      <c r="IY54" s="5">
        <f t="shared" si="495"/>
        <v>0.22500000000000001</v>
      </c>
      <c r="IZ54" s="5">
        <f t="shared" si="496"/>
        <v>0.22500000000000001</v>
      </c>
      <c r="JA54" s="705">
        <f t="shared" si="497"/>
        <v>-7.4999989171341319</v>
      </c>
      <c r="JM54" s="489">
        <f t="shared" si="133"/>
        <v>9</v>
      </c>
      <c r="JN54" s="960">
        <f>($JO54-SMALL($JO$9:$JO$88,1))/((Settings!$C$19/2)-((Settings!$C$19/2)-LARGE($JO$9:$JO$88,1))-SMALL($JO$9:$JO$88,1))</f>
        <v>0.40009289391073882</v>
      </c>
      <c r="JO54" s="162">
        <f t="shared" si="134"/>
        <v>1.7775128569056742</v>
      </c>
      <c r="JP54" s="961">
        <f t="shared" si="135"/>
        <v>7.4999989171341319</v>
      </c>
      <c r="JQ54" s="961">
        <f t="shared" si="136"/>
        <v>0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-2.6658202491300242</v>
      </c>
      <c r="C55" s="572">
        <f t="shared" si="600"/>
        <v>-0.92504654795531005</v>
      </c>
      <c r="D55" s="576">
        <f t="shared" si="600"/>
        <v>-0.13888572643651365</v>
      </c>
      <c r="E55" s="580">
        <f t="shared" ref="E55:K55" si="601">R210</f>
        <v>0.22386993226511739</v>
      </c>
      <c r="F55" s="572">
        <f t="shared" si="601"/>
        <v>-0.93165439020465335</v>
      </c>
      <c r="G55" s="579">
        <f t="shared" si="601"/>
        <v>0.28618586729607604</v>
      </c>
      <c r="H55" s="580">
        <f t="shared" si="601"/>
        <v>0.26450000000000001</v>
      </c>
      <c r="I55" s="572">
        <f t="shared" si="601"/>
        <v>0.52</v>
      </c>
      <c r="J55" s="483">
        <f t="shared" si="94"/>
        <v>5.2160000000000002</v>
      </c>
      <c r="K55" s="806">
        <f t="shared" si="601"/>
        <v>1313</v>
      </c>
      <c r="L55" s="309"/>
      <c r="M55" s="164">
        <f t="shared" si="325"/>
        <v>5.2160000000000002</v>
      </c>
      <c r="N55" s="575">
        <f t="shared" si="326"/>
        <v>-2.6658202491300242</v>
      </c>
      <c r="O55" s="572">
        <f t="shared" si="327"/>
        <v>-0.92504654795531005</v>
      </c>
      <c r="P55" s="576">
        <f t="shared" si="328"/>
        <v>-0.13888572643651365</v>
      </c>
      <c r="Q55" s="528">
        <f t="shared" si="144"/>
        <v>199.13690695460045</v>
      </c>
      <c r="R55" s="572">
        <f t="shared" si="547"/>
        <v>2.8217563177134379</v>
      </c>
      <c r="S55" s="577">
        <f t="shared" si="548"/>
        <v>-0.13888572643651365</v>
      </c>
      <c r="T55" s="578">
        <f t="shared" si="549"/>
        <v>-0.95355366540087039</v>
      </c>
      <c r="U55" s="572">
        <f t="shared" si="550"/>
        <v>2.655756789270483</v>
      </c>
      <c r="V55" s="579">
        <f t="shared" si="551"/>
        <v>-0.13888572643651365</v>
      </c>
      <c r="W55" s="528">
        <f t="shared" si="268"/>
        <v>109.75075577445826</v>
      </c>
      <c r="X55" s="572">
        <f t="shared" si="552"/>
        <v>2.8217563177134379</v>
      </c>
      <c r="Y55" s="573">
        <f t="shared" si="271"/>
        <v>-0.13888572643651365</v>
      </c>
      <c r="Z55" s="575">
        <f t="shared" si="329"/>
        <v>-0.22386993226511739</v>
      </c>
      <c r="AA55" s="572">
        <f t="shared" si="330"/>
        <v>0.93165439020465335</v>
      </c>
      <c r="AB55" s="572">
        <f t="shared" si="331"/>
        <v>-0.28618586729607604</v>
      </c>
      <c r="AC55" s="579">
        <f t="shared" si="553"/>
        <v>1</v>
      </c>
      <c r="AD55" s="580">
        <f t="shared" si="554"/>
        <v>-0.22386993226511739</v>
      </c>
      <c r="AE55" s="572">
        <f t="shared" si="555"/>
        <v>0.93165439020465335</v>
      </c>
      <c r="AF55" s="576">
        <f t="shared" si="556"/>
        <v>-0.28618586729607604</v>
      </c>
      <c r="AG55" s="545">
        <f t="shared" si="557"/>
        <v>72.924074046368418</v>
      </c>
      <c r="AH55" s="546">
        <f t="shared" si="558"/>
        <v>102.93643502052791</v>
      </c>
      <c r="AI55" s="528">
        <f t="shared" si="559"/>
        <v>-73.370253386326524</v>
      </c>
      <c r="AJ55" s="529">
        <f t="shared" si="560"/>
        <v>-166.4884000055948</v>
      </c>
      <c r="AK55" s="578">
        <f t="shared" si="561"/>
        <v>0.95355974920316977</v>
      </c>
      <c r="AL55" s="572">
        <f t="shared" si="562"/>
        <v>-9.3922596107543027E-2</v>
      </c>
      <c r="AM55" s="577">
        <f t="shared" si="563"/>
        <v>-0.28618586729607604</v>
      </c>
      <c r="AN55" s="524">
        <f t="shared" si="564"/>
        <v>-18.169184281237378</v>
      </c>
      <c r="AO55" s="525">
        <f>IF(ROUND(IF(M55="",0,DEGREES(ACOS(AK55))),4)=90,0,IF(M55="","",DEGREES(ACOS(AK55))))</f>
        <v>17.529928025704439</v>
      </c>
      <c r="AP55" s="528">
        <f t="shared" si="565"/>
        <v>-5.6253069601952514</v>
      </c>
      <c r="AQ55" s="529">
        <f t="shared" si="332"/>
        <v>0.80785698722710408</v>
      </c>
      <c r="AR55" s="979"/>
      <c r="AS55" s="954">
        <f t="shared" si="524"/>
        <v>109.75075577445826</v>
      </c>
      <c r="AT55" s="950">
        <f t="shared" si="333"/>
        <v>3.2443824404472965E-2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>Nose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5.2160000000000002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5.1159999999999997</v>
      </c>
      <c r="IK55" s="677" cm="1">
        <f t="array" ref="IK55">IFERROR(ROUND(VALUE(IF($IJ55&lt;1,$IJ55+LARGE((IF($M$9:$M$150="",0,$M$9:$M$150)-MOD(IF($M$9:$M$150="",0,$M$9:$M$150),1)),1),$IJ55)),4),"")</f>
        <v>5.1159999999999997</v>
      </c>
      <c r="IL55" s="482">
        <f t="shared" si="485"/>
        <v>1313</v>
      </c>
      <c r="IM55" s="482">
        <f t="shared" si="242"/>
        <v>1313</v>
      </c>
      <c r="IN55" s="670">
        <f t="shared" si="486"/>
        <v>15.121816439711921</v>
      </c>
      <c r="IO55" s="702">
        <v>3.81205368562005E-3</v>
      </c>
      <c r="IP55" s="5">
        <f t="shared" si="487"/>
        <v>0.24</v>
      </c>
      <c r="IQ55" s="714">
        <v>120</v>
      </c>
      <c r="IR55" s="9">
        <f t="shared" si="488"/>
        <v>-2.8209044735941622</v>
      </c>
      <c r="IS55" s="5">
        <f t="shared" si="489"/>
        <v>-0.12417399780527193</v>
      </c>
      <c r="IT55" s="5">
        <f t="shared" si="490"/>
        <v>0.26450000000000001</v>
      </c>
      <c r="IU55" s="5">
        <f t="shared" si="491"/>
        <v>0.25815679213843284</v>
      </c>
      <c r="IV55" s="670">
        <f t="shared" si="492"/>
        <v>20.666006268892417</v>
      </c>
      <c r="IW55" s="9">
        <f t="shared" si="493"/>
        <v>-2.8217563177134379</v>
      </c>
      <c r="IX55" s="5">
        <f t="shared" si="494"/>
        <v>-0.13888572643651365</v>
      </c>
      <c r="IY55" s="5">
        <f t="shared" si="495"/>
        <v>0.26450000000000001</v>
      </c>
      <c r="IZ55" s="5">
        <f t="shared" si="496"/>
        <v>0.2522165536642384</v>
      </c>
      <c r="JA55" s="705">
        <f t="shared" si="497"/>
        <v>18.169184281237378</v>
      </c>
      <c r="JM55" s="489">
        <f t="shared" si="133"/>
        <v>16</v>
      </c>
      <c r="JN55" s="960">
        <f>($JO55-SMALL($JO$9:$JO$88,1))/((Settings!$C$19/2)-((Settings!$C$19/2)-LARGE($JO$9:$JO$88,1))-SMALL($JO$9:$JO$88,1))</f>
        <v>0.67370614000123585</v>
      </c>
      <c r="JO55" s="162">
        <f t="shared" si="134"/>
        <v>2.8217563177134379</v>
      </c>
      <c r="JP55" s="961">
        <f t="shared" si="135"/>
        <v>-18.169184281237378</v>
      </c>
      <c r="JQ55" s="961">
        <f t="shared" si="136"/>
        <v>17.529928025704439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-3.2349855709803546</v>
      </c>
      <c r="C56" s="572">
        <f t="shared" si="602"/>
        <v>-1.2031606738233225</v>
      </c>
      <c r="D56" s="576">
        <f t="shared" si="602"/>
        <v>-0.46989384664056266</v>
      </c>
      <c r="E56" s="580">
        <f t="shared" ref="E56:K56" si="603">R211</f>
        <v>0.10449057397794613</v>
      </c>
      <c r="F56" s="572">
        <f t="shared" si="603"/>
        <v>-0.95592278557405685</v>
      </c>
      <c r="G56" s="579">
        <f t="shared" si="603"/>
        <v>0.2743963337402584</v>
      </c>
      <c r="H56" s="580">
        <f t="shared" si="603"/>
        <v>0.26450000000000001</v>
      </c>
      <c r="I56" s="572">
        <f t="shared" si="603"/>
        <v>0.52</v>
      </c>
      <c r="J56" s="483">
        <f t="shared" si="94"/>
        <v>5.2220000000000004</v>
      </c>
      <c r="K56" s="806">
        <f t="shared" si="603"/>
        <v>1313</v>
      </c>
      <c r="L56" s="309"/>
      <c r="M56" s="164">
        <f t="shared" si="325"/>
        <v>5.2220000000000004</v>
      </c>
      <c r="N56" s="575">
        <f t="shared" si="326"/>
        <v>-3.2349855709803546</v>
      </c>
      <c r="O56" s="572">
        <f t="shared" si="327"/>
        <v>-1.2031606738233225</v>
      </c>
      <c r="P56" s="576">
        <f t="shared" si="328"/>
        <v>-0.46989384664056266</v>
      </c>
      <c r="Q56" s="528">
        <f t="shared" si="144"/>
        <v>200.40124978174731</v>
      </c>
      <c r="R56" s="572">
        <f t="shared" si="547"/>
        <v>3.4514818920988244</v>
      </c>
      <c r="S56" s="577">
        <f t="shared" si="548"/>
        <v>-0.46989384664056266</v>
      </c>
      <c r="T56" s="578">
        <f t="shared" si="549"/>
        <v>-1.2377495702217975</v>
      </c>
      <c r="U56" s="572">
        <f t="shared" si="550"/>
        <v>3.2219098765952219</v>
      </c>
      <c r="V56" s="579">
        <f t="shared" si="551"/>
        <v>-0.46989384664056266</v>
      </c>
      <c r="W56" s="528">
        <f t="shared" si="268"/>
        <v>111.01509860160512</v>
      </c>
      <c r="X56" s="572">
        <f t="shared" si="552"/>
        <v>3.4514818920988244</v>
      </c>
      <c r="Y56" s="573">
        <f t="shared" si="271"/>
        <v>-0.46989384664056266</v>
      </c>
      <c r="Z56" s="575">
        <f t="shared" si="329"/>
        <v>-0.10449057397794613</v>
      </c>
      <c r="AA56" s="572">
        <f t="shared" si="330"/>
        <v>0.95592278557405685</v>
      </c>
      <c r="AB56" s="572">
        <f t="shared" si="331"/>
        <v>-0.2743963337402584</v>
      </c>
      <c r="AC56" s="579">
        <f t="shared" si="553"/>
        <v>1</v>
      </c>
      <c r="AD56" s="580">
        <f t="shared" si="554"/>
        <v>-0.10449057397794613</v>
      </c>
      <c r="AE56" s="572">
        <f t="shared" si="555"/>
        <v>0.95592278557405685</v>
      </c>
      <c r="AF56" s="576">
        <f t="shared" si="556"/>
        <v>-0.2743963337402584</v>
      </c>
      <c r="AG56" s="545">
        <f t="shared" si="557"/>
        <v>73.983946298548759</v>
      </c>
      <c r="AH56" s="546">
        <f t="shared" si="558"/>
        <v>95.997817150076628</v>
      </c>
      <c r="AI56" s="528">
        <f t="shared" si="559"/>
        <v>-74.073957165519388</v>
      </c>
      <c r="AJ56" s="529">
        <f t="shared" si="560"/>
        <v>-173.76184558480364</v>
      </c>
      <c r="AK56" s="578">
        <f t="shared" si="561"/>
        <v>0.93238657142193393</v>
      </c>
      <c r="AL56" s="572">
        <f t="shared" si="562"/>
        <v>-0.23529116741168921</v>
      </c>
      <c r="AM56" s="577">
        <f t="shared" si="563"/>
        <v>-0.2743963337402584</v>
      </c>
      <c r="AN56" s="524">
        <f t="shared" si="564"/>
        <v>-40.61264488655732</v>
      </c>
      <c r="AO56" s="525">
        <f t="shared" ref="AO56:AO119" si="604">IF(ROUND(IF(M56="",0,DEGREES(ACOS(AK56))),4)=90,0,IF(M56="","",DEGREES(ACOS(AK56))))</f>
        <v>21.190052465141981</v>
      </c>
      <c r="AP56" s="528">
        <f t="shared" si="565"/>
        <v>-14.163095366550923</v>
      </c>
      <c r="AQ56" s="529">
        <f t="shared" si="332"/>
        <v>0.66047736105183363</v>
      </c>
      <c r="AR56" s="979"/>
      <c r="AS56" s="954">
        <f t="shared" si="524"/>
        <v>111.01509860160512</v>
      </c>
      <c r="AT56" s="950">
        <f t="shared" si="333"/>
        <v>-0.29944231165176138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>Taper</v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5.2220000000000004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5.1219999999999999</v>
      </c>
      <c r="IK56" s="677" cm="1">
        <f t="array" ref="IK56">IFERROR(ROUND(VALUE(IF($IJ56&lt;1,$IJ56+LARGE((IF($M$9:$M$150="",0,$M$9:$M$150)-MOD(IF($M$9:$M$150="",0,$M$9:$M$150),1)),1),$IJ56)),4),"")</f>
        <v>5.1219999999999999</v>
      </c>
      <c r="IL56" s="482">
        <f t="shared" si="485"/>
        <v>1313</v>
      </c>
      <c r="IM56" s="482">
        <f t="shared" si="242"/>
        <v>1313</v>
      </c>
      <c r="IN56" s="670">
        <f t="shared" si="486"/>
        <v>13.402072869685554</v>
      </c>
      <c r="IO56" s="702">
        <v>9.55682791989645E-4</v>
      </c>
      <c r="IP56" s="5">
        <f t="shared" si="487"/>
        <v>0</v>
      </c>
      <c r="IQ56" s="714">
        <v>0</v>
      </c>
      <c r="IR56" s="9">
        <f t="shared" si="488"/>
        <v>-3.4486749667305214</v>
      </c>
      <c r="IS56" s="5">
        <f t="shared" si="489"/>
        <v>-0.45805586128600334</v>
      </c>
      <c r="IT56" s="5">
        <f t="shared" si="490"/>
        <v>0.26450000000000001</v>
      </c>
      <c r="IU56" s="5">
        <f t="shared" si="491"/>
        <v>0.25386851878888189</v>
      </c>
      <c r="IV56" s="670">
        <f t="shared" si="492"/>
        <v>43.755531066514841</v>
      </c>
      <c r="IW56" s="9">
        <f t="shared" si="493"/>
        <v>-3.4514818920988244</v>
      </c>
      <c r="IX56" s="5">
        <f t="shared" si="494"/>
        <v>-0.46989384664056266</v>
      </c>
      <c r="IY56" s="5">
        <f t="shared" si="495"/>
        <v>0.26450000000000001</v>
      </c>
      <c r="IZ56" s="5">
        <f t="shared" si="496"/>
        <v>0.24661624814110153</v>
      </c>
      <c r="JA56" s="705">
        <f t="shared" si="497"/>
        <v>40.61264488655732</v>
      </c>
      <c r="JM56" s="489">
        <f t="shared" si="133"/>
        <v>22</v>
      </c>
      <c r="JN56" s="960">
        <f>($JO56-SMALL($JO$9:$JO$88,1))/((Settings!$C$19/2)-((Settings!$C$19/2)-LARGE($JO$9:$JO$88,1))-SMALL($JO$9:$JO$88,1))</f>
        <v>0.83870718144468082</v>
      </c>
      <c r="JO56" s="162">
        <f t="shared" si="134"/>
        <v>3.4514818920988244</v>
      </c>
      <c r="JP56" s="961">
        <f t="shared" si="135"/>
        <v>-40.61264488655732</v>
      </c>
      <c r="JQ56" s="961">
        <f t="shared" si="136"/>
        <v>21.190052465141981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-2.325334968270405</v>
      </c>
      <c r="C57" s="572">
        <f t="shared" si="605"/>
        <v>1.3789115103317693</v>
      </c>
      <c r="D57" s="576">
        <f t="shared" si="605"/>
        <v>-9.3032156976822891E-2</v>
      </c>
      <c r="E57" s="580">
        <f t="shared" ref="E57:K57" si="606">R212</f>
        <v>-0.53785684386394172</v>
      </c>
      <c r="F57" s="572">
        <f t="shared" si="606"/>
        <v>-0.78913977916708689</v>
      </c>
      <c r="G57" s="579">
        <f t="shared" si="606"/>
        <v>0.2965947141215447</v>
      </c>
      <c r="H57" s="580">
        <f t="shared" si="606"/>
        <v>0.26450000000000001</v>
      </c>
      <c r="I57" s="572">
        <f t="shared" si="606"/>
        <v>0.52</v>
      </c>
      <c r="J57" s="483">
        <f t="shared" si="94"/>
        <v>6.1150000000000002</v>
      </c>
      <c r="K57" s="806">
        <f t="shared" si="606"/>
        <v>1313</v>
      </c>
      <c r="L57" s="309"/>
      <c r="M57" s="164">
        <f t="shared" si="325"/>
        <v>6.1150000000000002</v>
      </c>
      <c r="N57" s="575">
        <f t="shared" si="326"/>
        <v>-2.325334968270405</v>
      </c>
      <c r="O57" s="572">
        <f t="shared" si="327"/>
        <v>1.3789115103317693</v>
      </c>
      <c r="P57" s="576">
        <f t="shared" si="328"/>
        <v>-9.3032156976822891E-2</v>
      </c>
      <c r="Q57" s="528">
        <f t="shared" si="144"/>
        <v>149.33228019141958</v>
      </c>
      <c r="R57" s="572">
        <f t="shared" si="547"/>
        <v>2.7034384897730828</v>
      </c>
      <c r="S57" s="577">
        <f t="shared" si="548"/>
        <v>-9.3032156976822891E-2</v>
      </c>
      <c r="T57" s="578">
        <f t="shared" si="549"/>
        <v>1.3539199481236732</v>
      </c>
      <c r="U57" s="572">
        <f t="shared" si="550"/>
        <v>2.3399744532920348</v>
      </c>
      <c r="V57" s="579">
        <f t="shared" si="551"/>
        <v>-9.3032156976822891E-2</v>
      </c>
      <c r="W57" s="528">
        <f t="shared" si="268"/>
        <v>59.946129011277392</v>
      </c>
      <c r="X57" s="572">
        <f t="shared" si="552"/>
        <v>2.7034384897730828</v>
      </c>
      <c r="Y57" s="573">
        <f t="shared" si="271"/>
        <v>-9.3032156976822891E-2</v>
      </c>
      <c r="Z57" s="575">
        <f t="shared" si="329"/>
        <v>0.53785684386394172</v>
      </c>
      <c r="AA57" s="572">
        <f t="shared" si="330"/>
        <v>0.78913977916708689</v>
      </c>
      <c r="AB57" s="572">
        <f t="shared" si="331"/>
        <v>-0.2965947141215447</v>
      </c>
      <c r="AC57" s="579">
        <f t="shared" si="553"/>
        <v>1</v>
      </c>
      <c r="AD57" s="580">
        <f t="shared" si="554"/>
        <v>0.53785684386394172</v>
      </c>
      <c r="AE57" s="572">
        <f t="shared" si="555"/>
        <v>0.78913977916708689</v>
      </c>
      <c r="AF57" s="576">
        <f t="shared" si="556"/>
        <v>-0.2965947141215447</v>
      </c>
      <c r="AG57" s="545">
        <f t="shared" si="557"/>
        <v>69.401490463674079</v>
      </c>
      <c r="AH57" s="546">
        <f t="shared" si="558"/>
        <v>57.462136244082167</v>
      </c>
      <c r="AI57" s="528">
        <f t="shared" si="559"/>
        <v>-72.746811925119957</v>
      </c>
      <c r="AJ57" s="529">
        <f t="shared" si="560"/>
        <v>145.72269027227074</v>
      </c>
      <c r="AK57" s="578">
        <f t="shared" si="561"/>
        <v>0.953108911489011</v>
      </c>
      <c r="AL57" s="572">
        <f t="shared" si="562"/>
        <v>-6.0124690397471037E-2</v>
      </c>
      <c r="AM57" s="577">
        <f t="shared" si="563"/>
        <v>-0.2965947141215447</v>
      </c>
      <c r="AN57" s="524">
        <f t="shared" si="564"/>
        <v>-11.459520583760254</v>
      </c>
      <c r="AO57" s="525">
        <f t="shared" si="604"/>
        <v>17.615485326776415</v>
      </c>
      <c r="AP57" s="528">
        <f t="shared" si="565"/>
        <v>-3.6095899191488416</v>
      </c>
      <c r="AQ57" s="529">
        <f t="shared" si="332"/>
        <v>0.84320840099447814</v>
      </c>
      <c r="AR57" s="979"/>
      <c r="AS57" s="954">
        <f t="shared" si="524"/>
        <v>59.946129011277392</v>
      </c>
      <c r="AT57" s="950">
        <f t="shared" si="333"/>
        <v>0.11288394022748376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6.1150000000000002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1313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15</v>
      </c>
      <c r="JN57" s="960">
        <f>($JO57-SMALL($JO$9:$JO$88,1))/((Settings!$C$19/2)-((Settings!$C$19/2)-LARGE($JO$9:$JO$88,1))-SMALL($JO$9:$JO$88,1))</f>
        <v>0.64270443763185214</v>
      </c>
      <c r="JO57" s="162">
        <f t="shared" si="134"/>
        <v>2.7034384897730828</v>
      </c>
      <c r="JP57" s="961">
        <f t="shared" si="135"/>
        <v>-11.459520583760254</v>
      </c>
      <c r="JQ57" s="961">
        <f t="shared" si="136"/>
        <v>17.615485326776415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-2.8750326997171207</v>
      </c>
      <c r="C58" s="572">
        <f t="shared" si="607"/>
        <v>1.7358449291240305</v>
      </c>
      <c r="D58" s="576">
        <f t="shared" si="607"/>
        <v>-0.38579491681156741</v>
      </c>
      <c r="E58" s="580">
        <f t="shared" ref="E58:K58" si="608">R213</f>
        <v>-0.64571555324485241</v>
      </c>
      <c r="F58" s="572">
        <f t="shared" si="608"/>
        <v>-0.73700476330419862</v>
      </c>
      <c r="G58" s="579">
        <f t="shared" si="608"/>
        <v>0.19968826496471093</v>
      </c>
      <c r="H58" s="580">
        <f t="shared" si="608"/>
        <v>0.26450000000000001</v>
      </c>
      <c r="I58" s="572">
        <f t="shared" si="608"/>
        <v>0.52</v>
      </c>
      <c r="J58" s="483">
        <f t="shared" si="94"/>
        <v>6.1210000000000004</v>
      </c>
      <c r="K58" s="806">
        <f t="shared" si="608"/>
        <v>1313</v>
      </c>
      <c r="L58" s="309"/>
      <c r="M58" s="164">
        <f t="shared" si="325"/>
        <v>6.1210000000000004</v>
      </c>
      <c r="N58" s="575">
        <f t="shared" si="326"/>
        <v>-2.8750326997171207</v>
      </c>
      <c r="O58" s="572">
        <f t="shared" si="327"/>
        <v>1.7358449291240305</v>
      </c>
      <c r="P58" s="576">
        <f t="shared" si="328"/>
        <v>-0.38579491681156741</v>
      </c>
      <c r="Q58" s="528">
        <f t="shared" si="144"/>
        <v>148.87787842907565</v>
      </c>
      <c r="R58" s="572">
        <f t="shared" si="547"/>
        <v>3.3584178778717111</v>
      </c>
      <c r="S58" s="577">
        <f t="shared" si="548"/>
        <v>-0.38579491681156741</v>
      </c>
      <c r="T58" s="578">
        <f t="shared" si="549"/>
        <v>1.7049437075819334</v>
      </c>
      <c r="U58" s="572">
        <f t="shared" si="550"/>
        <v>2.8934646354128986</v>
      </c>
      <c r="V58" s="579">
        <f t="shared" si="551"/>
        <v>-0.38579491681156741</v>
      </c>
      <c r="W58" s="528">
        <f t="shared" si="268"/>
        <v>59.491727248933458</v>
      </c>
      <c r="X58" s="572">
        <f t="shared" si="552"/>
        <v>3.3584178778717111</v>
      </c>
      <c r="Y58" s="573">
        <f t="shared" si="271"/>
        <v>-0.38579491681156741</v>
      </c>
      <c r="Z58" s="575">
        <f t="shared" si="329"/>
        <v>0.64571555324485241</v>
      </c>
      <c r="AA58" s="572">
        <f t="shared" si="330"/>
        <v>0.73700476330419862</v>
      </c>
      <c r="AB58" s="572">
        <f t="shared" si="331"/>
        <v>-0.19968826496471093</v>
      </c>
      <c r="AC58" s="579">
        <f t="shared" si="553"/>
        <v>1</v>
      </c>
      <c r="AD58" s="580">
        <f t="shared" si="554"/>
        <v>0.64571555324485241</v>
      </c>
      <c r="AE58" s="572">
        <f t="shared" si="555"/>
        <v>0.73700476330419862</v>
      </c>
      <c r="AF58" s="576">
        <f t="shared" si="556"/>
        <v>-0.19968826496471093</v>
      </c>
      <c r="AG58" s="545">
        <f t="shared" si="557"/>
        <v>74.83993442674479</v>
      </c>
      <c r="AH58" s="546">
        <f t="shared" si="558"/>
        <v>49.780653585541998</v>
      </c>
      <c r="AI58" s="528">
        <f t="shared" si="559"/>
        <v>-78.481269786316304</v>
      </c>
      <c r="AJ58" s="529">
        <f t="shared" si="560"/>
        <v>138.77726905235284</v>
      </c>
      <c r="AK58" s="578">
        <f t="shared" si="561"/>
        <v>0.96467294449865948</v>
      </c>
      <c r="AL58" s="572">
        <f t="shared" si="562"/>
        <v>-0.17184500862018054</v>
      </c>
      <c r="AM58" s="577">
        <f t="shared" si="563"/>
        <v>-0.19968826496471093</v>
      </c>
      <c r="AN58" s="524">
        <f t="shared" si="564"/>
        <v>-40.714180427077785</v>
      </c>
      <c r="AO58" s="525">
        <f t="shared" si="604"/>
        <v>15.274895277144269</v>
      </c>
      <c r="AP58" s="528">
        <f t="shared" si="565"/>
        <v>-10.100609376722817</v>
      </c>
      <c r="AQ58" s="529">
        <f t="shared" si="332"/>
        <v>0.67877794282654302</v>
      </c>
      <c r="AR58" s="979"/>
      <c r="AS58" s="954">
        <f t="shared" si="524"/>
        <v>59.491727248933458</v>
      </c>
      <c r="AT58" s="950">
        <f t="shared" si="333"/>
        <v>-0.17956326282785526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6.1210000000000004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1313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21</v>
      </c>
      <c r="JN58" s="960">
        <f>($JO58-SMALL($JO$9:$JO$88,1))/((Settings!$C$19/2)-((Settings!$C$19/2)-LARGE($JO$9:$JO$88,1))-SMALL($JO$9:$JO$88,1))</f>
        <v>0.81432249723780492</v>
      </c>
      <c r="JO58" s="162">
        <f t="shared" si="134"/>
        <v>3.3584178778717111</v>
      </c>
      <c r="JP58" s="961">
        <f t="shared" si="135"/>
        <v>-40.714180427077785</v>
      </c>
      <c r="JQ58" s="961">
        <f t="shared" si="136"/>
        <v>15.274895277144269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-3.2424412384072512</v>
      </c>
      <c r="C59" s="572">
        <f t="shared" si="609"/>
        <v>1.9881463911024078</v>
      </c>
      <c r="D59" s="576">
        <f t="shared" si="609"/>
        <v>-0.90806386364772418</v>
      </c>
      <c r="E59" s="580">
        <f t="shared" ref="E59:K59" si="610">R214</f>
        <v>-0.7574421117716289</v>
      </c>
      <c r="F59" s="572">
        <f t="shared" si="610"/>
        <v>-0.62052345597837899</v>
      </c>
      <c r="G59" s="579">
        <f t="shared" si="610"/>
        <v>0.20305685877503366</v>
      </c>
      <c r="H59" s="580">
        <f t="shared" si="610"/>
        <v>0.26450000000000001</v>
      </c>
      <c r="I59" s="572">
        <f t="shared" si="610"/>
        <v>0.52</v>
      </c>
      <c r="J59" s="483">
        <f t="shared" si="94"/>
        <v>6.1269999999999998</v>
      </c>
      <c r="K59" s="806">
        <f t="shared" si="610"/>
        <v>1313</v>
      </c>
      <c r="L59" s="309"/>
      <c r="M59" s="164">
        <f t="shared" si="325"/>
        <v>6.1269999999999998</v>
      </c>
      <c r="N59" s="575">
        <f t="shared" si="326"/>
        <v>-3.2424412384072512</v>
      </c>
      <c r="O59" s="572">
        <f t="shared" si="327"/>
        <v>1.9881463911024078</v>
      </c>
      <c r="P59" s="576">
        <f t="shared" si="328"/>
        <v>-0.90806386364772418</v>
      </c>
      <c r="Q59" s="528">
        <f t="shared" si="144"/>
        <v>148.48489704624879</v>
      </c>
      <c r="R59" s="572">
        <f t="shared" si="95"/>
        <v>3.8034393983574231</v>
      </c>
      <c r="S59" s="577">
        <f t="shared" si="96"/>
        <v>-0.90806386364772418</v>
      </c>
      <c r="T59" s="578">
        <f t="shared" si="97"/>
        <v>1.953294466421017</v>
      </c>
      <c r="U59" s="572">
        <f t="shared" si="98"/>
        <v>3.2635551143540549</v>
      </c>
      <c r="V59" s="579">
        <f t="shared" si="145"/>
        <v>-0.90806386364772418</v>
      </c>
      <c r="W59" s="528">
        <f t="shared" si="268"/>
        <v>59.098745866106597</v>
      </c>
      <c r="X59" s="572">
        <f t="shared" si="99"/>
        <v>3.8034393983574231</v>
      </c>
      <c r="Y59" s="573">
        <f t="shared" si="271"/>
        <v>-0.90806386364772418</v>
      </c>
      <c r="Z59" s="575">
        <f t="shared" si="329"/>
        <v>0.7574421117716289</v>
      </c>
      <c r="AA59" s="572">
        <f t="shared" si="330"/>
        <v>0.62052345597837899</v>
      </c>
      <c r="AB59" s="572">
        <f t="shared" si="331"/>
        <v>-0.20305685877503366</v>
      </c>
      <c r="AC59" s="579">
        <f t="shared" si="100"/>
        <v>1</v>
      </c>
      <c r="AD59" s="580">
        <f t="shared" si="146"/>
        <v>0.7574421117716289</v>
      </c>
      <c r="AE59" s="572">
        <f t="shared" si="101"/>
        <v>0.62052345597837899</v>
      </c>
      <c r="AF59" s="576">
        <f t="shared" si="102"/>
        <v>-0.20305685877503366</v>
      </c>
      <c r="AG59" s="545">
        <f t="shared" si="103"/>
        <v>71.880103466032793</v>
      </c>
      <c r="AH59" s="546">
        <f t="shared" si="104"/>
        <v>40.760783926721501</v>
      </c>
      <c r="AI59" s="528">
        <f t="shared" si="105"/>
        <v>-78.284226994624902</v>
      </c>
      <c r="AJ59" s="529">
        <f t="shared" si="106"/>
        <v>129.325550825237</v>
      </c>
      <c r="AK59" s="578">
        <f t="shared" si="247"/>
        <v>0.92493037895392849</v>
      </c>
      <c r="AL59" s="572">
        <f t="shared" si="107"/>
        <v>-0.32135915451805352</v>
      </c>
      <c r="AM59" s="577">
        <f t="shared" si="108"/>
        <v>-0.20305685877503366</v>
      </c>
      <c r="AN59" s="524">
        <f t="shared" si="109"/>
        <v>-57.712480946881278</v>
      </c>
      <c r="AO59" s="525">
        <f t="shared" si="604"/>
        <v>22.342140925381187</v>
      </c>
      <c r="AP59" s="528">
        <f t="shared" si="111"/>
        <v>-19.15934622101177</v>
      </c>
      <c r="AQ59" s="529">
        <f t="shared" si="332"/>
        <v>0.59936369057332706</v>
      </c>
      <c r="AR59" s="979"/>
      <c r="AS59" s="954">
        <f t="shared" si="524"/>
        <v>59.098745866106597</v>
      </c>
      <c r="AT59" s="950">
        <f t="shared" si="333"/>
        <v>-0.70155930592593785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6.1269999999999998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1313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27</v>
      </c>
      <c r="JN59" s="960">
        <f>($JO59-SMALL($JO$9:$JO$88,1))/((Settings!$C$19/2)-((Settings!$C$19/2)-LARGE($JO$9:$JO$88,1))-SMALL($JO$9:$JO$88,1))</f>
        <v>0.93092728086368004</v>
      </c>
      <c r="JO59" s="162">
        <f t="shared" si="134"/>
        <v>3.8034393983574231</v>
      </c>
      <c r="JP59" s="961">
        <f t="shared" si="135"/>
        <v>-57.712480946881278</v>
      </c>
      <c r="JQ59" s="961">
        <f t="shared" si="136"/>
        <v>22.342140925381187</v>
      </c>
      <c r="JU59" s="962"/>
      <c r="JV59" s="959"/>
      <c r="JW59" s="959"/>
    </row>
    <row r="60" spans="1:284" ht="15" customHeight="1" x14ac:dyDescent="0.25">
      <c r="A60" s="75">
        <f t="shared" si="322"/>
        <v>0.02</v>
      </c>
      <c r="B60" s="578">
        <f t="shared" ref="B60:D60" si="611">IFERROR(O215+($A60*-E60),"")</f>
        <v>-3.4313412097976363</v>
      </c>
      <c r="C60" s="572">
        <f t="shared" si="611"/>
        <v>2.1190184257079721</v>
      </c>
      <c r="D60" s="576">
        <f t="shared" si="611"/>
        <v>-1.5790600818920282</v>
      </c>
      <c r="E60" s="580">
        <f t="shared" ref="E60:K60" si="612">R215</f>
        <v>-0.86509738027681615</v>
      </c>
      <c r="F60" s="572">
        <f t="shared" si="612"/>
        <v>-0.48085785512372042</v>
      </c>
      <c r="G60" s="579">
        <f t="shared" si="612"/>
        <v>0.14276640292451437</v>
      </c>
      <c r="H60" s="580">
        <f t="shared" si="612"/>
        <v>0.26450000000000001</v>
      </c>
      <c r="I60" s="572">
        <f t="shared" si="612"/>
        <v>0.52</v>
      </c>
      <c r="J60" s="483">
        <f t="shared" si="94"/>
        <v>6.133</v>
      </c>
      <c r="K60" s="806">
        <f t="shared" si="612"/>
        <v>1313</v>
      </c>
      <c r="L60" s="309"/>
      <c r="M60" s="164">
        <f t="shared" si="325"/>
        <v>6.133</v>
      </c>
      <c r="N60" s="575">
        <f t="shared" si="326"/>
        <v>-3.4313412097976363</v>
      </c>
      <c r="O60" s="572">
        <f t="shared" si="327"/>
        <v>2.1190184257079721</v>
      </c>
      <c r="P60" s="576">
        <f t="shared" si="328"/>
        <v>-1.5790600818920282</v>
      </c>
      <c r="Q60" s="528">
        <f t="shared" si="144"/>
        <v>148.30267253713413</v>
      </c>
      <c r="R60" s="572">
        <f t="shared" si="95"/>
        <v>4.0329073367169492</v>
      </c>
      <c r="S60" s="577">
        <f t="shared" si="96"/>
        <v>-1.5790600818920282</v>
      </c>
      <c r="T60" s="578">
        <f t="shared" si="97"/>
        <v>2.0821352144569572</v>
      </c>
      <c r="U60" s="572">
        <f t="shared" si="98"/>
        <v>3.4538463392663661</v>
      </c>
      <c r="V60" s="579">
        <f t="shared" si="145"/>
        <v>-1.5790600818920282</v>
      </c>
      <c r="W60" s="528">
        <f t="shared" si="268"/>
        <v>58.916521356991936</v>
      </c>
      <c r="X60" s="572">
        <f t="shared" si="99"/>
        <v>4.0329073367169492</v>
      </c>
      <c r="Y60" s="573">
        <f t="shared" si="271"/>
        <v>-1.5790600818920282</v>
      </c>
      <c r="Z60" s="575">
        <f t="shared" si="329"/>
        <v>0.86509738027681615</v>
      </c>
      <c r="AA60" s="572">
        <f t="shared" si="330"/>
        <v>0.48085785512372042</v>
      </c>
      <c r="AB60" s="572">
        <f t="shared" si="331"/>
        <v>-0.14276640292451437</v>
      </c>
      <c r="AC60" s="579">
        <f t="shared" si="100"/>
        <v>1</v>
      </c>
      <c r="AD60" s="580">
        <f t="shared" si="146"/>
        <v>0.86509738027681615</v>
      </c>
      <c r="AE60" s="572">
        <f t="shared" si="101"/>
        <v>0.48085785512372042</v>
      </c>
      <c r="AF60" s="576">
        <f t="shared" si="102"/>
        <v>-0.14276640292451437</v>
      </c>
      <c r="AG60" s="545">
        <f t="shared" si="103"/>
        <v>73.463877997535903</v>
      </c>
      <c r="AH60" s="546">
        <f t="shared" si="104"/>
        <v>30.106173333404129</v>
      </c>
      <c r="AI60" s="528">
        <f t="shared" si="105"/>
        <v>-81.792042155930915</v>
      </c>
      <c r="AJ60" s="529">
        <f t="shared" si="106"/>
        <v>119.06716395453338</v>
      </c>
      <c r="AK60" s="578">
        <f t="shared" si="247"/>
        <v>0.86368080701172301</v>
      </c>
      <c r="AL60" s="572">
        <f t="shared" si="107"/>
        <v>-0.4833975773579901</v>
      </c>
      <c r="AM60" s="577">
        <f t="shared" si="108"/>
        <v>-0.14276640292451437</v>
      </c>
      <c r="AN60" s="524">
        <f t="shared" si="109"/>
        <v>-73.546047338244804</v>
      </c>
      <c r="AO60" s="525">
        <f t="shared" si="604"/>
        <v>30.267589676579636</v>
      </c>
      <c r="AP60" s="528">
        <f t="shared" si="111"/>
        <v>-29.235508582600751</v>
      </c>
      <c r="AQ60" s="529">
        <f t="shared" si="332"/>
        <v>0.56526284332719878</v>
      </c>
      <c r="AR60" s="979"/>
      <c r="AS60" s="954">
        <f t="shared" si="524"/>
        <v>58.916521356991936</v>
      </c>
      <c r="AT60" s="950">
        <f t="shared" si="333"/>
        <v>-1.3724289793722455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6.133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1313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33</v>
      </c>
      <c r="JN60" s="960">
        <f>($JO60-SMALL($JO$9:$JO$88,1))/((Settings!$C$19/2)-((Settings!$C$19/2)-LARGE($JO$9:$JO$88,1))-SMALL($JO$9:$JO$88,1))</f>
        <v>0.99105259631423293</v>
      </c>
      <c r="JO60" s="162">
        <f t="shared" si="134"/>
        <v>4.0329073367169492</v>
      </c>
      <c r="JP60" s="961">
        <f t="shared" si="135"/>
        <v>-73.546047338244804</v>
      </c>
      <c r="JQ60" s="961">
        <f t="shared" si="136"/>
        <v>30.267589676579636</v>
      </c>
      <c r="JU60" s="962"/>
      <c r="JV60" s="959"/>
      <c r="JW60" s="959"/>
    </row>
    <row r="61" spans="1:284" ht="15" customHeight="1" x14ac:dyDescent="0.25">
      <c r="A61" s="75">
        <f t="shared" si="322"/>
        <v>0.02</v>
      </c>
      <c r="B61" s="578">
        <f t="shared" ref="B61:D61" si="613">IFERROR(O216+($A61*-E61),"")</f>
        <v>-3.4579547454341597</v>
      </c>
      <c r="C61" s="572">
        <f t="shared" si="613"/>
        <v>2.1409065385728132</v>
      </c>
      <c r="D61" s="576">
        <f t="shared" si="613"/>
        <v>-2.2654216054431648</v>
      </c>
      <c r="E61" s="580">
        <f t="shared" ref="E61:K61" si="614">R216</f>
        <v>-0.8720162708589988</v>
      </c>
      <c r="F61" s="572">
        <f t="shared" si="614"/>
        <v>-0.47559658140416516</v>
      </c>
      <c r="G61" s="579">
        <f t="shared" si="614"/>
        <v>0.11573899564898964</v>
      </c>
      <c r="H61" s="580">
        <f t="shared" si="614"/>
        <v>0.26450000000000001</v>
      </c>
      <c r="I61" s="572">
        <f t="shared" si="614"/>
        <v>0.52</v>
      </c>
      <c r="J61" s="483">
        <f t="shared" si="94"/>
        <v>6.1390000000000002</v>
      </c>
      <c r="K61" s="806">
        <f t="shared" si="614"/>
        <v>1313</v>
      </c>
      <c r="L61" s="309"/>
      <c r="M61" s="164">
        <f t="shared" si="325"/>
        <v>6.1390000000000002</v>
      </c>
      <c r="N61" s="575">
        <f t="shared" si="326"/>
        <v>-3.4579547454341597</v>
      </c>
      <c r="O61" s="572">
        <f t="shared" si="327"/>
        <v>2.1409065385728132</v>
      </c>
      <c r="P61" s="576">
        <f t="shared" si="328"/>
        <v>-2.2654216054431648</v>
      </c>
      <c r="Q61" s="528">
        <f t="shared" si="144"/>
        <v>148.23731107509786</v>
      </c>
      <c r="R61" s="572">
        <f t="shared" si="95"/>
        <v>4.067054441284804</v>
      </c>
      <c r="S61" s="577">
        <f t="shared" si="96"/>
        <v>-2.2654216054431648</v>
      </c>
      <c r="T61" s="578">
        <f t="shared" si="97"/>
        <v>2.1037369476120271</v>
      </c>
      <c r="U61" s="572">
        <f t="shared" si="98"/>
        <v>3.4806928453436505</v>
      </c>
      <c r="V61" s="579">
        <f t="shared" si="145"/>
        <v>-2.2654216054431648</v>
      </c>
      <c r="W61" s="528">
        <f t="shared" si="268"/>
        <v>58.851159894955671</v>
      </c>
      <c r="X61" s="572">
        <f t="shared" si="99"/>
        <v>4.067054441284804</v>
      </c>
      <c r="Y61" s="573">
        <f t="shared" si="271"/>
        <v>-2.2654216054431648</v>
      </c>
      <c r="Z61" s="575">
        <f t="shared" si="329"/>
        <v>0.8720162708589988</v>
      </c>
      <c r="AA61" s="572">
        <f t="shared" si="330"/>
        <v>0.47559658140416516</v>
      </c>
      <c r="AB61" s="572">
        <f t="shared" si="331"/>
        <v>-0.11573899564898964</v>
      </c>
      <c r="AC61" s="579">
        <f t="shared" si="100"/>
        <v>1</v>
      </c>
      <c r="AD61" s="580">
        <f t="shared" si="146"/>
        <v>0.8720162708589988</v>
      </c>
      <c r="AE61" s="572">
        <f t="shared" si="101"/>
        <v>0.47559658140416516</v>
      </c>
      <c r="AF61" s="576">
        <f t="shared" si="102"/>
        <v>-0.11573899564898964</v>
      </c>
      <c r="AG61" s="545">
        <f t="shared" si="103"/>
        <v>76.322625965776751</v>
      </c>
      <c r="AH61" s="546">
        <f t="shared" si="104"/>
        <v>29.306204704440827</v>
      </c>
      <c r="AI61" s="528">
        <f t="shared" si="105"/>
        <v>-83.353748989848683</v>
      </c>
      <c r="AJ61" s="529">
        <f t="shared" si="106"/>
        <v>118.60799566158904</v>
      </c>
      <c r="AK61" s="578">
        <f t="shared" si="247"/>
        <v>0.86340048855933393</v>
      </c>
      <c r="AL61" s="572">
        <f t="shared" si="107"/>
        <v>-0.49106423331542598</v>
      </c>
      <c r="AM61" s="577">
        <f t="shared" si="108"/>
        <v>-0.11573899564898964</v>
      </c>
      <c r="AN61" s="524">
        <f t="shared" si="109"/>
        <v>-76.737982139835736</v>
      </c>
      <c r="AO61" s="525">
        <f t="shared" si="604"/>
        <v>30.299439225530417</v>
      </c>
      <c r="AP61" s="528">
        <f t="shared" si="111"/>
        <v>-29.629315413508817</v>
      </c>
      <c r="AQ61" s="529">
        <f t="shared" si="332"/>
        <v>0.56051718452754118</v>
      </c>
      <c r="AR61" s="979"/>
      <c r="AS61" s="954">
        <f t="shared" si="524"/>
        <v>58.851159894955671</v>
      </c>
      <c r="AT61" s="950">
        <f t="shared" si="333"/>
        <v>-2.0587451130191905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6.1390000000000002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1313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39</v>
      </c>
      <c r="JN61" s="960">
        <f>($JO61-SMALL($JO$9:$JO$88,1))/((Settings!$C$19/2)-((Settings!$C$19/2)-LARGE($JO$9:$JO$88,1))-SMALL($JO$9:$JO$88,1))</f>
        <v>0.99999983943910264</v>
      </c>
      <c r="JO61" s="162">
        <f t="shared" si="134"/>
        <v>4.067054441284804</v>
      </c>
      <c r="JP61" s="961">
        <f t="shared" si="135"/>
        <v>-76.737982139835736</v>
      </c>
      <c r="JQ61" s="961">
        <f t="shared" si="136"/>
        <v>30.299439225530417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-1.7214532607844539</v>
      </c>
      <c r="C62" s="572">
        <f t="shared" si="615"/>
        <v>2.0811360270573713</v>
      </c>
      <c r="D62" s="576">
        <f t="shared" si="615"/>
        <v>-0.11394958835336132</v>
      </c>
      <c r="E62" s="580">
        <f t="shared" ref="E62:K62" si="616">R217</f>
        <v>-0.11067939872218902</v>
      </c>
      <c r="F62" s="572">
        <f t="shared" si="616"/>
        <v>0.13380490157997749</v>
      </c>
      <c r="G62" s="579">
        <f t="shared" si="616"/>
        <v>0.98480775738804338</v>
      </c>
      <c r="H62" s="580">
        <f t="shared" si="616"/>
        <v>0.255</v>
      </c>
      <c r="I62" s="572">
        <f t="shared" si="616"/>
        <v>0.41499999999999992</v>
      </c>
      <c r="J62" s="483">
        <f t="shared" si="94"/>
        <v>6.2149999999999999</v>
      </c>
      <c r="K62" s="806" t="str">
        <f t="shared" si="616"/>
        <v>CPS-32193r1</v>
      </c>
      <c r="L62" s="309"/>
      <c r="M62" s="164">
        <f t="shared" si="325"/>
        <v>6.2149999999999999</v>
      </c>
      <c r="N62" s="575">
        <f t="shared" si="326"/>
        <v>-1.7214532607844539</v>
      </c>
      <c r="O62" s="572">
        <f t="shared" si="327"/>
        <v>2.0811360270573713</v>
      </c>
      <c r="P62" s="576">
        <f t="shared" si="328"/>
        <v>-0.11394958835336132</v>
      </c>
      <c r="Q62" s="528">
        <f t="shared" si="144"/>
        <v>129.59653159859965</v>
      </c>
      <c r="R62" s="572">
        <f t="shared" si="95"/>
        <v>2.7008384794692128</v>
      </c>
      <c r="S62" s="577">
        <f t="shared" si="96"/>
        <v>-0.11394958835336132</v>
      </c>
      <c r="T62" s="578">
        <f t="shared" si="97"/>
        <v>2.0625738369385127</v>
      </c>
      <c r="U62" s="572">
        <f t="shared" si="98"/>
        <v>1.7436506701051997</v>
      </c>
      <c r="V62" s="579">
        <f t="shared" si="145"/>
        <v>-0.11394958835336132</v>
      </c>
      <c r="W62" s="528">
        <f t="shared" si="268"/>
        <v>40.210380418457461</v>
      </c>
      <c r="X62" s="572">
        <f t="shared" si="99"/>
        <v>2.7008384794692128</v>
      </c>
      <c r="Y62" s="573">
        <f t="shared" si="271"/>
        <v>-0.11394958835336132</v>
      </c>
      <c r="Z62" s="575">
        <f t="shared" si="329"/>
        <v>0.11067939872218902</v>
      </c>
      <c r="AA62" s="572">
        <f t="shared" si="330"/>
        <v>-0.13380490157997749</v>
      </c>
      <c r="AB62" s="572">
        <f t="shared" si="331"/>
        <v>-0.98480775738804338</v>
      </c>
      <c r="AC62" s="579">
        <f t="shared" si="100"/>
        <v>1</v>
      </c>
      <c r="AD62" s="580">
        <f t="shared" si="146"/>
        <v>0.11067939872218902</v>
      </c>
      <c r="AE62" s="572">
        <f t="shared" si="101"/>
        <v>-0.13380490157997749</v>
      </c>
      <c r="AF62" s="576">
        <f t="shared" si="102"/>
        <v>-0.98480775738804338</v>
      </c>
      <c r="AG62" s="545">
        <f t="shared" si="103"/>
        <v>-7.7373441969991337</v>
      </c>
      <c r="AH62" s="546">
        <f t="shared" si="104"/>
        <v>83.645518601304261</v>
      </c>
      <c r="AI62" s="528">
        <f t="shared" si="105"/>
        <v>-9.9999985561788325</v>
      </c>
      <c r="AJ62" s="529">
        <f t="shared" si="106"/>
        <v>39.596531598599647</v>
      </c>
      <c r="AK62" s="578">
        <f t="shared" si="247"/>
        <v>-2.7755575615628914E-17</v>
      </c>
      <c r="AL62" s="572">
        <f t="shared" si="107"/>
        <v>-0.17364815285033341</v>
      </c>
      <c r="AM62" s="577">
        <f t="shared" si="108"/>
        <v>-0.98480775738804338</v>
      </c>
      <c r="AN62" s="524">
        <f t="shared" si="109"/>
        <v>-9.9999985561788503</v>
      </c>
      <c r="AO62" s="525">
        <f t="shared" si="604"/>
        <v>0</v>
      </c>
      <c r="AP62" s="528">
        <f t="shared" si="111"/>
        <v>-90</v>
      </c>
      <c r="AQ62" s="529">
        <f t="shared" si="332"/>
        <v>0.84402001322282572</v>
      </c>
      <c r="AR62" s="979"/>
      <c r="AS62" s="954">
        <f t="shared" si="524"/>
        <v>40.210380418457461</v>
      </c>
      <c r="AT62" s="950">
        <f t="shared" si="333"/>
        <v>0.10567188981818139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6.2149999999999999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0.115</v>
      </c>
      <c r="IK62" s="677" cm="1">
        <f t="array" ref="IK62">IFERROR(ROUND(VALUE(IF($IJ62&lt;1,$IJ62+LARGE((IF($M$9:$M$150="",0,$M$9:$M$150)-MOD(IF($M$9:$M$150="",0,$M$9:$M$150),1)),1),$IJ62)),4),"")</f>
        <v>6.1150000000000002</v>
      </c>
      <c r="IL62" s="482">
        <f t="shared" si="485"/>
        <v>1313</v>
      </c>
      <c r="IM62" s="482" t="str">
        <f t="shared" si="242"/>
        <v>CPS-32193r1</v>
      </c>
      <c r="IN62" s="670">
        <f t="shared" si="486"/>
        <v>19.735748592819931</v>
      </c>
      <c r="IO62" s="702">
        <v>1.5930537041631401E-2</v>
      </c>
      <c r="IP62" s="5">
        <f t="shared" si="487"/>
        <v>0.32</v>
      </c>
      <c r="IQ62" s="714">
        <v>160</v>
      </c>
      <c r="IR62" s="9">
        <f t="shared" si="488"/>
        <v>-2.7034384897730828</v>
      </c>
      <c r="IS62" s="5">
        <f t="shared" si="489"/>
        <v>-9.3032156976822891E-2</v>
      </c>
      <c r="IT62" s="5">
        <f t="shared" si="490"/>
        <v>0.26450000000000001</v>
      </c>
      <c r="IU62" s="5">
        <f t="shared" si="491"/>
        <v>0.25209730708884343</v>
      </c>
      <c r="IV62" s="670">
        <f t="shared" si="492"/>
        <v>11.459520583760254</v>
      </c>
      <c r="IW62" s="9">
        <f t="shared" si="493"/>
        <v>-2.7008384794692128</v>
      </c>
      <c r="IX62" s="5">
        <f t="shared" si="494"/>
        <v>-0.11394958835336132</v>
      </c>
      <c r="IY62" s="5">
        <f t="shared" si="495"/>
        <v>0.255</v>
      </c>
      <c r="IZ62" s="5">
        <f t="shared" si="496"/>
        <v>0.255</v>
      </c>
      <c r="JA62" s="705">
        <f t="shared" si="497"/>
        <v>9.9999985561788503</v>
      </c>
      <c r="JM62" s="489">
        <f t="shared" si="133"/>
        <v>15</v>
      </c>
      <c r="JN62" s="960">
        <f>($JO62-SMALL($JO$9:$JO$88,1))/((Settings!$C$19/2)-((Settings!$C$19/2)-LARGE($JO$9:$JO$88,1))-SMALL($JO$9:$JO$88,1))</f>
        <v>0.64202318150163862</v>
      </c>
      <c r="JO62" s="162">
        <f t="shared" si="134"/>
        <v>2.7008384794692128</v>
      </c>
      <c r="JP62" s="961">
        <f t="shared" si="135"/>
        <v>-9.9999985561788503</v>
      </c>
      <c r="JQ62" s="961">
        <f t="shared" si="136"/>
        <v>0</v>
      </c>
      <c r="JU62" s="962"/>
      <c r="JV62" s="959"/>
      <c r="JW62" s="959"/>
    </row>
    <row r="63" spans="1:284" ht="15" customHeight="1" x14ac:dyDescent="0.25">
      <c r="A63" s="75">
        <f t="shared" si="322"/>
        <v>0.02</v>
      </c>
      <c r="B63" s="578">
        <f t="shared" ref="B63:D63" si="617">IFERROR(O218+($A63*-E63),"")</f>
        <v>-2.3297910855394677</v>
      </c>
      <c r="C63" s="572">
        <f t="shared" si="617"/>
        <v>2.4221923172969833</v>
      </c>
      <c r="D63" s="576">
        <f t="shared" si="617"/>
        <v>-0.39983464962177584</v>
      </c>
      <c r="E63" s="580">
        <f t="shared" ref="E63:K63" si="618">R218</f>
        <v>-0.82180725795172715</v>
      </c>
      <c r="F63" s="572">
        <f t="shared" si="618"/>
        <v>-0.49967778199328045</v>
      </c>
      <c r="G63" s="579">
        <f t="shared" si="618"/>
        <v>0.2737790075227452</v>
      </c>
      <c r="H63" s="580">
        <f t="shared" si="618"/>
        <v>0.26450000000000001</v>
      </c>
      <c r="I63" s="572">
        <f t="shared" si="618"/>
        <v>0.52</v>
      </c>
      <c r="J63" s="483">
        <f t="shared" si="94"/>
        <v>6.2210000000000001</v>
      </c>
      <c r="K63" s="806">
        <f t="shared" si="618"/>
        <v>1313</v>
      </c>
      <c r="L63" s="309"/>
      <c r="M63" s="164">
        <f t="shared" si="325"/>
        <v>6.2210000000000001</v>
      </c>
      <c r="N63" s="575">
        <f t="shared" si="326"/>
        <v>-2.3297910855394677</v>
      </c>
      <c r="O63" s="572">
        <f t="shared" si="327"/>
        <v>2.4221923172969833</v>
      </c>
      <c r="P63" s="576">
        <f t="shared" si="328"/>
        <v>-0.39983464962177584</v>
      </c>
      <c r="Q63" s="528">
        <f t="shared" si="144"/>
        <v>133.88603703761839</v>
      </c>
      <c r="R63" s="572">
        <f t="shared" si="95"/>
        <v>3.3607948649436641</v>
      </c>
      <c r="S63" s="577">
        <f t="shared" si="96"/>
        <v>-0.39983464962177584</v>
      </c>
      <c r="T63" s="578">
        <f t="shared" si="97"/>
        <v>2.3970931396946207</v>
      </c>
      <c r="U63" s="572">
        <f t="shared" si="98"/>
        <v>2.3556074808551375</v>
      </c>
      <c r="V63" s="579">
        <f t="shared" si="145"/>
        <v>-0.39983464962177584</v>
      </c>
      <c r="W63" s="528">
        <f t="shared" si="268"/>
        <v>44.499885857476201</v>
      </c>
      <c r="X63" s="572">
        <f t="shared" si="99"/>
        <v>3.3607948649436641</v>
      </c>
      <c r="Y63" s="573">
        <f t="shared" si="271"/>
        <v>-0.39983464962177584</v>
      </c>
      <c r="Z63" s="575">
        <f t="shared" si="329"/>
        <v>0.82180725795172715</v>
      </c>
      <c r="AA63" s="572">
        <f t="shared" si="330"/>
        <v>0.49967778199328045</v>
      </c>
      <c r="AB63" s="572">
        <f t="shared" si="331"/>
        <v>-0.2737790075227452</v>
      </c>
      <c r="AC63" s="579">
        <f t="shared" si="100"/>
        <v>1</v>
      </c>
      <c r="AD63" s="580">
        <f t="shared" si="146"/>
        <v>0.82180725795172715</v>
      </c>
      <c r="AE63" s="572">
        <f t="shared" si="101"/>
        <v>0.49967778199328045</v>
      </c>
      <c r="AF63" s="576">
        <f t="shared" si="102"/>
        <v>-0.2737790075227452</v>
      </c>
      <c r="AG63" s="545">
        <f t="shared" si="103"/>
        <v>61.28117571237491</v>
      </c>
      <c r="AH63" s="546">
        <f t="shared" si="104"/>
        <v>34.733881447189169</v>
      </c>
      <c r="AI63" s="528">
        <f t="shared" si="105"/>
        <v>-74.110735801666138</v>
      </c>
      <c r="AJ63" s="529">
        <f t="shared" si="106"/>
        <v>121.30056690123453</v>
      </c>
      <c r="AK63" s="578">
        <f t="shared" si="247"/>
        <v>0.9386827210272275</v>
      </c>
      <c r="AL63" s="572">
        <f t="shared" si="107"/>
        <v>-0.20957052341582083</v>
      </c>
      <c r="AM63" s="577">
        <f t="shared" si="108"/>
        <v>-0.2737790075227452</v>
      </c>
      <c r="AN63" s="524">
        <f t="shared" si="109"/>
        <v>-37.433091893206075</v>
      </c>
      <c r="AO63" s="525">
        <f t="shared" si="604"/>
        <v>20.168499582859148</v>
      </c>
      <c r="AP63" s="528">
        <f t="shared" si="111"/>
        <v>-12.585470136383845</v>
      </c>
      <c r="AQ63" s="529">
        <f t="shared" si="332"/>
        <v>0.67829790888815333</v>
      </c>
      <c r="AR63" s="979"/>
      <c r="AS63" s="954">
        <f t="shared" si="524"/>
        <v>44.499885857476201</v>
      </c>
      <c r="AT63" s="950">
        <f t="shared" si="333"/>
        <v>-0.18319199467177394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6.2210000000000001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0.121</v>
      </c>
      <c r="IK63" s="677" cm="1">
        <f t="array" ref="IK63">IFERROR(ROUND(VALUE(IF($IJ63&lt;1,$IJ63+LARGE((IF($M$9:$M$150="",0,$M$9:$M$150)-MOD(IF($M$9:$M$150="",0,$M$9:$M$150),1)),1),$IJ63)),4),"")</f>
        <v>6.1210000000000004</v>
      </c>
      <c r="IL63" s="482">
        <f t="shared" si="485"/>
        <v>1313</v>
      </c>
      <c r="IM63" s="482">
        <f t="shared" si="242"/>
        <v>1313</v>
      </c>
      <c r="IN63" s="670">
        <f t="shared" si="486"/>
        <v>14.991841391457257</v>
      </c>
      <c r="IO63" s="702">
        <v>2.91429440001405E-4</v>
      </c>
      <c r="IP63" s="5">
        <f t="shared" si="487"/>
        <v>0</v>
      </c>
      <c r="IQ63" s="714">
        <v>0</v>
      </c>
      <c r="IR63" s="9">
        <f t="shared" si="488"/>
        <v>-3.3584178778717111</v>
      </c>
      <c r="IS63" s="5">
        <f t="shared" si="489"/>
        <v>-0.38579491681156741</v>
      </c>
      <c r="IT63" s="5">
        <f t="shared" si="490"/>
        <v>0.26450000000000001</v>
      </c>
      <c r="IU63" s="5">
        <f t="shared" si="491"/>
        <v>0.25515599381989545</v>
      </c>
      <c r="IV63" s="670">
        <f t="shared" si="492"/>
        <v>40.714180427077785</v>
      </c>
      <c r="IW63" s="9">
        <f t="shared" si="493"/>
        <v>-3.3607948649436641</v>
      </c>
      <c r="IX63" s="5">
        <f t="shared" si="494"/>
        <v>-0.39983464962177584</v>
      </c>
      <c r="IY63" s="5">
        <f t="shared" si="495"/>
        <v>0.26450000000000001</v>
      </c>
      <c r="IZ63" s="5">
        <f t="shared" si="496"/>
        <v>0.24828157971170173</v>
      </c>
      <c r="JA63" s="705">
        <f t="shared" si="497"/>
        <v>37.433091893206075</v>
      </c>
      <c r="JM63" s="489">
        <f t="shared" si="133"/>
        <v>21</v>
      </c>
      <c r="JN63" s="960">
        <f>($JO63-SMALL($JO$9:$JO$88,1))/((Settings!$C$19/2)-((Settings!$C$19/2)-LARGE($JO$9:$JO$88,1))-SMALL($JO$9:$JO$88,1))</f>
        <v>0.81494531669809545</v>
      </c>
      <c r="JO63" s="162">
        <f t="shared" si="134"/>
        <v>3.3607948649436641</v>
      </c>
      <c r="JP63" s="961">
        <f t="shared" si="135"/>
        <v>-37.433091893206075</v>
      </c>
      <c r="JQ63" s="961">
        <f t="shared" si="136"/>
        <v>20.168499582859148</v>
      </c>
      <c r="JU63" s="962"/>
      <c r="JV63" s="959"/>
      <c r="JW63" s="959"/>
    </row>
    <row r="64" spans="1:284" ht="15" customHeight="1" x14ac:dyDescent="0.25">
      <c r="A64" s="75">
        <f t="shared" si="322"/>
        <v>0.02</v>
      </c>
      <c r="B64" s="578">
        <f t="shared" ref="B64:D64" si="619">IFERROR(O219+($A64*-E64),"")</f>
        <v>-2.7081234869623692</v>
      </c>
      <c r="C64" s="572">
        <f t="shared" si="619"/>
        <v>2.6785698050635687</v>
      </c>
      <c r="D64" s="576">
        <f t="shared" si="619"/>
        <v>-0.91883409564736451</v>
      </c>
      <c r="E64" s="580">
        <f t="shared" ref="E64:K64" si="620">R219</f>
        <v>-0.8932806835874455</v>
      </c>
      <c r="F64" s="572">
        <f t="shared" si="620"/>
        <v>-0.36699909568610439</v>
      </c>
      <c r="G64" s="579">
        <f t="shared" si="620"/>
        <v>0.2595405249573326</v>
      </c>
      <c r="H64" s="580">
        <f t="shared" si="620"/>
        <v>0.26450000000000001</v>
      </c>
      <c r="I64" s="572">
        <f t="shared" si="620"/>
        <v>0.52</v>
      </c>
      <c r="J64" s="483">
        <f t="shared" si="94"/>
        <v>6.2270000000000003</v>
      </c>
      <c r="K64" s="806">
        <f t="shared" si="620"/>
        <v>1313</v>
      </c>
      <c r="L64" s="309"/>
      <c r="M64" s="164">
        <f t="shared" si="325"/>
        <v>6.2270000000000003</v>
      </c>
      <c r="N64" s="575">
        <f t="shared" si="326"/>
        <v>-2.7081234869623692</v>
      </c>
      <c r="O64" s="572">
        <f t="shared" si="327"/>
        <v>2.6785698050635687</v>
      </c>
      <c r="P64" s="576">
        <f t="shared" si="328"/>
        <v>-0.91883409564736451</v>
      </c>
      <c r="Q64" s="528">
        <f t="shared" si="144"/>
        <v>135.31434577029918</v>
      </c>
      <c r="R64" s="572">
        <f t="shared" si="95"/>
        <v>3.8090246811008597</v>
      </c>
      <c r="S64" s="577">
        <f t="shared" si="96"/>
        <v>-0.91883409564736451</v>
      </c>
      <c r="T64" s="578">
        <f t="shared" si="97"/>
        <v>2.6494026578312013</v>
      </c>
      <c r="U64" s="572">
        <f t="shared" si="98"/>
        <v>2.7366648640110234</v>
      </c>
      <c r="V64" s="579">
        <f t="shared" si="145"/>
        <v>-0.91883409564736451</v>
      </c>
      <c r="W64" s="528">
        <f t="shared" si="268"/>
        <v>45.928194590156991</v>
      </c>
      <c r="X64" s="572">
        <f t="shared" si="99"/>
        <v>3.8090246811008597</v>
      </c>
      <c r="Y64" s="573">
        <f t="shared" si="271"/>
        <v>-0.91883409564736451</v>
      </c>
      <c r="Z64" s="575">
        <f t="shared" si="329"/>
        <v>0.8932806835874455</v>
      </c>
      <c r="AA64" s="572">
        <f t="shared" si="330"/>
        <v>0.36699909568610439</v>
      </c>
      <c r="AB64" s="572">
        <f t="shared" si="331"/>
        <v>-0.2595405249573326</v>
      </c>
      <c r="AC64" s="579">
        <f t="shared" si="100"/>
        <v>1</v>
      </c>
      <c r="AD64" s="580">
        <f t="shared" si="146"/>
        <v>0.8932806835874455</v>
      </c>
      <c r="AE64" s="572">
        <f t="shared" si="101"/>
        <v>0.36699909568610439</v>
      </c>
      <c r="AF64" s="576">
        <f t="shared" si="102"/>
        <v>-0.2595405249573326</v>
      </c>
      <c r="AG64" s="545">
        <f t="shared" si="103"/>
        <v>54.732178358036904</v>
      </c>
      <c r="AH64" s="546">
        <f t="shared" si="104"/>
        <v>26.711564069843792</v>
      </c>
      <c r="AI64" s="528">
        <f t="shared" si="105"/>
        <v>-74.957199723941599</v>
      </c>
      <c r="AJ64" s="529">
        <f t="shared" si="106"/>
        <v>112.33502018294533</v>
      </c>
      <c r="AK64" s="578">
        <f t="shared" si="247"/>
        <v>0.88909729412585292</v>
      </c>
      <c r="AL64" s="572">
        <f t="shared" si="107"/>
        <v>-0.37702084489184251</v>
      </c>
      <c r="AM64" s="577">
        <f t="shared" si="108"/>
        <v>-0.2595405249573326</v>
      </c>
      <c r="AN64" s="524">
        <f t="shared" si="109"/>
        <v>-55.456540354488425</v>
      </c>
      <c r="AO64" s="525">
        <f t="shared" si="604"/>
        <v>27.239968441997917</v>
      </c>
      <c r="AP64" s="528">
        <f t="shared" si="111"/>
        <v>-22.979325587353852</v>
      </c>
      <c r="AQ64" s="529">
        <f t="shared" si="332"/>
        <v>0.59848489028160867</v>
      </c>
      <c r="AR64" s="979"/>
      <c r="AS64" s="954">
        <f t="shared" si="524"/>
        <v>45.928194590156991</v>
      </c>
      <c r="AT64" s="950">
        <f t="shared" si="333"/>
        <v>-0.70318332176172427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6.2270000000000003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0.127</v>
      </c>
      <c r="IK64" s="677" cm="1">
        <f t="array" ref="IK64">IFERROR(ROUND(VALUE(IF($IJ64&lt;1,$IJ64+LARGE((IF($M$9:$M$150="",0,$M$9:$M$150)-MOD(IF($M$9:$M$150="",0,$M$9:$M$150),1)),1),$IJ64)),4),"")</f>
        <v>6.1269999999999998</v>
      </c>
      <c r="IL64" s="482">
        <f t="shared" si="485"/>
        <v>1313</v>
      </c>
      <c r="IM64" s="482">
        <f t="shared" si="242"/>
        <v>1313</v>
      </c>
      <c r="IN64" s="670">
        <f t="shared" si="486"/>
        <v>13.170551275949606</v>
      </c>
      <c r="IO64" s="702">
        <v>7.7684485219640996E-4</v>
      </c>
      <c r="IP64" s="5">
        <f t="shared" si="487"/>
        <v>0</v>
      </c>
      <c r="IQ64" s="714">
        <v>0</v>
      </c>
      <c r="IR64" s="9">
        <f t="shared" si="488"/>
        <v>-3.8034393983574231</v>
      </c>
      <c r="IS64" s="5">
        <f t="shared" si="489"/>
        <v>-0.90806386364772418</v>
      </c>
      <c r="IT64" s="5">
        <f t="shared" si="490"/>
        <v>0.26450000000000001</v>
      </c>
      <c r="IU64" s="5">
        <f t="shared" si="491"/>
        <v>0.24464408523331413</v>
      </c>
      <c r="IV64" s="670">
        <f t="shared" si="492"/>
        <v>57.712480946881278</v>
      </c>
      <c r="IW64" s="9">
        <f t="shared" si="493"/>
        <v>-3.8090246811008597</v>
      </c>
      <c r="IX64" s="5">
        <f t="shared" si="494"/>
        <v>-0.91883409564736451</v>
      </c>
      <c r="IY64" s="5">
        <f t="shared" si="495"/>
        <v>0.26450000000000001</v>
      </c>
      <c r="IZ64" s="5">
        <f t="shared" si="496"/>
        <v>0.23516623429628811</v>
      </c>
      <c r="JA64" s="705">
        <f t="shared" si="497"/>
        <v>55.456540354488425</v>
      </c>
      <c r="JM64" s="489">
        <f t="shared" si="133"/>
        <v>27</v>
      </c>
      <c r="JN64" s="960">
        <f>($JO64-SMALL($JO$9:$JO$88,1))/((Settings!$C$19/2)-((Settings!$C$19/2)-LARGE($JO$9:$JO$88,1))-SMALL($JO$9:$JO$88,1))</f>
        <v>0.93239073972085385</v>
      </c>
      <c r="JO64" s="162">
        <f t="shared" si="134"/>
        <v>3.8090246811008597</v>
      </c>
      <c r="JP64" s="961">
        <f t="shared" si="135"/>
        <v>-55.456540354488425</v>
      </c>
      <c r="JQ64" s="961">
        <f t="shared" si="136"/>
        <v>27.239968441997917</v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/>
      <c r="IP65" s="5" t="str">
        <f t="shared" si="487"/>
        <v/>
      </c>
      <c r="IQ65" s="714"/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/>
      <c r="IP66" s="5" t="str">
        <f t="shared" si="487"/>
        <v/>
      </c>
      <c r="IQ66" s="714"/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/>
      <c r="IP67" s="5" t="str">
        <f t="shared" si="487"/>
        <v/>
      </c>
      <c r="IQ67" s="714"/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 t="shared" si="488"/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/>
      <c r="IP78" s="5" t="str">
        <f t="shared" si="715"/>
        <v/>
      </c>
      <c r="IQ78" s="714"/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0.24880075038306318</v>
      </c>
      <c r="D164" s="647">
        <v>-0.27340082457688691</v>
      </c>
      <c r="E164" s="648">
        <v>-0.90630781366099966</v>
      </c>
      <c r="F164" s="646">
        <v>-5.5162737096161395E-2</v>
      </c>
      <c r="G164" s="649">
        <v>0.41900264836045925</v>
      </c>
      <c r="H164" s="648">
        <v>0.219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1113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0.24880075038306318</v>
      </c>
      <c r="Q164" s="162">
        <f t="shared" ref="Q164:Q195" si="1326">IFERROR(INDEX(D$164:D$305,MATCH($W164,$J$164:$J$305,0)),"")</f>
        <v>-0.27340082457688691</v>
      </c>
      <c r="R164" s="162">
        <f>IFERROR(IF($L164="Y",-1*INDEX(E$164:E$305,MATCH($W164,$J$164:$J$305,0)),INDEX(E$164:E$305,MATCH($W164,$J$164:$J$305,0))),"")</f>
        <v>-0.90630781366099966</v>
      </c>
      <c r="S164" s="162">
        <f t="shared" ref="S164:S227" si="1327">IFERROR(IF($L164="Y",-1*INDEX(F$164:F$305,MATCH($W164,$J$164:$J$305,0)),INDEX(F$164:F$305,MATCH($W164,$J$164:$J$305,0))),"")</f>
        <v>-5.5162737096161395E-2</v>
      </c>
      <c r="T164" s="162">
        <f t="shared" ref="T164:T227" si="1328">IFERROR(IF($L164="Y",-1*INDEX(G$164:G$305,MATCH($W164,$J$164:$J$305,0)),INDEX(G$164:G$305,MATCH($W164,$J$164:$J$305,0))),"")</f>
        <v>0.41900264836045925</v>
      </c>
      <c r="U164" s="162">
        <f>IFERROR(IF(ISNUMBER(MATCH($X164,Settings!$AK$52:$AK$60,0)),INDEX(Settings!$AO$14:$AO$60,MATCH($X164,Settings!$AK$14:$AK$60,0))/2,INDEX(Settings!$AM$14:$AM$60,MATCH($X164,Settings!$AK$14:$AK$60,0))/2),"")</f>
        <v>0.2165</v>
      </c>
      <c r="V164" s="162">
        <f t="shared" ref="V164:V195" si="1329">IFERROR(INDEX(I$164:I$305,MATCH($W164,$J$164:$J$305,0)),"")</f>
        <v>0.52</v>
      </c>
      <c r="W164" s="75" cm="1">
        <f t="array" ref="W164:W219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1113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7.5365923653335381E-18</v>
      </c>
      <c r="C165" s="651">
        <v>0.84310254279726915</v>
      </c>
      <c r="D165" s="652">
        <v>-0.20609999999999995</v>
      </c>
      <c r="E165" s="653">
        <v>-0.95630475596303555</v>
      </c>
      <c r="F165" s="651">
        <v>-3.8162159851916365E-2</v>
      </c>
      <c r="G165" s="654">
        <v>0.28987042497970711</v>
      </c>
      <c r="H165" s="653">
        <v>0.219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1113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7.5365923653335381E-18</v>
      </c>
      <c r="P165" s="162">
        <f t="shared" si="1325"/>
        <v>0.84310254279726915</v>
      </c>
      <c r="Q165" s="162">
        <f t="shared" si="1326"/>
        <v>-0.20609999999999995</v>
      </c>
      <c r="R165" s="162">
        <f t="shared" ref="R165:R228" si="1331">IFERROR(IF($L165="Y",-1*INDEX(E$164:E$305,MATCH($W165,$J$164:$J$305,0)),INDEX(E$164:E$305,MATCH($W165,$J$164:$J$305,0))),"")</f>
        <v>-0.95630475596303555</v>
      </c>
      <c r="S165" s="162">
        <f t="shared" si="1327"/>
        <v>-3.8162159851916365E-2</v>
      </c>
      <c r="T165" s="162">
        <f t="shared" si="1328"/>
        <v>0.28987042497970711</v>
      </c>
      <c r="U165" s="162">
        <f>IFERROR(IF(ISNUMBER(MATCH($X165,Settings!$AK$52:$AK$60,0)),INDEX(Settings!$AO$14:$AO$60,MATCH($X165,Settings!$AK$14:$AK$60,0))/2,INDEX(Settings!$AM$14:$AM$60,MATCH($X165,Settings!$AK$14:$AK$60,0))/2),"")</f>
        <v>0.2165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1113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-2.1854783949314106E-15</v>
      </c>
      <c r="C166" s="651">
        <v>1.401904228143152</v>
      </c>
      <c r="D166" s="652">
        <v>-0.13149999999999831</v>
      </c>
      <c r="E166" s="653">
        <v>-0.95630475596303555</v>
      </c>
      <c r="F166" s="651">
        <v>-3.8162159851916365E-2</v>
      </c>
      <c r="G166" s="654">
        <v>0.28987042497970711</v>
      </c>
      <c r="H166" s="653">
        <v>0.219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1113</v>
      </c>
      <c r="L166" s="683"/>
      <c r="M166" s="934"/>
      <c r="N166" s="31" t="str">
        <f t="shared" si="1330"/>
        <v>Y</v>
      </c>
      <c r="O166" s="162">
        <f t="shared" si="1324"/>
        <v>-2.1854783949314106E-15</v>
      </c>
      <c r="P166" s="162">
        <f t="shared" si="1325"/>
        <v>1.401904228143152</v>
      </c>
      <c r="Q166" s="162">
        <f t="shared" si="1326"/>
        <v>-0.13149999999999831</v>
      </c>
      <c r="R166" s="162">
        <f>IFERROR(IF($L166="Y",-1*INDEX(E$164:E$305,MATCH($W166,$J$164:$J$305,0)),INDEX(E$164:E$305,MATCH($W166,$J$164:$J$305,0))),"")</f>
        <v>-0.95630475596303555</v>
      </c>
      <c r="S166" s="162">
        <f t="shared" si="1327"/>
        <v>-3.8162159851916365E-2</v>
      </c>
      <c r="T166" s="162">
        <f t="shared" si="1328"/>
        <v>0.28987042497970711</v>
      </c>
      <c r="U166" s="162">
        <f>IFERROR(IF(ISNUMBER(MATCH($X166,Settings!$AK$52:$AK$60,0)),INDEX(Settings!$AO$14:$AO$60,MATCH($X166,Settings!$AK$14:$AK$60,0))/2,INDEX(Settings!$AM$14:$AM$60,MATCH($X166,Settings!$AK$14:$AK$60,0))/2),"")</f>
        <v>0.2165</v>
      </c>
      <c r="V166" s="162">
        <f t="shared" si="1329"/>
        <v>0.52</v>
      </c>
      <c r="W166" s="75">
        <v>1.107</v>
      </c>
      <c r="X166" s="937">
        <f t="shared" si="1332"/>
        <v>1113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1.3872665592826337E-17</v>
      </c>
      <c r="C167" s="651">
        <v>1.9606059131874338</v>
      </c>
      <c r="D167" s="652">
        <v>-5.6900171610917566E-2</v>
      </c>
      <c r="E167" s="653">
        <v>-0.95630476848795665</v>
      </c>
      <c r="F167" s="651">
        <v>-3.8162154504627892E-2</v>
      </c>
      <c r="G167" s="654">
        <v>0.28987038436301249</v>
      </c>
      <c r="H167" s="653">
        <v>0.219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1113</v>
      </c>
      <c r="L167" s="683"/>
      <c r="M167" s="934"/>
      <c r="N167" s="31" t="str">
        <f t="shared" si="1330"/>
        <v>Y</v>
      </c>
      <c r="O167" s="162">
        <f t="shared" si="1324"/>
        <v>1.3872665592826337E-17</v>
      </c>
      <c r="P167" s="162">
        <f t="shared" si="1325"/>
        <v>1.9606059131874338</v>
      </c>
      <c r="Q167" s="162">
        <f t="shared" si="1326"/>
        <v>-5.6900171610917566E-2</v>
      </c>
      <c r="R167" s="162">
        <f>IFERROR(IF($L167="Y",-1*INDEX(E$164:E$305,MATCH($W167,$J$164:$J$305,0)),INDEX(E$164:E$305,MATCH($W167,$J$164:$J$305,0))),"")</f>
        <v>-0.95630476848795665</v>
      </c>
      <c r="S167" s="162">
        <f t="shared" si="1327"/>
        <v>-3.8162154504627892E-2</v>
      </c>
      <c r="T167" s="162">
        <f t="shared" si="1328"/>
        <v>0.28987038436301249</v>
      </c>
      <c r="U167" s="162">
        <f>IFERROR(IF(ISNUMBER(MATCH($X167,Settings!$AK$52:$AK$60,0)),INDEX(Settings!$AO$14:$AO$60,MATCH($X167,Settings!$AK$14:$AK$60,0))/2,INDEX(Settings!$AM$14:$AM$60,MATCH($X167,Settings!$AK$14:$AK$60,0))/2),"")</f>
        <v>0.2165</v>
      </c>
      <c r="V167" s="162">
        <f t="shared" si="1329"/>
        <v>0.52</v>
      </c>
      <c r="W167" s="75">
        <v>1.1100000000000001</v>
      </c>
      <c r="X167" s="937">
        <f t="shared" si="1332"/>
        <v>1113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8.5605200870273231E-3</v>
      </c>
      <c r="C168" s="651">
        <v>2.5841936150209004</v>
      </c>
      <c r="D168" s="652">
        <v>-6.9500000000000006E-2</v>
      </c>
      <c r="E168" s="653">
        <v>-0.95570275918628433</v>
      </c>
      <c r="F168" s="651">
        <v>5.9339246813211524E-2</v>
      </c>
      <c r="G168" s="654">
        <v>0.28828994063505559</v>
      </c>
      <c r="H168" s="653">
        <v>0.26600000000000001</v>
      </c>
      <c r="I168" s="942">
        <v>0.52</v>
      </c>
      <c r="J168" s="946">
        <v>1.1140000000000001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1313</v>
      </c>
      <c r="L168" s="683"/>
      <c r="M168" s="934"/>
      <c r="N168" s="31" t="str">
        <f t="shared" si="1330"/>
        <v>Y</v>
      </c>
      <c r="O168" s="162">
        <f t="shared" si="1324"/>
        <v>8.5605200870273231E-3</v>
      </c>
      <c r="P168" s="162">
        <f t="shared" si="1325"/>
        <v>2.5841936150209004</v>
      </c>
      <c r="Q168" s="162">
        <f t="shared" si="1326"/>
        <v>-6.9500000000000006E-2</v>
      </c>
      <c r="R168" s="162">
        <f t="shared" si="1331"/>
        <v>-0.95570275918628433</v>
      </c>
      <c r="S168" s="162">
        <f t="shared" si="1327"/>
        <v>5.9339246813211524E-2</v>
      </c>
      <c r="T168" s="162">
        <f t="shared" si="1328"/>
        <v>0.28828994063505559</v>
      </c>
      <c r="U168" s="162">
        <f>IFERROR(IF(ISNUMBER(MATCH($X168,Settings!$AK$52:$AK$60,0)),INDEX(Settings!$AO$14:$AO$60,MATCH($X168,Settings!$AK$14:$AK$60,0))/2,INDEX(Settings!$AM$14:$AM$60,MATCH($X168,Settings!$AK$14:$AK$60,0))/2),"")</f>
        <v>0.26450000000000001</v>
      </c>
      <c r="V168" s="162">
        <f t="shared" si="1329"/>
        <v>0.52</v>
      </c>
      <c r="W168" s="75">
        <v>1.1140000000000001</v>
      </c>
      <c r="X168" s="937">
        <f t="shared" si="1332"/>
        <v>1313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4.0311400159025547E-2</v>
      </c>
      <c r="C169" s="651">
        <v>3.2671611757539605</v>
      </c>
      <c r="D169" s="652">
        <v>-0.31440094823326009</v>
      </c>
      <c r="E169" s="653">
        <v>-0.96189602391916296</v>
      </c>
      <c r="F169" s="651">
        <v>0.17426819322275297</v>
      </c>
      <c r="G169" s="654">
        <v>0.21068136130038284</v>
      </c>
      <c r="H169" s="653">
        <v>0.26600000000000001</v>
      </c>
      <c r="I169" s="942">
        <v>0.52</v>
      </c>
      <c r="J169" s="946">
        <v>1.1200000000000001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1313</v>
      </c>
      <c r="L169" s="683"/>
      <c r="M169" s="934"/>
      <c r="N169" s="31" t="str">
        <f t="shared" si="1330"/>
        <v>Y</v>
      </c>
      <c r="O169" s="162">
        <f t="shared" si="1324"/>
        <v>4.0311400159025547E-2</v>
      </c>
      <c r="P169" s="162">
        <f t="shared" si="1325"/>
        <v>3.2671611757539605</v>
      </c>
      <c r="Q169" s="162">
        <f t="shared" si="1326"/>
        <v>-0.31440094823326009</v>
      </c>
      <c r="R169" s="162">
        <f t="shared" si="1331"/>
        <v>-0.96189602391916296</v>
      </c>
      <c r="S169" s="162">
        <f t="shared" si="1327"/>
        <v>0.17426819322275297</v>
      </c>
      <c r="T169" s="162">
        <f t="shared" si="1328"/>
        <v>0.21068136130038284</v>
      </c>
      <c r="U169" s="162">
        <f>IFERROR(IF(ISNUMBER(MATCH($X169,Settings!$AK$52:$AK$60,0)),INDEX(Settings!$AO$14:$AO$60,MATCH($X169,Settings!$AK$14:$AK$60,0))/2,INDEX(Settings!$AM$14:$AM$60,MATCH($X169,Settings!$AK$14:$AK$60,0))/2),"")</f>
        <v>0.26450000000000001</v>
      </c>
      <c r="V169" s="162">
        <f t="shared" si="1329"/>
        <v>0.52</v>
      </c>
      <c r="W169" s="75">
        <v>1.1200000000000001</v>
      </c>
      <c r="X169" s="937">
        <f t="shared" si="1332"/>
        <v>1313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7.755257095494357E-2</v>
      </c>
      <c r="C170" s="651">
        <v>3.7568109518973665</v>
      </c>
      <c r="D170" s="652">
        <v>-0.80250242034729946</v>
      </c>
      <c r="E170" s="653">
        <v>-0.92351444528805571</v>
      </c>
      <c r="F170" s="651">
        <v>0.32129738505634142</v>
      </c>
      <c r="G170" s="654">
        <v>0.20949715916988443</v>
      </c>
      <c r="H170" s="653">
        <v>0.26600000000000001</v>
      </c>
      <c r="I170" s="942">
        <v>0.52</v>
      </c>
      <c r="J170" s="946">
        <v>1.1259999999999999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1313</v>
      </c>
      <c r="L170" s="683"/>
      <c r="M170" s="934"/>
      <c r="N170" s="31" t="str">
        <f t="shared" si="1330"/>
        <v>Y</v>
      </c>
      <c r="O170" s="162">
        <f t="shared" si="1324"/>
        <v>7.755257095494357E-2</v>
      </c>
      <c r="P170" s="162">
        <f t="shared" si="1325"/>
        <v>3.7568109518973665</v>
      </c>
      <c r="Q170" s="162">
        <f t="shared" si="1326"/>
        <v>-0.80250242034729946</v>
      </c>
      <c r="R170" s="162">
        <f t="shared" si="1331"/>
        <v>-0.92351444528805571</v>
      </c>
      <c r="S170" s="162">
        <f t="shared" si="1327"/>
        <v>0.32129738505634142</v>
      </c>
      <c r="T170" s="162">
        <f t="shared" si="1328"/>
        <v>0.20949715916988443</v>
      </c>
      <c r="U170" s="162">
        <f>IFERROR(IF(ISNUMBER(MATCH($X170,Settings!$AK$52:$AK$60,0)),INDEX(Settings!$AO$14:$AO$60,MATCH($X170,Settings!$AK$14:$AK$60,0))/2,INDEX(Settings!$AM$14:$AM$60,MATCH($X170,Settings!$AK$14:$AK$60,0))/2),"")</f>
        <v>0.26450000000000001</v>
      </c>
      <c r="V170" s="162">
        <f t="shared" si="1329"/>
        <v>0.52</v>
      </c>
      <c r="W170" s="75">
        <v>1.1259999999999999</v>
      </c>
      <c r="X170" s="937">
        <f t="shared" si="1332"/>
        <v>1313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0.1006597524296521</v>
      </c>
      <c r="C171" s="651">
        <v>4.0009460222390274</v>
      </c>
      <c r="D171" s="652">
        <v>-1.4626044112149044</v>
      </c>
      <c r="E171" s="653">
        <v>-0.86682142027744857</v>
      </c>
      <c r="F171" s="651">
        <v>0.47482857213794588</v>
      </c>
      <c r="G171" s="654">
        <v>0.1521790144192903</v>
      </c>
      <c r="H171" s="653">
        <v>0.26600000000000001</v>
      </c>
      <c r="I171" s="942">
        <v>0.52</v>
      </c>
      <c r="J171" s="946">
        <v>1.1319999999999999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1313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0.1006597524296521</v>
      </c>
      <c r="P171" s="162">
        <f t="shared" si="1325"/>
        <v>4.0009460222390274</v>
      </c>
      <c r="Q171" s="162">
        <f t="shared" si="1326"/>
        <v>-1.4626044112149044</v>
      </c>
      <c r="R171" s="162">
        <f>IFERROR(IF($L171="Y",-1*INDEX(E$164:E$305,MATCH($W171,$J$164:$J$305,0)),INDEX(E$164:E$305,MATCH($W171,$J$164:$J$305,0))),"")</f>
        <v>-0.86682142027744857</v>
      </c>
      <c r="S171" s="162">
        <f t="shared" si="1327"/>
        <v>0.47482857213794588</v>
      </c>
      <c r="T171" s="162">
        <f t="shared" si="1328"/>
        <v>0.1521790144192903</v>
      </c>
      <c r="U171" s="162">
        <f>IFERROR(IF(ISNUMBER(MATCH($X171,Settings!$AK$52:$AK$60,0)),INDEX(Settings!$AO$14:$AO$60,MATCH($X171,Settings!$AK$14:$AK$60,0))/2,INDEX(Settings!$AM$14:$AM$60,MATCH($X171,Settings!$AK$14:$AK$60,0))/2),"")</f>
        <v>0.26450000000000001</v>
      </c>
      <c r="V171" s="162">
        <f t="shared" si="1329"/>
        <v>0.52</v>
      </c>
      <c r="W171" s="75">
        <v>1.1319999999999999</v>
      </c>
      <c r="X171" s="937">
        <f t="shared" si="1332"/>
        <v>1313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0.10835000177577009</v>
      </c>
      <c r="C172" s="651">
        <v>4.0754722605025862</v>
      </c>
      <c r="D172" s="652">
        <v>-2.1553065004044054</v>
      </c>
      <c r="E172" s="653">
        <v>-0.84786895559918396</v>
      </c>
      <c r="F172" s="651">
        <v>0.51740233842364114</v>
      </c>
      <c r="G172" s="654">
        <v>0.11581474139718589</v>
      </c>
      <c r="H172" s="653">
        <v>0.26600000000000001</v>
      </c>
      <c r="I172" s="942">
        <v>0.52</v>
      </c>
      <c r="J172" s="946">
        <v>1.1379999999999999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1313</v>
      </c>
      <c r="L172" s="683"/>
      <c r="M172" s="934"/>
      <c r="N172" s="31" t="str">
        <f t="shared" si="1330"/>
        <v>Y</v>
      </c>
      <c r="O172" s="162">
        <f t="shared" si="1324"/>
        <v>0.10835000177577009</v>
      </c>
      <c r="P172" s="162">
        <f t="shared" si="1325"/>
        <v>4.0754722605025862</v>
      </c>
      <c r="Q172" s="162">
        <f t="shared" si="1326"/>
        <v>-2.1553065004044054</v>
      </c>
      <c r="R172" s="162">
        <f t="shared" si="1331"/>
        <v>-0.84786895559918396</v>
      </c>
      <c r="S172" s="162">
        <f t="shared" si="1327"/>
        <v>0.51740233842364114</v>
      </c>
      <c r="T172" s="162">
        <f t="shared" si="1328"/>
        <v>0.11581474139718589</v>
      </c>
      <c r="U172" s="162">
        <f>IFERROR(IF(ISNUMBER(MATCH($X172,Settings!$AK$52:$AK$60,0)),INDEX(Settings!$AO$14:$AO$60,MATCH($X172,Settings!$AK$14:$AK$60,0))/2,INDEX(Settings!$AM$14:$AM$60,MATCH($X172,Settings!$AK$14:$AK$60,0))/2),"")</f>
        <v>0.26450000000000001</v>
      </c>
      <c r="V172" s="162">
        <f t="shared" si="1329"/>
        <v>0.52</v>
      </c>
      <c r="W172" s="75">
        <v>1.1379999999999999</v>
      </c>
      <c r="X172" s="937">
        <f t="shared" si="1332"/>
        <v>1313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0.93340398291315552</v>
      </c>
      <c r="C173" s="651">
        <v>1.9355744458429163</v>
      </c>
      <c r="D173" s="652">
        <v>-0.12815861735987613</v>
      </c>
      <c r="E173" s="653">
        <v>-5.6696310973310897E-2</v>
      </c>
      <c r="F173" s="651">
        <v>-0.11756959762589117</v>
      </c>
      <c r="G173" s="654">
        <v>0.99144486384069985</v>
      </c>
      <c r="H173" s="653">
        <v>0.19500000000000001</v>
      </c>
      <c r="I173" s="942">
        <v>0.21199999999999999</v>
      </c>
      <c r="J173" s="946">
        <v>1.2110000000000001</v>
      </c>
      <c r="K173" s="931" t="str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CPS-31783r1</v>
      </c>
      <c r="L173" s="683"/>
      <c r="M173" s="934"/>
      <c r="N173" s="31" t="str">
        <f t="shared" si="1330"/>
        <v>Y</v>
      </c>
      <c r="O173" s="162">
        <f t="shared" si="1324"/>
        <v>0.93340398291315552</v>
      </c>
      <c r="P173" s="162">
        <f t="shared" si="1325"/>
        <v>1.9355744458429163</v>
      </c>
      <c r="Q173" s="162">
        <f t="shared" si="1326"/>
        <v>-0.12815861735987613</v>
      </c>
      <c r="R173" s="162">
        <f t="shared" si="1331"/>
        <v>-5.6696310973310897E-2</v>
      </c>
      <c r="S173" s="162">
        <f t="shared" si="1327"/>
        <v>-0.11756959762589117</v>
      </c>
      <c r="T173" s="162">
        <f t="shared" si="1328"/>
        <v>0.99144486384069985</v>
      </c>
      <c r="U173" s="162">
        <f>IFERROR(IF(ISNUMBER(MATCH($X173,Settings!$AK$52:$AK$60,0)),INDEX(Settings!$AO$14:$AO$60,MATCH($X173,Settings!$AK$14:$AK$60,0))/2,INDEX(Settings!$AM$14:$AM$60,MATCH($X173,Settings!$AK$14:$AK$60,0))/2),"")</f>
        <v>0.22500000000000001</v>
      </c>
      <c r="V173" s="162">
        <f t="shared" si="1329"/>
        <v>0.21199999999999999</v>
      </c>
      <c r="W173" s="75">
        <v>1.2110000000000001</v>
      </c>
      <c r="X173" s="937" t="str">
        <f t="shared" si="1332"/>
        <v>CPS-31783r1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0.90979396314404926</v>
      </c>
      <c r="C174" s="651">
        <v>3.141106169602788</v>
      </c>
      <c r="D174" s="652">
        <v>-0.32736024735764396</v>
      </c>
      <c r="E174" s="653">
        <v>-0.84627048688804241</v>
      </c>
      <c r="F174" s="651">
        <v>0.44906154610392024</v>
      </c>
      <c r="G174" s="654">
        <v>0.28665308446453602</v>
      </c>
      <c r="H174" s="653">
        <v>0.26600000000000001</v>
      </c>
      <c r="I174" s="942">
        <v>0.52</v>
      </c>
      <c r="J174" s="946">
        <v>1.22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1313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0.90979396314404926</v>
      </c>
      <c r="P174" s="162">
        <f t="shared" si="1325"/>
        <v>3.141106169602788</v>
      </c>
      <c r="Q174" s="162">
        <f t="shared" si="1326"/>
        <v>-0.32736024735764396</v>
      </c>
      <c r="R174" s="162">
        <f t="shared" si="1331"/>
        <v>-0.84627048688804241</v>
      </c>
      <c r="S174" s="162">
        <f t="shared" si="1327"/>
        <v>0.44906154610392024</v>
      </c>
      <c r="T174" s="162">
        <f t="shared" si="1328"/>
        <v>0.28665308446453602</v>
      </c>
      <c r="U174" s="162">
        <f>IFERROR(IF(ISNUMBER(MATCH($X174,Settings!$AK$52:$AK$60,0)),INDEX(Settings!$AO$14:$AO$60,MATCH($X174,Settings!$AK$14:$AK$60,0))/2,INDEX(Settings!$AM$14:$AM$60,MATCH($X174,Settings!$AK$14:$AK$60,0))/2),"")</f>
        <v>0.26450000000000001</v>
      </c>
      <c r="V174" s="162">
        <f t="shared" si="1329"/>
        <v>0.52</v>
      </c>
      <c r="W174" s="75">
        <v>1.22</v>
      </c>
      <c r="X174" s="937">
        <f t="shared" si="1332"/>
        <v>1313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0.94692595427441395</v>
      </c>
      <c r="C175" s="651">
        <v>3.6426280925994794</v>
      </c>
      <c r="D175" s="652">
        <v>-0.81233730488612743</v>
      </c>
      <c r="E175" s="653">
        <v>-0.77721514260198699</v>
      </c>
      <c r="F175" s="651">
        <v>0.56870694920849885</v>
      </c>
      <c r="G175" s="654">
        <v>0.26927500446965941</v>
      </c>
      <c r="H175" s="653">
        <v>0.26600000000000001</v>
      </c>
      <c r="I175" s="942">
        <v>0.52</v>
      </c>
      <c r="J175" s="946">
        <v>1.226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0.94692595427441395</v>
      </c>
      <c r="P175" s="162">
        <f t="shared" si="1325"/>
        <v>3.6426280925994794</v>
      </c>
      <c r="Q175" s="162">
        <f t="shared" si="1326"/>
        <v>-0.81233730488612743</v>
      </c>
      <c r="R175" s="162">
        <f t="shared" si="1331"/>
        <v>-0.77721514260198699</v>
      </c>
      <c r="S175" s="162">
        <f t="shared" si="1327"/>
        <v>0.56870694920849885</v>
      </c>
      <c r="T175" s="162">
        <f t="shared" si="1328"/>
        <v>0.26927500446965941</v>
      </c>
      <c r="U175" s="162">
        <f>IFERROR(IF(ISNUMBER(MATCH($X175,Settings!$AK$52:$AK$60,0)),INDEX(Settings!$AO$14:$AO$60,MATCH($X175,Settings!$AK$14:$AK$60,0))/2,INDEX(Settings!$AM$14:$AM$60,MATCH($X175,Settings!$AK$14:$AK$60,0))/2),"")</f>
        <v>0.26450000000000001</v>
      </c>
      <c r="V175" s="162">
        <f t="shared" si="1329"/>
        <v>0.52</v>
      </c>
      <c r="W175" s="75">
        <v>1.226</v>
      </c>
      <c r="X175" s="937">
        <f t="shared" si="1332"/>
        <v>1313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1.3920219833354717</v>
      </c>
      <c r="C176" s="651">
        <v>3.8245489665986465</v>
      </c>
      <c r="D176" s="652">
        <v>-1.625</v>
      </c>
      <c r="E176" s="653">
        <v>0.34202014332566866</v>
      </c>
      <c r="F176" s="651">
        <v>0.93969262078590843</v>
      </c>
      <c r="G176" s="654">
        <v>0</v>
      </c>
      <c r="H176" s="653">
        <v>0.25700000000000001</v>
      </c>
      <c r="I176" s="942">
        <v>0.41499999999999992</v>
      </c>
      <c r="J176" s="946">
        <v>1.3009999999999999</v>
      </c>
      <c r="K176" s="931" t="str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CPS-32193r1</v>
      </c>
      <c r="L176" s="683"/>
      <c r="M176" s="934" t="s">
        <v>9</v>
      </c>
      <c r="N176" s="31" t="str">
        <f t="shared" si="1330"/>
        <v>N</v>
      </c>
      <c r="O176" s="162">
        <f t="shared" si="1324"/>
        <v>2.2384501258936944</v>
      </c>
      <c r="P176" s="162">
        <f t="shared" si="1325"/>
        <v>1.0377605910182666</v>
      </c>
      <c r="Q176" s="162">
        <f t="shared" si="1326"/>
        <v>-6.0300181865348544E-2</v>
      </c>
      <c r="R176" s="162">
        <f t="shared" si="1331"/>
        <v>-0.37357898908290449</v>
      </c>
      <c r="S176" s="162">
        <f t="shared" si="1327"/>
        <v>0.88088284667320615</v>
      </c>
      <c r="T176" s="162">
        <f t="shared" si="1328"/>
        <v>0.29066157185411373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2.113</v>
      </c>
      <c r="X176" s="937">
        <f t="shared" si="1332"/>
        <v>1313</v>
      </c>
      <c r="AK176" s="82" t="str">
        <f t="shared" si="1333"/>
        <v/>
      </c>
      <c r="AL176" s="419" t="s">
        <v>9</v>
      </c>
    </row>
    <row r="177" spans="2:38" x14ac:dyDescent="0.25">
      <c r="B177" s="650">
        <v>1.3920219833354717</v>
      </c>
      <c r="C177" s="651">
        <v>3.8245489665986465</v>
      </c>
      <c r="D177" s="652">
        <v>-2.25</v>
      </c>
      <c r="E177" s="653">
        <v>0.34202014332566866</v>
      </c>
      <c r="F177" s="651">
        <v>0.93969262078590843</v>
      </c>
      <c r="G177" s="654">
        <v>0</v>
      </c>
      <c r="H177" s="653">
        <v>0.25700000000000001</v>
      </c>
      <c r="I177" s="942">
        <v>0.41499999999999992</v>
      </c>
      <c r="J177" s="946">
        <v>1.302</v>
      </c>
      <c r="K177" s="931" t="str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CPS-32193r1</v>
      </c>
      <c r="L177" s="683"/>
      <c r="M177" s="934" t="s">
        <v>9</v>
      </c>
      <c r="N177" s="31" t="str">
        <f t="shared" si="1330"/>
        <v>N</v>
      </c>
      <c r="O177" s="162">
        <f t="shared" si="1324"/>
        <v>2.8798148417101395</v>
      </c>
      <c r="P177" s="162">
        <f t="shared" si="1325"/>
        <v>1.3055031188519068</v>
      </c>
      <c r="Q177" s="162">
        <f t="shared" si="1326"/>
        <v>-0.25320076365350319</v>
      </c>
      <c r="R177" s="162">
        <f t="shared" si="1331"/>
        <v>-0.27221935043570206</v>
      </c>
      <c r="S177" s="162">
        <f t="shared" si="1327"/>
        <v>0.94012706171894189</v>
      </c>
      <c r="T177" s="162">
        <f t="shared" si="1328"/>
        <v>0.20507982122108792</v>
      </c>
      <c r="U177" s="162">
        <f>IFERROR(IF(ISNUMBER(MATCH($X177,Settings!$AK$52:$AK$60,0)),INDEX(Settings!$AO$14:$AO$60,MATCH($X177,Settings!$AK$14:$AK$60,0))/2,INDEX(Settings!$AM$14:$AM$60,MATCH($X177,Settings!$AK$14:$AK$60,0))/2),"")</f>
        <v>0.26450000000000001</v>
      </c>
      <c r="V177" s="162">
        <f t="shared" si="1329"/>
        <v>0.52</v>
      </c>
      <c r="W177" s="75">
        <v>2.1190000000000002</v>
      </c>
      <c r="X177" s="937">
        <f t="shared" si="1332"/>
        <v>1313</v>
      </c>
      <c r="AK177" s="82" t="str">
        <f t="shared" si="1333"/>
        <v/>
      </c>
      <c r="AL177" s="419" t="s">
        <v>9</v>
      </c>
    </row>
    <row r="178" spans="2:38" x14ac:dyDescent="0.25">
      <c r="B178" s="650">
        <v>0.81761654518849436</v>
      </c>
      <c r="C178" s="651">
        <v>4.2062724810732401</v>
      </c>
      <c r="D178" s="652">
        <v>-2.9999999999999996</v>
      </c>
      <c r="E178" s="653">
        <v>0.19080899537654475</v>
      </c>
      <c r="F178" s="651">
        <v>0.98162718344766398</v>
      </c>
      <c r="G178" s="654">
        <v>0</v>
      </c>
      <c r="H178" s="653">
        <v>0.25700000000000001</v>
      </c>
      <c r="I178" s="942">
        <v>0.41499999999999992</v>
      </c>
      <c r="J178" s="946">
        <v>1.401</v>
      </c>
      <c r="K178" s="931" t="str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CPS-32193r1</v>
      </c>
      <c r="L178" s="683"/>
      <c r="M178" s="934" t="s">
        <v>9</v>
      </c>
      <c r="N178" s="31" t="str">
        <f t="shared" si="1330"/>
        <v>N</v>
      </c>
      <c r="O178" s="162">
        <f t="shared" si="1324"/>
        <v>3.3742245447467556</v>
      </c>
      <c r="P178" s="162">
        <f t="shared" si="1325"/>
        <v>1.4945711867030047</v>
      </c>
      <c r="Q178" s="162">
        <f t="shared" si="1326"/>
        <v>-0.70770213442963725</v>
      </c>
      <c r="R178" s="162">
        <f>IFERROR(IF($L178="Y",-1*INDEX(E$164:E$305,MATCH($W178,$J$164:$J$305,0)),INDEX(E$164:E$305,MATCH($W178,$J$164:$J$305,0))),"")</f>
        <v>-0.13641350950521589</v>
      </c>
      <c r="S178" s="162">
        <f t="shared" si="1327"/>
        <v>0.96999468955853441</v>
      </c>
      <c r="T178" s="162">
        <f t="shared" si="1328"/>
        <v>0.20125023391964775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2.125</v>
      </c>
      <c r="X178" s="937">
        <f t="shared" si="1332"/>
        <v>1313</v>
      </c>
      <c r="AK178" s="82" t="str">
        <f t="shared" si="1333"/>
        <v/>
      </c>
      <c r="AL178" s="419" t="s">
        <v>9</v>
      </c>
    </row>
    <row r="179" spans="2:38" x14ac:dyDescent="0.25">
      <c r="B179" s="650">
        <v>1.0366353226445759</v>
      </c>
      <c r="C179" s="651">
        <v>4.1577171870926453</v>
      </c>
      <c r="D179" s="652">
        <v>-3.6488999999999998</v>
      </c>
      <c r="E179" s="653">
        <v>0.24192189559966767</v>
      </c>
      <c r="F179" s="651">
        <v>0.97029572627599647</v>
      </c>
      <c r="G179" s="654">
        <v>0</v>
      </c>
      <c r="H179" s="653">
        <v>0.25700000000000001</v>
      </c>
      <c r="I179" s="942">
        <v>0.41499999999999992</v>
      </c>
      <c r="J179" s="946">
        <v>1.4019999999999999</v>
      </c>
      <c r="K179" s="931" t="str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CPS-32193r1</v>
      </c>
      <c r="L179" s="683"/>
      <c r="M179" s="934" t="s">
        <v>9</v>
      </c>
      <c r="N179" s="31" t="str">
        <f t="shared" si="1330"/>
        <v>N</v>
      </c>
      <c r="O179" s="162">
        <f>IFERROR(INDEX(B$164:B$305,MATCH($W179,$J$164:$J$305,0)),"")</f>
        <v>3.6481660983934461</v>
      </c>
      <c r="P179" s="162">
        <f t="shared" si="1325"/>
        <v>1.5937807035729679</v>
      </c>
      <c r="Q179" s="162">
        <f t="shared" si="1326"/>
        <v>-1.3463040604530467</v>
      </c>
      <c r="R179" s="162">
        <f>IFERROR(IF($L179="Y",-1*INDEX(E$164:E$305,MATCH($W179,$J$164:$J$305,0)),INDEX(E$164:E$305,MATCH($W179,$J$164:$J$305,0))),"")</f>
        <v>3.9535141581852007E-2</v>
      </c>
      <c r="S179" s="162">
        <f t="shared" si="1327"/>
        <v>0.98486823257588463</v>
      </c>
      <c r="T179" s="162">
        <f t="shared" si="1328"/>
        <v>0.16873510909990314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2.1309999999999998</v>
      </c>
      <c r="X179" s="937">
        <f t="shared" si="1332"/>
        <v>1313</v>
      </c>
      <c r="AK179" s="82" t="str">
        <f t="shared" si="1333"/>
        <v/>
      </c>
      <c r="AL179" s="419" t="s">
        <v>9</v>
      </c>
    </row>
    <row r="180" spans="2:38" x14ac:dyDescent="0.25">
      <c r="B180" s="650">
        <v>1.6742828855765386</v>
      </c>
      <c r="C180" s="651">
        <v>3.9443632970437075</v>
      </c>
      <c r="D180" s="652">
        <v>-3.3</v>
      </c>
      <c r="E180" s="653">
        <v>0.39073112848927372</v>
      </c>
      <c r="F180" s="651">
        <v>0.92050485345244049</v>
      </c>
      <c r="G180" s="654">
        <v>0</v>
      </c>
      <c r="H180" s="653">
        <v>0.25700000000000001</v>
      </c>
      <c r="I180" s="942">
        <v>0.41499999999999992</v>
      </c>
      <c r="J180" s="946">
        <v>1.4039999999999999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 t="s">
        <v>9</v>
      </c>
      <c r="N180" s="31" t="s">
        <v>9</v>
      </c>
      <c r="O180" s="162">
        <f t="shared" si="1324"/>
        <v>3.739412803416033</v>
      </c>
      <c r="P180" s="162">
        <f t="shared" si="1325"/>
        <v>1.6241938784083358</v>
      </c>
      <c r="Q180" s="162">
        <f t="shared" si="1326"/>
        <v>-2.0064060513206501</v>
      </c>
      <c r="R180" s="162">
        <f t="shared" si="1331"/>
        <v>0.11059470671750717</v>
      </c>
      <c r="S180" s="162">
        <f t="shared" si="1327"/>
        <v>0.98709460363288981</v>
      </c>
      <c r="T180" s="162">
        <f t="shared" si="1328"/>
        <v>0.11581474139718537</v>
      </c>
      <c r="U180" s="162">
        <f>IFERROR(IF(ISNUMBER(MATCH($X180,Settings!$AK$52:$AK$60,0)),INDEX(Settings!$AO$14:$AO$60,MATCH($X180,Settings!$AK$14:$AK$60,0))/2,INDEX(Settings!$AM$14:$AM$60,MATCH($X180,Settings!$AK$14:$AK$60,0))/2),"")</f>
        <v>0.26450000000000001</v>
      </c>
      <c r="V180" s="162">
        <f t="shared" si="1329"/>
        <v>0.52</v>
      </c>
      <c r="W180" s="75">
        <v>2.137</v>
      </c>
      <c r="X180" s="937">
        <f t="shared" si="1332"/>
        <v>1313</v>
      </c>
      <c r="AK180" s="82" t="str">
        <f t="shared" si="1333"/>
        <v/>
      </c>
      <c r="AL180" s="419" t="s">
        <v>9</v>
      </c>
    </row>
    <row r="181" spans="2:38" x14ac:dyDescent="0.25">
      <c r="B181" s="650">
        <v>1.8784203639911969</v>
      </c>
      <c r="C181" s="651">
        <v>3.8513324883919311</v>
      </c>
      <c r="D181" s="652">
        <v>-4</v>
      </c>
      <c r="E181" s="653">
        <v>0.43837114678907735</v>
      </c>
      <c r="F181" s="651">
        <v>0.89879404629916704</v>
      </c>
      <c r="G181" s="654">
        <v>0</v>
      </c>
      <c r="H181" s="653">
        <v>0.25700000000000001</v>
      </c>
      <c r="I181" s="942">
        <v>0.41499999999999992</v>
      </c>
      <c r="J181" s="946">
        <v>1.405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 t="s">
        <v>9</v>
      </c>
      <c r="N181" s="31" t="str">
        <f t="shared" si="1330"/>
        <v>N</v>
      </c>
      <c r="O181" s="162">
        <f t="shared" si="1324"/>
        <v>2.4628032240759818</v>
      </c>
      <c r="P181" s="162">
        <f t="shared" si="1325"/>
        <v>0.11604608554606605</v>
      </c>
      <c r="Q181" s="162">
        <f t="shared" si="1326"/>
        <v>-8.7265459679480906E-2</v>
      </c>
      <c r="R181" s="162">
        <f t="shared" si="1331"/>
        <v>8.7059137326413807E-2</v>
      </c>
      <c r="S181" s="162">
        <f t="shared" si="1327"/>
        <v>4.1021840474235356E-3</v>
      </c>
      <c r="T181" s="162">
        <f t="shared" si="1328"/>
        <v>0.99619469918988313</v>
      </c>
      <c r="U181" s="162">
        <f>IFERROR(IF(ISNUMBER(MATCH($X181,Settings!$AK$52:$AK$60,0)),INDEX(Settings!$AO$14:$AO$60,MATCH($X181,Settings!$AK$14:$AK$60,0))/2,INDEX(Settings!$AM$14:$AM$60,MATCH($X181,Settings!$AK$14:$AK$60,0))/2),"")</f>
        <v>0.255</v>
      </c>
      <c r="V181" s="162">
        <f t="shared" si="1329"/>
        <v>0.41499999999999992</v>
      </c>
      <c r="W181" s="75">
        <v>2.2130000000000001</v>
      </c>
      <c r="X181" s="937" t="str">
        <f t="shared" si="1332"/>
        <v>CPS-32193r1</v>
      </c>
      <c r="AK181" s="82" t="str">
        <f t="shared" si="1333"/>
        <v/>
      </c>
      <c r="AL181" s="419" t="s">
        <v>9</v>
      </c>
    </row>
    <row r="182" spans="2:38" x14ac:dyDescent="0.25">
      <c r="B182" s="650">
        <v>0.63776767052251737</v>
      </c>
      <c r="C182" s="651">
        <v>4.0267065957723167</v>
      </c>
      <c r="D182" s="652">
        <v>-4.5114999999999998</v>
      </c>
      <c r="E182" s="653">
        <v>-0.65758667225807266</v>
      </c>
      <c r="F182" s="651">
        <v>0.74506442022829833</v>
      </c>
      <c r="G182" s="654">
        <v>-0.11161889704894962</v>
      </c>
      <c r="H182" s="653">
        <v>0.26600000000000001</v>
      </c>
      <c r="I182" s="942">
        <v>0.52</v>
      </c>
      <c r="J182" s="946">
        <v>1.5009999999999999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1313</v>
      </c>
      <c r="L182" s="683"/>
      <c r="M182" s="934" t="s">
        <v>9</v>
      </c>
      <c r="N182" s="31" t="str">
        <f t="shared" si="1330"/>
        <v>N</v>
      </c>
      <c r="O182" s="162">
        <f t="shared" si="1324"/>
        <v>3.1302235937736653</v>
      </c>
      <c r="P182" s="162">
        <f t="shared" si="1325"/>
        <v>0.46270347550388646</v>
      </c>
      <c r="Q182" s="162">
        <f t="shared" si="1326"/>
        <v>-0.26704649766082661</v>
      </c>
      <c r="R182" s="162">
        <f t="shared" si="1331"/>
        <v>3.0030263963404694E-2</v>
      </c>
      <c r="S182" s="162">
        <f t="shared" si="1327"/>
        <v>0.95860784310480929</v>
      </c>
      <c r="T182" s="162">
        <f t="shared" si="1328"/>
        <v>0.28314163661361025</v>
      </c>
      <c r="U182" s="162">
        <f>IFERROR(IF(ISNUMBER(MATCH($X182,Settings!$AK$52:$AK$60,0)),INDEX(Settings!$AO$14:$AO$60,MATCH($X182,Settings!$AK$14:$AK$60,0))/2,INDEX(Settings!$AM$14:$AM$60,MATCH($X182,Settings!$AK$14:$AK$60,0))/2),"")</f>
        <v>0.26450000000000001</v>
      </c>
      <c r="V182" s="162">
        <f t="shared" si="1329"/>
        <v>0.52</v>
      </c>
      <c r="W182" s="75">
        <v>2.2189999999999999</v>
      </c>
      <c r="X182" s="937">
        <f t="shared" si="1332"/>
        <v>1313</v>
      </c>
      <c r="AK182" s="82" t="str">
        <f t="shared" si="1333"/>
        <v/>
      </c>
      <c r="AL182" s="419" t="s">
        <v>400</v>
      </c>
    </row>
    <row r="183" spans="2:38" x14ac:dyDescent="0.25">
      <c r="B183" s="650">
        <v>2.2384501258936944</v>
      </c>
      <c r="C183" s="651">
        <v>1.0377605910182666</v>
      </c>
      <c r="D183" s="652">
        <v>-6.0300181865348544E-2</v>
      </c>
      <c r="E183" s="653">
        <v>-0.37357898908290449</v>
      </c>
      <c r="F183" s="651">
        <v>0.88088284667320615</v>
      </c>
      <c r="G183" s="654">
        <v>0.29066157185411373</v>
      </c>
      <c r="H183" s="653">
        <v>0.26600000000000001</v>
      </c>
      <c r="I183" s="942">
        <v>0.52</v>
      </c>
      <c r="J183" s="946">
        <v>2.113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3.6367106625234471</v>
      </c>
      <c r="P183" s="162">
        <f t="shared" si="1325"/>
        <v>0.65753655164060187</v>
      </c>
      <c r="Q183" s="162">
        <f t="shared" si="1326"/>
        <v>-0.71813586003728369</v>
      </c>
      <c r="R183" s="162">
        <f t="shared" si="1331"/>
        <v>0.15142010284434612</v>
      </c>
      <c r="S183" s="162">
        <f t="shared" si="1327"/>
        <v>0.95241136418567185</v>
      </c>
      <c r="T183" s="162">
        <f t="shared" si="1328"/>
        <v>0.2645459238480064</v>
      </c>
      <c r="U183" s="162">
        <f>IFERROR(IF(ISNUMBER(MATCH($X183,Settings!$AK$52:$AK$60,0)),INDEX(Settings!$AO$14:$AO$60,MATCH($X183,Settings!$AK$14:$AK$60,0))/2,INDEX(Settings!$AM$14:$AM$60,MATCH($X183,Settings!$AK$14:$AK$60,0))/2),"")</f>
        <v>0.26450000000000001</v>
      </c>
      <c r="V183" s="162">
        <f t="shared" si="1329"/>
        <v>0.52</v>
      </c>
      <c r="W183" s="75">
        <v>2.2250000000000001</v>
      </c>
      <c r="X183" s="937">
        <f t="shared" si="1332"/>
        <v>1313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2.8798148417101395</v>
      </c>
      <c r="C184" s="651">
        <v>1.3055031188519068</v>
      </c>
      <c r="D184" s="652">
        <v>-0.25320076365350319</v>
      </c>
      <c r="E184" s="653">
        <v>-0.27221935043570206</v>
      </c>
      <c r="F184" s="651">
        <v>0.94012706171894189</v>
      </c>
      <c r="G184" s="654">
        <v>0.20507982122108792</v>
      </c>
      <c r="H184" s="653">
        <v>0.26600000000000001</v>
      </c>
      <c r="I184" s="942">
        <v>0.52</v>
      </c>
      <c r="J184" s="946">
        <v>2.1190000000000002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0.55876108064094698</v>
      </c>
      <c r="P184" s="162">
        <f t="shared" si="1325"/>
        <v>-0.322601310895691</v>
      </c>
      <c r="Q184" s="162">
        <f t="shared" si="1326"/>
        <v>-0.23009999999999997</v>
      </c>
      <c r="R184" s="162">
        <f t="shared" si="1331"/>
        <v>0.43595790309282811</v>
      </c>
      <c r="S184" s="162">
        <f t="shared" si="1327"/>
        <v>0.84009042526230393</v>
      </c>
      <c r="T184" s="162">
        <f t="shared" si="1328"/>
        <v>0.32278287456664367</v>
      </c>
      <c r="U184" s="162">
        <f>IFERROR(IF(ISNUMBER(MATCH($X184,Settings!$AK$52:$AK$60,0)),INDEX(Settings!$AO$14:$AO$60,MATCH($X184,Settings!$AK$14:$AK$60,0))/2,INDEX(Settings!$AM$14:$AM$60,MATCH($X184,Settings!$AK$14:$AK$60,0))/2),"")</f>
        <v>0.2165</v>
      </c>
      <c r="V184" s="162">
        <f t="shared" si="1329"/>
        <v>0.52</v>
      </c>
      <c r="W184" s="75">
        <v>3.1030000000000002</v>
      </c>
      <c r="X184" s="937">
        <f t="shared" si="1332"/>
        <v>1113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3.3742245447467556</v>
      </c>
      <c r="C185" s="651">
        <v>1.4945711867030047</v>
      </c>
      <c r="D185" s="652">
        <v>-0.70770213442963725</v>
      </c>
      <c r="E185" s="653">
        <v>-0.13641350950521589</v>
      </c>
      <c r="F185" s="651">
        <v>0.96999468955853441</v>
      </c>
      <c r="G185" s="654">
        <v>0.20125023391964775</v>
      </c>
      <c r="H185" s="653">
        <v>0.26600000000000001</v>
      </c>
      <c r="I185" s="942">
        <v>0.52</v>
      </c>
      <c r="J185" s="946">
        <v>2.125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1313</v>
      </c>
      <c r="L185" s="683"/>
      <c r="M185" s="934"/>
      <c r="N185" s="31" t="str">
        <f t="shared" si="1330"/>
        <v>Y</v>
      </c>
      <c r="O185" s="162">
        <f t="shared" si="1324"/>
        <v>1.0528298910960932</v>
      </c>
      <c r="P185" s="162">
        <f t="shared" si="1325"/>
        <v>-0.60785247001843068</v>
      </c>
      <c r="Q185" s="162">
        <f t="shared" si="1326"/>
        <v>-0.15629999999999999</v>
      </c>
      <c r="R185" s="162">
        <f t="shared" si="1331"/>
        <v>0.44510349050091264</v>
      </c>
      <c r="S185" s="162">
        <f t="shared" si="1327"/>
        <v>0.84726502315744634</v>
      </c>
      <c r="T185" s="162">
        <f t="shared" si="1328"/>
        <v>0.28987042497970705</v>
      </c>
      <c r="U185" s="162">
        <f>IFERROR(IF(ISNUMBER(MATCH($X185,Settings!$AK$52:$AK$60,0)),INDEX(Settings!$AO$14:$AO$60,MATCH($X185,Settings!$AK$14:$AK$60,0))/2,INDEX(Settings!$AM$14:$AM$60,MATCH($X185,Settings!$AK$14:$AK$60,0))/2),"")</f>
        <v>0.2165</v>
      </c>
      <c r="V185" s="162">
        <f t="shared" si="1329"/>
        <v>0.52</v>
      </c>
      <c r="W185" s="75">
        <v>3.1059999999999999</v>
      </c>
      <c r="X185" s="937">
        <f t="shared" si="1332"/>
        <v>1113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3.6481660983934461</v>
      </c>
      <c r="C186" s="651">
        <v>1.5937807035729679</v>
      </c>
      <c r="D186" s="652">
        <v>-1.3463040604530467</v>
      </c>
      <c r="E186" s="653">
        <v>3.9535141581852007E-2</v>
      </c>
      <c r="F186" s="651">
        <v>0.98486823257588463</v>
      </c>
      <c r="G186" s="654">
        <v>0.16873510909990314</v>
      </c>
      <c r="H186" s="653">
        <v>0.26600000000000001</v>
      </c>
      <c r="I186" s="942">
        <v>0.52</v>
      </c>
      <c r="J186" s="946">
        <v>2.1309999999999998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/>
      <c r="N186" s="31" t="str">
        <f t="shared" si="1330"/>
        <v>Y</v>
      </c>
      <c r="O186" s="162">
        <f t="shared" si="1324"/>
        <v>1.5366795745339372</v>
      </c>
      <c r="P186" s="162">
        <f t="shared" si="1325"/>
        <v>-0.88720360516632657</v>
      </c>
      <c r="Q186" s="162">
        <f t="shared" si="1326"/>
        <v>-8.1700246407943211E-2</v>
      </c>
      <c r="R186" s="162">
        <f t="shared" si="1331"/>
        <v>0.44510350139426585</v>
      </c>
      <c r="S186" s="162">
        <f t="shared" si="1327"/>
        <v>0.84726503133069531</v>
      </c>
      <c r="T186" s="162">
        <f t="shared" si="1328"/>
        <v>0.28987038436301271</v>
      </c>
      <c r="U186" s="162">
        <f>IFERROR(IF(ISNUMBER(MATCH($X186,Settings!$AK$52:$AK$60,0)),INDEX(Settings!$AO$14:$AO$60,MATCH($X186,Settings!$AK$14:$AK$60,0))/2,INDEX(Settings!$AM$14:$AM$60,MATCH($X186,Settings!$AK$14:$AK$60,0))/2),"")</f>
        <v>0.2165</v>
      </c>
      <c r="V186" s="162">
        <f t="shared" si="1329"/>
        <v>0.52</v>
      </c>
      <c r="W186" s="75">
        <v>3.109</v>
      </c>
      <c r="X186" s="937">
        <f t="shared" si="1332"/>
        <v>1113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3.739412803416033</v>
      </c>
      <c r="C187" s="651">
        <v>1.6241938784083358</v>
      </c>
      <c r="D187" s="652">
        <v>-2.0064060513206501</v>
      </c>
      <c r="E187" s="653">
        <v>0.11059470671750717</v>
      </c>
      <c r="F187" s="651">
        <v>0.98709460363288981</v>
      </c>
      <c r="G187" s="654">
        <v>0.11581474139718537</v>
      </c>
      <c r="H187" s="653">
        <v>0.26600000000000001</v>
      </c>
      <c r="I187" s="942">
        <v>0.52</v>
      </c>
      <c r="J187" s="946">
        <v>2.137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1313</v>
      </c>
      <c r="L187" s="683"/>
      <c r="M187" s="934"/>
      <c r="N187" s="31" t="str">
        <f t="shared" si="1330"/>
        <v>Y</v>
      </c>
      <c r="O187" s="162">
        <f t="shared" si="1324"/>
        <v>2.0207024635144482</v>
      </c>
      <c r="P187" s="162">
        <f t="shared" si="1325"/>
        <v>-1.1666547407205763</v>
      </c>
      <c r="Q187" s="162">
        <f t="shared" si="1326"/>
        <v>-1.5099999999999988E-2</v>
      </c>
      <c r="R187" s="162">
        <f t="shared" si="1331"/>
        <v>0.46710839768886353</v>
      </c>
      <c r="S187" s="162">
        <f t="shared" si="1327"/>
        <v>0.83456046632462622</v>
      </c>
      <c r="T187" s="162">
        <f t="shared" si="1328"/>
        <v>0.29209343172444879</v>
      </c>
      <c r="U187" s="162">
        <f>IFERROR(IF(ISNUMBER(MATCH($X187,Settings!$AK$52:$AK$60,0)),INDEX(Settings!$AO$14:$AO$60,MATCH($X187,Settings!$AK$14:$AK$60,0))/2,INDEX(Settings!$AM$14:$AM$60,MATCH($X187,Settings!$AK$14:$AK$60,0))/2),"")</f>
        <v>0.2165</v>
      </c>
      <c r="V187" s="162">
        <f t="shared" si="1329"/>
        <v>0.52</v>
      </c>
      <c r="W187" s="75">
        <v>3.1120000000000001</v>
      </c>
      <c r="X187" s="937">
        <f t="shared" si="1332"/>
        <v>1113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2.4628032240759818</v>
      </c>
      <c r="C188" s="651">
        <v>0.11604608554606605</v>
      </c>
      <c r="D188" s="652">
        <v>-8.7265459679480906E-2</v>
      </c>
      <c r="E188" s="653">
        <v>8.7059137326413807E-2</v>
      </c>
      <c r="F188" s="651">
        <v>4.1021840474235356E-3</v>
      </c>
      <c r="G188" s="654">
        <v>0.99619469918988313</v>
      </c>
      <c r="H188" s="653">
        <v>0.25700000000000001</v>
      </c>
      <c r="I188" s="942">
        <v>0.41499999999999992</v>
      </c>
      <c r="J188" s="946">
        <v>2.2130000000000001</v>
      </c>
      <c r="K188" s="931" t="str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CPS-32193r1</v>
      </c>
      <c r="L188" s="683"/>
      <c r="M188" s="934"/>
      <c r="N188" s="31" t="str">
        <f t="shared" si="1330"/>
        <v>Y</v>
      </c>
      <c r="O188" s="162">
        <f t="shared" si="1324"/>
        <v>2.6296264953457227</v>
      </c>
      <c r="P188" s="162">
        <f t="shared" si="1325"/>
        <v>-1.5503185039269691</v>
      </c>
      <c r="Q188" s="162">
        <f t="shared" si="1326"/>
        <v>-0.19940060139221374</v>
      </c>
      <c r="R188" s="162">
        <f t="shared" si="1331"/>
        <v>0.59631685026899139</v>
      </c>
      <c r="S188" s="162">
        <f t="shared" si="1327"/>
        <v>0.77795934872910544</v>
      </c>
      <c r="T188" s="162">
        <f t="shared" si="1328"/>
        <v>0.197953190957498</v>
      </c>
      <c r="U188" s="162">
        <f>IFERROR(IF(ISNUMBER(MATCH($X188,Settings!$AK$52:$AK$60,0)),INDEX(Settings!$AO$14:$AO$60,MATCH($X188,Settings!$AK$14:$AK$60,0))/2,INDEX(Settings!$AM$14:$AM$60,MATCH($X188,Settings!$AK$14:$AK$60,0))/2),"")</f>
        <v>0.26450000000000001</v>
      </c>
      <c r="V188" s="162">
        <f t="shared" si="1329"/>
        <v>0.52</v>
      </c>
      <c r="W188" s="75">
        <v>3.1179999999999999</v>
      </c>
      <c r="X188" s="937">
        <f t="shared" si="1332"/>
        <v>1313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3.1302235937736653</v>
      </c>
      <c r="C189" s="651">
        <v>0.46270347550388646</v>
      </c>
      <c r="D189" s="652">
        <v>-0.26704649766082661</v>
      </c>
      <c r="E189" s="653">
        <v>3.0030263963404694E-2</v>
      </c>
      <c r="F189" s="651">
        <v>0.95860784310480929</v>
      </c>
      <c r="G189" s="654">
        <v>0.28314163661361025</v>
      </c>
      <c r="H189" s="653">
        <v>0.26600000000000001</v>
      </c>
      <c r="I189" s="942">
        <v>0.52</v>
      </c>
      <c r="J189" s="946">
        <v>2.2189999999999999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1313</v>
      </c>
      <c r="L189" s="683"/>
      <c r="M189" s="934"/>
      <c r="N189" s="31" t="str">
        <f t="shared" si="1330"/>
        <v>Y</v>
      </c>
      <c r="O189" s="162">
        <f t="shared" si="1324"/>
        <v>3.0993468130764015</v>
      </c>
      <c r="P189" s="162">
        <f t="shared" si="1325"/>
        <v>-1.8650104815087758</v>
      </c>
      <c r="Q189" s="162">
        <f t="shared" si="1326"/>
        <v>-0.61740186208401615</v>
      </c>
      <c r="R189" s="162">
        <f t="shared" si="1331"/>
        <v>0.6987686561556542</v>
      </c>
      <c r="S189" s="162">
        <f t="shared" si="1327"/>
        <v>0.6858454556414979</v>
      </c>
      <c r="T189" s="162">
        <f t="shared" si="1328"/>
        <v>0.20331841075103704</v>
      </c>
      <c r="U189" s="162">
        <f>IFERROR(IF(ISNUMBER(MATCH($X189,Settings!$AK$52:$AK$60,0)),INDEX(Settings!$AO$14:$AO$60,MATCH($X189,Settings!$AK$14:$AK$60,0))/2,INDEX(Settings!$AM$14:$AM$60,MATCH($X189,Settings!$AK$14:$AK$60,0))/2),"")</f>
        <v>0.26450000000000001</v>
      </c>
      <c r="V189" s="162">
        <f t="shared" si="1329"/>
        <v>0.52</v>
      </c>
      <c r="W189" s="75">
        <v>3.1240000000000001</v>
      </c>
      <c r="X189" s="937">
        <f t="shared" si="1332"/>
        <v>1313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3.6367106625234471</v>
      </c>
      <c r="C190" s="651">
        <v>0.65753655164060187</v>
      </c>
      <c r="D190" s="652">
        <v>-0.71813586003728369</v>
      </c>
      <c r="E190" s="653">
        <v>0.15142010284434612</v>
      </c>
      <c r="F190" s="651">
        <v>0.95241136418567185</v>
      </c>
      <c r="G190" s="654">
        <v>0.2645459238480064</v>
      </c>
      <c r="H190" s="653">
        <v>0.26600000000000001</v>
      </c>
      <c r="I190" s="942">
        <v>0.52</v>
      </c>
      <c r="J190" s="946">
        <v>2.2250000000000001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1313</v>
      </c>
      <c r="L190" s="683"/>
      <c r="M190" s="934"/>
      <c r="N190" s="31" t="str">
        <f t="shared" si="1330"/>
        <v>Y</v>
      </c>
      <c r="O190" s="162">
        <f t="shared" si="1324"/>
        <v>3.3748200443174725</v>
      </c>
      <c r="P190" s="162">
        <f t="shared" si="1325"/>
        <v>-2.0577952283660057</v>
      </c>
      <c r="Q190" s="162">
        <f t="shared" si="1326"/>
        <v>-1.2315037142152023</v>
      </c>
      <c r="R190" s="162">
        <f t="shared" si="1331"/>
        <v>0.81422280190582641</v>
      </c>
      <c r="S190" s="162">
        <f t="shared" si="1327"/>
        <v>0.55124671794716096</v>
      </c>
      <c r="T190" s="162">
        <f t="shared" si="1328"/>
        <v>0.18212162092708453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3.13</v>
      </c>
      <c r="X190" s="937">
        <f t="shared" si="1332"/>
        <v>1313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0.55876108064094698</v>
      </c>
      <c r="C191" s="651">
        <v>-0.322601310895691</v>
      </c>
      <c r="D191" s="652">
        <v>-0.23009999999999997</v>
      </c>
      <c r="E191" s="653">
        <v>0.43595790309282811</v>
      </c>
      <c r="F191" s="651">
        <v>0.84009042526230393</v>
      </c>
      <c r="G191" s="654">
        <v>0.32278287456664367</v>
      </c>
      <c r="H191" s="653">
        <v>0.219</v>
      </c>
      <c r="I191" s="942">
        <v>0.52</v>
      </c>
      <c r="J191" s="946">
        <v>3.1030000000000002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1113</v>
      </c>
      <c r="L191" s="683"/>
      <c r="M191" s="934"/>
      <c r="N191" s="31" t="str">
        <f t="shared" si="1330"/>
        <v>Y</v>
      </c>
      <c r="O191" s="162">
        <f t="shared" si="1324"/>
        <v>3.4753011010746113</v>
      </c>
      <c r="P191" s="162">
        <f t="shared" si="1325"/>
        <v>-2.1315478239721632</v>
      </c>
      <c r="Q191" s="162">
        <f t="shared" si="1326"/>
        <v>-1.8979057240836648</v>
      </c>
      <c r="R191" s="162">
        <f t="shared" si="1331"/>
        <v>0.87201501431687212</v>
      </c>
      <c r="S191" s="162">
        <f t="shared" si="1327"/>
        <v>0.47558044585647985</v>
      </c>
      <c r="T191" s="162">
        <f t="shared" si="1328"/>
        <v>0.11581474139718644</v>
      </c>
      <c r="U191" s="162">
        <f>IFERROR(IF(ISNUMBER(MATCH($X191,Settings!$AK$52:$AK$60,0)),INDEX(Settings!$AO$14:$AO$60,MATCH($X191,Settings!$AK$14:$AK$60,0))/2,INDEX(Settings!$AM$14:$AM$60,MATCH($X191,Settings!$AK$14:$AK$60,0))/2),"")</f>
        <v>0.26450000000000001</v>
      </c>
      <c r="V191" s="162">
        <f t="shared" si="1329"/>
        <v>0.52</v>
      </c>
      <c r="W191" s="75">
        <v>3.1360000000000001</v>
      </c>
      <c r="X191" s="937">
        <f t="shared" si="1332"/>
        <v>1313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1.0528298910960932</v>
      </c>
      <c r="C192" s="651">
        <v>-0.60785247001843068</v>
      </c>
      <c r="D192" s="652">
        <v>-0.15629999999999999</v>
      </c>
      <c r="E192" s="653">
        <v>0.44510349050091264</v>
      </c>
      <c r="F192" s="651">
        <v>0.84726502315744634</v>
      </c>
      <c r="G192" s="654">
        <v>0.28987042497970705</v>
      </c>
      <c r="H192" s="653">
        <v>0.219</v>
      </c>
      <c r="I192" s="942">
        <v>0.52</v>
      </c>
      <c r="J192" s="946">
        <v>3.1059999999999999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1113</v>
      </c>
      <c r="L192" s="683"/>
      <c r="M192" s="934"/>
      <c r="N192" s="31" t="str">
        <f t="shared" si="1330"/>
        <v>Y</v>
      </c>
      <c r="O192" s="162">
        <f t="shared" si="1324"/>
        <v>1.088332107199155</v>
      </c>
      <c r="P192" s="162">
        <f t="shared" si="1325"/>
        <v>-1.6345346782444381</v>
      </c>
      <c r="Q192" s="162">
        <f t="shared" si="1326"/>
        <v>-0.15083010862656146</v>
      </c>
      <c r="R192" s="162">
        <f t="shared" si="1331"/>
        <v>-7.2340405729859364E-2</v>
      </c>
      <c r="S192" s="162">
        <f t="shared" si="1327"/>
        <v>0.10864597398309636</v>
      </c>
      <c r="T192" s="162">
        <f t="shared" si="1328"/>
        <v>0.99144486384069985</v>
      </c>
      <c r="U192" s="162">
        <f>IFERROR(IF(ISNUMBER(MATCH($X192,Settings!$AK$52:$AK$60,0)),INDEX(Settings!$AO$14:$AO$60,MATCH($X192,Settings!$AK$14:$AK$60,0))/2,INDEX(Settings!$AM$14:$AM$60,MATCH($X192,Settings!$AK$14:$AK$60,0))/2),"")</f>
        <v>0.22500000000000001</v>
      </c>
      <c r="V192" s="162">
        <f t="shared" si="1329"/>
        <v>0.21199999999999999</v>
      </c>
      <c r="W192" s="75">
        <v>3.21</v>
      </c>
      <c r="X192" s="937" t="str">
        <f t="shared" si="1332"/>
        <v>CPS-31783r1</v>
      </c>
      <c r="AK192" s="82" t="str">
        <f t="shared" si="1333"/>
        <v>Y</v>
      </c>
      <c r="AL192" s="419" t="s">
        <v>9</v>
      </c>
    </row>
    <row r="193" spans="2:38" x14ac:dyDescent="0.25">
      <c r="B193" s="650">
        <v>1.5366795745339372</v>
      </c>
      <c r="C193" s="651">
        <v>-0.88720360516632657</v>
      </c>
      <c r="D193" s="652">
        <v>-8.1700246407943211E-2</v>
      </c>
      <c r="E193" s="653">
        <v>0.44510350139426585</v>
      </c>
      <c r="F193" s="651">
        <v>0.84726503133069531</v>
      </c>
      <c r="G193" s="654">
        <v>0.28987038436301271</v>
      </c>
      <c r="H193" s="653">
        <v>0.219</v>
      </c>
      <c r="I193" s="942">
        <v>0.52</v>
      </c>
      <c r="J193" s="946">
        <v>3.109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1113</v>
      </c>
      <c r="L193" s="683"/>
      <c r="M193" s="934"/>
      <c r="N193" s="31" t="str">
        <f t="shared" si="1330"/>
        <v>Y</v>
      </c>
      <c r="O193" s="162">
        <f t="shared" si="1324"/>
        <v>2.1218216461135135</v>
      </c>
      <c r="P193" s="162">
        <f t="shared" si="1325"/>
        <v>-2.1972131170280815</v>
      </c>
      <c r="Q193" s="162">
        <f t="shared" si="1326"/>
        <v>-0.21287386828337862</v>
      </c>
      <c r="R193" s="162">
        <f t="shared" si="1331"/>
        <v>0.78328788551734385</v>
      </c>
      <c r="S193" s="162">
        <f t="shared" si="1327"/>
        <v>0.55607209577359806</v>
      </c>
      <c r="T193" s="162">
        <f t="shared" si="1328"/>
        <v>0.27792789119432937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3.218</v>
      </c>
      <c r="X193" s="937">
        <f t="shared" si="1332"/>
        <v>1313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2.0207024635144482</v>
      </c>
      <c r="C194" s="651">
        <v>-1.1666547407205763</v>
      </c>
      <c r="D194" s="652">
        <v>-1.5099999999999988E-2</v>
      </c>
      <c r="E194" s="653">
        <v>0.46710839768886353</v>
      </c>
      <c r="F194" s="651">
        <v>0.83456046632462622</v>
      </c>
      <c r="G194" s="654">
        <v>0.29209343172444879</v>
      </c>
      <c r="H194" s="653">
        <v>0.219</v>
      </c>
      <c r="I194" s="942">
        <v>0.52</v>
      </c>
      <c r="J194" s="946">
        <v>3.1120000000000001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1113</v>
      </c>
      <c r="L194" s="683"/>
      <c r="M194" s="934"/>
      <c r="N194" s="31" t="str">
        <f t="shared" si="1330"/>
        <v>Y</v>
      </c>
      <c r="O194" s="162">
        <f t="shared" si="1324"/>
        <v>2.5629290948889887</v>
      </c>
      <c r="P194" s="162">
        <f t="shared" si="1325"/>
        <v>-2.5592308987326371</v>
      </c>
      <c r="Q194" s="162">
        <f t="shared" si="1326"/>
        <v>-0.62823317175960491</v>
      </c>
      <c r="R194" s="162">
        <f t="shared" si="1331"/>
        <v>0.85528472182823356</v>
      </c>
      <c r="S194" s="162">
        <f t="shared" si="1327"/>
        <v>0.44253252848780272</v>
      </c>
      <c r="T194" s="162">
        <f t="shared" si="1328"/>
        <v>0.26954221531588202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3.2240000000000002</v>
      </c>
      <c r="X194" s="937">
        <f t="shared" si="1332"/>
        <v>1313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2.6296264953457227</v>
      </c>
      <c r="C195" s="651">
        <v>-1.5503185039269691</v>
      </c>
      <c r="D195" s="652">
        <v>-0.19940060139221374</v>
      </c>
      <c r="E195" s="653">
        <v>0.59631685026899139</v>
      </c>
      <c r="F195" s="651">
        <v>0.77795934872910544</v>
      </c>
      <c r="G195" s="654">
        <v>0.197953190957498</v>
      </c>
      <c r="H195" s="653">
        <v>0.26600000000000001</v>
      </c>
      <c r="I195" s="942">
        <v>0.52</v>
      </c>
      <c r="J195" s="946">
        <v>3.1179999999999999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1313</v>
      </c>
      <c r="L195" s="683"/>
      <c r="M195" s="934"/>
      <c r="N195" s="31" t="str">
        <f t="shared" si="1330"/>
        <v>Y</v>
      </c>
      <c r="O195" s="162">
        <f t="shared" si="1324"/>
        <v>-2.2149857503361146E-2</v>
      </c>
      <c r="P195" s="162">
        <f t="shared" si="1325"/>
        <v>-2.9395254154467341</v>
      </c>
      <c r="Q195" s="162">
        <f t="shared" si="1326"/>
        <v>-0.15410046476700162</v>
      </c>
      <c r="R195" s="162">
        <f t="shared" si="1331"/>
        <v>0.97248966780250046</v>
      </c>
      <c r="S195" s="162">
        <f t="shared" si="1327"/>
        <v>-0.10957157292887981</v>
      </c>
      <c r="T195" s="162">
        <f t="shared" si="1328"/>
        <v>0.20556730387703601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4.117</v>
      </c>
      <c r="X195" s="937">
        <f t="shared" si="1332"/>
        <v>1313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3.0993468130764015</v>
      </c>
      <c r="C196" s="651">
        <v>-1.8650104815087758</v>
      </c>
      <c r="D196" s="652">
        <v>-0.61740186208401615</v>
      </c>
      <c r="E196" s="653">
        <v>0.6987686561556542</v>
      </c>
      <c r="F196" s="651">
        <v>0.6858454556414979</v>
      </c>
      <c r="G196" s="654">
        <v>0.20331841075103704</v>
      </c>
      <c r="H196" s="653">
        <v>0.26600000000000001</v>
      </c>
      <c r="I196" s="942">
        <v>0.52</v>
      </c>
      <c r="J196" s="946">
        <v>3.1240000000000001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-5.9258562822260955E-2</v>
      </c>
      <c r="P196" s="162">
        <f t="shared" ref="P196:P227" si="1335">IFERROR(INDEX(C$164:C$305,MATCH($W196,$J$164:$J$305,0)),"")</f>
        <v>-3.5374143571297707</v>
      </c>
      <c r="Q196" s="162">
        <f t="shared" ref="Q196:Q227" si="1336">IFERROR(INDEX(D$164:D$305,MATCH($W196,$J$164:$J$305,0)),"")</f>
        <v>-0.53260160632644438</v>
      </c>
      <c r="R196" s="162">
        <f t="shared" si="1331"/>
        <v>0.94961265483697233</v>
      </c>
      <c r="S196" s="162">
        <f t="shared" si="1327"/>
        <v>-0.2378810084182934</v>
      </c>
      <c r="T196" s="162">
        <f t="shared" si="1328"/>
        <v>0.20407947375317609</v>
      </c>
      <c r="U196" s="162">
        <f>IFERROR(IF(ISNUMBER(MATCH($X196,Settings!$AK$52:$AK$60,0)),INDEX(Settings!$AO$14:$AO$60,MATCH($X196,Settings!$AK$14:$AK$60,0))/2,INDEX(Settings!$AM$14:$AM$60,MATCH($X196,Settings!$AK$14:$AK$60,0))/2),"")</f>
        <v>0.26450000000000001</v>
      </c>
      <c r="V196" s="162">
        <f t="shared" ref="V196:V227" si="1337">IFERROR(INDEX(I$164:I$305,MATCH($W196,$J$164:$J$305,0)),"")</f>
        <v>0.52</v>
      </c>
      <c r="W196" s="75">
        <v>4.1230000000000002</v>
      </c>
      <c r="X196" s="937">
        <f t="shared" si="1332"/>
        <v>1313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3.3748200443174725</v>
      </c>
      <c r="C197" s="651">
        <v>-2.0577952283660057</v>
      </c>
      <c r="D197" s="652">
        <v>-1.2315037142152023</v>
      </c>
      <c r="E197" s="653">
        <v>0.81422280190582641</v>
      </c>
      <c r="F197" s="651">
        <v>0.55124671794716096</v>
      </c>
      <c r="G197" s="654">
        <v>0.18212162092708453</v>
      </c>
      <c r="H197" s="653">
        <v>0.26600000000000001</v>
      </c>
      <c r="I197" s="942">
        <v>0.52</v>
      </c>
      <c r="J197" s="946">
        <v>3.13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-9.1296637373552467E-2</v>
      </c>
      <c r="P197" s="162">
        <f t="shared" si="1335"/>
        <v>-3.9154475732799021</v>
      </c>
      <c r="Q197" s="162">
        <f t="shared" si="1336"/>
        <v>-1.1189033746125774</v>
      </c>
      <c r="R197" s="162">
        <f t="shared" si="1331"/>
        <v>0.89295193955310603</v>
      </c>
      <c r="S197" s="162">
        <f t="shared" si="1327"/>
        <v>-0.40590418070614548</v>
      </c>
      <c r="T197" s="162">
        <f t="shared" si="1328"/>
        <v>0.19462432975766153</v>
      </c>
      <c r="U197" s="162">
        <f>IFERROR(IF(ISNUMBER(MATCH($X197,Settings!$AK$52:$AK$60,0)),INDEX(Settings!$AO$14:$AO$60,MATCH($X197,Settings!$AK$14:$AK$60,0))/2,INDEX(Settings!$AM$14:$AM$60,MATCH($X197,Settings!$AK$14:$AK$60,0))/2),"")</f>
        <v>0.26450000000000001</v>
      </c>
      <c r="V197" s="162">
        <f t="shared" si="1337"/>
        <v>0.52</v>
      </c>
      <c r="W197" s="75">
        <v>4.1289999999999996</v>
      </c>
      <c r="X197" s="937">
        <f t="shared" si="1332"/>
        <v>1313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3.4753011010746113</v>
      </c>
      <c r="C198" s="651">
        <v>-2.1315478239721632</v>
      </c>
      <c r="D198" s="652">
        <v>-1.8979057240836648</v>
      </c>
      <c r="E198" s="653">
        <v>0.87201501431687212</v>
      </c>
      <c r="F198" s="651">
        <v>0.47558044585647985</v>
      </c>
      <c r="G198" s="654">
        <v>0.11581474139718644</v>
      </c>
      <c r="H198" s="653">
        <v>0.26600000000000001</v>
      </c>
      <c r="I198" s="942">
        <v>0.52</v>
      </c>
      <c r="J198" s="946">
        <v>3.1360000000000001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-0.10832339820638298</v>
      </c>
      <c r="P198" s="162">
        <f t="shared" si="1335"/>
        <v>-4.0754729676949024</v>
      </c>
      <c r="Q198" s="162">
        <f t="shared" si="1336"/>
        <v>-1.7901053989578828</v>
      </c>
      <c r="R198" s="162">
        <f t="shared" si="1331"/>
        <v>0.84787233304192344</v>
      </c>
      <c r="S198" s="162">
        <f t="shared" si="1327"/>
        <v>-0.51739680375621655</v>
      </c>
      <c r="T198" s="162">
        <f t="shared" si="1328"/>
        <v>0.11581474139718587</v>
      </c>
      <c r="U198" s="162">
        <f>IFERROR(IF(ISNUMBER(MATCH($X198,Settings!$AK$52:$AK$60,0)),INDEX(Settings!$AO$14:$AO$60,MATCH($X198,Settings!$AK$14:$AK$60,0))/2,INDEX(Settings!$AM$14:$AM$60,MATCH($X198,Settings!$AK$14:$AK$60,0))/2),"")</f>
        <v>0.26450000000000001</v>
      </c>
      <c r="V198" s="162">
        <f t="shared" si="1337"/>
        <v>0.52</v>
      </c>
      <c r="W198" s="75">
        <v>4.1349999999999998</v>
      </c>
      <c r="X198" s="937">
        <f t="shared" si="1332"/>
        <v>1313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1.088332107199155</v>
      </c>
      <c r="C199" s="651">
        <v>-1.6345346782444381</v>
      </c>
      <c r="D199" s="652">
        <v>-0.15083010862656146</v>
      </c>
      <c r="E199" s="653">
        <v>-7.2340405729859364E-2</v>
      </c>
      <c r="F199" s="651">
        <v>0.10864597398309636</v>
      </c>
      <c r="G199" s="654">
        <v>0.99144486384069985</v>
      </c>
      <c r="H199" s="653">
        <v>0.19500000000000001</v>
      </c>
      <c r="I199" s="942">
        <v>0.21199999999999999</v>
      </c>
      <c r="J199" s="946">
        <v>3.21</v>
      </c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CPS-31783r1</v>
      </c>
      <c r="L199" s="683"/>
      <c r="M199" s="934"/>
      <c r="N199" s="31" t="str">
        <f t="shared" si="1330"/>
        <v>Y</v>
      </c>
      <c r="O199" s="162">
        <f t="shared" si="1334"/>
        <v>-0.78599286276615254</v>
      </c>
      <c r="P199" s="162">
        <f t="shared" si="1335"/>
        <v>-2.8341941396243211</v>
      </c>
      <c r="Q199" s="162">
        <f t="shared" si="1336"/>
        <v>-0.16696856425688794</v>
      </c>
      <c r="R199" s="162">
        <f t="shared" si="1331"/>
        <v>0.88246954016122547</v>
      </c>
      <c r="S199" s="162">
        <f t="shared" si="1327"/>
        <v>-0.37279623712441673</v>
      </c>
      <c r="T199" s="162">
        <f t="shared" si="1328"/>
        <v>0.286828304519465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4.2169999999999996</v>
      </c>
      <c r="X199" s="937">
        <f t="shared" si="1332"/>
        <v>1313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2.1218216461135135</v>
      </c>
      <c r="C200" s="651">
        <v>-2.1972131170280815</v>
      </c>
      <c r="D200" s="652">
        <v>-0.21287386828337862</v>
      </c>
      <c r="E200" s="653">
        <v>0.78328788551734385</v>
      </c>
      <c r="F200" s="651">
        <v>0.55607209577359806</v>
      </c>
      <c r="G200" s="654">
        <v>0.27792789119432937</v>
      </c>
      <c r="H200" s="653">
        <v>0.26600000000000001</v>
      </c>
      <c r="I200" s="942">
        <v>0.52</v>
      </c>
      <c r="J200" s="946">
        <v>3.218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-0.93178723031727984</v>
      </c>
      <c r="P200" s="162">
        <f t="shared" si="1335"/>
        <v>-3.4173038378152376</v>
      </c>
      <c r="Q200" s="162">
        <f t="shared" si="1336"/>
        <v>-0.54397791923016303</v>
      </c>
      <c r="R200" s="162">
        <f t="shared" si="1331"/>
        <v>0.82186419494211727</v>
      </c>
      <c r="S200" s="162">
        <f t="shared" si="1327"/>
        <v>-0.49992687561099108</v>
      </c>
      <c r="T200" s="162">
        <f t="shared" si="1328"/>
        <v>0.27315263885596724</v>
      </c>
      <c r="U200" s="162">
        <f>IFERROR(IF(ISNUMBER(MATCH($X200,Settings!$AK$52:$AK$60,0)),INDEX(Settings!$AO$14:$AO$60,MATCH($X200,Settings!$AK$14:$AK$60,0))/2,INDEX(Settings!$AM$14:$AM$60,MATCH($X200,Settings!$AK$14:$AK$60,0))/2),"")</f>
        <v>0.26450000000000001</v>
      </c>
      <c r="V200" s="162">
        <f t="shared" si="1337"/>
        <v>0.52</v>
      </c>
      <c r="W200" s="75">
        <v>4.2229999999999999</v>
      </c>
      <c r="X200" s="937">
        <f t="shared" si="1332"/>
        <v>1313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2.5629290948889887</v>
      </c>
      <c r="C201" s="651">
        <v>-2.5592308987326371</v>
      </c>
      <c r="D201" s="652">
        <v>-0.62823317175960491</v>
      </c>
      <c r="E201" s="653">
        <v>0.85528472182823356</v>
      </c>
      <c r="F201" s="651">
        <v>0.44253252848780272</v>
      </c>
      <c r="G201" s="654">
        <v>0.26954221531588202</v>
      </c>
      <c r="H201" s="653">
        <v>0.26600000000000001</v>
      </c>
      <c r="I201" s="942">
        <v>0.52</v>
      </c>
      <c r="J201" s="946">
        <v>3.2240000000000002</v>
      </c>
      <c r="K201" s="931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1313</v>
      </c>
      <c r="L201" s="683"/>
      <c r="M201" s="934"/>
      <c r="N201" s="31" t="str">
        <f t="shared" si="1330"/>
        <v>Y</v>
      </c>
      <c r="O201" s="162">
        <f t="shared" si="1334"/>
        <v>-0.36608023343326179</v>
      </c>
      <c r="P201" s="162">
        <f t="shared" si="1335"/>
        <v>-0.25633196719017715</v>
      </c>
      <c r="Q201" s="162">
        <f t="shared" si="1336"/>
        <v>-0.25259999999999994</v>
      </c>
      <c r="R201" s="162">
        <f t="shared" si="1331"/>
        <v>0.57186381059109681</v>
      </c>
      <c r="S201" s="162">
        <f t="shared" si="1327"/>
        <v>-0.73145915656198657</v>
      </c>
      <c r="T201" s="162">
        <f t="shared" si="1328"/>
        <v>0.37140178300306731</v>
      </c>
      <c r="U201" s="162">
        <f>IFERROR(IF(ISNUMBER(MATCH($X201,Settings!$AK$52:$AK$60,0)),INDEX(Settings!$AO$14:$AO$60,MATCH($X201,Settings!$AK$14:$AK$60,0))/2,INDEX(Settings!$AM$14:$AM$60,MATCH($X201,Settings!$AK$14:$AK$60,0))/2),"")</f>
        <v>0.2165</v>
      </c>
      <c r="V201" s="162">
        <f t="shared" si="1337"/>
        <v>0.52</v>
      </c>
      <c r="W201" s="75">
        <v>5.1020000000000003</v>
      </c>
      <c r="X201" s="937">
        <f t="shared" si="1332"/>
        <v>1113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-2.2149857503361146E-2</v>
      </c>
      <c r="C202" s="651">
        <v>-2.9395254154467341</v>
      </c>
      <c r="D202" s="652">
        <v>-0.15410046476700162</v>
      </c>
      <c r="E202" s="653">
        <v>0.97248966780250046</v>
      </c>
      <c r="F202" s="651">
        <v>-0.10957157292887981</v>
      </c>
      <c r="G202" s="654">
        <v>0.20556730387703601</v>
      </c>
      <c r="H202" s="653">
        <v>0.26600000000000001</v>
      </c>
      <c r="I202" s="942">
        <v>0.52</v>
      </c>
      <c r="J202" s="946">
        <v>4.117</v>
      </c>
      <c r="K202" s="931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1313</v>
      </c>
      <c r="L202" s="683"/>
      <c r="M202" s="934"/>
      <c r="N202" s="31" t="str">
        <f t="shared" si="1330"/>
        <v>Y</v>
      </c>
      <c r="O202" s="162">
        <f t="shared" si="1334"/>
        <v>-0.84331975905021972</v>
      </c>
      <c r="P202" s="162">
        <f t="shared" si="1335"/>
        <v>-0.59049845652783062</v>
      </c>
      <c r="Q202" s="162">
        <f t="shared" si="1336"/>
        <v>-0.18120000000000003</v>
      </c>
      <c r="R202" s="162">
        <f t="shared" si="1331"/>
        <v>0.57977424539030875</v>
      </c>
      <c r="S202" s="162">
        <f t="shared" si="1327"/>
        <v>-0.76147026278390029</v>
      </c>
      <c r="T202" s="162">
        <f t="shared" si="1328"/>
        <v>0.28987042497970705</v>
      </c>
      <c r="U202" s="162">
        <f>IFERROR(IF(ISNUMBER(MATCH($X202,Settings!$AK$52:$AK$60,0)),INDEX(Settings!$AO$14:$AO$60,MATCH($X202,Settings!$AK$14:$AK$60,0))/2,INDEX(Settings!$AM$14:$AM$60,MATCH($X202,Settings!$AK$14:$AK$60,0))/2),"")</f>
        <v>0.2165</v>
      </c>
      <c r="V202" s="162">
        <f t="shared" si="1337"/>
        <v>0.52</v>
      </c>
      <c r="W202" s="75">
        <v>5.1050000000000004</v>
      </c>
      <c r="X202" s="937">
        <f t="shared" si="1332"/>
        <v>1113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-5.9258562822260955E-2</v>
      </c>
      <c r="C203" s="651">
        <v>-3.5374143571297707</v>
      </c>
      <c r="D203" s="652">
        <v>-0.53260160632644438</v>
      </c>
      <c r="E203" s="653">
        <v>0.94961265483697233</v>
      </c>
      <c r="F203" s="651">
        <v>-0.2378810084182934</v>
      </c>
      <c r="G203" s="654">
        <v>0.20407947375317609</v>
      </c>
      <c r="H203" s="653">
        <v>0.26600000000000001</v>
      </c>
      <c r="I203" s="942">
        <v>0.52</v>
      </c>
      <c r="J203" s="946">
        <v>4.1230000000000002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1313</v>
      </c>
      <c r="L203" s="683"/>
      <c r="M203" s="934"/>
      <c r="N203" s="31" t="str">
        <f t="shared" si="1330"/>
        <v>Y</v>
      </c>
      <c r="O203" s="162">
        <f t="shared" si="1334"/>
        <v>-1.3009814874439622</v>
      </c>
      <c r="P203" s="162">
        <f t="shared" si="1335"/>
        <v>-0.91095643385867009</v>
      </c>
      <c r="Q203" s="162">
        <f t="shared" si="1336"/>
        <v>-0.1066003215065697</v>
      </c>
      <c r="R203" s="162">
        <f t="shared" si="1331"/>
        <v>0.57977424819406165</v>
      </c>
      <c r="S203" s="162">
        <f t="shared" si="1327"/>
        <v>-0.76147027611079476</v>
      </c>
      <c r="T203" s="162">
        <f t="shared" si="1328"/>
        <v>0.28987038436301266</v>
      </c>
      <c r="U203" s="162">
        <f>IFERROR(IF(ISNUMBER(MATCH($X203,Settings!$AK$52:$AK$60,0)),INDEX(Settings!$AO$14:$AO$60,MATCH($X203,Settings!$AK$14:$AK$60,0))/2,INDEX(Settings!$AM$14:$AM$60,MATCH($X203,Settings!$AK$14:$AK$60,0))/2),"")</f>
        <v>0.2165</v>
      </c>
      <c r="V203" s="162">
        <f t="shared" si="1337"/>
        <v>0.52</v>
      </c>
      <c r="W203" s="75">
        <v>5.1079999999999997</v>
      </c>
      <c r="X203" s="937">
        <f t="shared" si="1332"/>
        <v>1113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-9.1296637373552467E-2</v>
      </c>
      <c r="C204" s="651">
        <v>-3.9154475732799021</v>
      </c>
      <c r="D204" s="652">
        <v>-1.1189033746125774</v>
      </c>
      <c r="E204" s="653">
        <v>0.89295193955310603</v>
      </c>
      <c r="F204" s="651">
        <v>-0.40590418070614548</v>
      </c>
      <c r="G204" s="654">
        <v>0.19462432975766153</v>
      </c>
      <c r="H204" s="653">
        <v>0.26600000000000001</v>
      </c>
      <c r="I204" s="942">
        <v>0.52</v>
      </c>
      <c r="J204" s="946">
        <v>4.1289999999999996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1313</v>
      </c>
      <c r="L204" s="683"/>
      <c r="M204" s="934"/>
      <c r="N204" s="31" t="str">
        <f t="shared" si="1330"/>
        <v>Y</v>
      </c>
      <c r="O204" s="162">
        <f t="shared" si="1334"/>
        <v>-1.7585613003681511</v>
      </c>
      <c r="P204" s="162">
        <f t="shared" si="1335"/>
        <v>-1.2313570533986855</v>
      </c>
      <c r="Q204" s="162">
        <f t="shared" si="1336"/>
        <v>-3.2000096512291069E-2</v>
      </c>
      <c r="R204" s="162">
        <f t="shared" si="1331"/>
        <v>0.56938716152390134</v>
      </c>
      <c r="S204" s="162">
        <f t="shared" si="1327"/>
        <v>-0.76874338762125938</v>
      </c>
      <c r="T204" s="162">
        <f t="shared" si="1328"/>
        <v>0.29125910162661839</v>
      </c>
      <c r="U204" s="162">
        <f>IFERROR(IF(ISNUMBER(MATCH($X204,Settings!$AK$52:$AK$60,0)),INDEX(Settings!$AO$14:$AO$60,MATCH($X204,Settings!$AK$14:$AK$60,0))/2,INDEX(Settings!$AM$14:$AM$60,MATCH($X204,Settings!$AK$14:$AK$60,0))/2),"")</f>
        <v>0.2165</v>
      </c>
      <c r="V204" s="162">
        <f t="shared" si="1337"/>
        <v>0.52</v>
      </c>
      <c r="W204" s="75">
        <v>5.1109999999999998</v>
      </c>
      <c r="X204" s="937">
        <f t="shared" si="1332"/>
        <v>1113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-0.10832339820638298</v>
      </c>
      <c r="C205" s="651">
        <v>-4.0754729676949024</v>
      </c>
      <c r="D205" s="652">
        <v>-1.7901053989578828</v>
      </c>
      <c r="E205" s="653">
        <v>0.84787233304192344</v>
      </c>
      <c r="F205" s="651">
        <v>-0.51739680375621655</v>
      </c>
      <c r="G205" s="654">
        <v>0.11581474139718587</v>
      </c>
      <c r="H205" s="653">
        <v>0.26600000000000001</v>
      </c>
      <c r="I205" s="942">
        <v>0.52</v>
      </c>
      <c r="J205" s="946">
        <v>4.1349999999999998</v>
      </c>
      <c r="K205" s="931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1313</v>
      </c>
      <c r="L205" s="683"/>
      <c r="M205" s="934"/>
      <c r="N205" s="31" t="str">
        <f t="shared" si="1330"/>
        <v>Y</v>
      </c>
      <c r="O205" s="162">
        <f t="shared" si="1334"/>
        <v>-2.3217703176536872</v>
      </c>
      <c r="P205" s="162">
        <f t="shared" si="1335"/>
        <v>-1.6049725531127916</v>
      </c>
      <c r="Q205" s="162">
        <f t="shared" si="1336"/>
        <v>-0.12010036222269251</v>
      </c>
      <c r="R205" s="162">
        <f t="shared" si="1331"/>
        <v>0.48593291890924839</v>
      </c>
      <c r="S205" s="162">
        <f t="shared" si="1327"/>
        <v>-0.84993113319326941</v>
      </c>
      <c r="T205" s="162">
        <f t="shared" si="1328"/>
        <v>0.20368177912897112</v>
      </c>
      <c r="U205" s="162">
        <f>IFERROR(IF(ISNUMBER(MATCH($X205,Settings!$AK$52:$AK$60,0)),INDEX(Settings!$AO$14:$AO$60,MATCH($X205,Settings!$AK$14:$AK$60,0))/2,INDEX(Settings!$AM$14:$AM$60,MATCH($X205,Settings!$AK$14:$AK$60,0))/2),"")</f>
        <v>0.26450000000000001</v>
      </c>
      <c r="V205" s="162">
        <f t="shared" si="1337"/>
        <v>0.52</v>
      </c>
      <c r="W205" s="75">
        <v>5.1159999999999997</v>
      </c>
      <c r="X205" s="937">
        <f t="shared" si="1332"/>
        <v>1313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-0.78599286276615254</v>
      </c>
      <c r="C206" s="651">
        <v>-2.8341941396243211</v>
      </c>
      <c r="D206" s="652">
        <v>-0.16696856425688794</v>
      </c>
      <c r="E206" s="653">
        <v>0.88246954016122547</v>
      </c>
      <c r="F206" s="651">
        <v>-0.37279623712441673</v>
      </c>
      <c r="G206" s="654">
        <v>0.286828304519465</v>
      </c>
      <c r="H206" s="653">
        <v>0.26600000000000001</v>
      </c>
      <c r="I206" s="942">
        <v>0.52</v>
      </c>
      <c r="J206" s="946">
        <v>4.2169999999999996</v>
      </c>
      <c r="K206" s="931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1313</v>
      </c>
      <c r="L206" s="683"/>
      <c r="M206" s="934"/>
      <c r="N206" s="31" t="str">
        <f t="shared" si="1330"/>
        <v>Y</v>
      </c>
      <c r="O206" s="162">
        <f t="shared" si="1334"/>
        <v>-2.8582302661343832</v>
      </c>
      <c r="P206" s="162">
        <f t="shared" si="1335"/>
        <v>-1.9367597709095279</v>
      </c>
      <c r="Q206" s="162">
        <f t="shared" si="1336"/>
        <v>-0.45400136926812956</v>
      </c>
      <c r="R206" s="162">
        <f t="shared" si="1331"/>
        <v>0.37269054216398023</v>
      </c>
      <c r="S206" s="162">
        <f t="shared" si="1327"/>
        <v>-0.90554099629669638</v>
      </c>
      <c r="T206" s="162">
        <f t="shared" si="1328"/>
        <v>0.20272460089368777</v>
      </c>
      <c r="U206" s="162">
        <f>IFERROR(IF(ISNUMBER(MATCH($X206,Settings!$AK$52:$AK$60,0)),INDEX(Settings!$AO$14:$AO$60,MATCH($X206,Settings!$AK$14:$AK$60,0))/2,INDEX(Settings!$AM$14:$AM$60,MATCH($X206,Settings!$AK$14:$AK$60,0))/2),"")</f>
        <v>0.26450000000000001</v>
      </c>
      <c r="V206" s="162">
        <f t="shared" si="1337"/>
        <v>0.52</v>
      </c>
      <c r="W206" s="75">
        <v>5.1219999999999999</v>
      </c>
      <c r="X206" s="937">
        <f t="shared" si="1332"/>
        <v>1313</v>
      </c>
      <c r="AK206" s="82" t="str">
        <f t="shared" si="1333"/>
        <v>Y</v>
      </c>
      <c r="AL206" s="419" t="s">
        <v>9</v>
      </c>
    </row>
    <row r="207" spans="2:38" x14ac:dyDescent="0.25">
      <c r="B207" s="650">
        <v>-0.93178723031727984</v>
      </c>
      <c r="C207" s="651">
        <v>-3.4173038378152376</v>
      </c>
      <c r="D207" s="652">
        <v>-0.54397791923016303</v>
      </c>
      <c r="E207" s="653">
        <v>0.82186419494211727</v>
      </c>
      <c r="F207" s="651">
        <v>-0.49992687561099108</v>
      </c>
      <c r="G207" s="654">
        <v>0.27315263885596724</v>
      </c>
      <c r="H207" s="653">
        <v>0.26600000000000001</v>
      </c>
      <c r="I207" s="942">
        <v>0.52</v>
      </c>
      <c r="J207" s="946">
        <v>4.2229999999999999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1313</v>
      </c>
      <c r="L207" s="683"/>
      <c r="M207" s="934"/>
      <c r="N207" s="31" t="str">
        <f t="shared" si="1330"/>
        <v>Y</v>
      </c>
      <c r="O207" s="162">
        <f t="shared" si="1334"/>
        <v>-3.2209729887173539</v>
      </c>
      <c r="P207" s="162">
        <f t="shared" si="1335"/>
        <v>-2.1489084299761609</v>
      </c>
      <c r="Q207" s="162">
        <f t="shared" si="1336"/>
        <v>-1.0093030440579811</v>
      </c>
      <c r="R207" s="162">
        <f t="shared" si="1331"/>
        <v>0.21789924670753943</v>
      </c>
      <c r="S207" s="162">
        <f t="shared" si="1327"/>
        <v>-0.95636248460586448</v>
      </c>
      <c r="T207" s="162">
        <f t="shared" si="1328"/>
        <v>0.19465537835565866</v>
      </c>
      <c r="U207" s="162">
        <f>IFERROR(IF(ISNUMBER(MATCH($X207,Settings!$AK$52:$AK$60,0)),INDEX(Settings!$AO$14:$AO$60,MATCH($X207,Settings!$AK$14:$AK$60,0))/2,INDEX(Settings!$AM$14:$AM$60,MATCH($X207,Settings!$AK$14:$AK$60,0))/2),"")</f>
        <v>0.26450000000000001</v>
      </c>
      <c r="V207" s="162">
        <f t="shared" si="1337"/>
        <v>0.52</v>
      </c>
      <c r="W207" s="75">
        <v>5.1280000000000001</v>
      </c>
      <c r="X207" s="937">
        <f t="shared" si="1332"/>
        <v>1313</v>
      </c>
      <c r="AK207" s="82" t="str">
        <f t="shared" si="1333"/>
        <v>Y</v>
      </c>
      <c r="AL207" s="419" t="s">
        <v>9</v>
      </c>
    </row>
    <row r="208" spans="2:38" x14ac:dyDescent="0.25">
      <c r="B208" s="650">
        <v>-0.36608023343326179</v>
      </c>
      <c r="C208" s="651">
        <v>-0.25633196719017715</v>
      </c>
      <c r="D208" s="652">
        <v>-0.25259999999999994</v>
      </c>
      <c r="E208" s="653">
        <v>0.57186381059109681</v>
      </c>
      <c r="F208" s="651">
        <v>-0.73145915656198657</v>
      </c>
      <c r="G208" s="654">
        <v>0.37140178300306731</v>
      </c>
      <c r="H208" s="653">
        <v>0.219</v>
      </c>
      <c r="I208" s="942">
        <v>0.52</v>
      </c>
      <c r="J208" s="946">
        <v>5.1020000000000003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1113</v>
      </c>
      <c r="L208" s="683"/>
      <c r="M208" s="934"/>
      <c r="N208" s="31" t="str">
        <f t="shared" si="1330"/>
        <v>Y</v>
      </c>
      <c r="O208" s="162">
        <f t="shared" si="1334"/>
        <v>-3.4004653302214547</v>
      </c>
      <c r="P208" s="162">
        <f t="shared" si="1335"/>
        <v>-2.2490107618623698</v>
      </c>
      <c r="Q208" s="162">
        <f t="shared" si="1336"/>
        <v>-1.6634050168295302</v>
      </c>
      <c r="R208" s="162">
        <f t="shared" si="1331"/>
        <v>6.2536329041490354E-2</v>
      </c>
      <c r="S208" s="162">
        <f t="shared" si="1327"/>
        <v>-0.991300233645245</v>
      </c>
      <c r="T208" s="162">
        <f t="shared" si="1328"/>
        <v>0.11581474139718573</v>
      </c>
      <c r="U208" s="162">
        <f>IFERROR(IF(ISNUMBER(MATCH($X208,Settings!$AK$52:$AK$60,0)),INDEX(Settings!$AO$14:$AO$60,MATCH($X208,Settings!$AK$14:$AK$60,0))/2,INDEX(Settings!$AM$14:$AM$60,MATCH($X208,Settings!$AK$14:$AK$60,0))/2),"")</f>
        <v>0.26450000000000001</v>
      </c>
      <c r="V208" s="162">
        <f t="shared" si="1337"/>
        <v>0.52</v>
      </c>
      <c r="W208" s="75">
        <v>5.1340000000000003</v>
      </c>
      <c r="X208" s="937">
        <f t="shared" si="1332"/>
        <v>1313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-0.84331975905021972</v>
      </c>
      <c r="C209" s="651">
        <v>-0.59049845652783062</v>
      </c>
      <c r="D209" s="652">
        <v>-0.18120000000000003</v>
      </c>
      <c r="E209" s="653">
        <v>0.57977424539030875</v>
      </c>
      <c r="F209" s="651">
        <v>-0.76147026278390029</v>
      </c>
      <c r="G209" s="654">
        <v>0.28987042497970705</v>
      </c>
      <c r="H209" s="653">
        <v>0.219</v>
      </c>
      <c r="I209" s="942">
        <v>0.52</v>
      </c>
      <c r="J209" s="946">
        <v>5.1050000000000004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1113</v>
      </c>
      <c r="L209" s="683"/>
      <c r="M209" s="934"/>
      <c r="N209" s="31" t="str">
        <f t="shared" si="1330"/>
        <v>Y</v>
      </c>
      <c r="O209" s="162">
        <f t="shared" si="1334"/>
        <v>-1.7650434300559494</v>
      </c>
      <c r="P209" s="162">
        <f t="shared" si="1335"/>
        <v>-0.21017527561847232</v>
      </c>
      <c r="Q209" s="162">
        <f t="shared" si="1336"/>
        <v>-0.17412436539978829</v>
      </c>
      <c r="R209" s="162">
        <f t="shared" si="1331"/>
        <v>0.12961051958639341</v>
      </c>
      <c r="S209" s="162">
        <f t="shared" si="1327"/>
        <v>1.5433573028999156E-2</v>
      </c>
      <c r="T209" s="162">
        <f t="shared" si="1328"/>
        <v>0.99144486384069974</v>
      </c>
      <c r="U209" s="162">
        <f>IFERROR(IF(ISNUMBER(MATCH($X209,Settings!$AK$52:$AK$60,0)),INDEX(Settings!$AO$14:$AO$60,MATCH($X209,Settings!$AK$14:$AK$60,0))/2,INDEX(Settings!$AM$14:$AM$60,MATCH($X209,Settings!$AK$14:$AK$60,0))/2),"")</f>
        <v>0.22500000000000001</v>
      </c>
      <c r="V209" s="162">
        <f t="shared" si="1337"/>
        <v>0.21199999999999999</v>
      </c>
      <c r="W209" s="75">
        <v>5.2089999999999996</v>
      </c>
      <c r="X209" s="937" t="str">
        <f t="shared" si="1332"/>
        <v>CPS-31783r1</v>
      </c>
      <c r="AK209" s="82" t="str">
        <f t="shared" si="1333"/>
        <v>Y</v>
      </c>
      <c r="AL209" s="419" t="s">
        <v>9</v>
      </c>
    </row>
    <row r="210" spans="2:38" x14ac:dyDescent="0.25">
      <c r="B210" s="650">
        <v>-1.3009814874439622</v>
      </c>
      <c r="C210" s="651">
        <v>-0.91095643385867009</v>
      </c>
      <c r="D210" s="652">
        <v>-0.1066003215065697</v>
      </c>
      <c r="E210" s="653">
        <v>0.57977424819406165</v>
      </c>
      <c r="F210" s="651">
        <v>-0.76147027611079476</v>
      </c>
      <c r="G210" s="654">
        <v>0.28987038436301266</v>
      </c>
      <c r="H210" s="653">
        <v>0.219</v>
      </c>
      <c r="I210" s="942">
        <v>0.52</v>
      </c>
      <c r="J210" s="946">
        <v>5.1079999999999997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1113</v>
      </c>
      <c r="L210" s="683"/>
      <c r="M210" s="934"/>
      <c r="N210" s="31" t="str">
        <f t="shared" si="1330"/>
        <v>Y</v>
      </c>
      <c r="O210" s="162">
        <f t="shared" si="1334"/>
        <v>-2.6613428504847221</v>
      </c>
      <c r="P210" s="162">
        <f t="shared" si="1335"/>
        <v>-0.94367963575940317</v>
      </c>
      <c r="Q210" s="162">
        <f t="shared" si="1336"/>
        <v>-0.13316200909059211</v>
      </c>
      <c r="R210" s="162">
        <f t="shared" si="1331"/>
        <v>0.22386993226511739</v>
      </c>
      <c r="S210" s="162">
        <f t="shared" si="1327"/>
        <v>-0.93165439020465335</v>
      </c>
      <c r="T210" s="162">
        <f t="shared" si="1328"/>
        <v>0.28618586729607604</v>
      </c>
      <c r="U210" s="162">
        <f>IFERROR(IF(ISNUMBER(MATCH($X210,Settings!$AK$52:$AK$60,0)),INDEX(Settings!$AO$14:$AO$60,MATCH($X210,Settings!$AK$14:$AK$60,0))/2,INDEX(Settings!$AM$14:$AM$60,MATCH($X210,Settings!$AK$14:$AK$60,0))/2),"")</f>
        <v>0.26450000000000001</v>
      </c>
      <c r="V210" s="162">
        <f t="shared" si="1337"/>
        <v>0.52</v>
      </c>
      <c r="W210" s="75">
        <v>5.2160000000000002</v>
      </c>
      <c r="X210" s="937">
        <f t="shared" si="1332"/>
        <v>1313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-1.7585613003681511</v>
      </c>
      <c r="C211" s="651">
        <v>-1.2313570533986855</v>
      </c>
      <c r="D211" s="652">
        <v>-3.2000096512291069E-2</v>
      </c>
      <c r="E211" s="653">
        <v>0.56938716152390134</v>
      </c>
      <c r="F211" s="651">
        <v>-0.76874338762125938</v>
      </c>
      <c r="G211" s="654">
        <v>0.29125910162661839</v>
      </c>
      <c r="H211" s="653">
        <v>0.219</v>
      </c>
      <c r="I211" s="942">
        <v>0.52</v>
      </c>
      <c r="J211" s="946">
        <v>5.1109999999999998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1113</v>
      </c>
      <c r="L211" s="683"/>
      <c r="M211" s="934"/>
      <c r="N211" s="31" t="str">
        <f t="shared" si="1330"/>
        <v>Y</v>
      </c>
      <c r="O211" s="162">
        <f t="shared" si="1334"/>
        <v>-3.2328957595007957</v>
      </c>
      <c r="P211" s="162">
        <f t="shared" si="1335"/>
        <v>-1.2222791295348037</v>
      </c>
      <c r="Q211" s="162">
        <f t="shared" si="1336"/>
        <v>-0.46440591996575747</v>
      </c>
      <c r="R211" s="162">
        <f t="shared" si="1331"/>
        <v>0.10449057397794613</v>
      </c>
      <c r="S211" s="162">
        <f t="shared" si="1327"/>
        <v>-0.95592278557405685</v>
      </c>
      <c r="T211" s="162">
        <f t="shared" si="1328"/>
        <v>0.2743963337402584</v>
      </c>
      <c r="U211" s="162">
        <f>IFERROR(IF(ISNUMBER(MATCH($X211,Settings!$AK$52:$AK$60,0)),INDEX(Settings!$AO$14:$AO$60,MATCH($X211,Settings!$AK$14:$AK$60,0))/2,INDEX(Settings!$AM$14:$AM$60,MATCH($X211,Settings!$AK$14:$AK$60,0))/2),"")</f>
        <v>0.26450000000000001</v>
      </c>
      <c r="V211" s="162">
        <f t="shared" si="1337"/>
        <v>0.52</v>
      </c>
      <c r="W211" s="75">
        <v>5.2220000000000004</v>
      </c>
      <c r="X211" s="937">
        <f t="shared" si="1332"/>
        <v>1313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-2.3217703176536872</v>
      </c>
      <c r="C212" s="651">
        <v>-1.6049725531127916</v>
      </c>
      <c r="D212" s="652">
        <v>-0.12010036222269251</v>
      </c>
      <c r="E212" s="653">
        <v>0.48593291890924839</v>
      </c>
      <c r="F212" s="651">
        <v>-0.84993113319326941</v>
      </c>
      <c r="G212" s="654">
        <v>0.20368177912897112</v>
      </c>
      <c r="H212" s="653">
        <v>0.26600000000000001</v>
      </c>
      <c r="I212" s="942">
        <v>0.52</v>
      </c>
      <c r="J212" s="946">
        <v>5.1159999999999997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1313</v>
      </c>
      <c r="L212" s="683"/>
      <c r="M212" s="934"/>
      <c r="N212" s="31" t="str">
        <f t="shared" si="1330"/>
        <v>Y</v>
      </c>
      <c r="O212" s="162">
        <f t="shared" si="1334"/>
        <v>-2.3360921051476837</v>
      </c>
      <c r="P212" s="162">
        <f t="shared" si="1335"/>
        <v>1.3631287147484275</v>
      </c>
      <c r="Q212" s="162">
        <f t="shared" si="1336"/>
        <v>-8.7100262694392E-2</v>
      </c>
      <c r="R212" s="162">
        <f t="shared" si="1331"/>
        <v>-0.53785684386394172</v>
      </c>
      <c r="S212" s="162">
        <f t="shared" si="1327"/>
        <v>-0.78913977916708689</v>
      </c>
      <c r="T212" s="162">
        <f t="shared" si="1328"/>
        <v>0.2965947141215447</v>
      </c>
      <c r="U212" s="162">
        <f>IFERROR(IF(ISNUMBER(MATCH($X212,Settings!$AK$52:$AK$60,0)),INDEX(Settings!$AO$14:$AO$60,MATCH($X212,Settings!$AK$14:$AK$60,0))/2,INDEX(Settings!$AM$14:$AM$60,MATCH($X212,Settings!$AK$14:$AK$60,0))/2),"")</f>
        <v>0.26450000000000001</v>
      </c>
      <c r="V212" s="162">
        <f t="shared" si="1337"/>
        <v>0.52</v>
      </c>
      <c r="W212" s="75">
        <v>6.1150000000000002</v>
      </c>
      <c r="X212" s="937">
        <f t="shared" si="1332"/>
        <v>1313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-2.8582302661343832</v>
      </c>
      <c r="C213" s="651">
        <v>-1.9367597709095279</v>
      </c>
      <c r="D213" s="652">
        <v>-0.45400136926812956</v>
      </c>
      <c r="E213" s="653">
        <v>0.37269054216398023</v>
      </c>
      <c r="F213" s="651">
        <v>-0.90554099629669638</v>
      </c>
      <c r="G213" s="654">
        <v>0.20272460089368777</v>
      </c>
      <c r="H213" s="653">
        <v>0.26600000000000001</v>
      </c>
      <c r="I213" s="942">
        <v>0.52</v>
      </c>
      <c r="J213" s="946">
        <v>5.1219999999999999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1313</v>
      </c>
      <c r="L213" s="683"/>
      <c r="M213" s="934"/>
      <c r="N213" s="31" t="str">
        <f t="shared" si="1330"/>
        <v>Y</v>
      </c>
      <c r="O213" s="162">
        <f t="shared" si="1334"/>
        <v>-2.887947010782018</v>
      </c>
      <c r="P213" s="162">
        <f t="shared" si="1335"/>
        <v>1.7211048338579467</v>
      </c>
      <c r="Q213" s="162">
        <f t="shared" si="1336"/>
        <v>-0.38180115151227317</v>
      </c>
      <c r="R213" s="162">
        <f t="shared" si="1331"/>
        <v>-0.64571555324485241</v>
      </c>
      <c r="S213" s="162">
        <f t="shared" si="1327"/>
        <v>-0.73700476330419862</v>
      </c>
      <c r="T213" s="162">
        <f t="shared" si="1328"/>
        <v>0.19968826496471093</v>
      </c>
      <c r="U213" s="162">
        <f>IFERROR(IF(ISNUMBER(MATCH($X213,Settings!$AK$52:$AK$60,0)),INDEX(Settings!$AO$14:$AO$60,MATCH($X213,Settings!$AK$14:$AK$60,0))/2,INDEX(Settings!$AM$14:$AM$60,MATCH($X213,Settings!$AK$14:$AK$60,0))/2),"")</f>
        <v>0.26450000000000001</v>
      </c>
      <c r="V213" s="162">
        <f t="shared" si="1337"/>
        <v>0.52</v>
      </c>
      <c r="W213" s="75">
        <v>6.1210000000000004</v>
      </c>
      <c r="X213" s="937">
        <f t="shared" si="1332"/>
        <v>1313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-3.2209729887173539</v>
      </c>
      <c r="C214" s="651">
        <v>-2.1489084299761609</v>
      </c>
      <c r="D214" s="652">
        <v>-1.0093030440579811</v>
      </c>
      <c r="E214" s="653">
        <v>0.21789924670753943</v>
      </c>
      <c r="F214" s="651">
        <v>-0.95636248460586448</v>
      </c>
      <c r="G214" s="654">
        <v>0.19465537835565866</v>
      </c>
      <c r="H214" s="653">
        <v>0.26600000000000001</v>
      </c>
      <c r="I214" s="942">
        <v>0.52</v>
      </c>
      <c r="J214" s="946">
        <v>5.1280000000000001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1313</v>
      </c>
      <c r="L214" s="683"/>
      <c r="M214" s="934"/>
      <c r="N214" s="31" t="str">
        <f t="shared" si="1330"/>
        <v>Y</v>
      </c>
      <c r="O214" s="162">
        <f t="shared" si="1334"/>
        <v>-3.2575900806426836</v>
      </c>
      <c r="P214" s="162">
        <f t="shared" si="1335"/>
        <v>1.9757359219828401</v>
      </c>
      <c r="Q214" s="162">
        <f t="shared" si="1336"/>
        <v>-0.90400272647222346</v>
      </c>
      <c r="R214" s="162">
        <f t="shared" si="1331"/>
        <v>-0.7574421117716289</v>
      </c>
      <c r="S214" s="162">
        <f t="shared" si="1327"/>
        <v>-0.62052345597837899</v>
      </c>
      <c r="T214" s="162">
        <f t="shared" si="1328"/>
        <v>0.20305685877503366</v>
      </c>
      <c r="U214" s="162">
        <f>IFERROR(IF(ISNUMBER(MATCH($X214,Settings!$AK$52:$AK$60,0)),INDEX(Settings!$AO$14:$AO$60,MATCH($X214,Settings!$AK$14:$AK$60,0))/2,INDEX(Settings!$AM$14:$AM$60,MATCH($X214,Settings!$AK$14:$AK$60,0))/2),"")</f>
        <v>0.26450000000000001</v>
      </c>
      <c r="V214" s="162">
        <f t="shared" si="1337"/>
        <v>0.52</v>
      </c>
      <c r="W214" s="75">
        <v>6.1269999999999998</v>
      </c>
      <c r="X214" s="937">
        <f t="shared" si="1332"/>
        <v>1313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-3.4004653302214547</v>
      </c>
      <c r="C215" s="651">
        <v>-2.2490107618623698</v>
      </c>
      <c r="D215" s="652">
        <v>-1.6634050168295302</v>
      </c>
      <c r="E215" s="653">
        <v>6.2536329041490354E-2</v>
      </c>
      <c r="F215" s="651">
        <v>-0.991300233645245</v>
      </c>
      <c r="G215" s="654">
        <v>0.11581474139718573</v>
      </c>
      <c r="H215" s="653">
        <v>0.26600000000000001</v>
      </c>
      <c r="I215" s="942">
        <v>0.52</v>
      </c>
      <c r="J215" s="946">
        <v>5.1340000000000003</v>
      </c>
      <c r="K215" s="931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1313</v>
      </c>
      <c r="L215" s="683"/>
      <c r="M215" s="934"/>
      <c r="N215" s="31" t="str">
        <f t="shared" si="1330"/>
        <v>Y</v>
      </c>
      <c r="O215" s="162">
        <f t="shared" si="1334"/>
        <v>-3.4486431574031728</v>
      </c>
      <c r="P215" s="162">
        <f t="shared" si="1335"/>
        <v>2.1094012686054975</v>
      </c>
      <c r="Q215" s="162">
        <f t="shared" si="1336"/>
        <v>-1.576204753833538</v>
      </c>
      <c r="R215" s="162">
        <f t="shared" si="1331"/>
        <v>-0.86509738027681615</v>
      </c>
      <c r="S215" s="162">
        <f t="shared" si="1327"/>
        <v>-0.48085785512372042</v>
      </c>
      <c r="T215" s="162">
        <f t="shared" si="1328"/>
        <v>0.14276640292451437</v>
      </c>
      <c r="U215" s="162">
        <f>IFERROR(IF(ISNUMBER(MATCH($X215,Settings!$AK$52:$AK$60,0)),INDEX(Settings!$AO$14:$AO$60,MATCH($X215,Settings!$AK$14:$AK$60,0))/2,INDEX(Settings!$AM$14:$AM$60,MATCH($X215,Settings!$AK$14:$AK$60,0))/2),"")</f>
        <v>0.26450000000000001</v>
      </c>
      <c r="V215" s="162">
        <f t="shared" si="1337"/>
        <v>0.52</v>
      </c>
      <c r="W215" s="75">
        <v>6.133</v>
      </c>
      <c r="X215" s="937">
        <f t="shared" si="1332"/>
        <v>1313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-1.7650434300559494</v>
      </c>
      <c r="C216" s="651">
        <v>-0.21017527561847232</v>
      </c>
      <c r="D216" s="652">
        <v>-0.17412436539978829</v>
      </c>
      <c r="E216" s="653">
        <v>0.12961051958639341</v>
      </c>
      <c r="F216" s="651">
        <v>1.5433573028999156E-2</v>
      </c>
      <c r="G216" s="654">
        <v>0.99144486384069974</v>
      </c>
      <c r="H216" s="653">
        <v>0.19500000000000001</v>
      </c>
      <c r="I216" s="942">
        <v>0.21199999999999999</v>
      </c>
      <c r="J216" s="946">
        <v>5.2089999999999996</v>
      </c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CPS-31783r1</v>
      </c>
      <c r="L216" s="683"/>
      <c r="M216" s="934"/>
      <c r="N216" s="31" t="str">
        <f t="shared" si="1330"/>
        <v>Y</v>
      </c>
      <c r="O216" s="162">
        <f t="shared" si="1334"/>
        <v>-3.4753950708513397</v>
      </c>
      <c r="P216" s="162">
        <f t="shared" si="1335"/>
        <v>2.1313946069447298</v>
      </c>
      <c r="Q216" s="162">
        <f t="shared" si="1336"/>
        <v>-2.2631068255301852</v>
      </c>
      <c r="R216" s="162">
        <f t="shared" si="1331"/>
        <v>-0.8720162708589988</v>
      </c>
      <c r="S216" s="162">
        <f t="shared" si="1327"/>
        <v>-0.47559658140416516</v>
      </c>
      <c r="T216" s="162">
        <f t="shared" si="1328"/>
        <v>0.11573899564898964</v>
      </c>
      <c r="U216" s="162">
        <f>IFERROR(IF(ISNUMBER(MATCH($X216,Settings!$AK$52:$AK$60,0)),INDEX(Settings!$AO$14:$AO$60,MATCH($X216,Settings!$AK$14:$AK$60,0))/2,INDEX(Settings!$AM$14:$AM$60,MATCH($X216,Settings!$AK$14:$AK$60,0))/2),"")</f>
        <v>0.26450000000000001</v>
      </c>
      <c r="V216" s="162">
        <f t="shared" si="1337"/>
        <v>0.52</v>
      </c>
      <c r="W216" s="75">
        <v>6.1390000000000002</v>
      </c>
      <c r="X216" s="937">
        <f t="shared" si="1332"/>
        <v>1313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-2.6613428504847221</v>
      </c>
      <c r="C217" s="651">
        <v>-0.94367963575940317</v>
      </c>
      <c r="D217" s="652">
        <v>-0.13316200909059211</v>
      </c>
      <c r="E217" s="653">
        <v>0.22386993226511739</v>
      </c>
      <c r="F217" s="651">
        <v>-0.93165439020465335</v>
      </c>
      <c r="G217" s="654">
        <v>0.28618586729607604</v>
      </c>
      <c r="H217" s="653">
        <v>0.26600000000000001</v>
      </c>
      <c r="I217" s="942">
        <v>0.52</v>
      </c>
      <c r="J217" s="946">
        <v>5.2160000000000002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1313</v>
      </c>
      <c r="L217" s="683"/>
      <c r="M217" s="934"/>
      <c r="N217" s="31" t="str">
        <f t="shared" si="1330"/>
        <v>Y</v>
      </c>
      <c r="O217" s="162">
        <f t="shared" si="1334"/>
        <v>-1.7214532607844539</v>
      </c>
      <c r="P217" s="162">
        <f t="shared" si="1335"/>
        <v>2.0811360270573713</v>
      </c>
      <c r="Q217" s="162">
        <f t="shared" si="1336"/>
        <v>-0.11394958835336132</v>
      </c>
      <c r="R217" s="162">
        <f t="shared" si="1331"/>
        <v>-0.11067939872218902</v>
      </c>
      <c r="S217" s="162">
        <f t="shared" si="1327"/>
        <v>0.13380490157997749</v>
      </c>
      <c r="T217" s="162">
        <f t="shared" si="1328"/>
        <v>0.98480775738804338</v>
      </c>
      <c r="U217" s="162">
        <f>IFERROR(IF(ISNUMBER(MATCH($X217,Settings!$AK$52:$AK$60,0)),INDEX(Settings!$AO$14:$AO$60,MATCH($X217,Settings!$AK$14:$AK$60,0))/2,INDEX(Settings!$AM$14:$AM$60,MATCH($X217,Settings!$AK$14:$AK$60,0))/2),"")</f>
        <v>0.255</v>
      </c>
      <c r="V217" s="162">
        <f t="shared" si="1337"/>
        <v>0.41499999999999992</v>
      </c>
      <c r="W217" s="75">
        <v>6.2149999999999999</v>
      </c>
      <c r="X217" s="937" t="str">
        <f t="shared" si="1332"/>
        <v>CPS-32193r1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-3.2328957595007957</v>
      </c>
      <c r="C218" s="651">
        <v>-1.2222791295348037</v>
      </c>
      <c r="D218" s="652">
        <v>-0.46440591996575747</v>
      </c>
      <c r="E218" s="653">
        <v>0.10449057397794613</v>
      </c>
      <c r="F218" s="651">
        <v>-0.95592278557405685</v>
      </c>
      <c r="G218" s="654">
        <v>0.2743963337402584</v>
      </c>
      <c r="H218" s="653">
        <v>0.26600000000000001</v>
      </c>
      <c r="I218" s="942">
        <v>0.52</v>
      </c>
      <c r="J218" s="946">
        <v>5.2220000000000004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1313</v>
      </c>
      <c r="L218" s="683"/>
      <c r="M218" s="934"/>
      <c r="N218" s="31" t="str">
        <f t="shared" si="1330"/>
        <v>Y</v>
      </c>
      <c r="O218" s="162">
        <f t="shared" si="1334"/>
        <v>-2.3462272306985024</v>
      </c>
      <c r="P218" s="162">
        <f t="shared" si="1335"/>
        <v>2.4121987616571174</v>
      </c>
      <c r="Q218" s="162">
        <f t="shared" si="1336"/>
        <v>-0.39435906947132093</v>
      </c>
      <c r="R218" s="162">
        <f t="shared" si="1331"/>
        <v>-0.82180725795172715</v>
      </c>
      <c r="S218" s="162">
        <f t="shared" si="1327"/>
        <v>-0.49967778199328045</v>
      </c>
      <c r="T218" s="162">
        <f t="shared" si="1328"/>
        <v>0.2737790075227452</v>
      </c>
      <c r="U218" s="162">
        <f>IFERROR(IF(ISNUMBER(MATCH($X218,Settings!$AK$52:$AK$60,0)),INDEX(Settings!$AO$14:$AO$60,MATCH($X218,Settings!$AK$14:$AK$60,0))/2,INDEX(Settings!$AM$14:$AM$60,MATCH($X218,Settings!$AK$14:$AK$60,0))/2),"")</f>
        <v>0.26450000000000001</v>
      </c>
      <c r="V218" s="162">
        <f t="shared" si="1337"/>
        <v>0.52</v>
      </c>
      <c r="W218" s="75">
        <v>6.2210000000000001</v>
      </c>
      <c r="X218" s="937">
        <f t="shared" si="1332"/>
        <v>1313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-2.3360921051476837</v>
      </c>
      <c r="C219" s="651">
        <v>1.3631287147484275</v>
      </c>
      <c r="D219" s="652">
        <v>-8.7100262694392E-2</v>
      </c>
      <c r="E219" s="653">
        <v>-0.53785684386394172</v>
      </c>
      <c r="F219" s="651">
        <v>-0.78913977916708689</v>
      </c>
      <c r="G219" s="654">
        <v>0.2965947141215447</v>
      </c>
      <c r="H219" s="653">
        <v>0.26600000000000001</v>
      </c>
      <c r="I219" s="942">
        <v>0.52</v>
      </c>
      <c r="J219" s="946">
        <v>6.1150000000000002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1313</v>
      </c>
      <c r="L219" s="683"/>
      <c r="M219" s="934"/>
      <c r="N219" s="31" t="str">
        <f t="shared" si="1330"/>
        <v>Y</v>
      </c>
      <c r="O219" s="162">
        <f t="shared" si="1334"/>
        <v>-2.7259891006341181</v>
      </c>
      <c r="P219" s="162">
        <f t="shared" si="1335"/>
        <v>2.6712298231498468</v>
      </c>
      <c r="Q219" s="162">
        <f t="shared" si="1336"/>
        <v>-0.91364328514821791</v>
      </c>
      <c r="R219" s="162">
        <f t="shared" si="1331"/>
        <v>-0.8932806835874455</v>
      </c>
      <c r="S219" s="162">
        <f t="shared" si="1327"/>
        <v>-0.36699909568610439</v>
      </c>
      <c r="T219" s="162">
        <f t="shared" si="1328"/>
        <v>0.2595405249573326</v>
      </c>
      <c r="U219" s="162">
        <f>IFERROR(IF(ISNUMBER(MATCH($X219,Settings!$AK$52:$AK$60,0)),INDEX(Settings!$AO$14:$AO$60,MATCH($X219,Settings!$AK$14:$AK$60,0))/2,INDEX(Settings!$AM$14:$AM$60,MATCH($X219,Settings!$AK$14:$AK$60,0))/2),"")</f>
        <v>0.26450000000000001</v>
      </c>
      <c r="V219" s="162">
        <f t="shared" si="1337"/>
        <v>0.52</v>
      </c>
      <c r="W219" s="75">
        <v>6.2270000000000003</v>
      </c>
      <c r="X219" s="937">
        <f t="shared" si="1332"/>
        <v>1313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-2.887947010782018</v>
      </c>
      <c r="C220" s="651">
        <v>1.7211048338579467</v>
      </c>
      <c r="D220" s="652">
        <v>-0.38180115151227317</v>
      </c>
      <c r="E220" s="653">
        <v>-0.64571555324485241</v>
      </c>
      <c r="F220" s="651">
        <v>-0.73700476330419862</v>
      </c>
      <c r="G220" s="654">
        <v>0.19968826496471093</v>
      </c>
      <c r="H220" s="653">
        <v>0.26600000000000001</v>
      </c>
      <c r="I220" s="942">
        <v>0.52</v>
      </c>
      <c r="J220" s="946">
        <v>6.1210000000000004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1313</v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AK220" s="82" t="str">
        <f t="shared" si="1333"/>
        <v>Y</v>
      </c>
      <c r="AL220" s="419" t="s">
        <v>400</v>
      </c>
    </row>
    <row r="221" spans="2:38" x14ac:dyDescent="0.25">
      <c r="B221" s="650">
        <v>-3.2575900806426836</v>
      </c>
      <c r="C221" s="651">
        <v>1.9757359219828401</v>
      </c>
      <c r="D221" s="652">
        <v>-0.90400272647222346</v>
      </c>
      <c r="E221" s="653">
        <v>-0.7574421117716289</v>
      </c>
      <c r="F221" s="651">
        <v>-0.62052345597837899</v>
      </c>
      <c r="G221" s="654">
        <v>0.20305685877503366</v>
      </c>
      <c r="H221" s="653">
        <v>0.26600000000000001</v>
      </c>
      <c r="I221" s="942">
        <v>0.52</v>
      </c>
      <c r="J221" s="946">
        <v>6.1269999999999998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1313</v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AK221" s="82" t="str">
        <f t="shared" si="1333"/>
        <v>Y</v>
      </c>
      <c r="AL221" s="419" t="s">
        <v>9</v>
      </c>
    </row>
    <row r="222" spans="2:38" x14ac:dyDescent="0.25">
      <c r="B222" s="650">
        <v>-3.4486431574031728</v>
      </c>
      <c r="C222" s="651">
        <v>2.1094012686054975</v>
      </c>
      <c r="D222" s="652">
        <v>-1.576204753833538</v>
      </c>
      <c r="E222" s="653">
        <v>-0.86509738027681615</v>
      </c>
      <c r="F222" s="651">
        <v>-0.48085785512372042</v>
      </c>
      <c r="G222" s="654">
        <v>0.14276640292451437</v>
      </c>
      <c r="H222" s="653">
        <v>0.26600000000000001</v>
      </c>
      <c r="I222" s="942">
        <v>0.52</v>
      </c>
      <c r="J222" s="946">
        <v>6.133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AK222" s="82" t="str">
        <f t="shared" si="1333"/>
        <v>Y</v>
      </c>
      <c r="AL222" s="419" t="s">
        <v>9</v>
      </c>
    </row>
    <row r="223" spans="2:38" x14ac:dyDescent="0.25">
      <c r="B223" s="650">
        <v>-3.4753950708513397</v>
      </c>
      <c r="C223" s="651">
        <v>2.1313946069447298</v>
      </c>
      <c r="D223" s="652">
        <v>-2.2631068255301852</v>
      </c>
      <c r="E223" s="653">
        <v>-0.8720162708589988</v>
      </c>
      <c r="F223" s="651">
        <v>-0.47559658140416516</v>
      </c>
      <c r="G223" s="654">
        <v>0.11573899564898964</v>
      </c>
      <c r="H223" s="653">
        <v>0.26600000000000001</v>
      </c>
      <c r="I223" s="942">
        <v>0.52</v>
      </c>
      <c r="J223" s="946">
        <v>6.1390000000000002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1313</v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AK223" s="82" t="str">
        <f t="shared" si="1333"/>
        <v>Y</v>
      </c>
      <c r="AL223" s="419" t="s">
        <v>9</v>
      </c>
    </row>
    <row r="224" spans="2:38" x14ac:dyDescent="0.25">
      <c r="B224" s="650">
        <v>-1.7214532607844539</v>
      </c>
      <c r="C224" s="651">
        <v>2.0811360270573713</v>
      </c>
      <c r="D224" s="652">
        <v>-0.11394958835336132</v>
      </c>
      <c r="E224" s="653">
        <v>-0.11067939872218902</v>
      </c>
      <c r="F224" s="651">
        <v>0.13380490157997749</v>
      </c>
      <c r="G224" s="654">
        <v>0.98480775738804338</v>
      </c>
      <c r="H224" s="653">
        <v>0.25700000000000001</v>
      </c>
      <c r="I224" s="942">
        <v>0.41499999999999992</v>
      </c>
      <c r="J224" s="946">
        <v>6.2149999999999999</v>
      </c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CPS-32193r1</v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AK224" s="82" t="str">
        <f t="shared" si="1333"/>
        <v>Y</v>
      </c>
      <c r="AL224" s="419" t="s">
        <v>9</v>
      </c>
    </row>
    <row r="225" spans="2:38" x14ac:dyDescent="0.25">
      <c r="B225" s="650">
        <v>-2.3462272306985024</v>
      </c>
      <c r="C225" s="651">
        <v>2.4121987616571174</v>
      </c>
      <c r="D225" s="652">
        <v>-0.39435906947132093</v>
      </c>
      <c r="E225" s="653">
        <v>-0.82180725795172715</v>
      </c>
      <c r="F225" s="651">
        <v>-0.49967778199328045</v>
      </c>
      <c r="G225" s="654">
        <v>0.2737790075227452</v>
      </c>
      <c r="H225" s="653">
        <v>0.26600000000000001</v>
      </c>
      <c r="I225" s="942">
        <v>0.52</v>
      </c>
      <c r="J225" s="946">
        <v>6.2210000000000001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AK225" s="82" t="str">
        <f t="shared" si="1333"/>
        <v>Y</v>
      </c>
      <c r="AL225" s="419" t="s">
        <v>9</v>
      </c>
    </row>
    <row r="226" spans="2:38" x14ac:dyDescent="0.25">
      <c r="B226" s="650">
        <v>-2.7259891006341181</v>
      </c>
      <c r="C226" s="651">
        <v>2.6712298231498468</v>
      </c>
      <c r="D226" s="652">
        <v>-0.91364328514821791</v>
      </c>
      <c r="E226" s="653">
        <v>-0.8932806835874455</v>
      </c>
      <c r="F226" s="651">
        <v>-0.36699909568610439</v>
      </c>
      <c r="G226" s="654">
        <v>0.2595405249573326</v>
      </c>
      <c r="H226" s="653">
        <v>0.26600000000000001</v>
      </c>
      <c r="I226" s="942">
        <v>0.52</v>
      </c>
      <c r="J226" s="946">
        <v>6.2270000000000003</v>
      </c>
      <c r="K226" s="931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1313</v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8.5 5646r00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5646r00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str" cm="1">
        <f t="array" ref="L2">IF(OR($K$9:$K$150="Undefined"),"Undefined Element","")</f>
        <v/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1113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1113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1113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1113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1.1140000000000001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1.1200000000000001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1.1259999999999999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1.1319999999999999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1.1379999999999999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 t="str">
        <f>Assy.Model!K18</f>
        <v>CPS-31783r1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1.22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1.226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2.113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2.1190000000000002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2.125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2.1309999999999998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2.137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2.2130000000000001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2.2189999999999999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2.2250000000000001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3.1030000000000002</v>
      </c>
      <c r="N184" s="810">
        <f>Assy.Model!K29</f>
        <v>1113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3.1059999999999999</v>
      </c>
      <c r="N185" s="810">
        <f>Assy.Model!K30</f>
        <v>1113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3.109</v>
      </c>
      <c r="N186" s="810">
        <f>Assy.Model!K31</f>
        <v>1113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3.1120000000000001</v>
      </c>
      <c r="N187" s="810">
        <f>Assy.Model!K32</f>
        <v>1113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3.1179999999999999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3.1240000000000001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3.13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3.1360000000000001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3.21</v>
      </c>
      <c r="N192" s="810" t="str">
        <f>Assy.Model!K37</f>
        <v>CPS-31783r1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3.218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3.2240000000000002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4.117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4.1230000000000002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4.1289999999999996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4.1349999999999998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4.2169999999999996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4.2229999999999999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5.1020000000000003</v>
      </c>
      <c r="N201" s="810">
        <f>Assy.Model!K46</f>
        <v>1113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5.1050000000000004</v>
      </c>
      <c r="N202" s="810">
        <f>Assy.Model!K47</f>
        <v>1113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5.1079999999999997</v>
      </c>
      <c r="N203" s="810">
        <f>Assy.Model!K48</f>
        <v>1113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5.1109999999999998</v>
      </c>
      <c r="N204" s="810">
        <f>Assy.Model!K49</f>
        <v>1113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5.1159999999999997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5.1219999999999999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5.1280000000000001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5.1340000000000003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5.2089999999999996</v>
      </c>
      <c r="N209" s="810" t="str">
        <f>Assy.Model!K54</f>
        <v>CPS-31783r1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5.2160000000000002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5.2220000000000004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6.1150000000000002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6.1210000000000004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6.1269999999999998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6.133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6.1390000000000002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6.2149999999999999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6.2210000000000001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6.2270000000000003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4.1120000000000001</v>
      </c>
      <c r="C15" s="845">
        <v>2.4817</v>
      </c>
      <c r="D15" s="846">
        <v>0.4052</v>
      </c>
      <c r="E15" s="847">
        <v>1.43E-2</v>
      </c>
    </row>
    <row r="16" spans="2:5" x14ac:dyDescent="0.25">
      <c r="B16" s="844">
        <v>3.113</v>
      </c>
      <c r="C16" s="845">
        <v>2.6654</v>
      </c>
      <c r="D16" s="846">
        <v>0.4022</v>
      </c>
      <c r="E16" s="847">
        <v>2.8000000000000001E-2</v>
      </c>
    </row>
    <row r="17" spans="2:5" x14ac:dyDescent="0.25">
      <c r="B17" s="844">
        <v>6.1139999999999999</v>
      </c>
      <c r="C17" s="845">
        <v>2.7526999999999999</v>
      </c>
      <c r="D17" s="846">
        <v>0.51090000000000002</v>
      </c>
      <c r="E17" s="847">
        <v>1.3899999999999999E-2</v>
      </c>
    </row>
    <row r="18" spans="2:5" x14ac:dyDescent="0.25">
      <c r="B18" s="844">
        <v>5.1150000000000002</v>
      </c>
      <c r="C18" s="845">
        <v>2.9386000000000001</v>
      </c>
      <c r="D18" s="846">
        <v>0.49130000000000001</v>
      </c>
      <c r="E18" s="847">
        <v>2.8000000000000001E-2</v>
      </c>
    </row>
    <row r="19" spans="2:5" x14ac:dyDescent="0.25">
      <c r="B19" s="844">
        <v>4.1180000000000003</v>
      </c>
      <c r="C19" s="845">
        <v>3.3029000000000002</v>
      </c>
      <c r="D19" s="846">
        <v>0.49370000000000003</v>
      </c>
      <c r="E19" s="847">
        <v>1.47E-2</v>
      </c>
    </row>
    <row r="20" spans="2:5" x14ac:dyDescent="0.25">
      <c r="B20" s="844">
        <v>3.1190000000000002</v>
      </c>
      <c r="C20" s="845">
        <v>3.4861</v>
      </c>
      <c r="D20" s="846">
        <v>0.43869999999999998</v>
      </c>
      <c r="E20" s="847">
        <v>2.8400000000000002E-2</v>
      </c>
    </row>
    <row r="21" spans="2:5" x14ac:dyDescent="0.25">
      <c r="B21" s="844">
        <v>6.12</v>
      </c>
      <c r="C21" s="845">
        <v>3.5802</v>
      </c>
      <c r="D21" s="846">
        <v>0.52249999999999996</v>
      </c>
      <c r="E21" s="847">
        <v>1.4E-2</v>
      </c>
    </row>
    <row r="22" spans="2:5" x14ac:dyDescent="0.25">
      <c r="B22" s="844">
        <v>5.1210000000000004</v>
      </c>
      <c r="C22" s="845">
        <v>3.7591999999999999</v>
      </c>
      <c r="D22" s="846">
        <v>0.44979999999999998</v>
      </c>
      <c r="E22" s="847">
        <v>2.76E-2</v>
      </c>
    </row>
    <row r="23" spans="2:5" x14ac:dyDescent="0.25">
      <c r="B23" s="844">
        <v>4.1239999999999997</v>
      </c>
      <c r="C23" s="845">
        <v>4.1193</v>
      </c>
      <c r="D23" s="846">
        <v>0.34599999999999997</v>
      </c>
      <c r="E23" s="847">
        <v>1.4E-2</v>
      </c>
    </row>
    <row r="24" spans="2:5" x14ac:dyDescent="0.25">
      <c r="B24" s="844">
        <v>3.125</v>
      </c>
      <c r="C24" s="845">
        <v>4.2831999999999999</v>
      </c>
      <c r="D24" s="846">
        <v>0.2404</v>
      </c>
      <c r="E24" s="847">
        <v>2.63E-2</v>
      </c>
    </row>
    <row r="25" spans="2:5" x14ac:dyDescent="0.25">
      <c r="B25" s="844">
        <v>6.1260000000000003</v>
      </c>
      <c r="C25" s="845">
        <v>4.3784999999999998</v>
      </c>
      <c r="D25" s="846">
        <v>0.29520000000000002</v>
      </c>
      <c r="E25" s="847">
        <v>1.29E-2</v>
      </c>
    </row>
    <row r="26" spans="2:5" x14ac:dyDescent="0.25">
      <c r="B26" s="844">
        <v>5.1269999999999998</v>
      </c>
      <c r="C26" s="845">
        <v>4.5328999999999997</v>
      </c>
      <c r="D26" s="846">
        <v>0.17499999999999999</v>
      </c>
      <c r="E26" s="847">
        <v>2.4899999999999999E-2</v>
      </c>
    </row>
    <row r="27" spans="2:5" x14ac:dyDescent="0.25">
      <c r="B27" s="844">
        <v>4.13</v>
      </c>
      <c r="C27" s="845">
        <v>4.8586999999999998</v>
      </c>
      <c r="D27" s="846">
        <v>-3.1E-2</v>
      </c>
      <c r="E27" s="847">
        <v>1.2E-2</v>
      </c>
    </row>
    <row r="28" spans="2:5" x14ac:dyDescent="0.25">
      <c r="B28" s="844">
        <v>3.1309999999999998</v>
      </c>
      <c r="C28" s="845">
        <v>4.9903000000000004</v>
      </c>
      <c r="D28" s="846">
        <v>-0.17580000000000001</v>
      </c>
      <c r="E28" s="847">
        <v>2.2100000000000002E-2</v>
      </c>
    </row>
    <row r="29" spans="2:5" x14ac:dyDescent="0.25">
      <c r="B29" s="844">
        <v>6.1319999999999997</v>
      </c>
      <c r="C29" s="845">
        <v>5.0782999999999996</v>
      </c>
      <c r="D29" s="846">
        <v>-0.15110000000000001</v>
      </c>
      <c r="E29" s="847">
        <v>1.0699999999999999E-2</v>
      </c>
    </row>
    <row r="30" spans="2:5" x14ac:dyDescent="0.25">
      <c r="B30" s="844">
        <v>5.133</v>
      </c>
      <c r="C30" s="845">
        <v>5.1969000000000003</v>
      </c>
      <c r="D30" s="846">
        <v>-0.30580000000000002</v>
      </c>
      <c r="E30" s="847">
        <v>2.0199999999999999E-2</v>
      </c>
    </row>
    <row r="31" spans="2:5" x14ac:dyDescent="0.25">
      <c r="B31" s="844">
        <v>4.1360000000000001</v>
      </c>
      <c r="C31" s="845">
        <v>5.4622999999999999</v>
      </c>
      <c r="D31" s="846">
        <v>-0.60089999999999999</v>
      </c>
      <c r="E31" s="847">
        <v>9.1999999999999998E-3</v>
      </c>
    </row>
    <row r="32" spans="2:5" x14ac:dyDescent="0.25">
      <c r="B32" s="844">
        <v>3.137</v>
      </c>
      <c r="C32" s="845">
        <v>5.5541999999999998</v>
      </c>
      <c r="D32" s="846">
        <v>-0.77049999999999996</v>
      </c>
      <c r="E32" s="847">
        <v>1.6299999999999999E-2</v>
      </c>
    </row>
    <row r="33" spans="2:5" x14ac:dyDescent="0.25">
      <c r="B33" s="844">
        <v>6.1379999999999999</v>
      </c>
      <c r="C33" s="845">
        <v>5.6275000000000004</v>
      </c>
      <c r="D33" s="846">
        <v>-0.77790000000000004</v>
      </c>
      <c r="E33" s="847">
        <v>8.0000000000000002E-3</v>
      </c>
    </row>
    <row r="34" spans="2:5" x14ac:dyDescent="0.25">
      <c r="B34" s="844">
        <v>5.1390000000000002</v>
      </c>
      <c r="C34" s="845">
        <v>5.7027999999999999</v>
      </c>
      <c r="D34" s="846">
        <v>-0.95030000000000003</v>
      </c>
      <c r="E34" s="847">
        <v>1.3599999999999999E-2</v>
      </c>
    </row>
    <row r="35" spans="2:5" x14ac:dyDescent="0.25">
      <c r="B35" s="844">
        <v>4.1420000000000003</v>
      </c>
      <c r="C35" s="845">
        <v>5.8871000000000002</v>
      </c>
      <c r="D35" s="846">
        <v>-1.3185</v>
      </c>
      <c r="E35" s="847">
        <v>5.7000000000000002E-3</v>
      </c>
    </row>
    <row r="36" spans="2:5" x14ac:dyDescent="0.25">
      <c r="B36" s="844">
        <v>3.1429999999999998</v>
      </c>
      <c r="C36" s="845">
        <v>5.9362000000000004</v>
      </c>
      <c r="D36" s="846">
        <v>-1.4961</v>
      </c>
      <c r="E36" s="847">
        <v>9.4999999999999998E-3</v>
      </c>
    </row>
    <row r="37" spans="2:5" x14ac:dyDescent="0.25">
      <c r="B37" s="844">
        <v>6.1440000000000001</v>
      </c>
      <c r="C37" s="845">
        <v>5.9837999999999996</v>
      </c>
      <c r="D37" s="846">
        <v>-1.5334000000000001</v>
      </c>
      <c r="E37" s="847">
        <v>4.3E-3</v>
      </c>
    </row>
    <row r="38" spans="2:5" x14ac:dyDescent="0.25">
      <c r="B38" s="844">
        <v>5.1449999999999996</v>
      </c>
      <c r="C38" s="845">
        <v>6.0179</v>
      </c>
      <c r="D38" s="846">
        <v>-1.7060999999999999</v>
      </c>
      <c r="E38" s="847">
        <v>7.1000000000000004E-3</v>
      </c>
    </row>
    <row r="39" spans="2:5" x14ac:dyDescent="0.25">
      <c r="B39" s="844">
        <v>4.1479999999999997</v>
      </c>
      <c r="C39" s="845">
        <v>6.1013999999999999</v>
      </c>
      <c r="D39" s="846">
        <v>-2.1448999999999998</v>
      </c>
      <c r="E39" s="847">
        <v>1.9E-3</v>
      </c>
    </row>
    <row r="40" spans="2:5" x14ac:dyDescent="0.25">
      <c r="B40" s="844">
        <v>3.149</v>
      </c>
      <c r="C40" s="845">
        <v>6.1096000000000004</v>
      </c>
      <c r="D40" s="846">
        <v>-2.2854999999999999</v>
      </c>
      <c r="E40" s="847">
        <v>2E-3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2024-02-08T14:26:54Z</dcterms:modified>
</cp:coreProperties>
</file>