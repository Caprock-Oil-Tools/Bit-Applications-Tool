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090\"/>
    </mc:Choice>
  </mc:AlternateContent>
  <xr:revisionPtr revIDLastSave="0" documentId="13_ncr:1_{06B04DD0-6059-434E-B4FA-EDA85B4BA798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79" i="1" l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L2" i="1" l="1" a="1"/>
  <c r="L2" i="1" s="1"/>
  <c r="L6" i="1" a="1"/>
  <c r="L6" i="1" s="1"/>
  <c r="Q8" i="7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L83" i="1"/>
  <c r="IK83" i="1"/>
  <c r="IJ9" i="1"/>
  <c r="IK21" i="1"/>
  <c r="IK59" i="1"/>
  <c r="IR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P47" i="1"/>
  <c r="IY47" i="1"/>
  <c r="IX47" i="1"/>
  <c r="IQ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Q68" i="1"/>
  <c r="IP68" i="1"/>
  <c r="IK68" i="1"/>
  <c r="IN68" i="1"/>
  <c r="IR68" i="1"/>
  <c r="IW68" i="1"/>
  <c r="IW80" i="1"/>
  <c r="IK80" i="1"/>
  <c r="IN80" i="1"/>
  <c r="IR80" i="1"/>
  <c r="IS87" i="1"/>
  <c r="IQ87" i="1"/>
  <c r="IN87" i="1"/>
  <c r="IV87" i="1"/>
  <c r="IW87" i="1"/>
  <c r="IK87" i="1"/>
  <c r="IU87" i="1"/>
  <c r="IE87" i="1" s="1"/>
  <c r="IT87" i="1"/>
  <c r="IY87" i="1"/>
  <c r="IL87" i="1"/>
  <c r="IR87" i="1"/>
  <c r="IP87" i="1"/>
  <c r="IX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S69" i="1"/>
  <c r="IQ69" i="1"/>
  <c r="IN69" i="1"/>
  <c r="IR69" i="1"/>
  <c r="IW69" i="1"/>
  <c r="IV69" i="1"/>
  <c r="IX69" i="1"/>
  <c r="IU69" i="1"/>
  <c r="IE69" i="1" s="1"/>
  <c r="IP69" i="1"/>
  <c r="IK69" i="1"/>
  <c r="IT69" i="1"/>
  <c r="IY69" i="1"/>
  <c r="IL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S57" i="1"/>
  <c r="IR57" i="1"/>
  <c r="IK57" i="1"/>
  <c r="IT57" i="1"/>
  <c r="IW57" i="1"/>
  <c r="IQ57" i="1"/>
  <c r="IN57" i="1"/>
  <c r="IP57" i="1"/>
  <c r="IV57" i="1"/>
  <c r="IL57" i="1"/>
  <c r="IU57" i="1"/>
  <c r="IE57" i="1" s="1"/>
  <c r="IX57" i="1"/>
  <c r="IY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R15" i="1"/>
  <c r="IW15" i="1"/>
  <c r="IV15" i="1"/>
  <c r="IU15" i="1"/>
  <c r="IE15" i="1" s="1"/>
  <c r="IN15" i="1"/>
  <c r="IK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R73" i="1"/>
  <c r="IW73" i="1"/>
  <c r="IK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R83" i="1"/>
  <c r="IS83" i="1" s="1"/>
  <c r="IT83" i="1"/>
  <c r="IW83" i="1"/>
  <c r="IP83" i="1"/>
  <c r="IW118" i="1"/>
  <c r="IR118" i="1"/>
  <c r="IK118" i="1"/>
  <c r="IN118" i="1"/>
  <c r="IV38" i="1"/>
  <c r="IL38" i="1"/>
  <c r="IT38" i="1"/>
  <c r="IS38" i="1"/>
  <c r="IP38" i="1"/>
  <c r="IR38" i="1"/>
  <c r="IQ38" i="1"/>
  <c r="IX38" i="1"/>
  <c r="IU38" i="1"/>
  <c r="IE38" i="1" s="1"/>
  <c r="IN38" i="1"/>
  <c r="IW38" i="1"/>
  <c r="IK38" i="1"/>
  <c r="IY38" i="1"/>
  <c r="IQ91" i="1"/>
  <c r="IK91" i="1"/>
  <c r="IY91" i="1"/>
  <c r="IV91" i="1"/>
  <c r="IS91" i="1"/>
  <c r="IT91" i="1"/>
  <c r="IP91" i="1"/>
  <c r="IW91" i="1"/>
  <c r="IL91" i="1"/>
  <c r="IU91" i="1"/>
  <c r="IE91" i="1" s="1"/>
  <c r="IR91" i="1"/>
  <c r="IN91" i="1"/>
  <c r="IX91" i="1"/>
  <c r="IT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V9" i="1"/>
  <c r="IK9" i="1"/>
  <c r="IU9" i="1"/>
  <c r="IE9" i="1" s="1"/>
  <c r="IW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X70" i="1"/>
  <c r="IQ70" i="1"/>
  <c r="IP70" i="1"/>
  <c r="IN70" i="1"/>
  <c r="IT70" i="1"/>
  <c r="IY70" i="1"/>
  <c r="IV70" i="1"/>
  <c r="IW70" i="1"/>
  <c r="IU70" i="1"/>
  <c r="IE70" i="1" s="1"/>
  <c r="IK70" i="1"/>
  <c r="IL70" i="1"/>
  <c r="IR70" i="1"/>
  <c r="IS70" i="1"/>
  <c r="IU13" i="1"/>
  <c r="IE13" i="1" s="1"/>
  <c r="IK13" i="1"/>
  <c r="IN13" i="1"/>
  <c r="IR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L90" i="1"/>
  <c r="IT90" i="1"/>
  <c r="IK93" i="1"/>
  <c r="IN93" i="1"/>
  <c r="IW93" i="1"/>
  <c r="IR93" i="1"/>
  <c r="IK58" i="1"/>
  <c r="IW58" i="1"/>
  <c r="IN58" i="1"/>
  <c r="IR58" i="1"/>
  <c r="IX56" i="1"/>
  <c r="IY56" i="1"/>
  <c r="IS56" i="1"/>
  <c r="IL56" i="1"/>
  <c r="IT56" i="1"/>
  <c r="IQ56" i="1"/>
  <c r="IP56" i="1"/>
  <c r="IW56" i="1"/>
  <c r="IV56" i="1"/>
  <c r="IR56" i="1"/>
  <c r="IN56" i="1"/>
  <c r="IU56" i="1"/>
  <c r="IE56" i="1" s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N71" i="1"/>
  <c r="IW71" i="1"/>
  <c r="IK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S85" i="1"/>
  <c r="IQ85" i="1"/>
  <c r="IK85" i="1"/>
  <c r="IX85" i="1"/>
  <c r="IR85" i="1"/>
  <c r="IU85" i="1"/>
  <c r="IE85" i="1" s="1"/>
  <c r="IT85" i="1"/>
  <c r="IW85" i="1"/>
  <c r="IP85" i="1"/>
  <c r="IV85" i="1"/>
  <c r="IL85" i="1"/>
  <c r="IY85" i="1"/>
  <c r="IK63" i="1"/>
  <c r="IW63" i="1"/>
  <c r="IR63" i="1"/>
  <c r="IN63" i="1"/>
  <c r="IV14" i="1"/>
  <c r="IW14" i="1"/>
  <c r="IN14" i="1"/>
  <c r="IR14" i="1"/>
  <c r="IU14" i="1"/>
  <c r="IE14" i="1" s="1"/>
  <c r="IK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W50" i="1"/>
  <c r="IN50" i="1"/>
  <c r="IR50" i="1"/>
  <c r="IK48" i="1"/>
  <c r="IP48" i="1"/>
  <c r="IT48" i="1"/>
  <c r="IL48" i="1"/>
  <c r="IY48" i="1"/>
  <c r="IV48" i="1"/>
  <c r="IS48" i="1"/>
  <c r="IW48" i="1"/>
  <c r="IR48" i="1"/>
  <c r="IN48" i="1"/>
  <c r="IQ48" i="1"/>
  <c r="IU48" i="1"/>
  <c r="IE48" i="1" s="1"/>
  <c r="IX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Q37" i="1"/>
  <c r="IP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K49" i="1"/>
  <c r="IR49" i="1"/>
  <c r="IW49" i="1"/>
  <c r="IN49" i="1"/>
  <c r="IW72" i="1"/>
  <c r="IK72" i="1"/>
  <c r="IR72" i="1"/>
  <c r="IN72" i="1"/>
  <c r="IR31" i="1"/>
  <c r="IQ31" i="1"/>
  <c r="IP31" i="1"/>
  <c r="IK31" i="1"/>
  <c r="IN31" i="1"/>
  <c r="IW31" i="1"/>
  <c r="IW18" i="1"/>
  <c r="IR18" i="1"/>
  <c r="IN18" i="1"/>
  <c r="IK18" i="1"/>
  <c r="IY55" i="1"/>
  <c r="IX55" i="1"/>
  <c r="IS55" i="1"/>
  <c r="IR55" i="1"/>
  <c r="IL55" i="1"/>
  <c r="IU55" i="1"/>
  <c r="IE55" i="1" s="1"/>
  <c r="IK55" i="1"/>
  <c r="IT55" i="1"/>
  <c r="IW55" i="1"/>
  <c r="IQ55" i="1"/>
  <c r="IN55" i="1"/>
  <c r="IV55" i="1"/>
  <c r="IP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Q74" i="1"/>
  <c r="IN74" i="1"/>
  <c r="IP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Y89" i="1"/>
  <c r="IL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P86" i="1"/>
  <c r="IX86" i="1"/>
  <c r="IY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L11" i="1" l="1"/>
  <c r="IP11" i="1"/>
  <c r="IQ11" i="1"/>
  <c r="IR11" i="1"/>
  <c r="IS11" i="1"/>
  <c r="IV11" i="1"/>
  <c r="IU11" i="1"/>
  <c r="IE11" i="1" s="1"/>
  <c r="IN11" i="1"/>
  <c r="IW10" i="1"/>
  <c r="IR10" i="1"/>
  <c r="IN10" i="1"/>
  <c r="IV10" i="1"/>
  <c r="IK10" i="1"/>
  <c r="IU10" i="1"/>
  <c r="IE10" i="1" s="1"/>
  <c r="IX11" i="1"/>
  <c r="IW11" i="1"/>
  <c r="IY11" i="1"/>
  <c r="IK11" i="1"/>
  <c r="JA9" i="1" a="1"/>
  <c r="JA9" i="1" s="1"/>
  <c r="IF85" i="1"/>
  <c r="IF129" i="1"/>
  <c r="IF138" i="1"/>
  <c r="IF150" i="1"/>
  <c r="IF48" i="1"/>
  <c r="IF148" i="1"/>
  <c r="IF127" i="1"/>
  <c r="IF128" i="1"/>
  <c r="IF86" i="1"/>
  <c r="IF47" i="1"/>
  <c r="IF122" i="1"/>
  <c r="IF147" i="1"/>
  <c r="IF142" i="1"/>
  <c r="IF143" i="1"/>
  <c r="IF137" i="1"/>
  <c r="IF105" i="1"/>
  <c r="IF91" i="1"/>
  <c r="IF135" i="1"/>
  <c r="IF109" i="1"/>
  <c r="IF145" i="1"/>
  <c r="IF106" i="1"/>
  <c r="IF69" i="1"/>
  <c r="IF88" i="1"/>
  <c r="IF103" i="1"/>
  <c r="IF108" i="1"/>
  <c r="IF92" i="1"/>
  <c r="IF131" i="1"/>
  <c r="IF123" i="1"/>
  <c r="IF141" i="1"/>
  <c r="IF89" i="1"/>
  <c r="IF124" i="1"/>
  <c r="IF107" i="1"/>
  <c r="IF146" i="1"/>
  <c r="IF134" i="1"/>
  <c r="IF84" i="1"/>
  <c r="IF12" i="1"/>
  <c r="IF56" i="1"/>
  <c r="IF133" i="1"/>
  <c r="IF149" i="1"/>
  <c r="IF87" i="1"/>
  <c r="IF104" i="1"/>
  <c r="IF130" i="1"/>
  <c r="IF90" i="1"/>
  <c r="IF132" i="1"/>
  <c r="IF119" i="1"/>
  <c r="IF32" i="1"/>
  <c r="IF110" i="1"/>
  <c r="IF125" i="1"/>
  <c r="IF55" i="1"/>
  <c r="IF144" i="1"/>
  <c r="IF120" i="1"/>
  <c r="IF70" i="1"/>
  <c r="IF139" i="1"/>
  <c r="IF126" i="1"/>
  <c r="IF38" i="1"/>
  <c r="IF57" i="1"/>
  <c r="IF140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IQ73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IQ75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IQ99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l="1"/>
  <c r="IQ50" i="1"/>
  <c r="IQ77" i="1"/>
  <c r="IV71" i="1"/>
  <c r="IF11" i="1"/>
  <c r="JA23" i="1" a="1"/>
  <c r="JA23" i="1" s="1"/>
  <c r="JB10" i="1" a="1"/>
  <c r="JB10" i="1" s="1"/>
  <c r="JB15" i="1" a="1"/>
  <c r="JB15" i="1" s="1"/>
  <c r="JB16" i="1" a="1"/>
  <c r="JB16" i="1" s="1"/>
  <c r="JB9" i="1" a="1"/>
  <c r="JB9" i="1" s="1"/>
  <c r="T245" i="7"/>
  <c r="Q245" i="7"/>
  <c r="R245" i="7"/>
  <c r="O245" i="7"/>
  <c r="S245" i="7"/>
  <c r="P245" i="7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Q76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IQ95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IQ1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GY21" i="1"/>
  <c r="EA21" i="1"/>
  <c r="AB40" i="1"/>
  <c r="O94" i="1"/>
  <c r="P66" i="1"/>
  <c r="S66" i="1" s="1"/>
  <c r="Y66" i="1" s="1"/>
  <c r="AA86" i="1"/>
  <c r="AD86" i="1" s="1"/>
  <c r="AH86" i="1" s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IQ10" i="1" s="1"/>
  <c r="AB74" i="1"/>
  <c r="O98" i="1"/>
  <c r="Q98" i="1" s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IQ96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Q94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IV49" i="1" s="1"/>
  <c r="AA65" i="1"/>
  <c r="O81" i="1"/>
  <c r="P57" i="1"/>
  <c r="S57" i="1" s="1"/>
  <c r="Y57" i="1" s="1"/>
  <c r="IQ72" i="1" s="1"/>
  <c r="O39" i="1"/>
  <c r="N49" i="1"/>
  <c r="N57" i="1"/>
  <c r="R57" i="1" s="1"/>
  <c r="X57" i="1" s="1"/>
  <c r="IP72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IQ64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2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Q97" i="1" s="1"/>
  <c r="Z88" i="1"/>
  <c r="O88" i="1"/>
  <c r="M236" i="7"/>
  <c r="Z81" i="1"/>
  <c r="AA81" i="1"/>
  <c r="N81" i="1"/>
  <c r="M228" i="7"/>
  <c r="P73" i="1"/>
  <c r="S73" i="1" s="1"/>
  <c r="Y73" i="1" s="1"/>
  <c r="IV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IQ98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IQ2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V37" i="1" s="1"/>
  <c r="Z70" i="1"/>
  <c r="AB83" i="1"/>
  <c r="P21" i="1"/>
  <c r="S21" i="1" s="1"/>
  <c r="Y21" i="1" s="1"/>
  <c r="IQ9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JB25" i="1" l="1" a="1"/>
  <c r="JB25" i="1" s="1"/>
  <c r="IQ59" i="1"/>
  <c r="IQ71" i="1"/>
  <c r="IU36" i="1"/>
  <c r="IE36" i="1" s="1"/>
  <c r="IP50" i="1"/>
  <c r="AE69" i="1"/>
  <c r="IQ54" i="1"/>
  <c r="IV50" i="1"/>
  <c r="IQ78" i="1"/>
  <c r="IV72" i="1"/>
  <c r="IV35" i="1"/>
  <c r="IQ49" i="1"/>
  <c r="IQ61" i="1"/>
  <c r="IQ19" i="1"/>
  <c r="JB24" i="1" a="1"/>
  <c r="JB24" i="1" s="1"/>
  <c r="IV27" i="1"/>
  <c r="IQ15" i="1"/>
  <c r="IV24" i="1"/>
  <c r="IQ14" i="1"/>
  <c r="IQ102" i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IU49" i="1" s="1"/>
  <c r="IE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IP9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IP2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IP15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IP10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IP1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2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U72" i="1" s="1"/>
  <c r="IE72" i="1" s="1"/>
  <c r="AF71" i="1"/>
  <c r="Q71" i="1"/>
  <c r="R71" i="1"/>
  <c r="X71" i="1" s="1"/>
  <c r="IU71" i="1" s="1"/>
  <c r="IE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IP73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P59" i="1" l="1"/>
  <c r="IP71" i="1"/>
  <c r="IP28" i="1"/>
  <c r="AQ73" i="1"/>
  <c r="IU73" i="1"/>
  <c r="IE73" i="1" s="1"/>
  <c r="IP19" i="1"/>
  <c r="IP54" i="1"/>
  <c r="IU50" i="1"/>
  <c r="IE50" i="1" s="1"/>
  <c r="IU35" i="1"/>
  <c r="IE35" i="1" s="1"/>
  <c r="IP49" i="1"/>
  <c r="IU24" i="1"/>
  <c r="IE24" i="1" s="1"/>
  <c r="IP14" i="1"/>
  <c r="AQ37" i="1"/>
  <c r="IU37" i="1"/>
  <c r="IE37" i="1" s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IL72" i="1" s="1"/>
  <c r="W58" i="1"/>
  <c r="W55" i="1"/>
  <c r="W56" i="1"/>
  <c r="IL71" i="1" s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IL50" i="1" s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49" i="1" l="1"/>
  <c r="IL73" i="1"/>
  <c r="IL16" i="1"/>
  <c r="IL15" i="1"/>
  <c r="IL14" i="1"/>
  <c r="IL23" i="1"/>
  <c r="IL9" i="1"/>
  <c r="IL13" i="1"/>
  <c r="IL10" i="1"/>
  <c r="IL46" i="1"/>
  <c r="IL37" i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IS37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S98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4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T99" i="1" s="1"/>
  <c r="U90" i="1"/>
  <c r="U89" i="1"/>
  <c r="AL89" i="1"/>
  <c r="AN89" i="1" s="1"/>
  <c r="IT98" i="1" s="1"/>
  <c r="T89" i="1"/>
  <c r="T88" i="1"/>
  <c r="AL88" i="1"/>
  <c r="AN88" i="1" s="1"/>
  <c r="IT97" i="1" s="1"/>
  <c r="AK88" i="1"/>
  <c r="U88" i="1"/>
  <c r="T87" i="1"/>
  <c r="AK87" i="1"/>
  <c r="AL87" i="1"/>
  <c r="AN87" i="1" s="1"/>
  <c r="IT96" i="1" s="1"/>
  <c r="U85" i="1"/>
  <c r="AL86" i="1"/>
  <c r="AN86" i="1" s="1"/>
  <c r="IT95" i="1" s="1"/>
  <c r="U86" i="1"/>
  <c r="AK86" i="1"/>
  <c r="T86" i="1"/>
  <c r="T85" i="1"/>
  <c r="AL85" i="1"/>
  <c r="AN85" i="1" s="1"/>
  <c r="IT94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IY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IY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IY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IS72" i="1" s="1"/>
  <c r="AL58" i="1"/>
  <c r="AN58" i="1" s="1"/>
  <c r="IT73" i="1" s="1"/>
  <c r="U58" i="1"/>
  <c r="T58" i="1"/>
  <c r="AK58" i="1"/>
  <c r="T57" i="1"/>
  <c r="AL57" i="1"/>
  <c r="U55" i="1"/>
  <c r="AL56" i="1"/>
  <c r="AN56" i="1" s="1"/>
  <c r="IT71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IY49" i="1" s="1"/>
  <c r="AK50" i="1"/>
  <c r="AL50" i="1"/>
  <c r="AN50" i="1" s="1"/>
  <c r="IY50" i="1" s="1"/>
  <c r="U50" i="1"/>
  <c r="T50" i="1"/>
  <c r="T49" i="1"/>
  <c r="AK49" i="1"/>
  <c r="AO49" i="1" s="1"/>
  <c r="IX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T36" i="1"/>
  <c r="U36" i="1"/>
  <c r="U35" i="1"/>
  <c r="AL35" i="1"/>
  <c r="AN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IT37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U24" i="1"/>
  <c r="T24" i="1"/>
  <c r="AK23" i="1"/>
  <c r="U23" i="1"/>
  <c r="T23" i="1"/>
  <c r="AL23" i="1"/>
  <c r="AN23" i="1" s="1"/>
  <c r="IT13" i="1" s="1"/>
  <c r="AL22" i="1"/>
  <c r="AN22" i="1" s="1"/>
  <c r="IT10" i="1" s="1"/>
  <c r="U22" i="1"/>
  <c r="AK22" i="1"/>
  <c r="T22" i="1"/>
  <c r="AK21" i="1"/>
  <c r="AO21" i="1" s="1"/>
  <c r="IS9" i="1" s="1"/>
  <c r="T21" i="1"/>
  <c r="AL21" i="1"/>
  <c r="AN21" i="1" s="1"/>
  <c r="IT9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IY15" i="1" s="1"/>
  <c r="U15" i="1"/>
  <c r="AK14" i="1"/>
  <c r="U14" i="1"/>
  <c r="AL14" i="1"/>
  <c r="AN14" i="1" s="1"/>
  <c r="T14" i="1"/>
  <c r="AK13" i="1"/>
  <c r="U13" i="1"/>
  <c r="AL13" i="1"/>
  <c r="AN13" i="1" s="1"/>
  <c r="IY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IY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Y35" i="1" l="1"/>
  <c r="IT49" i="1"/>
  <c r="IF49" i="1"/>
  <c r="IT77" i="1"/>
  <c r="IY71" i="1"/>
  <c r="IF71" i="1" s="1"/>
  <c r="IS77" i="1"/>
  <c r="IX71" i="1"/>
  <c r="IY36" i="1"/>
  <c r="IT50" i="1"/>
  <c r="IT78" i="1"/>
  <c r="IY72" i="1"/>
  <c r="IY27" i="1"/>
  <c r="IT15" i="1"/>
  <c r="IT20" i="1"/>
  <c r="IY14" i="1"/>
  <c r="IY24" i="1"/>
  <c r="IT14" i="1"/>
  <c r="IY78" i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T19" i="1"/>
  <c r="IF25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IS58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AP103" i="1"/>
  <c r="AP91" i="1"/>
  <c r="AO91" i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IS99" i="1" s="1"/>
  <c r="AP90" i="1"/>
  <c r="AO87" i="1"/>
  <c r="IS96" i="1" s="1"/>
  <c r="AP87" i="1"/>
  <c r="AO88" i="1"/>
  <c r="IS97" i="1" s="1"/>
  <c r="AP88" i="1"/>
  <c r="AP86" i="1"/>
  <c r="AO86" i="1"/>
  <c r="IS95" i="1" s="1"/>
  <c r="AP85" i="1"/>
  <c r="AP84" i="1"/>
  <c r="AO84" i="1"/>
  <c r="IS93" i="1" s="1"/>
  <c r="AP83" i="1"/>
  <c r="AO83" i="1"/>
  <c r="IX83" i="1" s="1"/>
  <c r="IF83" i="1" s="1"/>
  <c r="AO81" i="1"/>
  <c r="IX81" i="1" s="1"/>
  <c r="IF81" i="1" s="1"/>
  <c r="AP81" i="1"/>
  <c r="AO82" i="1"/>
  <c r="IX82" i="1" s="1"/>
  <c r="IF82" i="1" s="1"/>
  <c r="AP82" i="1"/>
  <c r="AO79" i="1"/>
  <c r="AP79" i="1"/>
  <c r="AP80" i="1"/>
  <c r="AO80" i="1"/>
  <c r="AO77" i="1"/>
  <c r="IX77" i="1" s="1"/>
  <c r="IF77" i="1" s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IX73" i="1" s="1"/>
  <c r="IF73" i="1" s="1"/>
  <c r="AP74" i="1"/>
  <c r="AO74" i="1"/>
  <c r="IX74" i="1" s="1"/>
  <c r="IF74" i="1" s="1"/>
  <c r="AP71" i="1"/>
  <c r="AO72" i="1"/>
  <c r="AP72" i="1"/>
  <c r="AO69" i="1"/>
  <c r="IS75" i="1" s="1"/>
  <c r="AP69" i="1"/>
  <c r="AP70" i="1"/>
  <c r="AO70" i="1"/>
  <c r="AO67" i="1"/>
  <c r="AP67" i="1"/>
  <c r="AO68" i="1"/>
  <c r="IX68" i="1" s="1"/>
  <c r="IF68" i="1" s="1"/>
  <c r="AP68" i="1"/>
  <c r="AO65" i="1"/>
  <c r="AP65" i="1"/>
  <c r="AP66" i="1"/>
  <c r="AO66" i="1"/>
  <c r="AO63" i="1"/>
  <c r="IX63" i="1" s="1"/>
  <c r="IF63" i="1" s="1"/>
  <c r="AP63" i="1"/>
  <c r="AO64" i="1"/>
  <c r="IX64" i="1" s="1"/>
  <c r="IF64" i="1" s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AP57" i="1"/>
  <c r="AO58" i="1"/>
  <c r="IS73" i="1" s="1"/>
  <c r="AP58" i="1"/>
  <c r="AP56" i="1"/>
  <c r="AO56" i="1"/>
  <c r="IS71" i="1" s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AN47" i="1"/>
  <c r="IT29" i="1" s="1"/>
  <c r="AP47" i="1"/>
  <c r="AO48" i="1"/>
  <c r="IS52" i="1" s="1"/>
  <c r="AP48" i="1"/>
  <c r="AP45" i="1"/>
  <c r="AO45" i="1"/>
  <c r="IX45" i="1" s="1"/>
  <c r="IF45" i="1" s="1"/>
  <c r="AP46" i="1"/>
  <c r="AO46" i="1"/>
  <c r="AP43" i="1"/>
  <c r="AO44" i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IX37" i="1" s="1"/>
  <c r="IF37" i="1" s="1"/>
  <c r="AO38" i="1"/>
  <c r="AP38" i="1"/>
  <c r="AP35" i="1"/>
  <c r="AO35" i="1"/>
  <c r="AP36" i="1"/>
  <c r="AO36" i="1"/>
  <c r="AO33" i="1"/>
  <c r="AP33" i="1"/>
  <c r="AO34" i="1"/>
  <c r="IX34" i="1" s="1"/>
  <c r="IF34" i="1" s="1"/>
  <c r="AP34" i="1"/>
  <c r="AO31" i="1"/>
  <c r="AP31" i="1"/>
  <c r="AO32" i="1"/>
  <c r="AP32" i="1"/>
  <c r="AO29" i="1"/>
  <c r="AP29" i="1"/>
  <c r="AP30" i="1"/>
  <c r="AO27" i="1"/>
  <c r="AP27" i="1"/>
  <c r="AP28" i="1"/>
  <c r="AO28" i="1"/>
  <c r="AP25" i="1"/>
  <c r="AO26" i="1"/>
  <c r="AP26" i="1"/>
  <c r="AO24" i="1"/>
  <c r="AP24" i="1"/>
  <c r="AO23" i="1"/>
  <c r="IS13" i="1" s="1"/>
  <c r="AP23" i="1"/>
  <c r="AP21" i="1"/>
  <c r="AO22" i="1"/>
  <c r="IS10" i="1" s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IX15" i="1" s="1"/>
  <c r="IF15" i="1" s="1"/>
  <c r="AO16" i="1"/>
  <c r="AP16" i="1"/>
  <c r="AO13" i="1"/>
  <c r="IX13" i="1" s="1"/>
  <c r="IF13" i="1" s="1"/>
  <c r="AP13" i="1"/>
  <c r="AO14" i="1"/>
  <c r="AP14" i="1"/>
  <c r="AP11" i="1"/>
  <c r="AO12" i="1"/>
  <c r="AP12" i="1"/>
  <c r="AO10" i="1"/>
  <c r="IX10" i="1" s="1"/>
  <c r="AP10" i="1"/>
  <c r="AN10" i="1"/>
  <c r="IY10" i="1" s="1"/>
  <c r="AO9" i="1"/>
  <c r="IX9" i="1" s="1"/>
  <c r="IF9" i="1" s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T60" i="1" l="1"/>
  <c r="IT72" i="1"/>
  <c r="IS78" i="1"/>
  <c r="IX72" i="1"/>
  <c r="IX35" i="1"/>
  <c r="IF35" i="1" s="1"/>
  <c r="IS49" i="1"/>
  <c r="IS54" i="1"/>
  <c r="IX50" i="1"/>
  <c r="IF50" i="1" s="1"/>
  <c r="IF72" i="1"/>
  <c r="IX36" i="1"/>
  <c r="IF36" i="1" s="1"/>
  <c r="IS50" i="1"/>
  <c r="IX27" i="1"/>
  <c r="IF27" i="1" s="1"/>
  <c r="IS15" i="1"/>
  <c r="IX24" i="1"/>
  <c r="IF24" i="1" s="1"/>
  <c r="IS14" i="1"/>
  <c r="IS20" i="1"/>
  <c r="IX14" i="1"/>
  <c r="IF14" i="1" s="1"/>
  <c r="IF10" i="1"/>
  <c r="IT22" i="1"/>
  <c r="IS51" i="1"/>
  <c r="IS46" i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L15" i="1" s="1"/>
  <c r="JI30" i="1" a="1"/>
  <c r="JI30" i="1" s="1"/>
  <c r="L22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<sst xmlns="http://schemas.openxmlformats.org/spreadsheetml/2006/main" count="734" uniqueCount="391">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</sst>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3" fontId="26" fillId="63" borderId="0" xfId="0" applyNumberFormat="1" applyFont="1" applyFill="1" applyAlignment="1">
      <alignment horizontal="center"/>
    </xf>
    <xf numFmtId="0" fontId="0" fillId="0" borderId="193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5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/>
    </xf>
    <xf numFmtId="0" fontId="0" fillId="0" borderId="22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0"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913" t="s">
        <v>77</v>
      </c>
      <c r="D1" s="913"/>
      <c r="E1" s="913"/>
      <c r="F1" s="913"/>
      <c r="G1" s="913"/>
      <c r="H1" s="913"/>
      <c r="I1" s="913"/>
      <c r="J1" s="913"/>
      <c r="K1" s="913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900" t="s">
        <v>80</v>
      </c>
      <c r="B6" s="900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9" t="s">
        <v>379</v>
      </c>
      <c r="AQ7" s="899"/>
      <c r="AR7" s="899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905">
        <v>9</v>
      </c>
      <c r="D9" s="875"/>
      <c r="E9" s="875"/>
      <c r="F9" s="875"/>
      <c r="G9" s="875"/>
      <c r="H9" s="875"/>
      <c r="I9" s="875"/>
      <c r="J9" s="875"/>
      <c r="K9" s="906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894"/>
      <c r="C10" s="895"/>
      <c r="D10" s="895"/>
      <c r="E10" s="895"/>
      <c r="F10" s="895"/>
      <c r="G10" s="895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911"/>
      <c r="B11" s="901" t="s">
        <v>33</v>
      </c>
      <c r="C11" s="910" t="s">
        <v>34</v>
      </c>
      <c r="D11" s="910"/>
      <c r="E11" s="907" t="s">
        <v>39</v>
      </c>
      <c r="F11" s="901" t="s">
        <v>35</v>
      </c>
      <c r="G11" s="901" t="s">
        <v>36</v>
      </c>
      <c r="H11" s="901" t="s">
        <v>43</v>
      </c>
      <c r="I11" s="908" t="s">
        <v>67</v>
      </c>
      <c r="J11" s="910" t="s">
        <v>56</v>
      </c>
      <c r="K11" s="910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874" t="s">
        <v>347</v>
      </c>
      <c r="AN11" s="875"/>
      <c r="AO11" s="875"/>
      <c r="AP11" s="875"/>
      <c r="AQ11" s="875"/>
      <c r="AR11" s="876"/>
      <c r="AS11" s="885" t="s">
        <v>354</v>
      </c>
      <c r="AT11" s="886"/>
      <c r="AU11" s="886"/>
      <c r="AV11" s="887"/>
      <c r="BC11" s="470"/>
    </row>
    <row r="12" spans="1:55" ht="15.75" thickBot="1" x14ac:dyDescent="0.3">
      <c r="A12" s="912"/>
      <c r="B12" s="902"/>
      <c r="C12" s="48" t="s">
        <v>8</v>
      </c>
      <c r="D12" s="49" t="s">
        <v>10</v>
      </c>
      <c r="E12" s="902"/>
      <c r="F12" s="902"/>
      <c r="G12" s="902"/>
      <c r="H12" s="902"/>
      <c r="I12" s="909"/>
      <c r="J12" s="53" t="s">
        <v>8</v>
      </c>
      <c r="K12" s="54" t="s">
        <v>10</v>
      </c>
      <c r="M12" s="31"/>
      <c r="N12" s="31"/>
      <c r="O12" s="922" t="s">
        <v>46</v>
      </c>
      <c r="P12" s="923"/>
      <c r="Q12" s="903" t="s">
        <v>45</v>
      </c>
      <c r="R12" s="904"/>
      <c r="S12" s="904"/>
      <c r="T12" s="904"/>
      <c r="U12" s="904"/>
      <c r="V12" s="904"/>
      <c r="W12" s="904"/>
      <c r="X12" s="904"/>
      <c r="Y12" s="904"/>
      <c r="Z12" s="904"/>
      <c r="AA12" s="904"/>
      <c r="AB12" s="904"/>
      <c r="AC12" s="904"/>
      <c r="AD12" s="904"/>
      <c r="AE12" s="905"/>
      <c r="AF12" s="916" t="s">
        <v>56</v>
      </c>
      <c r="AG12" s="917"/>
      <c r="AH12" s="31"/>
      <c r="AK12" s="880" t="s">
        <v>355</v>
      </c>
      <c r="AL12" s="896"/>
      <c r="AM12" s="877" t="s">
        <v>352</v>
      </c>
      <c r="AN12" s="878"/>
      <c r="AO12" s="879"/>
      <c r="AP12" s="880" t="s">
        <v>380</v>
      </c>
      <c r="AQ12" s="879"/>
      <c r="AR12" s="802" t="s">
        <v>378</v>
      </c>
      <c r="AS12" s="882" t="s">
        <v>352</v>
      </c>
      <c r="AT12" s="879"/>
      <c r="AU12" s="883" t="s">
        <v>353</v>
      </c>
      <c r="AV12" s="884"/>
      <c r="AW12" s="888" t="s">
        <v>351</v>
      </c>
      <c r="AX12" s="889"/>
      <c r="AZ12" s="880" t="s">
        <v>60</v>
      </c>
      <c r="BA12" s="879"/>
      <c r="BC12" s="881" t="s">
        <v>383</v>
      </c>
    </row>
    <row r="13" spans="1:55" ht="15.75" thickBot="1" x14ac:dyDescent="0.3">
      <c r="A13" s="64" t="s">
        <v>57</v>
      </c>
      <c r="B13" s="890" t="s">
        <v>97</v>
      </c>
      <c r="C13" s="892" t="str">
        <f>SUBSTITUTE(ADDRESS(1,COLUMN(Assy.Model!X9),4),"1","")</f>
        <v>X</v>
      </c>
      <c r="D13" s="101" t="str">
        <f>SUBSTITUTE(ADDRESS(1,COLUMN(Assy.Model!Y9),4),"1","")</f>
        <v>Y</v>
      </c>
      <c r="E13" s="897" t="str">
        <f>SUBSTITUTE(ADDRESS(1,COLUMN(Assy.Model!H9),4),"1","")</f>
        <v>H</v>
      </c>
      <c r="F13" s="897" t="str">
        <f>SUBSTITUTE(ADDRESS(1,COLUMN(Assy.Model!AN9),4),"1","")</f>
        <v>AN</v>
      </c>
      <c r="G13" s="897" t="str">
        <f>SUBSTITUTE(ADDRESS(1,COLUMN(Assy.Model!AO9),4),"1","")</f>
        <v>AO</v>
      </c>
      <c r="H13" s="897" t="str">
        <f>SUBSTITUTE(ADDRESS(1,COLUMN(Assy.Model!AO9),4),"1","")</f>
        <v>AO</v>
      </c>
      <c r="I13" s="897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924"/>
      <c r="P13" s="925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881"/>
    </row>
    <row r="14" spans="1:55" x14ac:dyDescent="0.25">
      <c r="A14" s="62" t="s">
        <v>58</v>
      </c>
      <c r="B14" s="891"/>
      <c r="C14" s="893"/>
      <c r="D14" s="102" t="str">
        <f>SUBSTITUTE(ADDRESS(1,COLUMN(Assy.Model!AT9),4),"1","")</f>
        <v>AT</v>
      </c>
      <c r="E14" s="898"/>
      <c r="F14" s="898"/>
      <c r="G14" s="898"/>
      <c r="H14" s="898"/>
      <c r="I14" s="898"/>
      <c r="J14" s="91">
        <v>0</v>
      </c>
      <c r="K14" s="92">
        <v>0</v>
      </c>
      <c r="L14" s="31"/>
      <c r="M14" s="190">
        <v>6.25E-2</v>
      </c>
      <c r="N14" s="31">
        <v>32</v>
      </c>
      <c r="O14" s="920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920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920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920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920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9.875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920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921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905" t="s">
        <v>64</v>
      </c>
      <c r="C21" s="875"/>
      <c r="D21" s="875"/>
      <c r="E21" s="875"/>
      <c r="F21" s="906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911"/>
      <c r="C22" s="905" t="s">
        <v>63</v>
      </c>
      <c r="D22" s="906"/>
      <c r="E22" s="908" t="s">
        <v>60</v>
      </c>
      <c r="F22" s="908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926"/>
      <c r="C23" s="57" t="s">
        <v>8</v>
      </c>
      <c r="D23" s="57" t="s">
        <v>9</v>
      </c>
      <c r="E23" s="909"/>
      <c r="F23" s="909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918">
        <v>0</v>
      </c>
      <c r="E24" s="918">
        <v>2</v>
      </c>
      <c r="F24" s="918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4.9375</v>
      </c>
      <c r="D25" s="919"/>
      <c r="E25" s="919"/>
      <c r="F25" s="919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914" t="s">
        <v>311</v>
      </c>
      <c r="C27" s="914"/>
      <c r="D27" s="914"/>
      <c r="E27" s="914"/>
      <c r="F27" s="914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915" t="s">
        <v>390</v>
      </c>
      <c r="C28" s="915"/>
      <c r="D28" s="915"/>
      <c r="E28" s="915"/>
      <c r="F28" s="915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75" t="s">
        <v>95</v>
      </c>
      <c r="D3" s="875"/>
      <c r="E3" s="875"/>
      <c r="F3" s="875"/>
      <c r="G3" s="875"/>
      <c r="H3" s="875"/>
      <c r="I3" s="875"/>
      <c r="J3" s="875"/>
      <c r="K3" s="876"/>
      <c r="L3" s="932"/>
      <c r="M3" s="875"/>
      <c r="N3" s="875"/>
      <c r="O3" s="875"/>
      <c r="P3" s="875"/>
      <c r="Q3" s="875"/>
      <c r="R3" s="906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54" t="s">
        <v>86</v>
      </c>
      <c r="C4" s="971" t="s">
        <v>82</v>
      </c>
      <c r="D4" s="875" t="s">
        <v>83</v>
      </c>
      <c r="E4" s="875"/>
      <c r="F4" s="875"/>
      <c r="G4" s="875"/>
      <c r="H4" s="875"/>
      <c r="I4" s="875"/>
      <c r="J4" s="875"/>
      <c r="K4" s="875"/>
      <c r="L4" s="150" t="s">
        <v>91</v>
      </c>
      <c r="M4" s="905" t="s">
        <v>94</v>
      </c>
      <c r="N4" s="875"/>
      <c r="O4" s="875"/>
      <c r="P4" s="876"/>
      <c r="Q4" s="875" t="s">
        <v>52</v>
      </c>
      <c r="R4" s="906"/>
      <c r="S4" s="107"/>
      <c r="T4" s="905">
        <v>350</v>
      </c>
      <c r="U4" s="875"/>
      <c r="V4" s="875" t="s">
        <v>76</v>
      </c>
      <c r="W4" s="875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55"/>
      <c r="C5" s="972"/>
      <c r="D5" s="960" t="s">
        <v>85</v>
      </c>
      <c r="E5" s="974" t="s">
        <v>89</v>
      </c>
      <c r="F5" s="910" t="s">
        <v>34</v>
      </c>
      <c r="G5" s="910"/>
      <c r="H5" s="907" t="s">
        <v>39</v>
      </c>
      <c r="I5" s="901" t="s">
        <v>35</v>
      </c>
      <c r="J5" s="901" t="s">
        <v>36</v>
      </c>
      <c r="K5" s="944" t="s">
        <v>67</v>
      </c>
      <c r="L5" s="151" t="s">
        <v>92</v>
      </c>
      <c r="M5" s="908" t="s">
        <v>90</v>
      </c>
      <c r="N5" s="908" t="s">
        <v>47</v>
      </c>
      <c r="O5" s="927" t="s">
        <v>84</v>
      </c>
      <c r="P5" s="928"/>
      <c r="Q5" s="929" t="s">
        <v>84</v>
      </c>
      <c r="R5" s="930"/>
      <c r="S5" s="107"/>
      <c r="T5" s="922" t="s">
        <v>46</v>
      </c>
      <c r="U5" s="933"/>
      <c r="V5" s="889" t="s">
        <v>45</v>
      </c>
      <c r="W5" s="917"/>
      <c r="X5" s="917"/>
      <c r="Y5" s="917"/>
      <c r="Z5" s="917"/>
      <c r="AA5" s="917"/>
      <c r="AB5" s="917"/>
      <c r="AC5" s="917"/>
      <c r="AD5" s="917"/>
      <c r="AE5" s="917"/>
      <c r="AF5" s="917"/>
      <c r="AG5" s="917"/>
      <c r="AH5" s="917"/>
      <c r="AI5" s="917"/>
      <c r="AJ5" s="917"/>
      <c r="AK5" s="31"/>
      <c r="AL5" s="31"/>
    </row>
    <row r="6" spans="2:38" ht="15" customHeight="1" thickBot="1" x14ac:dyDescent="0.3">
      <c r="B6" s="956"/>
      <c r="C6" s="973"/>
      <c r="D6" s="961"/>
      <c r="E6" s="975"/>
      <c r="F6" s="108" t="s">
        <v>8</v>
      </c>
      <c r="G6" s="109" t="s">
        <v>10</v>
      </c>
      <c r="H6" s="945"/>
      <c r="I6" s="945"/>
      <c r="J6" s="945"/>
      <c r="K6" s="934"/>
      <c r="L6" s="152" t="s">
        <v>93</v>
      </c>
      <c r="M6" s="931"/>
      <c r="N6" s="931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34"/>
      <c r="U6" s="935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62">
        <f>ROW(Assy.Model!B9)</f>
        <v>9</v>
      </c>
      <c r="D7" s="951" t="str">
        <f>SUBSTITUTE(ADDRESS(1,COLUMN(Assy.Model!B9),4),"1","")</f>
        <v>B</v>
      </c>
      <c r="E7" s="965" t="str">
        <f>SUBSTITUTE(ADDRESS(1,COLUMN(Assy.Model!M9),4),"1","")</f>
        <v>M</v>
      </c>
      <c r="F7" s="968" t="str">
        <f>SUBSTITUTE(ADDRESS(1,COLUMN(Assy.Model!X9),4),"1","")</f>
        <v>X</v>
      </c>
      <c r="G7" s="957" t="str">
        <f>SUBSTITUTE(ADDRESS(1,COLUMN(Assy.Model!AT9),4),"1","")</f>
        <v>AT</v>
      </c>
      <c r="H7" s="936" t="str">
        <f>SUBSTITUTE(ADDRESS(1,COLUMN(Assy.Model!H9),4),"1","")</f>
        <v>H</v>
      </c>
      <c r="I7" s="936" t="str">
        <f>SUBSTITUTE(ADDRESS(1,COLUMN(Assy.Model!AN9),4),"1","")</f>
        <v>AN</v>
      </c>
      <c r="J7" s="936" t="str">
        <f>SUBSTITUTE(ADDRESS(1,COLUMN(Assy.Model!AO9),4),"1","")</f>
        <v>AO</v>
      </c>
      <c r="K7" s="939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48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46" t="s">
        <v>81</v>
      </c>
      <c r="C8" s="963"/>
      <c r="D8" s="952"/>
      <c r="E8" s="966"/>
      <c r="F8" s="969"/>
      <c r="G8" s="958"/>
      <c r="H8" s="937"/>
      <c r="I8" s="937"/>
      <c r="J8" s="937"/>
      <c r="K8" s="940"/>
      <c r="L8" s="153" t="s">
        <v>93</v>
      </c>
      <c r="M8" s="942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49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46"/>
      <c r="C9" s="963"/>
      <c r="D9" s="952"/>
      <c r="E9" s="966"/>
      <c r="F9" s="969"/>
      <c r="G9" s="958"/>
      <c r="H9" s="937"/>
      <c r="I9" s="937"/>
      <c r="J9" s="937"/>
      <c r="K9" s="940"/>
      <c r="L9" s="153" t="s">
        <v>92</v>
      </c>
      <c r="M9" s="942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49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46"/>
      <c r="C10" s="963"/>
      <c r="D10" s="952"/>
      <c r="E10" s="966"/>
      <c r="F10" s="969"/>
      <c r="G10" s="958"/>
      <c r="H10" s="937"/>
      <c r="I10" s="937"/>
      <c r="J10" s="937"/>
      <c r="K10" s="940"/>
      <c r="L10" s="153" t="s">
        <v>92</v>
      </c>
      <c r="M10" s="942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49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46"/>
      <c r="C11" s="963"/>
      <c r="D11" s="952"/>
      <c r="E11" s="966"/>
      <c r="F11" s="969"/>
      <c r="G11" s="958"/>
      <c r="H11" s="937"/>
      <c r="I11" s="937"/>
      <c r="J11" s="937"/>
      <c r="K11" s="940"/>
      <c r="L11" s="153" t="s">
        <v>92</v>
      </c>
      <c r="M11" s="942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49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46"/>
      <c r="C12" s="963"/>
      <c r="D12" s="952"/>
      <c r="E12" s="966"/>
      <c r="F12" s="969"/>
      <c r="G12" s="958"/>
      <c r="H12" s="937"/>
      <c r="I12" s="937"/>
      <c r="J12" s="937"/>
      <c r="K12" s="940"/>
      <c r="L12" s="153" t="s">
        <v>92</v>
      </c>
      <c r="M12" s="942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49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46"/>
      <c r="C13" s="963"/>
      <c r="D13" s="952"/>
      <c r="E13" s="966"/>
      <c r="F13" s="969"/>
      <c r="G13" s="958"/>
      <c r="H13" s="937"/>
      <c r="I13" s="937"/>
      <c r="J13" s="937"/>
      <c r="K13" s="940"/>
      <c r="L13" s="153" t="s">
        <v>92</v>
      </c>
      <c r="M13" s="942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49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47"/>
      <c r="C14" s="964"/>
      <c r="D14" s="953"/>
      <c r="E14" s="967"/>
      <c r="F14" s="970"/>
      <c r="G14" s="959"/>
      <c r="H14" s="938"/>
      <c r="I14" s="938"/>
      <c r="J14" s="938"/>
      <c r="K14" s="941"/>
      <c r="L14" s="154" t="s">
        <v>93</v>
      </c>
      <c r="M14" s="943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50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1229" t="str">
        <f>CONCATENATE(Settings!$C$19," ",Settings!$B$28)</f>
        <v>9.875  Job# --- Assy# --- Post Braze --- yy.mm.dd</v>
      </c>
      <c r="D1" s="1229"/>
      <c r="E1" s="1229"/>
      <c r="F1" s="1229"/>
      <c r="G1" s="1229"/>
      <c r="H1" s="1229"/>
      <c r="I1" s="1229"/>
      <c r="J1" s="1229"/>
      <c r="K1" s="1229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240" t="s">
        <v>315</v>
      </c>
      <c r="C2" s="1241"/>
      <c r="D2" s="1241"/>
      <c r="E2" s="1241"/>
      <c r="F2" s="1241"/>
      <c r="G2" s="1241"/>
      <c r="H2" s="1241"/>
      <c r="I2" s="1241"/>
      <c r="J2" s="1241"/>
      <c r="K2" s="1242"/>
      <c r="L2" s="984" t="str" cm="1">
        <f t="array" ref="L2">IF(OR($K$9:$K$150="Undefined"),"Undefined Element","")</f>
        <v/>
      </c>
      <c r="M2" s="1248" t="s">
        <v>0</v>
      </c>
      <c r="N2" s="1142" t="s">
        <v>1</v>
      </c>
      <c r="O2" s="1143"/>
      <c r="P2" s="1143"/>
      <c r="Q2" s="1143"/>
      <c r="R2" s="1143"/>
      <c r="S2" s="1143"/>
      <c r="T2" s="1143"/>
      <c r="U2" s="1143"/>
      <c r="V2" s="1143"/>
      <c r="W2" s="1143"/>
      <c r="X2" s="1143"/>
      <c r="Y2" s="1155"/>
      <c r="Z2" s="1142" t="s">
        <v>2</v>
      </c>
      <c r="AA2" s="1143"/>
      <c r="AB2" s="1143"/>
      <c r="AC2" s="1143"/>
      <c r="AD2" s="1143"/>
      <c r="AE2" s="1143"/>
      <c r="AF2" s="1143"/>
      <c r="AG2" s="1143"/>
      <c r="AH2" s="1143"/>
      <c r="AI2" s="1143"/>
      <c r="AJ2" s="1143"/>
      <c r="AK2" s="1143"/>
      <c r="AL2" s="1143"/>
      <c r="AM2" s="1143"/>
      <c r="AN2" s="1143"/>
      <c r="AO2" s="1143"/>
      <c r="AP2" s="1143"/>
      <c r="AQ2" s="1144"/>
      <c r="AS2" s="1205" t="s">
        <v>44</v>
      </c>
      <c r="AT2" s="1206"/>
      <c r="AV2" s="1200" t="s">
        <v>0</v>
      </c>
      <c r="AW2" s="1142" t="s">
        <v>109</v>
      </c>
      <c r="AX2" s="1143"/>
      <c r="AY2" s="1143"/>
      <c r="AZ2" s="1143"/>
      <c r="BA2" s="1143"/>
      <c r="BB2" s="1143"/>
      <c r="BC2" s="1143"/>
      <c r="BD2" s="1143"/>
      <c r="BE2" s="1144"/>
      <c r="BF2" s="1154" t="s">
        <v>115</v>
      </c>
      <c r="BG2" s="1143"/>
      <c r="BH2" s="1143"/>
      <c r="BI2" s="1143"/>
      <c r="BJ2" s="1143"/>
      <c r="BK2" s="1143"/>
      <c r="BL2" s="1143"/>
      <c r="BM2" s="1143"/>
      <c r="BN2" s="1143"/>
      <c r="BO2" s="1143"/>
      <c r="BP2" s="1143"/>
      <c r="BQ2" s="1143"/>
      <c r="BR2" s="1143"/>
      <c r="BS2" s="1143"/>
      <c r="BT2" s="1143"/>
      <c r="BU2" s="1143"/>
      <c r="BV2" s="1143"/>
      <c r="BW2" s="1143"/>
      <c r="BX2" s="1143"/>
      <c r="BY2" s="1143"/>
      <c r="BZ2" s="1143"/>
      <c r="CA2" s="1143"/>
      <c r="CB2" s="1143"/>
      <c r="CC2" s="1143"/>
      <c r="CD2" s="1143"/>
      <c r="CE2" s="1143"/>
      <c r="CF2" s="1143"/>
      <c r="CG2" s="1143"/>
      <c r="CH2" s="1143"/>
      <c r="CI2" s="1143"/>
      <c r="CJ2" s="1143"/>
      <c r="CK2" s="1143"/>
      <c r="CL2" s="1143"/>
      <c r="CM2" s="1143"/>
      <c r="CN2" s="1143"/>
      <c r="CO2" s="1143"/>
      <c r="CP2" s="1143"/>
      <c r="CQ2" s="1143"/>
      <c r="CR2" s="1143"/>
      <c r="CS2" s="1143"/>
      <c r="CT2" s="1143"/>
      <c r="CU2" s="1143"/>
      <c r="CV2" s="1143"/>
      <c r="CW2" s="1143"/>
      <c r="CX2" s="1143"/>
      <c r="CY2" s="1143"/>
      <c r="CZ2" s="1143"/>
      <c r="DA2" s="1143"/>
      <c r="DB2" s="1143"/>
      <c r="DC2" s="1143"/>
      <c r="DD2" s="1143"/>
      <c r="DE2" s="1143"/>
      <c r="DF2" s="1143"/>
      <c r="DG2" s="1143"/>
      <c r="DH2" s="1143"/>
      <c r="DI2" s="1143"/>
      <c r="DJ2" s="1143"/>
      <c r="DK2" s="1143"/>
      <c r="DL2" s="1143"/>
      <c r="DM2" s="1143"/>
      <c r="DN2" s="1143"/>
      <c r="DO2" s="1143"/>
      <c r="DP2" s="1143"/>
      <c r="DQ2" s="1143"/>
      <c r="DR2" s="1143"/>
      <c r="DS2" s="1143"/>
      <c r="DT2" s="1143"/>
      <c r="DU2" s="1143"/>
      <c r="DV2" s="1143"/>
      <c r="DW2" s="1143"/>
      <c r="DX2" s="1143"/>
      <c r="DY2" s="1143"/>
      <c r="DZ2" s="1143"/>
      <c r="EA2" s="1143"/>
      <c r="EB2" s="1143"/>
      <c r="EC2" s="1143"/>
      <c r="ED2" s="1143"/>
      <c r="EE2" s="1143"/>
      <c r="EF2" s="1143"/>
      <c r="EG2" s="1143"/>
      <c r="EH2" s="1143"/>
      <c r="EI2" s="1143"/>
      <c r="EJ2" s="1143"/>
      <c r="EK2" s="1143"/>
      <c r="EL2" s="1143"/>
      <c r="EM2" s="1143"/>
      <c r="EN2" s="1143"/>
      <c r="EO2" s="1143"/>
      <c r="EP2" s="1143"/>
      <c r="EQ2" s="1143"/>
      <c r="ER2" s="1155"/>
      <c r="ES2" s="1045" t="s">
        <v>197</v>
      </c>
      <c r="ET2" s="1046"/>
      <c r="EU2" s="1046"/>
      <c r="EV2" s="1046"/>
      <c r="EW2" s="1046"/>
      <c r="EX2" s="1046"/>
      <c r="EY2" s="1046"/>
      <c r="EZ2" s="1046"/>
      <c r="FA2" s="1046"/>
      <c r="FB2" s="1046"/>
      <c r="FC2" s="1046"/>
      <c r="FD2" s="1046"/>
      <c r="FE2" s="1046"/>
      <c r="FF2" s="1047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032" t="s">
        <v>266</v>
      </c>
      <c r="HQ2" s="1073" t="str">
        <f>IFERROR(CONCATENATE("Sum of Lateral Forces = ",ROUND(HE3,0)," lbs @ ",ROUND(HF3,1),"° Relative to Blade 1"),"")</f>
        <v/>
      </c>
      <c r="HR2" s="1074"/>
      <c r="HS2" s="1074"/>
      <c r="HT2" s="1074"/>
      <c r="HU2" s="1074"/>
      <c r="HV2" s="1075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243"/>
      <c r="C3" s="1198"/>
      <c r="D3" s="1198"/>
      <c r="E3" s="1198"/>
      <c r="F3" s="1198"/>
      <c r="G3" s="1198"/>
      <c r="H3" s="1198"/>
      <c r="I3" s="1198"/>
      <c r="J3" s="1198"/>
      <c r="K3" s="1244"/>
      <c r="L3" s="984"/>
      <c r="M3" s="1243"/>
      <c r="N3" s="1145"/>
      <c r="O3" s="1146"/>
      <c r="P3" s="1146"/>
      <c r="Q3" s="1146"/>
      <c r="R3" s="1146"/>
      <c r="S3" s="1146"/>
      <c r="T3" s="1146"/>
      <c r="U3" s="1146"/>
      <c r="V3" s="1146"/>
      <c r="W3" s="1146"/>
      <c r="X3" s="1146"/>
      <c r="Y3" s="1202"/>
      <c r="Z3" s="1145"/>
      <c r="AA3" s="1146"/>
      <c r="AB3" s="1146"/>
      <c r="AC3" s="1146"/>
      <c r="AD3" s="1146"/>
      <c r="AE3" s="1146"/>
      <c r="AF3" s="1146"/>
      <c r="AG3" s="1146"/>
      <c r="AH3" s="1146"/>
      <c r="AI3" s="1146"/>
      <c r="AJ3" s="1146"/>
      <c r="AK3" s="1146"/>
      <c r="AL3" s="1146"/>
      <c r="AM3" s="1146"/>
      <c r="AN3" s="1146"/>
      <c r="AO3" s="1146"/>
      <c r="AP3" s="1146"/>
      <c r="AQ3" s="1147"/>
      <c r="AS3" s="466">
        <v>100</v>
      </c>
      <c r="AT3" s="463" t="s">
        <v>45</v>
      </c>
      <c r="AV3" s="1201"/>
      <c r="AW3" s="1048"/>
      <c r="AX3" s="1049"/>
      <c r="AY3" s="1049"/>
      <c r="AZ3" s="1049"/>
      <c r="BA3" s="1049"/>
      <c r="BB3" s="1049"/>
      <c r="BC3" s="1049"/>
      <c r="BD3" s="1049"/>
      <c r="BE3" s="1163"/>
      <c r="BF3" s="1156"/>
      <c r="BG3" s="1049"/>
      <c r="BH3" s="1049"/>
      <c r="BI3" s="1049"/>
      <c r="BJ3" s="1049"/>
      <c r="BK3" s="1049"/>
      <c r="BL3" s="1049"/>
      <c r="BM3" s="1049"/>
      <c r="BN3" s="1049"/>
      <c r="BO3" s="1049"/>
      <c r="BP3" s="1049"/>
      <c r="BQ3" s="1049"/>
      <c r="BR3" s="1049"/>
      <c r="BS3" s="1049"/>
      <c r="BT3" s="1049"/>
      <c r="BU3" s="1049"/>
      <c r="BV3" s="1049"/>
      <c r="BW3" s="1049"/>
      <c r="BX3" s="1049"/>
      <c r="BY3" s="1049"/>
      <c r="BZ3" s="1049"/>
      <c r="CA3" s="1049"/>
      <c r="CB3" s="1049"/>
      <c r="CC3" s="1049"/>
      <c r="CD3" s="1049"/>
      <c r="CE3" s="1049"/>
      <c r="CF3" s="1049"/>
      <c r="CG3" s="1049"/>
      <c r="CH3" s="1049"/>
      <c r="CI3" s="1049"/>
      <c r="CJ3" s="1049"/>
      <c r="CK3" s="1049"/>
      <c r="CL3" s="1049"/>
      <c r="CM3" s="1049"/>
      <c r="CN3" s="1049"/>
      <c r="CO3" s="1049"/>
      <c r="CP3" s="1049"/>
      <c r="CQ3" s="1049"/>
      <c r="CR3" s="1049"/>
      <c r="CS3" s="1049"/>
      <c r="CT3" s="1049"/>
      <c r="CU3" s="1049"/>
      <c r="CV3" s="1049"/>
      <c r="CW3" s="1049"/>
      <c r="CX3" s="1049"/>
      <c r="CY3" s="1049"/>
      <c r="CZ3" s="1049"/>
      <c r="DA3" s="1049"/>
      <c r="DB3" s="1049"/>
      <c r="DC3" s="1049"/>
      <c r="DD3" s="1049"/>
      <c r="DE3" s="1049"/>
      <c r="DF3" s="1049"/>
      <c r="DG3" s="1049"/>
      <c r="DH3" s="1049"/>
      <c r="DI3" s="1049"/>
      <c r="DJ3" s="1049"/>
      <c r="DK3" s="1049"/>
      <c r="DL3" s="1049"/>
      <c r="DM3" s="1049"/>
      <c r="DN3" s="1049"/>
      <c r="DO3" s="1049"/>
      <c r="DP3" s="1049"/>
      <c r="DQ3" s="1049"/>
      <c r="DR3" s="1049"/>
      <c r="DS3" s="1049"/>
      <c r="DT3" s="1049"/>
      <c r="DU3" s="1049"/>
      <c r="DV3" s="1049"/>
      <c r="DW3" s="1049"/>
      <c r="DX3" s="1049"/>
      <c r="DY3" s="1049"/>
      <c r="DZ3" s="1049"/>
      <c r="EA3" s="1049"/>
      <c r="EB3" s="1049"/>
      <c r="EC3" s="1049"/>
      <c r="ED3" s="1049"/>
      <c r="EE3" s="1049"/>
      <c r="EF3" s="1049"/>
      <c r="EG3" s="1049"/>
      <c r="EH3" s="1049"/>
      <c r="EI3" s="1049"/>
      <c r="EJ3" s="1049"/>
      <c r="EK3" s="1049"/>
      <c r="EL3" s="1049"/>
      <c r="EM3" s="1049"/>
      <c r="EN3" s="1049"/>
      <c r="EO3" s="1049"/>
      <c r="EP3" s="1049"/>
      <c r="EQ3" s="1049"/>
      <c r="ER3" s="1050"/>
      <c r="ES3" s="1048"/>
      <c r="ET3" s="1049"/>
      <c r="EU3" s="1049"/>
      <c r="EV3" s="1049"/>
      <c r="EW3" s="1049"/>
      <c r="EX3" s="1049"/>
      <c r="EY3" s="1049"/>
      <c r="EZ3" s="1049"/>
      <c r="FA3" s="1049"/>
      <c r="FB3" s="1049"/>
      <c r="FC3" s="1049"/>
      <c r="FD3" s="1049"/>
      <c r="FE3" s="1049"/>
      <c r="FF3" s="1050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033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245"/>
      <c r="C4" s="1246"/>
      <c r="D4" s="1246"/>
      <c r="E4" s="1246"/>
      <c r="F4" s="1246"/>
      <c r="G4" s="1246"/>
      <c r="H4" s="1246"/>
      <c r="I4" s="1246"/>
      <c r="J4" s="1246"/>
      <c r="K4" s="1247"/>
      <c r="L4" s="984"/>
      <c r="M4" s="1243"/>
      <c r="N4" s="1186" t="s">
        <v>3</v>
      </c>
      <c r="O4" s="1184"/>
      <c r="P4" s="1184"/>
      <c r="Q4" s="1183" t="s">
        <v>4</v>
      </c>
      <c r="R4" s="1184"/>
      <c r="S4" s="1185"/>
      <c r="T4" s="1258" t="str">
        <f>N4</f>
        <v>Cartesian Coordinates</v>
      </c>
      <c r="U4" s="1167"/>
      <c r="V4" s="1259"/>
      <c r="W4" s="1167" t="str">
        <f>$Q$4</f>
        <v>Polar XY; Cartesian Z</v>
      </c>
      <c r="X4" s="1167"/>
      <c r="Y4" s="1233"/>
      <c r="Z4" s="1186" t="s">
        <v>3</v>
      </c>
      <c r="AA4" s="1184"/>
      <c r="AB4" s="1184"/>
      <c r="AC4" s="1184"/>
      <c r="AD4" s="1184"/>
      <c r="AE4" s="1184"/>
      <c r="AF4" s="1184"/>
      <c r="AG4" s="1196" t="s">
        <v>31</v>
      </c>
      <c r="AH4" s="1184"/>
      <c r="AI4" s="1184"/>
      <c r="AJ4" s="1185"/>
      <c r="AK4" s="1148" t="s">
        <v>32</v>
      </c>
      <c r="AL4" s="1149"/>
      <c r="AM4" s="1149"/>
      <c r="AN4" s="1149"/>
      <c r="AO4" s="1149"/>
      <c r="AP4" s="1149"/>
      <c r="AQ4" s="1150"/>
      <c r="AS4" s="467">
        <v>125</v>
      </c>
      <c r="AT4" s="464" t="s">
        <v>46</v>
      </c>
      <c r="AV4" s="1201"/>
      <c r="AW4" s="1096" t="s">
        <v>112</v>
      </c>
      <c r="AX4" s="1000"/>
      <c r="AY4" s="923"/>
      <c r="AZ4" s="1161"/>
      <c r="BA4" s="1162"/>
      <c r="BB4" s="1164" t="s">
        <v>113</v>
      </c>
      <c r="BC4" s="1167" t="str">
        <f>$Q$4</f>
        <v>Polar XY; Cartesian Z</v>
      </c>
      <c r="BD4" s="1167"/>
      <c r="BE4" s="1168"/>
      <c r="BF4" s="1119" t="s">
        <v>129</v>
      </c>
      <c r="BG4" s="1120"/>
      <c r="BH4" s="1120"/>
      <c r="BI4" s="1120"/>
      <c r="BJ4" s="1120"/>
      <c r="BK4" s="1120"/>
      <c r="BL4" s="1120"/>
      <c r="BM4" s="1120"/>
      <c r="BN4" s="1120"/>
      <c r="BO4" s="1120"/>
      <c r="BP4" s="1120"/>
      <c r="BQ4" s="1120"/>
      <c r="BR4" s="1120"/>
      <c r="BS4" s="1120"/>
      <c r="BT4" s="1120"/>
      <c r="BU4" s="1120"/>
      <c r="BV4" s="1120"/>
      <c r="BW4" s="1120"/>
      <c r="BX4" s="1120"/>
      <c r="BY4" s="1120"/>
      <c r="BZ4" s="1120"/>
      <c r="CA4" s="1120"/>
      <c r="CB4" s="1120"/>
      <c r="CC4" s="1120"/>
      <c r="CD4" s="1120"/>
      <c r="CE4" s="1120"/>
      <c r="CF4" s="1120"/>
      <c r="CG4" s="1120"/>
      <c r="CH4" s="1120"/>
      <c r="CI4" s="1120"/>
      <c r="CJ4" s="1120"/>
      <c r="CK4" s="1120"/>
      <c r="CL4" s="1120"/>
      <c r="CM4" s="1120"/>
      <c r="CN4" s="1121"/>
      <c r="CO4" s="1157" t="s">
        <v>193</v>
      </c>
      <c r="CP4" s="1158"/>
      <c r="CQ4" s="1158"/>
      <c r="CR4" s="1158"/>
      <c r="CS4" s="1158"/>
      <c r="CT4" s="1158"/>
      <c r="CU4" s="1158"/>
      <c r="CV4" s="1158"/>
      <c r="CW4" s="1158"/>
      <c r="CX4" s="1158"/>
      <c r="CY4" s="1158"/>
      <c r="CZ4" s="1158"/>
      <c r="DA4" s="1159"/>
      <c r="DB4" s="1042" t="s">
        <v>162</v>
      </c>
      <c r="DC4" s="1043"/>
      <c r="DD4" s="1043"/>
      <c r="DE4" s="1043"/>
      <c r="DF4" s="1043"/>
      <c r="DG4" s="1043"/>
      <c r="DH4" s="1043"/>
      <c r="DI4" s="1043"/>
      <c r="DJ4" s="1043"/>
      <c r="DK4" s="1043"/>
      <c r="DL4" s="1043"/>
      <c r="DM4" s="1043"/>
      <c r="DN4" s="1043"/>
      <c r="DO4" s="1043"/>
      <c r="DP4" s="1043"/>
      <c r="DQ4" s="1043"/>
      <c r="DR4" s="1043"/>
      <c r="DS4" s="1043"/>
      <c r="DT4" s="1043"/>
      <c r="DU4" s="1043"/>
      <c r="DV4" s="1043"/>
      <c r="DW4" s="1043"/>
      <c r="DX4" s="1043"/>
      <c r="DY4" s="1043"/>
      <c r="DZ4" s="1043"/>
      <c r="EA4" s="1043"/>
      <c r="EB4" s="1043"/>
      <c r="EC4" s="1043"/>
      <c r="ED4" s="1043"/>
      <c r="EE4" s="1043"/>
      <c r="EF4" s="1043"/>
      <c r="EG4" s="1043"/>
      <c r="EH4" s="1043"/>
      <c r="EI4" s="1043"/>
      <c r="EJ4" s="1043"/>
      <c r="EK4" s="1043"/>
      <c r="EL4" s="1043"/>
      <c r="EM4" s="1043"/>
      <c r="EN4" s="1043"/>
      <c r="EO4" s="1043"/>
      <c r="EP4" s="1043"/>
      <c r="EQ4" s="1043"/>
      <c r="ER4" s="1044"/>
      <c r="ES4" s="1065" t="s">
        <v>196</v>
      </c>
      <c r="ET4" s="1066"/>
      <c r="EU4" s="1066"/>
      <c r="EV4" s="1066"/>
      <c r="EW4" s="1066"/>
      <c r="EX4" s="1066"/>
      <c r="EY4" s="1067"/>
      <c r="EZ4" s="1100" t="s">
        <v>201</v>
      </c>
      <c r="FA4" s="1101"/>
      <c r="FB4" s="1101"/>
      <c r="FC4" s="1101"/>
      <c r="FD4" s="1101"/>
      <c r="FE4" s="1101"/>
      <c r="FF4" s="1102"/>
      <c r="FG4" s="343"/>
      <c r="FP4" s="1032" t="s">
        <v>229</v>
      </c>
      <c r="FZ4" s="1032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3" t="s">
        <v>236</v>
      </c>
      <c r="GK4" s="904"/>
      <c r="GL4" s="904"/>
      <c r="GM4" s="904"/>
      <c r="GN4" s="990"/>
      <c r="GO4" s="992" t="s">
        <v>229</v>
      </c>
      <c r="GP4" s="996" t="s">
        <v>228</v>
      </c>
      <c r="GR4" s="1002" t="s">
        <v>261</v>
      </c>
      <c r="GS4" s="932" t="s">
        <v>259</v>
      </c>
      <c r="GT4" s="875"/>
      <c r="GU4" s="875"/>
      <c r="GV4" s="875"/>
      <c r="GW4" s="875"/>
      <c r="GX4" s="875"/>
      <c r="GY4" s="875"/>
      <c r="GZ4" s="875"/>
      <c r="HA4" s="1079" t="str">
        <f>IFERROR(CONCATENATE("Lateral Forces = ",ROUND(HE3,0)," lbs @ ",ROUND(HF3,1),"° Relative to Blade 1"),"")</f>
        <v/>
      </c>
      <c r="HB4" s="1080"/>
      <c r="HC4" s="1080"/>
      <c r="HD4" s="1080"/>
      <c r="HE4" s="1080"/>
      <c r="HF4" s="1080"/>
      <c r="HG4" s="1080"/>
      <c r="HH4" s="1081"/>
      <c r="HI4" s="1087" t="s">
        <v>0</v>
      </c>
      <c r="HO4" s="1034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900" t="s">
        <v>381</v>
      </c>
      <c r="IF4" s="900"/>
      <c r="IG4" s="767" cm="1">
        <f t="array" ref="IG4">MAX(MOD(IF($IG$9:$IG$150="",0,($IG$9:$IG$150*1000)),100))</f>
        <v>27</v>
      </c>
      <c r="IL4" s="31"/>
      <c r="IM4" s="767"/>
    </row>
    <row r="5" spans="1:283" ht="15" customHeight="1" x14ac:dyDescent="0.25">
      <c r="B5" s="1234" t="str">
        <f>CONCATENATE(B7," ; ",E7," ; ",H7)</f>
        <v>Absolute-Point ; Incremental-Vector Point ; Pocket Info.</v>
      </c>
      <c r="C5" s="1235"/>
      <c r="D5" s="1235"/>
      <c r="E5" s="1235"/>
      <c r="F5" s="1235"/>
      <c r="G5" s="1235"/>
      <c r="H5" s="1235"/>
      <c r="I5" s="1235"/>
      <c r="J5" s="1235"/>
      <c r="K5" s="1236"/>
      <c r="L5" s="843"/>
      <c r="M5" s="1243"/>
      <c r="N5" s="1191" t="s">
        <v>5</v>
      </c>
      <c r="O5" s="1152"/>
      <c r="P5" s="1152"/>
      <c r="Q5" s="1219" t="s">
        <v>6</v>
      </c>
      <c r="R5" s="1152"/>
      <c r="S5" s="1153"/>
      <c r="T5" s="1136" t="str">
        <f>CONCATENATE("Relative to ",M8,"'s θ about Z Axis")</f>
        <v>Relative to 1.11's θ about Z Axis</v>
      </c>
      <c r="U5" s="1137"/>
      <c r="V5" s="1138"/>
      <c r="W5" s="1137" t="str">
        <f>CONCATENATE("Relative to ",M8,"'s θ about Z Axis")</f>
        <v>Relative to 1.11's θ about Z Axis</v>
      </c>
      <c r="X5" s="1137"/>
      <c r="Y5" s="1260"/>
      <c r="Z5" s="1250" t="str">
        <f>N5</f>
        <v>Relative to World_CS</v>
      </c>
      <c r="AA5" s="1137"/>
      <c r="AB5" s="1137"/>
      <c r="AC5" s="1137"/>
      <c r="AD5" s="1137"/>
      <c r="AE5" s="1137"/>
      <c r="AF5" s="1137"/>
      <c r="AG5" s="1136" t="str">
        <f>N5</f>
        <v>Relative to World_CS</v>
      </c>
      <c r="AH5" s="1137"/>
      <c r="AI5" s="1137"/>
      <c r="AJ5" s="1174"/>
      <c r="AK5" s="1151" t="s">
        <v>7</v>
      </c>
      <c r="AL5" s="1152"/>
      <c r="AM5" s="1152"/>
      <c r="AN5" s="1152"/>
      <c r="AO5" s="1152"/>
      <c r="AP5" s="1152"/>
      <c r="AQ5" s="1153"/>
      <c r="AS5" s="171">
        <f>(((AS4*12)/60)/AS3)</f>
        <v>0.25</v>
      </c>
      <c r="AT5" s="464" t="s">
        <v>47</v>
      </c>
      <c r="AV5" s="1201"/>
      <c r="AW5" s="1177"/>
      <c r="AX5" s="1178"/>
      <c r="AY5" s="1179"/>
      <c r="AZ5" s="1008"/>
      <c r="BA5" s="913"/>
      <c r="BB5" s="1165"/>
      <c r="BC5" s="1173" t="str">
        <f>$W$5</f>
        <v>Relative to 1.11's θ about Z Axis</v>
      </c>
      <c r="BD5" s="1137"/>
      <c r="BE5" s="1174"/>
      <c r="BF5" s="932" t="s">
        <v>128</v>
      </c>
      <c r="BG5" s="875"/>
      <c r="BH5" s="875"/>
      <c r="BI5" s="875"/>
      <c r="BJ5" s="875"/>
      <c r="BK5" s="875"/>
      <c r="BL5" s="875"/>
      <c r="BM5" s="875"/>
      <c r="BN5" s="875"/>
      <c r="BO5" s="875"/>
      <c r="BP5" s="875"/>
      <c r="BQ5" s="875"/>
      <c r="BR5" s="876"/>
      <c r="BS5" s="932" t="s">
        <v>130</v>
      </c>
      <c r="BT5" s="875"/>
      <c r="BU5" s="875"/>
      <c r="BV5" s="875"/>
      <c r="BW5" s="875"/>
      <c r="BX5" s="875"/>
      <c r="BY5" s="875"/>
      <c r="BZ5" s="875"/>
      <c r="CA5" s="875"/>
      <c r="CB5" s="875"/>
      <c r="CC5" s="875"/>
      <c r="CD5" s="875"/>
      <c r="CE5" s="876"/>
      <c r="CF5" s="932" t="s">
        <v>138</v>
      </c>
      <c r="CG5" s="875"/>
      <c r="CH5" s="876"/>
      <c r="CI5" s="932" t="s">
        <v>139</v>
      </c>
      <c r="CJ5" s="875"/>
      <c r="CK5" s="875"/>
      <c r="CL5" s="875"/>
      <c r="CM5" s="875"/>
      <c r="CN5" s="876"/>
      <c r="CO5" s="1014" t="s">
        <v>275</v>
      </c>
      <c r="CP5" s="1014" t="s">
        <v>149</v>
      </c>
      <c r="CQ5" s="1000"/>
      <c r="CR5" s="1000"/>
      <c r="CS5" s="933"/>
      <c r="CT5" s="1000" t="s">
        <v>150</v>
      </c>
      <c r="CU5" s="923"/>
      <c r="CV5" s="932" t="s">
        <v>161</v>
      </c>
      <c r="CW5" s="875"/>
      <c r="CX5" s="875"/>
      <c r="CY5" s="875"/>
      <c r="CZ5" s="875"/>
      <c r="DA5" s="876"/>
      <c r="DB5" s="932" t="s">
        <v>163</v>
      </c>
      <c r="DC5" s="875"/>
      <c r="DD5" s="875"/>
      <c r="DE5" s="875"/>
      <c r="DF5" s="875"/>
      <c r="DG5" s="875"/>
      <c r="DH5" s="876"/>
      <c r="DI5" s="1021" t="s">
        <v>173</v>
      </c>
      <c r="DJ5" s="1021"/>
      <c r="DK5" s="1129"/>
      <c r="DL5" s="1020" t="s">
        <v>174</v>
      </c>
      <c r="DM5" s="1021"/>
      <c r="DN5" s="1022"/>
      <c r="DO5" s="1131" t="s">
        <v>175</v>
      </c>
      <c r="DP5" s="1132"/>
      <c r="DQ5" s="1132"/>
      <c r="DR5" s="1013" t="s">
        <v>187</v>
      </c>
      <c r="DS5" s="1013"/>
      <c r="DT5" s="1013"/>
      <c r="DU5" s="1013"/>
      <c r="DV5" s="1013"/>
      <c r="DW5" s="1013"/>
      <c r="DX5" s="1014" t="s">
        <v>190</v>
      </c>
      <c r="DY5" s="954" t="s">
        <v>149</v>
      </c>
      <c r="DZ5" s="1013"/>
      <c r="EA5" s="1013"/>
      <c r="EB5" s="1013"/>
      <c r="EC5" s="1013" t="s">
        <v>150</v>
      </c>
      <c r="ED5" s="1013"/>
      <c r="EE5" s="1002" t="s">
        <v>194</v>
      </c>
      <c r="EF5" s="1002"/>
      <c r="EG5" s="1010"/>
      <c r="EH5" s="1026" t="s">
        <v>195</v>
      </c>
      <c r="EI5" s="1027"/>
      <c r="EJ5" s="1028"/>
      <c r="EK5" s="1013" t="s">
        <v>188</v>
      </c>
      <c r="EL5" s="1014"/>
      <c r="EM5" s="932" t="s">
        <v>189</v>
      </c>
      <c r="EN5" s="875"/>
      <c r="EO5" s="875"/>
      <c r="EP5" s="875"/>
      <c r="EQ5" s="875"/>
      <c r="ER5" s="1122"/>
      <c r="ES5" s="1096" t="s">
        <v>202</v>
      </c>
      <c r="ET5" s="1000"/>
      <c r="EU5" s="933"/>
      <c r="EV5" s="1068" t="s">
        <v>222</v>
      </c>
      <c r="EW5" s="1069"/>
      <c r="EX5" s="1069"/>
      <c r="EY5" s="1070"/>
      <c r="EZ5" s="1057" t="s">
        <v>200</v>
      </c>
      <c r="FA5" s="927" t="s">
        <v>202</v>
      </c>
      <c r="FB5" s="1110"/>
      <c r="FC5" s="928"/>
      <c r="FD5" s="1114" t="s">
        <v>222</v>
      </c>
      <c r="FE5" s="1115"/>
      <c r="FF5" s="1116"/>
      <c r="FP5" s="1034"/>
      <c r="FQ5" s="31"/>
      <c r="FR5" s="31"/>
      <c r="FS5" s="31"/>
      <c r="FT5" s="31"/>
      <c r="FZ5" s="1034"/>
      <c r="GJ5" s="988" t="s">
        <v>269</v>
      </c>
      <c r="GK5" s="1036" t="s">
        <v>267</v>
      </c>
      <c r="GL5" s="1038" t="s">
        <v>110</v>
      </c>
      <c r="GM5" s="1038" t="s">
        <v>111</v>
      </c>
      <c r="GN5" s="1039"/>
      <c r="GO5" s="993"/>
      <c r="GP5" s="997"/>
      <c r="GQ5" s="31"/>
      <c r="GR5" s="984"/>
      <c r="GS5" s="1008" t="s">
        <v>248</v>
      </c>
      <c r="GT5" s="1009"/>
      <c r="GU5" s="1004" t="s">
        <v>249</v>
      </c>
      <c r="GV5" s="1005"/>
      <c r="GW5" s="1006"/>
      <c r="GX5" s="1007"/>
      <c r="GY5" s="991" t="s">
        <v>107</v>
      </c>
      <c r="GZ5" s="915"/>
      <c r="HA5" s="1076" t="s">
        <v>248</v>
      </c>
      <c r="HB5" s="1077"/>
      <c r="HC5" s="1077"/>
      <c r="HD5" s="1078"/>
      <c r="HE5" s="1093" t="s">
        <v>249</v>
      </c>
      <c r="HF5" s="1077"/>
      <c r="HG5" s="1077"/>
      <c r="HH5" s="1094"/>
      <c r="HI5" s="1088"/>
      <c r="HN5" s="386" t="s">
        <v>263</v>
      </c>
      <c r="HO5" s="58" t="s">
        <v>264</v>
      </c>
      <c r="HS5" s="1082" t="s">
        <v>274</v>
      </c>
      <c r="HZ5" s="383"/>
    </row>
    <row r="6" spans="1:283" ht="15" customHeight="1" thickBot="1" x14ac:dyDescent="0.4">
      <c r="B6" s="1237"/>
      <c r="C6" s="1238"/>
      <c r="D6" s="1238"/>
      <c r="E6" s="1238"/>
      <c r="F6" s="1238"/>
      <c r="G6" s="1238"/>
      <c r="H6" s="1238"/>
      <c r="I6" s="1238"/>
      <c r="J6" s="1238"/>
      <c r="K6" s="1239"/>
      <c r="L6" s="984" t="str" cm="1">
        <f t="array" ref="L6">IF(OR($K$9:$K$150="Inactive"),"Inactive Element","")</f>
        <v>Inactive Element</v>
      </c>
      <c r="M6" s="1243"/>
      <c r="N6" s="1187" t="s">
        <v>8</v>
      </c>
      <c r="O6" s="1189" t="s">
        <v>9</v>
      </c>
      <c r="P6" s="1217" t="s">
        <v>10</v>
      </c>
      <c r="Q6" s="1192" t="s">
        <v>11</v>
      </c>
      <c r="R6" s="1193"/>
      <c r="S6" s="1180" t="s">
        <v>10</v>
      </c>
      <c r="T6" s="1213" t="str">
        <f>N6</f>
        <v>X</v>
      </c>
      <c r="U6" s="1215" t="str">
        <f>O6</f>
        <v>Y</v>
      </c>
      <c r="V6" s="1256" t="str">
        <f>P6</f>
        <v>Z</v>
      </c>
      <c r="W6" s="1169" t="str">
        <f>$Q$6</f>
        <v>Projected XY</v>
      </c>
      <c r="X6" s="1170"/>
      <c r="Y6" s="1211" t="str">
        <f>$S$6</f>
        <v>Z</v>
      </c>
      <c r="Z6" s="1197" t="s">
        <v>12</v>
      </c>
      <c r="AA6" s="1198"/>
      <c r="AB6" s="1198"/>
      <c r="AC6" s="1199"/>
      <c r="AD6" s="1183" t="s">
        <v>13</v>
      </c>
      <c r="AE6" s="1184"/>
      <c r="AF6" s="1184"/>
      <c r="AG6" s="1196" t="s">
        <v>7</v>
      </c>
      <c r="AH6" s="1184"/>
      <c r="AI6" s="1183" t="s">
        <v>14</v>
      </c>
      <c r="AJ6" s="1185"/>
      <c r="AK6" s="1139" t="str">
        <f>AD6</f>
        <v>Unit Vector</v>
      </c>
      <c r="AL6" s="1140"/>
      <c r="AM6" s="1141"/>
      <c r="AN6" s="34" t="s">
        <v>15</v>
      </c>
      <c r="AO6" s="35" t="s">
        <v>16</v>
      </c>
      <c r="AP6" s="737" t="s">
        <v>17</v>
      </c>
      <c r="AQ6" s="1203" t="s">
        <v>108</v>
      </c>
      <c r="AS6" s="172">
        <f>(AS5/360)</f>
        <v>6.9444444444444447E-4</v>
      </c>
      <c r="AT6" s="465" t="s">
        <v>48</v>
      </c>
      <c r="AV6" s="1201"/>
      <c r="AW6" s="1194" t="s">
        <v>105</v>
      </c>
      <c r="AX6" s="1195"/>
      <c r="AY6" s="195" t="s">
        <v>110</v>
      </c>
      <c r="AZ6" s="1175" t="s">
        <v>111</v>
      </c>
      <c r="BA6" s="1176"/>
      <c r="BB6" s="1166"/>
      <c r="BC6" s="1169" t="str">
        <f>$Q$6</f>
        <v>Projected XY</v>
      </c>
      <c r="BD6" s="1170"/>
      <c r="BE6" s="1171" t="str">
        <f>$S$6</f>
        <v>Z</v>
      </c>
      <c r="BF6" s="882" t="s">
        <v>125</v>
      </c>
      <c r="BG6" s="878"/>
      <c r="BH6" s="987"/>
      <c r="BI6" s="880" t="s">
        <v>126</v>
      </c>
      <c r="BJ6" s="878"/>
      <c r="BK6" s="879"/>
      <c r="BL6" s="883" t="s">
        <v>127</v>
      </c>
      <c r="BM6" s="878"/>
      <c r="BN6" s="884"/>
      <c r="BO6" s="882" t="s">
        <v>135</v>
      </c>
      <c r="BP6" s="878"/>
      <c r="BQ6" s="878"/>
      <c r="BR6" s="884"/>
      <c r="BS6" s="882" t="s">
        <v>125</v>
      </c>
      <c r="BT6" s="878"/>
      <c r="BU6" s="987"/>
      <c r="BV6" s="880" t="s">
        <v>126</v>
      </c>
      <c r="BW6" s="878"/>
      <c r="BX6" s="879"/>
      <c r="BY6" s="883" t="s">
        <v>127</v>
      </c>
      <c r="BZ6" s="878"/>
      <c r="CA6" s="884"/>
      <c r="CB6" s="882" t="s">
        <v>135</v>
      </c>
      <c r="CC6" s="878"/>
      <c r="CD6" s="878"/>
      <c r="CE6" s="884"/>
      <c r="CF6" s="888" t="s">
        <v>136</v>
      </c>
      <c r="CG6" s="1124"/>
      <c r="CH6" s="1124"/>
      <c r="CI6" s="1126" t="s">
        <v>137</v>
      </c>
      <c r="CJ6" s="1124"/>
      <c r="CK6" s="889"/>
      <c r="CL6" s="1123" t="s">
        <v>140</v>
      </c>
      <c r="CM6" s="1124"/>
      <c r="CN6" s="1125"/>
      <c r="CO6" s="1016"/>
      <c r="CP6" s="1016"/>
      <c r="CQ6" s="1098"/>
      <c r="CR6" s="1098"/>
      <c r="CS6" s="1099"/>
      <c r="CT6" s="1098"/>
      <c r="CU6" s="1160"/>
      <c r="CV6" s="1182" t="s">
        <v>147</v>
      </c>
      <c r="CW6" s="878"/>
      <c r="CX6" s="879"/>
      <c r="CY6" s="1117" t="s">
        <v>148</v>
      </c>
      <c r="CZ6" s="1072"/>
      <c r="DA6" s="1118"/>
      <c r="DB6" s="1127" t="s">
        <v>176</v>
      </c>
      <c r="DC6" s="1063"/>
      <c r="DD6" s="1064"/>
      <c r="DE6" s="1128" t="s">
        <v>177</v>
      </c>
      <c r="DF6" s="1063"/>
      <c r="DG6" s="1064"/>
      <c r="DH6" s="253" t="s">
        <v>29</v>
      </c>
      <c r="DI6" s="1024"/>
      <c r="DJ6" s="1024"/>
      <c r="DK6" s="1130"/>
      <c r="DL6" s="1023"/>
      <c r="DM6" s="1024"/>
      <c r="DN6" s="1025"/>
      <c r="DO6" s="1133"/>
      <c r="DP6" s="1134"/>
      <c r="DQ6" s="1134"/>
      <c r="DR6" s="1015"/>
      <c r="DS6" s="1015"/>
      <c r="DT6" s="1015"/>
      <c r="DU6" s="1015"/>
      <c r="DV6" s="1015"/>
      <c r="DW6" s="1015"/>
      <c r="DX6" s="1016"/>
      <c r="DY6" s="1135"/>
      <c r="DZ6" s="1015"/>
      <c r="EA6" s="1015"/>
      <c r="EB6" s="1015"/>
      <c r="EC6" s="1015"/>
      <c r="ED6" s="1015"/>
      <c r="EE6" s="1011"/>
      <c r="EF6" s="1011"/>
      <c r="EG6" s="1012"/>
      <c r="EH6" s="1029"/>
      <c r="EI6" s="1030"/>
      <c r="EJ6" s="1031"/>
      <c r="EK6" s="1015"/>
      <c r="EL6" s="1016"/>
      <c r="EM6" s="1017" t="s">
        <v>199</v>
      </c>
      <c r="EN6" s="1018"/>
      <c r="EO6" s="1019"/>
      <c r="EP6" s="1103" t="s">
        <v>198</v>
      </c>
      <c r="EQ6" s="1018"/>
      <c r="ER6" s="1105"/>
      <c r="ES6" s="1097"/>
      <c r="ET6" s="1098"/>
      <c r="EU6" s="1099"/>
      <c r="EV6" s="274" t="s">
        <v>221</v>
      </c>
      <c r="EW6" s="1103" t="s">
        <v>202</v>
      </c>
      <c r="EX6" s="1018"/>
      <c r="EY6" s="1104"/>
      <c r="EZ6" s="1058"/>
      <c r="FA6" s="1111"/>
      <c r="FB6" s="1112"/>
      <c r="FC6" s="1113"/>
      <c r="FD6" s="1017" t="s">
        <v>202</v>
      </c>
      <c r="FE6" s="1018"/>
      <c r="FF6" s="1105"/>
      <c r="FG6" s="1107" t="s">
        <v>224</v>
      </c>
      <c r="FH6" s="1108"/>
      <c r="FI6" s="1109"/>
      <c r="FJ6" s="1013" t="s">
        <v>203</v>
      </c>
      <c r="FK6" s="1014" t="s">
        <v>214</v>
      </c>
      <c r="FL6" s="1000"/>
      <c r="FM6" s="933"/>
      <c r="FN6" s="1053" t="s">
        <v>204</v>
      </c>
      <c r="FO6" s="1060" t="s">
        <v>227</v>
      </c>
      <c r="FP6" s="1051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14" t="s">
        <v>218</v>
      </c>
      <c r="FV6" s="1000"/>
      <c r="FW6" s="933"/>
      <c r="FX6" s="1053" t="s">
        <v>219</v>
      </c>
      <c r="FY6" s="1060" t="s">
        <v>227</v>
      </c>
      <c r="FZ6" s="1051" t="s">
        <v>225</v>
      </c>
      <c r="GA6" s="1055" t="s">
        <v>239</v>
      </c>
      <c r="GB6" s="336" t="s">
        <v>207</v>
      </c>
      <c r="GC6" s="337" t="s">
        <v>240</v>
      </c>
      <c r="GD6" s="338" t="s">
        <v>226</v>
      </c>
      <c r="GE6" s="985"/>
      <c r="GF6" s="1010" t="s">
        <v>260</v>
      </c>
      <c r="GG6" s="336" t="s">
        <v>207</v>
      </c>
      <c r="GH6" s="337" t="s">
        <v>240</v>
      </c>
      <c r="GI6" s="338" t="s">
        <v>226</v>
      </c>
      <c r="GJ6" s="989"/>
      <c r="GK6" s="1037"/>
      <c r="GL6" s="1040"/>
      <c r="GM6" s="1040"/>
      <c r="GN6" s="1041"/>
      <c r="GO6" s="994" t="s">
        <v>238</v>
      </c>
      <c r="GP6" s="998" t="s">
        <v>225</v>
      </c>
      <c r="GQ6" s="1000" t="s">
        <v>203</v>
      </c>
      <c r="GR6" s="984"/>
      <c r="GS6" s="1085" t="s">
        <v>252</v>
      </c>
      <c r="GT6" s="1086"/>
      <c r="GU6" s="1071" t="s">
        <v>251</v>
      </c>
      <c r="GV6" s="1072"/>
      <c r="GW6" s="1072"/>
      <c r="GX6" s="361" t="s">
        <v>106</v>
      </c>
      <c r="GY6" s="880" t="s">
        <v>250</v>
      </c>
      <c r="GZ6" s="987"/>
      <c r="HA6" s="1062" t="s">
        <v>252</v>
      </c>
      <c r="HB6" s="1063"/>
      <c r="HC6" s="1063"/>
      <c r="HD6" s="1064"/>
      <c r="HE6" s="880" t="s">
        <v>251</v>
      </c>
      <c r="HF6" s="878"/>
      <c r="HG6" s="878"/>
      <c r="HH6" s="884"/>
      <c r="HI6" s="1088"/>
      <c r="HN6" s="971" t="s">
        <v>238</v>
      </c>
      <c r="HO6" s="974" t="s">
        <v>265</v>
      </c>
      <c r="HP6" s="954" t="s">
        <v>203</v>
      </c>
      <c r="HQ6" s="391"/>
      <c r="HS6" s="1083"/>
      <c r="HT6" s="906" t="s">
        <v>270</v>
      </c>
      <c r="HU6" s="904"/>
      <c r="HV6" s="990"/>
      <c r="HW6" s="932" t="s">
        <v>258</v>
      </c>
      <c r="HX6" s="875"/>
      <c r="HY6" s="876"/>
      <c r="HZ6" s="932" t="s">
        <v>249</v>
      </c>
      <c r="IA6" s="906"/>
      <c r="IE6" s="853"/>
      <c r="IF6" s="853"/>
    </row>
    <row r="7" spans="1:283" ht="15" customHeight="1" thickBot="1" x14ac:dyDescent="0.4">
      <c r="A7" s="143"/>
      <c r="B7" s="1251" t="s">
        <v>40</v>
      </c>
      <c r="C7" s="1252"/>
      <c r="D7" s="1253"/>
      <c r="E7" s="1254" t="s">
        <v>41</v>
      </c>
      <c r="F7" s="1252"/>
      <c r="G7" s="1255"/>
      <c r="H7" s="1230" t="s">
        <v>98</v>
      </c>
      <c r="I7" s="1231"/>
      <c r="J7" s="1232"/>
      <c r="K7" s="173"/>
      <c r="L7" s="984"/>
      <c r="M7" s="1249"/>
      <c r="N7" s="1188"/>
      <c r="O7" s="1190"/>
      <c r="P7" s="1218"/>
      <c r="Q7" s="36" t="s">
        <v>18</v>
      </c>
      <c r="R7" s="2" t="s">
        <v>19</v>
      </c>
      <c r="S7" s="1181"/>
      <c r="T7" s="1214"/>
      <c r="U7" s="1216"/>
      <c r="V7" s="1257"/>
      <c r="W7" s="37" t="str">
        <f>$Q$7</f>
        <v>&lt; θ°</v>
      </c>
      <c r="X7" s="27" t="str">
        <f>$R$7</f>
        <v>r</v>
      </c>
      <c r="Y7" s="1212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04"/>
      <c r="AS7" s="1209" t="s">
        <v>54</v>
      </c>
      <c r="AT7" s="1207" t="s">
        <v>53</v>
      </c>
      <c r="AV7" s="1201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66"/>
      <c r="BC7" s="37" t="str">
        <f>$Q$7</f>
        <v>&lt; θ°</v>
      </c>
      <c r="BD7" s="27" t="str">
        <f>$R$7</f>
        <v>r</v>
      </c>
      <c r="BE7" s="1172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059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06"/>
      <c r="FK7" s="350" t="s">
        <v>211</v>
      </c>
      <c r="FL7" s="351" t="s">
        <v>212</v>
      </c>
      <c r="FM7" s="352" t="s">
        <v>213</v>
      </c>
      <c r="FN7" s="1054"/>
      <c r="FO7" s="1061"/>
      <c r="FP7" s="1052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054"/>
      <c r="FY7" s="1061"/>
      <c r="FZ7" s="1052"/>
      <c r="GA7" s="1056"/>
      <c r="GB7" s="223" t="s">
        <v>232</v>
      </c>
      <c r="GC7" s="131" t="s">
        <v>233</v>
      </c>
      <c r="GD7" s="224" t="s">
        <v>234</v>
      </c>
      <c r="GE7" s="986"/>
      <c r="GF7" s="1035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995"/>
      <c r="GP7" s="999"/>
      <c r="GQ7" s="1001"/>
      <c r="GR7" s="1003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089"/>
      <c r="HJ7" s="31"/>
      <c r="HK7" s="1032" t="s">
        <v>246</v>
      </c>
      <c r="HL7" s="1032" t="s">
        <v>237</v>
      </c>
      <c r="HM7" s="922" t="s">
        <v>245</v>
      </c>
      <c r="HN7" s="972"/>
      <c r="HO7" s="1095"/>
      <c r="HP7" s="1090"/>
      <c r="HQ7" s="392"/>
      <c r="HR7" s="412"/>
      <c r="HS7" s="1083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886" t="s">
        <v>33</v>
      </c>
      <c r="IH7" s="976" t="s">
        <v>385</v>
      </c>
      <c r="II7" s="882" t="s">
        <v>333</v>
      </c>
      <c r="IJ7" s="883"/>
      <c r="IK7" s="883"/>
      <c r="IL7" s="878"/>
      <c r="IM7" s="878"/>
      <c r="IN7" s="878"/>
      <c r="IO7" s="879"/>
      <c r="IP7" s="880" t="s">
        <v>329</v>
      </c>
      <c r="IQ7" s="878"/>
      <c r="IR7" s="878"/>
      <c r="IS7" s="878"/>
      <c r="IT7" s="878"/>
      <c r="IU7" s="880" t="s">
        <v>328</v>
      </c>
      <c r="IV7" s="878"/>
      <c r="IW7" s="878"/>
      <c r="IX7" s="878"/>
      <c r="IY7" s="879"/>
      <c r="JA7" s="784"/>
      <c r="JB7" s="1220" t="s">
        <v>364</v>
      </c>
      <c r="JC7" s="1220"/>
      <c r="JD7" s="1220"/>
      <c r="JE7" s="1221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84"/>
      <c r="M8" s="462" cm="1">
        <f t="array" ref="M8">IF(AND(ISNUMBER('SN#.Run#'!$P$1),COUNT($M$9:$M$150)&gt;='SN#.Run#'!$P$1),INDEX($M$9:$M$150,'SN#.Run#'!$P$1),"")</f>
        <v>1.1100000000000001</v>
      </c>
      <c r="N8" s="608"/>
      <c r="O8" s="609"/>
      <c r="P8" s="619"/>
      <c r="Q8" s="611">
        <f>IFERROR(INDEX(Q$9:Q$150,MATCH($M$8,$M$9:$M$150,0)),"")</f>
        <v>90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-0.12400037398512791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10"/>
      <c r="AT8" s="1208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092"/>
      <c r="HL8" s="1092"/>
      <c r="HM8" s="934"/>
      <c r="HN8" s="973"/>
      <c r="HO8" s="975"/>
      <c r="HP8" s="1091"/>
      <c r="HQ8" s="393" t="s">
        <v>49</v>
      </c>
      <c r="HR8" s="413" t="s">
        <v>51</v>
      </c>
      <c r="HS8" s="1084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978"/>
      <c r="IH8" s="977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0.29580089213549071</v>
      </c>
      <c r="D9" s="704">
        <v>-0.53370160964405466</v>
      </c>
      <c r="E9" s="705">
        <v>-0.93969263802333458</v>
      </c>
      <c r="F9" s="703">
        <v>0</v>
      </c>
      <c r="G9" s="706">
        <v>0.3420200959662259</v>
      </c>
      <c r="H9" s="705">
        <v>0.26600000000000001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1313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0.29580089213549071</v>
      </c>
      <c r="P9" s="625">
        <f t="shared" ref="P9:P40" si="4">IF(M9="","",D9)</f>
        <v>-0.53370160964405466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0.29580089213549071</v>
      </c>
      <c r="S9" s="626">
        <f>IF(M9="","",P9)</f>
        <v>-0.53370160964405466</v>
      </c>
      <c r="T9" s="627">
        <f>IF(M9="","",X9*COS(RADIANS(W9)))</f>
        <v>0.29580089213549071</v>
      </c>
      <c r="U9" s="624">
        <f>IF(M9="","",X9*SIN(RADIANS(W9)))</f>
        <v>0</v>
      </c>
      <c r="V9" s="628">
        <f>IF(M9="","",Y9)</f>
        <v>-0.53370160964405466</v>
      </c>
      <c r="W9" s="583">
        <f t="shared" ref="W9:W14" si="5">IF(M9="","",IF(Q9-$Q$8&lt;0,360+Q9-$Q$8,Q9-$Q$8))</f>
        <v>0</v>
      </c>
      <c r="X9" s="629">
        <f>IF(M9="","",R9)</f>
        <v>0.29580089213549071</v>
      </c>
      <c r="Y9" s="630">
        <f>IF(M9="","",S9)</f>
        <v>-0.53370160964405466</v>
      </c>
      <c r="Z9" s="623">
        <f t="shared" ref="Z9:Z40" si="6">IF(M9="","",-E9)</f>
        <v>0.93969263802333458</v>
      </c>
      <c r="AA9" s="624">
        <f t="shared" ref="AA9:AA40" si="7">IF(M9="","",-F9)</f>
        <v>0</v>
      </c>
      <c r="AB9" s="624">
        <f t="shared" ref="AB9:AB40" si="8">IF(M9="","",-G9)</f>
        <v>-0.3420200959662259</v>
      </c>
      <c r="AC9" s="628">
        <f>IF(M9="","",SQRT(Z9^2+AA9^2+AB9^2))</f>
        <v>1</v>
      </c>
      <c r="AD9" s="631">
        <f>IF(M9="","",Z9*(1/SQRT(Z9^2+AA9^2+AB9^2)))</f>
        <v>0.93969263802333458</v>
      </c>
      <c r="AE9" s="624">
        <f>IF(M9="","",AA9*(1/SQRT(Z9^2+AA9^2+AB9^2)))</f>
        <v>0</v>
      </c>
      <c r="AF9" s="625">
        <f>IF(M9="","",AB9*(1/SQRT(Z9^2+AA9^2+AB9^2)))</f>
        <v>-0.3420200959662259</v>
      </c>
      <c r="AG9" s="599">
        <f>IF(M9="","",DEGREES(ATAN2(-AF9,AE9)))</f>
        <v>0</v>
      </c>
      <c r="AH9" s="600">
        <f>IF(M9="","",DEGREES(ACOS(AD9)))</f>
        <v>19.999997112357679</v>
      </c>
      <c r="AI9" s="583">
        <f>IF(M9="","",DEGREES(-ACOS(-AF9)))</f>
        <v>-70.00000288764231</v>
      </c>
      <c r="AJ9" s="601">
        <f>IF(M9="","",DEGREES(ATAN2(-AE9,AD9)))</f>
        <v>90</v>
      </c>
      <c r="AK9" s="627">
        <f>IF(M9="","",(COS(RADIANS((90-$Q$8)-W9))*AD9)+(-SIN(RADIANS((90-$Q$8)-W9))*AE9))</f>
        <v>0.93969263802333458</v>
      </c>
      <c r="AL9" s="624">
        <f>IF(M9="","",(SIN(RADIANS((90-$Q$8)-W9))*AD9)+(COS(RADIANS((90-$Q$8)-W9))*AE9))</f>
        <v>0</v>
      </c>
      <c r="AM9" s="626">
        <f>IF(M9="","",AF9)</f>
        <v>-0.3420200959662259</v>
      </c>
      <c r="AN9" s="581">
        <f>IF(M9="","",DEGREES(ATAN2(-AM9,AL9)))</f>
        <v>0</v>
      </c>
      <c r="AO9" s="582">
        <f>IF(ROUND(IF(M9="",0,DEGREES(ACOS(AK9))),4)=90,0,IF(M9="","",DEGREES(ACOS(AK9))))</f>
        <v>19.999997112357679</v>
      </c>
      <c r="AP9" s="781">
        <f>IF(M9="","",DEGREES(ATAN2(AK9,AL9)))</f>
        <v>0</v>
      </c>
      <c r="AQ9" s="584">
        <f t="shared" ref="AQ9:AQ40" si="9">IF(M9="","",DEGREES(ATAN(($AS$5*SIN(RADIANS(90)))/(($X9*2*PI())-($AS$5*COS(RADIANS(90)))))))</f>
        <v>7.6609796748877619</v>
      </c>
      <c r="AS9" s="51">
        <f>IF(M9="","",W9)</f>
        <v>0</v>
      </c>
      <c r="AT9" s="71">
        <f t="shared" ref="AT9:AT40" si="10">IF(M9="","",Y9+(((AS9-$AS$9)*$AS$6)*-1))</f>
        <v>-0.53370160964405466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1313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:JA10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24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5.549066237130535E-17</v>
      </c>
      <c r="C10" s="708">
        <v>0.92410278709400595</v>
      </c>
      <c r="D10" s="709">
        <v>-0.40190121213405577</v>
      </c>
      <c r="E10" s="710">
        <v>-0.96592583607220739</v>
      </c>
      <c r="F10" s="708">
        <v>0</v>
      </c>
      <c r="G10" s="711">
        <v>0.25881900859134593</v>
      </c>
      <c r="H10" s="710">
        <v>0.26600000000000001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1313</v>
      </c>
      <c r="M10" s="168">
        <f t="shared" si="1"/>
        <v>1.1040000000000001</v>
      </c>
      <c r="N10" s="632">
        <f t="shared" si="2"/>
        <v>5.549066237130535E-17</v>
      </c>
      <c r="O10" s="629">
        <f t="shared" si="3"/>
        <v>0.92410278709400595</v>
      </c>
      <c r="P10" s="633">
        <f t="shared" si="4"/>
        <v>-0.40190121213405577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0.92410278709400595</v>
      </c>
      <c r="S10" s="634">
        <f t="shared" ref="S10:S105" si="80">IF(M10="","",P10)</f>
        <v>-0.40190121213405577</v>
      </c>
      <c r="T10" s="635">
        <f t="shared" ref="T10:T105" si="81">IF(M10="","",X10*COS(RADIANS(W10)))</f>
        <v>0.92410278709400595</v>
      </c>
      <c r="U10" s="629">
        <f t="shared" ref="U10:U105" si="82">IF(M10="","",X10*SIN(RADIANS(W10)))</f>
        <v>0</v>
      </c>
      <c r="V10" s="636">
        <f>IF(M10="","",Y10)</f>
        <v>-0.40190121213405577</v>
      </c>
      <c r="W10" s="585">
        <f t="shared" si="5"/>
        <v>0</v>
      </c>
      <c r="X10" s="629">
        <f t="shared" ref="X10:X105" si="83">IF(M10="","",R10)</f>
        <v>0.92410278709400595</v>
      </c>
      <c r="Y10" s="630">
        <f>IF(M10="","",S10)</f>
        <v>-0.40190121213405577</v>
      </c>
      <c r="Z10" s="632">
        <f t="shared" si="6"/>
        <v>0.96592583607220739</v>
      </c>
      <c r="AA10" s="629">
        <f t="shared" si="7"/>
        <v>0</v>
      </c>
      <c r="AB10" s="629">
        <f t="shared" si="8"/>
        <v>-0.25881900859134593</v>
      </c>
      <c r="AC10" s="636">
        <f t="shared" ref="AC10:AC105" si="84">IF(M10="","",SQRT(Z10^2+AA10^2+AB10^2))</f>
        <v>1</v>
      </c>
      <c r="AD10" s="637">
        <f>IF(M10="","",Z10*(1/SQRT(Z10^2+AA10^2+AB10^2)))</f>
        <v>0.96592583607220739</v>
      </c>
      <c r="AE10" s="629">
        <f t="shared" ref="AE10:AE105" si="85">IF(M10="","",AA10*(1/SQRT(Z10^2+AA10^2+AB10^2)))</f>
        <v>0</v>
      </c>
      <c r="AF10" s="633">
        <f t="shared" ref="AF10:AF105" si="86">IF(M10="","",AB10*(1/SQRT(Z10^2+AA10^2+AB10^2)))</f>
        <v>-0.25881900859134593</v>
      </c>
      <c r="AG10" s="602">
        <f t="shared" ref="AG10:AG105" si="87">IF(M10="","",DEGREES(ATAN2(-AF10,AE10)))</f>
        <v>0</v>
      </c>
      <c r="AH10" s="603">
        <f t="shared" ref="AH10:AH105" si="88">IF(M10="","",DEGREES(ACOS(AD10)))</f>
        <v>14.999997834268255</v>
      </c>
      <c r="AI10" s="585">
        <f t="shared" ref="AI10:AI105" si="89">IF(M10="","",DEGREES(-ACOS(-AF10)))</f>
        <v>-75.000002165731729</v>
      </c>
      <c r="AJ10" s="586">
        <f t="shared" ref="AJ10:AJ105" si="90">IF(M10="","",DEGREES(ATAN2(-AE10,AD10)))</f>
        <v>90</v>
      </c>
      <c r="AK10" s="635">
        <f>IF(M10="","",(COS(RADIANS((90-$Q$8)-W10))*AD10)+(-SIN(RADIANS((90-$Q$8)-W10))*AE10))</f>
        <v>0.96592583607220739</v>
      </c>
      <c r="AL10" s="629">
        <f t="shared" ref="AL10:AL105" si="91">IF(M10="","",(SIN(RADIANS((90-$Q$8)-W10))*AD10)+(COS(RADIANS((90-$Q$8)-W10))*AE10))</f>
        <v>0</v>
      </c>
      <c r="AM10" s="634">
        <f t="shared" ref="AM10:AM105" si="92">IF(M10="","",AF10)</f>
        <v>-0.25881900859134593</v>
      </c>
      <c r="AN10" s="581">
        <f t="shared" ref="AN10:AN105" si="93">IF(M10="","",DEGREES(ATAN2(-AM10,AL10)))</f>
        <v>0</v>
      </c>
      <c r="AO10" s="582">
        <f t="shared" ref="AO10:AO54" si="94">IF(ROUND(IF(M10="",0,DEGREES(ACOS(AK10))),4)=90,0,IF(M10="","",DEGREES(ACOS(AK10))))</f>
        <v>14.999997834268255</v>
      </c>
      <c r="AP10" s="585">
        <f t="shared" ref="AP10:AP105" si="95">IF(M10="","",DEGREES(ATAN2(AK10,AL10)))</f>
        <v>0</v>
      </c>
      <c r="AQ10" s="586">
        <f t="shared" si="9"/>
        <v>2.4654394024137187</v>
      </c>
      <c r="AS10" s="52">
        <f>IF($M10="","",IF(AND($W10&lt;($AS$9+180),$W10&gt;($AS$9-180)),$W10,IF($W10&gt;($AS$9+180),$W10-360,IF($W10&lt;($AS$9-180),$W10+360,"Error"))))</f>
        <v>0</v>
      </c>
      <c r="AT10" s="72">
        <f t="shared" si="10"/>
        <v>-0.40190121213405577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1313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>
        <v>1313</v>
      </c>
      <c r="JB10" s="787" cm="1">
        <f t="array" ref="JB10">IF($JA10="","",COUNT(IF(IF($II$9:$II$150="",$IJ$9:$IJ$150,"")=$JA10,$IG$9:$IG$150,"")))</f>
        <v>19</v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-3.1586992426743044E-16</v>
      </c>
      <c r="C11" s="708">
        <v>1.5510046778301083</v>
      </c>
      <c r="D11" s="709">
        <v>-0.26290079290879131</v>
      </c>
      <c r="E11" s="710">
        <v>-0.96592583607220739</v>
      </c>
      <c r="F11" s="708">
        <v>0</v>
      </c>
      <c r="G11" s="711">
        <v>0.25881900859134593</v>
      </c>
      <c r="H11" s="710">
        <v>0.26600000000000001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1313</v>
      </c>
      <c r="L11" s="779" t="s">
        <v>332</v>
      </c>
      <c r="M11" s="168">
        <f t="shared" si="1"/>
        <v>1.107</v>
      </c>
      <c r="N11" s="632">
        <f t="shared" si="2"/>
        <v>-3.1586992426743044E-16</v>
      </c>
      <c r="O11" s="629">
        <f t="shared" si="3"/>
        <v>1.5510046778301083</v>
      </c>
      <c r="P11" s="633">
        <f t="shared" si="4"/>
        <v>-0.26290079290879131</v>
      </c>
      <c r="Q11" s="585">
        <f t="shared" ref="Q11:Q73" si="113">IF(M11="","",IF(DEGREES(ATAN2(N11,O11))&lt;0,DEGREES(ATAN2(N11,O11))+360,IF(DEGREES(ATAN2(N11,O11))&gt;360,DEGREES(ATAN2(N11,O11))-360,DEGREES(ATAN2(N11,O11)))))</f>
        <v>90.000000000000014</v>
      </c>
      <c r="R11" s="629">
        <f t="shared" si="79"/>
        <v>1.5510046778301083</v>
      </c>
      <c r="S11" s="634">
        <f t="shared" si="80"/>
        <v>-0.26290079290879131</v>
      </c>
      <c r="T11" s="635">
        <f t="shared" si="81"/>
        <v>1.5510046778301083</v>
      </c>
      <c r="U11" s="629">
        <f t="shared" si="82"/>
        <v>3.8468980309814484E-16</v>
      </c>
      <c r="V11" s="636">
        <f t="shared" ref="V11:V105" si="114">IF(M11="","",Y11)</f>
        <v>-0.26290079290879131</v>
      </c>
      <c r="W11" s="585">
        <f t="shared" si="5"/>
        <v>1.4210854715202004E-14</v>
      </c>
      <c r="X11" s="629">
        <f>IF(M11="","",R11)</f>
        <v>1.5510046778301083</v>
      </c>
      <c r="Y11" s="630">
        <f>IF(M11="","",S11)</f>
        <v>-0.26290079290879131</v>
      </c>
      <c r="Z11" s="632">
        <f t="shared" si="6"/>
        <v>0.96592583607220739</v>
      </c>
      <c r="AA11" s="629">
        <f t="shared" si="7"/>
        <v>0</v>
      </c>
      <c r="AB11" s="629">
        <f t="shared" si="8"/>
        <v>-0.25881900859134593</v>
      </c>
      <c r="AC11" s="636">
        <f t="shared" si="84"/>
        <v>1</v>
      </c>
      <c r="AD11" s="637">
        <f t="shared" ref="AD11:AD105" si="115">IF(M11="","",Z11*(1/SQRT(Z11^2+AA11^2+AB11^2)))</f>
        <v>0.96592583607220739</v>
      </c>
      <c r="AE11" s="629">
        <f t="shared" si="85"/>
        <v>0</v>
      </c>
      <c r="AF11" s="633">
        <f t="shared" si="86"/>
        <v>-0.25881900859134593</v>
      </c>
      <c r="AG11" s="602">
        <f>IF(M11="","",DEGREES(ATAN2(-AF11,AE11)))</f>
        <v>0</v>
      </c>
      <c r="AH11" s="603">
        <f t="shared" si="88"/>
        <v>14.999997834268255</v>
      </c>
      <c r="AI11" s="585">
        <f t="shared" si="89"/>
        <v>-75.000002165731729</v>
      </c>
      <c r="AJ11" s="586">
        <f t="shared" si="90"/>
        <v>90</v>
      </c>
      <c r="AK11" s="635">
        <f>IF(M11="","",(COS(RADIANS((90-$Q$8)-W11))*AD11)+(-SIN(RADIANS((90-$Q$8)-W11))*AE11))</f>
        <v>0.96592583607220739</v>
      </c>
      <c r="AL11" s="629">
        <f t="shared" si="91"/>
        <v>-2.3957491875903302E-16</v>
      </c>
      <c r="AM11" s="634">
        <f t="shared" si="92"/>
        <v>-0.25881900859134593</v>
      </c>
      <c r="AN11" s="581">
        <f>IF(M11="","",DEGREES(ATAN2(-AM11,AL11)))</f>
        <v>-5.3035639834921846E-14</v>
      </c>
      <c r="AO11" s="582">
        <f>IF(ROUND(IF(M11="",0,DEGREES(ACOS(AK11))),4)=90,0,IF(M11="","",DEGREES(ACOS(AK11))))</f>
        <v>14.999997834268255</v>
      </c>
      <c r="AP11" s="585">
        <f t="shared" si="95"/>
        <v>-1.4210854715202004E-14</v>
      </c>
      <c r="AQ11" s="586">
        <f t="shared" si="9"/>
        <v>1.4695163485788048</v>
      </c>
      <c r="AS11" s="52">
        <f t="shared" ref="AS11:AS42" si="116">IF(G11="","",IF(AND(W11&lt;(AS10+180),W11&gt;(AS10-180)),W11,IF(W11&gt;(AS10+180),W11-360,IF(W11&lt;(AS10-180),W11+360,"Error"))))</f>
        <v>1.4210854715202004E-14</v>
      </c>
      <c r="AT11" s="72">
        <f t="shared" si="10"/>
        <v>-0.26290079290879131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1313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-1.4512942466341399E-16</v>
      </c>
      <c r="C12" s="708">
        <v>2.1778065682646099</v>
      </c>
      <c r="D12" s="709">
        <v>-0.12400037398512791</v>
      </c>
      <c r="E12" s="710">
        <v>-0.96592583607220739</v>
      </c>
      <c r="F12" s="708">
        <v>0</v>
      </c>
      <c r="G12" s="711">
        <v>0.25881900859134593</v>
      </c>
      <c r="H12" s="710">
        <v>0.26600000000000001</v>
      </c>
      <c r="I12" s="708">
        <v>0.52</v>
      </c>
      <c r="J12" s="570">
        <v>1.1100000000000001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1313</v>
      </c>
      <c r="L12" s="773" t="s">
        <v>366</v>
      </c>
      <c r="M12" s="168">
        <f t="shared" si="1"/>
        <v>1.1100000000000001</v>
      </c>
      <c r="N12" s="632">
        <f t="shared" si="2"/>
        <v>-1.4512942466341399E-16</v>
      </c>
      <c r="O12" s="629">
        <f t="shared" si="3"/>
        <v>2.1778065682646099</v>
      </c>
      <c r="P12" s="633">
        <f t="shared" si="4"/>
        <v>-0.12400037398512791</v>
      </c>
      <c r="Q12" s="585">
        <f>IF(M12="","",IF(DEGREES(ATAN2(N12,O12))&lt;0,DEGREES(ATAN2(N12,O12))+360,IF(DEGREES(ATAN2(N12,O12))&gt;360,DEGREES(ATAN2(N12,O12))-360,DEGREES(ATAN2(N12,O12)))))</f>
        <v>90</v>
      </c>
      <c r="R12" s="629">
        <f t="shared" si="79"/>
        <v>2.1778065682646099</v>
      </c>
      <c r="S12" s="634">
        <f t="shared" si="80"/>
        <v>-0.12400037398512791</v>
      </c>
      <c r="T12" s="635">
        <f>IF(M12="","",X12*COS(RADIANS(W12)))</f>
        <v>2.1778065682646099</v>
      </c>
      <c r="U12" s="629">
        <f t="shared" si="82"/>
        <v>0</v>
      </c>
      <c r="V12" s="636">
        <f t="shared" si="114"/>
        <v>-0.12400037398512791</v>
      </c>
      <c r="W12" s="585">
        <f>IF(M12="","",IF(Q12-$Q$8&lt;0,360+Q12-$Q$8,Q12-$Q$8))</f>
        <v>0</v>
      </c>
      <c r="X12" s="629">
        <f t="shared" si="83"/>
        <v>2.1778065682646099</v>
      </c>
      <c r="Y12" s="630">
        <f>IF(M12="","",S12)</f>
        <v>-0.12400037398512791</v>
      </c>
      <c r="Z12" s="632">
        <f t="shared" si="6"/>
        <v>0.96592583607220739</v>
      </c>
      <c r="AA12" s="629">
        <f t="shared" si="7"/>
        <v>0</v>
      </c>
      <c r="AB12" s="629">
        <f t="shared" si="8"/>
        <v>-0.25881900859134593</v>
      </c>
      <c r="AC12" s="636">
        <f t="shared" si="84"/>
        <v>1</v>
      </c>
      <c r="AD12" s="637">
        <f t="shared" si="115"/>
        <v>0.96592583607220739</v>
      </c>
      <c r="AE12" s="629">
        <f t="shared" si="85"/>
        <v>0</v>
      </c>
      <c r="AF12" s="633">
        <f t="shared" si="86"/>
        <v>-0.25881900859134593</v>
      </c>
      <c r="AG12" s="602">
        <f t="shared" si="87"/>
        <v>0</v>
      </c>
      <c r="AH12" s="603">
        <f t="shared" si="88"/>
        <v>14.999997834268255</v>
      </c>
      <c r="AI12" s="585">
        <f t="shared" si="89"/>
        <v>-75.000002165731729</v>
      </c>
      <c r="AJ12" s="586">
        <f t="shared" si="90"/>
        <v>90</v>
      </c>
      <c r="AK12" s="635">
        <f t="shared" ref="AK12:AK105" si="211">IF(M12="","",(COS(RADIANS((90-$Q$8)-W12))*AD12)+(-SIN(RADIANS((90-$Q$8)-W12))*AE12))</f>
        <v>0.96592583607220739</v>
      </c>
      <c r="AL12" s="629">
        <f>IF(M12="","",(SIN(RADIANS((90-$Q$8)-W12))*AD12)+(COS(RADIANS((90-$Q$8)-W12))*AE12))</f>
        <v>0</v>
      </c>
      <c r="AM12" s="634">
        <f t="shared" si="92"/>
        <v>-0.25881900859134593</v>
      </c>
      <c r="AN12" s="581">
        <f>IF(M12="","",DEGREES(ATAN2(-AM12,AL12)))</f>
        <v>0</v>
      </c>
      <c r="AO12" s="582">
        <f t="shared" si="94"/>
        <v>14.999997834268255</v>
      </c>
      <c r="AP12" s="585">
        <f t="shared" si="95"/>
        <v>0</v>
      </c>
      <c r="AQ12" s="586">
        <f t="shared" si="9"/>
        <v>1.0466829612401534</v>
      </c>
      <c r="AS12" s="52">
        <f t="shared" si="116"/>
        <v>0</v>
      </c>
      <c r="AT12" s="72">
        <f>IF(M12="","",Y12+(((AS12-$AS$9)*$AS$6)*-1))</f>
        <v>-0.12400037398512791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1.1100000000000001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1313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1.7001201285133716E-2</v>
      </c>
      <c r="C13" s="708">
        <v>2.864958197145651</v>
      </c>
      <c r="D13" s="709">
        <v>-5.2500158340477561E-2</v>
      </c>
      <c r="E13" s="710">
        <v>-0.95175588380876563</v>
      </c>
      <c r="F13" s="708">
        <v>6.3561420389576684E-2</v>
      </c>
      <c r="G13" s="711">
        <v>0.30020107173935096</v>
      </c>
      <c r="H13" s="710">
        <v>0.314</v>
      </c>
      <c r="I13" s="708">
        <v>0.52</v>
      </c>
      <c r="J13" s="570">
        <v>1.113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>
        <f>IF($L12=$JH$22,$JH$29,IF($L12=$JI$22,$JI$29,""))</f>
        <v>70</v>
      </c>
      <c r="M13" s="168">
        <f t="shared" si="1"/>
        <v>1.113</v>
      </c>
      <c r="N13" s="632">
        <f t="shared" si="2"/>
        <v>1.7001201285133716E-2</v>
      </c>
      <c r="O13" s="629">
        <f t="shared" si="3"/>
        <v>2.864958197145651</v>
      </c>
      <c r="P13" s="633">
        <f t="shared" si="4"/>
        <v>-5.2500158340477561E-2</v>
      </c>
      <c r="Q13" s="585">
        <f t="shared" si="113"/>
        <v>89.660000049089916</v>
      </c>
      <c r="R13" s="629">
        <f t="shared" si="79"/>
        <v>2.8650086408660616</v>
      </c>
      <c r="S13" s="634">
        <f t="shared" si="80"/>
        <v>-5.2500158340477561E-2</v>
      </c>
      <c r="T13" s="635">
        <f>IF(M13="","",X13*COS(RADIANS(W13)))</f>
        <v>2.864958197145651</v>
      </c>
      <c r="U13" s="629">
        <f t="shared" si="82"/>
        <v>-1.7001201285131662E-2</v>
      </c>
      <c r="V13" s="636">
        <f t="shared" si="114"/>
        <v>-5.2500158340477561E-2</v>
      </c>
      <c r="W13" s="585">
        <f t="shared" si="5"/>
        <v>359.66000004908994</v>
      </c>
      <c r="X13" s="629">
        <f t="shared" si="83"/>
        <v>2.8650086408660616</v>
      </c>
      <c r="Y13" s="630">
        <f>IF(M13="","",S13)</f>
        <v>-5.2500158340477561E-2</v>
      </c>
      <c r="Z13" s="632">
        <f t="shared" si="6"/>
        <v>0.95175588380876563</v>
      </c>
      <c r="AA13" s="629">
        <f t="shared" si="7"/>
        <v>-6.3561420389576684E-2</v>
      </c>
      <c r="AB13" s="629">
        <f t="shared" si="8"/>
        <v>-0.30020107173935096</v>
      </c>
      <c r="AC13" s="636">
        <f t="shared" si="84"/>
        <v>1</v>
      </c>
      <c r="AD13" s="637">
        <f>IF(M13="","",Z13*(1/SQRT(Z13^2+AA13^2+AB13^2)))</f>
        <v>0.95175588380876563</v>
      </c>
      <c r="AE13" s="629">
        <f t="shared" si="85"/>
        <v>-6.3561420389576684E-2</v>
      </c>
      <c r="AF13" s="633">
        <f t="shared" si="86"/>
        <v>-0.30020107173935096</v>
      </c>
      <c r="AG13" s="602">
        <f>IF(M13="","",DEGREES(ATAN2(-AF13,AE13)))</f>
        <v>-11.954653212340279</v>
      </c>
      <c r="AH13" s="603">
        <f t="shared" si="88"/>
        <v>17.869873250131086</v>
      </c>
      <c r="AI13" s="585">
        <f t="shared" si="89"/>
        <v>-72.530319645389753</v>
      </c>
      <c r="AJ13" s="586">
        <f t="shared" si="90"/>
        <v>86.179270889499648</v>
      </c>
      <c r="AK13" s="635">
        <f t="shared" si="211"/>
        <v>0.95211630519793045</v>
      </c>
      <c r="AL13" s="629">
        <f t="shared" si="91"/>
        <v>-5.7912502128524619E-2</v>
      </c>
      <c r="AM13" s="634">
        <f t="shared" si="92"/>
        <v>-0.30020107173935096</v>
      </c>
      <c r="AN13" s="581">
        <f t="shared" si="93"/>
        <v>-10.918933561206103</v>
      </c>
      <c r="AO13" s="582">
        <f t="shared" si="94"/>
        <v>17.802452805283394</v>
      </c>
      <c r="AP13" s="585">
        <f t="shared" si="95"/>
        <v>-3.4807291595903171</v>
      </c>
      <c r="AQ13" s="586">
        <f t="shared" si="9"/>
        <v>0.79566255106960515</v>
      </c>
      <c r="AS13" s="52">
        <f t="shared" si="116"/>
        <v>-0.3399999509100553</v>
      </c>
      <c r="AT13" s="72">
        <f t="shared" si="10"/>
        <v>-5.2264047263456688E-2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1.113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6.0160224477057322E-2</v>
      </c>
      <c r="C14" s="708">
        <v>3.6280121850864906</v>
      </c>
      <c r="D14" s="709">
        <v>-0.21210063969552917</v>
      </c>
      <c r="E14" s="710">
        <v>-0.93058422978776689</v>
      </c>
      <c r="F14" s="708">
        <v>0.21913562749187504</v>
      </c>
      <c r="G14" s="711">
        <v>0.29324489430176098</v>
      </c>
      <c r="H14" s="710">
        <v>0.314</v>
      </c>
      <c r="I14" s="708">
        <v>0.52</v>
      </c>
      <c r="J14" s="570">
        <v>1.1160000000000001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1613</v>
      </c>
      <c r="L14" s="776" t="s">
        <v>367</v>
      </c>
      <c r="M14" s="168">
        <f t="shared" si="1"/>
        <v>1.1160000000000001</v>
      </c>
      <c r="N14" s="632">
        <f t="shared" si="2"/>
        <v>6.0160224477057322E-2</v>
      </c>
      <c r="O14" s="629">
        <f t="shared" si="3"/>
        <v>3.6280121850864906</v>
      </c>
      <c r="P14" s="633">
        <f t="shared" si="4"/>
        <v>-0.21210063969552917</v>
      </c>
      <c r="Q14" s="585">
        <f t="shared" si="113"/>
        <v>89.050000137163025</v>
      </c>
      <c r="R14" s="629">
        <f t="shared" si="79"/>
        <v>3.6285109435890068</v>
      </c>
      <c r="S14" s="634">
        <f t="shared" si="80"/>
        <v>-0.21210063969552917</v>
      </c>
      <c r="T14" s="635">
        <f t="shared" si="81"/>
        <v>3.628012185086491</v>
      </c>
      <c r="U14" s="629">
        <f t="shared" si="82"/>
        <v>-6.0160224477057461E-2</v>
      </c>
      <c r="V14" s="636">
        <f t="shared" si="114"/>
        <v>-0.21210063969552917</v>
      </c>
      <c r="W14" s="585">
        <f t="shared" si="5"/>
        <v>359.05000013716301</v>
      </c>
      <c r="X14" s="629">
        <f t="shared" si="83"/>
        <v>3.6285109435890068</v>
      </c>
      <c r="Y14" s="630">
        <f t="shared" ref="Y14:Y75" si="223">IF(M14="","",S14)</f>
        <v>-0.21210063969552917</v>
      </c>
      <c r="Z14" s="632">
        <f t="shared" si="6"/>
        <v>0.93058422978776689</v>
      </c>
      <c r="AA14" s="629">
        <f t="shared" si="7"/>
        <v>-0.21913562749187504</v>
      </c>
      <c r="AB14" s="629">
        <f t="shared" si="8"/>
        <v>-0.29324489430176098</v>
      </c>
      <c r="AC14" s="636">
        <f t="shared" si="84"/>
        <v>1</v>
      </c>
      <c r="AD14" s="637">
        <f>IF(M14="","",Z14*(1/SQRT(Z14^2+AA14^2+AB14^2)))</f>
        <v>0.93058422978776689</v>
      </c>
      <c r="AE14" s="629">
        <f t="shared" si="85"/>
        <v>-0.21913562749187504</v>
      </c>
      <c r="AF14" s="633">
        <f t="shared" si="86"/>
        <v>-0.29324489430176098</v>
      </c>
      <c r="AG14" s="602">
        <f t="shared" si="87"/>
        <v>-36.76997456653158</v>
      </c>
      <c r="AH14" s="603">
        <f t="shared" si="88"/>
        <v>21.473930410432533</v>
      </c>
      <c r="AI14" s="585">
        <f t="shared" si="89"/>
        <v>-72.947676648731104</v>
      </c>
      <c r="AJ14" s="586">
        <f t="shared" si="90"/>
        <v>76.749292500483193</v>
      </c>
      <c r="AK14" s="635">
        <f>IF(M14="","",(COS(RADIANS((90-$Q$8)-W14))*AD14)+(-SIN(RADIANS((90-$Q$8)-W14))*AE14))</f>
        <v>0.93408955523439141</v>
      </c>
      <c r="AL14" s="629">
        <f t="shared" si="91"/>
        <v>-0.20367654447178232</v>
      </c>
      <c r="AM14" s="634">
        <f t="shared" si="92"/>
        <v>-0.29324489430176098</v>
      </c>
      <c r="AN14" s="581">
        <f t="shared" si="93"/>
        <v>-34.782346726074145</v>
      </c>
      <c r="AO14" s="582">
        <f t="shared" si="94"/>
        <v>20.918449404978791</v>
      </c>
      <c r="AP14" s="585">
        <f>IF(M14="","",DEGREES(ATAN2(AK14,AL14)))</f>
        <v>-12.30070763667983</v>
      </c>
      <c r="AQ14" s="586">
        <f t="shared" si="9"/>
        <v>0.62825641137749055</v>
      </c>
      <c r="AS14" s="52">
        <f t="shared" si="116"/>
        <v>-0.94999986283698945</v>
      </c>
      <c r="AT14" s="72">
        <f t="shared" si="10"/>
        <v>-0.21144091756855904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1.1160000000000001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0.11410281182323204</v>
      </c>
      <c r="C15" s="708">
        <v>4.2441792812589672</v>
      </c>
      <c r="D15" s="709">
        <v>-0.68420206355342394</v>
      </c>
      <c r="E15" s="710">
        <v>-0.90402806633293786</v>
      </c>
      <c r="F15" s="708">
        <v>0.36159515556283728</v>
      </c>
      <c r="G15" s="711">
        <v>0.22799604986888902</v>
      </c>
      <c r="H15" s="710">
        <v>0.314</v>
      </c>
      <c r="I15" s="708">
        <v>0.52</v>
      </c>
      <c r="J15" s="570">
        <v>1.119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1613</v>
      </c>
      <c r="L15" s="873">
        <f>IF($L14=$JH$22,$JH$29,IF($L14=$JI$22,$JI$29,""))</f>
        <v>120</v>
      </c>
      <c r="M15" s="168">
        <f t="shared" si="1"/>
        <v>1.119</v>
      </c>
      <c r="N15" s="632">
        <f t="shared" si="2"/>
        <v>0.11410281182323204</v>
      </c>
      <c r="O15" s="629">
        <f t="shared" si="3"/>
        <v>4.2441792812589672</v>
      </c>
      <c r="P15" s="633">
        <f t="shared" si="4"/>
        <v>-0.68420206355342394</v>
      </c>
      <c r="Q15" s="585">
        <f t="shared" si="113"/>
        <v>88.460000222348455</v>
      </c>
      <c r="R15" s="629">
        <f t="shared" si="79"/>
        <v>4.2457128050698216</v>
      </c>
      <c r="S15" s="634">
        <f t="shared" si="80"/>
        <v>-0.68420206355342394</v>
      </c>
      <c r="T15" s="635">
        <f t="shared" si="81"/>
        <v>4.244179281258968</v>
      </c>
      <c r="U15" s="629">
        <f t="shared" si="82"/>
        <v>-0.11410281182323019</v>
      </c>
      <c r="V15" s="636">
        <f t="shared" si="114"/>
        <v>-0.68420206355342394</v>
      </c>
      <c r="W15" s="585">
        <f t="shared" ref="W15:W78" si="224">IF(M15="","",IF(Q15-$Q$8&lt;0,360+Q15-$Q$8,Q15-$Q$8))</f>
        <v>358.46000022234847</v>
      </c>
      <c r="X15" s="629">
        <f>IF(M15="","",R15)</f>
        <v>4.2457128050698216</v>
      </c>
      <c r="Y15" s="630">
        <f>IF(M15="","",S15)</f>
        <v>-0.68420206355342394</v>
      </c>
      <c r="Z15" s="632">
        <f t="shared" si="6"/>
        <v>0.90402806633293786</v>
      </c>
      <c r="AA15" s="629">
        <f t="shared" si="7"/>
        <v>-0.36159515556283728</v>
      </c>
      <c r="AB15" s="629">
        <f t="shared" si="8"/>
        <v>-0.22799604986888902</v>
      </c>
      <c r="AC15" s="636">
        <f t="shared" si="84"/>
        <v>1</v>
      </c>
      <c r="AD15" s="637">
        <f t="shared" si="115"/>
        <v>0.90402806633293786</v>
      </c>
      <c r="AE15" s="629">
        <f t="shared" si="85"/>
        <v>-0.36159515556283728</v>
      </c>
      <c r="AF15" s="633">
        <f t="shared" si="86"/>
        <v>-0.22799604986888902</v>
      </c>
      <c r="AG15" s="602">
        <f t="shared" si="87"/>
        <v>-57.767400420021247</v>
      </c>
      <c r="AH15" s="603">
        <f t="shared" si="88"/>
        <v>25.307303583635193</v>
      </c>
      <c r="AI15" s="585">
        <f t="shared" si="89"/>
        <v>-76.820880520215994</v>
      </c>
      <c r="AJ15" s="586">
        <f t="shared" si="90"/>
        <v>68.199468580315823</v>
      </c>
      <c r="AK15" s="635">
        <f t="shared" si="211"/>
        <v>0.91341934578508643</v>
      </c>
      <c r="AL15" s="629">
        <f t="shared" si="91"/>
        <v>-0.33716894873301723</v>
      </c>
      <c r="AM15" s="634">
        <f t="shared" si="92"/>
        <v>-0.22799604986888902</v>
      </c>
      <c r="AN15" s="581">
        <f>IF(M15="","",DEGREES(ATAN2(-AM15,AL15)))</f>
        <v>-55.933161675942415</v>
      </c>
      <c r="AO15" s="582">
        <f t="shared" si="94"/>
        <v>24.017758820569327</v>
      </c>
      <c r="AP15" s="585">
        <f t="shared" si="95"/>
        <v>-20.26053164203266</v>
      </c>
      <c r="AQ15" s="586">
        <f t="shared" si="9"/>
        <v>0.53693219513396651</v>
      </c>
      <c r="AS15" s="52">
        <f t="shared" si="116"/>
        <v>-1.5399997776515306</v>
      </c>
      <c r="AT15" s="72">
        <f t="shared" si="10"/>
        <v>-0.6831326192633882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1.119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43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0.15325667511735006</v>
      </c>
      <c r="C16" s="708">
        <v>4.5956591659258832</v>
      </c>
      <c r="D16" s="709">
        <v>-1.3814041663149654</v>
      </c>
      <c r="E16" s="710">
        <v>-0.8776031045833359</v>
      </c>
      <c r="F16" s="708">
        <v>0.4644016483520268</v>
      </c>
      <c r="G16" s="711">
        <v>0.11892812885777294</v>
      </c>
      <c r="H16" s="710">
        <v>0.314</v>
      </c>
      <c r="I16" s="708">
        <v>0.52</v>
      </c>
      <c r="J16" s="570">
        <v>1.1220000000000001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1613</v>
      </c>
      <c r="L16" s="320"/>
      <c r="M16" s="168">
        <f t="shared" si="1"/>
        <v>1.1220000000000001</v>
      </c>
      <c r="N16" s="632">
        <f t="shared" si="2"/>
        <v>0.15325667511735006</v>
      </c>
      <c r="O16" s="629">
        <f t="shared" si="3"/>
        <v>4.5956591659258832</v>
      </c>
      <c r="P16" s="633">
        <f t="shared" si="4"/>
        <v>-1.3814041663149654</v>
      </c>
      <c r="Q16" s="585">
        <f>IF(M16="","",IF(DEGREES(ATAN2(N16,O16))&lt;0,DEGREES(ATAN2(N16,O16))+360,IF(DEGREES(ATAN2(N16,O16))&gt;360,DEGREES(ATAN2(N16,O16))-360,DEGREES(ATAN2(N16,O16)))))</f>
        <v>88.090000275769839</v>
      </c>
      <c r="R16" s="629">
        <f t="shared" si="79"/>
        <v>4.5982138682130271</v>
      </c>
      <c r="S16" s="634">
        <f t="shared" si="80"/>
        <v>-1.3814041663149654</v>
      </c>
      <c r="T16" s="635">
        <f t="shared" si="81"/>
        <v>4.5956591659258832</v>
      </c>
      <c r="U16" s="629">
        <f t="shared" si="82"/>
        <v>-0.15325667511734778</v>
      </c>
      <c r="V16" s="636">
        <f t="shared" si="114"/>
        <v>-1.3814041663149654</v>
      </c>
      <c r="W16" s="585">
        <f>IF(M16="","",IF(Q16-$Q$8&lt;0,360+Q16-$Q$8,Q16-$Q$8))</f>
        <v>358.09000027576985</v>
      </c>
      <c r="X16" s="629">
        <f t="shared" si="83"/>
        <v>4.5982138682130271</v>
      </c>
      <c r="Y16" s="630">
        <f t="shared" si="223"/>
        <v>-1.3814041663149654</v>
      </c>
      <c r="Z16" s="632">
        <f t="shared" si="6"/>
        <v>0.8776031045833359</v>
      </c>
      <c r="AA16" s="629">
        <f t="shared" si="7"/>
        <v>-0.4644016483520268</v>
      </c>
      <c r="AB16" s="629">
        <f t="shared" si="8"/>
        <v>-0.11892812885777294</v>
      </c>
      <c r="AC16" s="636">
        <f t="shared" si="84"/>
        <v>1</v>
      </c>
      <c r="AD16" s="637">
        <f t="shared" si="115"/>
        <v>0.8776031045833359</v>
      </c>
      <c r="AE16" s="629">
        <f t="shared" si="85"/>
        <v>-0.4644016483520268</v>
      </c>
      <c r="AF16" s="633">
        <f t="shared" si="86"/>
        <v>-0.11892812885777294</v>
      </c>
      <c r="AG16" s="602">
        <f t="shared" si="87"/>
        <v>-75.635880747825411</v>
      </c>
      <c r="AH16" s="603">
        <f t="shared" si="88"/>
        <v>28.645434618726277</v>
      </c>
      <c r="AI16" s="585">
        <f t="shared" si="89"/>
        <v>-83.169754101452028</v>
      </c>
      <c r="AJ16" s="586">
        <f t="shared" si="90"/>
        <v>62.113528571533564</v>
      </c>
      <c r="AK16" s="635">
        <f t="shared" si="211"/>
        <v>0.89259384661112062</v>
      </c>
      <c r="AL16" s="629">
        <f t="shared" si="91"/>
        <v>-0.43489346414766034</v>
      </c>
      <c r="AM16" s="634">
        <f t="shared" si="92"/>
        <v>-0.11892812885777294</v>
      </c>
      <c r="AN16" s="581">
        <f t="shared" si="93"/>
        <v>-74.705547811601619</v>
      </c>
      <c r="AO16" s="582">
        <f t="shared" si="94"/>
        <v>26.798979794526385</v>
      </c>
      <c r="AP16" s="585">
        <f t="shared" si="95"/>
        <v>-25.976471704236307</v>
      </c>
      <c r="AQ16" s="586">
        <f t="shared" si="9"/>
        <v>0.49577288073113496</v>
      </c>
      <c r="AS16" s="52">
        <f t="shared" si="116"/>
        <v>-1.909999724230147</v>
      </c>
      <c r="AT16" s="72">
        <f t="shared" si="10"/>
        <v>-1.3800777776175834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1.1220000000000001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IFERROR(ROUND(VALUE(IF($IH16&lt;1,$IH16+LARGE((IF($M$9:$M$150="",0,$M$9:$M$150)-MOD(IF($M$9:$M$150="",0,$M$9:$M$150),1)),1),$IH16)),4),"")</f>
        <v/>
      </c>
      <c r="IJ16" s="533">
        <f t="shared" si="112"/>
        <v>1613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0.17159384104805164</v>
      </c>
      <c r="C17" s="708">
        <v>4.7474999645828726</v>
      </c>
      <c r="D17" s="709">
        <v>-2.0673062349956051</v>
      </c>
      <c r="E17" s="710">
        <v>-0.83191399331943161</v>
      </c>
      <c r="F17" s="708">
        <v>0.55334037381019141</v>
      </c>
      <c r="G17" s="711">
        <v>4.1635783058740827E-2</v>
      </c>
      <c r="H17" s="710">
        <v>0.26600000000000001</v>
      </c>
      <c r="I17" s="708">
        <v>0.52</v>
      </c>
      <c r="J17" s="570">
        <v>1.125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1313</v>
      </c>
      <c r="M17" s="168">
        <f t="shared" si="1"/>
        <v>1.125</v>
      </c>
      <c r="N17" s="632">
        <f t="shared" si="2"/>
        <v>0.17159384104805164</v>
      </c>
      <c r="O17" s="629">
        <f t="shared" si="3"/>
        <v>4.7474999645828726</v>
      </c>
      <c r="P17" s="633">
        <f t="shared" si="4"/>
        <v>-2.0673062349956051</v>
      </c>
      <c r="Q17" s="585">
        <f>IF(M17="","",IF(DEGREES(ATAN2(N17,O17))&lt;0,DEGREES(ATAN2(N17,O17))+360,IF(DEGREES(ATAN2(N17,O17))&gt;360,DEGREES(ATAN2(N17,O17))-360,DEGREES(ATAN2(N17,O17)))))</f>
        <v>87.93</v>
      </c>
      <c r="R17" s="629">
        <f>IF(M17="","",SQRT(N17^2+O17^2))</f>
        <v>4.7505999999999995</v>
      </c>
      <c r="S17" s="634">
        <f>IF(M17="","",P17)</f>
        <v>-2.0673062349956051</v>
      </c>
      <c r="T17" s="635">
        <f>IF(M17="","",X17*COS(RADIANS(W17)))</f>
        <v>4.7474999645828726</v>
      </c>
      <c r="U17" s="629">
        <f>IF(M17="","",X17*SIN(RADIANS(W17)))</f>
        <v>-0.17159384104805098</v>
      </c>
      <c r="V17" s="636">
        <f>IF(M17="","",Y17)</f>
        <v>-2.0673062349956051</v>
      </c>
      <c r="W17" s="585">
        <f t="shared" si="224"/>
        <v>357.93</v>
      </c>
      <c r="X17" s="629">
        <f>IF(M17="","",R17)</f>
        <v>4.7505999999999995</v>
      </c>
      <c r="Y17" s="630">
        <f t="shared" si="223"/>
        <v>-2.0673062349956051</v>
      </c>
      <c r="Z17" s="632">
        <f t="shared" si="6"/>
        <v>0.83191399331943161</v>
      </c>
      <c r="AA17" s="629">
        <f t="shared" si="7"/>
        <v>-0.55334037381019141</v>
      </c>
      <c r="AB17" s="629">
        <f t="shared" si="8"/>
        <v>-4.1635783058740827E-2</v>
      </c>
      <c r="AC17" s="636">
        <f>IF(M17="","",SQRT(Z17^2+AA17^2+AB17^2))</f>
        <v>1</v>
      </c>
      <c r="AD17" s="637">
        <f>IF(M17="","",Z17*(1/SQRT(Z17^2+AA17^2+AB17^2)))</f>
        <v>0.83191399331943161</v>
      </c>
      <c r="AE17" s="629">
        <f>IF(M17="","",AA17*(1/SQRT(Z17^2+AA17^2+AB17^2)))</f>
        <v>-0.55334037381019141</v>
      </c>
      <c r="AF17" s="633">
        <f>IF(M17="","",AB17*(1/SQRT(Z17^2+AA17^2+AB17^2)))</f>
        <v>-4.1635783058740827E-2</v>
      </c>
      <c r="AG17" s="602">
        <f>IF(M17="","",DEGREES(ATAN2(-AF17,AE17)))</f>
        <v>-85.696920244768876</v>
      </c>
      <c r="AH17" s="603">
        <f>IF(M17="","",DEGREES(ACOS(AD17)))</f>
        <v>33.704143660352038</v>
      </c>
      <c r="AI17" s="585">
        <f>IF(M17="","",DEGREES(-ACOS(-AF17)))</f>
        <v>-87.613755574007882</v>
      </c>
      <c r="AJ17" s="586">
        <f>IF(M17="","",DEGREES(ATAN2(-AE17,AD17)))</f>
        <v>56.370479845861986</v>
      </c>
      <c r="AK17" s="635">
        <f>IF(M17="","",(COS(RADIANS((90-$Q$8)-W17))*AD17)+(-SIN(RADIANS((90-$Q$8)-W17))*AE17))</f>
        <v>0.85135802929504756</v>
      </c>
      <c r="AL17" s="629">
        <f>IF(M17="","",(SIN(RADIANS((90-$Q$8)-W17))*AD17)+(COS(RADIANS((90-$Q$8)-W17))*AE17))</f>
        <v>-0.52293017461601765</v>
      </c>
      <c r="AM17" s="634">
        <f>IF(M17="","",AF17)</f>
        <v>-4.1635783058740827E-2</v>
      </c>
      <c r="AN17" s="581">
        <f>IF(M17="","",DEGREES(ATAN2(-AM17,AL17)))</f>
        <v>-85.447704343190765</v>
      </c>
      <c r="AO17" s="582">
        <f t="shared" si="94"/>
        <v>31.640315229482749</v>
      </c>
      <c r="AP17" s="585">
        <f>IF(M17="","",DEGREES(ATAN2(AK17,AL17)))</f>
        <v>-31.559520154138031</v>
      </c>
      <c r="AQ17" s="586">
        <f t="shared" si="9"/>
        <v>0.47987061152677774</v>
      </c>
      <c r="AS17" s="52">
        <f t="shared" si="116"/>
        <v>-2.0699999999999932</v>
      </c>
      <c r="AT17" s="72">
        <f t="shared" si="10"/>
        <v>-2.0658687349956049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1.125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IFERROR(ROUND(VALUE(IF($IH17&lt;1,$IH17+LARGE((IF($M$9:$M$150="",0,$M$9:$M$150)-MOD(IF($M$9:$M$150="",0,$M$9:$M$150),1)),1),$IH17)),4),"")</f>
        <v/>
      </c>
      <c r="IJ17" s="533">
        <f t="shared" si="112"/>
        <v>1313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0.90327550907446341</v>
      </c>
      <c r="C18" s="708">
        <v>3.9629744094136181</v>
      </c>
      <c r="D18" s="709">
        <v>-0.49870150408373642</v>
      </c>
      <c r="E18" s="710">
        <v>-0.81235712070265476</v>
      </c>
      <c r="F18" s="708">
        <v>0.50733154795845337</v>
      </c>
      <c r="G18" s="711">
        <v>0.28755974838243953</v>
      </c>
      <c r="H18" s="710">
        <v>0.26600000000000001</v>
      </c>
      <c r="I18" s="708">
        <v>0.52</v>
      </c>
      <c r="J18" s="570">
        <v>1.218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1313</v>
      </c>
      <c r="L18" s="779" t="s">
        <v>331</v>
      </c>
      <c r="M18" s="168">
        <f t="shared" si="1"/>
        <v>1.218</v>
      </c>
      <c r="N18" s="632">
        <f t="shared" si="2"/>
        <v>0.90327550907446341</v>
      </c>
      <c r="O18" s="629">
        <f t="shared" si="3"/>
        <v>3.9629744094136181</v>
      </c>
      <c r="P18" s="633">
        <f t="shared" si="4"/>
        <v>-0.49870150408373642</v>
      </c>
      <c r="Q18" s="585">
        <f t="shared" si="113"/>
        <v>77.160001853866362</v>
      </c>
      <c r="R18" s="629">
        <f>IF(M18="","",SQRT(N18^2+O18^2))</f>
        <v>4.0646122588705733</v>
      </c>
      <c r="S18" s="634">
        <f>IF(M18="","",P18)</f>
        <v>-0.49870150408373642</v>
      </c>
      <c r="T18" s="635">
        <f>IF(M18="","",X18*COS(RADIANS(W18)))</f>
        <v>3.9629744094136172</v>
      </c>
      <c r="U18" s="629">
        <f>IF(M18="","",X18*SIN(RADIANS(W18)))</f>
        <v>-0.90327550907446685</v>
      </c>
      <c r="V18" s="636">
        <f>IF(M18="","",Y18)</f>
        <v>-0.49870150408373642</v>
      </c>
      <c r="W18" s="585">
        <f t="shared" si="224"/>
        <v>347.16000185386633</v>
      </c>
      <c r="X18" s="629">
        <f>IF(M18="","",R18)</f>
        <v>4.0646122588705733</v>
      </c>
      <c r="Y18" s="630">
        <f t="shared" si="223"/>
        <v>-0.49870150408373642</v>
      </c>
      <c r="Z18" s="632">
        <f t="shared" si="6"/>
        <v>0.81235712070265476</v>
      </c>
      <c r="AA18" s="629">
        <f t="shared" si="7"/>
        <v>-0.50733154795845337</v>
      </c>
      <c r="AB18" s="629">
        <f t="shared" si="8"/>
        <v>-0.28755974838243953</v>
      </c>
      <c r="AC18" s="636">
        <f>IF(M18="","",SQRT(Z18^2+AA18^2+AB18^2))</f>
        <v>1</v>
      </c>
      <c r="AD18" s="637">
        <f>IF(M18="","",Z18*(1/SQRT(Z18^2+AA18^2+AB18^2)))</f>
        <v>0.81235712070265476</v>
      </c>
      <c r="AE18" s="629">
        <f>IF(M18="","",AA18*(1/SQRT(Z18^2+AA18^2+AB18^2)))</f>
        <v>-0.50733154795845337</v>
      </c>
      <c r="AF18" s="633">
        <f>IF(M18="","",AB18*(1/SQRT(Z18^2+AA18^2+AB18^2)))</f>
        <v>-0.28755974838243953</v>
      </c>
      <c r="AG18" s="602">
        <f>IF(M18="","",DEGREES(ATAN2(-AF18,AE18)))</f>
        <v>-60.455074182487266</v>
      </c>
      <c r="AH18" s="603">
        <f>IF(M18="","",DEGREES(ACOS(AD18)))</f>
        <v>35.67312805283229</v>
      </c>
      <c r="AI18" s="585">
        <f>IF(M18="","",DEGREES(-ACOS(-AF18)))</f>
        <v>-73.288082018937658</v>
      </c>
      <c r="AJ18" s="586">
        <f>IF(M18="","",DEGREES(ATAN2(-AE18,AD18)))</f>
        <v>58.014485086319148</v>
      </c>
      <c r="AK18" s="635">
        <f>IF(M18="","",(COS(RADIANS((90-$Q$8)-W18))*AD18)+(-SIN(RADIANS((90-$Q$8)-W18))*AE18))</f>
        <v>0.90478756857441311</v>
      </c>
      <c r="AL18" s="629">
        <f>IF(M18="","",(SIN(RADIANS((90-$Q$8)-W18))*AD18)+(COS(RADIANS((90-$Q$8)-W18))*AE18))</f>
        <v>-0.31411597677200342</v>
      </c>
      <c r="AM18" s="634">
        <f>IF(M18="","",AF18)</f>
        <v>-0.28755974838243953</v>
      </c>
      <c r="AN18" s="581">
        <f>IF(M18="","",DEGREES(ATAN2(-AM18,AL18)))</f>
        <v>-47.527229957607375</v>
      </c>
      <c r="AO18" s="582">
        <f t="shared" si="94"/>
        <v>25.205312699631076</v>
      </c>
      <c r="AP18" s="585">
        <f>IF(M18="","",DEGREES(ATAN2(AK18,AL18)))</f>
        <v>-19.145516767547168</v>
      </c>
      <c r="AQ18" s="586">
        <f t="shared" si="9"/>
        <v>0.56085394427426905</v>
      </c>
      <c r="AS18" s="52">
        <f t="shared" si="116"/>
        <v>-12.839998146133667</v>
      </c>
      <c r="AT18" s="72">
        <f t="shared" si="10"/>
        <v>-0.48978483870447692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>Taper</v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1.218</v>
      </c>
      <c r="IH18" s="731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>0.11799999999999999</v>
      </c>
      <c r="II18" s="734" cm="1">
        <f t="array" ref="II18">IFERROR(ROUND(VALUE(IF($IH18&lt;1,$IH18+LARGE((IF($M$9:$M$150="",0,$M$9:$M$150)-MOD(IF($M$9:$M$150="",0,$M$9:$M$150),1)),1),$IH18)),4),"")</f>
        <v>6.1180000000000003</v>
      </c>
      <c r="IJ18" s="533">
        <f t="shared" si="112"/>
        <v>1613</v>
      </c>
      <c r="IK18" s="533">
        <f t="shared" si="66"/>
        <v>1313</v>
      </c>
      <c r="IL18" s="727">
        <f t="shared" si="225"/>
        <v>66.479990401476982</v>
      </c>
      <c r="IM18" s="759">
        <v>4.8074984267548602E-2</v>
      </c>
      <c r="IN18" s="5">
        <f t="shared" si="226"/>
        <v>0.28000000000000003</v>
      </c>
      <c r="IO18" s="771">
        <v>140</v>
      </c>
      <c r="IP18" s="9">
        <f t="shared" si="227"/>
        <v>-4.0658122624897839</v>
      </c>
      <c r="IQ18" s="5">
        <f t="shared" si="228"/>
        <v>-0.49730149986132383</v>
      </c>
      <c r="IR18" s="5">
        <f t="shared" si="71"/>
        <v>0.314</v>
      </c>
      <c r="IS18" s="5">
        <f t="shared" si="229"/>
        <v>0.28834469722062384</v>
      </c>
      <c r="IT18" s="727">
        <f t="shared" si="230"/>
        <v>49.021244910827484</v>
      </c>
      <c r="IU18" s="9">
        <f t="shared" si="231"/>
        <v>-4.0646122588705733</v>
      </c>
      <c r="IV18" s="5">
        <f t="shared" si="232"/>
        <v>-0.49870150408373642</v>
      </c>
      <c r="IW18" s="5">
        <f t="shared" si="76"/>
        <v>0.26600000000000001</v>
      </c>
      <c r="IX18" s="5">
        <f t="shared" si="233"/>
        <v>0.2406734932407939</v>
      </c>
      <c r="IY18" s="762">
        <f t="shared" si="234"/>
        <v>47.527229957607375</v>
      </c>
    </row>
    <row r="19" spans="1:269" ht="15" customHeight="1" thickBot="1" x14ac:dyDescent="0.3">
      <c r="A19" s="79"/>
      <c r="B19" s="707">
        <v>0.98056533009873081</v>
      </c>
      <c r="C19" s="708">
        <v>4.4084778669075355</v>
      </c>
      <c r="D19" s="709">
        <v>-1.135703425281531</v>
      </c>
      <c r="E19" s="710">
        <v>-0.77197316698370511</v>
      </c>
      <c r="F19" s="708">
        <v>0.61022372305156358</v>
      </c>
      <c r="G19" s="711">
        <v>0.17800122831665294</v>
      </c>
      <c r="H19" s="710">
        <v>0.26600000000000001</v>
      </c>
      <c r="I19" s="708">
        <v>0.52</v>
      </c>
      <c r="J19" s="570">
        <v>1.2210000000000001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1313</v>
      </c>
      <c r="L19" s="775" t="s">
        <v>366</v>
      </c>
      <c r="M19" s="168">
        <f t="shared" si="1"/>
        <v>1.2210000000000001</v>
      </c>
      <c r="N19" s="632">
        <f t="shared" si="2"/>
        <v>0.98056533009873081</v>
      </c>
      <c r="O19" s="629">
        <f t="shared" si="3"/>
        <v>4.4084778669075355</v>
      </c>
      <c r="P19" s="633">
        <f t="shared" si="4"/>
        <v>-1.135703425281531</v>
      </c>
      <c r="Q19" s="585">
        <f t="shared" si="113"/>
        <v>77.460001810551731</v>
      </c>
      <c r="R19" s="629">
        <f>IF(M19="","",SQRT(N19^2+O19^2))</f>
        <v>4.5162136209002837</v>
      </c>
      <c r="S19" s="634">
        <f>IF(M19="","",P19)</f>
        <v>-1.135703425281531</v>
      </c>
      <c r="T19" s="635">
        <f>IF(M19="","",X19*COS(RADIANS(W19)))</f>
        <v>4.4084778669075355</v>
      </c>
      <c r="U19" s="629">
        <f>IF(M19="","",X19*SIN(RADIANS(W19)))</f>
        <v>-0.98056533009873192</v>
      </c>
      <c r="V19" s="636">
        <f>IF(M19="","",Y19)</f>
        <v>-1.135703425281531</v>
      </c>
      <c r="W19" s="585">
        <f t="shared" si="224"/>
        <v>347.46000181055172</v>
      </c>
      <c r="X19" s="629">
        <f>IF(M19="","",R19)</f>
        <v>4.5162136209002837</v>
      </c>
      <c r="Y19" s="630">
        <f t="shared" si="223"/>
        <v>-1.135703425281531</v>
      </c>
      <c r="Z19" s="632">
        <f t="shared" si="6"/>
        <v>0.77197316698370511</v>
      </c>
      <c r="AA19" s="629">
        <f t="shared" si="7"/>
        <v>-0.61022372305156358</v>
      </c>
      <c r="AB19" s="629">
        <f t="shared" si="8"/>
        <v>-0.17800122831665294</v>
      </c>
      <c r="AC19" s="636">
        <f>IF(M19="","",SQRT(Z19^2+AA19^2+AB19^2))</f>
        <v>1</v>
      </c>
      <c r="AD19" s="637">
        <f>IF(M19="","",Z19*(1/SQRT(Z19^2+AA19^2+AB19^2)))</f>
        <v>0.77197316698370511</v>
      </c>
      <c r="AE19" s="629">
        <f>IF(M19="","",AA19*(1/SQRT(Z19^2+AA19^2+AB19^2)))</f>
        <v>-0.61022372305156358</v>
      </c>
      <c r="AF19" s="633">
        <f>IF(M19="","",AB19*(1/SQRT(Z19^2+AA19^2+AB19^2)))</f>
        <v>-0.17800122831665294</v>
      </c>
      <c r="AG19" s="602">
        <f>IF(M19="","",DEGREES(ATAN2(-AF19,AE19)))</f>
        <v>-73.738124454250155</v>
      </c>
      <c r="AH19" s="603">
        <f>IF(M19="","",DEGREES(ACOS(AD19)))</f>
        <v>39.468590320390362</v>
      </c>
      <c r="AI19" s="585">
        <f>IF(M19="","",DEGREES(-ACOS(-AF19)))</f>
        <v>-79.746641398094937</v>
      </c>
      <c r="AJ19" s="586">
        <f>IF(M19="","",DEGREES(ATAN2(-AE19,AD19)))</f>
        <v>51.674591698770669</v>
      </c>
      <c r="AK19" s="635">
        <f>IF(M19="","",(COS(RADIANS((90-$Q$8)-W19))*AD19)+(-SIN(RADIANS((90-$Q$8)-W19))*AE19))</f>
        <v>0.88604994865690534</v>
      </c>
      <c r="AL19" s="629">
        <f>IF(M19="","",(SIN(RADIANS((90-$Q$8)-W19))*AD19)+(COS(RADIANS((90-$Q$8)-W19))*AE19))</f>
        <v>-0.42805496282937583</v>
      </c>
      <c r="AM19" s="634">
        <f>IF(M19="","",AF19)</f>
        <v>-0.17800122831665294</v>
      </c>
      <c r="AN19" s="581">
        <f>IF(M19="","",DEGREES(ATAN2(-AM19,AL19)))</f>
        <v>-67.420635761999762</v>
      </c>
      <c r="AO19" s="582">
        <f t="shared" si="94"/>
        <v>27.618993457971186</v>
      </c>
      <c r="AP19" s="585">
        <f>IF(M19="","",DEGREES(ATAN2(AK19,AL19)))</f>
        <v>-25.785410111781051</v>
      </c>
      <c r="AQ19" s="586">
        <f t="shared" si="9"/>
        <v>0.50477409667607842</v>
      </c>
      <c r="AS19" s="52">
        <f t="shared" si="116"/>
        <v>-12.539998189448283</v>
      </c>
      <c r="AT19" s="72">
        <f t="shared" si="10"/>
        <v>-1.1269950932055253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>Taper</v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1.2210000000000001</v>
      </c>
      <c r="IH19" s="731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0.121</v>
      </c>
      <c r="II19" s="734" cm="1">
        <f t="array" ref="II19">IFERROR(ROUND(VALUE(IF($IH19&lt;1,$IH19+LARGE((IF($M$9:$M$150="",0,$M$9:$M$150)-MOD(IF($M$9:$M$150="",0,$M$9:$M$150),1)),1),$IH19)),4),"")</f>
        <v>6.1210000000000004</v>
      </c>
      <c r="IJ19" s="533">
        <f t="shared" si="112"/>
        <v>1613</v>
      </c>
      <c r="IK19" s="533">
        <f t="shared" si="66"/>
        <v>1313</v>
      </c>
      <c r="IL19" s="727">
        <f t="shared" si="225"/>
        <v>65.719990511207357</v>
      </c>
      <c r="IM19" s="759">
        <v>4.6653668434130199E-2</v>
      </c>
      <c r="IN19" s="5">
        <f t="shared" si="226"/>
        <v>0.28000000000000003</v>
      </c>
      <c r="IO19" s="771">
        <v>140</v>
      </c>
      <c r="IP19" s="9">
        <f t="shared" si="227"/>
        <v>-4.5163136212018813</v>
      </c>
      <c r="IQ19" s="5">
        <f t="shared" si="228"/>
        <v>-1.1356034249799298</v>
      </c>
      <c r="IR19" s="5">
        <f t="shared" si="71"/>
        <v>0.314</v>
      </c>
      <c r="IS19" s="5">
        <f t="shared" si="229"/>
        <v>0.28278594879680291</v>
      </c>
      <c r="IT19" s="727">
        <f t="shared" si="230"/>
        <v>68.90875193006552</v>
      </c>
      <c r="IU19" s="9">
        <f t="shared" si="231"/>
        <v>-4.5162136209002837</v>
      </c>
      <c r="IV19" s="5">
        <f t="shared" si="232"/>
        <v>-1.135703425281531</v>
      </c>
      <c r="IW19" s="5">
        <f t="shared" si="76"/>
        <v>0.26600000000000001</v>
      </c>
      <c r="IX19" s="5">
        <f t="shared" si="233"/>
        <v>0.23568928634273684</v>
      </c>
      <c r="IY19" s="762">
        <f t="shared" si="234"/>
        <v>67.420635761999762</v>
      </c>
      <c r="JB19" s="1222" t="s">
        <v>365</v>
      </c>
      <c r="JC19" s="1223"/>
      <c r="JD19" s="1223"/>
      <c r="JE19" s="1223"/>
      <c r="JF19" s="1223"/>
      <c r="JG19" s="1223"/>
      <c r="JH19" s="1223"/>
      <c r="JI19" s="1224"/>
    </row>
    <row r="20" spans="1:269" ht="15" customHeight="1" x14ac:dyDescent="0.25">
      <c r="A20" s="79"/>
      <c r="B20" s="707">
        <v>0.93260534563490427</v>
      </c>
      <c r="C20" s="708">
        <v>1.4924795741628092</v>
      </c>
      <c r="D20" s="709">
        <v>-0.27310000000000001</v>
      </c>
      <c r="E20" s="710">
        <v>0</v>
      </c>
      <c r="F20" s="708">
        <v>0</v>
      </c>
      <c r="G20" s="711">
        <v>1</v>
      </c>
      <c r="H20" s="710">
        <v>0.26250000000000001</v>
      </c>
      <c r="I20" s="708">
        <v>0.40699999999999997</v>
      </c>
      <c r="J20" s="570">
        <v>1.3080000000000001</v>
      </c>
      <c r="K20" s="865" t="str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Inactive</v>
      </c>
      <c r="L20" s="774">
        <f>IF($L19=$JH$22,$JH$30,IF($L19=$JI$22,$JI$30,""))</f>
        <v>70</v>
      </c>
      <c r="M20" s="168">
        <f t="shared" si="1"/>
        <v>1.3080000000000001</v>
      </c>
      <c r="N20" s="632">
        <f t="shared" si="2"/>
        <v>0.93260534563490427</v>
      </c>
      <c r="O20" s="629">
        <f t="shared" si="3"/>
        <v>1.4924795741628092</v>
      </c>
      <c r="P20" s="633">
        <f t="shared" si="4"/>
        <v>-0.27310000000000001</v>
      </c>
      <c r="Q20" s="585">
        <f t="shared" si="113"/>
        <v>57.999983396056741</v>
      </c>
      <c r="R20" s="629">
        <f>IF(M20="","",SQRT(N20^2+O20^2))</f>
        <v>1.7598999999999998</v>
      </c>
      <c r="S20" s="634">
        <f>IF(M20="","",P20)</f>
        <v>-0.27310000000000001</v>
      </c>
      <c r="T20" s="635">
        <f>IF(M20="","",X20*COS(RADIANS(W20)))</f>
        <v>1.4924795741628087</v>
      </c>
      <c r="U20" s="629">
        <f>IF(M20="","",X20*SIN(RADIANS(W20)))</f>
        <v>-0.93260534563490483</v>
      </c>
      <c r="V20" s="636">
        <f>IF(M20="","",Y20)</f>
        <v>-0.27310000000000001</v>
      </c>
      <c r="W20" s="585">
        <f t="shared" si="224"/>
        <v>327.99998339605673</v>
      </c>
      <c r="X20" s="629">
        <f>IF(M20="","",R20)</f>
        <v>1.7598999999999998</v>
      </c>
      <c r="Y20" s="630">
        <f t="shared" si="223"/>
        <v>-0.27310000000000001</v>
      </c>
      <c r="Z20" s="632">
        <f t="shared" si="6"/>
        <v>0</v>
      </c>
      <c r="AA20" s="629">
        <f t="shared" si="7"/>
        <v>0</v>
      </c>
      <c r="AB20" s="629">
        <f t="shared" si="8"/>
        <v>-1</v>
      </c>
      <c r="AC20" s="636">
        <f>IF(M20="","",SQRT(Z20^2+AA20^2+AB20^2))</f>
        <v>1</v>
      </c>
      <c r="AD20" s="637">
        <f>IF(M20="","",Z20*(1/SQRT(Z20^2+AA20^2+AB20^2)))</f>
        <v>0</v>
      </c>
      <c r="AE20" s="629">
        <f>IF(M20="","",AA20*(1/SQRT(Z20^2+AA20^2+AB20^2)))</f>
        <v>0</v>
      </c>
      <c r="AF20" s="633">
        <f>IF(M20="","",AB20*(1/SQRT(Z20^2+AA20^2+AB20^2)))</f>
        <v>-1</v>
      </c>
      <c r="AG20" s="602">
        <f>IF(M20="","",DEGREES(ATAN2(-AF20,AE20)))</f>
        <v>0</v>
      </c>
      <c r="AH20" s="603">
        <f>IF(M20="","",DEGREES(ACOS(AD20)))</f>
        <v>90</v>
      </c>
      <c r="AI20" s="585">
        <f>IF(M20="","",DEGREES(-ACOS(-AF20)))</f>
        <v>0</v>
      </c>
      <c r="AJ20" s="586" t="e">
        <f>IF(M20="","",DEGREES(ATAN2(-AE20,AD20)))</f>
        <v>#DIV/0!</v>
      </c>
      <c r="AK20" s="635">
        <f>IF(M20="","",(COS(RADIANS((90-$Q$8)-W20))*AD20)+(-SIN(RADIANS((90-$Q$8)-W20))*AE20))</f>
        <v>0</v>
      </c>
      <c r="AL20" s="629">
        <f>IF(M20="","",(SIN(RADIANS((90-$Q$8)-W20))*AD20)+(COS(RADIANS((90-$Q$8)-W20))*AE20))</f>
        <v>0</v>
      </c>
      <c r="AM20" s="634">
        <f>IF(M20="","",AF20)</f>
        <v>-1</v>
      </c>
      <c r="AN20" s="581">
        <f>IF(M20="","",DEGREES(ATAN2(-AM20,AL20)))</f>
        <v>0</v>
      </c>
      <c r="AO20" s="582">
        <f t="shared" si="94"/>
        <v>0</v>
      </c>
      <c r="AP20" s="585" t="e">
        <f>IF(M20="","",DEGREES(ATAN2(AK20,AL20)))</f>
        <v>#DIV/0!</v>
      </c>
      <c r="AQ20" s="586">
        <f t="shared" si="9"/>
        <v>1.2951521832198356</v>
      </c>
      <c r="AS20" s="52">
        <f t="shared" si="116"/>
        <v>-32.000016603943266</v>
      </c>
      <c r="AT20" s="72">
        <f t="shared" si="10"/>
        <v>-0.25087776624726166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>Nose</v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1.3080000000000001</v>
      </c>
      <c r="IH20" s="731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5.1079999999999997</v>
      </c>
      <c r="II20" s="734" cm="1">
        <f t="array" ref="II20">IFERROR(ROUND(VALUE(IF($IH20&lt;1,$IH20+LARGE((IF($M$9:$M$150="",0,$M$9:$M$150)-MOD(IF($M$9:$M$150="",0,$M$9:$M$150),1)),1),$IH20)),4),"")</f>
        <v>5.1079999999999997</v>
      </c>
      <c r="IJ20" s="533">
        <f t="shared" si="112"/>
        <v>1313</v>
      </c>
      <c r="IK20" s="533" t="str">
        <f t="shared" si="66"/>
        <v>Inactive</v>
      </c>
      <c r="IL20" s="727">
        <f t="shared" si="225"/>
        <v>147</v>
      </c>
      <c r="IM20" s="759">
        <v>3.2947836000065601E-2</v>
      </c>
      <c r="IN20" s="5">
        <f t="shared" si="226"/>
        <v>0.14000000000000001</v>
      </c>
      <c r="IO20" s="771">
        <v>70</v>
      </c>
      <c r="IP20" s="9">
        <f t="shared" si="227"/>
        <v>-1.7599053078744089</v>
      </c>
      <c r="IQ20" s="5">
        <f t="shared" si="228"/>
        <v>-0.21660065326757019</v>
      </c>
      <c r="IR20" s="5">
        <f t="shared" si="71"/>
        <v>0.26600000000000001</v>
      </c>
      <c r="IS20" s="5">
        <f t="shared" si="229"/>
        <v>0.25693627239520722</v>
      </c>
      <c r="IT20" s="727">
        <f t="shared" si="230"/>
        <v>1.3517593505405501E-13</v>
      </c>
      <c r="IU20" s="9">
        <f t="shared" si="231"/>
        <v>-1.7598999999999998</v>
      </c>
      <c r="IV20" s="5">
        <f t="shared" si="232"/>
        <v>-0.27310000000000001</v>
      </c>
      <c r="IW20" s="5">
        <f t="shared" si="76"/>
        <v>0.26250000000000001</v>
      </c>
      <c r="IX20" s="5">
        <f t="shared" si="233"/>
        <v>0.26250000000000001</v>
      </c>
      <c r="IY20" s="762">
        <f t="shared" si="234"/>
        <v>0</v>
      </c>
      <c r="JA20" s="31"/>
      <c r="JB20" s="1225" t="s">
        <v>369</v>
      </c>
      <c r="JC20" s="1226"/>
      <c r="JD20" s="1226"/>
      <c r="JE20" s="1226"/>
      <c r="JF20" s="979" t="s">
        <v>370</v>
      </c>
      <c r="JG20" s="980"/>
      <c r="JH20" s="980"/>
      <c r="JI20" s="981"/>
    </row>
    <row r="21" spans="1:269" ht="15" customHeight="1" x14ac:dyDescent="0.25">
      <c r="A21" s="79"/>
      <c r="B21" s="707">
        <v>0.93259769417210514</v>
      </c>
      <c r="C21" s="708">
        <v>2.1970607139596465</v>
      </c>
      <c r="D21" s="709">
        <v>-0.13120000000000001</v>
      </c>
      <c r="E21" s="710">
        <v>0</v>
      </c>
      <c r="F21" s="708">
        <v>0</v>
      </c>
      <c r="G21" s="711">
        <v>1</v>
      </c>
      <c r="H21" s="710">
        <v>0.26250000000000001</v>
      </c>
      <c r="I21" s="708">
        <v>0.40699999999999997</v>
      </c>
      <c r="J21" s="570">
        <v>1.3109999999999999</v>
      </c>
      <c r="K21" s="865" t="str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Inactive</v>
      </c>
      <c r="L21" s="776" t="s">
        <v>367</v>
      </c>
      <c r="M21" s="168">
        <f t="shared" si="1"/>
        <v>1.3109999999999999</v>
      </c>
      <c r="N21" s="632">
        <f t="shared" si="2"/>
        <v>0.93259769417210514</v>
      </c>
      <c r="O21" s="629">
        <f t="shared" si="3"/>
        <v>2.1970607139596465</v>
      </c>
      <c r="P21" s="633">
        <f t="shared" si="4"/>
        <v>-0.13120000000000001</v>
      </c>
      <c r="Q21" s="585">
        <f t="shared" si="113"/>
        <v>66.999983396056734</v>
      </c>
      <c r="R21" s="629">
        <f>IF(M21="","",SQRT(N21^2+O21^2))</f>
        <v>2.3868</v>
      </c>
      <c r="S21" s="634">
        <f>IF(M21="","",P21)</f>
        <v>-0.13120000000000001</v>
      </c>
      <c r="T21" s="635">
        <f>IF(M21="","",X21*COS(RADIANS(W21)))</f>
        <v>2.1970607139596465</v>
      </c>
      <c r="U21" s="629">
        <f>IF(M21="","",X21*SIN(RADIANS(W21)))</f>
        <v>-0.93259769417210592</v>
      </c>
      <c r="V21" s="636">
        <f>IF(M21="","",Y21)</f>
        <v>-0.13120000000000001</v>
      </c>
      <c r="W21" s="585">
        <f t="shared" si="224"/>
        <v>336.99998339605673</v>
      </c>
      <c r="X21" s="629">
        <f>IF(M21="","",R21)</f>
        <v>2.3868</v>
      </c>
      <c r="Y21" s="630">
        <f t="shared" si="223"/>
        <v>-0.13120000000000001</v>
      </c>
      <c r="Z21" s="632">
        <f t="shared" si="6"/>
        <v>0</v>
      </c>
      <c r="AA21" s="629">
        <f t="shared" si="7"/>
        <v>0</v>
      </c>
      <c r="AB21" s="629">
        <f t="shared" si="8"/>
        <v>-1</v>
      </c>
      <c r="AC21" s="636">
        <f>IF(M21="","",SQRT(Z21^2+AA21^2+AB21^2))</f>
        <v>1</v>
      </c>
      <c r="AD21" s="637">
        <f>IF(M21="","",Z21*(1/SQRT(Z21^2+AA21^2+AB21^2)))</f>
        <v>0</v>
      </c>
      <c r="AE21" s="629">
        <f>IF(M21="","",AA21*(1/SQRT(Z21^2+AA21^2+AB21^2)))</f>
        <v>0</v>
      </c>
      <c r="AF21" s="633">
        <f>IF(M21="","",AB21*(1/SQRT(Z21^2+AA21^2+AB21^2)))</f>
        <v>-1</v>
      </c>
      <c r="AG21" s="602">
        <f>IF(M21="","",DEGREES(ATAN2(-AF21,AE21)))</f>
        <v>0</v>
      </c>
      <c r="AH21" s="603">
        <f>IF(M21="","",DEGREES(ACOS(AD21)))</f>
        <v>90</v>
      </c>
      <c r="AI21" s="585">
        <f>IF(M21="","",DEGREES(-ACOS(-AF21)))</f>
        <v>0</v>
      </c>
      <c r="AJ21" s="586" t="e">
        <f>IF(M21="","",DEGREES(ATAN2(-AE21,AD21)))</f>
        <v>#DIV/0!</v>
      </c>
      <c r="AK21" s="635">
        <f>IF(M21="","",(COS(RADIANS((90-$Q$8)-W21))*AD21)+(-SIN(RADIANS((90-$Q$8)-W21))*AE21))</f>
        <v>0</v>
      </c>
      <c r="AL21" s="629">
        <f>IF(M21="","",(SIN(RADIANS((90-$Q$8)-W21))*AD21)+(COS(RADIANS((90-$Q$8)-W21))*AE21))</f>
        <v>0</v>
      </c>
      <c r="AM21" s="634">
        <f>IF(M21="","",AF21)</f>
        <v>-1</v>
      </c>
      <c r="AN21" s="581">
        <f>IF(M21="","",DEGREES(ATAN2(-AM21,AL21)))</f>
        <v>0</v>
      </c>
      <c r="AO21" s="582">
        <f>IF(ROUND(IF(M21="",0,DEGREES(ACOS(AK21))),4)=90,0,IF(M21="","",DEGREES(ACOS(AK21))))</f>
        <v>0</v>
      </c>
      <c r="AP21" s="585" t="e">
        <f>IF(M21="","",DEGREES(ATAN2(AK21,AL21)))</f>
        <v>#DIV/0!</v>
      </c>
      <c r="AQ21" s="586">
        <f t="shared" si="9"/>
        <v>0.95505090021714112</v>
      </c>
      <c r="AS21" s="52">
        <f t="shared" si="116"/>
        <v>-23.000016603943266</v>
      </c>
      <c r="AT21" s="72">
        <f t="shared" si="10"/>
        <v>-0.11522776624726164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>Nose</v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1.3109999999999999</v>
      </c>
      <c r="IH21" s="731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5.1109999999999998</v>
      </c>
      <c r="II21" s="734" cm="1">
        <f t="array" ref="II21">IFERROR(ROUND(VALUE(IF($IH21&lt;1,$IH21+LARGE((IF($M$9:$M$150="",0,$M$9:$M$150)-MOD(IF($M$9:$M$150="",0,$M$9:$M$150),1)),1),$IH21)),4),"")</f>
        <v>5.1109999999999998</v>
      </c>
      <c r="IJ21" s="533">
        <f t="shared" si="112"/>
        <v>1313</v>
      </c>
      <c r="IK21" s="533" t="str">
        <f t="shared" si="66"/>
        <v>Inactive</v>
      </c>
      <c r="IL21" s="727">
        <f t="shared" si="225"/>
        <v>138</v>
      </c>
      <c r="IM21" s="759">
        <v>3.1131431232008001E-2</v>
      </c>
      <c r="IN21" s="5">
        <f t="shared" si="226"/>
        <v>0.14000000000000001</v>
      </c>
      <c r="IO21" s="771">
        <v>70</v>
      </c>
      <c r="IP21" s="9">
        <f t="shared" si="227"/>
        <v>-2.3868071986105113</v>
      </c>
      <c r="IQ21" s="5">
        <f t="shared" si="228"/>
        <v>-7.7600234042305788E-2</v>
      </c>
      <c r="IR21" s="5">
        <f t="shared" si="71"/>
        <v>0.26600000000000001</v>
      </c>
      <c r="IS21" s="5">
        <f t="shared" si="229"/>
        <v>0.25693627239520722</v>
      </c>
      <c r="IT21" s="727">
        <f t="shared" si="230"/>
        <v>6.1443606842752281E-14</v>
      </c>
      <c r="IU21" s="9">
        <f t="shared" si="231"/>
        <v>-2.3868</v>
      </c>
      <c r="IV21" s="5">
        <f t="shared" si="232"/>
        <v>-0.13120000000000001</v>
      </c>
      <c r="IW21" s="5">
        <f t="shared" si="76"/>
        <v>0.26250000000000001</v>
      </c>
      <c r="IX21" s="5">
        <f t="shared" si="233"/>
        <v>0.26250000000000001</v>
      </c>
      <c r="IY21" s="762">
        <f t="shared" si="234"/>
        <v>0</v>
      </c>
      <c r="JA21" s="765"/>
      <c r="JB21" s="1097"/>
      <c r="JC21" s="1098"/>
      <c r="JD21" s="1098"/>
      <c r="JE21" s="1098"/>
      <c r="JF21" s="982" t="s">
        <v>358</v>
      </c>
      <c r="JG21" s="983"/>
      <c r="JH21" s="1227" t="s">
        <v>371</v>
      </c>
      <c r="JI21" s="1228"/>
    </row>
    <row r="22" spans="1:269" ht="15" customHeight="1" thickBot="1" x14ac:dyDescent="0.3">
      <c r="A22" s="79"/>
      <c r="B22" s="707">
        <v>2.8229338028784996</v>
      </c>
      <c r="C22" s="708">
        <v>1.2858875484152739</v>
      </c>
      <c r="D22" s="709">
        <v>-6.4700195135788688E-2</v>
      </c>
      <c r="E22" s="710">
        <v>-0.30169671250454327</v>
      </c>
      <c r="F22" s="708">
        <v>0.90479056093336252</v>
      </c>
      <c r="G22" s="711">
        <v>0.30055471134194894</v>
      </c>
      <c r="H22" s="710">
        <v>0.314</v>
      </c>
      <c r="I22" s="708">
        <v>0.52</v>
      </c>
      <c r="J22" s="570">
        <v>2.1139999999999999</v>
      </c>
      <c r="K22" s="865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1613</v>
      </c>
      <c r="L22" s="873">
        <f>IF($L21=$JH$22,$JH$30,IF($L21=$JI$22,$JI$30,""))</f>
        <v>80</v>
      </c>
      <c r="M22" s="168">
        <f t="shared" si="1"/>
        <v>2.1139999999999999</v>
      </c>
      <c r="N22" s="632">
        <f t="shared" si="2"/>
        <v>2.8229338028784996</v>
      </c>
      <c r="O22" s="629">
        <f t="shared" si="3"/>
        <v>1.2858875484152739</v>
      </c>
      <c r="P22" s="633">
        <f t="shared" si="4"/>
        <v>-6.4700195135788688E-2</v>
      </c>
      <c r="Q22" s="585">
        <f t="shared" si="113"/>
        <v>24.489957480910817</v>
      </c>
      <c r="R22" s="629">
        <f t="shared" si="79"/>
        <v>3.1020093556602162</v>
      </c>
      <c r="S22" s="634">
        <f t="shared" si="80"/>
        <v>-6.4700195135788688E-2</v>
      </c>
      <c r="T22" s="635">
        <f t="shared" si="81"/>
        <v>1.2858875484152734</v>
      </c>
      <c r="U22" s="629">
        <f t="shared" si="82"/>
        <v>-2.8229338028784996</v>
      </c>
      <c r="V22" s="636">
        <f t="shared" si="114"/>
        <v>-6.4700195135788688E-2</v>
      </c>
      <c r="W22" s="585">
        <f t="shared" si="224"/>
        <v>294.48995748091079</v>
      </c>
      <c r="X22" s="629">
        <f t="shared" si="83"/>
        <v>3.1020093556602162</v>
      </c>
      <c r="Y22" s="630">
        <f t="shared" si="223"/>
        <v>-6.4700195135788688E-2</v>
      </c>
      <c r="Z22" s="632">
        <f t="shared" si="6"/>
        <v>0.30169671250454327</v>
      </c>
      <c r="AA22" s="629">
        <f t="shared" si="7"/>
        <v>-0.90479056093336252</v>
      </c>
      <c r="AB22" s="629">
        <f t="shared" si="8"/>
        <v>-0.30055471134194894</v>
      </c>
      <c r="AC22" s="636">
        <f t="shared" si="84"/>
        <v>1</v>
      </c>
      <c r="AD22" s="637">
        <f t="shared" si="115"/>
        <v>0.30169671250454327</v>
      </c>
      <c r="AE22" s="629">
        <f t="shared" si="85"/>
        <v>-0.90479056093336252</v>
      </c>
      <c r="AF22" s="633">
        <f t="shared" si="86"/>
        <v>-0.30055471134194894</v>
      </c>
      <c r="AG22" s="602">
        <f t="shared" si="87"/>
        <v>-71.624465895426127</v>
      </c>
      <c r="AH22" s="603">
        <f t="shared" si="88"/>
        <v>72.44045985483065</v>
      </c>
      <c r="AI22" s="585">
        <f t="shared" si="89"/>
        <v>-72.509076590151267</v>
      </c>
      <c r="AJ22" s="586">
        <f t="shared" si="90"/>
        <v>18.440639832336966</v>
      </c>
      <c r="AK22" s="635">
        <f t="shared" si="211"/>
        <v>0.94845358851776196</v>
      </c>
      <c r="AL22" s="629">
        <f t="shared" si="91"/>
        <v>-0.10051196902825915</v>
      </c>
      <c r="AM22" s="634">
        <f t="shared" si="92"/>
        <v>-0.30055471134194894</v>
      </c>
      <c r="AN22" s="581">
        <f t="shared" si="93"/>
        <v>-18.491045108600652</v>
      </c>
      <c r="AO22" s="582">
        <f t="shared" si="94"/>
        <v>18.476523534948878</v>
      </c>
      <c r="AP22" s="585">
        <f t="shared" si="95"/>
        <v>-6.0493176485738411</v>
      </c>
      <c r="AQ22" s="586">
        <f t="shared" si="9"/>
        <v>0.73487902784670878</v>
      </c>
      <c r="AS22" s="52">
        <f t="shared" si="116"/>
        <v>-65.510042519089211</v>
      </c>
      <c r="AT22" s="72">
        <f t="shared" si="10"/>
        <v>-1.9207110053087846E-2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2.1139999999999999</v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IFERROR(ROUND(VALUE(IF($IH22&lt;1,$IH22+LARGE((IF($M$9:$M$150="",0,$M$9:$M$150)-MOD(IF($M$9:$M$150="",0,$M$9:$M$150),1)),1),$IH22)),4),"")</f>
        <v/>
      </c>
      <c r="IJ22" s="533">
        <f t="shared" si="112"/>
        <v>1613</v>
      </c>
      <c r="IK22" s="533" t="str">
        <f t="shared" si="66"/>
        <v/>
      </c>
      <c r="IL22" s="727" t="str">
        <f t="shared" si="225"/>
        <v/>
      </c>
      <c r="IM22" s="759"/>
      <c r="IN22" s="5" t="str">
        <f t="shared" si="226"/>
        <v/>
      </c>
      <c r="IO22" s="771"/>
      <c r="IP22" s="9" t="str">
        <f t="shared" si="227"/>
        <v/>
      </c>
      <c r="IQ22" s="5" t="str">
        <f t="shared" si="228"/>
        <v/>
      </c>
      <c r="IR22" s="5" t="str">
        <f t="shared" si="71"/>
        <v/>
      </c>
      <c r="IS22" s="5" t="str">
        <f t="shared" si="229"/>
        <v/>
      </c>
      <c r="IT22" s="727" t="str">
        <f t="shared" si="230"/>
        <v/>
      </c>
      <c r="IU22" s="9" t="str">
        <f t="shared" si="231"/>
        <v/>
      </c>
      <c r="IV22" s="5" t="str">
        <f t="shared" si="232"/>
        <v/>
      </c>
      <c r="IW22" s="5" t="str">
        <f t="shared" si="76"/>
        <v/>
      </c>
      <c r="IX22" s="5" t="str">
        <f t="shared" si="233"/>
        <v/>
      </c>
      <c r="IY22" s="762" t="str">
        <f t="shared" si="234"/>
        <v/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3.5160360598014018</v>
      </c>
      <c r="C23" s="708">
        <v>1.5544201688575137</v>
      </c>
      <c r="D23" s="709">
        <v>-0.32950099377499747</v>
      </c>
      <c r="E23" s="710">
        <v>-0.14628283941228409</v>
      </c>
      <c r="F23" s="708">
        <v>0.9482684416586955</v>
      </c>
      <c r="G23" s="711">
        <v>0.28175928280656382</v>
      </c>
      <c r="H23" s="710">
        <v>0.314</v>
      </c>
      <c r="I23" s="708">
        <v>0.52</v>
      </c>
      <c r="J23" s="570">
        <v>2.117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1613</v>
      </c>
      <c r="M23" s="168">
        <f t="shared" si="1"/>
        <v>2.117</v>
      </c>
      <c r="N23" s="632">
        <f t="shared" si="2"/>
        <v>3.5160360598014018</v>
      </c>
      <c r="O23" s="629">
        <f t="shared" si="3"/>
        <v>1.5544201688575137</v>
      </c>
      <c r="P23" s="633">
        <f t="shared" si="4"/>
        <v>-0.32950099377499747</v>
      </c>
      <c r="Q23" s="585">
        <f t="shared" si="113"/>
        <v>23.849957573315372</v>
      </c>
      <c r="R23" s="629">
        <f t="shared" si="79"/>
        <v>3.8443115944437682</v>
      </c>
      <c r="S23" s="634">
        <f t="shared" si="80"/>
        <v>-0.32950099377499747</v>
      </c>
      <c r="T23" s="635">
        <f t="shared" si="81"/>
        <v>1.554420168857511</v>
      </c>
      <c r="U23" s="629">
        <f t="shared" si="82"/>
        <v>-3.5160360598014031</v>
      </c>
      <c r="V23" s="636">
        <f t="shared" si="114"/>
        <v>-0.32950099377499747</v>
      </c>
      <c r="W23" s="585">
        <f t="shared" si="224"/>
        <v>293.84995757331535</v>
      </c>
      <c r="X23" s="629">
        <f t="shared" si="83"/>
        <v>3.8443115944437682</v>
      </c>
      <c r="Y23" s="630">
        <f t="shared" si="223"/>
        <v>-0.32950099377499747</v>
      </c>
      <c r="Z23" s="632">
        <f t="shared" si="6"/>
        <v>0.14628283941228409</v>
      </c>
      <c r="AA23" s="629">
        <f t="shared" si="7"/>
        <v>-0.9482684416586955</v>
      </c>
      <c r="AB23" s="629">
        <f t="shared" si="8"/>
        <v>-0.28175928280656382</v>
      </c>
      <c r="AC23" s="636">
        <f t="shared" si="84"/>
        <v>1</v>
      </c>
      <c r="AD23" s="637">
        <f t="shared" si="115"/>
        <v>0.14628283941228409</v>
      </c>
      <c r="AE23" s="629">
        <f t="shared" si="85"/>
        <v>-0.9482684416586955</v>
      </c>
      <c r="AF23" s="633">
        <f t="shared" si="86"/>
        <v>-0.28175928280656382</v>
      </c>
      <c r="AG23" s="602">
        <f t="shared" si="87"/>
        <v>-73.451720455351733</v>
      </c>
      <c r="AH23" s="603">
        <f t="shared" si="88"/>
        <v>81.588427363400612</v>
      </c>
      <c r="AI23" s="585">
        <f t="shared" si="89"/>
        <v>-73.634767698394356</v>
      </c>
      <c r="AJ23" s="586">
        <f t="shared" si="90"/>
        <v>8.769498289585508</v>
      </c>
      <c r="AK23" s="635">
        <f t="shared" si="211"/>
        <v>0.926441820254992</v>
      </c>
      <c r="AL23" s="629">
        <f t="shared" si="91"/>
        <v>-0.24963425292805483</v>
      </c>
      <c r="AM23" s="634">
        <f t="shared" si="92"/>
        <v>-0.28175928280656382</v>
      </c>
      <c r="AN23" s="581">
        <f t="shared" si="93"/>
        <v>-41.54043363397102</v>
      </c>
      <c r="AO23" s="582">
        <f t="shared" si="94"/>
        <v>22.113216770145126</v>
      </c>
      <c r="AP23" s="585">
        <f t="shared" si="95"/>
        <v>-15.080459283729818</v>
      </c>
      <c r="AQ23" s="586">
        <f t="shared" si="9"/>
        <v>0.59299179512065947</v>
      </c>
      <c r="AS23" s="52">
        <f t="shared" si="116"/>
        <v>-66.150042426684649</v>
      </c>
      <c r="AT23" s="72">
        <f t="shared" si="10"/>
        <v>-0.28356346431202201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2.117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IFERROR(ROUND(VALUE(IF($IH23&lt;1,$IH23+LARGE((IF($M$9:$M$150="",0,$M$9:$M$150)-MOD(IF($M$9:$M$150="",0,$M$9:$M$150),1)),1),$IH23)),4),"")</f>
        <v/>
      </c>
      <c r="IJ23" s="533">
        <f t="shared" si="112"/>
        <v>1613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cm="1">
        <f t="array" ref="JA23:JA24">IFERROR(_xlfn._xlws.SORT(_xlfn.UNIQUE(_xlfn._xlws.FILTER($IK$9:$IK$150,$IK$9:$IK$150&lt;&gt;"")),,1),"")</f>
        <v>1313</v>
      </c>
      <c r="JB23" s="859" cm="1">
        <f t="array" ref="JB23">IF($JA23="","",COUNT(IF(IF($II$9:$II$150&lt;&gt;"",$IK$9:$IK$150,"")=$JA23,$IG$9:$IG$150,"")))</f>
        <v>12</v>
      </c>
      <c r="JC23" s="199"/>
      <c r="JD23" s="199"/>
      <c r="JE23" s="871"/>
      <c r="JF23" s="796" cm="1">
        <f t="array" ref="JF23:JG24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2</v>
      </c>
      <c r="JG23" s="801">
        <v>10</v>
      </c>
      <c r="JH23" s="800" cm="1">
        <f t="array" ref="JH23:JI24">IF(_xlfn.ANCHORARRAY($JF$23)="","",_xlfn.MINIFS($IO$9:$IO$150,$IK$9:$IK$150,_xlfn.ANCHORARRAY($JA$23),$IE$9:$IE$150,_xlfn.ANCHORARRAY($JH$22),$II$9:$II$150,"&lt;&gt;"&amp;"",$IF$9:$IF$150,"&lt;&gt;"&amp;"Gage"))</f>
        <v>70</v>
      </c>
      <c r="JI23" s="801">
        <v>120</v>
      </c>
    </row>
    <row r="24" spans="1:269" ht="15" customHeight="1" x14ac:dyDescent="0.25">
      <c r="A24" s="79"/>
      <c r="B24" s="707">
        <v>4.0389732737637143</v>
      </c>
      <c r="C24" s="708">
        <v>1.739453163068517</v>
      </c>
      <c r="D24" s="709">
        <v>-0.9014027186305994</v>
      </c>
      <c r="E24" s="710">
        <v>-1.8176074493984909E-2</v>
      </c>
      <c r="F24" s="708">
        <v>0.98149258126452488</v>
      </c>
      <c r="G24" s="711">
        <v>0.19063562951003976</v>
      </c>
      <c r="H24" s="710">
        <v>0.314</v>
      </c>
      <c r="I24" s="708">
        <v>0.52</v>
      </c>
      <c r="J24" s="570">
        <v>2.12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1613</v>
      </c>
      <c r="M24" s="168">
        <f t="shared" si="1"/>
        <v>2.12</v>
      </c>
      <c r="N24" s="632">
        <f t="shared" si="2"/>
        <v>4.0389732737637143</v>
      </c>
      <c r="O24" s="629">
        <f t="shared" si="3"/>
        <v>1.739453163068517</v>
      </c>
      <c r="P24" s="633">
        <f t="shared" si="4"/>
        <v>-0.9014027186305994</v>
      </c>
      <c r="Q24" s="585">
        <f t="shared" si="113"/>
        <v>23.299957652725546</v>
      </c>
      <c r="R24" s="629">
        <f t="shared" si="79"/>
        <v>4.3976132632016025</v>
      </c>
      <c r="S24" s="634">
        <f t="shared" si="80"/>
        <v>-0.9014027186305994</v>
      </c>
      <c r="T24" s="635">
        <f t="shared" si="81"/>
        <v>1.7394531630685153</v>
      </c>
      <c r="U24" s="629">
        <f t="shared" si="82"/>
        <v>-4.0389732737637152</v>
      </c>
      <c r="V24" s="636">
        <f t="shared" si="114"/>
        <v>-0.9014027186305994</v>
      </c>
      <c r="W24" s="585">
        <f t="shared" si="224"/>
        <v>293.29995765272554</v>
      </c>
      <c r="X24" s="629">
        <f t="shared" si="83"/>
        <v>4.3976132632016025</v>
      </c>
      <c r="Y24" s="630">
        <f t="shared" si="223"/>
        <v>-0.9014027186305994</v>
      </c>
      <c r="Z24" s="632">
        <f t="shared" si="6"/>
        <v>1.8176074493984909E-2</v>
      </c>
      <c r="AA24" s="629">
        <f t="shared" si="7"/>
        <v>-0.98149258126452488</v>
      </c>
      <c r="AB24" s="629">
        <f t="shared" si="8"/>
        <v>-0.19063562951003976</v>
      </c>
      <c r="AC24" s="636">
        <f t="shared" si="84"/>
        <v>1</v>
      </c>
      <c r="AD24" s="637">
        <f t="shared" si="115"/>
        <v>1.8176074493984909E-2</v>
      </c>
      <c r="AE24" s="629">
        <f t="shared" si="85"/>
        <v>-0.98149258126452488</v>
      </c>
      <c r="AF24" s="633">
        <f t="shared" si="86"/>
        <v>-0.19063562951003976</v>
      </c>
      <c r="AG24" s="602">
        <f t="shared" si="87"/>
        <v>-79.008280455674893</v>
      </c>
      <c r="AH24" s="603">
        <f t="shared" si="88"/>
        <v>88.958530293007612</v>
      </c>
      <c r="AI24" s="585">
        <f t="shared" si="89"/>
        <v>-79.010118874239524</v>
      </c>
      <c r="AJ24" s="586">
        <f t="shared" si="90"/>
        <v>1.060928377327496</v>
      </c>
      <c r="AK24" s="635">
        <f>IF(M24="","",(COS(RADIANS((90-$Q$8)-W24))*AD24)+(-SIN(RADIANS((90-$Q$8)-W24))*AE24))</f>
        <v>0.90863804869608078</v>
      </c>
      <c r="AL24" s="629">
        <f t="shared" si="91"/>
        <v>-0.37153055489836839</v>
      </c>
      <c r="AM24" s="634">
        <f t="shared" si="92"/>
        <v>-0.19063562951003976</v>
      </c>
      <c r="AN24" s="581">
        <f t="shared" si="93"/>
        <v>-62.837237632034622</v>
      </c>
      <c r="AO24" s="582">
        <f t="shared" si="94"/>
        <v>24.682186713902937</v>
      </c>
      <c r="AP24" s="585">
        <f t="shared" si="95"/>
        <v>-22.239029275398021</v>
      </c>
      <c r="AQ24" s="586">
        <f t="shared" si="9"/>
        <v>0.51838674534434637</v>
      </c>
      <c r="AS24" s="52">
        <f t="shared" si="116"/>
        <v>-66.700042347274461</v>
      </c>
      <c r="AT24" s="72">
        <f t="shared" si="10"/>
        <v>-0.85508324477832542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2.12</v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IFERROR(ROUND(VALUE(IF($IH24&lt;1,$IH24+LARGE((IF($M$9:$M$150="",0,$M$9:$M$150)-MOD(IF($M$9:$M$150="",0,$M$9:$M$150),1)),1),$IH24)),4),"")</f>
        <v/>
      </c>
      <c r="IJ24" s="533">
        <f t="shared" si="112"/>
        <v>1613</v>
      </c>
      <c r="IK24" s="533" t="str">
        <f t="shared" si="66"/>
        <v/>
      </c>
      <c r="IL24" s="727" t="str">
        <f t="shared" si="225"/>
        <v/>
      </c>
      <c r="IM24" s="759"/>
      <c r="IN24" s="5" t="str">
        <f t="shared" si="226"/>
        <v/>
      </c>
      <c r="IO24" s="771"/>
      <c r="IP24" s="9" t="str">
        <f t="shared" si="227"/>
        <v/>
      </c>
      <c r="IQ24" s="5" t="str">
        <f t="shared" si="228"/>
        <v/>
      </c>
      <c r="IR24" s="5" t="str">
        <f t="shared" si="71"/>
        <v/>
      </c>
      <c r="IS24" s="5" t="str">
        <f t="shared" si="229"/>
        <v/>
      </c>
      <c r="IT24" s="727" t="str">
        <f t="shared" si="230"/>
        <v/>
      </c>
      <c r="IU24" s="9" t="str">
        <f t="shared" si="231"/>
        <v/>
      </c>
      <c r="IV24" s="5" t="str">
        <f t="shared" si="232"/>
        <v/>
      </c>
      <c r="IW24" s="5" t="str">
        <f t="shared" si="76"/>
        <v/>
      </c>
      <c r="IX24" s="5" t="str">
        <f t="shared" si="233"/>
        <v/>
      </c>
      <c r="IY24" s="762" t="str">
        <f t="shared" si="234"/>
        <v/>
      </c>
      <c r="JA24" s="798" t="str">
        <v>Inactive</v>
      </c>
      <c r="JB24" s="856" cm="1">
        <f t="array" ref="JB24">IF($JA24="","",COUNT(IF(IF($II$9:$II$150&lt;&gt;"",$IK$9:$IK$150,"")=$JA24,$IG$9:$IG$150,"")))</f>
        <v>10</v>
      </c>
      <c r="JC24" s="5"/>
      <c r="JD24" s="5"/>
      <c r="JE24" s="10"/>
      <c r="JF24" s="247">
        <v>6</v>
      </c>
      <c r="JG24" s="803">
        <v>4</v>
      </c>
      <c r="JH24" s="787">
        <v>70</v>
      </c>
      <c r="JI24" s="803">
        <v>80</v>
      </c>
    </row>
    <row r="25" spans="1:269" ht="15" customHeight="1" x14ac:dyDescent="0.25">
      <c r="A25" s="79"/>
      <c r="B25" s="707">
        <v>4.2726095278931551</v>
      </c>
      <c r="C25" s="708">
        <v>1.8180134114141842</v>
      </c>
      <c r="D25" s="709">
        <v>-1.6373049381116935</v>
      </c>
      <c r="E25" s="710">
        <v>9.1254569119267617E-2</v>
      </c>
      <c r="F25" s="708">
        <v>0.9919878558148485</v>
      </c>
      <c r="G25" s="711">
        <v>8.736531079734168E-2</v>
      </c>
      <c r="H25" s="710">
        <v>0.314</v>
      </c>
      <c r="I25" s="708">
        <v>0.52</v>
      </c>
      <c r="J25" s="570">
        <v>2.1230000000000002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1613</v>
      </c>
      <c r="L25" s="320"/>
      <c r="M25" s="168">
        <f t="shared" si="1"/>
        <v>2.1230000000000002</v>
      </c>
      <c r="N25" s="632">
        <f t="shared" si="2"/>
        <v>4.2726095278931551</v>
      </c>
      <c r="O25" s="629">
        <f t="shared" si="3"/>
        <v>1.8180134114141842</v>
      </c>
      <c r="P25" s="633">
        <f t="shared" si="4"/>
        <v>-1.6373049381116935</v>
      </c>
      <c r="Q25" s="585">
        <f t="shared" si="113"/>
        <v>23.049957688821078</v>
      </c>
      <c r="R25" s="629">
        <f>IF(M25="","",SQRT(N25^2+O25^2))</f>
        <v>4.6433140042350365</v>
      </c>
      <c r="S25" s="634">
        <f>IF(M25="","",P25)</f>
        <v>-1.6373049381116935</v>
      </c>
      <c r="T25" s="635">
        <f>IF(M25="","",X25*COS(RADIANS(W25)))</f>
        <v>1.8180134114141828</v>
      </c>
      <c r="U25" s="629">
        <f>IF(M25="","",X25*SIN(RADIANS(W25)))</f>
        <v>-4.2726095278931551</v>
      </c>
      <c r="V25" s="636">
        <f>IF(M25="","",Y25)</f>
        <v>-1.6373049381116935</v>
      </c>
      <c r="W25" s="585">
        <f t="shared" si="224"/>
        <v>293.04995768882105</v>
      </c>
      <c r="X25" s="629">
        <f>IF(M25="","",R25)</f>
        <v>4.6433140042350365</v>
      </c>
      <c r="Y25" s="630">
        <f t="shared" si="223"/>
        <v>-1.6373049381116935</v>
      </c>
      <c r="Z25" s="632">
        <f t="shared" si="6"/>
        <v>-9.1254569119267617E-2</v>
      </c>
      <c r="AA25" s="629">
        <f t="shared" si="7"/>
        <v>-0.9919878558148485</v>
      </c>
      <c r="AB25" s="629">
        <f t="shared" si="8"/>
        <v>-8.736531079734168E-2</v>
      </c>
      <c r="AC25" s="636">
        <f>IF(M25="","",SQRT(Z25^2+AA25^2+AB25^2))</f>
        <v>1</v>
      </c>
      <c r="AD25" s="637">
        <f>IF(M25="","",Z25*(1/SQRT(Z25^2+AA25^2+AB25^2)))</f>
        <v>-9.1254569119267617E-2</v>
      </c>
      <c r="AE25" s="629">
        <f>IF(M25="","",AA25*(1/SQRT(Z25^2+AA25^2+AB25^2)))</f>
        <v>-0.9919878558148485</v>
      </c>
      <c r="AF25" s="633">
        <f>IF(M25="","",AB25*(1/SQRT(Z25^2+AA25^2+AB25^2)))</f>
        <v>-8.736531079734168E-2</v>
      </c>
      <c r="AG25" s="602">
        <f>IF(M25="","",DEGREES(ATAN2(-AF25,AE25)))</f>
        <v>-84.966892663806377</v>
      </c>
      <c r="AH25" s="603">
        <f>IF(M25="","",DEGREES(ACOS(AD25)))</f>
        <v>95.235785634689222</v>
      </c>
      <c r="AI25" s="585">
        <f>IF(M25="","",DEGREES(-ACOS(-AF25)))</f>
        <v>-84.987946658039618</v>
      </c>
      <c r="AJ25" s="586">
        <f>IF(M25="","",DEGREES(ATAN2(-AE25,AD25)))</f>
        <v>-5.2559387888511715</v>
      </c>
      <c r="AK25" s="635">
        <f>IF(M25="","",(COS(RADIANS((90-$Q$8)-W25))*AD25)+(-SIN(RADIANS((90-$Q$8)-W25))*AE25))</f>
        <v>0.87706210049175704</v>
      </c>
      <c r="AL25" s="629">
        <f>IF(M25="","",(SIN(RADIANS((90-$Q$8)-W25))*AD25)+(COS(RADIANS((90-$Q$8)-W25))*AE25))</f>
        <v>-0.47236572097292462</v>
      </c>
      <c r="AM25" s="634">
        <f>IF(M25="","",AF25)</f>
        <v>-8.736531079734168E-2</v>
      </c>
      <c r="AN25" s="581">
        <f>IF(M25="","",DEGREES(ATAN2(-AM25,AL25)))</f>
        <v>-79.521402834342879</v>
      </c>
      <c r="AO25" s="582">
        <f>IF(ROUND(IF(M25="",0,DEGREES(ACOS(AK25))),4)=90,0,IF(M25="","",DEGREES(ACOS(AK25))))</f>
        <v>28.710028034160917</v>
      </c>
      <c r="AP25" s="585">
        <f>IF(M25="","",DEGREES(ATAN2(AK25,AL25)))</f>
        <v>-28.305896477672235</v>
      </c>
      <c r="AQ25" s="586">
        <f t="shared" si="9"/>
        <v>0.4909577154215099</v>
      </c>
      <c r="AS25" s="52">
        <f t="shared" si="116"/>
        <v>-66.950042311178947</v>
      </c>
      <c r="AT25" s="72">
        <f t="shared" si="10"/>
        <v>-1.5908118531733748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2.1230000000000002</v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IFERROR(ROUND(VALUE(IF($IH25&lt;1,$IH25+LARGE((IF($M$9:$M$150="",0,$M$9:$M$150)-MOD(IF($M$9:$M$150="",0,$M$9:$M$150),1)),1),$IH25)),4),"")</f>
        <v/>
      </c>
      <c r="IJ25" s="533">
        <f t="shared" si="112"/>
        <v>1613</v>
      </c>
      <c r="IK25" s="533" t="str">
        <f t="shared" si="66"/>
        <v/>
      </c>
      <c r="IL25" s="727" t="str">
        <f t="shared" si="225"/>
        <v/>
      </c>
      <c r="IM25" s="759"/>
      <c r="IN25" s="5" t="str">
        <f t="shared" si="226"/>
        <v/>
      </c>
      <c r="IO25" s="771"/>
      <c r="IP25" s="9" t="str">
        <f t="shared" si="227"/>
        <v/>
      </c>
      <c r="IQ25" s="5" t="str">
        <f t="shared" si="228"/>
        <v/>
      </c>
      <c r="IR25" s="5" t="str">
        <f t="shared" si="71"/>
        <v/>
      </c>
      <c r="IS25" s="5" t="str">
        <f t="shared" si="229"/>
        <v/>
      </c>
      <c r="IT25" s="727" t="str">
        <f t="shared" si="230"/>
        <v/>
      </c>
      <c r="IU25" s="9" t="str">
        <f t="shared" si="231"/>
        <v/>
      </c>
      <c r="IV25" s="5" t="str">
        <f t="shared" si="232"/>
        <v/>
      </c>
      <c r="IW25" s="5" t="str">
        <f t="shared" si="76"/>
        <v/>
      </c>
      <c r="IX25" s="5" t="str">
        <f t="shared" si="233"/>
        <v/>
      </c>
      <c r="IY25" s="762" t="str">
        <f t="shared" si="234"/>
        <v/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4.3752162090055107</v>
      </c>
      <c r="C26" s="708">
        <v>1.8508600978530749</v>
      </c>
      <c r="D26" s="709">
        <v>-2.3116068591756145</v>
      </c>
      <c r="E26" s="710">
        <v>0.14991537822174322</v>
      </c>
      <c r="F26" s="708">
        <v>0.98782176577645686</v>
      </c>
      <c r="G26" s="711">
        <v>4.1635783058741022E-2</v>
      </c>
      <c r="H26" s="710">
        <v>0.26600000000000001</v>
      </c>
      <c r="I26" s="708">
        <v>0.52</v>
      </c>
      <c r="J26" s="570">
        <v>2.125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1313</v>
      </c>
      <c r="L26" s="320"/>
      <c r="M26" s="168">
        <f t="shared" si="1"/>
        <v>2.125</v>
      </c>
      <c r="N26" s="632">
        <f t="shared" si="2"/>
        <v>4.3752162090055107</v>
      </c>
      <c r="O26" s="629">
        <f t="shared" si="3"/>
        <v>1.8508600978530749</v>
      </c>
      <c r="P26" s="633">
        <f t="shared" si="4"/>
        <v>-2.3116068591756145</v>
      </c>
      <c r="Q26" s="585">
        <f t="shared" si="113"/>
        <v>22.929957639179488</v>
      </c>
      <c r="R26" s="629">
        <f>IF(M26="","",SQRT(N26^2+O26^2))</f>
        <v>4.7505999597281656</v>
      </c>
      <c r="S26" s="634">
        <f>IF(M26="","",P26)</f>
        <v>-2.3116068591756145</v>
      </c>
      <c r="T26" s="635">
        <f>IF(M26="","",X26*COS(RADIANS(W26)))</f>
        <v>1.8508600978530747</v>
      </c>
      <c r="U26" s="629">
        <f>IF(M26="","",X26*SIN(RADIANS(W26)))</f>
        <v>-4.3752162090055116</v>
      </c>
      <c r="V26" s="636">
        <f>IF(M26="","",Y26)</f>
        <v>-2.3116068591756145</v>
      </c>
      <c r="W26" s="585">
        <f t="shared" si="224"/>
        <v>292.92995763917946</v>
      </c>
      <c r="X26" s="629">
        <f>IF(M26="","",R26)</f>
        <v>4.7505999597281656</v>
      </c>
      <c r="Y26" s="630">
        <f t="shared" si="223"/>
        <v>-2.3116068591756145</v>
      </c>
      <c r="Z26" s="632">
        <f t="shared" si="6"/>
        <v>-0.14991537822174322</v>
      </c>
      <c r="AA26" s="629">
        <f t="shared" si="7"/>
        <v>-0.98782176577645686</v>
      </c>
      <c r="AB26" s="629">
        <f t="shared" si="8"/>
        <v>-4.1635783058741022E-2</v>
      </c>
      <c r="AC26" s="636">
        <f>IF(M26="","",SQRT(Z26^2+AA26^2+AB26^2))</f>
        <v>1</v>
      </c>
      <c r="AD26" s="637">
        <f>IF(M26="","",Z26*(1/SQRT(Z26^2+AA26^2+AB26^2)))</f>
        <v>-0.14991537822174322</v>
      </c>
      <c r="AE26" s="629">
        <f>IF(M26="","",AA26*(1/SQRT(Z26^2+AA26^2+AB26^2)))</f>
        <v>-0.98782176577645686</v>
      </c>
      <c r="AF26" s="633">
        <f>IF(M26="","",AB26*(1/SQRT(Z26^2+AA26^2+AB26^2)))</f>
        <v>-4.1635783058741022E-2</v>
      </c>
      <c r="AG26" s="602">
        <f>IF(M26="","",DEGREES(ATAN2(-AF26,AE26)))</f>
        <v>-87.586463924451664</v>
      </c>
      <c r="AH26" s="603">
        <f>IF(M26="","",DEGREES(ACOS(AD26)))</f>
        <v>98.622022636410165</v>
      </c>
      <c r="AI26" s="585">
        <f>IF(M26="","",DEGREES(-ACOS(-AF26)))</f>
        <v>-87.613755574007882</v>
      </c>
      <c r="AJ26" s="586">
        <f>IF(M26="","",DEGREES(ATAN2(-AE26,AD26)))</f>
        <v>-8.6295627468620708</v>
      </c>
      <c r="AK26" s="635">
        <f>IF(M26="","",(COS(RADIANS((90-$Q$8)-W26))*AD26)+(-SIN(RADIANS((90-$Q$8)-W26))*AE26))</f>
        <v>0.85135802717849807</v>
      </c>
      <c r="AL26" s="629">
        <f>IF(M26="","",(SIN(RADIANS((90-$Q$8)-W26))*AD26)+(COS(RADIANS((90-$Q$8)-W26))*AE26))</f>
        <v>-0.52293017806187225</v>
      </c>
      <c r="AM26" s="634">
        <f>IF(M26="","",AF26)</f>
        <v>-4.1635783058741022E-2</v>
      </c>
      <c r="AN26" s="581">
        <f>IF(M26="","",DEGREES(ATAN2(-AM26,AL26)))</f>
        <v>-85.447704373062066</v>
      </c>
      <c r="AO26" s="582">
        <f t="shared" si="94"/>
        <v>31.640315460654698</v>
      </c>
      <c r="AP26" s="585">
        <f>IF(M26="","",DEGREES(ATAN2(AK26,AL26)))</f>
        <v>-31.559520386041555</v>
      </c>
      <c r="AQ26" s="586">
        <f t="shared" si="9"/>
        <v>0.47987061559455146</v>
      </c>
      <c r="AS26" s="52">
        <f t="shared" si="116"/>
        <v>-67.070042360820537</v>
      </c>
      <c r="AT26" s="72">
        <f t="shared" si="10"/>
        <v>-2.2650304408694892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2.125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IFERROR(ROUND(VALUE(IF($IH26&lt;1,$IH26+LARGE((IF($M$9:$M$150="",0,$M$9:$M$150)-MOD(IF($M$9:$M$150="",0,$M$9:$M$150),1)),1),$IH26)),4),"")</f>
        <v/>
      </c>
      <c r="IJ26" s="533">
        <f t="shared" si="112"/>
        <v>1313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3.5535059907514608</v>
      </c>
      <c r="C27" s="708">
        <v>0.73395288775143008</v>
      </c>
      <c r="D27" s="709">
        <v>-0.21210063969552892</v>
      </c>
      <c r="E27" s="710">
        <v>2.5277569868563957E-2</v>
      </c>
      <c r="F27" s="708">
        <v>0.94297600905241263</v>
      </c>
      <c r="G27" s="711">
        <v>0.33189951915169164</v>
      </c>
      <c r="H27" s="710">
        <v>0.26600000000000001</v>
      </c>
      <c r="I27" s="708">
        <v>0.52</v>
      </c>
      <c r="J27" s="570">
        <v>2.2130000000000001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1313</v>
      </c>
      <c r="L27" s="320"/>
      <c r="M27" s="168">
        <f t="shared" si="1"/>
        <v>2.2130000000000001</v>
      </c>
      <c r="N27" s="632">
        <f t="shared" si="2"/>
        <v>3.5535059907514608</v>
      </c>
      <c r="O27" s="629">
        <f t="shared" si="3"/>
        <v>0.73395288775143008</v>
      </c>
      <c r="P27" s="633">
        <f t="shared" si="4"/>
        <v>-0.21210063969552892</v>
      </c>
      <c r="Q27" s="585">
        <f t="shared" si="113"/>
        <v>11.669959331889554</v>
      </c>
      <c r="R27" s="629">
        <f t="shared" si="79"/>
        <v>3.6285109435890068</v>
      </c>
      <c r="S27" s="634">
        <f t="shared" si="80"/>
        <v>-0.21210063969552892</v>
      </c>
      <c r="T27" s="635">
        <f t="shared" si="81"/>
        <v>0.73395288775142986</v>
      </c>
      <c r="U27" s="629">
        <f t="shared" si="82"/>
        <v>-3.5535059907514608</v>
      </c>
      <c r="V27" s="636">
        <f t="shared" si="114"/>
        <v>-0.21210063969552892</v>
      </c>
      <c r="W27" s="585">
        <f t="shared" si="224"/>
        <v>281.66995933188957</v>
      </c>
      <c r="X27" s="629">
        <f t="shared" si="83"/>
        <v>3.6285109435890068</v>
      </c>
      <c r="Y27" s="630">
        <f t="shared" si="223"/>
        <v>-0.21210063969552892</v>
      </c>
      <c r="Z27" s="632">
        <f t="shared" si="6"/>
        <v>-2.5277569868563957E-2</v>
      </c>
      <c r="AA27" s="629">
        <f t="shared" si="7"/>
        <v>-0.94297600905241263</v>
      </c>
      <c r="AB27" s="629">
        <f t="shared" si="8"/>
        <v>-0.33189951915169164</v>
      </c>
      <c r="AC27" s="636">
        <f t="shared" si="84"/>
        <v>1</v>
      </c>
      <c r="AD27" s="637">
        <f t="shared" si="115"/>
        <v>-2.5277569868563957E-2</v>
      </c>
      <c r="AE27" s="629">
        <f t="shared" si="85"/>
        <v>-0.94297600905241263</v>
      </c>
      <c r="AF27" s="633">
        <f t="shared" si="86"/>
        <v>-0.33189951915169164</v>
      </c>
      <c r="AG27" s="602">
        <f t="shared" si="87"/>
        <v>-70.609447189758981</v>
      </c>
      <c r="AH27" s="603">
        <f t="shared" si="88"/>
        <v>91.448452347191434</v>
      </c>
      <c r="AI27" s="585">
        <f t="shared" si="89"/>
        <v>-70.615890811692594</v>
      </c>
      <c r="AJ27" s="586">
        <f t="shared" si="90"/>
        <v>-1.5355123608722001</v>
      </c>
      <c r="AK27" s="635">
        <f t="shared" si="211"/>
        <v>0.91837075971617221</v>
      </c>
      <c r="AL27" s="629">
        <f t="shared" si="91"/>
        <v>-0.21549444745797194</v>
      </c>
      <c r="AM27" s="634">
        <f t="shared" si="92"/>
        <v>-0.33189951915169164</v>
      </c>
      <c r="AN27" s="581">
        <f t="shared" si="93"/>
        <v>-32.994703181355753</v>
      </c>
      <c r="AO27" s="582">
        <f t="shared" si="94"/>
        <v>23.310951556202586</v>
      </c>
      <c r="AP27" s="585">
        <f t="shared" si="95"/>
        <v>-13.205471692761749</v>
      </c>
      <c r="AQ27" s="586">
        <f t="shared" si="9"/>
        <v>0.62825641137749055</v>
      </c>
      <c r="AS27" s="52">
        <f t="shared" si="116"/>
        <v>-78.330040668110428</v>
      </c>
      <c r="AT27" s="72">
        <f t="shared" si="10"/>
        <v>-0.15770477812045222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>Nose</v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2.2130000000000001</v>
      </c>
      <c r="IH27" s="731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>1.113</v>
      </c>
      <c r="II27" s="734" cm="1">
        <f t="array" ref="II27">IFERROR(ROUND(VALUE(IF($IH27&lt;1,$IH27+LARGE((IF($M$9:$M$150="",0,$M$9:$M$150)-MOD(IF($M$9:$M$150="",0,$M$9:$M$150),1)),1),$IH27)),4),"")</f>
        <v>1.113</v>
      </c>
      <c r="IJ27" s="533">
        <f t="shared" si="112"/>
        <v>1613</v>
      </c>
      <c r="IK27" s="533">
        <f t="shared" si="66"/>
        <v>1313</v>
      </c>
      <c r="IL27" s="727">
        <f t="shared" si="225"/>
        <v>77.990040717200372</v>
      </c>
      <c r="IM27" s="759">
        <v>0.34367562601235702</v>
      </c>
      <c r="IN27" s="5">
        <f t="shared" si="226"/>
        <v>0.14000000000000001</v>
      </c>
      <c r="IO27" s="771">
        <v>70</v>
      </c>
      <c r="IP27" s="9">
        <f t="shared" si="227"/>
        <v>-2.8650086408660616</v>
      </c>
      <c r="IQ27" s="5">
        <f t="shared" si="228"/>
        <v>-5.2500158340477561E-2</v>
      </c>
      <c r="IR27" s="5">
        <f t="shared" si="71"/>
        <v>0.314</v>
      </c>
      <c r="IS27" s="5">
        <f t="shared" si="229"/>
        <v>0.29896451983215017</v>
      </c>
      <c r="IT27" s="727">
        <f t="shared" si="230"/>
        <v>10.918933561206103</v>
      </c>
      <c r="IU27" s="9">
        <f t="shared" si="231"/>
        <v>-3.6285109435890068</v>
      </c>
      <c r="IV27" s="5">
        <f t="shared" si="232"/>
        <v>-0.21210063969552892</v>
      </c>
      <c r="IW27" s="5">
        <f t="shared" si="76"/>
        <v>0.26600000000000001</v>
      </c>
      <c r="IX27" s="5">
        <f t="shared" si="233"/>
        <v>0.24428662208450183</v>
      </c>
      <c r="IY27" s="762">
        <f t="shared" si="234"/>
        <v>32.994703181355753</v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4.144772569561546</v>
      </c>
      <c r="C28" s="708">
        <v>0.91659426616775352</v>
      </c>
      <c r="D28" s="709">
        <v>-0.68490206566463008</v>
      </c>
      <c r="E28" s="710">
        <v>0.15745827832334655</v>
      </c>
      <c r="F28" s="708">
        <v>0.95251663988531732</v>
      </c>
      <c r="G28" s="711">
        <v>0.2606126269562401</v>
      </c>
      <c r="H28" s="710">
        <v>0.26600000000000001</v>
      </c>
      <c r="I28" s="708">
        <v>0.52</v>
      </c>
      <c r="J28" s="570">
        <v>2.2160000000000002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1313</v>
      </c>
      <c r="L28" s="320"/>
      <c r="M28" s="168">
        <f t="shared" si="1"/>
        <v>2.2160000000000002</v>
      </c>
      <c r="N28" s="632">
        <f t="shared" si="2"/>
        <v>4.144772569561546</v>
      </c>
      <c r="O28" s="629">
        <f t="shared" si="3"/>
        <v>0.91659426616775352</v>
      </c>
      <c r="P28" s="633">
        <f t="shared" si="4"/>
        <v>-0.68490206566463008</v>
      </c>
      <c r="Q28" s="585">
        <f t="shared" si="113"/>
        <v>12.469959216383856</v>
      </c>
      <c r="R28" s="629">
        <f t="shared" si="79"/>
        <v>4.244912802657014</v>
      </c>
      <c r="S28" s="634">
        <f t="shared" si="80"/>
        <v>-0.68490206566463008</v>
      </c>
      <c r="T28" s="635">
        <f t="shared" si="81"/>
        <v>0.9165942661677543</v>
      </c>
      <c r="U28" s="629">
        <f t="shared" si="82"/>
        <v>-4.144772569561546</v>
      </c>
      <c r="V28" s="636">
        <f t="shared" si="114"/>
        <v>-0.68490206566463008</v>
      </c>
      <c r="W28" s="585">
        <f t="shared" si="224"/>
        <v>282.46995921638387</v>
      </c>
      <c r="X28" s="629">
        <f t="shared" si="83"/>
        <v>4.244912802657014</v>
      </c>
      <c r="Y28" s="630">
        <f t="shared" si="223"/>
        <v>-0.68490206566463008</v>
      </c>
      <c r="Z28" s="632">
        <f t="shared" si="6"/>
        <v>-0.15745827832334655</v>
      </c>
      <c r="AA28" s="629">
        <f t="shared" si="7"/>
        <v>-0.95251663988531732</v>
      </c>
      <c r="AB28" s="629">
        <f t="shared" si="8"/>
        <v>-0.2606126269562401</v>
      </c>
      <c r="AC28" s="636">
        <f t="shared" si="84"/>
        <v>1</v>
      </c>
      <c r="AD28" s="637">
        <f t="shared" si="115"/>
        <v>-0.15745827832334655</v>
      </c>
      <c r="AE28" s="629">
        <f t="shared" si="85"/>
        <v>-0.95251663988531732</v>
      </c>
      <c r="AF28" s="633">
        <f t="shared" si="86"/>
        <v>-0.2606126269562401</v>
      </c>
      <c r="AG28" s="602">
        <f t="shared" si="87"/>
        <v>-74.698121805206441</v>
      </c>
      <c r="AH28" s="603">
        <f t="shared" si="88"/>
        <v>99.059396273457892</v>
      </c>
      <c r="AI28" s="585">
        <f t="shared" si="89"/>
        <v>-74.893583643426155</v>
      </c>
      <c r="AJ28" s="586">
        <f t="shared" si="90"/>
        <v>-9.3865435900750587</v>
      </c>
      <c r="AK28" s="635">
        <f t="shared" si="211"/>
        <v>0.89604655332259409</v>
      </c>
      <c r="AL28" s="629">
        <f t="shared" si="91"/>
        <v>-0.35941846495369045</v>
      </c>
      <c r="AM28" s="634">
        <f t="shared" si="92"/>
        <v>-0.2606126269562401</v>
      </c>
      <c r="AN28" s="581">
        <f t="shared" si="93"/>
        <v>-54.05431056940288</v>
      </c>
      <c r="AO28" s="582">
        <f t="shared" si="94"/>
        <v>26.356825722297561</v>
      </c>
      <c r="AP28" s="585">
        <f t="shared" si="95"/>
        <v>-21.856502806458927</v>
      </c>
      <c r="AQ28" s="586">
        <f t="shared" si="9"/>
        <v>0.53703338022689118</v>
      </c>
      <c r="AS28" s="52">
        <f t="shared" si="116"/>
        <v>-77.53004078361613</v>
      </c>
      <c r="AT28" s="72">
        <f t="shared" si="10"/>
        <v>-0.63106175956489663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>Taper</v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2.2160000000000002</v>
      </c>
      <c r="IH28" s="731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>1.1160000000000001</v>
      </c>
      <c r="II28" s="734" cm="1">
        <f t="array" ref="II28">IFERROR(ROUND(VALUE(IF($IH28&lt;1,$IH28+LARGE((IF($M$9:$M$150="",0,$M$9:$M$150)-MOD(IF($M$9:$M$150="",0,$M$9:$M$150),1)),1),$IH28)),4),"")</f>
        <v>1.1160000000000001</v>
      </c>
      <c r="IJ28" s="533">
        <f t="shared" si="112"/>
        <v>1613</v>
      </c>
      <c r="IK28" s="533">
        <f t="shared" si="66"/>
        <v>1313</v>
      </c>
      <c r="IL28" s="727">
        <f t="shared" si="225"/>
        <v>76.58004092077914</v>
      </c>
      <c r="IM28" s="759">
        <v>0.32732269788352603</v>
      </c>
      <c r="IN28" s="5">
        <f t="shared" si="226"/>
        <v>0.92</v>
      </c>
      <c r="IO28" s="771">
        <v>460</v>
      </c>
      <c r="IP28" s="9">
        <f t="shared" si="227"/>
        <v>-3.6285109435890068</v>
      </c>
      <c r="IQ28" s="5">
        <f t="shared" si="228"/>
        <v>-0.21210063969552917</v>
      </c>
      <c r="IR28" s="5">
        <f t="shared" si="71"/>
        <v>0.314</v>
      </c>
      <c r="IS28" s="5">
        <f t="shared" si="229"/>
        <v>0.29330412034359893</v>
      </c>
      <c r="IT28" s="727">
        <f t="shared" si="230"/>
        <v>34.782346726074145</v>
      </c>
      <c r="IU28" s="9">
        <f t="shared" si="231"/>
        <v>-4.244912802657014</v>
      </c>
      <c r="IV28" s="5">
        <f t="shared" si="232"/>
        <v>-0.68490206566463008</v>
      </c>
      <c r="IW28" s="5">
        <f t="shared" si="76"/>
        <v>0.26600000000000001</v>
      </c>
      <c r="IX28" s="5">
        <f t="shared" si="233"/>
        <v>0.23834838318381005</v>
      </c>
      <c r="IY28" s="762">
        <f t="shared" si="234"/>
        <v>54.05431056940288</v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4.5285399714513366</v>
      </c>
      <c r="C29" s="708">
        <v>0.79850378018361279</v>
      </c>
      <c r="D29" s="709">
        <v>-1.3813000000000006</v>
      </c>
      <c r="E29" s="710">
        <v>0.77709612452374655</v>
      </c>
      <c r="F29" s="708">
        <v>0.13702301335752134</v>
      </c>
      <c r="G29" s="711">
        <v>0.61428520009894305</v>
      </c>
      <c r="H29" s="710">
        <v>0.26250000000000001</v>
      </c>
      <c r="I29" s="708">
        <v>0.40699999999999997</v>
      </c>
      <c r="J29" s="570">
        <v>2.3220000000000001</v>
      </c>
      <c r="K29" s="865" t="str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Inactive</v>
      </c>
      <c r="L29" s="320"/>
      <c r="M29" s="168">
        <f t="shared" si="1"/>
        <v>2.3220000000000001</v>
      </c>
      <c r="N29" s="632">
        <f t="shared" si="2"/>
        <v>4.5285399714513366</v>
      </c>
      <c r="O29" s="629">
        <f t="shared" si="3"/>
        <v>0.79850378018361279</v>
      </c>
      <c r="P29" s="633">
        <f t="shared" si="4"/>
        <v>-1.3813000000000006</v>
      </c>
      <c r="Q29" s="585">
        <f t="shared" si="113"/>
        <v>10.000000000000005</v>
      </c>
      <c r="R29" s="629">
        <f>IF(M29="","",SQRT(N29^2+O29^2))</f>
        <v>4.5983999999999989</v>
      </c>
      <c r="S29" s="634">
        <f>IF(M29="","",P29)</f>
        <v>-1.3813000000000006</v>
      </c>
      <c r="T29" s="635">
        <f>IF(M29="","",X29*COS(RADIANS(W29)))</f>
        <v>0.79850378018361057</v>
      </c>
      <c r="U29" s="629">
        <f>IF(M29="","",X29*SIN(RADIANS(W29)))</f>
        <v>-4.5285399714513366</v>
      </c>
      <c r="V29" s="636">
        <f>IF(M29="","",Y29)</f>
        <v>-1.3813000000000006</v>
      </c>
      <c r="W29" s="585">
        <f t="shared" si="224"/>
        <v>280</v>
      </c>
      <c r="X29" s="629">
        <f>IF(M29="","",R29)</f>
        <v>4.5983999999999989</v>
      </c>
      <c r="Y29" s="630">
        <f t="shared" si="223"/>
        <v>-1.3813000000000006</v>
      </c>
      <c r="Z29" s="632">
        <f t="shared" si="6"/>
        <v>-0.77709612452374655</v>
      </c>
      <c r="AA29" s="629">
        <f t="shared" si="7"/>
        <v>-0.13702301335752134</v>
      </c>
      <c r="AB29" s="629">
        <f t="shared" si="8"/>
        <v>-0.61428520009894305</v>
      </c>
      <c r="AC29" s="636">
        <f>IF(M29="","",SQRT(Z29^2+AA29^2+AB29^2))</f>
        <v>1</v>
      </c>
      <c r="AD29" s="637">
        <f>IF(M29="","",Z29*(1/SQRT(Z29^2+AA29^2+AB29^2)))</f>
        <v>-0.77709612452374655</v>
      </c>
      <c r="AE29" s="629">
        <f>IF(M29="","",AA29*(1/SQRT(Z29^2+AA29^2+AB29^2)))</f>
        <v>-0.13702301335752134</v>
      </c>
      <c r="AF29" s="633">
        <f>IF(M29="","",AB29*(1/SQRT(Z29^2+AA29^2+AB29^2)))</f>
        <v>-0.61428520009894305</v>
      </c>
      <c r="AG29" s="602">
        <f>IF(M29="","",DEGREES(ATAN2(-AF29,AE29)))</f>
        <v>-12.574591296522842</v>
      </c>
      <c r="AH29" s="603">
        <f>IF(M29="","",DEGREES(ACOS(AD29)))</f>
        <v>140.99546287332694</v>
      </c>
      <c r="AI29" s="585">
        <f>IF(M29="","",DEGREES(-ACOS(-AF29)))</f>
        <v>-52.100000000000009</v>
      </c>
      <c r="AJ29" s="586">
        <f>IF(M29="","",DEGREES(ATAN2(-AE29,AD29)))</f>
        <v>-80.000000000000028</v>
      </c>
      <c r="AK29" s="635">
        <f>IF(M29="","",(COS(RADIANS((90-$Q$8)-W29))*AD29)+(-SIN(RADIANS((90-$Q$8)-W29))*AE29))</f>
        <v>1.1102230246251565E-16</v>
      </c>
      <c r="AL29" s="629">
        <f>IF(M29="","",(SIN(RADIANS((90-$Q$8)-W29))*AD29)+(COS(RADIANS((90-$Q$8)-W29))*AE29))</f>
        <v>-0.78908408483469095</v>
      </c>
      <c r="AM29" s="634">
        <f>IF(M29="","",AF29)</f>
        <v>-0.61428520009894305</v>
      </c>
      <c r="AN29" s="581">
        <f>IF(M29="","",DEGREES(ATAN2(-AM29,AL29)))</f>
        <v>-52.100000000000023</v>
      </c>
      <c r="AO29" s="582">
        <f t="shared" si="94"/>
        <v>0</v>
      </c>
      <c r="AP29" s="585">
        <f>IF(M29="","",DEGREES(ATAN2(AK29,AL29)))</f>
        <v>-90</v>
      </c>
      <c r="AQ29" s="586">
        <f t="shared" si="9"/>
        <v>0.49575281408045591</v>
      </c>
      <c r="AS29" s="52">
        <f t="shared" si="116"/>
        <v>-80</v>
      </c>
      <c r="AT29" s="72">
        <f t="shared" si="10"/>
        <v>-1.3257444444444451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>Taper</v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2.3220000000000001</v>
      </c>
      <c r="IH29" s="731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>1.1220000000000001</v>
      </c>
      <c r="II29" s="734" cm="1">
        <f t="array" ref="II29">IFERROR(ROUND(VALUE(IF($IH29&lt;1,$IH29+LARGE((IF($M$9:$M$150="",0,$M$9:$M$150)-MOD(IF($M$9:$M$150="",0,$M$9:$M$150),1)),1),$IH29)),4),"")</f>
        <v>1.1220000000000001</v>
      </c>
      <c r="IJ29" s="533">
        <f t="shared" si="112"/>
        <v>1613</v>
      </c>
      <c r="IK29" s="533" t="str">
        <f t="shared" si="66"/>
        <v>Inactive</v>
      </c>
      <c r="IL29" s="727">
        <f t="shared" si="225"/>
        <v>78.090000275769853</v>
      </c>
      <c r="IM29" s="759">
        <v>1.7571647818126899E-2</v>
      </c>
      <c r="IN29" s="5">
        <f t="shared" si="226"/>
        <v>0.16</v>
      </c>
      <c r="IO29" s="771">
        <v>80</v>
      </c>
      <c r="IP29" s="9">
        <f t="shared" si="227"/>
        <v>-4.5982138682130271</v>
      </c>
      <c r="IQ29" s="5">
        <f t="shared" si="228"/>
        <v>-1.3814041663149654</v>
      </c>
      <c r="IR29" s="5">
        <f t="shared" si="71"/>
        <v>0.314</v>
      </c>
      <c r="IS29" s="5">
        <f t="shared" si="229"/>
        <v>0.28027446783589188</v>
      </c>
      <c r="IT29" s="727">
        <f t="shared" si="230"/>
        <v>74.705547811601619</v>
      </c>
      <c r="IU29" s="9">
        <f t="shared" si="231"/>
        <v>-4.5983999999999989</v>
      </c>
      <c r="IV29" s="5">
        <f t="shared" si="232"/>
        <v>-1.3813000000000006</v>
      </c>
      <c r="IW29" s="5">
        <f t="shared" si="76"/>
        <v>0.26250000000000001</v>
      </c>
      <c r="IX29" s="5">
        <f t="shared" si="233"/>
        <v>0.26250000000000001</v>
      </c>
      <c r="IY29" s="762">
        <f t="shared" si="234"/>
        <v>52.100000000000023</v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12</v>
      </c>
      <c r="JC29" s="468"/>
      <c r="JD29" s="468"/>
      <c r="JE29" s="468"/>
      <c r="JF29" s="468"/>
      <c r="JG29" s="468"/>
      <c r="JH29" s="804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>70</v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120</v>
      </c>
    </row>
    <row r="30" spans="1:269" ht="15" customHeight="1" x14ac:dyDescent="0.25">
      <c r="A30" s="79"/>
      <c r="B30" s="707">
        <v>0.58585906609840444</v>
      </c>
      <c r="C30" s="708">
        <v>-0.41022345144915506</v>
      </c>
      <c r="D30" s="709">
        <v>-0.44820135177527692</v>
      </c>
      <c r="E30" s="710">
        <v>0.55403276739546137</v>
      </c>
      <c r="F30" s="708">
        <v>0.79123979515941922</v>
      </c>
      <c r="G30" s="711">
        <v>0.25881900859134599</v>
      </c>
      <c r="H30" s="710">
        <v>0.26600000000000001</v>
      </c>
      <c r="I30" s="708">
        <v>0.52</v>
      </c>
      <c r="J30" s="570">
        <v>3.1030000000000002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1313</v>
      </c>
      <c r="L30" s="320"/>
      <c r="M30" s="168">
        <f t="shared" si="1"/>
        <v>3.1030000000000002</v>
      </c>
      <c r="N30" s="632">
        <f t="shared" si="2"/>
        <v>0.58585906609840444</v>
      </c>
      <c r="O30" s="629">
        <f t="shared" si="3"/>
        <v>-0.41022345144915506</v>
      </c>
      <c r="P30" s="633">
        <f t="shared" si="4"/>
        <v>-0.44820135177527692</v>
      </c>
      <c r="Q30" s="585">
        <f t="shared" si="113"/>
        <v>324.9999660702029</v>
      </c>
      <c r="R30" s="629">
        <f>IF(M30="","",SQRT(N30^2+O30^2))</f>
        <v>0.71520215704970569</v>
      </c>
      <c r="S30" s="634">
        <f>IF(M30="","",P30)</f>
        <v>-0.44820135177527692</v>
      </c>
      <c r="T30" s="635">
        <f>IF(M30="","",X30*COS(RADIANS(W30)))</f>
        <v>-0.41022345144915523</v>
      </c>
      <c r="U30" s="629">
        <f>IF(M30="","",X30*SIN(RADIANS(W30)))</f>
        <v>-0.58585906609840432</v>
      </c>
      <c r="V30" s="636">
        <f>IF(M30="","",Y30)</f>
        <v>-0.44820135177527692</v>
      </c>
      <c r="W30" s="585">
        <f t="shared" si="224"/>
        <v>234.9999660702029</v>
      </c>
      <c r="X30" s="629">
        <f>IF(M30="","",R30)</f>
        <v>0.71520215704970569</v>
      </c>
      <c r="Y30" s="630">
        <f t="shared" si="223"/>
        <v>-0.44820135177527692</v>
      </c>
      <c r="Z30" s="632">
        <f t="shared" si="6"/>
        <v>-0.55403276739546137</v>
      </c>
      <c r="AA30" s="629">
        <f t="shared" si="7"/>
        <v>-0.79123979515941922</v>
      </c>
      <c r="AB30" s="629">
        <f t="shared" si="8"/>
        <v>-0.25881900859134599</v>
      </c>
      <c r="AC30" s="636">
        <f>IF(M30="","",SQRT(Z30^2+AA30^2+AB30^2))</f>
        <v>1</v>
      </c>
      <c r="AD30" s="637">
        <f>IF(M30="","",Z30*(1/SQRT(Z30^2+AA30^2+AB30^2)))</f>
        <v>-0.55403276739546137</v>
      </c>
      <c r="AE30" s="629">
        <f>IF(M30="","",AA30*(1/SQRT(Z30^2+AA30^2+AB30^2)))</f>
        <v>-0.79123979515941922</v>
      </c>
      <c r="AF30" s="633">
        <f>IF(M30="","",AB30*(1/SQRT(Z30^2+AA30^2+AB30^2)))</f>
        <v>-0.25881900859134599</v>
      </c>
      <c r="AG30" s="602">
        <f>IF(M30="","",DEGREES(ATAN2(-AF30,AE30)))</f>
        <v>-71.886786804836689</v>
      </c>
      <c r="AH30" s="603">
        <f>IF(M30="","",DEGREES(ACOS(AD30)))</f>
        <v>123.64412001543977</v>
      </c>
      <c r="AI30" s="585">
        <f>IF(M30="","",DEGREES(-ACOS(-AF30)))</f>
        <v>-75.000002165731729</v>
      </c>
      <c r="AJ30" s="586">
        <f>IF(M30="","",DEGREES(ATAN2(-AE30,AD30)))</f>
        <v>-35.000033929797112</v>
      </c>
      <c r="AK30" s="635">
        <f>IF(M30="","",(COS(RADIANS((90-$Q$8)-W30))*AD30)+(-SIN(RADIANS((90-$Q$8)-W30))*AE30))</f>
        <v>0.9659258360722075</v>
      </c>
      <c r="AL30" s="629">
        <f>IF(M30="","",(SIN(RADIANS((90-$Q$8)-W30))*AD30)+(COS(RADIANS((90-$Q$8)-W30))*AE30))</f>
        <v>1.6653345369377348E-16</v>
      </c>
      <c r="AM30" s="634">
        <f>IF(M30="","",AF30)</f>
        <v>-0.25881900859134599</v>
      </c>
      <c r="AN30" s="581">
        <f>IF(M30="","",DEGREES(ATAN2(-AM30,AL30)))</f>
        <v>3.686616410565136E-14</v>
      </c>
      <c r="AO30" s="582">
        <f>IF(ROUND(IF(M30="",0,DEGREES(ACOS(AK30))),4)=90,0,IF(M30="","",DEGREES(ACOS(AK30))))</f>
        <v>14.99999783426823</v>
      </c>
      <c r="AP30" s="585">
        <f>IF(M30="","",DEGREES(ATAN2(AK30,AL30)))</f>
        <v>9.8782574065834049E-15</v>
      </c>
      <c r="AQ30" s="586">
        <f t="shared" si="9"/>
        <v>3.1842452356153745</v>
      </c>
      <c r="AS30" s="52">
        <f t="shared" si="116"/>
        <v>-125.0000339297971</v>
      </c>
      <c r="AT30" s="72">
        <f t="shared" si="10"/>
        <v>-0.36139577265736228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3.1030000000000002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IFERROR(ROUND(VALUE(IF($IH30&lt;1,$IH30+LARGE((IF($M$9:$M$150="",0,$M$9:$M$150)-MOD(IF($M$9:$M$150="",0,$M$9:$M$150),1)),1),$IH30)),4),"")</f>
        <v/>
      </c>
      <c r="IJ30" s="533">
        <f t="shared" si="112"/>
        <v>1313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10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70</v>
      </c>
      <c r="JI30" s="804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>80</v>
      </c>
    </row>
    <row r="31" spans="1:269" ht="15" customHeight="1" x14ac:dyDescent="0.25">
      <c r="A31" s="79"/>
      <c r="B31" s="707">
        <v>1.0993049031097015</v>
      </c>
      <c r="C31" s="708">
        <v>-0.769742550118521</v>
      </c>
      <c r="D31" s="709">
        <v>-0.30930093285161347</v>
      </c>
      <c r="E31" s="710">
        <v>0.55403276739546137</v>
      </c>
      <c r="F31" s="708">
        <v>0.79123979515941911</v>
      </c>
      <c r="G31" s="711">
        <v>0.25881900859134593</v>
      </c>
      <c r="H31" s="710">
        <v>0.26600000000000001</v>
      </c>
      <c r="I31" s="708">
        <v>0.52</v>
      </c>
      <c r="J31" s="570">
        <v>3.1059999999999999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1313</v>
      </c>
      <c r="L31" s="320"/>
      <c r="M31" s="168">
        <f t="shared" si="1"/>
        <v>3.1059999999999999</v>
      </c>
      <c r="N31" s="632">
        <f t="shared" si="2"/>
        <v>1.0993049031097015</v>
      </c>
      <c r="O31" s="629">
        <f t="shared" si="3"/>
        <v>-0.769742550118521</v>
      </c>
      <c r="P31" s="633">
        <f t="shared" si="4"/>
        <v>-0.30930093285161347</v>
      </c>
      <c r="Q31" s="585">
        <f t="shared" si="113"/>
        <v>324.9999660702029</v>
      </c>
      <c r="R31" s="629">
        <f>IF(M31="","",SQRT(N31^2+O31^2))</f>
        <v>1.3420040474842072</v>
      </c>
      <c r="S31" s="634">
        <f>IF(M31="","",P31)</f>
        <v>-0.30930093285161347</v>
      </c>
      <c r="T31" s="635">
        <f>IF(M31="","",X31*COS(RADIANS(W31)))</f>
        <v>-0.76974255011852111</v>
      </c>
      <c r="U31" s="629">
        <f>IF(M31="","",X31*SIN(RADIANS(W31)))</f>
        <v>-1.0993049031097015</v>
      </c>
      <c r="V31" s="636">
        <f>IF(M31="","",Y31)</f>
        <v>-0.30930093285161347</v>
      </c>
      <c r="W31" s="585">
        <f t="shared" si="224"/>
        <v>234.9999660702029</v>
      </c>
      <c r="X31" s="629">
        <f>IF(M31="","",R31)</f>
        <v>1.3420040474842072</v>
      </c>
      <c r="Y31" s="630">
        <f t="shared" si="223"/>
        <v>-0.30930093285161347</v>
      </c>
      <c r="Z31" s="632">
        <f t="shared" si="6"/>
        <v>-0.55403276739546137</v>
      </c>
      <c r="AA31" s="629">
        <f t="shared" si="7"/>
        <v>-0.79123979515941911</v>
      </c>
      <c r="AB31" s="629">
        <f t="shared" si="8"/>
        <v>-0.25881900859134593</v>
      </c>
      <c r="AC31" s="636">
        <f>IF(M31="","",SQRT(Z31^2+AA31^2+AB31^2))</f>
        <v>1</v>
      </c>
      <c r="AD31" s="637">
        <f>IF(M31="","",Z31*(1/SQRT(Z31^2+AA31^2+AB31^2)))</f>
        <v>-0.55403276739546137</v>
      </c>
      <c r="AE31" s="629">
        <f>IF(M31="","",AA31*(1/SQRT(Z31^2+AA31^2+AB31^2)))</f>
        <v>-0.79123979515941911</v>
      </c>
      <c r="AF31" s="633">
        <f>IF(M31="","",AB31*(1/SQRT(Z31^2+AA31^2+AB31^2)))</f>
        <v>-0.25881900859134593</v>
      </c>
      <c r="AG31" s="602">
        <f>IF(M31="","",DEGREES(ATAN2(-AF31,AE31)))</f>
        <v>-71.886786804836689</v>
      </c>
      <c r="AH31" s="603">
        <f>IF(M31="","",DEGREES(ACOS(AD31)))</f>
        <v>123.64412001543977</v>
      </c>
      <c r="AI31" s="585">
        <f>IF(M31="","",DEGREES(-ACOS(-AF31)))</f>
        <v>-75.000002165731729</v>
      </c>
      <c r="AJ31" s="586">
        <f>IF(M31="","",DEGREES(ATAN2(-AE31,AD31)))</f>
        <v>-35.000033929797119</v>
      </c>
      <c r="AK31" s="635">
        <f>IF(M31="","",(COS(RADIANS((90-$Q$8)-W31))*AD31)+(-SIN(RADIANS((90-$Q$8)-W31))*AE31))</f>
        <v>0.96592583607220739</v>
      </c>
      <c r="AL31" s="629">
        <f>IF(M31="","",(SIN(RADIANS((90-$Q$8)-W31))*AD31)+(COS(RADIANS((90-$Q$8)-W31))*AE31))</f>
        <v>1.1102230246251565E-16</v>
      </c>
      <c r="AM31" s="634">
        <f>IF(M31="","",AF31)</f>
        <v>-0.25881900859134593</v>
      </c>
      <c r="AN31" s="581">
        <f>IF(M31="","",DEGREES(ATAN2(-AM31,AL31)))</f>
        <v>2.4577442737100912E-14</v>
      </c>
      <c r="AO31" s="582">
        <f t="shared" si="94"/>
        <v>14.999997834268255</v>
      </c>
      <c r="AP31" s="585">
        <f>IF(M31="","",DEGREES(ATAN2(AK31,AL31)))</f>
        <v>6.58550493772227E-15</v>
      </c>
      <c r="AQ31" s="586">
        <f t="shared" si="9"/>
        <v>1.6982504575046542</v>
      </c>
      <c r="AS31" s="52">
        <f t="shared" si="116"/>
        <v>-125.0000339297971</v>
      </c>
      <c r="AT31" s="72">
        <f t="shared" si="10"/>
        <v>-0.22249535373369883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3.1059999999999999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IFERROR(ROUND(VALUE(IF($IH31&lt;1,$IH31+LARGE((IF($M$9:$M$150="",0,$M$9:$M$150)-MOD(IF($M$9:$M$150="",0,$M$9:$M$150),1)),1),$IH31)),4),"")</f>
        <v/>
      </c>
      <c r="IJ31" s="533">
        <f t="shared" si="112"/>
        <v>1313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1.6128326555385184</v>
      </c>
      <c r="C32" s="708">
        <v>-1.1293190066530225</v>
      </c>
      <c r="D32" s="709">
        <v>-0.1703005136263491</v>
      </c>
      <c r="E32" s="710">
        <v>0.55403276739546159</v>
      </c>
      <c r="F32" s="708">
        <v>0.791239795159419</v>
      </c>
      <c r="G32" s="711">
        <v>0.25881900859134599</v>
      </c>
      <c r="H32" s="710">
        <v>0.26600000000000001</v>
      </c>
      <c r="I32" s="708">
        <v>0.52</v>
      </c>
      <c r="J32" s="570">
        <v>3.109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1313</v>
      </c>
      <c r="L32" s="320"/>
      <c r="M32" s="168">
        <f t="shared" si="1"/>
        <v>3.109</v>
      </c>
      <c r="N32" s="632">
        <f t="shared" si="2"/>
        <v>1.6128326555385184</v>
      </c>
      <c r="O32" s="629">
        <f t="shared" si="3"/>
        <v>-1.1293190066530225</v>
      </c>
      <c r="P32" s="633">
        <f t="shared" si="4"/>
        <v>-0.1703005136263491</v>
      </c>
      <c r="Q32" s="585">
        <f t="shared" si="113"/>
        <v>324.9999660702029</v>
      </c>
      <c r="R32" s="629">
        <f t="shared" si="79"/>
        <v>1.96890593822031</v>
      </c>
      <c r="S32" s="634">
        <f t="shared" si="80"/>
        <v>-0.1703005136263491</v>
      </c>
      <c r="T32" s="635">
        <f t="shared" si="81"/>
        <v>-1.1293190066530228</v>
      </c>
      <c r="U32" s="629">
        <f t="shared" si="82"/>
        <v>-1.6128326555385184</v>
      </c>
      <c r="V32" s="636">
        <f t="shared" si="114"/>
        <v>-0.1703005136263491</v>
      </c>
      <c r="W32" s="585">
        <f t="shared" si="224"/>
        <v>234.9999660702029</v>
      </c>
      <c r="X32" s="629">
        <f t="shared" si="83"/>
        <v>1.96890593822031</v>
      </c>
      <c r="Y32" s="630">
        <f t="shared" si="223"/>
        <v>-0.1703005136263491</v>
      </c>
      <c r="Z32" s="632">
        <f t="shared" si="6"/>
        <v>-0.55403276739546159</v>
      </c>
      <c r="AA32" s="629">
        <f t="shared" si="7"/>
        <v>-0.791239795159419</v>
      </c>
      <c r="AB32" s="629">
        <f t="shared" si="8"/>
        <v>-0.25881900859134599</v>
      </c>
      <c r="AC32" s="636">
        <f t="shared" si="84"/>
        <v>1</v>
      </c>
      <c r="AD32" s="637">
        <f t="shared" si="115"/>
        <v>-0.55403276739546159</v>
      </c>
      <c r="AE32" s="629">
        <f t="shared" si="85"/>
        <v>-0.791239795159419</v>
      </c>
      <c r="AF32" s="633">
        <f t="shared" si="86"/>
        <v>-0.25881900859134599</v>
      </c>
      <c r="AG32" s="602">
        <f t="shared" si="87"/>
        <v>-71.886786804836674</v>
      </c>
      <c r="AH32" s="603">
        <f t="shared" si="88"/>
        <v>123.64412001543978</v>
      </c>
      <c r="AI32" s="585">
        <f t="shared" si="89"/>
        <v>-75.000002165731729</v>
      </c>
      <c r="AJ32" s="586">
        <f t="shared" si="90"/>
        <v>-35.000033929797127</v>
      </c>
      <c r="AK32" s="635">
        <f t="shared" si="211"/>
        <v>0.9659258360722075</v>
      </c>
      <c r="AL32" s="629">
        <f t="shared" si="91"/>
        <v>-1.6653345369377348E-16</v>
      </c>
      <c r="AM32" s="634">
        <f t="shared" si="92"/>
        <v>-0.25881900859134599</v>
      </c>
      <c r="AN32" s="581">
        <f t="shared" si="93"/>
        <v>-3.686616410565136E-14</v>
      </c>
      <c r="AO32" s="582">
        <f t="shared" si="94"/>
        <v>14.99999783426823</v>
      </c>
      <c r="AP32" s="585">
        <f t="shared" si="95"/>
        <v>-9.8782574065834049E-15</v>
      </c>
      <c r="AQ32" s="586">
        <f t="shared" si="9"/>
        <v>1.1577070940448604</v>
      </c>
      <c r="AS32" s="52">
        <f t="shared" si="116"/>
        <v>-125.0000339297971</v>
      </c>
      <c r="AT32" s="72">
        <f t="shared" si="10"/>
        <v>-8.349493450843444E-2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3.109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IFERROR(ROUND(VALUE(IF($IH32&lt;1,$IH32+LARGE((IF($M$9:$M$150="",0,$M$9:$M$150)-MOD(IF($M$9:$M$150="",0,$M$9:$M$150),1)),1),$IH32)),4),"")</f>
        <v/>
      </c>
      <c r="IJ32" s="533">
        <f t="shared" si="112"/>
        <v>1313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2.1262784925498157</v>
      </c>
      <c r="C33" s="708">
        <v>-1.4888381053223882</v>
      </c>
      <c r="D33" s="709">
        <v>-3.1300094401084555E-2</v>
      </c>
      <c r="E33" s="710">
        <v>0.55403276739546159</v>
      </c>
      <c r="F33" s="708">
        <v>0.791239795159419</v>
      </c>
      <c r="G33" s="711">
        <v>0.25881900859134599</v>
      </c>
      <c r="H33" s="710">
        <v>0.26600000000000001</v>
      </c>
      <c r="I33" s="708">
        <v>0.52</v>
      </c>
      <c r="J33" s="570">
        <v>3.1120000000000001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1313</v>
      </c>
      <c r="L33" s="320"/>
      <c r="M33" s="168">
        <f t="shared" si="1"/>
        <v>3.1120000000000001</v>
      </c>
      <c r="N33" s="632">
        <f t="shared" si="2"/>
        <v>2.1262784925498157</v>
      </c>
      <c r="O33" s="629">
        <f t="shared" si="3"/>
        <v>-1.4888381053223882</v>
      </c>
      <c r="P33" s="633">
        <f t="shared" si="4"/>
        <v>-3.1300094401084555E-2</v>
      </c>
      <c r="Q33" s="585">
        <f t="shared" si="113"/>
        <v>324.9999660702029</v>
      </c>
      <c r="R33" s="629">
        <f t="shared" si="79"/>
        <v>2.5957078286548114</v>
      </c>
      <c r="S33" s="634">
        <f t="shared" si="80"/>
        <v>-3.1300094401084555E-2</v>
      </c>
      <c r="T33" s="635">
        <f t="shared" si="81"/>
        <v>-1.4888381053223887</v>
      </c>
      <c r="U33" s="629">
        <f t="shared" si="82"/>
        <v>-2.1262784925498157</v>
      </c>
      <c r="V33" s="636">
        <f t="shared" si="114"/>
        <v>-3.1300094401084555E-2</v>
      </c>
      <c r="W33" s="585">
        <f t="shared" si="224"/>
        <v>234.9999660702029</v>
      </c>
      <c r="X33" s="629">
        <f t="shared" si="83"/>
        <v>2.5957078286548114</v>
      </c>
      <c r="Y33" s="630">
        <f t="shared" si="223"/>
        <v>-3.1300094401084555E-2</v>
      </c>
      <c r="Z33" s="632">
        <f t="shared" si="6"/>
        <v>-0.55403276739546159</v>
      </c>
      <c r="AA33" s="629">
        <f t="shared" si="7"/>
        <v>-0.791239795159419</v>
      </c>
      <c r="AB33" s="629">
        <f t="shared" si="8"/>
        <v>-0.25881900859134599</v>
      </c>
      <c r="AC33" s="636">
        <f t="shared" si="84"/>
        <v>1</v>
      </c>
      <c r="AD33" s="637">
        <f t="shared" si="115"/>
        <v>-0.55403276739546159</v>
      </c>
      <c r="AE33" s="629">
        <f t="shared" si="85"/>
        <v>-0.791239795159419</v>
      </c>
      <c r="AF33" s="633">
        <f t="shared" si="86"/>
        <v>-0.25881900859134599</v>
      </c>
      <c r="AG33" s="602">
        <f t="shared" si="87"/>
        <v>-71.886786804836674</v>
      </c>
      <c r="AH33" s="603">
        <f t="shared" si="88"/>
        <v>123.64412001543978</v>
      </c>
      <c r="AI33" s="585">
        <f t="shared" si="89"/>
        <v>-75.000002165731729</v>
      </c>
      <c r="AJ33" s="586">
        <f t="shared" si="90"/>
        <v>-35.000033929797127</v>
      </c>
      <c r="AK33" s="635">
        <f t="shared" si="211"/>
        <v>0.9659258360722075</v>
      </c>
      <c r="AL33" s="629">
        <f t="shared" si="91"/>
        <v>-1.6653345369377348E-16</v>
      </c>
      <c r="AM33" s="634">
        <f t="shared" si="92"/>
        <v>-0.25881900859134599</v>
      </c>
      <c r="AN33" s="581">
        <f t="shared" si="93"/>
        <v>-3.686616410565136E-14</v>
      </c>
      <c r="AO33" s="582">
        <f t="shared" si="94"/>
        <v>14.99999783426823</v>
      </c>
      <c r="AP33" s="585">
        <f t="shared" si="95"/>
        <v>-9.8782574065834049E-15</v>
      </c>
      <c r="AQ33" s="586">
        <f t="shared" si="9"/>
        <v>0.87819903215199835</v>
      </c>
      <c r="AS33" s="52">
        <f t="shared" si="116"/>
        <v>-125.0000339297971</v>
      </c>
      <c r="AT33" s="72">
        <f t="shared" si="10"/>
        <v>5.5505484716830103E-2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3.1120000000000001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IFERROR(ROUND(VALUE(IF($IH33&lt;1,$IH33+LARGE((IF($M$9:$M$150="",0,$M$9:$M$150)-MOD(IF($M$9:$M$150="",0,$M$9:$M$150),1)),1),$IH33)),4),"")</f>
        <v/>
      </c>
      <c r="IJ33" s="533">
        <f t="shared" si="112"/>
        <v>1313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2.7464140205842975</v>
      </c>
      <c r="C34" s="708">
        <v>-1.9756824922990879</v>
      </c>
      <c r="D34" s="709">
        <v>-0.12130036584190335</v>
      </c>
      <c r="E34" s="710">
        <v>0.67514377256032487</v>
      </c>
      <c r="F34" s="708">
        <v>0.67405673543226008</v>
      </c>
      <c r="G34" s="711">
        <v>0.29971386986827409</v>
      </c>
      <c r="H34" s="710">
        <v>0.314</v>
      </c>
      <c r="I34" s="708">
        <v>0.52</v>
      </c>
      <c r="J34" s="570">
        <v>3.1150000000000002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1613</v>
      </c>
      <c r="L34" s="320"/>
      <c r="M34" s="168">
        <f t="shared" si="1"/>
        <v>3.1150000000000002</v>
      </c>
      <c r="N34" s="632">
        <f t="shared" si="2"/>
        <v>2.7464140205842975</v>
      </c>
      <c r="O34" s="629">
        <f t="shared" si="3"/>
        <v>-1.9756824922990879</v>
      </c>
      <c r="P34" s="633">
        <f t="shared" si="4"/>
        <v>-0.12130036584190335</v>
      </c>
      <c r="Q34" s="585">
        <f t="shared" si="113"/>
        <v>324.26996617560184</v>
      </c>
      <c r="R34" s="629">
        <f>IF(M34="","",SQRT(N34^2+O34^2))</f>
        <v>3.3832102037619745</v>
      </c>
      <c r="S34" s="634">
        <f>IF(M34="","",P34)</f>
        <v>-0.12130036584190335</v>
      </c>
      <c r="T34" s="635">
        <f>IF(M34="","",X34*COS(RADIANS(W34)))</f>
        <v>-1.9756824922990874</v>
      </c>
      <c r="U34" s="629">
        <f>IF(M34="","",X34*SIN(RADIANS(W34)))</f>
        <v>-2.7464140205842975</v>
      </c>
      <c r="V34" s="636">
        <f>IF(M34="","",Y34)</f>
        <v>-0.12130036584190335</v>
      </c>
      <c r="W34" s="585">
        <f t="shared" si="224"/>
        <v>234.26996617560184</v>
      </c>
      <c r="X34" s="629">
        <f>IF(M34="","",R34)</f>
        <v>3.3832102037619745</v>
      </c>
      <c r="Y34" s="630">
        <f t="shared" si="223"/>
        <v>-0.12130036584190335</v>
      </c>
      <c r="Z34" s="632">
        <f t="shared" si="6"/>
        <v>-0.67514377256032487</v>
      </c>
      <c r="AA34" s="629">
        <f t="shared" si="7"/>
        <v>-0.67405673543226008</v>
      </c>
      <c r="AB34" s="629">
        <f t="shared" si="8"/>
        <v>-0.29971386986827409</v>
      </c>
      <c r="AC34" s="636">
        <f>IF(M34="","",SQRT(Z34^2+AA34^2+AB34^2))</f>
        <v>1</v>
      </c>
      <c r="AD34" s="637">
        <f>IF(M34="","",Z34*(1/SQRT(Z34^2+AA34^2+AB34^2)))</f>
        <v>-0.67514377256032487</v>
      </c>
      <c r="AE34" s="629">
        <f>IF(M34="","",AA34*(1/SQRT(Z34^2+AA34^2+AB34^2)))</f>
        <v>-0.67405673543226008</v>
      </c>
      <c r="AF34" s="633">
        <f>IF(M34="","",AB34*(1/SQRT(Z34^2+AA34^2+AB34^2)))</f>
        <v>-0.29971386986827409</v>
      </c>
      <c r="AG34" s="602">
        <f>IF(M34="","",DEGREES(ATAN2(-AF34,AE34)))</f>
        <v>-66.028064306181932</v>
      </c>
      <c r="AH34" s="603">
        <f>IF(M34="","",DEGREES(ACOS(AD34)))</f>
        <v>132.46531596397216</v>
      </c>
      <c r="AI34" s="585">
        <f>IF(M34="","",DEGREES(-ACOS(-AF34)))</f>
        <v>-72.559581698979187</v>
      </c>
      <c r="AJ34" s="586">
        <f>IF(M34="","",DEGREES(ATAN2(-AE34,AD34)))</f>
        <v>-45.04616261687314</v>
      </c>
      <c r="AK34" s="635">
        <f>IF(M34="","",(COS(RADIANS((90-$Q$8)-W34))*AD34)+(-SIN(RADIANS((90-$Q$8)-W34))*AE34))</f>
        <v>0.94144567090479203</v>
      </c>
      <c r="AL34" s="629">
        <f>IF(M34="","",(SIN(RADIANS((90-$Q$8)-W34))*AD34)+(COS(RADIANS((90-$Q$8)-W34))*AE34))</f>
        <v>-0.15443977772325812</v>
      </c>
      <c r="AM34" s="634">
        <f>IF(M34="","",AF34)</f>
        <v>-0.29971386986827409</v>
      </c>
      <c r="AN34" s="581">
        <f>IF(M34="","",DEGREES(ATAN2(-AM34,AL34)))</f>
        <v>-27.26163142967058</v>
      </c>
      <c r="AO34" s="582">
        <f t="shared" si="94"/>
        <v>19.704227360214578</v>
      </c>
      <c r="AP34" s="585">
        <f>IF(M34="","",DEGREES(ATAN2(AK34,AL34)))</f>
        <v>-9.3161287924749665</v>
      </c>
      <c r="AQ34" s="586">
        <f t="shared" si="9"/>
        <v>0.67380428594961583</v>
      </c>
      <c r="AS34" s="52">
        <f t="shared" si="116"/>
        <v>-125.73003382439816</v>
      </c>
      <c r="AT34" s="72">
        <f t="shared" si="10"/>
        <v>-3.3987842352737954E-2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3.1150000000000002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IFERROR(ROUND(VALUE(IF($IH34&lt;1,$IH34+LARGE((IF($M$9:$M$150="",0,$M$9:$M$150)-MOD(IF($M$9:$M$150="",0,$M$9:$M$150),1)),1),$IH34)),4),"")</f>
        <v/>
      </c>
      <c r="IJ34" s="533">
        <f t="shared" si="112"/>
        <v>1613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3.2742292576311947</v>
      </c>
      <c r="C35" s="708">
        <v>-2.410446457045702</v>
      </c>
      <c r="D35" s="709">
        <v>-0.4973014998613236</v>
      </c>
      <c r="E35" s="710">
        <v>0.7851107767399782</v>
      </c>
      <c r="F35" s="708">
        <v>0.56231506926807462</v>
      </c>
      <c r="G35" s="711">
        <v>0.25962055219259622</v>
      </c>
      <c r="H35" s="710">
        <v>0.314</v>
      </c>
      <c r="I35" s="708">
        <v>0.52</v>
      </c>
      <c r="J35" s="570">
        <v>3.1179999999999999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1613</v>
      </c>
      <c r="L35" s="320"/>
      <c r="M35" s="168">
        <f t="shared" si="1"/>
        <v>3.1179999999999999</v>
      </c>
      <c r="N35" s="632">
        <f t="shared" si="2"/>
        <v>3.2742292576311947</v>
      </c>
      <c r="O35" s="629">
        <f t="shared" si="3"/>
        <v>-2.410446457045702</v>
      </c>
      <c r="P35" s="633">
        <f t="shared" si="4"/>
        <v>-0.4973014998613236</v>
      </c>
      <c r="Q35" s="585">
        <f t="shared" si="113"/>
        <v>323.63996626656257</v>
      </c>
      <c r="R35" s="629">
        <f>IF(M35="","",SQRT(N35^2+O35^2))</f>
        <v>4.0658122624897848</v>
      </c>
      <c r="S35" s="634">
        <f>IF(M35="","",P35)</f>
        <v>-0.4973014998613236</v>
      </c>
      <c r="T35" s="635">
        <f>IF(M35="","",X35*COS(RADIANS(W35)))</f>
        <v>-2.4104464570457012</v>
      </c>
      <c r="U35" s="629">
        <f>IF(M35="","",X35*SIN(RADIANS(W35)))</f>
        <v>-3.2742292576311951</v>
      </c>
      <c r="V35" s="636">
        <f>IF(M35="","",Y35)</f>
        <v>-0.4973014998613236</v>
      </c>
      <c r="W35" s="585">
        <f t="shared" si="224"/>
        <v>233.63996626656257</v>
      </c>
      <c r="X35" s="629">
        <f>IF(M35="","",R35)</f>
        <v>4.0658122624897848</v>
      </c>
      <c r="Y35" s="630">
        <f t="shared" si="223"/>
        <v>-0.4973014998613236</v>
      </c>
      <c r="Z35" s="632">
        <f t="shared" si="6"/>
        <v>-0.7851107767399782</v>
      </c>
      <c r="AA35" s="629">
        <f t="shared" si="7"/>
        <v>-0.56231506926807462</v>
      </c>
      <c r="AB35" s="629">
        <f t="shared" si="8"/>
        <v>-0.25962055219259622</v>
      </c>
      <c r="AC35" s="636">
        <f>IF(M35="","",SQRT(Z35^2+AA35^2+AB35^2))</f>
        <v>1</v>
      </c>
      <c r="AD35" s="637">
        <f>IF(M35="","",Z35*(1/SQRT(Z35^2+AA35^2+AB35^2)))</f>
        <v>-0.7851107767399782</v>
      </c>
      <c r="AE35" s="629">
        <f>IF(M35="","",AA35*(1/SQRT(Z35^2+AA35^2+AB35^2)))</f>
        <v>-0.56231506926807462</v>
      </c>
      <c r="AF35" s="633">
        <f>IF(M35="","",AB35*(1/SQRT(Z35^2+AA35^2+AB35^2)))</f>
        <v>-0.25962055219259622</v>
      </c>
      <c r="AG35" s="602">
        <f>IF(M35="","",DEGREES(ATAN2(-AF35,AE35)))</f>
        <v>-65.217256260042419</v>
      </c>
      <c r="AH35" s="603">
        <f>IF(M35="","",DEGREES(ACOS(AD35)))</f>
        <v>141.73092491642768</v>
      </c>
      <c r="AI35" s="585">
        <f>IF(M35="","",DEGREES(-ACOS(-AF35)))</f>
        <v>-74.952451747424305</v>
      </c>
      <c r="AJ35" s="586">
        <f>IF(M35="","",DEGREES(ATAN2(-AE35,AD35)))</f>
        <v>-54.388858179126487</v>
      </c>
      <c r="AK35" s="635">
        <f>IF(M35="","",(COS(RADIANS((90-$Q$8)-W35))*AD35)+(-SIN(RADIANS((90-$Q$8)-W35))*AE35))</f>
        <v>0.91829521407841974</v>
      </c>
      <c r="AL35" s="629">
        <f>IF(M35="","",(SIN(RADIANS((90-$Q$8)-W35))*AD35)+(COS(RADIANS((90-$Q$8)-W35))*AE35))</f>
        <v>-0.29888303511554587</v>
      </c>
      <c r="AM35" s="634">
        <f>IF(M35="","",AF35)</f>
        <v>-0.25962055219259622</v>
      </c>
      <c r="AN35" s="581">
        <f>IF(M35="","",DEGREES(ATAN2(-AM35,AL35)))</f>
        <v>-49.021244910827463</v>
      </c>
      <c r="AO35" s="582">
        <f t="shared" si="94"/>
        <v>23.321887259085432</v>
      </c>
      <c r="AP35" s="585">
        <f>IF(M35="","",DEGREES(ATAN2(AK35,AL35)))</f>
        <v>-18.028824445689061</v>
      </c>
      <c r="AQ35" s="586">
        <f t="shared" si="9"/>
        <v>0.56068842168084376</v>
      </c>
      <c r="AS35" s="52">
        <f t="shared" si="116"/>
        <v>-126.36003373343743</v>
      </c>
      <c r="AT35" s="72">
        <f t="shared" si="10"/>
        <v>-0.40955147643532541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3.1179999999999999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IFERROR(ROUND(VALUE(IF($IH35&lt;1,$IH35+LARGE((IF($M$9:$M$150="",0,$M$9:$M$150)-MOD(IF($M$9:$M$150="",0,$M$9:$M$150),1)),1),$IH35)),4),"")</f>
        <v/>
      </c>
      <c r="IJ35" s="533">
        <f t="shared" si="112"/>
        <v>1613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3.6154078315891423</v>
      </c>
      <c r="C36" s="708">
        <v>-2.7066427426495614</v>
      </c>
      <c r="D36" s="709">
        <v>-1.1356034249799296</v>
      </c>
      <c r="E36" s="710">
        <v>0.8643766825170327</v>
      </c>
      <c r="F36" s="708">
        <v>0.47789848255823875</v>
      </c>
      <c r="G36" s="711">
        <v>0.15641608321838796</v>
      </c>
      <c r="H36" s="710">
        <v>0.314</v>
      </c>
      <c r="I36" s="708">
        <v>0.52</v>
      </c>
      <c r="J36" s="570">
        <v>3.121</v>
      </c>
      <c r="K36" s="865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1613</v>
      </c>
      <c r="L36" s="320"/>
      <c r="M36" s="168">
        <f t="shared" si="1"/>
        <v>3.121</v>
      </c>
      <c r="N36" s="632">
        <f t="shared" si="2"/>
        <v>3.6154078315891423</v>
      </c>
      <c r="O36" s="629">
        <f t="shared" si="3"/>
        <v>-2.7066427426495614</v>
      </c>
      <c r="P36" s="633">
        <f t="shared" si="4"/>
        <v>-1.1356034249799296</v>
      </c>
      <c r="Q36" s="585">
        <f t="shared" si="113"/>
        <v>323.17996633297832</v>
      </c>
      <c r="R36" s="629">
        <f>IF(M36="","",SQRT(N36^2+O36^2))</f>
        <v>4.5163136212018804</v>
      </c>
      <c r="S36" s="634">
        <f>IF(M36="","",P36)</f>
        <v>-1.1356034249799296</v>
      </c>
      <c r="T36" s="635">
        <f>IF(M36="","",X36*COS(RADIANS(W36)))</f>
        <v>-2.7066427426495614</v>
      </c>
      <c r="U36" s="629">
        <f>IF(M36="","",X36*SIN(RADIANS(W36)))</f>
        <v>-3.6154078315891423</v>
      </c>
      <c r="V36" s="636">
        <f>IF(M36="","",Y36)</f>
        <v>-1.1356034249799296</v>
      </c>
      <c r="W36" s="585">
        <f t="shared" si="224"/>
        <v>233.17996633297832</v>
      </c>
      <c r="X36" s="629">
        <f>IF(M36="","",R36)</f>
        <v>4.5163136212018804</v>
      </c>
      <c r="Y36" s="630">
        <f t="shared" si="223"/>
        <v>-1.1356034249799296</v>
      </c>
      <c r="Z36" s="632">
        <f t="shared" si="6"/>
        <v>-0.8643766825170327</v>
      </c>
      <c r="AA36" s="629">
        <f t="shared" si="7"/>
        <v>-0.47789848255823875</v>
      </c>
      <c r="AB36" s="629">
        <f t="shared" si="8"/>
        <v>-0.15641608321838796</v>
      </c>
      <c r="AC36" s="636">
        <f>IF(M36="","",SQRT(Z36^2+AA36^2+AB36^2))</f>
        <v>1</v>
      </c>
      <c r="AD36" s="637">
        <f>IF(M36="","",Z36*(1/SQRT(Z36^2+AA36^2+AB36^2)))</f>
        <v>-0.8643766825170327</v>
      </c>
      <c r="AE36" s="629">
        <f>IF(M36="","",AA36*(1/SQRT(Z36^2+AA36^2+AB36^2)))</f>
        <v>-0.47789848255823875</v>
      </c>
      <c r="AF36" s="633">
        <f>IF(M36="","",AB36*(1/SQRT(Z36^2+AA36^2+AB36^2)))</f>
        <v>-0.15641608321838796</v>
      </c>
      <c r="AG36" s="602">
        <f>IF(M36="","",DEGREES(ATAN2(-AF36,AE36)))</f>
        <v>-71.8767380861416</v>
      </c>
      <c r="AH36" s="603">
        <f>IF(M36="","",DEGREES(ACOS(AD36)))</f>
        <v>149.81160658221492</v>
      </c>
      <c r="AI36" s="585">
        <f>IF(M36="","",DEGREES(-ACOS(-AF36)))</f>
        <v>-81.001066327520419</v>
      </c>
      <c r="AJ36" s="586">
        <f>IF(M36="","",DEGREES(ATAN2(-AE36,AD36)))</f>
        <v>-61.062575211849349</v>
      </c>
      <c r="AK36" s="635">
        <f>IF(M36="","",(COS(RADIANS((90-$Q$8)-W36))*AD36)+(-SIN(RADIANS((90-$Q$8)-W36))*AE36))</f>
        <v>0.90059219362039133</v>
      </c>
      <c r="AL36" s="629">
        <f>IF(M36="","",(SIN(RADIANS((90-$Q$8)-W36))*AD36)+(COS(RADIANS((90-$Q$8)-W36))*AE36))</f>
        <v>-0.40554618688952093</v>
      </c>
      <c r="AM36" s="634">
        <f>IF(M36="","",AF36)</f>
        <v>-0.15641608321838796</v>
      </c>
      <c r="AN36" s="581">
        <f>IF(M36="","",DEGREES(ATAN2(-AM36,AL36)))</f>
        <v>-68.908751930065463</v>
      </c>
      <c r="AO36" s="582">
        <f t="shared" si="94"/>
        <v>25.763982048374896</v>
      </c>
      <c r="AP36" s="585">
        <f>IF(M36="","",DEGREES(ATAN2(AK36,AL36)))</f>
        <v>-24.242541544827688</v>
      </c>
      <c r="AQ36" s="586">
        <f t="shared" si="9"/>
        <v>0.50476292053678207</v>
      </c>
      <c r="AS36" s="52">
        <f t="shared" si="116"/>
        <v>-126.82003366702168</v>
      </c>
      <c r="AT36" s="72">
        <f t="shared" si="10"/>
        <v>-1.047533957155609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3.121</v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IFERROR(ROUND(VALUE(IF($IH36&lt;1,$IH36+LARGE((IF($M$9:$M$150="",0,$M$9:$M$150)-MOD(IF($M$9:$M$150="",0,$M$9:$M$150),1)),1),$IH36)),4),"")</f>
        <v/>
      </c>
      <c r="IJ36" s="533">
        <f t="shared" si="112"/>
        <v>1613</v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>
        <v>3.7205623123947196</v>
      </c>
      <c r="C37" s="708">
        <v>-2.8005951383308587</v>
      </c>
      <c r="D37" s="709">
        <v>-1.8942057129244303</v>
      </c>
      <c r="E37" s="710">
        <v>0.92297365950583921</v>
      </c>
      <c r="F37" s="708">
        <v>0.38265603216958621</v>
      </c>
      <c r="G37" s="711">
        <v>4.1158047847630275E-2</v>
      </c>
      <c r="H37" s="710">
        <v>0.314</v>
      </c>
      <c r="I37" s="708">
        <v>0.52</v>
      </c>
      <c r="J37" s="570">
        <v>3.1240000000000001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1613</v>
      </c>
      <c r="L37" s="320"/>
      <c r="M37" s="168">
        <f t="shared" si="1"/>
        <v>3.1240000000000001</v>
      </c>
      <c r="N37" s="632">
        <f t="shared" si="2"/>
        <v>3.7205623123947196</v>
      </c>
      <c r="O37" s="629">
        <f t="shared" si="3"/>
        <v>-2.8005951383308587</v>
      </c>
      <c r="P37" s="633">
        <f t="shared" si="4"/>
        <v>-1.8942057129244303</v>
      </c>
      <c r="Q37" s="585">
        <f t="shared" si="113"/>
        <v>323.02996635463563</v>
      </c>
      <c r="R37" s="629">
        <f t="shared" si="79"/>
        <v>4.6568140449511599</v>
      </c>
      <c r="S37" s="634">
        <f t="shared" si="80"/>
        <v>-1.8942057129244303</v>
      </c>
      <c r="T37" s="635">
        <f t="shared" si="81"/>
        <v>-2.8005951383308592</v>
      </c>
      <c r="U37" s="629">
        <f t="shared" si="82"/>
        <v>-3.7205623123947191</v>
      </c>
      <c r="V37" s="636">
        <f t="shared" si="114"/>
        <v>-1.8942057129244303</v>
      </c>
      <c r="W37" s="585">
        <f t="shared" si="224"/>
        <v>233.02996635463563</v>
      </c>
      <c r="X37" s="629">
        <f t="shared" si="83"/>
        <v>4.6568140449511599</v>
      </c>
      <c r="Y37" s="630">
        <f t="shared" si="223"/>
        <v>-1.8942057129244303</v>
      </c>
      <c r="Z37" s="632">
        <f t="shared" si="6"/>
        <v>-0.92297365950583921</v>
      </c>
      <c r="AA37" s="629">
        <f t="shared" si="7"/>
        <v>-0.38265603216958621</v>
      </c>
      <c r="AB37" s="629">
        <f t="shared" si="8"/>
        <v>-4.1158047847630275E-2</v>
      </c>
      <c r="AC37" s="636">
        <f t="shared" si="84"/>
        <v>1</v>
      </c>
      <c r="AD37" s="637">
        <f t="shared" si="115"/>
        <v>-0.92297365950583921</v>
      </c>
      <c r="AE37" s="629">
        <f t="shared" si="85"/>
        <v>-0.38265603216958621</v>
      </c>
      <c r="AF37" s="633">
        <f t="shared" si="86"/>
        <v>-4.1158047847630275E-2</v>
      </c>
      <c r="AG37" s="602">
        <f t="shared" si="87"/>
        <v>-83.860932592680243</v>
      </c>
      <c r="AH37" s="603">
        <f t="shared" si="88"/>
        <v>157.36475693105726</v>
      </c>
      <c r="AI37" s="585">
        <f t="shared" si="89"/>
        <v>-87.641151269721945</v>
      </c>
      <c r="AJ37" s="586">
        <f t="shared" si="90"/>
        <v>-67.481572494582878</v>
      </c>
      <c r="AK37" s="635">
        <f t="shared" si="211"/>
        <v>0.86079691326008279</v>
      </c>
      <c r="AL37" s="629">
        <f t="shared" si="91"/>
        <v>-0.50728166655151818</v>
      </c>
      <c r="AM37" s="634">
        <f t="shared" si="92"/>
        <v>-4.1158047847630275E-2</v>
      </c>
      <c r="AN37" s="581">
        <f t="shared" si="93"/>
        <v>-85.361495507825509</v>
      </c>
      <c r="AO37" s="582">
        <f t="shared" si="94"/>
        <v>30.593821646993739</v>
      </c>
      <c r="AP37" s="585">
        <f t="shared" si="95"/>
        <v>-30.511538849218503</v>
      </c>
      <c r="AQ37" s="586">
        <f t="shared" si="9"/>
        <v>0.48953450503327361</v>
      </c>
      <c r="AS37" s="52">
        <f t="shared" si="116"/>
        <v>-126.97003364536437</v>
      </c>
      <c r="AT37" s="72">
        <f t="shared" si="10"/>
        <v>-1.8060320784484829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3.1240000000000001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IFERROR(ROUND(VALUE(IF($IH37&lt;1,$IH37+LARGE((IF($M$9:$M$150="",0,$M$9:$M$150)-MOD(IF($M$9:$M$150="",0,$M$9:$M$150),1)),1),$IH37)),4),"")</f>
        <v/>
      </c>
      <c r="IJ37" s="533">
        <f t="shared" si="112"/>
        <v>1613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3.7905004072861632</v>
      </c>
      <c r="C38" s="708">
        <v>-2.8636177740112432</v>
      </c>
      <c r="D38" s="709">
        <v>-2.5459075999429421</v>
      </c>
      <c r="E38" s="710">
        <v>0.9304363776367629</v>
      </c>
      <c r="F38" s="708">
        <v>0.36408049760906552</v>
      </c>
      <c r="G38" s="711">
        <v>4.1635783058740911E-2</v>
      </c>
      <c r="H38" s="710">
        <v>0.26600000000000001</v>
      </c>
      <c r="I38" s="708">
        <v>0.52</v>
      </c>
      <c r="J38" s="570">
        <v>3.1269999999999998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1313</v>
      </c>
      <c r="L38" s="320"/>
      <c r="M38" s="168">
        <f t="shared" si="1"/>
        <v>3.1269999999999998</v>
      </c>
      <c r="N38" s="632">
        <f t="shared" si="2"/>
        <v>3.7905004072861632</v>
      </c>
      <c r="O38" s="629">
        <f t="shared" si="3"/>
        <v>-2.8636177740112432</v>
      </c>
      <c r="P38" s="633">
        <f t="shared" si="4"/>
        <v>-2.5459075999429421</v>
      </c>
      <c r="Q38" s="585">
        <f t="shared" si="113"/>
        <v>322.92996623186184</v>
      </c>
      <c r="R38" s="629">
        <f t="shared" si="79"/>
        <v>4.7505999719266701</v>
      </c>
      <c r="S38" s="634">
        <f t="shared" si="80"/>
        <v>-2.5459075999429421</v>
      </c>
      <c r="T38" s="635">
        <f t="shared" si="81"/>
        <v>-2.8636177740112445</v>
      </c>
      <c r="U38" s="629">
        <f t="shared" si="82"/>
        <v>-3.7905004072861623</v>
      </c>
      <c r="V38" s="636">
        <f t="shared" si="114"/>
        <v>-2.5459075999429421</v>
      </c>
      <c r="W38" s="585">
        <f t="shared" si="224"/>
        <v>232.92996623186184</v>
      </c>
      <c r="X38" s="629">
        <f t="shared" si="83"/>
        <v>4.7505999719266701</v>
      </c>
      <c r="Y38" s="630">
        <f t="shared" si="223"/>
        <v>-2.5459075999429421</v>
      </c>
      <c r="Z38" s="632">
        <f t="shared" si="6"/>
        <v>-0.9304363776367629</v>
      </c>
      <c r="AA38" s="629">
        <f t="shared" si="7"/>
        <v>-0.36408049760906552</v>
      </c>
      <c r="AB38" s="629">
        <f t="shared" si="8"/>
        <v>-4.1635783058740911E-2</v>
      </c>
      <c r="AC38" s="636">
        <f t="shared" si="84"/>
        <v>1</v>
      </c>
      <c r="AD38" s="637">
        <f t="shared" si="115"/>
        <v>-0.9304363776367629</v>
      </c>
      <c r="AE38" s="629">
        <f t="shared" si="85"/>
        <v>-0.36408049760906552</v>
      </c>
      <c r="AF38" s="633">
        <f t="shared" si="86"/>
        <v>-4.1635783058740911E-2</v>
      </c>
      <c r="AG38" s="602">
        <f t="shared" si="87"/>
        <v>-83.476068768404559</v>
      </c>
      <c r="AH38" s="603">
        <f t="shared" si="88"/>
        <v>158.5029407378988</v>
      </c>
      <c r="AI38" s="585">
        <f t="shared" si="89"/>
        <v>-87.613755574007882</v>
      </c>
      <c r="AJ38" s="586">
        <f t="shared" si="90"/>
        <v>-68.629554083935133</v>
      </c>
      <c r="AK38" s="635">
        <f t="shared" si="211"/>
        <v>0.8513580278196099</v>
      </c>
      <c r="AL38" s="629">
        <f t="shared" si="91"/>
        <v>-0.52293017701810807</v>
      </c>
      <c r="AM38" s="634">
        <f t="shared" si="92"/>
        <v>-4.1635783058740911E-2</v>
      </c>
      <c r="AN38" s="581">
        <f t="shared" si="93"/>
        <v>-85.44770436401393</v>
      </c>
      <c r="AO38" s="582">
        <f t="shared" si="94"/>
        <v>31.640315390631734</v>
      </c>
      <c r="AP38" s="585">
        <f t="shared" si="95"/>
        <v>-31.559520315796981</v>
      </c>
      <c r="AQ38" s="586">
        <f t="shared" si="9"/>
        <v>0.47987061436240608</v>
      </c>
      <c r="AS38" s="52">
        <f t="shared" si="116"/>
        <v>-127.07003376813816</v>
      </c>
      <c r="AT38" s="72">
        <f t="shared" si="10"/>
        <v>-2.4576645209372905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3.1269999999999998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IFERROR(ROUND(VALUE(IF($IH38&lt;1,$IH38+LARGE((IF($M$9:$M$150="",0,$M$9:$M$150)-MOD(IF($M$9:$M$150="",0,$M$9:$M$150),1)),1),$IH38)),4),"")</f>
        <v/>
      </c>
      <c r="IJ38" s="533">
        <f t="shared" si="112"/>
        <v>1313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2.5572532605839053</v>
      </c>
      <c r="C39" s="708">
        <v>-2.8691929918833634</v>
      </c>
      <c r="D39" s="709">
        <v>-0.3310009982990107</v>
      </c>
      <c r="E39" s="710">
        <v>0.85770631290459864</v>
      </c>
      <c r="F39" s="708">
        <v>0.43005998111418053</v>
      </c>
      <c r="G39" s="711">
        <v>0.28175928280656415</v>
      </c>
      <c r="H39" s="710">
        <v>0.26600000000000001</v>
      </c>
      <c r="I39" s="708">
        <v>0.52</v>
      </c>
      <c r="J39" s="570">
        <v>3.2170000000000001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1313</v>
      </c>
      <c r="L39" s="320"/>
      <c r="M39" s="168">
        <f t="shared" si="1"/>
        <v>3.2170000000000001</v>
      </c>
      <c r="N39" s="632">
        <f t="shared" si="2"/>
        <v>2.5572532605839053</v>
      </c>
      <c r="O39" s="629">
        <f t="shared" si="3"/>
        <v>-2.8691929918833634</v>
      </c>
      <c r="P39" s="633">
        <f t="shared" si="4"/>
        <v>-0.3310009982990107</v>
      </c>
      <c r="Q39" s="585">
        <f t="shared" si="113"/>
        <v>311.70996798904116</v>
      </c>
      <c r="R39" s="629">
        <f t="shared" si="79"/>
        <v>3.8434115917293612</v>
      </c>
      <c r="S39" s="634">
        <f t="shared" si="80"/>
        <v>-0.3310009982990107</v>
      </c>
      <c r="T39" s="635">
        <f t="shared" si="81"/>
        <v>-2.8691929918833652</v>
      </c>
      <c r="U39" s="629">
        <f t="shared" si="82"/>
        <v>-2.5572532605839036</v>
      </c>
      <c r="V39" s="636">
        <f t="shared" si="114"/>
        <v>-0.3310009982990107</v>
      </c>
      <c r="W39" s="585">
        <f t="shared" si="224"/>
        <v>221.70996798904116</v>
      </c>
      <c r="X39" s="629">
        <f t="shared" si="83"/>
        <v>3.8434115917293612</v>
      </c>
      <c r="Y39" s="630">
        <f t="shared" si="223"/>
        <v>-0.3310009982990107</v>
      </c>
      <c r="Z39" s="632">
        <f t="shared" si="6"/>
        <v>-0.85770631290459864</v>
      </c>
      <c r="AA39" s="629">
        <f t="shared" si="7"/>
        <v>-0.43005998111418053</v>
      </c>
      <c r="AB39" s="629">
        <f t="shared" si="8"/>
        <v>-0.28175928280656415</v>
      </c>
      <c r="AC39" s="636">
        <f t="shared" si="84"/>
        <v>1</v>
      </c>
      <c r="AD39" s="637">
        <f t="shared" si="115"/>
        <v>-0.85770631290459864</v>
      </c>
      <c r="AE39" s="629">
        <f t="shared" si="85"/>
        <v>-0.43005998111418053</v>
      </c>
      <c r="AF39" s="633">
        <f t="shared" si="86"/>
        <v>-0.28175928280656415</v>
      </c>
      <c r="AG39" s="602">
        <f t="shared" si="87"/>
        <v>-56.768676063960598</v>
      </c>
      <c r="AH39" s="603">
        <f t="shared" si="88"/>
        <v>149.06001512071336</v>
      </c>
      <c r="AI39" s="585">
        <f t="shared" si="89"/>
        <v>-73.634767698394327</v>
      </c>
      <c r="AJ39" s="586">
        <f t="shared" si="90"/>
        <v>-63.370491294688641</v>
      </c>
      <c r="AK39" s="635">
        <f t="shared" si="211"/>
        <v>0.926441820254992</v>
      </c>
      <c r="AL39" s="629">
        <f t="shared" si="91"/>
        <v>-0.24963425292805436</v>
      </c>
      <c r="AM39" s="634">
        <f t="shared" si="92"/>
        <v>-0.28175928280656415</v>
      </c>
      <c r="AN39" s="581">
        <f t="shared" si="93"/>
        <v>-41.540433633970935</v>
      </c>
      <c r="AO39" s="582">
        <f t="shared" si="94"/>
        <v>22.113216770145126</v>
      </c>
      <c r="AP39" s="585">
        <f t="shared" si="95"/>
        <v>-15.080459283729793</v>
      </c>
      <c r="AQ39" s="586">
        <f t="shared" si="9"/>
        <v>0.5931306447048531</v>
      </c>
      <c r="AS39" s="52">
        <f t="shared" si="116"/>
        <v>-138.29003201095884</v>
      </c>
      <c r="AT39" s="72">
        <f t="shared" si="10"/>
        <v>-0.23496625384695594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>Taper</v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3.2170000000000001</v>
      </c>
      <c r="IH39" s="731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>2.117</v>
      </c>
      <c r="II39" s="734" cm="1">
        <f t="array" ref="II39">IFERROR(ROUND(VALUE(IF($IH39&lt;1,$IH39+LARGE((IF($M$9:$M$150="",0,$M$9:$M$150)-MOD(IF($M$9:$M$150="",0,$M$9:$M$150),1)),1),$IH39)),4),"")</f>
        <v>2.117</v>
      </c>
      <c r="IJ39" s="533">
        <f t="shared" si="112"/>
        <v>1613</v>
      </c>
      <c r="IK39" s="533">
        <f t="shared" si="66"/>
        <v>1313</v>
      </c>
      <c r="IL39" s="727">
        <f t="shared" si="225"/>
        <v>72.13998958427419</v>
      </c>
      <c r="IM39" s="759">
        <v>4.6179606855486603E-2</v>
      </c>
      <c r="IN39" s="5">
        <f t="shared" si="226"/>
        <v>0.24</v>
      </c>
      <c r="IO39" s="771">
        <v>120</v>
      </c>
      <c r="IP39" s="9">
        <f t="shared" si="227"/>
        <v>-3.8443115944437682</v>
      </c>
      <c r="IQ39" s="5">
        <f t="shared" si="228"/>
        <v>-0.32950099377499747</v>
      </c>
      <c r="IR39" s="5">
        <f t="shared" si="71"/>
        <v>0.314</v>
      </c>
      <c r="IS39" s="5">
        <f t="shared" si="229"/>
        <v>0.29090273156006746</v>
      </c>
      <c r="IT39" s="727">
        <f t="shared" si="230"/>
        <v>41.54043363397102</v>
      </c>
      <c r="IU39" s="9">
        <f t="shared" si="231"/>
        <v>-3.8434115917293612</v>
      </c>
      <c r="IV39" s="5">
        <f t="shared" si="232"/>
        <v>-0.3310009982990107</v>
      </c>
      <c r="IW39" s="5">
        <f t="shared" si="76"/>
        <v>0.26600000000000001</v>
      </c>
      <c r="IX39" s="5">
        <f t="shared" si="233"/>
        <v>0.24643352418782788</v>
      </c>
      <c r="IY39" s="762">
        <f t="shared" si="234"/>
        <v>41.540433633970935</v>
      </c>
    </row>
    <row r="40" spans="1:267" ht="15" customHeight="1" x14ac:dyDescent="0.25">
      <c r="A40" s="79"/>
      <c r="B40" s="707">
        <v>2.9589446235617034</v>
      </c>
      <c r="C40" s="708">
        <v>-3.2529817270884878</v>
      </c>
      <c r="D40" s="709">
        <v>-0.90150271893220069</v>
      </c>
      <c r="E40" s="710">
        <v>0.92216061231756319</v>
      </c>
      <c r="F40" s="708">
        <v>0.33656776710108138</v>
      </c>
      <c r="G40" s="711">
        <v>0.19063562951003998</v>
      </c>
      <c r="H40" s="710">
        <v>0.26600000000000001</v>
      </c>
      <c r="I40" s="708">
        <v>0.52</v>
      </c>
      <c r="J40" s="570">
        <v>3.22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1313</v>
      </c>
      <c r="L40" s="320"/>
      <c r="M40" s="168">
        <f t="shared" si="1"/>
        <v>3.22</v>
      </c>
      <c r="N40" s="632">
        <f t="shared" si="2"/>
        <v>2.9589446235617034</v>
      </c>
      <c r="O40" s="629">
        <f t="shared" si="3"/>
        <v>-3.2529817270884878</v>
      </c>
      <c r="P40" s="633">
        <f t="shared" si="4"/>
        <v>-0.90150271893220069</v>
      </c>
      <c r="Q40" s="585">
        <f t="shared" si="113"/>
        <v>312.28996790529959</v>
      </c>
      <c r="R40" s="629">
        <f t="shared" si="79"/>
        <v>4.397413262598401</v>
      </c>
      <c r="S40" s="634">
        <f t="shared" si="80"/>
        <v>-0.90150271893220069</v>
      </c>
      <c r="T40" s="635">
        <f t="shared" si="81"/>
        <v>-3.2529817270884873</v>
      </c>
      <c r="U40" s="629">
        <f t="shared" si="82"/>
        <v>-2.9589446235617043</v>
      </c>
      <c r="V40" s="636">
        <f t="shared" si="114"/>
        <v>-0.90150271893220069</v>
      </c>
      <c r="W40" s="585">
        <f t="shared" si="224"/>
        <v>222.28996790529959</v>
      </c>
      <c r="X40" s="629">
        <f t="shared" si="83"/>
        <v>4.397413262598401</v>
      </c>
      <c r="Y40" s="630">
        <f t="shared" si="223"/>
        <v>-0.90150271893220069</v>
      </c>
      <c r="Z40" s="632">
        <f t="shared" si="6"/>
        <v>-0.92216061231756319</v>
      </c>
      <c r="AA40" s="629">
        <f t="shared" si="7"/>
        <v>-0.33656776710108138</v>
      </c>
      <c r="AB40" s="629">
        <f t="shared" si="8"/>
        <v>-0.19063562951003998</v>
      </c>
      <c r="AC40" s="636">
        <f t="shared" si="84"/>
        <v>1</v>
      </c>
      <c r="AD40" s="637">
        <f t="shared" si="115"/>
        <v>-0.92216061231756319</v>
      </c>
      <c r="AE40" s="629">
        <f t="shared" si="85"/>
        <v>-0.33656776710108138</v>
      </c>
      <c r="AF40" s="633">
        <f t="shared" si="86"/>
        <v>-0.19063562951003998</v>
      </c>
      <c r="AG40" s="602">
        <f t="shared" si="87"/>
        <v>-60.47231428348357</v>
      </c>
      <c r="AH40" s="603">
        <f t="shared" si="88"/>
        <v>157.24402103087982</v>
      </c>
      <c r="AI40" s="585">
        <f t="shared" si="89"/>
        <v>-79.01011887423951</v>
      </c>
      <c r="AJ40" s="586">
        <f t="shared" si="90"/>
        <v>-69.949061370098477</v>
      </c>
      <c r="AK40" s="635">
        <f t="shared" si="211"/>
        <v>0.90863804869608056</v>
      </c>
      <c r="AL40" s="629">
        <f t="shared" si="91"/>
        <v>-0.371530554898369</v>
      </c>
      <c r="AM40" s="634">
        <f t="shared" si="92"/>
        <v>-0.19063562951003998</v>
      </c>
      <c r="AN40" s="581">
        <f t="shared" si="93"/>
        <v>-62.837237632034636</v>
      </c>
      <c r="AO40" s="582">
        <f t="shared" si="94"/>
        <v>24.682186713902976</v>
      </c>
      <c r="AP40" s="585">
        <f t="shared" si="95"/>
        <v>-22.23902927539806</v>
      </c>
      <c r="AQ40" s="586">
        <f t="shared" si="9"/>
        <v>0.51841032102335594</v>
      </c>
      <c r="AS40" s="52">
        <f t="shared" si="116"/>
        <v>-137.71003209470041</v>
      </c>
      <c r="AT40" s="72">
        <f t="shared" si="10"/>
        <v>-0.80587075219976989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>Taper</v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3.22</v>
      </c>
      <c r="IH40" s="731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>2.12</v>
      </c>
      <c r="II40" s="734" cm="1">
        <f t="array" ref="II40">IFERROR(ROUND(VALUE(IF($IH40&lt;1,$IH40+LARGE((IF($M$9:$M$150="",0,$M$9:$M$150)-MOD(IF($M$9:$M$150="",0,$M$9:$M$150),1)),1),$IH40)),4),"")</f>
        <v>2.12</v>
      </c>
      <c r="IJ40" s="533">
        <f t="shared" si="112"/>
        <v>1613</v>
      </c>
      <c r="IK40" s="533">
        <f t="shared" si="66"/>
        <v>1313</v>
      </c>
      <c r="IL40" s="727">
        <f t="shared" si="225"/>
        <v>71.009989747425948</v>
      </c>
      <c r="IM40" s="759">
        <v>4.3838221704441301E-2</v>
      </c>
      <c r="IN40" s="5">
        <f t="shared" si="226"/>
        <v>0.24</v>
      </c>
      <c r="IO40" s="771">
        <v>120</v>
      </c>
      <c r="IP40" s="9">
        <f t="shared" si="227"/>
        <v>-4.3976132632016025</v>
      </c>
      <c r="IQ40" s="5">
        <f t="shared" si="228"/>
        <v>-0.9014027186305994</v>
      </c>
      <c r="IR40" s="5">
        <f t="shared" si="71"/>
        <v>0.314</v>
      </c>
      <c r="IS40" s="5">
        <f t="shared" si="229"/>
        <v>0.28531234729056942</v>
      </c>
      <c r="IT40" s="727">
        <f t="shared" si="230"/>
        <v>62.837237632034622</v>
      </c>
      <c r="IU40" s="9">
        <f t="shared" si="231"/>
        <v>-4.397413262598401</v>
      </c>
      <c r="IV40" s="5">
        <f t="shared" si="232"/>
        <v>-0.90150271893220069</v>
      </c>
      <c r="IW40" s="5">
        <f t="shared" si="76"/>
        <v>0.26600000000000001</v>
      </c>
      <c r="IX40" s="5">
        <f t="shared" si="233"/>
        <v>0.24169772095315745</v>
      </c>
      <c r="IY40" s="762">
        <f t="shared" si="234"/>
        <v>62.837237632034636</v>
      </c>
    </row>
    <row r="41" spans="1:267" ht="15" customHeight="1" x14ac:dyDescent="0.25">
      <c r="A41" s="79"/>
      <c r="B41" s="707">
        <v>0.50495620756304982</v>
      </c>
      <c r="C41" s="708">
        <v>-1.4664993107545403</v>
      </c>
      <c r="D41" s="709">
        <v>-0.32409999999999994</v>
      </c>
      <c r="E41" s="710">
        <v>0</v>
      </c>
      <c r="F41" s="708">
        <v>0</v>
      </c>
      <c r="G41" s="711">
        <v>1</v>
      </c>
      <c r="H41" s="710">
        <v>0.26250000000000001</v>
      </c>
      <c r="I41" s="708">
        <v>0.40699999999999997</v>
      </c>
      <c r="J41" s="570">
        <v>3.3069999999999999</v>
      </c>
      <c r="K41" s="865" t="str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Inactive</v>
      </c>
      <c r="L41" s="320"/>
      <c r="M41" s="168">
        <f t="shared" ref="M41:M72" si="239">IF(J41="","",VALUE(J41))</f>
        <v>3.3069999999999999</v>
      </c>
      <c r="N41" s="632">
        <f t="shared" ref="N41:N72" si="240">IF(M41="","",B41)</f>
        <v>0.50495620756304982</v>
      </c>
      <c r="O41" s="629">
        <f t="shared" ref="O41:O72" si="241">IF(M41="","",C41)</f>
        <v>-1.4664993107545403</v>
      </c>
      <c r="P41" s="633">
        <f t="shared" ref="P41:P72" si="242">IF(M41="","",D41)</f>
        <v>-0.32409999999999994</v>
      </c>
      <c r="Q41" s="585">
        <f t="shared" si="113"/>
        <v>289</v>
      </c>
      <c r="R41" s="629">
        <f t="shared" si="79"/>
        <v>1.5509999999999999</v>
      </c>
      <c r="S41" s="634">
        <f t="shared" si="80"/>
        <v>-0.32409999999999994</v>
      </c>
      <c r="T41" s="635">
        <f t="shared" si="81"/>
        <v>-1.4664993107545401</v>
      </c>
      <c r="U41" s="629">
        <f t="shared" si="82"/>
        <v>-0.50495620756305015</v>
      </c>
      <c r="V41" s="636">
        <f t="shared" si="114"/>
        <v>-0.32409999999999994</v>
      </c>
      <c r="W41" s="585">
        <f t="shared" si="224"/>
        <v>199</v>
      </c>
      <c r="X41" s="629">
        <f t="shared" si="83"/>
        <v>1.5509999999999999</v>
      </c>
      <c r="Y41" s="630">
        <f t="shared" si="223"/>
        <v>-0.32409999999999994</v>
      </c>
      <c r="Z41" s="632">
        <f t="shared" ref="Z41:Z72" si="243">IF(M41="","",-E41)</f>
        <v>0</v>
      </c>
      <c r="AA41" s="629">
        <f t="shared" ref="AA41:AA72" si="244">IF(M41="","",-F41)</f>
        <v>0</v>
      </c>
      <c r="AB41" s="629">
        <f t="shared" ref="AB41:AB72" si="245">IF(M41="","",-G41)</f>
        <v>-1</v>
      </c>
      <c r="AC41" s="636">
        <f t="shared" si="84"/>
        <v>1</v>
      </c>
      <c r="AD41" s="637">
        <f t="shared" si="115"/>
        <v>0</v>
      </c>
      <c r="AE41" s="629">
        <f t="shared" si="85"/>
        <v>0</v>
      </c>
      <c r="AF41" s="633">
        <f t="shared" si="86"/>
        <v>-1</v>
      </c>
      <c r="AG41" s="602">
        <f t="shared" si="87"/>
        <v>0</v>
      </c>
      <c r="AH41" s="603">
        <f t="shared" si="88"/>
        <v>90</v>
      </c>
      <c r="AI41" s="585">
        <f t="shared" si="89"/>
        <v>0</v>
      </c>
      <c r="AJ41" s="586" t="e">
        <f t="shared" si="90"/>
        <v>#DIV/0!</v>
      </c>
      <c r="AK41" s="635">
        <f t="shared" si="211"/>
        <v>0</v>
      </c>
      <c r="AL41" s="629">
        <f t="shared" si="91"/>
        <v>0</v>
      </c>
      <c r="AM41" s="634">
        <f t="shared" si="92"/>
        <v>-1</v>
      </c>
      <c r="AN41" s="581">
        <f t="shared" si="93"/>
        <v>0</v>
      </c>
      <c r="AO41" s="582">
        <f t="shared" si="94"/>
        <v>0</v>
      </c>
      <c r="AP41" s="585" t="e">
        <f t="shared" si="95"/>
        <v>#DIV/0!</v>
      </c>
      <c r="AQ41" s="586">
        <f t="shared" ref="AQ41:AQ72" si="246">IF(M41="","",DEGREES(ATAN(($AS$5*SIN(RADIANS(90)))/(($X41*2*PI())-($AS$5*COS(RADIANS(90)))))))</f>
        <v>1.4695207787100701</v>
      </c>
      <c r="AS41" s="52">
        <f t="shared" si="116"/>
        <v>-161</v>
      </c>
      <c r="AT41" s="72">
        <f t="shared" ref="AT41:AT72" si="247">IF(M41="","",Y41+(((AS41-$AS$9)*$AS$6)*-1))</f>
        <v>-0.2122944444444444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>Nose</v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3.3069999999999999</v>
      </c>
      <c r="IH41" s="731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>1.107</v>
      </c>
      <c r="II41" s="734" cm="1">
        <f t="array" ref="II41">IFERROR(ROUND(VALUE(IF($IH41&lt;1,$IH41+LARGE((IF($M$9:$M$150="",0,$M$9:$M$150)-MOD(IF($M$9:$M$150="",0,$M$9:$M$150),1)),1),$IH41)),4),"")</f>
        <v>1.107</v>
      </c>
      <c r="IJ41" s="533">
        <f t="shared" si="112"/>
        <v>1313</v>
      </c>
      <c r="IK41" s="533" t="str">
        <f t="shared" ref="IK41:IK72" si="382">IF(ISNUMBER($II41),INDEX($K$9:$K$150,MATCH($IG41,$M$9:$M$150,0)),"")</f>
        <v>Inactive</v>
      </c>
      <c r="IL41" s="727">
        <f t="shared" si="225"/>
        <v>161</v>
      </c>
      <c r="IM41" s="759">
        <v>3.5893643993708403E-2</v>
      </c>
      <c r="IN41" s="5">
        <f t="shared" si="226"/>
        <v>0.14000000000000001</v>
      </c>
      <c r="IO41" s="771">
        <v>70</v>
      </c>
      <c r="IP41" s="9">
        <f t="shared" si="227"/>
        <v>-1.5510046778301083</v>
      </c>
      <c r="IQ41" s="5">
        <f t="shared" si="228"/>
        <v>-0.26290079290879131</v>
      </c>
      <c r="IR41" s="5">
        <f t="shared" ref="IR41:IR72" si="383">IF(ISNUMBER($II41),INDEX($H$9:$H$150,MATCH($II41,$M$9:$M$150,0)),"")</f>
        <v>0.26600000000000001</v>
      </c>
      <c r="IS41" s="5">
        <f t="shared" si="229"/>
        <v>0.25693627239520717</v>
      </c>
      <c r="IT41" s="727">
        <f t="shared" si="230"/>
        <v>5.3035639834921846E-14</v>
      </c>
      <c r="IU41" s="9">
        <f t="shared" si="231"/>
        <v>-1.5509999999999999</v>
      </c>
      <c r="IV41" s="5">
        <f t="shared" si="232"/>
        <v>-0.32409999999999994</v>
      </c>
      <c r="IW41" s="5">
        <f t="shared" ref="IW41:IW72" si="384">IF(ISNUMBER($II41),$H41,"")</f>
        <v>0.26250000000000001</v>
      </c>
      <c r="IX41" s="5">
        <f t="shared" si="233"/>
        <v>0.26250000000000001</v>
      </c>
      <c r="IY41" s="762">
        <f t="shared" si="234"/>
        <v>0</v>
      </c>
    </row>
    <row r="42" spans="1:267" ht="15" customHeight="1" x14ac:dyDescent="0.25">
      <c r="A42" s="79"/>
      <c r="B42" s="707">
        <v>1.0888999999999995</v>
      </c>
      <c r="C42" s="708">
        <v>-1.8860301243617503</v>
      </c>
      <c r="D42" s="709">
        <v>-0.18149999999999999</v>
      </c>
      <c r="E42" s="710">
        <v>0</v>
      </c>
      <c r="F42" s="708">
        <v>0</v>
      </c>
      <c r="G42" s="711">
        <v>1</v>
      </c>
      <c r="H42" s="710">
        <v>0.26250000000000001</v>
      </c>
      <c r="I42" s="708">
        <v>0.40699999999999997</v>
      </c>
      <c r="J42" s="570">
        <v>3.31</v>
      </c>
      <c r="K42" s="865" t="str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Inactive</v>
      </c>
      <c r="L42" s="320"/>
      <c r="M42" s="168">
        <f t="shared" si="239"/>
        <v>3.31</v>
      </c>
      <c r="N42" s="632">
        <f t="shared" si="240"/>
        <v>1.0888999999999995</v>
      </c>
      <c r="O42" s="629">
        <f t="shared" si="241"/>
        <v>-1.8860301243617503</v>
      </c>
      <c r="P42" s="633">
        <f t="shared" si="242"/>
        <v>-0.18149999999999999</v>
      </c>
      <c r="Q42" s="585">
        <f t="shared" si="113"/>
        <v>300</v>
      </c>
      <c r="R42" s="629">
        <f t="shared" ref="R42:R47" si="385">IF(M42="","",SQRT(N42^2+O42^2))</f>
        <v>2.1777999999999995</v>
      </c>
      <c r="S42" s="634">
        <f t="shared" ref="S42:S47" si="386">IF(M42="","",P42)</f>
        <v>-0.18149999999999999</v>
      </c>
      <c r="T42" s="635">
        <f t="shared" ref="T42:T47" si="387">IF(M42="","",X42*COS(RADIANS(W42)))</f>
        <v>-1.8860301243617499</v>
      </c>
      <c r="U42" s="629">
        <f t="shared" ref="U42:U47" si="388">IF(M42="","",X42*SIN(RADIANS(W42)))</f>
        <v>-1.0889</v>
      </c>
      <c r="V42" s="636">
        <f t="shared" ref="V42:V47" si="389">IF(M42="","",Y42)</f>
        <v>-0.18149999999999999</v>
      </c>
      <c r="W42" s="585">
        <f t="shared" si="224"/>
        <v>210</v>
      </c>
      <c r="X42" s="629">
        <f t="shared" ref="X42:X47" si="390">IF(M42="","",R42)</f>
        <v>2.1777999999999995</v>
      </c>
      <c r="Y42" s="630">
        <f t="shared" si="223"/>
        <v>-0.18149999999999999</v>
      </c>
      <c r="Z42" s="632">
        <f t="shared" si="243"/>
        <v>0</v>
      </c>
      <c r="AA42" s="629">
        <f t="shared" si="244"/>
        <v>0</v>
      </c>
      <c r="AB42" s="629">
        <f t="shared" si="245"/>
        <v>-1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0</v>
      </c>
      <c r="AE42" s="629">
        <f t="shared" ref="AE42:AE47" si="393">IF(M42="","",AA42*(1/SQRT(Z42^2+AA42^2+AB42^2)))</f>
        <v>0</v>
      </c>
      <c r="AF42" s="633">
        <f t="shared" ref="AF42:AF47" si="394">IF(M42="","",AB42*(1/SQRT(Z42^2+AA42^2+AB42^2)))</f>
        <v>-1</v>
      </c>
      <c r="AG42" s="602">
        <f t="shared" ref="AG42:AG47" si="395">IF(M42="","",DEGREES(ATAN2(-AF42,AE42)))</f>
        <v>0</v>
      </c>
      <c r="AH42" s="603">
        <f t="shared" ref="AH42:AH47" si="396">IF(M42="","",DEGREES(ACOS(AD42)))</f>
        <v>90</v>
      </c>
      <c r="AI42" s="585">
        <f t="shared" ref="AI42:AI47" si="397">IF(M42="","",DEGREES(-ACOS(-AF42)))</f>
        <v>0</v>
      </c>
      <c r="AJ42" s="586" t="e">
        <f t="shared" ref="AJ42:AJ47" si="398">IF(M42="","",DEGREES(ATAN2(-AE42,AD42)))</f>
        <v>#DIV/0!</v>
      </c>
      <c r="AK42" s="635">
        <f t="shared" ref="AK42:AK47" si="399">IF(M42="","",(COS(RADIANS((90-$Q$8)-W42))*AD42)+(-SIN(RADIANS((90-$Q$8)-W42))*AE42))</f>
        <v>0</v>
      </c>
      <c r="AL42" s="629">
        <f t="shared" ref="AL42:AL47" si="400">IF(M42="","",(SIN(RADIANS((90-$Q$8)-W42))*AD42)+(COS(RADIANS((90-$Q$8)-W42))*AE42))</f>
        <v>0</v>
      </c>
      <c r="AM42" s="634">
        <f t="shared" ref="AM42:AM47" si="401">IF(M42="","",AF42)</f>
        <v>-1</v>
      </c>
      <c r="AN42" s="581">
        <f t="shared" ref="AN42:AN47" si="402">IF(M42="","",DEGREES(ATAN2(-AM42,AL42)))</f>
        <v>0</v>
      </c>
      <c r="AO42" s="582">
        <f t="shared" si="94"/>
        <v>0</v>
      </c>
      <c r="AP42" s="585" t="e">
        <f t="shared" ref="AP42:AP47" si="403">IF(M42="","",DEGREES(ATAN2(AK42,AL42)))</f>
        <v>#DIV/0!</v>
      </c>
      <c r="AQ42" s="586">
        <f t="shared" si="246"/>
        <v>1.0466861173431987</v>
      </c>
      <c r="AS42" s="52">
        <f t="shared" si="116"/>
        <v>-150</v>
      </c>
      <c r="AT42" s="72">
        <f t="shared" si="247"/>
        <v>-7.7333333333333323E-2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>Nose</v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3.31</v>
      </c>
      <c r="IH42" s="731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1.1100000000000001</v>
      </c>
      <c r="II42" s="734" cm="1">
        <f t="array" ref="II42">IFERROR(ROUND(VALUE(IF($IH42&lt;1,$IH42+LARGE((IF($M$9:$M$150="",0,$M$9:$M$150)-MOD(IF($M$9:$M$150="",0,$M$9:$M$150),1)),1),$IH42)),4),"")</f>
        <v>1.1100000000000001</v>
      </c>
      <c r="IJ42" s="533">
        <f t="shared" si="112"/>
        <v>1313</v>
      </c>
      <c r="IK42" s="533" t="str">
        <f t="shared" si="382"/>
        <v>Inactive</v>
      </c>
      <c r="IL42" s="727">
        <f t="shared" si="225"/>
        <v>150</v>
      </c>
      <c r="IM42" s="759">
        <v>3.3556621133674899E-2</v>
      </c>
      <c r="IN42" s="5">
        <f t="shared" si="226"/>
        <v>0.14000000000000001</v>
      </c>
      <c r="IO42" s="771">
        <v>70</v>
      </c>
      <c r="IP42" s="9">
        <f t="shared" si="227"/>
        <v>-2.1778065682646099</v>
      </c>
      <c r="IQ42" s="5">
        <f t="shared" si="228"/>
        <v>-0.12400037398512791</v>
      </c>
      <c r="IR42" s="5">
        <f t="shared" si="383"/>
        <v>0.26600000000000001</v>
      </c>
      <c r="IS42" s="5">
        <f t="shared" si="229"/>
        <v>0.25693627239520717</v>
      </c>
      <c r="IT42" s="727">
        <f t="shared" si="230"/>
        <v>0</v>
      </c>
      <c r="IU42" s="9">
        <f t="shared" si="231"/>
        <v>-2.1777999999999995</v>
      </c>
      <c r="IV42" s="5">
        <f t="shared" si="232"/>
        <v>-0.18149999999999999</v>
      </c>
      <c r="IW42" s="5">
        <f t="shared" si="384"/>
        <v>0.26250000000000001</v>
      </c>
      <c r="IX42" s="5">
        <f t="shared" si="233"/>
        <v>0.26250000000000001</v>
      </c>
      <c r="IY42" s="762">
        <f t="shared" si="234"/>
        <v>0</v>
      </c>
    </row>
    <row r="43" spans="1:267" ht="15" customHeight="1" x14ac:dyDescent="0.25">
      <c r="A43" s="79"/>
      <c r="B43" s="707">
        <v>2.9821461944047267</v>
      </c>
      <c r="C43" s="708">
        <v>-3.5539888062847651</v>
      </c>
      <c r="D43" s="709">
        <v>-1.6396999999999997</v>
      </c>
      <c r="E43" s="710">
        <v>0.54511432569406837</v>
      </c>
      <c r="F43" s="708">
        <v>-0.64964293678730944</v>
      </c>
      <c r="G43" s="711">
        <v>0.5299192642332049</v>
      </c>
      <c r="H43" s="710">
        <v>0.26250000000000001</v>
      </c>
      <c r="I43" s="708">
        <v>0.40699999999999997</v>
      </c>
      <c r="J43" s="570">
        <v>3.323</v>
      </c>
      <c r="K43" s="865" t="str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Inactive</v>
      </c>
      <c r="L43" s="320"/>
      <c r="M43" s="168">
        <f t="shared" si="239"/>
        <v>3.323</v>
      </c>
      <c r="N43" s="632">
        <f t="shared" si="240"/>
        <v>2.9821461944047267</v>
      </c>
      <c r="O43" s="629">
        <f t="shared" si="241"/>
        <v>-3.5539888062847651</v>
      </c>
      <c r="P43" s="633">
        <f t="shared" si="242"/>
        <v>-1.6396999999999997</v>
      </c>
      <c r="Q43" s="585">
        <f t="shared" si="113"/>
        <v>309.99995740727593</v>
      </c>
      <c r="R43" s="629">
        <f t="shared" si="385"/>
        <v>4.6394000000000002</v>
      </c>
      <c r="S43" s="634">
        <f t="shared" si="386"/>
        <v>-1.6396999999999997</v>
      </c>
      <c r="T43" s="635">
        <f t="shared" si="387"/>
        <v>-3.5539888062847651</v>
      </c>
      <c r="U43" s="629">
        <f t="shared" si="388"/>
        <v>-2.9821461944047258</v>
      </c>
      <c r="V43" s="636">
        <f t="shared" si="389"/>
        <v>-1.6396999999999997</v>
      </c>
      <c r="W43" s="585">
        <f t="shared" si="224"/>
        <v>219.99995740727593</v>
      </c>
      <c r="X43" s="629">
        <f t="shared" si="390"/>
        <v>4.6394000000000002</v>
      </c>
      <c r="Y43" s="630">
        <f t="shared" si="223"/>
        <v>-1.6396999999999997</v>
      </c>
      <c r="Z43" s="632">
        <f t="shared" si="243"/>
        <v>-0.54511432569406837</v>
      </c>
      <c r="AA43" s="629">
        <f t="shared" si="244"/>
        <v>0.64964293678730944</v>
      </c>
      <c r="AB43" s="629">
        <f t="shared" si="245"/>
        <v>-0.5299192642332049</v>
      </c>
      <c r="AC43" s="636">
        <f t="shared" si="391"/>
        <v>1</v>
      </c>
      <c r="AD43" s="637">
        <f t="shared" si="392"/>
        <v>-0.54511432569406837</v>
      </c>
      <c r="AE43" s="629">
        <f t="shared" si="393"/>
        <v>0.64964293678730944</v>
      </c>
      <c r="AF43" s="633">
        <f t="shared" si="394"/>
        <v>-0.5299192642332049</v>
      </c>
      <c r="AG43" s="602">
        <f t="shared" si="395"/>
        <v>50.795582272029129</v>
      </c>
      <c r="AH43" s="603">
        <f t="shared" si="396"/>
        <v>123.03247659503452</v>
      </c>
      <c r="AI43" s="585">
        <f t="shared" si="397"/>
        <v>-58.000000000000007</v>
      </c>
      <c r="AJ43" s="586">
        <f t="shared" si="398"/>
        <v>-140.00004259272404</v>
      </c>
      <c r="AK43" s="635">
        <f t="shared" si="399"/>
        <v>3.8857805861880479E-16</v>
      </c>
      <c r="AL43" s="629">
        <f t="shared" si="400"/>
        <v>-0.84804809615642607</v>
      </c>
      <c r="AM43" s="634">
        <f t="shared" si="401"/>
        <v>-0.5299192642332049</v>
      </c>
      <c r="AN43" s="581">
        <f t="shared" si="402"/>
        <v>-58.000000000000007</v>
      </c>
      <c r="AO43" s="582">
        <f t="shared" si="94"/>
        <v>0</v>
      </c>
      <c r="AP43" s="585">
        <f t="shared" si="403"/>
        <v>-89.999999999999972</v>
      </c>
      <c r="AQ43" s="586">
        <f t="shared" si="246"/>
        <v>0.49137188889159111</v>
      </c>
      <c r="AS43" s="52">
        <f t="shared" ref="AS43:AS74" si="406">IF(G43="","",IF(AND(W43&lt;(AS42+180),W43&gt;(AS42-180)),W43,IF(W43&gt;(AS42+180),W43-360,IF(W43&lt;(AS42-180),W43+360,"Error"))))</f>
        <v>-140.00004259272407</v>
      </c>
      <c r="AT43" s="72">
        <f t="shared" si="247"/>
        <v>-1.5424777481994969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>Taper</v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3.323</v>
      </c>
      <c r="IH43" s="731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>2.1230000000000002</v>
      </c>
      <c r="II43" s="734" cm="1">
        <f t="array" ref="II43">IFERROR(ROUND(VALUE(IF($IH43&lt;1,$IH43+LARGE((IF($M$9:$M$150="",0,$M$9:$M$150)-MOD(IF($M$9:$M$150="",0,$M$9:$M$150),1)),1),$IH43)),4),"")</f>
        <v>2.1230000000000002</v>
      </c>
      <c r="IJ43" s="533">
        <f t="shared" si="112"/>
        <v>1613</v>
      </c>
      <c r="IK43" s="533" t="str">
        <f t="shared" si="382"/>
        <v>Inactive</v>
      </c>
      <c r="IL43" s="727">
        <f t="shared" si="225"/>
        <v>73.050000281545124</v>
      </c>
      <c r="IM43" s="759">
        <v>1.71724042332028E-2</v>
      </c>
      <c r="IN43" s="5">
        <f t="shared" si="226"/>
        <v>0.2</v>
      </c>
      <c r="IO43" s="771">
        <v>100</v>
      </c>
      <c r="IP43" s="9">
        <f t="shared" si="227"/>
        <v>-4.6433140042350365</v>
      </c>
      <c r="IQ43" s="5">
        <f t="shared" si="228"/>
        <v>-1.6373049381116935</v>
      </c>
      <c r="IR43" s="5">
        <f t="shared" si="383"/>
        <v>0.314</v>
      </c>
      <c r="IS43" s="5">
        <f t="shared" si="229"/>
        <v>0.27539749955441173</v>
      </c>
      <c r="IT43" s="727">
        <f t="shared" si="230"/>
        <v>79.521402834342879</v>
      </c>
      <c r="IU43" s="9">
        <f t="shared" si="231"/>
        <v>-4.6394000000000002</v>
      </c>
      <c r="IV43" s="5">
        <f t="shared" si="232"/>
        <v>-1.6396999999999997</v>
      </c>
      <c r="IW43" s="5">
        <f t="shared" si="384"/>
        <v>0.26250000000000001</v>
      </c>
      <c r="IX43" s="5">
        <f t="shared" si="233"/>
        <v>0.26250000000000001</v>
      </c>
      <c r="IY43" s="762">
        <f t="shared" si="234"/>
        <v>58.000000000000007</v>
      </c>
    </row>
    <row r="44" spans="1:267" ht="15" customHeight="1" x14ac:dyDescent="0.25">
      <c r="A44" s="79"/>
      <c r="B44" s="707">
        <v>-0.51423889227236308</v>
      </c>
      <c r="C44" s="708">
        <v>-2.8184805966888766</v>
      </c>
      <c r="D44" s="709">
        <v>-5.2500158340477568E-2</v>
      </c>
      <c r="E44" s="710">
        <v>0.9262591509134096</v>
      </c>
      <c r="F44" s="708">
        <v>-0.22786685119980674</v>
      </c>
      <c r="G44" s="711">
        <v>0.30020107173935101</v>
      </c>
      <c r="H44" s="710">
        <v>0.314</v>
      </c>
      <c r="I44" s="708">
        <v>0.52</v>
      </c>
      <c r="J44" s="570">
        <v>4.1130000000000004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1613</v>
      </c>
      <c r="L44" s="320"/>
      <c r="M44" s="168">
        <f t="shared" si="239"/>
        <v>4.1130000000000004</v>
      </c>
      <c r="N44" s="632">
        <f t="shared" si="240"/>
        <v>-0.51423889227236308</v>
      </c>
      <c r="O44" s="629">
        <f t="shared" si="241"/>
        <v>-2.8184805966888766</v>
      </c>
      <c r="P44" s="633">
        <f t="shared" si="242"/>
        <v>-5.2500158340477568E-2</v>
      </c>
      <c r="Q44" s="585">
        <f t="shared" si="113"/>
        <v>259.65997550413027</v>
      </c>
      <c r="R44" s="629">
        <f t="shared" si="385"/>
        <v>2.8650086408660607</v>
      </c>
      <c r="S44" s="634">
        <f t="shared" si="386"/>
        <v>-5.2500158340477568E-2</v>
      </c>
      <c r="T44" s="635">
        <f t="shared" si="387"/>
        <v>-2.8184805966888762</v>
      </c>
      <c r="U44" s="629">
        <f t="shared" si="388"/>
        <v>0.51423889227236408</v>
      </c>
      <c r="V44" s="636">
        <f t="shared" si="389"/>
        <v>-5.2500158340477568E-2</v>
      </c>
      <c r="W44" s="585">
        <f t="shared" si="224"/>
        <v>169.65997550413027</v>
      </c>
      <c r="X44" s="629">
        <f t="shared" si="390"/>
        <v>2.8650086408660607</v>
      </c>
      <c r="Y44" s="630">
        <f t="shared" si="223"/>
        <v>-5.2500158340477568E-2</v>
      </c>
      <c r="Z44" s="632">
        <f t="shared" si="243"/>
        <v>-0.9262591509134096</v>
      </c>
      <c r="AA44" s="629">
        <f t="shared" si="244"/>
        <v>0.22786685119980674</v>
      </c>
      <c r="AB44" s="629">
        <f t="shared" si="245"/>
        <v>-0.30020107173935101</v>
      </c>
      <c r="AC44" s="636">
        <f t="shared" si="391"/>
        <v>1</v>
      </c>
      <c r="AD44" s="637">
        <f t="shared" si="392"/>
        <v>-0.9262591509134096</v>
      </c>
      <c r="AE44" s="629">
        <f t="shared" si="393"/>
        <v>0.22786685119980674</v>
      </c>
      <c r="AF44" s="633">
        <f t="shared" si="394"/>
        <v>-0.30020107173935101</v>
      </c>
      <c r="AG44" s="602">
        <f t="shared" si="395"/>
        <v>37.200222266548813</v>
      </c>
      <c r="AH44" s="603">
        <f t="shared" si="396"/>
        <v>157.85899660613339</v>
      </c>
      <c r="AI44" s="585">
        <f t="shared" si="397"/>
        <v>-72.530319645389753</v>
      </c>
      <c r="AJ44" s="586">
        <f t="shared" si="398"/>
        <v>-103.82075365546</v>
      </c>
      <c r="AK44" s="635">
        <f t="shared" si="399"/>
        <v>0.95211630519793078</v>
      </c>
      <c r="AL44" s="629">
        <f t="shared" si="400"/>
        <v>-5.7912502128523669E-2</v>
      </c>
      <c r="AM44" s="634">
        <f t="shared" si="401"/>
        <v>-0.30020107173935101</v>
      </c>
      <c r="AN44" s="581">
        <f t="shared" si="402"/>
        <v>-10.918933561205927</v>
      </c>
      <c r="AO44" s="582">
        <f t="shared" si="94"/>
        <v>17.802452805283341</v>
      </c>
      <c r="AP44" s="585">
        <f t="shared" si="403"/>
        <v>-3.480729159590259</v>
      </c>
      <c r="AQ44" s="586">
        <f t="shared" si="246"/>
        <v>0.79566255106960559</v>
      </c>
      <c r="AS44" s="52">
        <f t="shared" si="406"/>
        <v>-190.34002449586973</v>
      </c>
      <c r="AT44" s="72">
        <f t="shared" si="247"/>
        <v>7.9680414226098631E-2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4.1130000000000004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IFERROR(ROUND(VALUE(IF($IH44&lt;1,$IH44+LARGE((IF($M$9:$M$150="",0,$M$9:$M$150)-MOD(IF($M$9:$M$150="",0,$M$9:$M$150),1)),1),$IH44)),4),"")</f>
        <v/>
      </c>
      <c r="IJ44" s="533">
        <f t="shared" si="112"/>
        <v>1613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-0.68924548609988856</v>
      </c>
      <c r="C45" s="708">
        <v>-3.5624475192816676</v>
      </c>
      <c r="D45" s="709">
        <v>-0.2121006396955292</v>
      </c>
      <c r="E45" s="710">
        <v>0.87839390027511222</v>
      </c>
      <c r="F45" s="708">
        <v>-0.37740109687893753</v>
      </c>
      <c r="G45" s="711">
        <v>0.29324489430176104</v>
      </c>
      <c r="H45" s="710">
        <v>0.314</v>
      </c>
      <c r="I45" s="708">
        <v>0.52</v>
      </c>
      <c r="J45" s="570">
        <v>4.1159999999999997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1613</v>
      </c>
      <c r="L45" s="320"/>
      <c r="M45" s="168">
        <f t="shared" si="239"/>
        <v>4.1159999999999997</v>
      </c>
      <c r="N45" s="632">
        <f t="shared" si="240"/>
        <v>-0.68924548609988856</v>
      </c>
      <c r="O45" s="629">
        <f t="shared" si="241"/>
        <v>-3.5624475192816676</v>
      </c>
      <c r="P45" s="633">
        <f t="shared" si="242"/>
        <v>-0.2121006396955292</v>
      </c>
      <c r="Q45" s="585">
        <f t="shared" si="113"/>
        <v>259.0499755922034</v>
      </c>
      <c r="R45" s="629">
        <f t="shared" si="385"/>
        <v>3.6285109435890059</v>
      </c>
      <c r="S45" s="634">
        <f t="shared" si="386"/>
        <v>-0.2121006396955292</v>
      </c>
      <c r="T45" s="635">
        <f t="shared" si="387"/>
        <v>-3.5624475192816676</v>
      </c>
      <c r="U45" s="629">
        <f t="shared" si="388"/>
        <v>0.68924548609988712</v>
      </c>
      <c r="V45" s="636">
        <f t="shared" si="389"/>
        <v>-0.2121006396955292</v>
      </c>
      <c r="W45" s="585">
        <f t="shared" si="224"/>
        <v>169.0499755922034</v>
      </c>
      <c r="X45" s="629">
        <f t="shared" si="390"/>
        <v>3.6285109435890059</v>
      </c>
      <c r="Y45" s="630">
        <f t="shared" si="223"/>
        <v>-0.2121006396955292</v>
      </c>
      <c r="Z45" s="632">
        <f t="shared" si="243"/>
        <v>-0.87839390027511222</v>
      </c>
      <c r="AA45" s="629">
        <f t="shared" si="244"/>
        <v>0.37740109687893753</v>
      </c>
      <c r="AB45" s="629">
        <f t="shared" si="245"/>
        <v>-0.29324489430176104</v>
      </c>
      <c r="AC45" s="636">
        <f t="shared" si="391"/>
        <v>1</v>
      </c>
      <c r="AD45" s="637">
        <f t="shared" si="392"/>
        <v>-0.87839390027511222</v>
      </c>
      <c r="AE45" s="629">
        <f t="shared" si="393"/>
        <v>0.37740109687893753</v>
      </c>
      <c r="AF45" s="633">
        <f t="shared" si="394"/>
        <v>-0.29324489430176104</v>
      </c>
      <c r="AG45" s="602">
        <f t="shared" si="395"/>
        <v>52.152391664293951</v>
      </c>
      <c r="AH45" s="603">
        <f t="shared" si="396"/>
        <v>151.44922337019258</v>
      </c>
      <c r="AI45" s="585">
        <f t="shared" si="397"/>
        <v>-72.947676648731104</v>
      </c>
      <c r="AJ45" s="586">
        <f t="shared" si="398"/>
        <v>-113.25073204447644</v>
      </c>
      <c r="AK45" s="635">
        <f t="shared" si="399"/>
        <v>0.9340895552343913</v>
      </c>
      <c r="AL45" s="629">
        <f t="shared" si="400"/>
        <v>-0.20367654447178252</v>
      </c>
      <c r="AM45" s="634">
        <f t="shared" si="401"/>
        <v>-0.29324489430176104</v>
      </c>
      <c r="AN45" s="581">
        <f t="shared" si="402"/>
        <v>-34.782346726074167</v>
      </c>
      <c r="AO45" s="582">
        <f t="shared" si="94"/>
        <v>20.918449404978816</v>
      </c>
      <c r="AP45" s="585">
        <f t="shared" si="403"/>
        <v>-12.300707636679842</v>
      </c>
      <c r="AQ45" s="586">
        <f t="shared" si="246"/>
        <v>0.62825641137749066</v>
      </c>
      <c r="AS45" s="52">
        <f t="shared" si="406"/>
        <v>-190.9500244077966</v>
      </c>
      <c r="AT45" s="72">
        <f t="shared" si="247"/>
        <v>-7.9496456079003769E-2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4.1159999999999997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IFERROR(ROUND(VALUE(IF($IH45&lt;1,$IH45+LARGE((IF($M$9:$M$150="",0,$M$9:$M$150)-MOD(IF($M$9:$M$150="",0,$M$9:$M$150),1)),1),$IH45)),4),"")</f>
        <v/>
      </c>
      <c r="IJ45" s="533">
        <f t="shared" si="112"/>
        <v>1613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-0.84936511366175149</v>
      </c>
      <c r="C46" s="708">
        <v>-4.1598865521583877</v>
      </c>
      <c r="D46" s="709">
        <v>-0.68420206355342361</v>
      </c>
      <c r="E46" s="710">
        <v>0.82750328904808856</v>
      </c>
      <c r="F46" s="708">
        <v>-0.51308489342289043</v>
      </c>
      <c r="G46" s="711">
        <v>0.22799604986888905</v>
      </c>
      <c r="H46" s="710">
        <v>0.314</v>
      </c>
      <c r="I46" s="708">
        <v>0.52</v>
      </c>
      <c r="J46" s="570">
        <v>4.1189999999999998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1613</v>
      </c>
      <c r="L46" s="320"/>
      <c r="M46" s="168">
        <f t="shared" si="239"/>
        <v>4.1189999999999998</v>
      </c>
      <c r="N46" s="632">
        <f t="shared" si="240"/>
        <v>-0.84936511366175149</v>
      </c>
      <c r="O46" s="629">
        <f t="shared" si="241"/>
        <v>-4.1598865521583877</v>
      </c>
      <c r="P46" s="633">
        <f t="shared" si="242"/>
        <v>-0.68420206355342361</v>
      </c>
      <c r="Q46" s="585">
        <f t="shared" si="113"/>
        <v>258.4599756773888</v>
      </c>
      <c r="R46" s="629">
        <f t="shared" si="385"/>
        <v>4.2457128050698199</v>
      </c>
      <c r="S46" s="634">
        <f t="shared" si="386"/>
        <v>-0.68420206355342361</v>
      </c>
      <c r="T46" s="635">
        <f t="shared" si="387"/>
        <v>-4.1598865521583877</v>
      </c>
      <c r="U46" s="629">
        <f t="shared" si="388"/>
        <v>0.84936511366175371</v>
      </c>
      <c r="V46" s="636">
        <f t="shared" si="389"/>
        <v>-0.68420206355342361</v>
      </c>
      <c r="W46" s="585">
        <f t="shared" si="224"/>
        <v>168.4599756773888</v>
      </c>
      <c r="X46" s="629">
        <f t="shared" si="390"/>
        <v>4.2457128050698199</v>
      </c>
      <c r="Y46" s="630">
        <f t="shared" si="223"/>
        <v>-0.68420206355342361</v>
      </c>
      <c r="Z46" s="632">
        <f t="shared" si="243"/>
        <v>-0.82750328904808856</v>
      </c>
      <c r="AA46" s="629">
        <f t="shared" si="244"/>
        <v>0.51308489342289043</v>
      </c>
      <c r="AB46" s="629">
        <f t="shared" si="245"/>
        <v>-0.22799604986888905</v>
      </c>
      <c r="AC46" s="636">
        <f t="shared" si="391"/>
        <v>1</v>
      </c>
      <c r="AD46" s="637">
        <f t="shared" si="392"/>
        <v>-0.82750328904808856</v>
      </c>
      <c r="AE46" s="629">
        <f t="shared" si="393"/>
        <v>0.51308489342289043</v>
      </c>
      <c r="AF46" s="633">
        <f t="shared" si="394"/>
        <v>-0.22799604986888905</v>
      </c>
      <c r="AG46" s="602">
        <f t="shared" si="395"/>
        <v>66.041397833819573</v>
      </c>
      <c r="AH46" s="603">
        <f t="shared" si="396"/>
        <v>145.84311315980909</v>
      </c>
      <c r="AI46" s="585">
        <f t="shared" si="397"/>
        <v>-76.820880520215994</v>
      </c>
      <c r="AJ46" s="586">
        <f t="shared" si="398"/>
        <v>-121.80055596464381</v>
      </c>
      <c r="AK46" s="635">
        <f t="shared" si="399"/>
        <v>0.91341934578508688</v>
      </c>
      <c r="AL46" s="629">
        <f t="shared" si="400"/>
        <v>-0.33716894873301623</v>
      </c>
      <c r="AM46" s="634">
        <f t="shared" si="401"/>
        <v>-0.22799604986888905</v>
      </c>
      <c r="AN46" s="581">
        <f t="shared" si="402"/>
        <v>-55.93316167594233</v>
      </c>
      <c r="AO46" s="582">
        <f t="shared" si="94"/>
        <v>24.017758820569263</v>
      </c>
      <c r="AP46" s="585">
        <f t="shared" si="403"/>
        <v>-20.260531642032593</v>
      </c>
      <c r="AQ46" s="586">
        <f t="shared" si="246"/>
        <v>0.53693219513396673</v>
      </c>
      <c r="AS46" s="52">
        <f t="shared" si="406"/>
        <v>-191.5400243226112</v>
      </c>
      <c r="AT46" s="72">
        <f t="shared" si="247"/>
        <v>-0.55118815777383245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4.1189999999999998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IFERROR(ROUND(VALUE(IF($IH46&lt;1,$IH46+LARGE((IF($M$9:$M$150="",0,$M$9:$M$150)-MOD(IF($M$9:$M$150="",0,$M$9:$M$150),1)),1),$IH46)),4),"")</f>
        <v/>
      </c>
      <c r="IJ46" s="533">
        <f t="shared" si="112"/>
        <v>1613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-0.94895812862362616</v>
      </c>
      <c r="C47" s="708">
        <v>-4.499227627931905</v>
      </c>
      <c r="D47" s="709">
        <v>-1.3814041663149663</v>
      </c>
      <c r="E47" s="710">
        <v>0.78362758031237012</v>
      </c>
      <c r="F47" s="708">
        <v>-0.60974085933301947</v>
      </c>
      <c r="G47" s="711">
        <v>0.1189281288577729</v>
      </c>
      <c r="H47" s="710">
        <v>0.314</v>
      </c>
      <c r="I47" s="708">
        <v>0.52</v>
      </c>
      <c r="J47" s="570">
        <v>4.1219999999999999</v>
      </c>
      <c r="K47" s="865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1613</v>
      </c>
      <c r="L47" s="320"/>
      <c r="M47" s="168">
        <f t="shared" si="239"/>
        <v>4.1219999999999999</v>
      </c>
      <c r="N47" s="632">
        <f t="shared" si="240"/>
        <v>-0.94895812862362616</v>
      </c>
      <c r="O47" s="629">
        <f t="shared" si="241"/>
        <v>-4.499227627931905</v>
      </c>
      <c r="P47" s="633">
        <f t="shared" si="242"/>
        <v>-1.3814041663149663</v>
      </c>
      <c r="Q47" s="585">
        <f t="shared" si="113"/>
        <v>258.08997573081024</v>
      </c>
      <c r="R47" s="629">
        <f t="shared" si="385"/>
        <v>4.5982138682130271</v>
      </c>
      <c r="S47" s="634">
        <f t="shared" si="386"/>
        <v>-1.3814041663149663</v>
      </c>
      <c r="T47" s="635">
        <f t="shared" si="387"/>
        <v>-4.4992276279319059</v>
      </c>
      <c r="U47" s="629">
        <f t="shared" si="388"/>
        <v>0.94895812862362316</v>
      </c>
      <c r="V47" s="636">
        <f t="shared" si="389"/>
        <v>-1.3814041663149663</v>
      </c>
      <c r="W47" s="585">
        <f t="shared" si="224"/>
        <v>168.08997573081024</v>
      </c>
      <c r="X47" s="629">
        <f t="shared" si="390"/>
        <v>4.5982138682130271</v>
      </c>
      <c r="Y47" s="630">
        <f t="shared" si="223"/>
        <v>-1.3814041663149663</v>
      </c>
      <c r="Z47" s="632">
        <f t="shared" si="243"/>
        <v>-0.78362758031237012</v>
      </c>
      <c r="AA47" s="629">
        <f t="shared" si="244"/>
        <v>0.60974085933301947</v>
      </c>
      <c r="AB47" s="629">
        <f t="shared" si="245"/>
        <v>-0.1189281288577729</v>
      </c>
      <c r="AC47" s="636">
        <f t="shared" si="391"/>
        <v>1</v>
      </c>
      <c r="AD47" s="637">
        <f t="shared" si="392"/>
        <v>-0.78362758031237012</v>
      </c>
      <c r="AE47" s="629">
        <f t="shared" si="393"/>
        <v>0.60974085933301947</v>
      </c>
      <c r="AF47" s="633">
        <f t="shared" si="394"/>
        <v>-0.1189281288577729</v>
      </c>
      <c r="AG47" s="602">
        <f t="shared" si="395"/>
        <v>78.963196450683611</v>
      </c>
      <c r="AH47" s="603">
        <f t="shared" si="396"/>
        <v>141.59392379323052</v>
      </c>
      <c r="AI47" s="585">
        <f t="shared" si="397"/>
        <v>-83.169754101452028</v>
      </c>
      <c r="AJ47" s="586">
        <f t="shared" si="398"/>
        <v>-127.88649597342608</v>
      </c>
      <c r="AK47" s="635">
        <f t="shared" si="399"/>
        <v>0.89259384661112051</v>
      </c>
      <c r="AL47" s="629">
        <f t="shared" si="400"/>
        <v>-0.43489346414766072</v>
      </c>
      <c r="AM47" s="634">
        <f t="shared" si="401"/>
        <v>-0.1189281288577729</v>
      </c>
      <c r="AN47" s="581">
        <f t="shared" si="402"/>
        <v>-74.705547811601633</v>
      </c>
      <c r="AO47" s="582">
        <f t="shared" si="94"/>
        <v>26.798979794526396</v>
      </c>
      <c r="AP47" s="585">
        <f t="shared" si="403"/>
        <v>-25.976471704236332</v>
      </c>
      <c r="AQ47" s="586">
        <f t="shared" si="246"/>
        <v>0.49577288073113496</v>
      </c>
      <c r="AS47" s="52">
        <f t="shared" si="406"/>
        <v>-191.91002426918976</v>
      </c>
      <c r="AT47" s="72">
        <f t="shared" si="247"/>
        <v>-1.248133316128029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4.1219999999999999</v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IFERROR(ROUND(VALUE(IF($IH47&lt;1,$IH47+LARGE((IF($M$9:$M$150="",0,$M$9:$M$150)-MOD(IF($M$9:$M$150="",0,$M$9:$M$150),1)),1),$IH47)),4),"")</f>
        <v/>
      </c>
      <c r="IJ47" s="533">
        <f t="shared" si="112"/>
        <v>1613</v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>
        <v>-0.99257283114060346</v>
      </c>
      <c r="C48" s="708">
        <v>-4.6457506965916204</v>
      </c>
      <c r="D48" s="709">
        <v>-2.0673062349956046</v>
      </c>
      <c r="E48" s="710">
        <v>0.72330881862056706</v>
      </c>
      <c r="F48" s="708">
        <v>-0.68926831820039813</v>
      </c>
      <c r="G48" s="711">
        <v>4.1635783058740938E-2</v>
      </c>
      <c r="H48" s="710">
        <v>0.26600000000000001</v>
      </c>
      <c r="I48" s="708">
        <v>0.52</v>
      </c>
      <c r="J48" s="570">
        <v>4.125</v>
      </c>
      <c r="K48" s="865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1313</v>
      </c>
      <c r="L48" s="320"/>
      <c r="M48" s="168">
        <f t="shared" si="239"/>
        <v>4.125</v>
      </c>
      <c r="N48" s="632">
        <f t="shared" si="240"/>
        <v>-0.99257283114060346</v>
      </c>
      <c r="O48" s="629">
        <f t="shared" si="241"/>
        <v>-4.6457506965916204</v>
      </c>
      <c r="P48" s="633">
        <f t="shared" si="242"/>
        <v>-2.0673062349956046</v>
      </c>
      <c r="Q48" s="585">
        <f t="shared" si="113"/>
        <v>257.93997545504038</v>
      </c>
      <c r="R48" s="629">
        <f t="shared" si="79"/>
        <v>4.7505999999999995</v>
      </c>
      <c r="S48" s="634">
        <f t="shared" si="80"/>
        <v>-2.0673062349956046</v>
      </c>
      <c r="T48" s="635">
        <f t="shared" si="81"/>
        <v>-4.6457506965916204</v>
      </c>
      <c r="U48" s="629">
        <f t="shared" si="82"/>
        <v>0.99257283114060124</v>
      </c>
      <c r="V48" s="636">
        <f t="shared" si="114"/>
        <v>-2.0673062349956046</v>
      </c>
      <c r="W48" s="585">
        <f t="shared" si="224"/>
        <v>167.93997545504038</v>
      </c>
      <c r="X48" s="629">
        <f t="shared" si="83"/>
        <v>4.7505999999999995</v>
      </c>
      <c r="Y48" s="630">
        <f t="shared" si="223"/>
        <v>-2.0673062349956046</v>
      </c>
      <c r="Z48" s="632">
        <f t="shared" si="243"/>
        <v>-0.72330881862056706</v>
      </c>
      <c r="AA48" s="629">
        <f t="shared" si="244"/>
        <v>0.68926831820039813</v>
      </c>
      <c r="AB48" s="629">
        <f t="shared" si="245"/>
        <v>-4.1635783058740938E-2</v>
      </c>
      <c r="AC48" s="636">
        <f t="shared" si="84"/>
        <v>1</v>
      </c>
      <c r="AD48" s="637">
        <f t="shared" si="115"/>
        <v>-0.72330881862056706</v>
      </c>
      <c r="AE48" s="629">
        <f t="shared" si="85"/>
        <v>0.68926831820039813</v>
      </c>
      <c r="AF48" s="633">
        <f t="shared" si="86"/>
        <v>-4.1635783058740938E-2</v>
      </c>
      <c r="AG48" s="602">
        <f t="shared" si="87"/>
        <v>86.543204724499006</v>
      </c>
      <c r="AH48" s="603">
        <f t="shared" si="88"/>
        <v>136.32834270049011</v>
      </c>
      <c r="AI48" s="585">
        <f t="shared" si="89"/>
        <v>-87.613755574007882</v>
      </c>
      <c r="AJ48" s="586">
        <f t="shared" si="90"/>
        <v>-133.61954469909767</v>
      </c>
      <c r="AK48" s="635">
        <f t="shared" si="211"/>
        <v>0.85135802929504734</v>
      </c>
      <c r="AL48" s="629">
        <f t="shared" si="91"/>
        <v>-0.52293017461601798</v>
      </c>
      <c r="AM48" s="634">
        <f t="shared" si="92"/>
        <v>-4.1635783058740938E-2</v>
      </c>
      <c r="AN48" s="581">
        <f t="shared" si="93"/>
        <v>-85.44770434319075</v>
      </c>
      <c r="AO48" s="582">
        <f t="shared" si="94"/>
        <v>31.640315229482773</v>
      </c>
      <c r="AP48" s="585">
        <f t="shared" si="95"/>
        <v>-31.559520154138053</v>
      </c>
      <c r="AQ48" s="586">
        <f t="shared" si="246"/>
        <v>0.47987061152677774</v>
      </c>
      <c r="AS48" s="52">
        <f t="shared" si="406"/>
        <v>-192.06002454495962</v>
      </c>
      <c r="AT48" s="72">
        <f t="shared" si="247"/>
        <v>-1.9339312179504937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4.125</v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IFERROR(ROUND(VALUE(IF($IH48&lt;1,$IH48+LARGE((IF($M$9:$M$150="",0,$M$9:$M$150)-MOD(IF($M$9:$M$150="",0,$M$9:$M$150),1)),1),$IH48)),4),"")</f>
        <v/>
      </c>
      <c r="IJ48" s="533">
        <f t="shared" si="112"/>
        <v>1313</v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>
        <v>-1.5777176134920003</v>
      </c>
      <c r="C49" s="708">
        <v>-3.7459151014188836</v>
      </c>
      <c r="D49" s="709">
        <v>-0.49870150408373654</v>
      </c>
      <c r="E49" s="710">
        <v>0.71191811744193079</v>
      </c>
      <c r="F49" s="708">
        <v>-0.64068868038085824</v>
      </c>
      <c r="G49" s="711">
        <v>0.28755974838243936</v>
      </c>
      <c r="H49" s="710">
        <v>0.26600000000000001</v>
      </c>
      <c r="I49" s="708">
        <v>0.52</v>
      </c>
      <c r="J49" s="570">
        <v>4.218</v>
      </c>
      <c r="K49" s="865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1313</v>
      </c>
      <c r="L49" s="320"/>
      <c r="M49" s="168">
        <f t="shared" si="239"/>
        <v>4.218</v>
      </c>
      <c r="N49" s="632">
        <f t="shared" si="240"/>
        <v>-1.5777176134920003</v>
      </c>
      <c r="O49" s="629">
        <f t="shared" si="241"/>
        <v>-3.7459151014188836</v>
      </c>
      <c r="P49" s="633">
        <f t="shared" si="242"/>
        <v>-0.49870150408373654</v>
      </c>
      <c r="Q49" s="585">
        <f t="shared" si="113"/>
        <v>247.15997730890672</v>
      </c>
      <c r="R49" s="629">
        <f t="shared" si="79"/>
        <v>4.0646122588705724</v>
      </c>
      <c r="S49" s="634">
        <f t="shared" si="80"/>
        <v>-0.49870150408373654</v>
      </c>
      <c r="T49" s="635">
        <f t="shared" si="81"/>
        <v>-3.7459151014188836</v>
      </c>
      <c r="U49" s="629">
        <f t="shared" si="82"/>
        <v>1.5777176134920006</v>
      </c>
      <c r="V49" s="636">
        <f t="shared" si="114"/>
        <v>-0.49870150408373654</v>
      </c>
      <c r="W49" s="585">
        <f t="shared" si="224"/>
        <v>157.15997730890672</v>
      </c>
      <c r="X49" s="629">
        <f t="shared" si="83"/>
        <v>4.0646122588705724</v>
      </c>
      <c r="Y49" s="630">
        <f t="shared" si="223"/>
        <v>-0.49870150408373654</v>
      </c>
      <c r="Z49" s="632">
        <f t="shared" si="243"/>
        <v>-0.71191811744193079</v>
      </c>
      <c r="AA49" s="629">
        <f t="shared" si="244"/>
        <v>0.64068868038085824</v>
      </c>
      <c r="AB49" s="629">
        <f t="shared" si="245"/>
        <v>-0.28755974838243936</v>
      </c>
      <c r="AC49" s="636">
        <f t="shared" si="84"/>
        <v>1</v>
      </c>
      <c r="AD49" s="637">
        <f t="shared" si="115"/>
        <v>-0.71191811744193079</v>
      </c>
      <c r="AE49" s="629">
        <f t="shared" si="85"/>
        <v>0.64068868038085824</v>
      </c>
      <c r="AF49" s="633">
        <f t="shared" si="86"/>
        <v>-0.28755974838243936</v>
      </c>
      <c r="AG49" s="602">
        <f t="shared" si="87"/>
        <v>65.828067418253653</v>
      </c>
      <c r="AH49" s="603">
        <f t="shared" si="88"/>
        <v>135.39119370274278</v>
      </c>
      <c r="AI49" s="585">
        <f t="shared" si="89"/>
        <v>-73.288082018937672</v>
      </c>
      <c r="AJ49" s="586">
        <f t="shared" si="90"/>
        <v>-131.98553945864049</v>
      </c>
      <c r="AK49" s="635">
        <f t="shared" si="211"/>
        <v>0.90478756857441289</v>
      </c>
      <c r="AL49" s="629">
        <f t="shared" si="91"/>
        <v>-0.3141159767720042</v>
      </c>
      <c r="AM49" s="634">
        <f t="shared" si="92"/>
        <v>-0.28755974838243936</v>
      </c>
      <c r="AN49" s="581">
        <f t="shared" si="93"/>
        <v>-47.527229957607467</v>
      </c>
      <c r="AO49" s="582">
        <f t="shared" si="94"/>
        <v>25.205312699631101</v>
      </c>
      <c r="AP49" s="585">
        <f t="shared" si="95"/>
        <v>-19.145516767547214</v>
      </c>
      <c r="AQ49" s="586">
        <f t="shared" si="246"/>
        <v>0.56085394427426916</v>
      </c>
      <c r="AS49" s="52">
        <f t="shared" si="406"/>
        <v>-202.84002269109328</v>
      </c>
      <c r="AT49" s="72">
        <f t="shared" si="247"/>
        <v>-0.35784037721492179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>Taper</v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4.218</v>
      </c>
      <c r="IH49" s="731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>3.1179999999999999</v>
      </c>
      <c r="II49" s="734" cm="1">
        <f t="array" ref="II49">IFERROR(ROUND(VALUE(IF($IH49&lt;1,$IH49+LARGE((IF($M$9:$M$150="",0,$M$9:$M$150)-MOD(IF($M$9:$M$150="",0,$M$9:$M$150),1)),1),$IH49)),4),"")</f>
        <v>3.1179999999999999</v>
      </c>
      <c r="IJ49" s="533">
        <f t="shared" si="112"/>
        <v>1613</v>
      </c>
      <c r="IK49" s="533">
        <f t="shared" si="382"/>
        <v>1313</v>
      </c>
      <c r="IL49" s="727">
        <f t="shared" si="225"/>
        <v>76.479988957655848</v>
      </c>
      <c r="IM49" s="759">
        <v>4.80749842675482E-2</v>
      </c>
      <c r="IN49" s="5">
        <f t="shared" si="226"/>
        <v>0.24</v>
      </c>
      <c r="IO49" s="771">
        <v>120</v>
      </c>
      <c r="IP49" s="9">
        <f t="shared" si="227"/>
        <v>-4.0658122624897848</v>
      </c>
      <c r="IQ49" s="5">
        <f t="shared" si="228"/>
        <v>-0.4973014998613236</v>
      </c>
      <c r="IR49" s="5">
        <f t="shared" si="383"/>
        <v>0.314</v>
      </c>
      <c r="IS49" s="5">
        <f t="shared" si="229"/>
        <v>0.28834469722062378</v>
      </c>
      <c r="IT49" s="727">
        <f t="shared" si="230"/>
        <v>49.021244910827463</v>
      </c>
      <c r="IU49" s="9">
        <f t="shared" si="231"/>
        <v>-4.0646122588705724</v>
      </c>
      <c r="IV49" s="5">
        <f t="shared" si="232"/>
        <v>-0.49870150408373654</v>
      </c>
      <c r="IW49" s="5">
        <f t="shared" si="384"/>
        <v>0.26600000000000001</v>
      </c>
      <c r="IX49" s="5">
        <f t="shared" si="233"/>
        <v>0.24067349324079385</v>
      </c>
      <c r="IY49" s="762">
        <f t="shared" si="234"/>
        <v>47.527229957607467</v>
      </c>
    </row>
    <row r="50" spans="1:259" ht="15" customHeight="1" x14ac:dyDescent="0.25">
      <c r="A50" s="79"/>
      <c r="B50" s="707">
        <v>-1.7311942742041728</v>
      </c>
      <c r="C50" s="708">
        <v>-4.1712290580316864</v>
      </c>
      <c r="D50" s="709">
        <v>-1.135703425281531</v>
      </c>
      <c r="E50" s="710">
        <v>0.65428060761688123</v>
      </c>
      <c r="F50" s="708">
        <v>-0.73500506747521666</v>
      </c>
      <c r="G50" s="711">
        <v>0.1780012283166528</v>
      </c>
      <c r="H50" s="710">
        <v>0.26600000000000001</v>
      </c>
      <c r="I50" s="708">
        <v>0.52</v>
      </c>
      <c r="J50" s="570">
        <v>4.2210000000000001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1313</v>
      </c>
      <c r="L50" s="320"/>
      <c r="M50" s="168">
        <f t="shared" si="239"/>
        <v>4.2210000000000001</v>
      </c>
      <c r="N50" s="632">
        <f t="shared" si="240"/>
        <v>-1.7311942742041728</v>
      </c>
      <c r="O50" s="629">
        <f t="shared" si="241"/>
        <v>-4.1712290580316864</v>
      </c>
      <c r="P50" s="633">
        <f t="shared" si="242"/>
        <v>-1.135703425281531</v>
      </c>
      <c r="Q50" s="585">
        <f t="shared" si="113"/>
        <v>247.4599772655921</v>
      </c>
      <c r="R50" s="629">
        <f t="shared" si="79"/>
        <v>4.516213620900281</v>
      </c>
      <c r="S50" s="634">
        <f t="shared" si="80"/>
        <v>-1.135703425281531</v>
      </c>
      <c r="T50" s="635">
        <f t="shared" si="81"/>
        <v>-4.1712290580316873</v>
      </c>
      <c r="U50" s="629">
        <f t="shared" si="82"/>
        <v>1.7311942742041726</v>
      </c>
      <c r="V50" s="636">
        <f t="shared" si="114"/>
        <v>-1.135703425281531</v>
      </c>
      <c r="W50" s="585">
        <f t="shared" si="224"/>
        <v>157.4599772655921</v>
      </c>
      <c r="X50" s="629">
        <f t="shared" si="83"/>
        <v>4.516213620900281</v>
      </c>
      <c r="Y50" s="630">
        <f t="shared" si="223"/>
        <v>-1.135703425281531</v>
      </c>
      <c r="Z50" s="632">
        <f t="shared" si="243"/>
        <v>-0.65428060761688123</v>
      </c>
      <c r="AA50" s="629">
        <f t="shared" si="244"/>
        <v>0.73500506747521666</v>
      </c>
      <c r="AB50" s="629">
        <f t="shared" si="245"/>
        <v>-0.1780012283166528</v>
      </c>
      <c r="AC50" s="636">
        <f t="shared" si="84"/>
        <v>1</v>
      </c>
      <c r="AD50" s="637">
        <f t="shared" si="115"/>
        <v>-0.65428060761688123</v>
      </c>
      <c r="AE50" s="629">
        <f t="shared" si="85"/>
        <v>0.73500506747521666</v>
      </c>
      <c r="AF50" s="633">
        <f t="shared" si="86"/>
        <v>-0.1780012283166528</v>
      </c>
      <c r="AG50" s="602">
        <f t="shared" si="87"/>
        <v>76.386392445191021</v>
      </c>
      <c r="AH50" s="603">
        <f t="shared" si="88"/>
        <v>130.86512429945739</v>
      </c>
      <c r="AI50" s="585">
        <f t="shared" si="89"/>
        <v>-79.746641398094951</v>
      </c>
      <c r="AJ50" s="586">
        <f t="shared" si="90"/>
        <v>-138.32543284618896</v>
      </c>
      <c r="AK50" s="635">
        <f t="shared" si="211"/>
        <v>0.88604994865690512</v>
      </c>
      <c r="AL50" s="629">
        <f t="shared" si="91"/>
        <v>-0.42805496282937627</v>
      </c>
      <c r="AM50" s="634">
        <f t="shared" si="92"/>
        <v>-0.1780012283166528</v>
      </c>
      <c r="AN50" s="581">
        <f t="shared" si="93"/>
        <v>-67.42063576199979</v>
      </c>
      <c r="AO50" s="582">
        <f t="shared" si="94"/>
        <v>27.618993457971211</v>
      </c>
      <c r="AP50" s="585">
        <f t="shared" si="95"/>
        <v>-25.785410111781083</v>
      </c>
      <c r="AQ50" s="586">
        <f t="shared" si="246"/>
        <v>0.50477409667607875</v>
      </c>
      <c r="AS50" s="52">
        <f t="shared" si="406"/>
        <v>-202.5400227344079</v>
      </c>
      <c r="AT50" s="72">
        <f t="shared" si="247"/>
        <v>-0.99505063171596997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>Taper</v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4.2210000000000001</v>
      </c>
      <c r="IH50" s="731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>3.121</v>
      </c>
      <c r="II50" s="734" cm="1">
        <f t="array" ref="II50">IFERROR(ROUND(VALUE(IF($IH50&lt;1,$IH50+LARGE((IF($M$9:$M$150="",0,$M$9:$M$150)-MOD(IF($M$9:$M$150="",0,$M$9:$M$150),1)),1),$IH50)),4),"")</f>
        <v>3.121</v>
      </c>
      <c r="IJ50" s="533">
        <f t="shared" si="112"/>
        <v>1613</v>
      </c>
      <c r="IK50" s="533">
        <f t="shared" si="382"/>
        <v>1313</v>
      </c>
      <c r="IL50" s="727">
        <f t="shared" si="225"/>
        <v>75.719989067386223</v>
      </c>
      <c r="IM50" s="759">
        <v>4.6653668434130199E-2</v>
      </c>
      <c r="IN50" s="5">
        <f t="shared" si="226"/>
        <v>0.24</v>
      </c>
      <c r="IO50" s="771">
        <v>120</v>
      </c>
      <c r="IP50" s="9">
        <f t="shared" si="227"/>
        <v>-4.5163136212018804</v>
      </c>
      <c r="IQ50" s="5">
        <f t="shared" si="228"/>
        <v>-1.1356034249799296</v>
      </c>
      <c r="IR50" s="5">
        <f t="shared" si="383"/>
        <v>0.314</v>
      </c>
      <c r="IS50" s="5">
        <f t="shared" si="229"/>
        <v>0.28278594879680286</v>
      </c>
      <c r="IT50" s="727">
        <f t="shared" si="230"/>
        <v>68.908751930065463</v>
      </c>
      <c r="IU50" s="9">
        <f t="shared" si="231"/>
        <v>-4.516213620900281</v>
      </c>
      <c r="IV50" s="5">
        <f t="shared" si="232"/>
        <v>-1.135703425281531</v>
      </c>
      <c r="IW50" s="5">
        <f t="shared" si="384"/>
        <v>0.26600000000000001</v>
      </c>
      <c r="IX50" s="5">
        <f t="shared" si="233"/>
        <v>0.23568928634273678</v>
      </c>
      <c r="IY50" s="762">
        <f t="shared" si="234"/>
        <v>67.42063576199979</v>
      </c>
    </row>
    <row r="51" spans="1:259" ht="15" customHeight="1" x14ac:dyDescent="0.25">
      <c r="A51" s="79"/>
      <c r="B51" s="707">
        <v>-0.45877444745700119</v>
      </c>
      <c r="C51" s="708">
        <v>-0.21392987635621602</v>
      </c>
      <c r="D51" s="709">
        <v>-0.49460149171809903</v>
      </c>
      <c r="E51" s="710">
        <v>0.40821764411847367</v>
      </c>
      <c r="F51" s="708">
        <v>-0.87542622523097635</v>
      </c>
      <c r="G51" s="711">
        <v>0.25881900859134599</v>
      </c>
      <c r="H51" s="710">
        <v>0.26600000000000001</v>
      </c>
      <c r="I51" s="708">
        <v>0.52</v>
      </c>
      <c r="J51" s="570">
        <v>5.1020000000000003</v>
      </c>
      <c r="K51" s="865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1313</v>
      </c>
      <c r="L51" s="320"/>
      <c r="M51" s="168">
        <f t="shared" si="239"/>
        <v>5.1020000000000003</v>
      </c>
      <c r="N51" s="632">
        <f t="shared" si="240"/>
        <v>-0.45877444745700119</v>
      </c>
      <c r="O51" s="629">
        <f t="shared" si="241"/>
        <v>-0.21392987635621602</v>
      </c>
      <c r="P51" s="633">
        <f t="shared" si="242"/>
        <v>-0.49460149171809903</v>
      </c>
      <c r="Q51" s="585">
        <f t="shared" si="113"/>
        <v>204.99998339605673</v>
      </c>
      <c r="R51" s="629">
        <f t="shared" si="79"/>
        <v>0.50620152670380458</v>
      </c>
      <c r="S51" s="634">
        <f t="shared" si="80"/>
        <v>-0.49460149171809903</v>
      </c>
      <c r="T51" s="635">
        <f t="shared" si="81"/>
        <v>-0.21392987635621605</v>
      </c>
      <c r="U51" s="629">
        <f t="shared" si="82"/>
        <v>0.45877444745700113</v>
      </c>
      <c r="V51" s="636">
        <f t="shared" si="114"/>
        <v>-0.49460149171809903</v>
      </c>
      <c r="W51" s="585">
        <f t="shared" si="224"/>
        <v>114.99998339605673</v>
      </c>
      <c r="X51" s="629">
        <f t="shared" si="83"/>
        <v>0.50620152670380458</v>
      </c>
      <c r="Y51" s="630">
        <f t="shared" si="223"/>
        <v>-0.49460149171809903</v>
      </c>
      <c r="Z51" s="632">
        <f t="shared" si="243"/>
        <v>-0.40821764411847367</v>
      </c>
      <c r="AA51" s="629">
        <f t="shared" si="244"/>
        <v>0.87542622523097635</v>
      </c>
      <c r="AB51" s="629">
        <f t="shared" si="245"/>
        <v>-0.25881900859134599</v>
      </c>
      <c r="AC51" s="636">
        <f t="shared" si="84"/>
        <v>1</v>
      </c>
      <c r="AD51" s="637">
        <f t="shared" si="115"/>
        <v>-0.40821764411847367</v>
      </c>
      <c r="AE51" s="629">
        <f t="shared" si="85"/>
        <v>0.87542622523097635</v>
      </c>
      <c r="AF51" s="633">
        <f t="shared" si="86"/>
        <v>-0.25881900859134599</v>
      </c>
      <c r="AG51" s="602">
        <f t="shared" si="87"/>
        <v>73.529731540060425</v>
      </c>
      <c r="AH51" s="603">
        <f t="shared" si="88"/>
        <v>114.09291906762731</v>
      </c>
      <c r="AI51" s="585">
        <f t="shared" si="89"/>
        <v>-75.000002165731729</v>
      </c>
      <c r="AJ51" s="586">
        <f t="shared" si="90"/>
        <v>-155.00001660394327</v>
      </c>
      <c r="AK51" s="635">
        <f t="shared" si="211"/>
        <v>0.96592583607220739</v>
      </c>
      <c r="AL51" s="629">
        <f t="shared" si="91"/>
        <v>-4.4408920985006262E-16</v>
      </c>
      <c r="AM51" s="634">
        <f t="shared" si="92"/>
        <v>-0.25881900859134599</v>
      </c>
      <c r="AN51" s="581">
        <f t="shared" si="93"/>
        <v>-9.8309770948403621E-14</v>
      </c>
      <c r="AO51" s="582">
        <f t="shared" si="94"/>
        <v>14.999997834268255</v>
      </c>
      <c r="AP51" s="585">
        <f t="shared" si="95"/>
        <v>-2.634201975088908E-14</v>
      </c>
      <c r="AQ51" s="586">
        <f t="shared" si="246"/>
        <v>4.494354219563415</v>
      </c>
      <c r="AS51" s="52">
        <f t="shared" si="406"/>
        <v>-245.00001660394327</v>
      </c>
      <c r="AT51" s="72">
        <f t="shared" si="247"/>
        <v>-0.32446259129869398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5.1020000000000003</v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IFERROR(ROUND(VALUE(IF($IH51&lt;1,$IH51+LARGE((IF($M$9:$M$150="",0,$M$9:$M$150)-MOD(IF($M$9:$M$150="",0,$M$9:$M$150),1)),1),$IH51)),4),"")</f>
        <v/>
      </c>
      <c r="IJ51" s="533">
        <f t="shared" si="112"/>
        <v>1313</v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>
        <v>-1.0269405895170447</v>
      </c>
      <c r="C52" s="708">
        <v>-0.47886989905023347</v>
      </c>
      <c r="D52" s="709">
        <v>-0.35560107249283468</v>
      </c>
      <c r="E52" s="710">
        <v>0.40821764411847383</v>
      </c>
      <c r="F52" s="708">
        <v>-0.87542622523097635</v>
      </c>
      <c r="G52" s="711">
        <v>0.25881900859134593</v>
      </c>
      <c r="H52" s="710">
        <v>0.26600000000000001</v>
      </c>
      <c r="I52" s="708">
        <v>0.52</v>
      </c>
      <c r="J52" s="570">
        <v>5.1050000000000004</v>
      </c>
      <c r="K52" s="865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1313</v>
      </c>
      <c r="L52" s="320"/>
      <c r="M52" s="168">
        <f t="shared" si="239"/>
        <v>5.1050000000000004</v>
      </c>
      <c r="N52" s="632">
        <f t="shared" si="240"/>
        <v>-1.0269405895170447</v>
      </c>
      <c r="O52" s="629">
        <f t="shared" si="241"/>
        <v>-0.47886989905023347</v>
      </c>
      <c r="P52" s="633">
        <f t="shared" si="242"/>
        <v>-0.35560107249283468</v>
      </c>
      <c r="Q52" s="585">
        <f t="shared" si="113"/>
        <v>204.99998339605673</v>
      </c>
      <c r="R52" s="629">
        <f t="shared" si="79"/>
        <v>1.1331034174399071</v>
      </c>
      <c r="S52" s="634">
        <f t="shared" si="80"/>
        <v>-0.35560107249283468</v>
      </c>
      <c r="T52" s="635">
        <f t="shared" si="81"/>
        <v>-0.47886989905023392</v>
      </c>
      <c r="U52" s="629">
        <f t="shared" si="82"/>
        <v>1.0269405895170447</v>
      </c>
      <c r="V52" s="636">
        <f t="shared" si="114"/>
        <v>-0.35560107249283468</v>
      </c>
      <c r="W52" s="585">
        <f t="shared" si="224"/>
        <v>114.99998339605673</v>
      </c>
      <c r="X52" s="629">
        <f t="shared" si="83"/>
        <v>1.1331034174399071</v>
      </c>
      <c r="Y52" s="630">
        <f t="shared" si="223"/>
        <v>-0.35560107249283468</v>
      </c>
      <c r="Z52" s="632">
        <f t="shared" si="243"/>
        <v>-0.40821764411847383</v>
      </c>
      <c r="AA52" s="629">
        <f t="shared" si="244"/>
        <v>0.87542622523097635</v>
      </c>
      <c r="AB52" s="629">
        <f t="shared" si="245"/>
        <v>-0.25881900859134593</v>
      </c>
      <c r="AC52" s="636">
        <f t="shared" si="84"/>
        <v>1</v>
      </c>
      <c r="AD52" s="637">
        <f t="shared" si="115"/>
        <v>-0.40821764411847383</v>
      </c>
      <c r="AE52" s="629">
        <f t="shared" si="85"/>
        <v>0.87542622523097635</v>
      </c>
      <c r="AF52" s="633">
        <f t="shared" si="86"/>
        <v>-0.25881900859134593</v>
      </c>
      <c r="AG52" s="602">
        <f t="shared" si="87"/>
        <v>73.529731540060425</v>
      </c>
      <c r="AH52" s="603">
        <f t="shared" si="88"/>
        <v>114.09291906762731</v>
      </c>
      <c r="AI52" s="585">
        <f t="shared" si="89"/>
        <v>-75.000002165731729</v>
      </c>
      <c r="AJ52" s="586">
        <f t="shared" si="90"/>
        <v>-155.00001660394327</v>
      </c>
      <c r="AK52" s="635">
        <f t="shared" si="211"/>
        <v>0.9659258360722075</v>
      </c>
      <c r="AL52" s="629">
        <f t="shared" si="91"/>
        <v>-3.3306690738754696E-16</v>
      </c>
      <c r="AM52" s="634">
        <f t="shared" si="92"/>
        <v>-0.25881900859134593</v>
      </c>
      <c r="AN52" s="581">
        <f t="shared" si="93"/>
        <v>-7.3732328211302732E-14</v>
      </c>
      <c r="AO52" s="582">
        <f t="shared" si="94"/>
        <v>14.99999783426823</v>
      </c>
      <c r="AP52" s="585">
        <f t="shared" si="95"/>
        <v>-1.975651481316681E-14</v>
      </c>
      <c r="AQ52" s="586">
        <f t="shared" si="246"/>
        <v>2.0111053261228213</v>
      </c>
      <c r="AS52" s="52">
        <f t="shared" si="406"/>
        <v>-245.00001660394327</v>
      </c>
      <c r="AT52" s="72">
        <f t="shared" si="247"/>
        <v>-0.18546217207342963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5.1050000000000004</v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IFERROR(ROUND(VALUE(IF($IH52&lt;1,$IH52+LARGE((IF($M$9:$M$150="",0,$M$9:$M$150)-MOD(IF($M$9:$M$150="",0,$M$9:$M$150),1)),1),$IH52)),4),"")</f>
        <v/>
      </c>
      <c r="IJ52" s="533">
        <f t="shared" si="112"/>
        <v>1313</v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>
        <v>-1.5950161005127943</v>
      </c>
      <c r="C53" s="708">
        <v>-0.74376765981687964</v>
      </c>
      <c r="D53" s="709">
        <v>-0.21660065326757019</v>
      </c>
      <c r="E53" s="710">
        <v>0.40821764411847355</v>
      </c>
      <c r="F53" s="708">
        <v>-0.87542622523097646</v>
      </c>
      <c r="G53" s="711">
        <v>0.25881900859134593</v>
      </c>
      <c r="H53" s="710">
        <v>0.26600000000000001</v>
      </c>
      <c r="I53" s="708">
        <v>0.52</v>
      </c>
      <c r="J53" s="570">
        <v>5.1079999999999997</v>
      </c>
      <c r="K53" s="865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1313</v>
      </c>
      <c r="L53" s="320"/>
      <c r="M53" s="168">
        <f t="shared" si="239"/>
        <v>5.1079999999999997</v>
      </c>
      <c r="N53" s="632">
        <f t="shared" si="240"/>
        <v>-1.5950161005127943</v>
      </c>
      <c r="O53" s="629">
        <f t="shared" si="241"/>
        <v>-0.74376765981687964</v>
      </c>
      <c r="P53" s="633">
        <f t="shared" si="242"/>
        <v>-0.21660065326757019</v>
      </c>
      <c r="Q53" s="585">
        <f t="shared" si="113"/>
        <v>204.99998339605673</v>
      </c>
      <c r="R53" s="629">
        <f t="shared" ref="R53:R58" si="410">IF(M53="","",SQRT(N53^2+O53^2))</f>
        <v>1.7599053078744089</v>
      </c>
      <c r="S53" s="634">
        <f t="shared" ref="S53:S58" si="411">IF(M53="","",P53)</f>
        <v>-0.21660065326757019</v>
      </c>
      <c r="T53" s="635">
        <f t="shared" ref="T53:T58" si="412">IF(M53="","",X53*COS(RADIANS(W53)))</f>
        <v>-0.74376765981688009</v>
      </c>
      <c r="U53" s="629">
        <f t="shared" ref="U53:U58" si="413">IF(M53="","",X53*SIN(RADIANS(W53)))</f>
        <v>1.5950161005127941</v>
      </c>
      <c r="V53" s="636">
        <f t="shared" ref="V53:V58" si="414">IF(M53="","",Y53)</f>
        <v>-0.21660065326757019</v>
      </c>
      <c r="W53" s="585">
        <f t="shared" si="224"/>
        <v>114.99998339605673</v>
      </c>
      <c r="X53" s="629">
        <f t="shared" ref="X53:X58" si="415">IF(M53="","",R53)</f>
        <v>1.7599053078744089</v>
      </c>
      <c r="Y53" s="630">
        <f t="shared" si="223"/>
        <v>-0.21660065326757019</v>
      </c>
      <c r="Z53" s="632">
        <f t="shared" si="243"/>
        <v>-0.40821764411847355</v>
      </c>
      <c r="AA53" s="629">
        <f t="shared" si="244"/>
        <v>0.87542622523097646</v>
      </c>
      <c r="AB53" s="629">
        <f t="shared" si="245"/>
        <v>-0.25881900859134593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-0.40821764411847355</v>
      </c>
      <c r="AE53" s="629">
        <f t="shared" ref="AE53:AE58" si="418">IF(M53="","",AA53*(1/SQRT(Z53^2+AA53^2+AB53^2)))</f>
        <v>0.87542622523097646</v>
      </c>
      <c r="AF53" s="633">
        <f t="shared" ref="AF53:AF58" si="419">IF(M53="","",AB53*(1/SQRT(Z53^2+AA53^2+AB53^2)))</f>
        <v>-0.25881900859134593</v>
      </c>
      <c r="AG53" s="602">
        <f t="shared" ref="AG53:AG58" si="420">IF(M53="","",DEGREES(ATAN2(-AF53,AE53)))</f>
        <v>73.529731540060425</v>
      </c>
      <c r="AH53" s="603">
        <f t="shared" ref="AH53:AH58" si="421">IF(M53="","",DEGREES(ACOS(AD53)))</f>
        <v>114.09291906762729</v>
      </c>
      <c r="AI53" s="585">
        <f t="shared" ref="AI53:AI58" si="422">IF(M53="","",DEGREES(-ACOS(-AF53)))</f>
        <v>-75.000002165731729</v>
      </c>
      <c r="AJ53" s="586">
        <f t="shared" ref="AJ53:AJ58" si="423">IF(M53="","",DEGREES(ATAN2(-AE53,AD53)))</f>
        <v>-155.00001660394329</v>
      </c>
      <c r="AK53" s="635">
        <f t="shared" ref="AK53:AK58" si="424">IF(M53="","",(COS(RADIANS((90-$Q$8)-W53))*AD53)+(-SIN(RADIANS((90-$Q$8)-W53))*AE53))</f>
        <v>0.9659258360722075</v>
      </c>
      <c r="AL53" s="629">
        <f t="shared" ref="AL53:AL58" si="425">IF(M53="","",(SIN(RADIANS((90-$Q$8)-W53))*AD53)+(COS(RADIANS((90-$Q$8)-W53))*AE53))</f>
        <v>-6.106226635438361E-16</v>
      </c>
      <c r="AM53" s="634">
        <f t="shared" ref="AM53:AM58" si="426">IF(M53="","",AF53)</f>
        <v>-0.25881900859134593</v>
      </c>
      <c r="AN53" s="581">
        <f t="shared" ref="AN53:AN58" si="427">IF(M53="","",DEGREES(ATAN2(-AM53,AL53)))</f>
        <v>-1.3517593505405501E-13</v>
      </c>
      <c r="AO53" s="582">
        <f t="shared" si="94"/>
        <v>14.99999783426823</v>
      </c>
      <c r="AP53" s="585">
        <f t="shared" ref="AP53:AP58" si="428">IF(M53="","",DEGREES(ATAN2(AK53,AL53)))</f>
        <v>-3.622027715747248E-14</v>
      </c>
      <c r="AQ53" s="586">
        <f t="shared" si="246"/>
        <v>1.2951482783713384</v>
      </c>
      <c r="AS53" s="52">
        <f t="shared" si="406"/>
        <v>-245.00001660394327</v>
      </c>
      <c r="AT53" s="72">
        <f t="shared" si="247"/>
        <v>-4.6461752848165144E-2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5.1079999999999997</v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IFERROR(ROUND(VALUE(IF($IH53&lt;1,$IH53+LARGE((IF($M$9:$M$150="",0,$M$9:$M$150)-MOD(IF($M$9:$M$150="",0,$M$9:$M$150),1)),1),$IH53)),4),"")</f>
        <v/>
      </c>
      <c r="IJ53" s="533">
        <f t="shared" si="112"/>
        <v>1313</v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>
        <v>-2.1631822425728378</v>
      </c>
      <c r="C54" s="708">
        <v>-1.0087076825108976</v>
      </c>
      <c r="D54" s="709">
        <v>-7.7600234042305788E-2</v>
      </c>
      <c r="E54" s="710">
        <v>0.40821764411847389</v>
      </c>
      <c r="F54" s="708">
        <v>-0.87542622523097635</v>
      </c>
      <c r="G54" s="711">
        <v>0.25881900859134593</v>
      </c>
      <c r="H54" s="710">
        <v>0.26600000000000001</v>
      </c>
      <c r="I54" s="708">
        <v>0.52</v>
      </c>
      <c r="J54" s="570">
        <v>5.1109999999999998</v>
      </c>
      <c r="K54" s="865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1313</v>
      </c>
      <c r="L54" s="320"/>
      <c r="M54" s="168">
        <f t="shared" si="239"/>
        <v>5.1109999999999998</v>
      </c>
      <c r="N54" s="632">
        <f t="shared" si="240"/>
        <v>-2.1631822425728378</v>
      </c>
      <c r="O54" s="629">
        <f t="shared" si="241"/>
        <v>-1.0087076825108976</v>
      </c>
      <c r="P54" s="633">
        <f t="shared" si="242"/>
        <v>-7.7600234042305788E-2</v>
      </c>
      <c r="Q54" s="585">
        <f t="shared" si="113"/>
        <v>204.99998339605673</v>
      </c>
      <c r="R54" s="629">
        <f t="shared" si="410"/>
        <v>2.3868071986105113</v>
      </c>
      <c r="S54" s="634">
        <f t="shared" si="411"/>
        <v>-7.7600234042305788E-2</v>
      </c>
      <c r="T54" s="635">
        <f t="shared" si="412"/>
        <v>-1.0087076825108978</v>
      </c>
      <c r="U54" s="629">
        <f t="shared" si="413"/>
        <v>2.1631822425728378</v>
      </c>
      <c r="V54" s="636">
        <f t="shared" si="414"/>
        <v>-7.7600234042305788E-2</v>
      </c>
      <c r="W54" s="585">
        <f t="shared" si="224"/>
        <v>114.99998339605673</v>
      </c>
      <c r="X54" s="629">
        <f t="shared" si="415"/>
        <v>2.3868071986105113</v>
      </c>
      <c r="Y54" s="630">
        <f t="shared" si="223"/>
        <v>-7.7600234042305788E-2</v>
      </c>
      <c r="Z54" s="632">
        <f t="shared" si="243"/>
        <v>-0.40821764411847389</v>
      </c>
      <c r="AA54" s="629">
        <f t="shared" si="244"/>
        <v>0.87542622523097635</v>
      </c>
      <c r="AB54" s="629">
        <f t="shared" si="245"/>
        <v>-0.25881900859134593</v>
      </c>
      <c r="AC54" s="636">
        <f t="shared" si="416"/>
        <v>1</v>
      </c>
      <c r="AD54" s="637">
        <f t="shared" si="417"/>
        <v>-0.40821764411847389</v>
      </c>
      <c r="AE54" s="629">
        <f t="shared" si="418"/>
        <v>0.87542622523097635</v>
      </c>
      <c r="AF54" s="633">
        <f t="shared" si="419"/>
        <v>-0.25881900859134593</v>
      </c>
      <c r="AG54" s="602">
        <f t="shared" si="420"/>
        <v>73.529731540060425</v>
      </c>
      <c r="AH54" s="603">
        <f t="shared" si="421"/>
        <v>114.09291906762731</v>
      </c>
      <c r="AI54" s="585">
        <f t="shared" si="422"/>
        <v>-75.000002165731729</v>
      </c>
      <c r="AJ54" s="586">
        <f t="shared" si="423"/>
        <v>-155.00001660394327</v>
      </c>
      <c r="AK54" s="635">
        <f t="shared" si="424"/>
        <v>0.9659258360722075</v>
      </c>
      <c r="AL54" s="629">
        <f t="shared" si="425"/>
        <v>-2.7755575615628914E-16</v>
      </c>
      <c r="AM54" s="634">
        <f t="shared" si="426"/>
        <v>-0.25881900859134593</v>
      </c>
      <c r="AN54" s="581">
        <f t="shared" si="427"/>
        <v>-6.1443606842752281E-14</v>
      </c>
      <c r="AO54" s="582">
        <f t="shared" si="94"/>
        <v>14.99999783426823</v>
      </c>
      <c r="AP54" s="585">
        <f t="shared" si="428"/>
        <v>-1.646376234430567E-14</v>
      </c>
      <c r="AQ54" s="586">
        <f t="shared" si="246"/>
        <v>0.95504802031714298</v>
      </c>
      <c r="AS54" s="52">
        <f t="shared" si="406"/>
        <v>-245.00001660394327</v>
      </c>
      <c r="AT54" s="72">
        <f t="shared" si="247"/>
        <v>9.253866637709926E-2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>
        <f t="shared" si="210"/>
        <v>5.1109999999999998</v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IFERROR(ROUND(VALUE(IF($IH54&lt;1,$IH54+LARGE((IF($M$9:$M$150="",0,$M$9:$M$150)-MOD(IF($M$9:$M$150="",0,$M$9:$M$150),1)),1),$IH54)),4),"")</f>
        <v/>
      </c>
      <c r="IJ54" s="533">
        <f t="shared" si="112"/>
        <v>1313</v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>
        <v>-2.822933219612743</v>
      </c>
      <c r="C55" s="708">
        <v>-1.2858888288691019</v>
      </c>
      <c r="D55" s="709">
        <v>-6.4700195135788743E-2</v>
      </c>
      <c r="E55" s="710">
        <v>0.30169712290827616</v>
      </c>
      <c r="F55" s="708">
        <v>-0.90479042408671984</v>
      </c>
      <c r="G55" s="711">
        <v>0.30055471134194911</v>
      </c>
      <c r="H55" s="710">
        <v>0.314</v>
      </c>
      <c r="I55" s="708">
        <v>0.52</v>
      </c>
      <c r="J55" s="570">
        <v>5.1139999999999999</v>
      </c>
      <c r="K55" s="865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1613</v>
      </c>
      <c r="L55" s="320"/>
      <c r="M55" s="168">
        <f t="shared" si="239"/>
        <v>5.1139999999999999</v>
      </c>
      <c r="N55" s="632">
        <f t="shared" si="240"/>
        <v>-2.822933219612743</v>
      </c>
      <c r="O55" s="629">
        <f t="shared" si="241"/>
        <v>-1.2858888288691019</v>
      </c>
      <c r="P55" s="633">
        <f t="shared" si="242"/>
        <v>-6.4700195135788743E-2</v>
      </c>
      <c r="Q55" s="585">
        <f t="shared" si="113"/>
        <v>204.48998346969159</v>
      </c>
      <c r="R55" s="629">
        <f t="shared" si="410"/>
        <v>3.1020093556602175</v>
      </c>
      <c r="S55" s="634">
        <f t="shared" si="411"/>
        <v>-6.4700195135788743E-2</v>
      </c>
      <c r="T55" s="635">
        <f t="shared" si="412"/>
        <v>-1.2858888288691015</v>
      </c>
      <c r="U55" s="629">
        <f t="shared" si="413"/>
        <v>2.8229332196127435</v>
      </c>
      <c r="V55" s="636">
        <f t="shared" si="414"/>
        <v>-6.4700195135788743E-2</v>
      </c>
      <c r="W55" s="585">
        <f t="shared" si="224"/>
        <v>114.48998346969159</v>
      </c>
      <c r="X55" s="629">
        <f t="shared" si="415"/>
        <v>3.1020093556602175</v>
      </c>
      <c r="Y55" s="630">
        <f t="shared" si="223"/>
        <v>-6.4700195135788743E-2</v>
      </c>
      <c r="Z55" s="632">
        <f t="shared" si="243"/>
        <v>-0.30169712290827616</v>
      </c>
      <c r="AA55" s="629">
        <f t="shared" si="244"/>
        <v>0.90479042408671984</v>
      </c>
      <c r="AB55" s="629">
        <f t="shared" si="245"/>
        <v>-0.30055471134194911</v>
      </c>
      <c r="AC55" s="636">
        <f t="shared" si="416"/>
        <v>1</v>
      </c>
      <c r="AD55" s="637">
        <f t="shared" si="417"/>
        <v>-0.30169712290827616</v>
      </c>
      <c r="AE55" s="629">
        <f t="shared" si="418"/>
        <v>0.90479042408671984</v>
      </c>
      <c r="AF55" s="633">
        <f t="shared" si="419"/>
        <v>-0.30055471134194911</v>
      </c>
      <c r="AG55" s="602">
        <f t="shared" si="420"/>
        <v>71.624463302880031</v>
      </c>
      <c r="AH55" s="603">
        <f t="shared" si="421"/>
        <v>107.5595648088005</v>
      </c>
      <c r="AI55" s="585">
        <f t="shared" si="422"/>
        <v>-72.509076590151253</v>
      </c>
      <c r="AJ55" s="586">
        <f t="shared" si="423"/>
        <v>-161.55933417888221</v>
      </c>
      <c r="AK55" s="635">
        <f t="shared" si="424"/>
        <v>0.94845358851776196</v>
      </c>
      <c r="AL55" s="629">
        <f t="shared" si="425"/>
        <v>-0.10051196902825865</v>
      </c>
      <c r="AM55" s="634">
        <f t="shared" si="426"/>
        <v>-0.30055471134194911</v>
      </c>
      <c r="AN55" s="581">
        <f t="shared" si="427"/>
        <v>-18.491045108600556</v>
      </c>
      <c r="AO55" s="582">
        <f>IF(ROUND(IF(M55="",0,DEGREES(ACOS(AK55))),4)=90,0,IF(M55="","",DEGREES(ACOS(AK55))))</f>
        <v>18.476523534948878</v>
      </c>
      <c r="AP55" s="585">
        <f t="shared" si="428"/>
        <v>-6.04931764857381</v>
      </c>
      <c r="AQ55" s="586">
        <f t="shared" si="246"/>
        <v>0.73487902784670833</v>
      </c>
      <c r="AS55" s="52">
        <f t="shared" si="406"/>
        <v>-245.51001653030841</v>
      </c>
      <c r="AT55" s="72">
        <f t="shared" si="247"/>
        <v>0.10579287189914767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5.1139999999999999</v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IFERROR(ROUND(VALUE(IF($IH55&lt;1,$IH55+LARGE((IF($M$9:$M$150="",0,$M$9:$M$150)-MOD(IF($M$9:$M$150="",0,$M$9:$M$150),1)),1),$IH55)),4),"")</f>
        <v/>
      </c>
      <c r="IJ55" s="533">
        <f t="shared" si="112"/>
        <v>1613</v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>
        <v>-3.5160353547319176</v>
      </c>
      <c r="C56" s="708">
        <v>-1.5544217636954232</v>
      </c>
      <c r="D56" s="709">
        <v>-0.32950099377499747</v>
      </c>
      <c r="E56" s="710">
        <v>0.14628326953715556</v>
      </c>
      <c r="F56" s="708">
        <v>-0.9482683753061949</v>
      </c>
      <c r="G56" s="711">
        <v>0.28175928280656409</v>
      </c>
      <c r="H56" s="710">
        <v>0.314</v>
      </c>
      <c r="I56" s="708">
        <v>0.52</v>
      </c>
      <c r="J56" s="570">
        <v>5.117</v>
      </c>
      <c r="K56" s="865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>1613</v>
      </c>
      <c r="L56" s="320"/>
      <c r="M56" s="168">
        <f t="shared" si="239"/>
        <v>5.117</v>
      </c>
      <c r="N56" s="632">
        <f t="shared" si="240"/>
        <v>-3.5160353547319176</v>
      </c>
      <c r="O56" s="629">
        <f t="shared" si="241"/>
        <v>-1.5544217636954232</v>
      </c>
      <c r="P56" s="633">
        <f t="shared" si="242"/>
        <v>-0.32950099377499747</v>
      </c>
      <c r="Q56" s="585">
        <f t="shared" si="113"/>
        <v>203.84998356209616</v>
      </c>
      <c r="R56" s="629">
        <f t="shared" si="410"/>
        <v>3.8443115944437691</v>
      </c>
      <c r="S56" s="634">
        <f t="shared" si="411"/>
        <v>-0.32950099377499747</v>
      </c>
      <c r="T56" s="635">
        <f t="shared" si="412"/>
        <v>-1.5544217636954236</v>
      </c>
      <c r="U56" s="629">
        <f t="shared" si="413"/>
        <v>3.5160353547319181</v>
      </c>
      <c r="V56" s="636">
        <f t="shared" si="414"/>
        <v>-0.32950099377499747</v>
      </c>
      <c r="W56" s="585">
        <f t="shared" si="224"/>
        <v>113.84998356209616</v>
      </c>
      <c r="X56" s="629">
        <f t="shared" si="415"/>
        <v>3.8443115944437691</v>
      </c>
      <c r="Y56" s="630">
        <f t="shared" si="223"/>
        <v>-0.32950099377499747</v>
      </c>
      <c r="Z56" s="632">
        <f t="shared" si="243"/>
        <v>-0.14628326953715556</v>
      </c>
      <c r="AA56" s="629">
        <f t="shared" si="244"/>
        <v>0.9482683753061949</v>
      </c>
      <c r="AB56" s="629">
        <f t="shared" si="245"/>
        <v>-0.28175928280656409</v>
      </c>
      <c r="AC56" s="636">
        <f t="shared" si="416"/>
        <v>1</v>
      </c>
      <c r="AD56" s="637">
        <f t="shared" si="417"/>
        <v>-0.14628326953715556</v>
      </c>
      <c r="AE56" s="629">
        <f t="shared" si="418"/>
        <v>0.9482683753061949</v>
      </c>
      <c r="AF56" s="633">
        <f t="shared" si="419"/>
        <v>-0.28175928280656409</v>
      </c>
      <c r="AG56" s="602">
        <f t="shared" si="420"/>
        <v>73.451719360759427</v>
      </c>
      <c r="AH56" s="603">
        <f t="shared" si="421"/>
        <v>98.411597548926707</v>
      </c>
      <c r="AI56" s="585">
        <f t="shared" si="422"/>
        <v>-73.634767698394342</v>
      </c>
      <c r="AJ56" s="586">
        <f t="shared" si="423"/>
        <v>-171.2304757216337</v>
      </c>
      <c r="AK56" s="635">
        <f t="shared" si="424"/>
        <v>0.92644182025499167</v>
      </c>
      <c r="AL56" s="629">
        <f t="shared" si="425"/>
        <v>-0.24963425292805541</v>
      </c>
      <c r="AM56" s="634">
        <f t="shared" si="426"/>
        <v>-0.28175928280656409</v>
      </c>
      <c r="AN56" s="581">
        <f t="shared" si="427"/>
        <v>-41.540433633971062</v>
      </c>
      <c r="AO56" s="582">
        <f t="shared" ref="AO56:AO119" si="461">IF(ROUND(IF(M56="",0,DEGREES(ACOS(AK56))),4)=90,0,IF(M56="","",DEGREES(ACOS(AK56))))</f>
        <v>22.113216770145165</v>
      </c>
      <c r="AP56" s="585">
        <f t="shared" si="428"/>
        <v>-15.080459283729855</v>
      </c>
      <c r="AQ56" s="586">
        <f t="shared" si="246"/>
        <v>0.59299179512065936</v>
      </c>
      <c r="AS56" s="52">
        <f t="shared" si="406"/>
        <v>-246.15001643790384</v>
      </c>
      <c r="AT56" s="72">
        <f t="shared" si="247"/>
        <v>-0.15856348235978646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5.117</v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IFERROR(ROUND(VALUE(IF($IH56&lt;1,$IH56+LARGE((IF($M$9:$M$150="",0,$M$9:$M$150)-MOD(IF($M$9:$M$150="",0,$M$9:$M$150),1)),1),$IH56)),4),"")</f>
        <v/>
      </c>
      <c r="IJ56" s="533">
        <f t="shared" si="112"/>
        <v>1613</v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>
        <v>-4.0389724847650976</v>
      </c>
      <c r="C57" s="708">
        <v>-1.739454995105389</v>
      </c>
      <c r="D57" s="709">
        <v>-0.90140271863059862</v>
      </c>
      <c r="E57" s="710">
        <v>1.817651968900022E-2</v>
      </c>
      <c r="F57" s="708">
        <v>-0.98149257301994197</v>
      </c>
      <c r="G57" s="711">
        <v>0.19063562951004004</v>
      </c>
      <c r="H57" s="710">
        <v>0.314</v>
      </c>
      <c r="I57" s="708">
        <v>0.52</v>
      </c>
      <c r="J57" s="570">
        <v>5.12</v>
      </c>
      <c r="K57" s="865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>1613</v>
      </c>
      <c r="L57" s="320"/>
      <c r="M57" s="168">
        <f t="shared" si="239"/>
        <v>5.12</v>
      </c>
      <c r="N57" s="632">
        <f t="shared" si="240"/>
        <v>-4.0389724847650976</v>
      </c>
      <c r="O57" s="629">
        <f t="shared" si="241"/>
        <v>-1.739454995105389</v>
      </c>
      <c r="P57" s="633">
        <f t="shared" si="242"/>
        <v>-0.90140271863059862</v>
      </c>
      <c r="Q57" s="585">
        <f t="shared" si="113"/>
        <v>203.29998364150632</v>
      </c>
      <c r="R57" s="629">
        <f t="shared" si="410"/>
        <v>4.3976132632016016</v>
      </c>
      <c r="S57" s="634">
        <f t="shared" si="411"/>
        <v>-0.90140271863059862</v>
      </c>
      <c r="T57" s="635">
        <f t="shared" si="412"/>
        <v>-1.7394549951053886</v>
      </c>
      <c r="U57" s="629">
        <f t="shared" si="413"/>
        <v>4.0389724847650985</v>
      </c>
      <c r="V57" s="636">
        <f t="shared" si="414"/>
        <v>-0.90140271863059862</v>
      </c>
      <c r="W57" s="585">
        <f t="shared" si="224"/>
        <v>113.29998364150632</v>
      </c>
      <c r="X57" s="629">
        <f t="shared" si="415"/>
        <v>4.3976132632016016</v>
      </c>
      <c r="Y57" s="630">
        <f t="shared" si="223"/>
        <v>-0.90140271863059862</v>
      </c>
      <c r="Z57" s="632">
        <f t="shared" si="243"/>
        <v>-1.817651968900022E-2</v>
      </c>
      <c r="AA57" s="629">
        <f t="shared" si="244"/>
        <v>0.98149257301994197</v>
      </c>
      <c r="AB57" s="629">
        <f t="shared" si="245"/>
        <v>-0.19063562951004004</v>
      </c>
      <c r="AC57" s="636">
        <f t="shared" si="416"/>
        <v>1</v>
      </c>
      <c r="AD57" s="637">
        <f t="shared" si="417"/>
        <v>-1.817651968900022E-2</v>
      </c>
      <c r="AE57" s="629">
        <f t="shared" si="418"/>
        <v>0.98149257301994197</v>
      </c>
      <c r="AF57" s="633">
        <f t="shared" si="419"/>
        <v>-0.19063562951004004</v>
      </c>
      <c r="AG57" s="602">
        <f t="shared" si="420"/>
        <v>79.008280365592682</v>
      </c>
      <c r="AH57" s="603">
        <f t="shared" si="421"/>
        <v>91.041495219002485</v>
      </c>
      <c r="AI57" s="585">
        <f t="shared" si="422"/>
        <v>-79.01011887423951</v>
      </c>
      <c r="AJ57" s="586">
        <f t="shared" si="423"/>
        <v>-178.93904563389171</v>
      </c>
      <c r="AK57" s="635">
        <f t="shared" si="424"/>
        <v>0.90863804869608078</v>
      </c>
      <c r="AL57" s="629">
        <f t="shared" si="425"/>
        <v>-0.37153055489836839</v>
      </c>
      <c r="AM57" s="634">
        <f t="shared" si="426"/>
        <v>-0.19063562951004004</v>
      </c>
      <c r="AN57" s="581">
        <f t="shared" si="427"/>
        <v>-62.837237632034586</v>
      </c>
      <c r="AO57" s="582">
        <f t="shared" si="461"/>
        <v>24.682186713902937</v>
      </c>
      <c r="AP57" s="585">
        <f t="shared" si="428"/>
        <v>-22.239029275398021</v>
      </c>
      <c r="AQ57" s="586">
        <f t="shared" si="246"/>
        <v>0.51838674534434637</v>
      </c>
      <c r="AS57" s="52">
        <f t="shared" si="406"/>
        <v>-246.70001635849368</v>
      </c>
      <c r="AT57" s="72">
        <f t="shared" si="247"/>
        <v>-0.73008326282608915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>
        <f t="shared" si="210"/>
        <v>5.12</v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IFERROR(ROUND(VALUE(IF($IH57&lt;1,$IH57+LARGE((IF($M$9:$M$150="",0,$M$9:$M$150)-MOD(IF($M$9:$M$150="",0,$M$9:$M$150),1)),1),$IH57)),4),"")</f>
        <v/>
      </c>
      <c r="IJ57" s="533">
        <f t="shared" si="112"/>
        <v>1613</v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>
        <v>-4.2726087032603894</v>
      </c>
      <c r="C58" s="708">
        <v>-1.818015349426068</v>
      </c>
      <c r="D58" s="709">
        <v>-1.6373049381116935</v>
      </c>
      <c r="E58" s="710">
        <v>-9.1254119163691944E-2</v>
      </c>
      <c r="F58" s="708">
        <v>-0.99198789720688774</v>
      </c>
      <c r="G58" s="711">
        <v>8.7365310797341791E-2</v>
      </c>
      <c r="H58" s="710">
        <v>0.314</v>
      </c>
      <c r="I58" s="708">
        <v>0.52</v>
      </c>
      <c r="J58" s="570">
        <v>5.1230000000000002</v>
      </c>
      <c r="K58" s="865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>1613</v>
      </c>
      <c r="L58" s="320"/>
      <c r="M58" s="168">
        <f t="shared" si="239"/>
        <v>5.1230000000000002</v>
      </c>
      <c r="N58" s="632">
        <f t="shared" si="240"/>
        <v>-4.2726087032603894</v>
      </c>
      <c r="O58" s="629">
        <f t="shared" si="241"/>
        <v>-1.818015349426068</v>
      </c>
      <c r="P58" s="633">
        <f t="shared" si="242"/>
        <v>-1.6373049381116935</v>
      </c>
      <c r="Q58" s="585">
        <f t="shared" si="113"/>
        <v>203.04998367760183</v>
      </c>
      <c r="R58" s="629">
        <f t="shared" si="410"/>
        <v>4.6433140042350374</v>
      </c>
      <c r="S58" s="634">
        <f t="shared" si="411"/>
        <v>-1.6373049381116935</v>
      </c>
      <c r="T58" s="635">
        <f t="shared" si="412"/>
        <v>-1.8180153494260674</v>
      </c>
      <c r="U58" s="629">
        <f t="shared" si="413"/>
        <v>4.2726087032603903</v>
      </c>
      <c r="V58" s="636">
        <f t="shared" si="414"/>
        <v>-1.6373049381116935</v>
      </c>
      <c r="W58" s="585">
        <f t="shared" si="224"/>
        <v>113.04998367760183</v>
      </c>
      <c r="X58" s="629">
        <f t="shared" si="415"/>
        <v>4.6433140042350374</v>
      </c>
      <c r="Y58" s="630">
        <f t="shared" si="223"/>
        <v>-1.6373049381116935</v>
      </c>
      <c r="Z58" s="632">
        <f t="shared" si="243"/>
        <v>9.1254119163691944E-2</v>
      </c>
      <c r="AA58" s="629">
        <f t="shared" si="244"/>
        <v>0.99198789720688774</v>
      </c>
      <c r="AB58" s="629">
        <f t="shared" si="245"/>
        <v>-8.7365310797341791E-2</v>
      </c>
      <c r="AC58" s="636">
        <f t="shared" si="416"/>
        <v>1</v>
      </c>
      <c r="AD58" s="637">
        <f t="shared" si="417"/>
        <v>9.1254119163691944E-2</v>
      </c>
      <c r="AE58" s="629">
        <f t="shared" si="418"/>
        <v>0.99198789720688774</v>
      </c>
      <c r="AF58" s="633">
        <f t="shared" si="419"/>
        <v>-8.7365310797341791E-2</v>
      </c>
      <c r="AG58" s="602">
        <f t="shared" si="420"/>
        <v>84.966892872740857</v>
      </c>
      <c r="AH58" s="603">
        <f t="shared" si="421"/>
        <v>84.764240253883258</v>
      </c>
      <c r="AI58" s="585">
        <f t="shared" si="422"/>
        <v>-84.987946658039618</v>
      </c>
      <c r="AJ58" s="586">
        <f t="shared" si="423"/>
        <v>174.74408719992962</v>
      </c>
      <c r="AK58" s="635">
        <f t="shared" si="424"/>
        <v>0.87706210049175737</v>
      </c>
      <c r="AL58" s="629">
        <f t="shared" si="425"/>
        <v>-0.47236572097292456</v>
      </c>
      <c r="AM58" s="634">
        <f t="shared" si="426"/>
        <v>-8.7365310797341791E-2</v>
      </c>
      <c r="AN58" s="581">
        <f t="shared" si="427"/>
        <v>-79.521402834342865</v>
      </c>
      <c r="AO58" s="582">
        <f t="shared" si="461"/>
        <v>28.710028034160867</v>
      </c>
      <c r="AP58" s="585">
        <f t="shared" si="428"/>
        <v>-28.305896477672221</v>
      </c>
      <c r="AQ58" s="586">
        <f t="shared" si="246"/>
        <v>0.4909577154215099</v>
      </c>
      <c r="AS58" s="52">
        <f t="shared" si="406"/>
        <v>-246.95001632239817</v>
      </c>
      <c r="AT58" s="72">
        <f t="shared" si="247"/>
        <v>-1.4658118712211392</v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>
        <f t="shared" si="210"/>
        <v>5.1230000000000002</v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IFERROR(ROUND(VALUE(IF($IH58&lt;1,$IH58+LARGE((IF($M$9:$M$150="",0,$M$9:$M$150)-MOD(IF($M$9:$M$150="",0,$M$9:$M$150),1)),1),$IH58)),4),"")</f>
        <v/>
      </c>
      <c r="IJ58" s="533">
        <f t="shared" si="112"/>
        <v>1613</v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>
        <v>-4.375215414054761</v>
      </c>
      <c r="C59" s="708">
        <v>-1.8508620803878466</v>
      </c>
      <c r="D59" s="709">
        <v>-2.311606971806627</v>
      </c>
      <c r="E59" s="710">
        <v>-0.14991493015585761</v>
      </c>
      <c r="F59" s="708">
        <v>-0.98782183377644062</v>
      </c>
      <c r="G59" s="711">
        <v>4.1635783058740841E-2</v>
      </c>
      <c r="H59" s="710">
        <v>0.26600000000000001</v>
      </c>
      <c r="I59" s="708">
        <v>0.52</v>
      </c>
      <c r="J59" s="570">
        <v>5.1260000000000003</v>
      </c>
      <c r="K59" s="865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>1313</v>
      </c>
      <c r="L59" s="320"/>
      <c r="M59" s="168">
        <f t="shared" si="239"/>
        <v>5.1260000000000003</v>
      </c>
      <c r="N59" s="632">
        <f t="shared" si="240"/>
        <v>-4.375215414054761</v>
      </c>
      <c r="O59" s="629">
        <f t="shared" si="241"/>
        <v>-1.8508620803878466</v>
      </c>
      <c r="P59" s="633">
        <f t="shared" si="242"/>
        <v>-2.311606971806627</v>
      </c>
      <c r="Q59" s="585">
        <f t="shared" si="113"/>
        <v>202.92998339605668</v>
      </c>
      <c r="R59" s="629">
        <f t="shared" si="79"/>
        <v>4.7506000000000004</v>
      </c>
      <c r="S59" s="634">
        <f t="shared" si="80"/>
        <v>-2.311606971806627</v>
      </c>
      <c r="T59" s="635">
        <f t="shared" si="81"/>
        <v>-1.8508620803878453</v>
      </c>
      <c r="U59" s="629">
        <f t="shared" si="82"/>
        <v>4.3752154140547619</v>
      </c>
      <c r="V59" s="636">
        <f t="shared" si="114"/>
        <v>-2.311606971806627</v>
      </c>
      <c r="W59" s="585">
        <f t="shared" si="224"/>
        <v>112.92998339605668</v>
      </c>
      <c r="X59" s="629">
        <f t="shared" si="83"/>
        <v>4.7506000000000004</v>
      </c>
      <c r="Y59" s="630">
        <f t="shared" si="223"/>
        <v>-2.311606971806627</v>
      </c>
      <c r="Z59" s="632">
        <f t="shared" si="243"/>
        <v>0.14991493015585761</v>
      </c>
      <c r="AA59" s="629">
        <f t="shared" si="244"/>
        <v>0.98782183377644062</v>
      </c>
      <c r="AB59" s="629">
        <f t="shared" si="245"/>
        <v>-4.1635783058740841E-2</v>
      </c>
      <c r="AC59" s="636">
        <f t="shared" si="84"/>
        <v>1</v>
      </c>
      <c r="AD59" s="637">
        <f t="shared" si="115"/>
        <v>0.14991493015585761</v>
      </c>
      <c r="AE59" s="629">
        <f t="shared" si="85"/>
        <v>0.98782183377644062</v>
      </c>
      <c r="AF59" s="633">
        <f t="shared" si="86"/>
        <v>-4.1635783058740841E-2</v>
      </c>
      <c r="AG59" s="602">
        <f t="shared" si="87"/>
        <v>87.586464090398934</v>
      </c>
      <c r="AH59" s="603">
        <f t="shared" si="88"/>
        <v>81.378003329316186</v>
      </c>
      <c r="AI59" s="585">
        <f t="shared" si="89"/>
        <v>-87.613755574007882</v>
      </c>
      <c r="AJ59" s="586">
        <f t="shared" si="90"/>
        <v>171.37046324191869</v>
      </c>
      <c r="AK59" s="635">
        <f t="shared" si="211"/>
        <v>0.85135802929504778</v>
      </c>
      <c r="AL59" s="629">
        <f t="shared" si="91"/>
        <v>-0.52293017461601699</v>
      </c>
      <c r="AM59" s="634">
        <f t="shared" si="92"/>
        <v>-4.1635783058740841E-2</v>
      </c>
      <c r="AN59" s="581">
        <f t="shared" si="93"/>
        <v>-85.447704343190765</v>
      </c>
      <c r="AO59" s="582">
        <f t="shared" si="461"/>
        <v>31.640315229482724</v>
      </c>
      <c r="AP59" s="585">
        <f t="shared" si="95"/>
        <v>-31.559520154137989</v>
      </c>
      <c r="AQ59" s="586">
        <f t="shared" si="246"/>
        <v>0.47987061152677768</v>
      </c>
      <c r="AS59" s="52">
        <f t="shared" si="406"/>
        <v>-247.07001660394332</v>
      </c>
      <c r="AT59" s="72">
        <f t="shared" si="247"/>
        <v>-2.1400305713872219</v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>
        <f t="shared" si="210"/>
        <v>5.1260000000000003</v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IFERROR(ROUND(VALUE(IF($IH59&lt;1,$IH59+LARGE((IF($M$9:$M$150="",0,$M$9:$M$150)-MOD(IF($M$9:$M$150="",0,$M$9:$M$150),1)),1),$IH59)),4),"")</f>
        <v/>
      </c>
      <c r="IJ59" s="533">
        <f t="shared" si="112"/>
        <v>1313</v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>
        <v>-3.5535056578375568</v>
      </c>
      <c r="C60" s="708">
        <v>-0.73395449958540071</v>
      </c>
      <c r="D60" s="709">
        <v>-0.21210063969552928</v>
      </c>
      <c r="E60" s="710">
        <v>-2.5277142144268516E-2</v>
      </c>
      <c r="F60" s="708">
        <v>-0.94297602051796336</v>
      </c>
      <c r="G60" s="711">
        <v>0.33189951915169169</v>
      </c>
      <c r="H60" s="710">
        <v>0.26600000000000001</v>
      </c>
      <c r="I60" s="708">
        <v>0.52</v>
      </c>
      <c r="J60" s="570">
        <v>5.2130000000000001</v>
      </c>
      <c r="K60" s="865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>1313</v>
      </c>
      <c r="L60" s="320"/>
      <c r="M60" s="168">
        <f t="shared" si="239"/>
        <v>5.2130000000000001</v>
      </c>
      <c r="N60" s="632">
        <f t="shared" si="240"/>
        <v>-3.5535056578375568</v>
      </c>
      <c r="O60" s="629">
        <f t="shared" si="241"/>
        <v>-0.73395449958540071</v>
      </c>
      <c r="P60" s="633">
        <f t="shared" si="242"/>
        <v>-0.21210063969552928</v>
      </c>
      <c r="Q60" s="585">
        <f t="shared" si="113"/>
        <v>191.66998532067032</v>
      </c>
      <c r="R60" s="629">
        <f t="shared" si="79"/>
        <v>3.6285109435890068</v>
      </c>
      <c r="S60" s="634">
        <f t="shared" si="80"/>
        <v>-0.21210063969552928</v>
      </c>
      <c r="T60" s="635">
        <f t="shared" si="81"/>
        <v>-0.73395449958540104</v>
      </c>
      <c r="U60" s="629">
        <f t="shared" si="82"/>
        <v>3.5535056578375572</v>
      </c>
      <c r="V60" s="636">
        <f t="shared" si="114"/>
        <v>-0.21210063969552928</v>
      </c>
      <c r="W60" s="585">
        <f t="shared" si="224"/>
        <v>101.66998532067032</v>
      </c>
      <c r="X60" s="629">
        <f t="shared" si="83"/>
        <v>3.6285109435890068</v>
      </c>
      <c r="Y60" s="630">
        <f t="shared" si="223"/>
        <v>-0.21210063969552928</v>
      </c>
      <c r="Z60" s="632">
        <f t="shared" si="243"/>
        <v>2.5277142144268516E-2</v>
      </c>
      <c r="AA60" s="629">
        <f t="shared" si="244"/>
        <v>0.94297602051796336</v>
      </c>
      <c r="AB60" s="629">
        <f t="shared" si="245"/>
        <v>-0.33189951915169169</v>
      </c>
      <c r="AC60" s="636">
        <f t="shared" si="84"/>
        <v>1</v>
      </c>
      <c r="AD60" s="637">
        <f t="shared" si="115"/>
        <v>2.5277142144268516E-2</v>
      </c>
      <c r="AE60" s="629">
        <f t="shared" si="85"/>
        <v>0.94297602051796336</v>
      </c>
      <c r="AF60" s="633">
        <f t="shared" si="86"/>
        <v>-0.33189951915169169</v>
      </c>
      <c r="AG60" s="602">
        <f t="shared" si="87"/>
        <v>70.60944740793235</v>
      </c>
      <c r="AH60" s="603">
        <f t="shared" si="88"/>
        <v>88.551572167438479</v>
      </c>
      <c r="AI60" s="585">
        <f t="shared" si="89"/>
        <v>-70.61589081169258</v>
      </c>
      <c r="AJ60" s="586">
        <f t="shared" si="90"/>
        <v>178.46451362790856</v>
      </c>
      <c r="AK60" s="635">
        <f t="shared" si="211"/>
        <v>0.91837075971617232</v>
      </c>
      <c r="AL60" s="629">
        <f t="shared" si="91"/>
        <v>-0.21549444745797183</v>
      </c>
      <c r="AM60" s="634">
        <f t="shared" si="92"/>
        <v>-0.33189951915169169</v>
      </c>
      <c r="AN60" s="581">
        <f t="shared" si="93"/>
        <v>-32.994703181355739</v>
      </c>
      <c r="AO60" s="582">
        <f t="shared" si="461"/>
        <v>23.310951556202575</v>
      </c>
      <c r="AP60" s="585">
        <f t="shared" si="95"/>
        <v>-13.205471692761742</v>
      </c>
      <c r="AQ60" s="586">
        <f t="shared" si="246"/>
        <v>0.62825641137749055</v>
      </c>
      <c r="AS60" s="52">
        <f t="shared" si="406"/>
        <v>-258.33001467932968</v>
      </c>
      <c r="AT60" s="72">
        <f t="shared" si="247"/>
        <v>-3.2704796168217004E-2</v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>Nose</v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>
        <f t="shared" si="210"/>
        <v>5.2130000000000001</v>
      </c>
      <c r="IH60" s="731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>4.1130000000000004</v>
      </c>
      <c r="II60" s="734" cm="1">
        <f t="array" ref="II60">IFERROR(ROUND(VALUE(IF($IH60&lt;1,$IH60+LARGE((IF($M$9:$M$150="",0,$M$9:$M$150)-MOD(IF($M$9:$M$150="",0,$M$9:$M$150),1)),1),$IH60)),4),"")</f>
        <v>4.1130000000000004</v>
      </c>
      <c r="IJ60" s="533">
        <f t="shared" si="112"/>
        <v>1613</v>
      </c>
      <c r="IK60" s="533">
        <f t="shared" si="382"/>
        <v>1313</v>
      </c>
      <c r="IL60" s="727">
        <f t="shared" si="225"/>
        <v>67.989990183459952</v>
      </c>
      <c r="IM60" s="759">
        <v>0.34367562601235602</v>
      </c>
      <c r="IN60" s="5">
        <f t="shared" si="226"/>
        <v>0.16</v>
      </c>
      <c r="IO60" s="771">
        <v>80</v>
      </c>
      <c r="IP60" s="9">
        <f t="shared" si="227"/>
        <v>-2.8650086408660607</v>
      </c>
      <c r="IQ60" s="5">
        <f t="shared" si="228"/>
        <v>-5.2500158340477568E-2</v>
      </c>
      <c r="IR60" s="5">
        <f t="shared" si="383"/>
        <v>0.314</v>
      </c>
      <c r="IS60" s="5">
        <f t="shared" si="229"/>
        <v>0.29896451983215028</v>
      </c>
      <c r="IT60" s="727">
        <f t="shared" si="230"/>
        <v>10.918933561205927</v>
      </c>
      <c r="IU60" s="9">
        <f t="shared" si="231"/>
        <v>-3.6285109435890068</v>
      </c>
      <c r="IV60" s="5">
        <f t="shared" si="232"/>
        <v>-0.21210063969552928</v>
      </c>
      <c r="IW60" s="5">
        <f t="shared" si="384"/>
        <v>0.26600000000000001</v>
      </c>
      <c r="IX60" s="5">
        <f t="shared" si="233"/>
        <v>0.24428662208450186</v>
      </c>
      <c r="IY60" s="762">
        <f t="shared" si="234"/>
        <v>32.994703181355739</v>
      </c>
    </row>
    <row r="61" spans="1:259" ht="15" customHeight="1" x14ac:dyDescent="0.25">
      <c r="A61" s="79"/>
      <c r="B61" s="707">
        <v>-4.1447721538033164</v>
      </c>
      <c r="C61" s="708">
        <v>-0.91659614619419127</v>
      </c>
      <c r="D61" s="709">
        <v>-0.6849020656646303</v>
      </c>
      <c r="E61" s="710">
        <v>-0.15745784627150508</v>
      </c>
      <c r="F61" s="708">
        <v>-0.95251671130668725</v>
      </c>
      <c r="G61" s="711">
        <v>0.26061262695623988</v>
      </c>
      <c r="H61" s="710">
        <v>0.26600000000000001</v>
      </c>
      <c r="I61" s="708">
        <v>0.52</v>
      </c>
      <c r="J61" s="570">
        <v>5.2160000000000002</v>
      </c>
      <c r="K61" s="865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>1313</v>
      </c>
      <c r="L61" s="320"/>
      <c r="M61" s="168">
        <f t="shared" si="239"/>
        <v>5.2160000000000002</v>
      </c>
      <c r="N61" s="632">
        <f t="shared" si="240"/>
        <v>-4.1447721538033164</v>
      </c>
      <c r="O61" s="629">
        <f t="shared" si="241"/>
        <v>-0.91659614619419127</v>
      </c>
      <c r="P61" s="633">
        <f t="shared" si="242"/>
        <v>-0.6849020656646303</v>
      </c>
      <c r="Q61" s="585">
        <f t="shared" si="113"/>
        <v>192.46998520516465</v>
      </c>
      <c r="R61" s="629">
        <f t="shared" si="79"/>
        <v>4.244912802657014</v>
      </c>
      <c r="S61" s="634">
        <f t="shared" si="80"/>
        <v>-0.6849020656646303</v>
      </c>
      <c r="T61" s="635">
        <f t="shared" si="81"/>
        <v>-0.91659614619419261</v>
      </c>
      <c r="U61" s="629">
        <f t="shared" si="82"/>
        <v>4.1447721538033164</v>
      </c>
      <c r="V61" s="636">
        <f t="shared" si="114"/>
        <v>-0.6849020656646303</v>
      </c>
      <c r="W61" s="585">
        <f t="shared" si="224"/>
        <v>102.46998520516465</v>
      </c>
      <c r="X61" s="629">
        <f t="shared" si="83"/>
        <v>4.244912802657014</v>
      </c>
      <c r="Y61" s="630">
        <f t="shared" si="223"/>
        <v>-0.6849020656646303</v>
      </c>
      <c r="Z61" s="632">
        <f t="shared" si="243"/>
        <v>0.15745784627150508</v>
      </c>
      <c r="AA61" s="629">
        <f t="shared" si="244"/>
        <v>0.95251671130668725</v>
      </c>
      <c r="AB61" s="629">
        <f t="shared" si="245"/>
        <v>-0.26061262695623988</v>
      </c>
      <c r="AC61" s="636">
        <f t="shared" si="84"/>
        <v>1</v>
      </c>
      <c r="AD61" s="637">
        <f t="shared" si="115"/>
        <v>0.15745784627150508</v>
      </c>
      <c r="AE61" s="629">
        <f t="shared" si="85"/>
        <v>0.95251671130668725</v>
      </c>
      <c r="AF61" s="633">
        <f t="shared" si="86"/>
        <v>-0.26061262695623988</v>
      </c>
      <c r="AG61" s="602">
        <f t="shared" si="87"/>
        <v>74.698122898783694</v>
      </c>
      <c r="AH61" s="603">
        <f t="shared" si="88"/>
        <v>80.940628793988623</v>
      </c>
      <c r="AI61" s="585">
        <f t="shared" si="89"/>
        <v>-74.893583643426169</v>
      </c>
      <c r="AJ61" s="586">
        <f t="shared" si="90"/>
        <v>170.61348239870568</v>
      </c>
      <c r="AK61" s="635">
        <f t="shared" si="211"/>
        <v>0.89604655332259409</v>
      </c>
      <c r="AL61" s="629">
        <f t="shared" si="91"/>
        <v>-0.35941846495369079</v>
      </c>
      <c r="AM61" s="634">
        <f t="shared" si="92"/>
        <v>-0.26061262695623988</v>
      </c>
      <c r="AN61" s="581">
        <f t="shared" si="93"/>
        <v>-54.054310569402929</v>
      </c>
      <c r="AO61" s="582">
        <f t="shared" si="461"/>
        <v>26.356825722297561</v>
      </c>
      <c r="AP61" s="585">
        <f t="shared" si="95"/>
        <v>-21.856502806458948</v>
      </c>
      <c r="AQ61" s="586">
        <f t="shared" si="246"/>
        <v>0.53703338022689118</v>
      </c>
      <c r="AS61" s="52">
        <f t="shared" si="406"/>
        <v>-257.53001479483532</v>
      </c>
      <c r="AT61" s="72">
        <f t="shared" si="247"/>
        <v>-0.50606177761266136</v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>Taper</v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>
        <f t="shared" si="210"/>
        <v>5.2160000000000002</v>
      </c>
      <c r="IH61" s="731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>4.1159999999999997</v>
      </c>
      <c r="II61" s="734" cm="1">
        <f t="array" ref="II61">IFERROR(ROUND(VALUE(IF($IH61&lt;1,$IH61+LARGE((IF($M$9:$M$150="",0,$M$9:$M$150)-MOD(IF($M$9:$M$150="",0,$M$9:$M$150),1)),1),$IH61)),4),"")</f>
        <v>4.1159999999999997</v>
      </c>
      <c r="IJ61" s="533">
        <f t="shared" si="112"/>
        <v>1613</v>
      </c>
      <c r="IK61" s="533">
        <f t="shared" si="382"/>
        <v>1313</v>
      </c>
      <c r="IL61" s="727">
        <f t="shared" si="225"/>
        <v>66.579990387038748</v>
      </c>
      <c r="IM61" s="759">
        <v>0.32732269788352703</v>
      </c>
      <c r="IN61" s="5">
        <f t="shared" si="226"/>
        <v>1.06</v>
      </c>
      <c r="IO61" s="771">
        <v>530</v>
      </c>
      <c r="IP61" s="9">
        <f t="shared" si="227"/>
        <v>-3.6285109435890059</v>
      </c>
      <c r="IQ61" s="5">
        <f t="shared" si="228"/>
        <v>-0.2121006396955292</v>
      </c>
      <c r="IR61" s="5">
        <f t="shared" si="383"/>
        <v>0.314</v>
      </c>
      <c r="IS61" s="5">
        <f t="shared" si="229"/>
        <v>0.29330412034359887</v>
      </c>
      <c r="IT61" s="727">
        <f t="shared" si="230"/>
        <v>34.782346726074167</v>
      </c>
      <c r="IU61" s="9">
        <f t="shared" si="231"/>
        <v>-4.244912802657014</v>
      </c>
      <c r="IV61" s="5">
        <f t="shared" si="232"/>
        <v>-0.6849020656646303</v>
      </c>
      <c r="IW61" s="5">
        <f t="shared" si="384"/>
        <v>0.26600000000000001</v>
      </c>
      <c r="IX61" s="5">
        <f t="shared" si="233"/>
        <v>0.23834838318381005</v>
      </c>
      <c r="IY61" s="762">
        <f t="shared" si="234"/>
        <v>54.054310569402929</v>
      </c>
    </row>
    <row r="62" spans="1:259" ht="15" customHeight="1" x14ac:dyDescent="0.25">
      <c r="A62" s="79"/>
      <c r="B62" s="707">
        <v>-1.2900129768959896</v>
      </c>
      <c r="C62" s="708">
        <v>0.36990609543497238</v>
      </c>
      <c r="D62" s="709">
        <v>-0.37040000000000001</v>
      </c>
      <c r="E62" s="710">
        <v>0</v>
      </c>
      <c r="F62" s="708">
        <v>0</v>
      </c>
      <c r="G62" s="711">
        <v>1</v>
      </c>
      <c r="H62" s="710">
        <v>0.26250000000000001</v>
      </c>
      <c r="I62" s="708">
        <v>0.40699999999999997</v>
      </c>
      <c r="J62" s="570">
        <v>5.306</v>
      </c>
      <c r="K62" s="865" t="str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>Inactive</v>
      </c>
      <c r="L62" s="320"/>
      <c r="M62" s="168">
        <f t="shared" si="239"/>
        <v>5.306</v>
      </c>
      <c r="N62" s="632">
        <f t="shared" si="240"/>
        <v>-1.2900129768959896</v>
      </c>
      <c r="O62" s="629">
        <f t="shared" si="241"/>
        <v>0.36990609543497238</v>
      </c>
      <c r="P62" s="633">
        <f t="shared" si="242"/>
        <v>-0.37040000000000001</v>
      </c>
      <c r="Q62" s="585">
        <f t="shared" si="113"/>
        <v>163.99996607020287</v>
      </c>
      <c r="R62" s="629">
        <f t="shared" si="79"/>
        <v>1.3419999999999999</v>
      </c>
      <c r="S62" s="634">
        <f t="shared" si="80"/>
        <v>-0.37040000000000001</v>
      </c>
      <c r="T62" s="635">
        <f t="shared" si="81"/>
        <v>0.36990609543497238</v>
      </c>
      <c r="U62" s="629">
        <f t="shared" si="82"/>
        <v>1.2900129768959894</v>
      </c>
      <c r="V62" s="636">
        <f t="shared" si="114"/>
        <v>-0.37040000000000001</v>
      </c>
      <c r="W62" s="585">
        <f t="shared" si="224"/>
        <v>73.999966070202873</v>
      </c>
      <c r="X62" s="629">
        <f t="shared" si="83"/>
        <v>1.3419999999999999</v>
      </c>
      <c r="Y62" s="630">
        <f t="shared" si="223"/>
        <v>-0.37040000000000001</v>
      </c>
      <c r="Z62" s="632">
        <f t="shared" si="243"/>
        <v>0</v>
      </c>
      <c r="AA62" s="629">
        <f t="shared" si="244"/>
        <v>0</v>
      </c>
      <c r="AB62" s="629">
        <f t="shared" si="245"/>
        <v>-1</v>
      </c>
      <c r="AC62" s="636">
        <f t="shared" si="84"/>
        <v>1</v>
      </c>
      <c r="AD62" s="637">
        <f t="shared" si="115"/>
        <v>0</v>
      </c>
      <c r="AE62" s="629">
        <f t="shared" si="85"/>
        <v>0</v>
      </c>
      <c r="AF62" s="633">
        <f t="shared" si="86"/>
        <v>-1</v>
      </c>
      <c r="AG62" s="602">
        <f t="shared" si="87"/>
        <v>0</v>
      </c>
      <c r="AH62" s="603">
        <f t="shared" si="88"/>
        <v>90</v>
      </c>
      <c r="AI62" s="585">
        <f t="shared" si="89"/>
        <v>0</v>
      </c>
      <c r="AJ62" s="586" t="e">
        <f t="shared" si="90"/>
        <v>#DIV/0!</v>
      </c>
      <c r="AK62" s="635">
        <f t="shared" si="211"/>
        <v>0</v>
      </c>
      <c r="AL62" s="629">
        <f t="shared" si="91"/>
        <v>0</v>
      </c>
      <c r="AM62" s="634">
        <f t="shared" si="92"/>
        <v>-1</v>
      </c>
      <c r="AN62" s="581">
        <f t="shared" si="93"/>
        <v>0</v>
      </c>
      <c r="AO62" s="582">
        <f t="shared" si="461"/>
        <v>0</v>
      </c>
      <c r="AP62" s="585" t="e">
        <f t="shared" si="95"/>
        <v>#DIV/0!</v>
      </c>
      <c r="AQ62" s="586">
        <f t="shared" si="246"/>
        <v>1.6982555764441332</v>
      </c>
      <c r="AS62" s="52">
        <f t="shared" si="406"/>
        <v>-286.00003392979715</v>
      </c>
      <c r="AT62" s="72">
        <f t="shared" si="247"/>
        <v>-0.17178886532652976</v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>Nose</v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>
        <f t="shared" si="210"/>
        <v>5.306</v>
      </c>
      <c r="IH62" s="731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>3.1059999999999999</v>
      </c>
      <c r="II62" s="734" cm="1">
        <f t="array" ref="II62">IFERROR(ROUND(VALUE(IF($IH62&lt;1,$IH62+LARGE((IF($M$9:$M$150="",0,$M$9:$M$150)-MOD(IF($M$9:$M$150="",0,$M$9:$M$150),1)),1),$IH62)),4),"")</f>
        <v>3.1059999999999999</v>
      </c>
      <c r="IJ62" s="533">
        <f t="shared" si="112"/>
        <v>1313</v>
      </c>
      <c r="IK62" s="533" t="str">
        <f t="shared" si="382"/>
        <v>Inactive</v>
      </c>
      <c r="IL62" s="727">
        <f t="shared" si="225"/>
        <v>161.00000000000003</v>
      </c>
      <c r="IM62" s="759">
        <v>3.5830895167911998E-2</v>
      </c>
      <c r="IN62" s="5">
        <f t="shared" si="226"/>
        <v>0.14000000000000001</v>
      </c>
      <c r="IO62" s="771">
        <v>70</v>
      </c>
      <c r="IP62" s="9">
        <f t="shared" si="227"/>
        <v>-1.3420040474842072</v>
      </c>
      <c r="IQ62" s="5">
        <f t="shared" si="228"/>
        <v>-0.30930093285161347</v>
      </c>
      <c r="IR62" s="5">
        <f t="shared" si="383"/>
        <v>0.26600000000000001</v>
      </c>
      <c r="IS62" s="5">
        <f t="shared" si="229"/>
        <v>0.25693627239520717</v>
      </c>
      <c r="IT62" s="727">
        <f t="shared" si="230"/>
        <v>-2.4577442737100912E-14</v>
      </c>
      <c r="IU62" s="9">
        <f t="shared" si="231"/>
        <v>-1.3419999999999999</v>
      </c>
      <c r="IV62" s="5">
        <f t="shared" si="232"/>
        <v>-0.37040000000000001</v>
      </c>
      <c r="IW62" s="5">
        <f t="shared" si="384"/>
        <v>0.26250000000000001</v>
      </c>
      <c r="IX62" s="5">
        <f t="shared" si="233"/>
        <v>0.26250000000000001</v>
      </c>
      <c r="IY62" s="762">
        <f t="shared" si="234"/>
        <v>0</v>
      </c>
    </row>
    <row r="63" spans="1:259" ht="15" customHeight="1" x14ac:dyDescent="0.25">
      <c r="A63" s="79"/>
      <c r="B63" s="707">
        <v>-1.9659020411053669</v>
      </c>
      <c r="C63" s="708">
        <v>0.10302972764086886</v>
      </c>
      <c r="D63" s="709">
        <v>-0.2271</v>
      </c>
      <c r="E63" s="710">
        <v>0</v>
      </c>
      <c r="F63" s="708">
        <v>0</v>
      </c>
      <c r="G63" s="711">
        <v>1</v>
      </c>
      <c r="H63" s="710">
        <v>0.26250000000000001</v>
      </c>
      <c r="I63" s="708">
        <v>0.40699999999999997</v>
      </c>
      <c r="J63" s="570">
        <v>5.3090000000000002</v>
      </c>
      <c r="K63" s="865" t="str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>Inactive</v>
      </c>
      <c r="L63" s="320"/>
      <c r="M63" s="168">
        <f t="shared" si="239"/>
        <v>5.3090000000000002</v>
      </c>
      <c r="N63" s="632">
        <f t="shared" si="240"/>
        <v>-1.9659020411053669</v>
      </c>
      <c r="O63" s="629">
        <f t="shared" si="241"/>
        <v>0.10302972764086886</v>
      </c>
      <c r="P63" s="633">
        <f t="shared" si="242"/>
        <v>-0.2271</v>
      </c>
      <c r="Q63" s="585">
        <f t="shared" si="113"/>
        <v>176.99996607020287</v>
      </c>
      <c r="R63" s="629">
        <f t="shared" si="79"/>
        <v>1.9685999999999999</v>
      </c>
      <c r="S63" s="634">
        <f t="shared" si="80"/>
        <v>-0.2271</v>
      </c>
      <c r="T63" s="635">
        <f t="shared" si="81"/>
        <v>0.1030297276408694</v>
      </c>
      <c r="U63" s="629">
        <f t="shared" si="82"/>
        <v>1.9659020411053669</v>
      </c>
      <c r="V63" s="636">
        <f t="shared" si="114"/>
        <v>-0.2271</v>
      </c>
      <c r="W63" s="585">
        <f t="shared" si="224"/>
        <v>86.999966070202873</v>
      </c>
      <c r="X63" s="629">
        <f t="shared" si="83"/>
        <v>1.9685999999999999</v>
      </c>
      <c r="Y63" s="630">
        <f t="shared" si="223"/>
        <v>-0.2271</v>
      </c>
      <c r="Z63" s="632">
        <f t="shared" si="243"/>
        <v>0</v>
      </c>
      <c r="AA63" s="629">
        <f t="shared" si="244"/>
        <v>0</v>
      </c>
      <c r="AB63" s="629">
        <f t="shared" si="245"/>
        <v>-1</v>
      </c>
      <c r="AC63" s="636">
        <f t="shared" si="84"/>
        <v>1</v>
      </c>
      <c r="AD63" s="637">
        <f t="shared" si="115"/>
        <v>0</v>
      </c>
      <c r="AE63" s="629">
        <f t="shared" si="85"/>
        <v>0</v>
      </c>
      <c r="AF63" s="633">
        <f t="shared" si="86"/>
        <v>-1</v>
      </c>
      <c r="AG63" s="602">
        <f t="shared" si="87"/>
        <v>0</v>
      </c>
      <c r="AH63" s="603">
        <f t="shared" si="88"/>
        <v>90</v>
      </c>
      <c r="AI63" s="585">
        <f t="shared" si="89"/>
        <v>0</v>
      </c>
      <c r="AJ63" s="586" t="e">
        <f t="shared" si="90"/>
        <v>#DIV/0!</v>
      </c>
      <c r="AK63" s="635">
        <f t="shared" si="211"/>
        <v>0</v>
      </c>
      <c r="AL63" s="629">
        <f t="shared" si="91"/>
        <v>0</v>
      </c>
      <c r="AM63" s="634">
        <f t="shared" si="92"/>
        <v>-1</v>
      </c>
      <c r="AN63" s="581">
        <f t="shared" si="93"/>
        <v>0</v>
      </c>
      <c r="AO63" s="582">
        <f t="shared" si="461"/>
        <v>0</v>
      </c>
      <c r="AP63" s="585" t="e">
        <f t="shared" si="95"/>
        <v>#DIV/0!</v>
      </c>
      <c r="AQ63" s="586">
        <f t="shared" si="246"/>
        <v>1.1578869632055784</v>
      </c>
      <c r="AS63" s="52">
        <f t="shared" si="406"/>
        <v>-273.00003392979715</v>
      </c>
      <c r="AT63" s="72">
        <f t="shared" si="247"/>
        <v>-3.7516643104307523E-2</v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>Nose</v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>
        <f t="shared" si="210"/>
        <v>5.3090000000000002</v>
      </c>
      <c r="IH63" s="731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>3.109</v>
      </c>
      <c r="II63" s="734" cm="1">
        <f t="array" ref="II63">IFERROR(ROUND(VALUE(IF($IH63&lt;1,$IH63+LARGE((IF($M$9:$M$150="",0,$M$9:$M$150)-MOD(IF($M$9:$M$150="",0,$M$9:$M$150),1)),1),$IH63)),4),"")</f>
        <v>3.109</v>
      </c>
      <c r="IJ63" s="533">
        <f t="shared" si="112"/>
        <v>1313</v>
      </c>
      <c r="IK63" s="533" t="str">
        <f t="shared" si="382"/>
        <v>Inactive</v>
      </c>
      <c r="IL63" s="727">
        <f t="shared" si="225"/>
        <v>148.00000000000003</v>
      </c>
      <c r="IM63" s="759">
        <v>3.2890138353930003E-2</v>
      </c>
      <c r="IN63" s="5">
        <f t="shared" si="226"/>
        <v>0.14000000000000001</v>
      </c>
      <c r="IO63" s="771">
        <v>70</v>
      </c>
      <c r="IP63" s="9">
        <f t="shared" si="227"/>
        <v>-1.96890593822031</v>
      </c>
      <c r="IQ63" s="5">
        <f t="shared" si="228"/>
        <v>-0.1703005136263491</v>
      </c>
      <c r="IR63" s="5">
        <f t="shared" si="383"/>
        <v>0.26600000000000001</v>
      </c>
      <c r="IS63" s="5">
        <f t="shared" si="229"/>
        <v>0.25693627239520722</v>
      </c>
      <c r="IT63" s="727">
        <f t="shared" si="230"/>
        <v>3.686616410565136E-14</v>
      </c>
      <c r="IU63" s="9">
        <f t="shared" si="231"/>
        <v>-1.9685999999999999</v>
      </c>
      <c r="IV63" s="5">
        <f t="shared" si="232"/>
        <v>-0.2271</v>
      </c>
      <c r="IW63" s="5">
        <f t="shared" si="384"/>
        <v>0.26250000000000001</v>
      </c>
      <c r="IX63" s="5">
        <f t="shared" si="233"/>
        <v>0.26250000000000001</v>
      </c>
      <c r="IY63" s="762">
        <f t="shared" si="234"/>
        <v>0</v>
      </c>
    </row>
    <row r="64" spans="1:259" ht="15" customHeight="1" x14ac:dyDescent="0.25">
      <c r="A64" s="79"/>
      <c r="B64" s="707">
        <v>-4.5285403135222442</v>
      </c>
      <c r="C64" s="708">
        <v>-0.79850184020066928</v>
      </c>
      <c r="D64" s="709">
        <v>-1.3812999999999995</v>
      </c>
      <c r="E64" s="710">
        <v>-0.77709618322301321</v>
      </c>
      <c r="F64" s="708">
        <v>-0.13702268045702024</v>
      </c>
      <c r="G64" s="711">
        <v>0.61428520009894305</v>
      </c>
      <c r="H64" s="710">
        <v>0.26250000000000001</v>
      </c>
      <c r="I64" s="708">
        <v>0.40699999999999997</v>
      </c>
      <c r="J64" s="570">
        <v>5.3220000000000001</v>
      </c>
      <c r="K64" s="865" t="str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>Inactive</v>
      </c>
      <c r="L64" s="320"/>
      <c r="M64" s="168">
        <f t="shared" si="239"/>
        <v>5.3220000000000001</v>
      </c>
      <c r="N64" s="632">
        <f t="shared" si="240"/>
        <v>-4.5285403135222442</v>
      </c>
      <c r="O64" s="629">
        <f t="shared" si="241"/>
        <v>-0.79850184020066928</v>
      </c>
      <c r="P64" s="633">
        <f t="shared" si="242"/>
        <v>-1.3812999999999995</v>
      </c>
      <c r="Q64" s="585">
        <f t="shared" si="113"/>
        <v>189.99997545504038</v>
      </c>
      <c r="R64" s="629">
        <f t="shared" si="79"/>
        <v>4.5983999999999998</v>
      </c>
      <c r="S64" s="634">
        <f t="shared" si="80"/>
        <v>-1.3812999999999995</v>
      </c>
      <c r="T64" s="635">
        <f t="shared" si="81"/>
        <v>-0.79850184020067005</v>
      </c>
      <c r="U64" s="629">
        <f t="shared" si="82"/>
        <v>4.5285403135222442</v>
      </c>
      <c r="V64" s="636">
        <f t="shared" si="114"/>
        <v>-1.3812999999999995</v>
      </c>
      <c r="W64" s="585">
        <f t="shared" si="224"/>
        <v>99.999975455040385</v>
      </c>
      <c r="X64" s="629">
        <f t="shared" si="83"/>
        <v>4.5983999999999998</v>
      </c>
      <c r="Y64" s="630">
        <f t="shared" si="223"/>
        <v>-1.3812999999999995</v>
      </c>
      <c r="Z64" s="632">
        <f t="shared" si="243"/>
        <v>0.77709618322301321</v>
      </c>
      <c r="AA64" s="629">
        <f t="shared" si="244"/>
        <v>0.13702268045702024</v>
      </c>
      <c r="AB64" s="629">
        <f t="shared" si="245"/>
        <v>-0.61428520009894305</v>
      </c>
      <c r="AC64" s="636">
        <f t="shared" si="84"/>
        <v>1</v>
      </c>
      <c r="AD64" s="637">
        <f t="shared" si="115"/>
        <v>0.77709618322301321</v>
      </c>
      <c r="AE64" s="629">
        <f t="shared" si="85"/>
        <v>0.13702268045702024</v>
      </c>
      <c r="AF64" s="633">
        <f t="shared" si="86"/>
        <v>-0.61428520009894305</v>
      </c>
      <c r="AG64" s="602">
        <f t="shared" si="87"/>
        <v>12.574561717852697</v>
      </c>
      <c r="AH64" s="603">
        <f t="shared" si="88"/>
        <v>39.004531782985431</v>
      </c>
      <c r="AI64" s="585">
        <f t="shared" si="89"/>
        <v>-52.100000000000009</v>
      </c>
      <c r="AJ64" s="586">
        <f t="shared" si="90"/>
        <v>99.999975455040371</v>
      </c>
      <c r="AK64" s="635">
        <f t="shared" si="211"/>
        <v>-1.1102230246251565E-16</v>
      </c>
      <c r="AL64" s="629">
        <f t="shared" si="91"/>
        <v>-0.78908408483469095</v>
      </c>
      <c r="AM64" s="634">
        <f t="shared" si="92"/>
        <v>-0.61428520009894305</v>
      </c>
      <c r="AN64" s="581">
        <f t="shared" si="93"/>
        <v>-52.100000000000023</v>
      </c>
      <c r="AO64" s="582">
        <f t="shared" si="461"/>
        <v>0</v>
      </c>
      <c r="AP64" s="585">
        <f t="shared" si="95"/>
        <v>-90</v>
      </c>
      <c r="AQ64" s="586">
        <f t="shared" si="246"/>
        <v>0.49575281408045585</v>
      </c>
      <c r="AS64" s="52">
        <f t="shared" si="406"/>
        <v>-260.00002454495962</v>
      </c>
      <c r="AT64" s="72">
        <f t="shared" si="247"/>
        <v>-1.2007444273993331</v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>Taper</v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>
        <f t="shared" si="210"/>
        <v>5.3220000000000001</v>
      </c>
      <c r="IH64" s="731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>4.1219999999999999</v>
      </c>
      <c r="II64" s="734" cm="1">
        <f t="array" ref="II64">IFERROR(ROUND(VALUE(IF($IH64&lt;1,$IH64+LARGE((IF($M$9:$M$150="",0,$M$9:$M$150)-MOD(IF($M$9:$M$150="",0,$M$9:$M$150),1)),1),$IH64)),4),"")</f>
        <v>4.1219999999999999</v>
      </c>
      <c r="IJ64" s="533">
        <f t="shared" si="112"/>
        <v>1613</v>
      </c>
      <c r="IK64" s="533" t="str">
        <f t="shared" si="382"/>
        <v>Inactive</v>
      </c>
      <c r="IL64" s="727">
        <f t="shared" si="225"/>
        <v>68.090000275769853</v>
      </c>
      <c r="IM64" s="759">
        <v>1.7571647818126899E-2</v>
      </c>
      <c r="IN64" s="5">
        <f t="shared" si="226"/>
        <v>0.2</v>
      </c>
      <c r="IO64" s="771">
        <v>100</v>
      </c>
      <c r="IP64" s="9">
        <f t="shared" si="227"/>
        <v>-4.5982138682130271</v>
      </c>
      <c r="IQ64" s="5">
        <f t="shared" si="228"/>
        <v>-1.3814041663149663</v>
      </c>
      <c r="IR64" s="5">
        <f t="shared" si="383"/>
        <v>0.314</v>
      </c>
      <c r="IS64" s="5">
        <f t="shared" si="229"/>
        <v>0.28027446783589188</v>
      </c>
      <c r="IT64" s="727">
        <f t="shared" si="230"/>
        <v>74.705547811601633</v>
      </c>
      <c r="IU64" s="9">
        <f t="shared" si="231"/>
        <v>-4.5983999999999998</v>
      </c>
      <c r="IV64" s="5">
        <f t="shared" si="232"/>
        <v>-1.3812999999999995</v>
      </c>
      <c r="IW64" s="5">
        <f t="shared" si="384"/>
        <v>0.26250000000000001</v>
      </c>
      <c r="IX64" s="5">
        <f t="shared" si="233"/>
        <v>0.26250000000000001</v>
      </c>
      <c r="IY64" s="762">
        <f t="shared" si="234"/>
        <v>52.100000000000023</v>
      </c>
    </row>
    <row r="65" spans="1:259" ht="15" customHeight="1" x14ac:dyDescent="0.25">
      <c r="A65" s="79"/>
      <c r="B65" s="707">
        <v>-2.1262791678713646</v>
      </c>
      <c r="C65" s="708">
        <v>1.4888371408640142</v>
      </c>
      <c r="D65" s="709">
        <v>-3.1300094401084583E-2</v>
      </c>
      <c r="E65" s="710">
        <v>-0.55403240849710922</v>
      </c>
      <c r="F65" s="708">
        <v>-0.7912400464629461</v>
      </c>
      <c r="G65" s="711">
        <v>0.25881900859134593</v>
      </c>
      <c r="H65" s="710">
        <v>0.26600000000000001</v>
      </c>
      <c r="I65" s="708">
        <v>0.52</v>
      </c>
      <c r="J65" s="570">
        <v>6.1120000000000001</v>
      </c>
      <c r="K65" s="865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>1313</v>
      </c>
      <c r="L65" s="320"/>
      <c r="M65" s="168">
        <f t="shared" si="239"/>
        <v>6.1120000000000001</v>
      </c>
      <c r="N65" s="632">
        <f t="shared" si="240"/>
        <v>-2.1262791678713646</v>
      </c>
      <c r="O65" s="629">
        <f t="shared" si="241"/>
        <v>1.4888371408640142</v>
      </c>
      <c r="P65" s="633">
        <f t="shared" si="242"/>
        <v>-3.1300094401084583E-2</v>
      </c>
      <c r="Q65" s="585">
        <f t="shared" si="113"/>
        <v>144.99999205898365</v>
      </c>
      <c r="R65" s="629">
        <f t="shared" si="79"/>
        <v>2.5957078286548114</v>
      </c>
      <c r="S65" s="634">
        <f t="shared" si="80"/>
        <v>-3.1300094401084583E-2</v>
      </c>
      <c r="T65" s="635">
        <f t="shared" si="81"/>
        <v>1.4888371408640142</v>
      </c>
      <c r="U65" s="629">
        <f t="shared" si="82"/>
        <v>2.1262791678713646</v>
      </c>
      <c r="V65" s="636">
        <f t="shared" si="114"/>
        <v>-3.1300094401084583E-2</v>
      </c>
      <c r="W65" s="585">
        <f t="shared" si="224"/>
        <v>54.999992058983651</v>
      </c>
      <c r="X65" s="629">
        <f t="shared" si="83"/>
        <v>2.5957078286548114</v>
      </c>
      <c r="Y65" s="630">
        <f t="shared" si="223"/>
        <v>-3.1300094401084583E-2</v>
      </c>
      <c r="Z65" s="632">
        <f t="shared" si="243"/>
        <v>0.55403240849710922</v>
      </c>
      <c r="AA65" s="629">
        <f t="shared" si="244"/>
        <v>0.7912400464629461</v>
      </c>
      <c r="AB65" s="629">
        <f t="shared" si="245"/>
        <v>-0.25881900859134593</v>
      </c>
      <c r="AC65" s="636">
        <f t="shared" si="84"/>
        <v>1</v>
      </c>
      <c r="AD65" s="637">
        <f t="shared" si="115"/>
        <v>0.55403240849710922</v>
      </c>
      <c r="AE65" s="629">
        <f t="shared" si="85"/>
        <v>0.7912400464629461</v>
      </c>
      <c r="AF65" s="633">
        <f t="shared" si="86"/>
        <v>-0.25881900859134593</v>
      </c>
      <c r="AG65" s="602">
        <f t="shared" si="87"/>
        <v>71.886792182011291</v>
      </c>
      <c r="AH65" s="603">
        <f t="shared" si="88"/>
        <v>56.355904685442951</v>
      </c>
      <c r="AI65" s="585">
        <f t="shared" si="89"/>
        <v>-75.000002165731729</v>
      </c>
      <c r="AJ65" s="586">
        <f t="shared" si="90"/>
        <v>144.99999205898368</v>
      </c>
      <c r="AK65" s="635">
        <f t="shared" si="211"/>
        <v>0.96592583607220728</v>
      </c>
      <c r="AL65" s="629">
        <f t="shared" si="91"/>
        <v>4.4408920985006262E-16</v>
      </c>
      <c r="AM65" s="634">
        <f t="shared" si="92"/>
        <v>-0.25881900859134593</v>
      </c>
      <c r="AN65" s="581">
        <f t="shared" si="93"/>
        <v>9.8309770948403647E-14</v>
      </c>
      <c r="AO65" s="582">
        <f t="shared" si="461"/>
        <v>14.99999783426828</v>
      </c>
      <c r="AP65" s="585">
        <f t="shared" si="95"/>
        <v>2.634201975088908E-14</v>
      </c>
      <c r="AQ65" s="586">
        <f t="shared" si="246"/>
        <v>0.87819903215199835</v>
      </c>
      <c r="AS65" s="52">
        <f t="shared" si="406"/>
        <v>-305.00000794101635</v>
      </c>
      <c r="AT65" s="72">
        <f t="shared" si="247"/>
        <v>0.18050546666906567</v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>
        <f t="shared" si="210"/>
        <v>6.1120000000000001</v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IFERROR(ROUND(VALUE(IF($IH65&lt;1,$IH65+LARGE((IF($M$9:$M$150="",0,$M$9:$M$150)-MOD(IF($M$9:$M$150="",0,$M$9:$M$150),1)),1),$IH65)),4),"")</f>
        <v/>
      </c>
      <c r="IJ65" s="533">
        <f t="shared" si="112"/>
        <v>1313</v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>
        <v>-2.7464149167334275</v>
      </c>
      <c r="C66" s="708">
        <v>1.9756812465535174</v>
      </c>
      <c r="D66" s="709">
        <v>-0.12130036584190333</v>
      </c>
      <c r="E66" s="710">
        <v>-0.67514346681500004</v>
      </c>
      <c r="F66" s="708">
        <v>-0.67405704167051494</v>
      </c>
      <c r="G66" s="711">
        <v>0.2997138698682742</v>
      </c>
      <c r="H66" s="710">
        <v>0.314</v>
      </c>
      <c r="I66" s="708">
        <v>0.52</v>
      </c>
      <c r="J66" s="570">
        <v>6.1150000000000002</v>
      </c>
      <c r="K66" s="865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>1613</v>
      </c>
      <c r="L66" s="320"/>
      <c r="M66" s="168">
        <f t="shared" si="239"/>
        <v>6.1150000000000002</v>
      </c>
      <c r="N66" s="632">
        <f t="shared" si="240"/>
        <v>-2.7464149167334275</v>
      </c>
      <c r="O66" s="629">
        <f t="shared" si="241"/>
        <v>1.9756812465535174</v>
      </c>
      <c r="P66" s="633">
        <f t="shared" si="242"/>
        <v>-0.12130036584190333</v>
      </c>
      <c r="Q66" s="585">
        <f t="shared" si="113"/>
        <v>144.26999216438259</v>
      </c>
      <c r="R66" s="629">
        <f t="shared" si="79"/>
        <v>3.3832102037619745</v>
      </c>
      <c r="S66" s="634">
        <f t="shared" si="80"/>
        <v>-0.12130036584190333</v>
      </c>
      <c r="T66" s="635">
        <f t="shared" si="81"/>
        <v>1.9756812465535176</v>
      </c>
      <c r="U66" s="629">
        <f t="shared" si="82"/>
        <v>2.7464149167334275</v>
      </c>
      <c r="V66" s="636">
        <f t="shared" si="114"/>
        <v>-0.12130036584190333</v>
      </c>
      <c r="W66" s="585">
        <f t="shared" si="224"/>
        <v>54.269992164382586</v>
      </c>
      <c r="X66" s="629">
        <f t="shared" si="83"/>
        <v>3.3832102037619745</v>
      </c>
      <c r="Y66" s="630">
        <f t="shared" si="223"/>
        <v>-0.12130036584190333</v>
      </c>
      <c r="Z66" s="632">
        <f t="shared" si="243"/>
        <v>0.67514346681500004</v>
      </c>
      <c r="AA66" s="629">
        <f t="shared" si="244"/>
        <v>0.67405704167051494</v>
      </c>
      <c r="AB66" s="629">
        <f t="shared" si="245"/>
        <v>-0.2997138698682742</v>
      </c>
      <c r="AC66" s="636">
        <f t="shared" si="84"/>
        <v>1</v>
      </c>
      <c r="AD66" s="637">
        <f t="shared" si="115"/>
        <v>0.67514346681500004</v>
      </c>
      <c r="AE66" s="629">
        <f t="shared" si="85"/>
        <v>0.67405704167051494</v>
      </c>
      <c r="AF66" s="633">
        <f t="shared" si="86"/>
        <v>-0.2997138698682742</v>
      </c>
      <c r="AG66" s="602">
        <f t="shared" si="87"/>
        <v>66.028073969927036</v>
      </c>
      <c r="AH66" s="603">
        <f t="shared" si="88"/>
        <v>47.534707783136142</v>
      </c>
      <c r="AI66" s="585">
        <f t="shared" si="89"/>
        <v>-72.559581698979173</v>
      </c>
      <c r="AJ66" s="586">
        <f t="shared" si="90"/>
        <v>134.95386337190763</v>
      </c>
      <c r="AK66" s="635">
        <f t="shared" si="211"/>
        <v>0.94144567090479203</v>
      </c>
      <c r="AL66" s="629">
        <f t="shared" si="91"/>
        <v>-0.15443977772325768</v>
      </c>
      <c r="AM66" s="634">
        <f t="shared" si="92"/>
        <v>-0.2997138698682742</v>
      </c>
      <c r="AN66" s="581">
        <f t="shared" si="93"/>
        <v>-27.261631429670505</v>
      </c>
      <c r="AO66" s="582">
        <f t="shared" si="461"/>
        <v>19.704227360214578</v>
      </c>
      <c r="AP66" s="585">
        <f t="shared" si="95"/>
        <v>-9.3161287924749381</v>
      </c>
      <c r="AQ66" s="586">
        <f t="shared" si="246"/>
        <v>0.67380428594961583</v>
      </c>
      <c r="AS66" s="52">
        <f t="shared" si="406"/>
        <v>-305.73000783561741</v>
      </c>
      <c r="AT66" s="72">
        <f t="shared" si="247"/>
        <v>9.1012139599497652E-2</v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>
        <f t="shared" si="210"/>
        <v>6.1150000000000002</v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IFERROR(ROUND(VALUE(IF($IH66&lt;1,$IH66+LARGE((IF($M$9:$M$150="",0,$M$9:$M$150)-MOD(IF($M$9:$M$150="",0,$M$9:$M$150),1)),1),$IH66)),4),"")</f>
        <v/>
      </c>
      <c r="IJ66" s="533">
        <f t="shared" si="112"/>
        <v>1613</v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>
        <v>-3.2742303509847663</v>
      </c>
      <c r="C67" s="708">
        <v>2.4104449718884831</v>
      </c>
      <c r="D67" s="709">
        <v>-0.49730149986132383</v>
      </c>
      <c r="E67" s="710">
        <v>-0.78511052167952189</v>
      </c>
      <c r="F67" s="708">
        <v>-0.56231542538625123</v>
      </c>
      <c r="G67" s="711">
        <v>0.259620552192596</v>
      </c>
      <c r="H67" s="710">
        <v>0.314</v>
      </c>
      <c r="I67" s="708">
        <v>0.52</v>
      </c>
      <c r="J67" s="570">
        <v>6.1180000000000003</v>
      </c>
      <c r="K67" s="865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>1613</v>
      </c>
      <c r="L67" s="320"/>
      <c r="M67" s="168">
        <f t="shared" si="239"/>
        <v>6.1180000000000003</v>
      </c>
      <c r="N67" s="632">
        <f t="shared" si="240"/>
        <v>-3.2742303509847663</v>
      </c>
      <c r="O67" s="629">
        <f t="shared" si="241"/>
        <v>2.4104449718884831</v>
      </c>
      <c r="P67" s="633">
        <f t="shared" si="242"/>
        <v>-0.49730149986132383</v>
      </c>
      <c r="Q67" s="585">
        <f t="shared" si="113"/>
        <v>143.63999225534332</v>
      </c>
      <c r="R67" s="629">
        <f>IF(M67="","",SQRT(N67^2+O67^2))</f>
        <v>4.0658122624897839</v>
      </c>
      <c r="S67" s="634">
        <f>IF(M67="","",P67)</f>
        <v>-0.49730149986132383</v>
      </c>
      <c r="T67" s="635">
        <f>IF(M67="","",X67*COS(RADIANS(W67)))</f>
        <v>2.4104449718884831</v>
      </c>
      <c r="U67" s="629">
        <f>IF(M67="","",X67*SIN(RADIANS(W67)))</f>
        <v>3.2742303509847659</v>
      </c>
      <c r="V67" s="636">
        <f>IF(M67="","",Y67)</f>
        <v>-0.49730149986132383</v>
      </c>
      <c r="W67" s="585">
        <f t="shared" si="224"/>
        <v>53.639992255343316</v>
      </c>
      <c r="X67" s="629">
        <f>IF(M67="","",R67)</f>
        <v>4.0658122624897839</v>
      </c>
      <c r="Y67" s="630">
        <f t="shared" si="223"/>
        <v>-0.49730149986132383</v>
      </c>
      <c r="Z67" s="632">
        <f t="shared" si="243"/>
        <v>0.78511052167952189</v>
      </c>
      <c r="AA67" s="629">
        <f t="shared" si="244"/>
        <v>0.56231542538625123</v>
      </c>
      <c r="AB67" s="629">
        <f t="shared" si="245"/>
        <v>-0.259620552192596</v>
      </c>
      <c r="AC67" s="636">
        <f>IF(M67="","",SQRT(Z67^2+AA67^2+AB67^2))</f>
        <v>1</v>
      </c>
      <c r="AD67" s="637">
        <f>IF(M67="","",Z67*(1/SQRT(Z67^2+AA67^2+AB67^2)))</f>
        <v>0.78511052167952189</v>
      </c>
      <c r="AE67" s="629">
        <f>IF(M67="","",AA67*(1/SQRT(Z67^2+AA67^2+AB67^2)))</f>
        <v>0.56231542538625123</v>
      </c>
      <c r="AF67" s="633">
        <f>IF(M67="","",AB67*(1/SQRT(Z67^2+AA67^2+AB67^2)))</f>
        <v>-0.259620552192596</v>
      </c>
      <c r="AG67" s="602">
        <f>IF(M67="","",DEGREES(ATAN2(-AF67,AE67)))</f>
        <v>65.217270069474196</v>
      </c>
      <c r="AH67" s="603">
        <f>IF(M67="","",DEGREES(ACOS(AD67)))</f>
        <v>38.269098678885562</v>
      </c>
      <c r="AI67" s="585">
        <f>IF(M67="","",DEGREES(-ACOS(-AF67)))</f>
        <v>-74.95245174742432</v>
      </c>
      <c r="AJ67" s="586">
        <f>IF(M67="","",DEGREES(ATAN2(-AE67,AD67)))</f>
        <v>125.61116780965425</v>
      </c>
      <c r="AK67" s="635">
        <f>IF(M67="","",(COS(RADIANS((90-$Q$8)-W67))*AD67)+(-SIN(RADIANS((90-$Q$8)-W67))*AE67))</f>
        <v>0.91829521407841985</v>
      </c>
      <c r="AL67" s="629">
        <f>IF(M67="","",(SIN(RADIANS((90-$Q$8)-W67))*AD67)+(COS(RADIANS((90-$Q$8)-W67))*AE67))</f>
        <v>-0.29888303511554581</v>
      </c>
      <c r="AM67" s="634">
        <f>IF(M67="","",AF67)</f>
        <v>-0.259620552192596</v>
      </c>
      <c r="AN67" s="581">
        <f>IF(M67="","",DEGREES(ATAN2(-AM67,AL67)))</f>
        <v>-49.021244910827484</v>
      </c>
      <c r="AO67" s="582">
        <f t="shared" si="461"/>
        <v>23.321887259085422</v>
      </c>
      <c r="AP67" s="585">
        <f>IF(M67="","",DEGREES(ATAN2(AK67,AL67)))</f>
        <v>-18.028824445689057</v>
      </c>
      <c r="AQ67" s="586">
        <f t="shared" si="246"/>
        <v>0.56068842168084376</v>
      </c>
      <c r="AS67" s="52">
        <f t="shared" si="406"/>
        <v>-306.36000774465668</v>
      </c>
      <c r="AT67" s="72">
        <f t="shared" si="247"/>
        <v>-0.28455149448309003</v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>
        <f t="shared" si="210"/>
        <v>6.1180000000000003</v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IFERROR(ROUND(VALUE(IF($IH67&lt;1,$IH67+LARGE((IF($M$9:$M$150="",0,$M$9:$M$150)-MOD(IF($M$9:$M$150="",0,$M$9:$M$150),1)),1),$IH67)),4),"")</f>
        <v/>
      </c>
      <c r="IJ67" s="533">
        <f t="shared" si="112"/>
        <v>1613</v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>
        <v>-3.6154090592942922</v>
      </c>
      <c r="C68" s="708">
        <v>2.7066411027371942</v>
      </c>
      <c r="D68" s="709">
        <v>-1.1356034249799298</v>
      </c>
      <c r="E68" s="710">
        <v>-0.86437646574707028</v>
      </c>
      <c r="F68" s="708">
        <v>-0.47789887463062986</v>
      </c>
      <c r="G68" s="711">
        <v>0.15641608321838746</v>
      </c>
      <c r="H68" s="710">
        <v>0.314</v>
      </c>
      <c r="I68" s="708">
        <v>0.52</v>
      </c>
      <c r="J68" s="570">
        <v>6.1210000000000004</v>
      </c>
      <c r="K68" s="865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>1613</v>
      </c>
      <c r="L68" s="320"/>
      <c r="M68" s="168">
        <f t="shared" si="239"/>
        <v>6.1210000000000004</v>
      </c>
      <c r="N68" s="632">
        <f t="shared" si="240"/>
        <v>-3.6154090592942922</v>
      </c>
      <c r="O68" s="629">
        <f t="shared" si="241"/>
        <v>2.7066411027371942</v>
      </c>
      <c r="P68" s="633">
        <f t="shared" si="242"/>
        <v>-1.1356034249799298</v>
      </c>
      <c r="Q68" s="585">
        <f t="shared" si="113"/>
        <v>143.17999232175907</v>
      </c>
      <c r="R68" s="629">
        <f>IF(M68="","",SQRT(N68^2+O68^2))</f>
        <v>4.5163136212018813</v>
      </c>
      <c r="S68" s="634">
        <f>IF(M68="","",P68)</f>
        <v>-1.1356034249799298</v>
      </c>
      <c r="T68" s="635">
        <f>IF(M68="","",X68*COS(RADIANS(W68)))</f>
        <v>2.7066411027371955</v>
      </c>
      <c r="U68" s="629">
        <f>IF(M68="","",X68*SIN(RADIANS(W68)))</f>
        <v>3.6154090592942909</v>
      </c>
      <c r="V68" s="636">
        <f>IF(M68="","",Y68)</f>
        <v>-1.1356034249799298</v>
      </c>
      <c r="W68" s="585">
        <f t="shared" si="224"/>
        <v>53.179992321759073</v>
      </c>
      <c r="X68" s="629">
        <f>IF(M68="","",R68)</f>
        <v>4.5163136212018813</v>
      </c>
      <c r="Y68" s="630">
        <f t="shared" si="223"/>
        <v>-1.1356034249799298</v>
      </c>
      <c r="Z68" s="632">
        <f t="shared" si="243"/>
        <v>0.86437646574707028</v>
      </c>
      <c r="AA68" s="629">
        <f t="shared" si="244"/>
        <v>0.47789887463062986</v>
      </c>
      <c r="AB68" s="629">
        <f t="shared" si="245"/>
        <v>-0.15641608321838746</v>
      </c>
      <c r="AC68" s="636">
        <f>IF(M68="","",SQRT(Z68^2+AA68^2+AB68^2))</f>
        <v>1</v>
      </c>
      <c r="AD68" s="637">
        <f>IF(M68="","",Z68*(1/SQRT(Z68^2+AA68^2+AB68^2)))</f>
        <v>0.86437646574707028</v>
      </c>
      <c r="AE68" s="629">
        <f>IF(M68="","",AA68*(1/SQRT(Z68^2+AA68^2+AB68^2)))</f>
        <v>0.47789887463062986</v>
      </c>
      <c r="AF68" s="633">
        <f>IF(M68="","",AB68*(1/SQRT(Z68^2+AA68^2+AB68^2)))</f>
        <v>-0.15641608321838746</v>
      </c>
      <c r="AG68" s="602">
        <f>IF(M68="","",DEGREES(ATAN2(-AF68,AE68)))</f>
        <v>71.876751982530322</v>
      </c>
      <c r="AH68" s="603">
        <f>IF(M68="","",DEGREES(ACOS(AD68)))</f>
        <v>30.188418117250915</v>
      </c>
      <c r="AI68" s="585">
        <f>IF(M68="","",DEGREES(-ACOS(-AF68)))</f>
        <v>-81.001066327520448</v>
      </c>
      <c r="AJ68" s="586">
        <f>IF(M68="","",DEGREES(ATAN2(-AE68,AD68)))</f>
        <v>118.9374507769314</v>
      </c>
      <c r="AK68" s="635">
        <f>IF(M68="","",(COS(RADIANS((90-$Q$8)-W68))*AD68)+(-SIN(RADIANS((90-$Q$8)-W68))*AE68))</f>
        <v>0.90059219362039145</v>
      </c>
      <c r="AL68" s="629">
        <f>IF(M68="","",(SIN(RADIANS((90-$Q$8)-W68))*AD68)+(COS(RADIANS((90-$Q$8)-W68))*AE68))</f>
        <v>-0.40554618688952071</v>
      </c>
      <c r="AM68" s="634">
        <f>IF(M68="","",AF68)</f>
        <v>-0.15641608321838746</v>
      </c>
      <c r="AN68" s="581">
        <f>IF(M68="","",DEGREES(ATAN2(-AM68,AL68)))</f>
        <v>-68.90875193006552</v>
      </c>
      <c r="AO68" s="582">
        <f t="shared" si="461"/>
        <v>25.763982048374885</v>
      </c>
      <c r="AP68" s="585">
        <f>IF(M68="","",DEGREES(ATAN2(AK68,AL68)))</f>
        <v>-24.24254154482767</v>
      </c>
      <c r="AQ68" s="586">
        <f t="shared" si="246"/>
        <v>0.50476292053678196</v>
      </c>
      <c r="AS68" s="52">
        <f t="shared" si="406"/>
        <v>-306.82000767824093</v>
      </c>
      <c r="AT68" s="72">
        <f t="shared" si="247"/>
        <v>-0.92253397520337366</v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>
        <f t="shared" si="210"/>
        <v>6.1210000000000004</v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IFERROR(ROUND(VALUE(IF($IH68&lt;1,$IH68+LARGE((IF($M$9:$M$150="",0,$M$9:$M$150)-MOD(IF($M$9:$M$150="",0,$M$9:$M$150),1)),1),$IH68)),4),"")</f>
        <v/>
      </c>
      <c r="IJ68" s="533">
        <f t="shared" si="112"/>
        <v>1613</v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>
        <v>-3.7205635827157058</v>
      </c>
      <c r="C69" s="708">
        <v>2.8005934507214802</v>
      </c>
      <c r="D69" s="709">
        <v>-1.8942057129244305</v>
      </c>
      <c r="E69" s="710">
        <v>-0.92297348593687389</v>
      </c>
      <c r="F69" s="708">
        <v>-0.38265645082097782</v>
      </c>
      <c r="G69" s="711">
        <v>4.1158047847629983E-2</v>
      </c>
      <c r="H69" s="710">
        <v>0.314</v>
      </c>
      <c r="I69" s="708">
        <v>0.52</v>
      </c>
      <c r="J69" s="570">
        <v>6.1239999999999997</v>
      </c>
      <c r="K69" s="865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>1613</v>
      </c>
      <c r="L69" s="320"/>
      <c r="M69" s="168">
        <f t="shared" si="239"/>
        <v>6.1239999999999997</v>
      </c>
      <c r="N69" s="632">
        <f t="shared" si="240"/>
        <v>-3.7205635827157058</v>
      </c>
      <c r="O69" s="629">
        <f t="shared" si="241"/>
        <v>2.8005934507214802</v>
      </c>
      <c r="P69" s="633">
        <f t="shared" si="242"/>
        <v>-1.8942057129244305</v>
      </c>
      <c r="Q69" s="585">
        <f t="shared" si="113"/>
        <v>143.02999234341644</v>
      </c>
      <c r="R69" s="629">
        <f t="shared" si="79"/>
        <v>4.656814044951159</v>
      </c>
      <c r="S69" s="634">
        <f t="shared" si="80"/>
        <v>-1.8942057129244305</v>
      </c>
      <c r="T69" s="635">
        <f t="shared" si="81"/>
        <v>2.8005934507214794</v>
      </c>
      <c r="U69" s="629">
        <f t="shared" si="82"/>
        <v>3.7205635827157066</v>
      </c>
      <c r="V69" s="636">
        <f t="shared" si="114"/>
        <v>-1.8942057129244305</v>
      </c>
      <c r="W69" s="585">
        <f t="shared" si="224"/>
        <v>53.029992343416438</v>
      </c>
      <c r="X69" s="629">
        <f t="shared" si="83"/>
        <v>4.656814044951159</v>
      </c>
      <c r="Y69" s="630">
        <f t="shared" si="223"/>
        <v>-1.8942057129244305</v>
      </c>
      <c r="Z69" s="632">
        <f t="shared" si="243"/>
        <v>0.92297348593687389</v>
      </c>
      <c r="AA69" s="629">
        <f t="shared" si="244"/>
        <v>0.38265645082097782</v>
      </c>
      <c r="AB69" s="629">
        <f t="shared" si="245"/>
        <v>-4.1158047847629983E-2</v>
      </c>
      <c r="AC69" s="636">
        <f t="shared" si="84"/>
        <v>1</v>
      </c>
      <c r="AD69" s="637">
        <f t="shared" si="115"/>
        <v>0.92297348593687389</v>
      </c>
      <c r="AE69" s="629">
        <f t="shared" si="85"/>
        <v>0.38265645082097782</v>
      </c>
      <c r="AF69" s="633">
        <f t="shared" si="86"/>
        <v>-4.1158047847629983E-2</v>
      </c>
      <c r="AG69" s="602">
        <f t="shared" si="87"/>
        <v>83.860939257936806</v>
      </c>
      <c r="AH69" s="603">
        <f t="shared" si="88"/>
        <v>22.635268908684633</v>
      </c>
      <c r="AI69" s="585">
        <f t="shared" si="89"/>
        <v>-87.641151269721959</v>
      </c>
      <c r="AJ69" s="586">
        <f t="shared" si="90"/>
        <v>112.51845349419789</v>
      </c>
      <c r="AK69" s="635">
        <f t="shared" si="211"/>
        <v>0.86079691326008234</v>
      </c>
      <c r="AL69" s="629">
        <f t="shared" si="91"/>
        <v>-0.50728166655151896</v>
      </c>
      <c r="AM69" s="634">
        <f t="shared" si="92"/>
        <v>-4.1158047847629983E-2</v>
      </c>
      <c r="AN69" s="581">
        <f t="shared" si="93"/>
        <v>-85.361495507825538</v>
      </c>
      <c r="AO69" s="582">
        <f t="shared" si="461"/>
        <v>30.593821646993788</v>
      </c>
      <c r="AP69" s="585">
        <f t="shared" si="95"/>
        <v>-30.51153884921856</v>
      </c>
      <c r="AQ69" s="586">
        <f t="shared" si="246"/>
        <v>0.48953450503327367</v>
      </c>
      <c r="AS69" s="52">
        <f t="shared" si="406"/>
        <v>-306.97000765658356</v>
      </c>
      <c r="AT69" s="72">
        <f t="shared" si="247"/>
        <v>-1.6810320964962475</v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>
        <f t="shared" si="210"/>
        <v>6.1239999999999997</v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IFERROR(ROUND(VALUE(IF($IH69&lt;1,$IH69+LARGE((IF($M$9:$M$150="",0,$M$9:$M$150)-MOD(IF($M$9:$M$150="",0,$M$9:$M$150),1)),1),$IH69)),4),"")</f>
        <v/>
      </c>
      <c r="IJ69" s="533">
        <f t="shared" si="112"/>
        <v>1613</v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>
        <v>-3.7905017029477457</v>
      </c>
      <c r="C70" s="708">
        <v>2.863616048418876</v>
      </c>
      <c r="D70" s="709">
        <v>-2.5459075821466182</v>
      </c>
      <c r="E70" s="710">
        <v>-0.93043621249346975</v>
      </c>
      <c r="F70" s="708">
        <v>-0.36408091964547185</v>
      </c>
      <c r="G70" s="711">
        <v>4.1635783058741119E-2</v>
      </c>
      <c r="H70" s="710">
        <v>0.26600000000000001</v>
      </c>
      <c r="I70" s="708">
        <v>0.52</v>
      </c>
      <c r="J70" s="570">
        <v>6.1269999999999998</v>
      </c>
      <c r="K70" s="865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>1313</v>
      </c>
      <c r="L70" s="320"/>
      <c r="M70" s="168">
        <f t="shared" si="239"/>
        <v>6.1269999999999998</v>
      </c>
      <c r="N70" s="632">
        <f t="shared" si="240"/>
        <v>-3.7905017029477457</v>
      </c>
      <c r="O70" s="629">
        <f t="shared" si="241"/>
        <v>2.863616048418876</v>
      </c>
      <c r="P70" s="633">
        <f t="shared" si="242"/>
        <v>-2.5459075821466182</v>
      </c>
      <c r="Q70" s="585">
        <f t="shared" si="113"/>
        <v>142.92999225728468</v>
      </c>
      <c r="R70" s="629">
        <f t="shared" si="79"/>
        <v>4.750599965563497</v>
      </c>
      <c r="S70" s="634">
        <f t="shared" si="80"/>
        <v>-2.5459075821466182</v>
      </c>
      <c r="T70" s="635">
        <f t="shared" si="81"/>
        <v>2.863616048418876</v>
      </c>
      <c r="U70" s="629">
        <f t="shared" si="82"/>
        <v>3.7905017029477457</v>
      </c>
      <c r="V70" s="636">
        <f t="shared" si="114"/>
        <v>-2.5459075821466182</v>
      </c>
      <c r="W70" s="585">
        <f t="shared" si="224"/>
        <v>52.929992257284681</v>
      </c>
      <c r="X70" s="629">
        <f t="shared" si="83"/>
        <v>4.750599965563497</v>
      </c>
      <c r="Y70" s="630">
        <f t="shared" si="223"/>
        <v>-2.5459075821466182</v>
      </c>
      <c r="Z70" s="632">
        <f t="shared" si="243"/>
        <v>0.93043621249346975</v>
      </c>
      <c r="AA70" s="629">
        <f t="shared" si="244"/>
        <v>0.36408091964547185</v>
      </c>
      <c r="AB70" s="629">
        <f t="shared" si="245"/>
        <v>-4.1635783058741119E-2</v>
      </c>
      <c r="AC70" s="636">
        <f t="shared" si="84"/>
        <v>1</v>
      </c>
      <c r="AD70" s="637">
        <f t="shared" si="115"/>
        <v>0.93043621249346975</v>
      </c>
      <c r="AE70" s="629">
        <f t="shared" si="85"/>
        <v>0.36408091964547185</v>
      </c>
      <c r="AF70" s="633">
        <f t="shared" si="86"/>
        <v>-4.1635783058741119E-2</v>
      </c>
      <c r="AG70" s="602">
        <f t="shared" si="87"/>
        <v>83.476076265639236</v>
      </c>
      <c r="AH70" s="603">
        <f t="shared" si="88"/>
        <v>21.497085082591472</v>
      </c>
      <c r="AI70" s="585">
        <f t="shared" si="89"/>
        <v>-87.613755574007868</v>
      </c>
      <c r="AJ70" s="586">
        <f t="shared" si="90"/>
        <v>111.37047190484562</v>
      </c>
      <c r="AK70" s="635">
        <f t="shared" si="211"/>
        <v>0.85135802748518308</v>
      </c>
      <c r="AL70" s="629">
        <f t="shared" si="91"/>
        <v>-0.52293017756257265</v>
      </c>
      <c r="AM70" s="634">
        <f t="shared" si="92"/>
        <v>-4.1635783058741119E-2</v>
      </c>
      <c r="AN70" s="581">
        <f t="shared" si="93"/>
        <v>-85.447704368733753</v>
      </c>
      <c r="AO70" s="582">
        <f t="shared" si="461"/>
        <v>31.640315427158203</v>
      </c>
      <c r="AP70" s="585">
        <f t="shared" si="95"/>
        <v>-31.559520352439051</v>
      </c>
      <c r="AQ70" s="586">
        <f t="shared" si="246"/>
        <v>0.47987061500513689</v>
      </c>
      <c r="AS70" s="52">
        <f t="shared" si="406"/>
        <v>-307.07000774271535</v>
      </c>
      <c r="AT70" s="72">
        <f t="shared" si="247"/>
        <v>-2.332664521214177</v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>
        <f t="shared" si="210"/>
        <v>6.1269999999999998</v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IFERROR(ROUND(VALUE(IF($IH70&lt;1,$IH70+LARGE((IF($M$9:$M$150="",0,$M$9:$M$150)-MOD(IF($M$9:$M$150="",0,$M$9:$M$150),1)),1),$IH70)),4),"")</f>
        <v/>
      </c>
      <c r="IJ70" s="533">
        <f t="shared" si="112"/>
        <v>1313</v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>
        <v>-2.5572545620202969</v>
      </c>
      <c r="C71" s="708">
        <v>2.8691918319390912</v>
      </c>
      <c r="D71" s="709">
        <v>-0.33100099829901103</v>
      </c>
      <c r="E71" s="710">
        <v>-0.85770611783369277</v>
      </c>
      <c r="F71" s="708">
        <v>-0.43006037016096493</v>
      </c>
      <c r="G71" s="711">
        <v>0.2817592828065642</v>
      </c>
      <c r="H71" s="710">
        <v>0.26600000000000001</v>
      </c>
      <c r="I71" s="708">
        <v>0.52</v>
      </c>
      <c r="J71" s="570">
        <v>6.2169999999999996</v>
      </c>
      <c r="K71" s="865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>1313</v>
      </c>
      <c r="L71" s="320"/>
      <c r="M71" s="168">
        <f t="shared" si="239"/>
        <v>6.2169999999999996</v>
      </c>
      <c r="N71" s="632">
        <f t="shared" si="240"/>
        <v>-2.5572545620202969</v>
      </c>
      <c r="O71" s="629">
        <f t="shared" si="241"/>
        <v>2.8691918319390912</v>
      </c>
      <c r="P71" s="633">
        <f t="shared" si="242"/>
        <v>-0.33100099829901103</v>
      </c>
      <c r="Q71" s="585">
        <f t="shared" si="113"/>
        <v>131.70999397782194</v>
      </c>
      <c r="R71" s="629">
        <f t="shared" si="79"/>
        <v>3.8434115917293608</v>
      </c>
      <c r="S71" s="634">
        <f t="shared" si="80"/>
        <v>-0.33100099829901103</v>
      </c>
      <c r="T71" s="635">
        <f t="shared" si="81"/>
        <v>2.8691918319390921</v>
      </c>
      <c r="U71" s="629">
        <f t="shared" si="82"/>
        <v>2.557254562020296</v>
      </c>
      <c r="V71" s="636">
        <f t="shared" si="114"/>
        <v>-0.33100099829901103</v>
      </c>
      <c r="W71" s="585">
        <f t="shared" si="224"/>
        <v>41.709993977821938</v>
      </c>
      <c r="X71" s="629">
        <f t="shared" si="83"/>
        <v>3.8434115917293608</v>
      </c>
      <c r="Y71" s="630">
        <f t="shared" si="223"/>
        <v>-0.33100099829901103</v>
      </c>
      <c r="Z71" s="632">
        <f t="shared" si="243"/>
        <v>0.85770611783369277</v>
      </c>
      <c r="AA71" s="629">
        <f t="shared" si="244"/>
        <v>0.43006037016096493</v>
      </c>
      <c r="AB71" s="629">
        <f t="shared" si="245"/>
        <v>-0.2817592828065642</v>
      </c>
      <c r="AC71" s="636">
        <f t="shared" si="84"/>
        <v>1</v>
      </c>
      <c r="AD71" s="637">
        <f t="shared" si="115"/>
        <v>0.85770611783369277</v>
      </c>
      <c r="AE71" s="629">
        <f t="shared" si="85"/>
        <v>0.43006037016096493</v>
      </c>
      <c r="AF71" s="633">
        <f t="shared" si="86"/>
        <v>-0.2817592828065642</v>
      </c>
      <c r="AG71" s="602">
        <f t="shared" si="87"/>
        <v>56.768699823593749</v>
      </c>
      <c r="AH71" s="603">
        <f t="shared" si="88"/>
        <v>30.940006617990701</v>
      </c>
      <c r="AI71" s="585">
        <f t="shared" si="89"/>
        <v>-73.634767698394327</v>
      </c>
      <c r="AJ71" s="586">
        <f t="shared" si="90"/>
        <v>116.6295346940921</v>
      </c>
      <c r="AK71" s="635">
        <f t="shared" si="211"/>
        <v>0.92644182025499189</v>
      </c>
      <c r="AL71" s="629">
        <f t="shared" si="91"/>
        <v>-0.24963425292805491</v>
      </c>
      <c r="AM71" s="634">
        <f t="shared" si="92"/>
        <v>-0.2817592828065642</v>
      </c>
      <c r="AN71" s="581">
        <f t="shared" si="93"/>
        <v>-41.540433633970999</v>
      </c>
      <c r="AO71" s="582">
        <f t="shared" si="461"/>
        <v>22.11321677014514</v>
      </c>
      <c r="AP71" s="585">
        <f t="shared" si="95"/>
        <v>-15.080459283729823</v>
      </c>
      <c r="AQ71" s="586">
        <f t="shared" si="246"/>
        <v>0.5931306447048531</v>
      </c>
      <c r="AS71" s="52">
        <f t="shared" si="406"/>
        <v>-318.29000602217809</v>
      </c>
      <c r="AT71" s="72">
        <f t="shared" si="247"/>
        <v>-0.10996627189472069</v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>Taper</v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>
        <f t="shared" si="210"/>
        <v>6.2169999999999996</v>
      </c>
      <c r="IH71" s="731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>5.117</v>
      </c>
      <c r="II71" s="734" cm="1">
        <f t="array" ref="II71">IFERROR(ROUND(VALUE(IF($IH71&lt;1,$IH71+LARGE((IF($M$9:$M$150="",0,$M$9:$M$150)-MOD(IF($M$9:$M$150="",0,$M$9:$M$150),1)),1),$IH71)),4),"")</f>
        <v>5.117</v>
      </c>
      <c r="IJ71" s="533">
        <f t="shared" si="112"/>
        <v>1613</v>
      </c>
      <c r="IK71" s="533">
        <f t="shared" si="382"/>
        <v>1313</v>
      </c>
      <c r="IL71" s="727">
        <f t="shared" si="225"/>
        <v>72.139989584274218</v>
      </c>
      <c r="IM71" s="759">
        <v>4.6179606855486E-2</v>
      </c>
      <c r="IN71" s="5">
        <f t="shared" si="226"/>
        <v>0.24</v>
      </c>
      <c r="IO71" s="771">
        <v>120</v>
      </c>
      <c r="IP71" s="9">
        <f t="shared" si="227"/>
        <v>-3.8443115944437691</v>
      </c>
      <c r="IQ71" s="5">
        <f t="shared" si="228"/>
        <v>-0.32950099377499747</v>
      </c>
      <c r="IR71" s="5">
        <f t="shared" si="383"/>
        <v>0.314</v>
      </c>
      <c r="IS71" s="5">
        <f t="shared" si="229"/>
        <v>0.29090273156006741</v>
      </c>
      <c r="IT71" s="727">
        <f t="shared" si="230"/>
        <v>41.540433633971062</v>
      </c>
      <c r="IU71" s="9">
        <f t="shared" si="231"/>
        <v>-3.8434115917293608</v>
      </c>
      <c r="IV71" s="5">
        <f t="shared" si="232"/>
        <v>-0.33100099829901103</v>
      </c>
      <c r="IW71" s="5">
        <f t="shared" si="384"/>
        <v>0.26600000000000001</v>
      </c>
      <c r="IX71" s="5">
        <f t="shared" si="233"/>
        <v>0.24643352418782785</v>
      </c>
      <c r="IY71" s="762">
        <f t="shared" si="234"/>
        <v>41.540433633970999</v>
      </c>
    </row>
    <row r="72" spans="1:259" ht="15" customHeight="1" x14ac:dyDescent="0.25">
      <c r="A72" s="79"/>
      <c r="B72" s="707">
        <v>-2.9589460990807068</v>
      </c>
      <c r="C72" s="708">
        <v>3.2529803849410732</v>
      </c>
      <c r="D72" s="709">
        <v>-0.90150271893220069</v>
      </c>
      <c r="E72" s="710">
        <v>-0.92216045965376481</v>
      </c>
      <c r="F72" s="708">
        <v>-0.33656818538368766</v>
      </c>
      <c r="G72" s="711">
        <v>0.19063562951003934</v>
      </c>
      <c r="H72" s="710">
        <v>0.26600000000000001</v>
      </c>
      <c r="I72" s="708">
        <v>0.52</v>
      </c>
      <c r="J72" s="570">
        <v>6.22</v>
      </c>
      <c r="K72" s="865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>1313</v>
      </c>
      <c r="L72" s="320"/>
      <c r="M72" s="168">
        <f t="shared" si="239"/>
        <v>6.22</v>
      </c>
      <c r="N72" s="632">
        <f t="shared" si="240"/>
        <v>-2.9589460990807068</v>
      </c>
      <c r="O72" s="629">
        <f t="shared" si="241"/>
        <v>3.2529803849410732</v>
      </c>
      <c r="P72" s="633">
        <f t="shared" si="242"/>
        <v>-0.90150271893220069</v>
      </c>
      <c r="Q72" s="585">
        <f t="shared" si="113"/>
        <v>132.28999389408034</v>
      </c>
      <c r="R72" s="629">
        <f t="shared" si="79"/>
        <v>4.3974132625984002</v>
      </c>
      <c r="S72" s="634">
        <f t="shared" si="80"/>
        <v>-0.90150271893220069</v>
      </c>
      <c r="T72" s="635">
        <f t="shared" si="81"/>
        <v>3.2529803849410728</v>
      </c>
      <c r="U72" s="629">
        <f t="shared" si="82"/>
        <v>2.9589460990807073</v>
      </c>
      <c r="V72" s="636">
        <f t="shared" si="114"/>
        <v>-0.90150271893220069</v>
      </c>
      <c r="W72" s="585">
        <f t="shared" si="224"/>
        <v>42.289993894080339</v>
      </c>
      <c r="X72" s="629">
        <f t="shared" si="83"/>
        <v>4.3974132625984002</v>
      </c>
      <c r="Y72" s="630">
        <f t="shared" si="223"/>
        <v>-0.90150271893220069</v>
      </c>
      <c r="Z72" s="632">
        <f t="shared" si="243"/>
        <v>0.92216045965376481</v>
      </c>
      <c r="AA72" s="629">
        <f t="shared" si="244"/>
        <v>0.33656818538368766</v>
      </c>
      <c r="AB72" s="629">
        <f t="shared" si="245"/>
        <v>-0.19063562951003934</v>
      </c>
      <c r="AC72" s="636">
        <f t="shared" si="84"/>
        <v>1</v>
      </c>
      <c r="AD72" s="637">
        <f t="shared" si="115"/>
        <v>0.92216045965376481</v>
      </c>
      <c r="AE72" s="629">
        <f t="shared" si="85"/>
        <v>0.33656818538368766</v>
      </c>
      <c r="AF72" s="633">
        <f t="shared" si="86"/>
        <v>-0.19063562951003934</v>
      </c>
      <c r="AG72" s="602">
        <f t="shared" si="87"/>
        <v>60.472344819122988</v>
      </c>
      <c r="AH72" s="603">
        <f t="shared" si="88"/>
        <v>22.756001582420449</v>
      </c>
      <c r="AI72" s="585">
        <f t="shared" si="89"/>
        <v>-79.010118874239552</v>
      </c>
      <c r="AJ72" s="586">
        <f t="shared" si="90"/>
        <v>110.05096461868226</v>
      </c>
      <c r="AK72" s="635">
        <f t="shared" si="211"/>
        <v>0.90863804869608056</v>
      </c>
      <c r="AL72" s="629">
        <f t="shared" si="91"/>
        <v>-0.37153055489836928</v>
      </c>
      <c r="AM72" s="634">
        <f t="shared" si="92"/>
        <v>-0.19063562951003934</v>
      </c>
      <c r="AN72" s="581">
        <f t="shared" si="93"/>
        <v>-62.837237632034729</v>
      </c>
      <c r="AO72" s="582">
        <f t="shared" si="461"/>
        <v>24.682186713902976</v>
      </c>
      <c r="AP72" s="585">
        <f t="shared" si="95"/>
        <v>-22.239029275398071</v>
      </c>
      <c r="AQ72" s="586">
        <f t="shared" si="246"/>
        <v>0.51841032102335594</v>
      </c>
      <c r="AS72" s="52">
        <f t="shared" si="406"/>
        <v>-317.71000610591966</v>
      </c>
      <c r="AT72" s="72">
        <f t="shared" si="247"/>
        <v>-0.68087077024753428</v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>Taper</v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>
        <f t="shared" si="210"/>
        <v>6.22</v>
      </c>
      <c r="IH72" s="731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>5.12</v>
      </c>
      <c r="II72" s="734" cm="1">
        <f t="array" ref="II72">IFERROR(ROUND(VALUE(IF($IH72&lt;1,$IH72+LARGE((IF($M$9:$M$150="",0,$M$9:$M$150)-MOD(IF($M$9:$M$150="",0,$M$9:$M$150),1)),1),$IH72)),4),"")</f>
        <v>5.12</v>
      </c>
      <c r="IJ72" s="533">
        <f t="shared" si="112"/>
        <v>1613</v>
      </c>
      <c r="IK72" s="533">
        <f t="shared" si="382"/>
        <v>1313</v>
      </c>
      <c r="IL72" s="727">
        <f t="shared" si="225"/>
        <v>71.009989747425976</v>
      </c>
      <c r="IM72" s="759">
        <v>4.3838221704441502E-2</v>
      </c>
      <c r="IN72" s="5">
        <f t="shared" si="226"/>
        <v>0.24</v>
      </c>
      <c r="IO72" s="771">
        <v>120</v>
      </c>
      <c r="IP72" s="9">
        <f t="shared" si="227"/>
        <v>-4.3976132632016016</v>
      </c>
      <c r="IQ72" s="5">
        <f t="shared" si="228"/>
        <v>-0.90140271863059862</v>
      </c>
      <c r="IR72" s="5">
        <f t="shared" si="383"/>
        <v>0.314</v>
      </c>
      <c r="IS72" s="5">
        <f t="shared" si="229"/>
        <v>0.28531234729056942</v>
      </c>
      <c r="IT72" s="727">
        <f t="shared" si="230"/>
        <v>62.837237632034586</v>
      </c>
      <c r="IU72" s="9">
        <f t="shared" si="231"/>
        <v>-4.3974132625984002</v>
      </c>
      <c r="IV72" s="5">
        <f t="shared" si="232"/>
        <v>-0.90150271893220069</v>
      </c>
      <c r="IW72" s="5">
        <f t="shared" si="384"/>
        <v>0.26600000000000001</v>
      </c>
      <c r="IX72" s="5">
        <f t="shared" si="233"/>
        <v>0.24169772095315745</v>
      </c>
      <c r="IY72" s="762">
        <f t="shared" si="234"/>
        <v>62.837237632034729</v>
      </c>
    </row>
    <row r="73" spans="1:259" ht="15" customHeight="1" x14ac:dyDescent="0.25">
      <c r="A73" s="79"/>
      <c r="B73" s="707">
        <v>-2.9821478064574669</v>
      </c>
      <c r="C73" s="708">
        <v>3.5539874536133249</v>
      </c>
      <c r="D73" s="709">
        <v>-1.6396999999999999</v>
      </c>
      <c r="E73" s="710">
        <v>-0.54511462036541736</v>
      </c>
      <c r="F73" s="708">
        <v>0.64964268952894855</v>
      </c>
      <c r="G73" s="711">
        <v>0.5299192642332049</v>
      </c>
      <c r="H73" s="710">
        <v>0.26250000000000001</v>
      </c>
      <c r="I73" s="708">
        <v>0.40699999999999997</v>
      </c>
      <c r="J73" s="570">
        <v>6.3230000000000004</v>
      </c>
      <c r="K73" s="865" t="str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>Inactive</v>
      </c>
      <c r="L73" s="320"/>
      <c r="M73" s="168">
        <f t="shared" ref="M73:M104" si="464">IF(J73="","",VALUE(J73))</f>
        <v>6.3230000000000004</v>
      </c>
      <c r="N73" s="632">
        <f t="shared" ref="N73:N104" si="465">IF(M73="","",B73)</f>
        <v>-2.9821478064574669</v>
      </c>
      <c r="O73" s="629">
        <f t="shared" ref="O73:O104" si="466">IF(M73="","",C73)</f>
        <v>3.5539874536133249</v>
      </c>
      <c r="P73" s="633">
        <f t="shared" ref="P73:P104" si="467">IF(M73="","",D73)</f>
        <v>-1.6396999999999999</v>
      </c>
      <c r="Q73" s="585">
        <f t="shared" si="113"/>
        <v>129.99998339605671</v>
      </c>
      <c r="R73" s="629">
        <f>IF(M73="","",SQRT(N73^2+O73^2))</f>
        <v>4.6394000000000011</v>
      </c>
      <c r="S73" s="634">
        <f>IF(M73="","",P73)</f>
        <v>-1.6396999999999999</v>
      </c>
      <c r="T73" s="635">
        <f>IF(M73="","",X73*COS(RADIANS(W73)))</f>
        <v>3.5539874536133254</v>
      </c>
      <c r="U73" s="629">
        <f>IF(M73="","",X73*SIN(RADIANS(W73)))</f>
        <v>2.9821478064574669</v>
      </c>
      <c r="V73" s="636">
        <f>IF(M73="","",Y73)</f>
        <v>-1.6396999999999999</v>
      </c>
      <c r="W73" s="585">
        <f t="shared" si="224"/>
        <v>39.999983396056706</v>
      </c>
      <c r="X73" s="629">
        <f>IF(M73="","",R73)</f>
        <v>4.6394000000000011</v>
      </c>
      <c r="Y73" s="630">
        <f t="shared" si="223"/>
        <v>-1.6396999999999999</v>
      </c>
      <c r="Z73" s="632">
        <f t="shared" ref="Z73:Z104" si="468">IF(M73="","",-E73)</f>
        <v>0.54511462036541736</v>
      </c>
      <c r="AA73" s="629">
        <f t="shared" ref="AA73:AA104" si="469">IF(M73="","",-F73)</f>
        <v>-0.64964268952894855</v>
      </c>
      <c r="AB73" s="629">
        <f t="shared" ref="AB73:AB104" si="470">IF(M73="","",-G73)</f>
        <v>-0.5299192642332049</v>
      </c>
      <c r="AC73" s="636">
        <f>IF(M73="","",SQRT(Z73^2+AA73^2+AB73^2))</f>
        <v>1</v>
      </c>
      <c r="AD73" s="637">
        <f>IF(M73="","",Z73*(1/SQRT(Z73^2+AA73^2+AB73^2)))</f>
        <v>0.54511462036541736</v>
      </c>
      <c r="AE73" s="629">
        <f>IF(M73="","",AA73*(1/SQRT(Z73^2+AA73^2+AB73^2)))</f>
        <v>-0.64964268952894855</v>
      </c>
      <c r="AF73" s="633">
        <f>IF(M73="","",AB73*(1/SQRT(Z73^2+AA73^2+AB73^2)))</f>
        <v>-0.5299192642332049</v>
      </c>
      <c r="AG73" s="602">
        <f>IF(M73="","",DEGREES(ATAN2(-AF73,AE73)))</f>
        <v>-50.795571590816849</v>
      </c>
      <c r="AH73" s="603">
        <f>IF(M73="","",DEGREES(ACOS(AD73)))</f>
        <v>56.967503266371125</v>
      </c>
      <c r="AI73" s="585">
        <f>IF(M73="","",DEGREES(-ACOS(-AF73)))</f>
        <v>-58.000000000000007</v>
      </c>
      <c r="AJ73" s="586">
        <f>IF(M73="","",DEGREES(ATAN2(-AE73,AD73)))</f>
        <v>39.99998339605672</v>
      </c>
      <c r="AK73" s="635">
        <f>IF(M73="","",(COS(RADIANS((90-$Q$8)-W73))*AD73)+(-SIN(RADIANS((90-$Q$8)-W73))*AE73))</f>
        <v>2.2204460492503131E-16</v>
      </c>
      <c r="AL73" s="629">
        <f>IF(M73="","",(SIN(RADIANS((90-$Q$8)-W73))*AD73)+(COS(RADIANS((90-$Q$8)-W73))*AE73))</f>
        <v>-0.84804809615642607</v>
      </c>
      <c r="AM73" s="634">
        <f>IF(M73="","",AF73)</f>
        <v>-0.5299192642332049</v>
      </c>
      <c r="AN73" s="581">
        <f>IF(M73="","",DEGREES(ATAN2(-AM73,AL73)))</f>
        <v>-58.000000000000007</v>
      </c>
      <c r="AO73" s="582">
        <f t="shared" si="461"/>
        <v>0</v>
      </c>
      <c r="AP73" s="585">
        <f>IF(M73="","",DEGREES(ATAN2(AK73,AL73)))</f>
        <v>-89.999999999999986</v>
      </c>
      <c r="AQ73" s="586">
        <f t="shared" ref="AQ73:AQ104" si="471">IF(M73="","",DEGREES(ATAN(($AS$5*SIN(RADIANS(90)))/(($X73*2*PI())-($AS$5*COS(RADIANS(90)))))))</f>
        <v>0.491371888891591</v>
      </c>
      <c r="AS73" s="52">
        <f t="shared" si="406"/>
        <v>-320.00001660394332</v>
      </c>
      <c r="AT73" s="72">
        <f t="shared" ref="AT73:AT104" si="472">IF(M73="","",Y73+(((AS73-$AS$9)*$AS$6)*-1))</f>
        <v>-1.4174777662472615</v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>Taper</v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>
        <f t="shared" si="210"/>
        <v>6.3230000000000004</v>
      </c>
      <c r="IH73" s="731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>5.1230000000000002</v>
      </c>
      <c r="II73" s="734" cm="1">
        <f t="array" ref="II73">IFERROR(ROUND(VALUE(IF($IH73&lt;1,$IH73+LARGE((IF($M$9:$M$150="",0,$M$9:$M$150)-MOD(IF($M$9:$M$150="",0,$M$9:$M$150),1)),1),$IH73)),4),"")</f>
        <v>5.1230000000000002</v>
      </c>
      <c r="IJ73" s="533">
        <f t="shared" si="112"/>
        <v>1613</v>
      </c>
      <c r="IK73" s="533" t="str">
        <f t="shared" ref="IK73:IK104" si="517">IF(ISNUMBER($II73),INDEX($K$9:$K$150,MATCH($IG73,$M$9:$M$150,0)),"")</f>
        <v>Inactive</v>
      </c>
      <c r="IL73" s="727">
        <f t="shared" si="225"/>
        <v>73.050000281545124</v>
      </c>
      <c r="IM73" s="759">
        <v>1.71724042332028E-2</v>
      </c>
      <c r="IN73" s="5">
        <f t="shared" si="226"/>
        <v>0.2</v>
      </c>
      <c r="IO73" s="771">
        <v>100</v>
      </c>
      <c r="IP73" s="9">
        <f t="shared" si="227"/>
        <v>-4.6433140042350374</v>
      </c>
      <c r="IQ73" s="5">
        <f t="shared" si="228"/>
        <v>-1.6373049381116935</v>
      </c>
      <c r="IR73" s="5">
        <f t="shared" ref="IR73:IR104" si="518">IF(ISNUMBER($II73),INDEX($H$9:$H$150,MATCH($II73,$M$9:$M$150,0)),"")</f>
        <v>0.314</v>
      </c>
      <c r="IS73" s="5">
        <f t="shared" si="229"/>
        <v>0.27539749955441184</v>
      </c>
      <c r="IT73" s="727">
        <f t="shared" si="230"/>
        <v>79.521402834342865</v>
      </c>
      <c r="IU73" s="9">
        <f t="shared" si="231"/>
        <v>-4.6394000000000011</v>
      </c>
      <c r="IV73" s="5">
        <f t="shared" si="232"/>
        <v>-1.6396999999999999</v>
      </c>
      <c r="IW73" s="5">
        <f t="shared" ref="IW73:IW104" si="519">IF(ISNUMBER($II73),$H73,"")</f>
        <v>0.26250000000000001</v>
      </c>
      <c r="IX73" s="5">
        <f t="shared" si="233"/>
        <v>0.26250000000000001</v>
      </c>
      <c r="IY73" s="762">
        <f t="shared" si="234"/>
        <v>58.000000000000007</v>
      </c>
    </row>
    <row r="74" spans="1:259" ht="15" customHeight="1" x14ac:dyDescent="0.25">
      <c r="A74" s="79"/>
      <c r="B74" s="707"/>
      <c r="C74" s="708"/>
      <c r="D74" s="709"/>
      <c r="E74" s="710"/>
      <c r="F74" s="708"/>
      <c r="G74" s="711"/>
      <c r="H74" s="710"/>
      <c r="I74" s="708"/>
      <c r="J74" s="570"/>
      <c r="K74" s="865" t="str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/>
      </c>
      <c r="L74" s="320"/>
      <c r="M74" s="168" t="str">
        <f t="shared" si="464"/>
        <v/>
      </c>
      <c r="N74" s="632" t="str">
        <f t="shared" si="465"/>
        <v/>
      </c>
      <c r="O74" s="629" t="str">
        <f t="shared" si="466"/>
        <v/>
      </c>
      <c r="P74" s="633" t="str">
        <f t="shared" si="467"/>
        <v/>
      </c>
      <c r="Q74" s="585" t="str">
        <f t="shared" ref="Q74:Q129" si="520">IF(M74="","",IF(DEGREES(ATAN2(N74,O74))&lt;0,DEGREES(ATAN2(N74,O74))+360,IF(DEGREES(ATAN2(N74,O74))&gt;360,DEGREES(ATAN2(N74,O74))-360,DEGREES(ATAN2(N74,O74)))))</f>
        <v/>
      </c>
      <c r="R74" s="629" t="str">
        <f>IF(M74="","",SQRT(N74^2+O74^2))</f>
        <v/>
      </c>
      <c r="S74" s="634" t="str">
        <f>IF(M74="","",P74)</f>
        <v/>
      </c>
      <c r="T74" s="635" t="str">
        <f>IF(M74="","",X74*COS(RADIANS(W74)))</f>
        <v/>
      </c>
      <c r="U74" s="629" t="str">
        <f>IF(M74="","",X74*SIN(RADIANS(W74)))</f>
        <v/>
      </c>
      <c r="V74" s="636" t="str">
        <f>IF(M74="","",Y74)</f>
        <v/>
      </c>
      <c r="W74" s="585" t="str">
        <f t="shared" si="224"/>
        <v/>
      </c>
      <c r="X74" s="629" t="str">
        <f>IF(M74="","",R74)</f>
        <v/>
      </c>
      <c r="Y74" s="630" t="str">
        <f t="shared" si="223"/>
        <v/>
      </c>
      <c r="Z74" s="632" t="str">
        <f t="shared" si="468"/>
        <v/>
      </c>
      <c r="AA74" s="629" t="str">
        <f t="shared" si="469"/>
        <v/>
      </c>
      <c r="AB74" s="629" t="str">
        <f t="shared" si="470"/>
        <v/>
      </c>
      <c r="AC74" s="636" t="str">
        <f>IF(M74="","",SQRT(Z74^2+AA74^2+AB74^2))</f>
        <v/>
      </c>
      <c r="AD74" s="637" t="str">
        <f>IF(M74="","",Z74*(1/SQRT(Z74^2+AA74^2+AB74^2)))</f>
        <v/>
      </c>
      <c r="AE74" s="629" t="str">
        <f>IF(M74="","",AA74*(1/SQRT(Z74^2+AA74^2+AB74^2)))</f>
        <v/>
      </c>
      <c r="AF74" s="633" t="str">
        <f>IF(M74="","",AB74*(1/SQRT(Z74^2+AA74^2+AB74^2)))</f>
        <v/>
      </c>
      <c r="AG74" s="602" t="str">
        <f>IF(M74="","",DEGREES(ATAN2(-AF74,AE74)))</f>
        <v/>
      </c>
      <c r="AH74" s="603" t="str">
        <f>IF(M74="","",DEGREES(ACOS(AD74)))</f>
        <v/>
      </c>
      <c r="AI74" s="585" t="str">
        <f>IF(M74="","",DEGREES(-ACOS(-AF74)))</f>
        <v/>
      </c>
      <c r="AJ74" s="586" t="str">
        <f>IF(M74="","",DEGREES(ATAN2(-AE74,AD74)))</f>
        <v/>
      </c>
      <c r="AK74" s="635" t="str">
        <f>IF(M74="","",(COS(RADIANS((90-$Q$8)-W74))*AD74)+(-SIN(RADIANS((90-$Q$8)-W74))*AE74))</f>
        <v/>
      </c>
      <c r="AL74" s="629" t="str">
        <f>IF(M74="","",(SIN(RADIANS((90-$Q$8)-W74))*AD74)+(COS(RADIANS((90-$Q$8)-W74))*AE74))</f>
        <v/>
      </c>
      <c r="AM74" s="634" t="str">
        <f>IF(M74="","",AF74)</f>
        <v/>
      </c>
      <c r="AN74" s="581" t="str">
        <f>IF(M74="","",DEGREES(ATAN2(-AM74,AL74)))</f>
        <v/>
      </c>
      <c r="AO74" s="582" t="str">
        <f t="shared" si="461"/>
        <v/>
      </c>
      <c r="AP74" s="585" t="str">
        <f>IF(M74="","",DEGREES(ATAN2(AK74,AL74)))</f>
        <v/>
      </c>
      <c r="AQ74" s="586" t="str">
        <f t="shared" si="471"/>
        <v/>
      </c>
      <c r="AS74" s="52" t="str">
        <f t="shared" si="406"/>
        <v/>
      </c>
      <c r="AT74" s="72" t="str">
        <f t="shared" si="472"/>
        <v/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210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IFERROR(ROUND(VALUE(IF($IH74&lt;1,$IH74+LARGE((IF($M$9:$M$150="",0,$M$9:$M$150)-MOD(IF($M$9:$M$150="",0,$M$9:$M$150),1)),1),$IH74)),4),"")</f>
        <v/>
      </c>
      <c r="IJ74" s="533" t="str">
        <f t="shared" ref="IJ74:IJ137" si="542">IF(ISNUMBER($II74),INDEX($K$9:$K$150,MATCH($II74,$M$9:$M$150,0)),$K74)</f>
        <v/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/>
      <c r="C75" s="708"/>
      <c r="D75" s="709"/>
      <c r="E75" s="710"/>
      <c r="F75" s="708"/>
      <c r="G75" s="711"/>
      <c r="H75" s="710"/>
      <c r="I75" s="708"/>
      <c r="J75" s="570"/>
      <c r="K75" s="865" t="str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/>
      </c>
      <c r="L75" s="320"/>
      <c r="M75" s="168" t="str">
        <f t="shared" si="464"/>
        <v/>
      </c>
      <c r="N75" s="632" t="str">
        <f t="shared" si="465"/>
        <v/>
      </c>
      <c r="O75" s="629" t="str">
        <f t="shared" si="466"/>
        <v/>
      </c>
      <c r="P75" s="633" t="str">
        <f t="shared" si="467"/>
        <v/>
      </c>
      <c r="Q75" s="585" t="str">
        <f t="shared" si="520"/>
        <v/>
      </c>
      <c r="R75" s="629" t="str">
        <f>IF(M75="","",SQRT(N75^2+O75^2))</f>
        <v/>
      </c>
      <c r="S75" s="634" t="str">
        <f>IF(M75="","",P75)</f>
        <v/>
      </c>
      <c r="T75" s="635" t="str">
        <f>IF(M75="","",X75*COS(RADIANS(W75)))</f>
        <v/>
      </c>
      <c r="U75" s="629" t="str">
        <f>IF(M75="","",X75*SIN(RADIANS(W75)))</f>
        <v/>
      </c>
      <c r="V75" s="636" t="str">
        <f>IF(M75="","",Y75)</f>
        <v/>
      </c>
      <c r="W75" s="585" t="str">
        <f t="shared" si="224"/>
        <v/>
      </c>
      <c r="X75" s="629" t="str">
        <f>IF(M75="","",R75)</f>
        <v/>
      </c>
      <c r="Y75" s="630" t="str">
        <f t="shared" si="223"/>
        <v/>
      </c>
      <c r="Z75" s="632" t="str">
        <f t="shared" si="468"/>
        <v/>
      </c>
      <c r="AA75" s="629" t="str">
        <f t="shared" si="469"/>
        <v/>
      </c>
      <c r="AB75" s="629" t="str">
        <f t="shared" si="470"/>
        <v/>
      </c>
      <c r="AC75" s="636" t="str">
        <f>IF(M75="","",SQRT(Z75^2+AA75^2+AB75^2))</f>
        <v/>
      </c>
      <c r="AD75" s="637" t="str">
        <f>IF(M75="","",Z75*(1/SQRT(Z75^2+AA75^2+AB75^2)))</f>
        <v/>
      </c>
      <c r="AE75" s="629" t="str">
        <f>IF(M75="","",AA75*(1/SQRT(Z75^2+AA75^2+AB75^2)))</f>
        <v/>
      </c>
      <c r="AF75" s="633" t="str">
        <f>IF(M75="","",AB75*(1/SQRT(Z75^2+AA75^2+AB75^2)))</f>
        <v/>
      </c>
      <c r="AG75" s="602" t="str">
        <f>IF(M75="","",DEGREES(ATAN2(-AF75,AE75)))</f>
        <v/>
      </c>
      <c r="AH75" s="603" t="str">
        <f>IF(M75="","",DEGREES(ACOS(AD75)))</f>
        <v/>
      </c>
      <c r="AI75" s="585" t="str">
        <f>IF(M75="","",DEGREES(-ACOS(-AF75)))</f>
        <v/>
      </c>
      <c r="AJ75" s="586" t="str">
        <f>IF(M75="","",DEGREES(ATAN2(-AE75,AD75)))</f>
        <v/>
      </c>
      <c r="AK75" s="635" t="str">
        <f>IF(M75="","",(COS(RADIANS((90-$Q$8)-W75))*AD75)+(-SIN(RADIANS((90-$Q$8)-W75))*AE75))</f>
        <v/>
      </c>
      <c r="AL75" s="629" t="str">
        <f>IF(M75="","",(SIN(RADIANS((90-$Q$8)-W75))*AD75)+(COS(RADIANS((90-$Q$8)-W75))*AE75))</f>
        <v/>
      </c>
      <c r="AM75" s="634" t="str">
        <f>IF(M75="","",AF75)</f>
        <v/>
      </c>
      <c r="AN75" s="581" t="str">
        <f>IF(M75="","",DEGREES(ATAN2(-AM75,AL75)))</f>
        <v/>
      </c>
      <c r="AO75" s="582" t="str">
        <f t="shared" si="461"/>
        <v/>
      </c>
      <c r="AP75" s="585" t="str">
        <f>IF(M75="","",DEGREES(ATAN2(AK75,AL75)))</f>
        <v/>
      </c>
      <c r="AQ75" s="586" t="str">
        <f t="shared" si="471"/>
        <v/>
      </c>
      <c r="AS75" s="52" t="str">
        <f t="shared" ref="AS75:AS106" si="543">IF(G75="","",IF(AND(W75&lt;(AS74+180),W75&gt;(AS74-180)),W75,IF(W75&gt;(AS74+180),W75-360,IF(W75&lt;(AS74-180),W75+360,"Error"))))</f>
        <v/>
      </c>
      <c r="AT75" s="72" t="str">
        <f t="shared" si="472"/>
        <v/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643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IFERROR(ROUND(VALUE(IF($IH75&lt;1,$IH75+LARGE((IF($M$9:$M$150="",0,$M$9:$M$150)-MOD(IF($M$9:$M$150="",0,$M$9:$M$150),1)),1),$IH75)),4),"")</f>
        <v/>
      </c>
      <c r="IJ75" s="533" t="str">
        <f t="shared" si="542"/>
        <v/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/>
      <c r="C76" s="708"/>
      <c r="D76" s="709"/>
      <c r="E76" s="710"/>
      <c r="F76" s="708"/>
      <c r="G76" s="711"/>
      <c r="H76" s="710"/>
      <c r="I76" s="708"/>
      <c r="J76" s="570"/>
      <c r="K76" s="865" t="str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/>
      </c>
      <c r="L76" s="320"/>
      <c r="M76" s="168" t="str">
        <f t="shared" si="464"/>
        <v/>
      </c>
      <c r="N76" s="632" t="str">
        <f t="shared" si="465"/>
        <v/>
      </c>
      <c r="O76" s="629" t="str">
        <f t="shared" si="466"/>
        <v/>
      </c>
      <c r="P76" s="633" t="str">
        <f t="shared" si="467"/>
        <v/>
      </c>
      <c r="Q76" s="585" t="str">
        <f t="shared" si="520"/>
        <v/>
      </c>
      <c r="R76" s="629" t="str">
        <f t="shared" si="79"/>
        <v/>
      </c>
      <c r="S76" s="634" t="str">
        <f t="shared" si="80"/>
        <v/>
      </c>
      <c r="T76" s="635" t="str">
        <f t="shared" si="81"/>
        <v/>
      </c>
      <c r="U76" s="629" t="str">
        <f t="shared" si="82"/>
        <v/>
      </c>
      <c r="V76" s="636" t="str">
        <f t="shared" si="114"/>
        <v/>
      </c>
      <c r="W76" s="585" t="str">
        <f t="shared" si="224"/>
        <v/>
      </c>
      <c r="X76" s="629" t="str">
        <f t="shared" si="83"/>
        <v/>
      </c>
      <c r="Y76" s="630" t="str">
        <f t="shared" ref="Y76:Y129" si="644">IF(M76="","",S76)</f>
        <v/>
      </c>
      <c r="Z76" s="632" t="str">
        <f t="shared" si="468"/>
        <v/>
      </c>
      <c r="AA76" s="629" t="str">
        <f t="shared" si="469"/>
        <v/>
      </c>
      <c r="AB76" s="629" t="str">
        <f t="shared" si="470"/>
        <v/>
      </c>
      <c r="AC76" s="636" t="str">
        <f t="shared" si="84"/>
        <v/>
      </c>
      <c r="AD76" s="637" t="str">
        <f t="shared" si="115"/>
        <v/>
      </c>
      <c r="AE76" s="629" t="str">
        <f t="shared" si="85"/>
        <v/>
      </c>
      <c r="AF76" s="633" t="str">
        <f t="shared" si="86"/>
        <v/>
      </c>
      <c r="AG76" s="602" t="str">
        <f t="shared" si="87"/>
        <v/>
      </c>
      <c r="AH76" s="603" t="str">
        <f t="shared" si="88"/>
        <v/>
      </c>
      <c r="AI76" s="585" t="str">
        <f t="shared" si="89"/>
        <v/>
      </c>
      <c r="AJ76" s="586" t="str">
        <f t="shared" si="90"/>
        <v/>
      </c>
      <c r="AK76" s="635" t="str">
        <f t="shared" si="211"/>
        <v/>
      </c>
      <c r="AL76" s="629" t="str">
        <f t="shared" si="91"/>
        <v/>
      </c>
      <c r="AM76" s="634" t="str">
        <f t="shared" si="92"/>
        <v/>
      </c>
      <c r="AN76" s="581" t="str">
        <f t="shared" si="93"/>
        <v/>
      </c>
      <c r="AO76" s="582" t="str">
        <f t="shared" si="461"/>
        <v/>
      </c>
      <c r="AP76" s="585" t="str">
        <f t="shared" si="95"/>
        <v/>
      </c>
      <c r="AQ76" s="586" t="str">
        <f t="shared" si="471"/>
        <v/>
      </c>
      <c r="AS76" s="52" t="str">
        <f t="shared" si="543"/>
        <v/>
      </c>
      <c r="AT76" s="72" t="str">
        <f t="shared" si="472"/>
        <v/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643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IFERROR(ROUND(VALUE(IF($IH76&lt;1,$IH76+LARGE((IF($M$9:$M$150="",0,$M$9:$M$150)-MOD(IF($M$9:$M$150="",0,$M$9:$M$150),1)),1),$IH76)),4),"")</f>
        <v/>
      </c>
      <c r="IJ76" s="533" t="str">
        <f t="shared" si="542"/>
        <v/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/>
      <c r="C77" s="708"/>
      <c r="D77" s="709"/>
      <c r="E77" s="710"/>
      <c r="F77" s="708"/>
      <c r="G77" s="711"/>
      <c r="H77" s="710"/>
      <c r="I77" s="708"/>
      <c r="J77" s="570"/>
      <c r="K77" s="865" t="str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/>
      </c>
      <c r="L77" s="320"/>
      <c r="M77" s="168" t="str">
        <f t="shared" si="464"/>
        <v/>
      </c>
      <c r="N77" s="632" t="str">
        <f t="shared" si="465"/>
        <v/>
      </c>
      <c r="O77" s="629" t="str">
        <f t="shared" si="466"/>
        <v/>
      </c>
      <c r="P77" s="633" t="str">
        <f t="shared" si="467"/>
        <v/>
      </c>
      <c r="Q77" s="585" t="str">
        <f t="shared" si="520"/>
        <v/>
      </c>
      <c r="R77" s="629" t="str">
        <f t="shared" si="79"/>
        <v/>
      </c>
      <c r="S77" s="634" t="str">
        <f t="shared" si="80"/>
        <v/>
      </c>
      <c r="T77" s="635" t="str">
        <f t="shared" si="81"/>
        <v/>
      </c>
      <c r="U77" s="629" t="str">
        <f t="shared" si="82"/>
        <v/>
      </c>
      <c r="V77" s="636" t="str">
        <f t="shared" si="114"/>
        <v/>
      </c>
      <c r="W77" s="585" t="str">
        <f t="shared" si="224"/>
        <v/>
      </c>
      <c r="X77" s="629" t="str">
        <f t="shared" si="83"/>
        <v/>
      </c>
      <c r="Y77" s="630" t="str">
        <f t="shared" si="644"/>
        <v/>
      </c>
      <c r="Z77" s="632" t="str">
        <f t="shared" si="468"/>
        <v/>
      </c>
      <c r="AA77" s="629" t="str">
        <f t="shared" si="469"/>
        <v/>
      </c>
      <c r="AB77" s="629" t="str">
        <f t="shared" si="470"/>
        <v/>
      </c>
      <c r="AC77" s="636" t="str">
        <f t="shared" si="84"/>
        <v/>
      </c>
      <c r="AD77" s="637" t="str">
        <f t="shared" si="115"/>
        <v/>
      </c>
      <c r="AE77" s="629" t="str">
        <f t="shared" si="85"/>
        <v/>
      </c>
      <c r="AF77" s="633" t="str">
        <f t="shared" si="86"/>
        <v/>
      </c>
      <c r="AG77" s="602" t="str">
        <f t="shared" si="87"/>
        <v/>
      </c>
      <c r="AH77" s="603" t="str">
        <f t="shared" si="88"/>
        <v/>
      </c>
      <c r="AI77" s="585" t="str">
        <f t="shared" si="89"/>
        <v/>
      </c>
      <c r="AJ77" s="586" t="str">
        <f t="shared" si="90"/>
        <v/>
      </c>
      <c r="AK77" s="635" t="str">
        <f t="shared" si="211"/>
        <v/>
      </c>
      <c r="AL77" s="629" t="str">
        <f t="shared" si="91"/>
        <v/>
      </c>
      <c r="AM77" s="634" t="str">
        <f t="shared" si="92"/>
        <v/>
      </c>
      <c r="AN77" s="581" t="str">
        <f t="shared" si="93"/>
        <v/>
      </c>
      <c r="AO77" s="582" t="str">
        <f t="shared" si="461"/>
        <v/>
      </c>
      <c r="AP77" s="585" t="str">
        <f t="shared" si="95"/>
        <v/>
      </c>
      <c r="AQ77" s="586" t="str">
        <f t="shared" si="471"/>
        <v/>
      </c>
      <c r="AS77" s="52" t="str">
        <f t="shared" si="543"/>
        <v/>
      </c>
      <c r="AT77" s="72" t="str">
        <f t="shared" si="472"/>
        <v/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643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IFERROR(ROUND(VALUE(IF($IH77&lt;1,$IH77+LARGE((IF($M$9:$M$150="",0,$M$9:$M$150)-MOD(IF($M$9:$M$150="",0,$M$9:$M$150),1)),1),$IH77)),4),"")</f>
        <v/>
      </c>
      <c r="IJ77" s="533" t="str">
        <f t="shared" si="542"/>
        <v/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/>
      <c r="C78" s="708"/>
      <c r="D78" s="709"/>
      <c r="E78" s="710"/>
      <c r="F78" s="708"/>
      <c r="G78" s="711"/>
      <c r="H78" s="710"/>
      <c r="I78" s="708"/>
      <c r="J78" s="570"/>
      <c r="K78" s="865" t="str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/>
      </c>
      <c r="L78" s="320"/>
      <c r="M78" s="168" t="str">
        <f t="shared" si="464"/>
        <v/>
      </c>
      <c r="N78" s="632" t="str">
        <f t="shared" si="465"/>
        <v/>
      </c>
      <c r="O78" s="629" t="str">
        <f t="shared" si="466"/>
        <v/>
      </c>
      <c r="P78" s="633" t="str">
        <f t="shared" si="467"/>
        <v/>
      </c>
      <c r="Q78" s="585" t="str">
        <f t="shared" si="520"/>
        <v/>
      </c>
      <c r="R78" s="629" t="str">
        <f>IF(M78="","",SQRT(N78^2+O78^2))</f>
        <v/>
      </c>
      <c r="S78" s="634" t="str">
        <f>IF(M78="","",P78)</f>
        <v/>
      </c>
      <c r="T78" s="635" t="str">
        <f>IF(M78="","",X78*COS(RADIANS(W78)))</f>
        <v/>
      </c>
      <c r="U78" s="629" t="str">
        <f>IF(M78="","",X78*SIN(RADIANS(W78)))</f>
        <v/>
      </c>
      <c r="V78" s="636" t="str">
        <f>IF(M78="","",Y78)</f>
        <v/>
      </c>
      <c r="W78" s="585" t="str">
        <f t="shared" si="224"/>
        <v/>
      </c>
      <c r="X78" s="629" t="str">
        <f>IF(M78="","",R78)</f>
        <v/>
      </c>
      <c r="Y78" s="630" t="str">
        <f t="shared" si="644"/>
        <v/>
      </c>
      <c r="Z78" s="632" t="str">
        <f t="shared" si="468"/>
        <v/>
      </c>
      <c r="AA78" s="629" t="str">
        <f t="shared" si="469"/>
        <v/>
      </c>
      <c r="AB78" s="629" t="str">
        <f t="shared" si="470"/>
        <v/>
      </c>
      <c r="AC78" s="636" t="str">
        <f>IF(M78="","",SQRT(Z78^2+AA78^2+AB78^2))</f>
        <v/>
      </c>
      <c r="AD78" s="637" t="str">
        <f>IF(M78="","",Z78*(1/SQRT(Z78^2+AA78^2+AB78^2)))</f>
        <v/>
      </c>
      <c r="AE78" s="629" t="str">
        <f>IF(M78="","",AA78*(1/SQRT(Z78^2+AA78^2+AB78^2)))</f>
        <v/>
      </c>
      <c r="AF78" s="633" t="str">
        <f>IF(M78="","",AB78*(1/SQRT(Z78^2+AA78^2+AB78^2)))</f>
        <v/>
      </c>
      <c r="AG78" s="602" t="str">
        <f>IF(M78="","",DEGREES(ATAN2(-AF78,AE78)))</f>
        <v/>
      </c>
      <c r="AH78" s="603" t="str">
        <f>IF(M78="","",DEGREES(ACOS(AD78)))</f>
        <v/>
      </c>
      <c r="AI78" s="585" t="str">
        <f>IF(M78="","",DEGREES(-ACOS(-AF78)))</f>
        <v/>
      </c>
      <c r="AJ78" s="586" t="str">
        <f>IF(M78="","",DEGREES(ATAN2(-AE78,AD78)))</f>
        <v/>
      </c>
      <c r="AK78" s="635" t="str">
        <f>IF(M78="","",(COS(RADIANS((90-$Q$8)-W78))*AD78)+(-SIN(RADIANS((90-$Q$8)-W78))*AE78))</f>
        <v/>
      </c>
      <c r="AL78" s="629" t="str">
        <f>IF(M78="","",(SIN(RADIANS((90-$Q$8)-W78))*AD78)+(COS(RADIANS((90-$Q$8)-W78))*AE78))</f>
        <v/>
      </c>
      <c r="AM78" s="634" t="str">
        <f>IF(M78="","",AF78)</f>
        <v/>
      </c>
      <c r="AN78" s="581" t="str">
        <f>IF(M78="","",DEGREES(ATAN2(-AM78,AL78)))</f>
        <v/>
      </c>
      <c r="AO78" s="582" t="str">
        <f t="shared" si="461"/>
        <v/>
      </c>
      <c r="AP78" s="585" t="str">
        <f>IF(M78="","",DEGREES(ATAN2(AK78,AL78)))</f>
        <v/>
      </c>
      <c r="AQ78" s="586" t="str">
        <f t="shared" si="471"/>
        <v/>
      </c>
      <c r="AS78" s="52" t="str">
        <f t="shared" si="543"/>
        <v/>
      </c>
      <c r="AT78" s="72" t="str">
        <f t="shared" si="472"/>
        <v/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643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IFERROR(ROUND(VALUE(IF($IH78&lt;1,$IH78+LARGE((IF($M$9:$M$150="",0,$M$9:$M$150)-MOD(IF($M$9:$M$150="",0,$M$9:$M$150),1)),1),$IH78)),4),"")</f>
        <v/>
      </c>
      <c r="IJ78" s="533" t="str">
        <f t="shared" si="542"/>
        <v/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/>
      </c>
      <c r="L79" s="320"/>
      <c r="M79" s="168" t="str">
        <f>IF(J79="","",VALUE(J79))</f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IFERROR(ROUND(VALUE(IF($IH81&lt;1,$IH81+LARGE((IF($M$9:$M$150="",0,$M$9:$M$150)-MOD(IF($M$9:$M$150="",0,$M$9:$M$150),1)),1),$IH81)),4),"")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IFERROR(ROUND(VALUE(IF($IH82&lt;1,$IH82+LARGE((IF($M$9:$M$150="",0,$M$9:$M$150)-MOD(IF($M$9:$M$150="",0,$M$9:$M$150),1)),1),$IH82)),4),"")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IFERROR(ROUND(VALUE(IF($IH83&lt;1,$IH83+LARGE((IF($M$9:$M$150="",0,$M$9:$M$150)-MOD(IF($M$9:$M$150="",0,$M$9:$M$150),1)),1),$IH83)),4),"")</f>
        <v/>
      </c>
      <c r="IJ83" s="533" t="str">
        <f t="shared" si="542"/>
        <v/>
      </c>
      <c r="IK83" s="533" t="str">
        <f>IF(ISNUMBER($II83),INDEX($K$9:$K$150,MATCH($IG83,$M$9:$M$150,0)),"")</f>
        <v/>
      </c>
      <c r="IL83" s="727" t="str">
        <f>IF(ISNUMBER($II83),IFERROR(IF(INDEX($W$9:$W$150,MATCH($II83,$M$9:$M$150,0))&lt;$W83,((INDEX($W$9:$W$150,MATCH($II83,$M$9:$M$150,0))+360)-$W83),INDEX($W$9:$W$150,MATCH($II83,$M$9:$M$150,0))-$W83),""),"")</f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IFERROR(ROUND(VALUE(IF($IH84&lt;1,$IH84+LARGE((IF($M$9:$M$150="",0,$M$9:$M$150)-MOD(IF($M$9:$M$150="",0,$M$9:$M$150),1)),1),$IH84)),4),"")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IFERROR(ROUND(VALUE(IF($IH85&lt;1,$IH85+LARGE((IF($M$9:$M$150="",0,$M$9:$M$150)-MOD(IF($M$9:$M$150="",0,$M$9:$M$150),1)),1),$IH85)),4),"")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IFERROR(ROUND(VALUE(IF($IH86&lt;1,$IH86+LARGE((IF($M$9:$M$150="",0,$M$9:$M$150)-MOD(IF($M$9:$M$150="",0,$M$9:$M$150),1)),1),$IH86)),4),"")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/>
      </c>
      <c r="L87" s="320"/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IFERROR(ROUND(VALUE(IF($IH87&lt;1,$IH87+LARGE((IF($M$9:$M$150="",0,$M$9:$M$150)-MOD(IF($M$9:$M$150="",0,$M$9:$M$150),1)),1),$IH87)),4),"")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IFERROR(ROUND(VALUE(IF($IH88&lt;1,$IH88+LARGE((IF($M$9:$M$150="",0,$M$9:$M$150)-MOD(IF($M$9:$M$150="",0,$M$9:$M$150),1)),1),$IH88)),4),"")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IFERROR(ROUND(VALUE(IF($IH89&lt;1,$IH89+LARGE((IF($M$9:$M$150="",0,$M$9:$M$150)-MOD(IF($M$9:$M$150="",0,$M$9:$M$150),1)),1),$IH89)),4),"")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IFERROR(ROUND(VALUE(IF($IH90&lt;1,$IH90+LARGE((IF($M$9:$M$150="",0,$M$9:$M$150)-MOD(IF($M$9:$M$150="",0,$M$9:$M$150),1)),1),$IH90)),4),"")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IFERROR(ROUND(VALUE(IF($IH91&lt;1,$IH91+LARGE((IF($M$9:$M$150="",0,$M$9:$M$150)-MOD(IF($M$9:$M$150="",0,$M$9:$M$150),1)),1),$IH91)),4),"")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IFERROR(ROUND(VALUE(IF($IH92&lt;1,$IH92+LARGE((IF($M$9:$M$150="",0,$M$9:$M$150)-MOD(IF($M$9:$M$150="",0,$M$9:$M$150),1)),1),$IH92)),4),"")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IFERROR(ROUND(VALUE(IF($IH95&lt;1,$IH95+LARGE((IF($M$9:$M$150="",0,$M$9:$M$150)-MOD(IF($M$9:$M$150="",0,$M$9:$M$150),1)),1),$IH95)),4),"")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IFERROR(ROUND(VALUE(IF($IH96&lt;1,$IH96+LARGE((IF($M$9:$M$150="",0,$M$9:$M$150)-MOD(IF($M$9:$M$150="",0,$M$9:$M$150),1)),1),$IH96)),4),"")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IFERROR(ROUND(VALUE(IF($IH97&lt;1,$IH97+LARGE((IF($M$9:$M$150="",0,$M$9:$M$150)-MOD(IF($M$9:$M$150="",0,$M$9:$M$150),1)),1),$IH97)),4),"")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IFERROR(ROUND(VALUE(IF($IH98&lt;1,$IH98+LARGE((IF($M$9:$M$150="",0,$M$9:$M$150)-MOD(IF($M$9:$M$150="",0,$M$9:$M$150),1)),1),$IH98)),4),"")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IFERROR(ROUND(VALUE(IF($IH99&lt;1,$IH99+LARGE((IF($M$9:$M$150="",0,$M$9:$M$150)-MOD(IF($M$9:$M$150="",0,$M$9:$M$150),1)),1),$IH99)),4),"")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IFERROR(ROUND(VALUE(IF($IH100&lt;1,$IH100+LARGE((IF($M$9:$M$150="",0,$M$9:$M$150)-MOD(IF($M$9:$M$150="",0,$M$9:$M$150),1)),1),$IH100)),4),"")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IFERROR(ROUND(VALUE(IF($IH101&lt;1,$IH101+LARGE((IF($M$9:$M$150="",0,$M$9:$M$150)-MOD(IF($M$9:$M$150="",0,$M$9:$M$150),1)),1),$IH101)),4),"")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IFERROR(ROUND(VALUE(IF($IH111&lt;1,$IH111+LARGE((IF($M$9:$M$150="",0,$M$9:$M$150)-MOD(IF($M$9:$M$150="",0,$M$9:$M$150),1)),1),$IH111)),4),"")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IFERROR(ROUND(VALUE(IF($IH112&lt;1,$IH112+LARGE((IF($M$9:$M$150="",0,$M$9:$M$150)-MOD(IF($M$9:$M$150="",0,$M$9:$M$150),1)),1),$IH112)),4),"")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IFERROR(ROUND(VALUE(IF($IH113&lt;1,$IH113+LARGE((IF($M$9:$M$150="",0,$M$9:$M$150)-MOD(IF($M$9:$M$150="",0,$M$9:$M$150),1)),1),$IH113)),4),"")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IFERROR(ROUND(VALUE(IF($IH114&lt;1,$IH114+LARGE((IF($M$9:$M$150="",0,$M$9:$M$150)-MOD(IF($M$9:$M$150="",0,$M$9:$M$150),1)),1),$IH114)),4),"")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IFERROR(ROUND(VALUE(IF($IH116&lt;1,$IH116+LARGE((IF($M$9:$M$150="",0,$M$9:$M$150)-MOD(IF($M$9:$M$150="",0,$M$9:$M$150),1)),1),$IH116)),4),"")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IFERROR(ROUND(VALUE(IF($IH117&lt;1,$IH117+LARGE((IF($M$9:$M$150="",0,$M$9:$M$150)-MOD(IF($M$9:$M$150="",0,$M$9:$M$150),1)),1),$IH117)),4),"")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0.93969263802333458</v>
      </c>
      <c r="F154" s="170">
        <f t="shared" si="929"/>
        <v>0</v>
      </c>
      <c r="G154" s="170">
        <f t="shared" si="929"/>
        <v>-0.3420200959662259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0.96592583607220739</v>
      </c>
      <c r="F155" s="170">
        <f t="shared" si="929"/>
        <v>0</v>
      </c>
      <c r="G155" s="170">
        <f t="shared" si="929"/>
        <v>-0.25881900859134593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  <c r="AL155">
        <v>0</v>
      </c>
      <c r="AM155">
        <v>0.29580089213549071</v>
      </c>
      <c r="AN155">
        <v>-0.53370160964405466</v>
      </c>
      <c r="AO155">
        <v>-0.93969263802333458</v>
      </c>
      <c r="AP155">
        <v>0</v>
      </c>
      <c r="AQ155">
        <v>0.3420200959662259</v>
      </c>
      <c r="AR155">
        <v>0.26600000000000001</v>
      </c>
      <c r="AS155">
        <v>0.52</v>
      </c>
      <c r="AT155">
        <v>1.101</v>
      </c>
    </row>
    <row r="156" spans="1:259" x14ac:dyDescent="0.25">
      <c r="B156" s="70"/>
      <c r="C156" s="70"/>
      <c r="D156" s="70"/>
      <c r="E156" s="170">
        <f t="shared" si="929"/>
        <v>0.96592583607220739</v>
      </c>
      <c r="F156" s="170">
        <f t="shared" si="929"/>
        <v>0</v>
      </c>
      <c r="G156" s="170">
        <f t="shared" si="929"/>
        <v>-0.25881900859134593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  <c r="AL156">
        <v>5.549066237130535E-17</v>
      </c>
      <c r="AM156">
        <v>0.92410278709400595</v>
      </c>
      <c r="AN156">
        <v>-0.40190121213405577</v>
      </c>
      <c r="AO156">
        <v>-0.96592583607220739</v>
      </c>
      <c r="AP156">
        <v>0</v>
      </c>
      <c r="AQ156">
        <v>0.25881900859134593</v>
      </c>
      <c r="AR156">
        <v>0.26600000000000001</v>
      </c>
      <c r="AS156">
        <v>0.52</v>
      </c>
      <c r="AT156">
        <v>1.1040000000000001</v>
      </c>
    </row>
    <row r="157" spans="1:259" x14ac:dyDescent="0.25">
      <c r="E157" s="170">
        <f t="shared" si="929"/>
        <v>0.96592583607220739</v>
      </c>
      <c r="F157" s="170">
        <f t="shared" si="929"/>
        <v>0</v>
      </c>
      <c r="G157" s="170">
        <f t="shared" si="929"/>
        <v>-0.25881900859134593</v>
      </c>
      <c r="H157" s="139"/>
      <c r="I157" s="86"/>
      <c r="J157" s="79">
        <f t="shared" si="930"/>
        <v>1.1100000000000001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  <c r="AL157">
        <v>-3.1586992426743044E-16</v>
      </c>
      <c r="AM157">
        <v>1.5510046778301083</v>
      </c>
      <c r="AN157">
        <v>-0.26290079290879131</v>
      </c>
      <c r="AO157">
        <v>-0.96592583607220739</v>
      </c>
      <c r="AP157">
        <v>0</v>
      </c>
      <c r="AQ157">
        <v>0.25881900859134593</v>
      </c>
      <c r="AR157">
        <v>0.26600000000000001</v>
      </c>
      <c r="AS157">
        <v>0.52</v>
      </c>
      <c r="AT157">
        <v>1.107</v>
      </c>
    </row>
    <row r="158" spans="1:259" x14ac:dyDescent="0.25">
      <c r="E158" s="170">
        <f t="shared" si="929"/>
        <v>0.95175588380876563</v>
      </c>
      <c r="F158" s="170">
        <f t="shared" si="929"/>
        <v>-6.3561420389576684E-2</v>
      </c>
      <c r="G158" s="170">
        <f t="shared" si="929"/>
        <v>-0.30020107173935096</v>
      </c>
      <c r="H158" s="139"/>
      <c r="I158" s="86"/>
      <c r="J158" s="79">
        <f t="shared" si="930"/>
        <v>1.113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  <c r="AL158">
        <v>-1.4512942466341399E-16</v>
      </c>
      <c r="AM158">
        <v>2.1778065682646099</v>
      </c>
      <c r="AN158">
        <v>-0.12400037398512791</v>
      </c>
      <c r="AO158">
        <v>-0.96592583607220739</v>
      </c>
      <c r="AP158">
        <v>0</v>
      </c>
      <c r="AQ158">
        <v>0.25881900859134593</v>
      </c>
      <c r="AR158">
        <v>0.26600000000000001</v>
      </c>
      <c r="AS158">
        <v>0.52</v>
      </c>
      <c r="AT158">
        <v>1.1100000000000001</v>
      </c>
    </row>
    <row r="159" spans="1:259" x14ac:dyDescent="0.25">
      <c r="E159" s="170">
        <f t="shared" si="929"/>
        <v>0.93058422978776689</v>
      </c>
      <c r="F159" s="170">
        <f t="shared" si="929"/>
        <v>-0.21913562749187504</v>
      </c>
      <c r="G159" s="170">
        <f t="shared" si="929"/>
        <v>-0.29324489430176098</v>
      </c>
      <c r="H159" s="139"/>
      <c r="I159" s="86"/>
      <c r="J159" s="79">
        <f t="shared" si="930"/>
        <v>1.1160000000000001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  <c r="AL159">
        <v>1.7001201285133716E-2</v>
      </c>
      <c r="AM159">
        <v>2.864958197145651</v>
      </c>
      <c r="AN159">
        <v>-5.2500158340477561E-2</v>
      </c>
      <c r="AO159">
        <v>-0.95175588380876563</v>
      </c>
      <c r="AP159">
        <v>6.3561420389576684E-2</v>
      </c>
      <c r="AQ159">
        <v>0.30020107173935096</v>
      </c>
      <c r="AR159">
        <v>0.314</v>
      </c>
      <c r="AS159">
        <v>0.52</v>
      </c>
      <c r="AT159">
        <v>1.113</v>
      </c>
    </row>
    <row r="160" spans="1:259" x14ac:dyDescent="0.25">
      <c r="E160" s="170">
        <f t="shared" si="929"/>
        <v>0.90402806633293786</v>
      </c>
      <c r="F160" s="170">
        <f t="shared" si="929"/>
        <v>-0.36159515556283728</v>
      </c>
      <c r="G160" s="170">
        <f t="shared" si="929"/>
        <v>-0.22799604986888902</v>
      </c>
      <c r="H160" s="139"/>
      <c r="I160" s="86"/>
      <c r="J160" s="79">
        <f t="shared" si="930"/>
        <v>1.119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  <c r="AL160">
        <v>6.0160224477057322E-2</v>
      </c>
      <c r="AM160">
        <v>3.6280121850864906</v>
      </c>
      <c r="AN160">
        <v>-0.21210063969552917</v>
      </c>
      <c r="AO160">
        <v>-0.93058422978776689</v>
      </c>
      <c r="AP160">
        <v>0.21913562749187504</v>
      </c>
      <c r="AQ160">
        <v>0.29324489430176098</v>
      </c>
      <c r="AR160">
        <v>0.314</v>
      </c>
      <c r="AS160">
        <v>0.52</v>
      </c>
      <c r="AT160">
        <v>1.1160000000000001</v>
      </c>
    </row>
    <row r="161" spans="5:46" x14ac:dyDescent="0.25">
      <c r="E161" s="170">
        <f t="shared" si="929"/>
        <v>0.8776031045833359</v>
      </c>
      <c r="F161" s="170">
        <f t="shared" si="929"/>
        <v>-0.4644016483520268</v>
      </c>
      <c r="G161" s="170">
        <f t="shared" si="929"/>
        <v>-0.11892812885777294</v>
      </c>
      <c r="H161" s="139"/>
      <c r="I161" s="86"/>
      <c r="J161" s="79">
        <f t="shared" si="930"/>
        <v>1.1220000000000001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  <c r="AL161">
        <v>0.11410281182323204</v>
      </c>
      <c r="AM161">
        <v>4.2441792812589672</v>
      </c>
      <c r="AN161">
        <v>-0.68420206355342394</v>
      </c>
      <c r="AO161">
        <v>-0.90402806633293786</v>
      </c>
      <c r="AP161">
        <v>0.36159515556283728</v>
      </c>
      <c r="AQ161">
        <v>0.22799604986888902</v>
      </c>
      <c r="AR161">
        <v>0.314</v>
      </c>
      <c r="AS161">
        <v>0.52</v>
      </c>
      <c r="AT161">
        <v>1.119</v>
      </c>
    </row>
    <row r="162" spans="5:46" x14ac:dyDescent="0.25">
      <c r="E162" s="170">
        <f t="shared" si="929"/>
        <v>0.83191399331943161</v>
      </c>
      <c r="F162" s="170">
        <f t="shared" si="929"/>
        <v>-0.55334037381019141</v>
      </c>
      <c r="G162" s="170">
        <f t="shared" si="929"/>
        <v>-4.1635783058740827E-2</v>
      </c>
      <c r="H162" s="139"/>
      <c r="I162" s="86"/>
      <c r="J162" s="79">
        <f t="shared" si="930"/>
        <v>1.125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  <c r="AL162">
        <v>0.15325667511735006</v>
      </c>
      <c r="AM162">
        <v>4.5956591659258832</v>
      </c>
      <c r="AN162">
        <v>-1.3814041663149654</v>
      </c>
      <c r="AO162">
        <v>-0.8776031045833359</v>
      </c>
      <c r="AP162">
        <v>0.4644016483520268</v>
      </c>
      <c r="AQ162">
        <v>0.11892812885777294</v>
      </c>
      <c r="AR162">
        <v>0.314</v>
      </c>
      <c r="AS162">
        <v>0.52</v>
      </c>
      <c r="AT162">
        <v>1.1220000000000001</v>
      </c>
    </row>
    <row r="163" spans="5:46" x14ac:dyDescent="0.25">
      <c r="E163" s="170">
        <f t="shared" si="929"/>
        <v>0.81235712070265476</v>
      </c>
      <c r="F163" s="170">
        <f t="shared" si="929"/>
        <v>-0.50733154795845337</v>
      </c>
      <c r="G163" s="170">
        <f t="shared" si="929"/>
        <v>-0.28755974838243953</v>
      </c>
      <c r="H163" s="139"/>
      <c r="I163" s="86"/>
      <c r="J163" s="79">
        <f t="shared" si="930"/>
        <v>1.218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  <c r="AL163">
        <v>0.17159384104805164</v>
      </c>
      <c r="AM163">
        <v>4.7474999645828726</v>
      </c>
      <c r="AN163">
        <v>-2.0673062349956051</v>
      </c>
      <c r="AO163">
        <v>-0.83191399331943161</v>
      </c>
      <c r="AP163">
        <v>0.55334037381019141</v>
      </c>
      <c r="AQ163">
        <v>4.1635783058740827E-2</v>
      </c>
      <c r="AR163">
        <v>0.26600000000000001</v>
      </c>
      <c r="AS163">
        <v>0.52</v>
      </c>
      <c r="AT163">
        <v>1.125</v>
      </c>
    </row>
    <row r="164" spans="5:46" x14ac:dyDescent="0.25">
      <c r="E164" s="170">
        <f t="shared" si="929"/>
        <v>0.77197316698370511</v>
      </c>
      <c r="F164" s="170">
        <f t="shared" si="929"/>
        <v>-0.61022372305156358</v>
      </c>
      <c r="G164" s="170">
        <f t="shared" si="929"/>
        <v>-0.17800122831665294</v>
      </c>
      <c r="H164" s="139"/>
      <c r="I164" s="86"/>
      <c r="J164" s="79">
        <f t="shared" si="930"/>
        <v>1.2210000000000001</v>
      </c>
      <c r="AL164">
        <v>0.90327550907446341</v>
      </c>
      <c r="AM164">
        <v>3.9629744094136181</v>
      </c>
      <c r="AN164">
        <v>-0.49870150408373642</v>
      </c>
      <c r="AO164">
        <v>-0.81235712070265476</v>
      </c>
      <c r="AP164">
        <v>0.50733154795845337</v>
      </c>
      <c r="AQ164">
        <v>0.28755974838243953</v>
      </c>
      <c r="AR164">
        <v>0.26600000000000001</v>
      </c>
      <c r="AS164">
        <v>0.52</v>
      </c>
      <c r="AT164">
        <v>1.218</v>
      </c>
    </row>
    <row r="165" spans="5:46" x14ac:dyDescent="0.25">
      <c r="E165" s="170">
        <f t="shared" si="929"/>
        <v>0</v>
      </c>
      <c r="F165" s="170">
        <f t="shared" si="929"/>
        <v>0</v>
      </c>
      <c r="G165" s="170">
        <f t="shared" si="929"/>
        <v>-1</v>
      </c>
      <c r="H165" s="139"/>
      <c r="I165" s="86"/>
      <c r="J165" s="79">
        <f t="shared" si="930"/>
        <v>1.3080000000000001</v>
      </c>
      <c r="AL165">
        <v>0.98056533009873081</v>
      </c>
      <c r="AM165">
        <v>4.4084778669075355</v>
      </c>
      <c r="AN165">
        <v>-1.135703425281531</v>
      </c>
      <c r="AO165">
        <v>-0.77197316698370511</v>
      </c>
      <c r="AP165">
        <v>0.61022372305156358</v>
      </c>
      <c r="AQ165">
        <v>0.17800122831665294</v>
      </c>
      <c r="AR165">
        <v>0.26600000000000001</v>
      </c>
      <c r="AS165">
        <v>0.52</v>
      </c>
      <c r="AT165">
        <v>1.2210000000000001</v>
      </c>
    </row>
    <row r="166" spans="5:46" x14ac:dyDescent="0.25">
      <c r="E166" s="170">
        <f t="shared" si="929"/>
        <v>0</v>
      </c>
      <c r="F166" s="170">
        <f t="shared" si="929"/>
        <v>0</v>
      </c>
      <c r="G166" s="170">
        <f t="shared" si="929"/>
        <v>-1</v>
      </c>
      <c r="H166" s="139"/>
      <c r="I166" s="86"/>
      <c r="J166" s="79">
        <f t="shared" si="930"/>
        <v>1.3109999999999999</v>
      </c>
      <c r="AL166">
        <v>0.93260534563490427</v>
      </c>
      <c r="AM166">
        <v>1.4924795741628092</v>
      </c>
      <c r="AN166">
        <v>-0.27310000000000001</v>
      </c>
      <c r="AO166">
        <v>0</v>
      </c>
      <c r="AP166">
        <v>0</v>
      </c>
      <c r="AQ166">
        <v>1</v>
      </c>
      <c r="AR166">
        <v>0.26250000000000001</v>
      </c>
      <c r="AS166">
        <v>0.41199999999999998</v>
      </c>
      <c r="AT166">
        <v>1.3080000000000001</v>
      </c>
    </row>
    <row r="167" spans="5:46" x14ac:dyDescent="0.25">
      <c r="E167" s="170">
        <f t="shared" si="929"/>
        <v>0.30169671250454327</v>
      </c>
      <c r="F167" s="170">
        <f t="shared" si="929"/>
        <v>-0.90479056093336252</v>
      </c>
      <c r="G167" s="170">
        <f t="shared" si="929"/>
        <v>-0.30055471134194894</v>
      </c>
      <c r="H167" s="139"/>
      <c r="I167" s="86"/>
      <c r="J167" s="79">
        <f t="shared" si="930"/>
        <v>2.1139999999999999</v>
      </c>
      <c r="AL167">
        <v>0.93259769417210514</v>
      </c>
      <c r="AM167">
        <v>2.1970607139596465</v>
      </c>
      <c r="AN167">
        <v>-0.13120000000000001</v>
      </c>
      <c r="AO167">
        <v>0</v>
      </c>
      <c r="AP167">
        <v>0</v>
      </c>
      <c r="AQ167">
        <v>1</v>
      </c>
      <c r="AR167">
        <v>0.26250000000000001</v>
      </c>
      <c r="AS167">
        <v>0.41199999999999998</v>
      </c>
      <c r="AT167">
        <v>1.3109999999999999</v>
      </c>
    </row>
    <row r="168" spans="5:46" x14ac:dyDescent="0.25">
      <c r="E168" s="170">
        <f t="shared" si="929"/>
        <v>0.14628283941228409</v>
      </c>
      <c r="F168" s="170">
        <f t="shared" si="929"/>
        <v>-0.9482684416586955</v>
      </c>
      <c r="G168" s="170">
        <f t="shared" si="929"/>
        <v>-0.28175928280656382</v>
      </c>
      <c r="H168" s="139"/>
      <c r="I168" s="86"/>
      <c r="J168" s="79">
        <f t="shared" si="930"/>
        <v>2.117</v>
      </c>
      <c r="AL168">
        <v>2.8229338028784996</v>
      </c>
      <c r="AM168">
        <v>1.2858875484152739</v>
      </c>
      <c r="AN168">
        <v>-6.4700195135788688E-2</v>
      </c>
      <c r="AO168">
        <v>-0.30169671250454327</v>
      </c>
      <c r="AP168">
        <v>0.90479056093336252</v>
      </c>
      <c r="AQ168">
        <v>0.30055471134194894</v>
      </c>
      <c r="AR168">
        <v>0.314</v>
      </c>
      <c r="AS168">
        <v>0.52</v>
      </c>
      <c r="AT168">
        <v>2.1139999999999999</v>
      </c>
    </row>
    <row r="169" spans="5:46" x14ac:dyDescent="0.25">
      <c r="E169" s="170">
        <f t="shared" si="929"/>
        <v>1.8176074493984909E-2</v>
      </c>
      <c r="F169" s="170">
        <f t="shared" si="929"/>
        <v>-0.98149258126452488</v>
      </c>
      <c r="G169" s="170">
        <f t="shared" si="929"/>
        <v>-0.19063562951003976</v>
      </c>
      <c r="H169" s="139"/>
      <c r="I169" s="86"/>
      <c r="J169" s="79">
        <f t="shared" si="930"/>
        <v>2.12</v>
      </c>
      <c r="AL169">
        <v>3.5160360598014018</v>
      </c>
      <c r="AM169">
        <v>1.5544201688575137</v>
      </c>
      <c r="AN169">
        <v>-0.32950099377499747</v>
      </c>
      <c r="AO169">
        <v>-0.14628283941228409</v>
      </c>
      <c r="AP169">
        <v>0.9482684416586955</v>
      </c>
      <c r="AQ169">
        <v>0.28175928280656382</v>
      </c>
      <c r="AR169">
        <v>0.314</v>
      </c>
      <c r="AS169">
        <v>0.52</v>
      </c>
      <c r="AT169">
        <v>2.117</v>
      </c>
    </row>
    <row r="170" spans="5:46" x14ac:dyDescent="0.25">
      <c r="E170" s="170">
        <f t="shared" si="929"/>
        <v>-9.1254569119267617E-2</v>
      </c>
      <c r="F170" s="170">
        <f t="shared" si="929"/>
        <v>-0.9919878558148485</v>
      </c>
      <c r="G170" s="170">
        <f t="shared" si="929"/>
        <v>-8.736531079734168E-2</v>
      </c>
      <c r="H170" s="139"/>
      <c r="I170" s="86"/>
      <c r="J170" s="79">
        <f t="shared" si="930"/>
        <v>2.1230000000000002</v>
      </c>
      <c r="AL170">
        <v>4.0389732737637143</v>
      </c>
      <c r="AM170">
        <v>1.739453163068517</v>
      </c>
      <c r="AN170">
        <v>-0.9014027186305994</v>
      </c>
      <c r="AO170">
        <v>-1.8176074493984909E-2</v>
      </c>
      <c r="AP170">
        <v>0.98149258126452488</v>
      </c>
      <c r="AQ170">
        <v>0.19063562951003976</v>
      </c>
      <c r="AR170">
        <v>0.314</v>
      </c>
      <c r="AS170">
        <v>0.52</v>
      </c>
      <c r="AT170">
        <v>2.12</v>
      </c>
    </row>
    <row r="171" spans="5:46" x14ac:dyDescent="0.25">
      <c r="E171" s="170">
        <f t="shared" si="929"/>
        <v>-0.14991537822174322</v>
      </c>
      <c r="F171" s="170">
        <f t="shared" si="929"/>
        <v>-0.98782176577645686</v>
      </c>
      <c r="G171" s="170">
        <f t="shared" si="929"/>
        <v>-4.1635783058741022E-2</v>
      </c>
      <c r="H171" s="139"/>
      <c r="I171" s="86"/>
      <c r="J171" s="79">
        <f t="shared" si="930"/>
        <v>2.125</v>
      </c>
      <c r="O171">
        <f>IF($J24="","",IFERROR(INDEX(_xlfn.ANCHORARRAY(Settings!$BC$14),MATCH(IFERROR(INDEX(Settings!$AK$14:$AK$32,MATCH((((ROUND($H24,6)*2)*1000000)+ROUND($I24,6)),Settings!$AI$14:$AI$32,0)),"Undefined"),_xlfn.ANCHORARRAY(Settings!$BC$14),0)),"Inactive"))</f>
        <v>1613</v>
      </c>
      <c r="AL171">
        <v>4.2726095278931551</v>
      </c>
      <c r="AM171">
        <v>1.8180134114141842</v>
      </c>
      <c r="AN171">
        <v>-1.6373049381116935</v>
      </c>
      <c r="AO171">
        <v>9.1254569119267617E-2</v>
      </c>
      <c r="AP171">
        <v>0.9919878558148485</v>
      </c>
      <c r="AQ171">
        <v>8.736531079734168E-2</v>
      </c>
      <c r="AR171">
        <v>0.314</v>
      </c>
      <c r="AS171">
        <v>0.52</v>
      </c>
      <c r="AT171">
        <v>2.1230000000000002</v>
      </c>
    </row>
    <row r="172" spans="5:46" x14ac:dyDescent="0.25">
      <c r="E172" s="170">
        <f t="shared" si="929"/>
        <v>-2.5277569868563957E-2</v>
      </c>
      <c r="F172" s="170">
        <f t="shared" si="929"/>
        <v>-0.94297600905241263</v>
      </c>
      <c r="G172" s="170">
        <f t="shared" si="929"/>
        <v>-0.33189951915169164</v>
      </c>
      <c r="H172" s="139"/>
      <c r="I172" s="86"/>
      <c r="J172" s="79">
        <f t="shared" si="930"/>
        <v>2.2130000000000001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  <c r="AL172">
        <v>4.3752162090055107</v>
      </c>
      <c r="AM172">
        <v>1.8508600978530749</v>
      </c>
      <c r="AN172">
        <v>-2.3116068591756145</v>
      </c>
      <c r="AO172">
        <v>0.14991537822174322</v>
      </c>
      <c r="AP172">
        <v>0.98782176577645686</v>
      </c>
      <c r="AQ172">
        <v>4.1635783058741022E-2</v>
      </c>
      <c r="AR172">
        <v>0.26600000000000001</v>
      </c>
      <c r="AS172">
        <v>0.52</v>
      </c>
      <c r="AT172">
        <v>2.125</v>
      </c>
    </row>
    <row r="173" spans="5:46" x14ac:dyDescent="0.25">
      <c r="E173" s="170">
        <f t="shared" si="929"/>
        <v>-0.15745827832334655</v>
      </c>
      <c r="F173" s="170">
        <f t="shared" si="929"/>
        <v>-0.95251663988531732</v>
      </c>
      <c r="G173" s="170">
        <f t="shared" si="929"/>
        <v>-0.2606126269562401</v>
      </c>
      <c r="H173" s="139"/>
      <c r="I173" s="86"/>
      <c r="J173" s="79">
        <f t="shared" si="930"/>
        <v>2.2160000000000002</v>
      </c>
      <c r="O173">
        <f>IF($J24="","",IFERROR(INDEX(Settings!$AK$14:$AK$32,MATCH((((ROUND($H24,6)*2)*1000000)+ROUND($I24,6)),Settings!$AI$14:$AI$32,0)),"Undefined"))</f>
        <v>1613</v>
      </c>
      <c r="AL173">
        <v>3.5535059907514608</v>
      </c>
      <c r="AM173">
        <v>0.73395288775143008</v>
      </c>
      <c r="AN173">
        <v>-0.21210063969552892</v>
      </c>
      <c r="AO173">
        <v>2.5277569868563957E-2</v>
      </c>
      <c r="AP173">
        <v>0.94297600905241263</v>
      </c>
      <c r="AQ173">
        <v>0.33189951915169164</v>
      </c>
      <c r="AR173">
        <v>0.26600000000000001</v>
      </c>
      <c r="AS173">
        <v>0.52</v>
      </c>
      <c r="AT173">
        <v>2.2130000000000001</v>
      </c>
    </row>
    <row r="174" spans="5:46" x14ac:dyDescent="0.25">
      <c r="E174" s="170">
        <f t="shared" ref="E174:G193" si="933">E29*-1</f>
        <v>-0.77709612452374655</v>
      </c>
      <c r="F174" s="170">
        <f t="shared" si="933"/>
        <v>-0.13702301335752134</v>
      </c>
      <c r="G174" s="170">
        <f t="shared" si="933"/>
        <v>-0.61428520009894305</v>
      </c>
      <c r="H174" s="139"/>
      <c r="I174" s="86"/>
      <c r="J174" s="79">
        <f t="shared" si="930"/>
        <v>2.3220000000000001</v>
      </c>
      <c r="AL174">
        <v>4.144772569561546</v>
      </c>
      <c r="AM174">
        <v>0.91659426616775352</v>
      </c>
      <c r="AN174">
        <v>-0.68490206566463008</v>
      </c>
      <c r="AO174">
        <v>0.15745827832334655</v>
      </c>
      <c r="AP174">
        <v>0.95251663988531732</v>
      </c>
      <c r="AQ174">
        <v>0.2606126269562401</v>
      </c>
      <c r="AR174">
        <v>0.26600000000000001</v>
      </c>
      <c r="AS174">
        <v>0.52</v>
      </c>
      <c r="AT174">
        <v>2.2160000000000002</v>
      </c>
    </row>
    <row r="175" spans="5:46" x14ac:dyDescent="0.25">
      <c r="E175" s="170">
        <f t="shared" si="933"/>
        <v>-0.55403276739546137</v>
      </c>
      <c r="F175" s="170">
        <f t="shared" si="933"/>
        <v>-0.79123979515941922</v>
      </c>
      <c r="G175" s="170">
        <f t="shared" si="933"/>
        <v>-0.25881900859134599</v>
      </c>
      <c r="H175" s="139"/>
      <c r="I175" s="86"/>
      <c r="J175" s="79">
        <f t="shared" si="930"/>
        <v>3.1030000000000002</v>
      </c>
      <c r="AL175">
        <v>4.5285399714513366</v>
      </c>
      <c r="AM175">
        <v>0.79850378018361279</v>
      </c>
      <c r="AN175">
        <v>-1.3813000000000006</v>
      </c>
      <c r="AO175">
        <v>0.77709612452374655</v>
      </c>
      <c r="AP175">
        <v>0.13702301335752134</v>
      </c>
      <c r="AQ175">
        <v>0.61428520009894305</v>
      </c>
      <c r="AR175">
        <v>0.26250000000000001</v>
      </c>
      <c r="AS175">
        <v>0.41199999999999998</v>
      </c>
      <c r="AT175">
        <v>2.3220000000000001</v>
      </c>
    </row>
    <row r="176" spans="5:46" x14ac:dyDescent="0.25">
      <c r="E176" s="170">
        <f t="shared" si="933"/>
        <v>-0.55403276739546137</v>
      </c>
      <c r="F176" s="170">
        <f t="shared" si="933"/>
        <v>-0.79123979515941911</v>
      </c>
      <c r="G176" s="170">
        <f t="shared" si="933"/>
        <v>-0.25881900859134593</v>
      </c>
      <c r="H176" s="139"/>
      <c r="I176" s="86"/>
      <c r="J176" s="79">
        <f t="shared" si="930"/>
        <v>3.1059999999999999</v>
      </c>
      <c r="AL176">
        <v>0.58585906609840444</v>
      </c>
      <c r="AM176">
        <v>-0.41022345144915506</v>
      </c>
      <c r="AN176">
        <v>-0.44820135177527692</v>
      </c>
      <c r="AO176">
        <v>0.55403276739546137</v>
      </c>
      <c r="AP176">
        <v>0.79123979515941922</v>
      </c>
      <c r="AQ176">
        <v>0.25881900859134599</v>
      </c>
      <c r="AR176">
        <v>0.26600000000000001</v>
      </c>
      <c r="AS176">
        <v>0.52</v>
      </c>
      <c r="AT176">
        <v>3.1030000000000002</v>
      </c>
    </row>
    <row r="177" spans="5:46" x14ac:dyDescent="0.25">
      <c r="E177" s="170">
        <f t="shared" si="933"/>
        <v>-0.55403276739546159</v>
      </c>
      <c r="F177" s="170">
        <f t="shared" si="933"/>
        <v>-0.791239795159419</v>
      </c>
      <c r="G177" s="170">
        <f t="shared" si="933"/>
        <v>-0.25881900859134599</v>
      </c>
      <c r="H177" s="139"/>
      <c r="I177" s="86"/>
      <c r="J177" s="79">
        <f t="shared" si="930"/>
        <v>3.109</v>
      </c>
      <c r="AL177">
        <v>1.0993049031097015</v>
      </c>
      <c r="AM177">
        <v>-0.769742550118521</v>
      </c>
      <c r="AN177">
        <v>-0.30930093285161347</v>
      </c>
      <c r="AO177">
        <v>0.55403276739546137</v>
      </c>
      <c r="AP177">
        <v>0.79123979515941911</v>
      </c>
      <c r="AQ177">
        <v>0.25881900859134593</v>
      </c>
      <c r="AR177">
        <v>0.26600000000000001</v>
      </c>
      <c r="AS177">
        <v>0.52</v>
      </c>
      <c r="AT177">
        <v>3.1059999999999999</v>
      </c>
    </row>
    <row r="178" spans="5:46" x14ac:dyDescent="0.25">
      <c r="E178" s="170">
        <f t="shared" si="933"/>
        <v>-0.55403276739546159</v>
      </c>
      <c r="F178" s="170">
        <f t="shared" si="933"/>
        <v>-0.791239795159419</v>
      </c>
      <c r="G178" s="170">
        <f t="shared" si="933"/>
        <v>-0.25881900859134599</v>
      </c>
      <c r="H178" s="139"/>
      <c r="I178" s="86"/>
      <c r="J178" s="79">
        <f t="shared" si="930"/>
        <v>3.1120000000000001</v>
      </c>
      <c r="AL178">
        <v>1.6128326555385184</v>
      </c>
      <c r="AM178">
        <v>-1.1293190066530225</v>
      </c>
      <c r="AN178">
        <v>-0.1703005136263491</v>
      </c>
      <c r="AO178">
        <v>0.55403276739546159</v>
      </c>
      <c r="AP178">
        <v>0.791239795159419</v>
      </c>
      <c r="AQ178">
        <v>0.25881900859134599</v>
      </c>
      <c r="AR178">
        <v>0.26600000000000001</v>
      </c>
      <c r="AS178">
        <v>0.52</v>
      </c>
      <c r="AT178">
        <v>3.109</v>
      </c>
    </row>
    <row r="179" spans="5:46" x14ac:dyDescent="0.25">
      <c r="E179" s="170">
        <f t="shared" si="933"/>
        <v>-0.67514377256032487</v>
      </c>
      <c r="F179" s="170">
        <f t="shared" si="933"/>
        <v>-0.67405673543226008</v>
      </c>
      <c r="G179" s="170">
        <f t="shared" si="933"/>
        <v>-0.29971386986827409</v>
      </c>
      <c r="H179" s="139"/>
      <c r="I179" s="86"/>
      <c r="J179" s="79">
        <f t="shared" si="930"/>
        <v>3.1150000000000002</v>
      </c>
      <c r="AL179">
        <v>2.1262784925498157</v>
      </c>
      <c r="AM179">
        <v>-1.4888381053223882</v>
      </c>
      <c r="AN179">
        <v>-3.1300094401084555E-2</v>
      </c>
      <c r="AO179">
        <v>0.55403276739546159</v>
      </c>
      <c r="AP179">
        <v>0.791239795159419</v>
      </c>
      <c r="AQ179">
        <v>0.25881900859134599</v>
      </c>
      <c r="AR179">
        <v>0.26600000000000001</v>
      </c>
      <c r="AS179">
        <v>0.52</v>
      </c>
      <c r="AT179">
        <v>3.1120000000000001</v>
      </c>
    </row>
    <row r="180" spans="5:46" x14ac:dyDescent="0.25">
      <c r="E180" s="170">
        <f t="shared" si="933"/>
        <v>-0.7851107767399782</v>
      </c>
      <c r="F180" s="170">
        <f t="shared" si="933"/>
        <v>-0.56231506926807462</v>
      </c>
      <c r="G180" s="170">
        <f t="shared" si="933"/>
        <v>-0.25962055219259622</v>
      </c>
      <c r="H180" s="139"/>
      <c r="I180" s="86"/>
      <c r="J180" s="79">
        <f t="shared" si="930"/>
        <v>3.1179999999999999</v>
      </c>
      <c r="AL180">
        <v>2.7464140205842975</v>
      </c>
      <c r="AM180">
        <v>-1.9756824922990879</v>
      </c>
      <c r="AN180">
        <v>-0.12130036584190335</v>
      </c>
      <c r="AO180">
        <v>0.67514377256032487</v>
      </c>
      <c r="AP180">
        <v>0.67405673543226008</v>
      </c>
      <c r="AQ180">
        <v>0.29971386986827409</v>
      </c>
      <c r="AR180">
        <v>0.314</v>
      </c>
      <c r="AS180">
        <v>0.52</v>
      </c>
      <c r="AT180">
        <v>3.1150000000000002</v>
      </c>
    </row>
    <row r="181" spans="5:46" x14ac:dyDescent="0.25">
      <c r="E181" s="170">
        <f t="shared" si="933"/>
        <v>-0.8643766825170327</v>
      </c>
      <c r="F181" s="170">
        <f t="shared" si="933"/>
        <v>-0.47789848255823875</v>
      </c>
      <c r="G181" s="170">
        <f t="shared" si="933"/>
        <v>-0.15641608321838796</v>
      </c>
      <c r="H181" s="139"/>
      <c r="I181" s="86"/>
      <c r="J181" s="79">
        <f t="shared" si="930"/>
        <v>3.121</v>
      </c>
      <c r="AL181">
        <v>3.2742292576311947</v>
      </c>
      <c r="AM181">
        <v>-2.410446457045702</v>
      </c>
      <c r="AN181">
        <v>-0.4973014998613236</v>
      </c>
      <c r="AO181">
        <v>0.7851107767399782</v>
      </c>
      <c r="AP181">
        <v>0.56231506926807462</v>
      </c>
      <c r="AQ181">
        <v>0.25962055219259622</v>
      </c>
      <c r="AR181">
        <v>0.314</v>
      </c>
      <c r="AS181">
        <v>0.52</v>
      </c>
      <c r="AT181">
        <v>3.1179999999999999</v>
      </c>
    </row>
    <row r="182" spans="5:46" x14ac:dyDescent="0.25">
      <c r="E182" s="170">
        <f t="shared" si="933"/>
        <v>-0.92297365950583921</v>
      </c>
      <c r="F182" s="170">
        <f t="shared" si="933"/>
        <v>-0.38265603216958621</v>
      </c>
      <c r="G182" s="170">
        <f t="shared" si="933"/>
        <v>-4.1158047847630275E-2</v>
      </c>
      <c r="H182" s="139"/>
      <c r="I182" s="86"/>
      <c r="J182" s="79">
        <f t="shared" si="930"/>
        <v>3.1240000000000001</v>
      </c>
      <c r="AL182">
        <v>3.6154078315891423</v>
      </c>
      <c r="AM182">
        <v>-2.7066427426495614</v>
      </c>
      <c r="AN182">
        <v>-1.1356034249799296</v>
      </c>
      <c r="AO182">
        <v>0.8643766825170327</v>
      </c>
      <c r="AP182">
        <v>0.47789848255823875</v>
      </c>
      <c r="AQ182">
        <v>0.15641608321838796</v>
      </c>
      <c r="AR182">
        <v>0.314</v>
      </c>
      <c r="AS182">
        <v>0.52</v>
      </c>
      <c r="AT182">
        <v>3.121</v>
      </c>
    </row>
    <row r="183" spans="5:46" x14ac:dyDescent="0.25">
      <c r="E183" s="170">
        <f t="shared" si="933"/>
        <v>-0.9304363776367629</v>
      </c>
      <c r="F183" s="170">
        <f t="shared" si="933"/>
        <v>-0.36408049760906552</v>
      </c>
      <c r="G183" s="170">
        <f t="shared" si="933"/>
        <v>-4.1635783058740911E-2</v>
      </c>
      <c r="H183" s="139"/>
      <c r="I183" s="86"/>
      <c r="J183" s="79">
        <f t="shared" si="930"/>
        <v>3.1269999999999998</v>
      </c>
      <c r="AL183">
        <v>3.7205623123947196</v>
      </c>
      <c r="AM183">
        <v>-2.8005951383308587</v>
      </c>
      <c r="AN183">
        <v>-1.8942057129244303</v>
      </c>
      <c r="AO183">
        <v>0.92297365950583921</v>
      </c>
      <c r="AP183">
        <v>0.38265603216958621</v>
      </c>
      <c r="AQ183">
        <v>4.1158047847630275E-2</v>
      </c>
      <c r="AR183">
        <v>0.314</v>
      </c>
      <c r="AS183">
        <v>0.52</v>
      </c>
      <c r="AT183">
        <v>3.1240000000000001</v>
      </c>
    </row>
    <row r="184" spans="5:46" x14ac:dyDescent="0.25">
      <c r="E184" s="170">
        <f t="shared" si="933"/>
        <v>-0.85770631290459864</v>
      </c>
      <c r="F184" s="170">
        <f t="shared" si="933"/>
        <v>-0.43005998111418053</v>
      </c>
      <c r="G184" s="170">
        <f t="shared" si="933"/>
        <v>-0.28175928280656415</v>
      </c>
      <c r="H184" s="139"/>
      <c r="I184" s="86"/>
      <c r="J184" s="79">
        <f t="shared" si="930"/>
        <v>3.2170000000000001</v>
      </c>
      <c r="AL184">
        <v>3.7905004072861632</v>
      </c>
      <c r="AM184">
        <v>-2.8636177740112432</v>
      </c>
      <c r="AN184">
        <v>-2.5459075999429421</v>
      </c>
      <c r="AO184">
        <v>0.9304363776367629</v>
      </c>
      <c r="AP184">
        <v>0.36408049760906552</v>
      </c>
      <c r="AQ184">
        <v>4.1635783058740911E-2</v>
      </c>
      <c r="AR184">
        <v>0.26600000000000001</v>
      </c>
      <c r="AS184">
        <v>0.52</v>
      </c>
      <c r="AT184">
        <v>3.1269999999999998</v>
      </c>
    </row>
    <row r="185" spans="5:46" x14ac:dyDescent="0.25">
      <c r="E185" s="170">
        <f t="shared" si="933"/>
        <v>-0.92216061231756319</v>
      </c>
      <c r="F185" s="170">
        <f t="shared" si="933"/>
        <v>-0.33656776710108138</v>
      </c>
      <c r="G185" s="170">
        <f t="shared" si="933"/>
        <v>-0.19063562951003998</v>
      </c>
      <c r="H185" s="139"/>
      <c r="I185" s="86"/>
      <c r="J185" s="79">
        <f t="shared" si="930"/>
        <v>3.22</v>
      </c>
      <c r="AL185">
        <v>2.5572532605839053</v>
      </c>
      <c r="AM185">
        <v>-2.8691929918833634</v>
      </c>
      <c r="AN185">
        <v>-0.3310009982990107</v>
      </c>
      <c r="AO185">
        <v>0.85770631290459864</v>
      </c>
      <c r="AP185">
        <v>0.43005998111418053</v>
      </c>
      <c r="AQ185">
        <v>0.28175928280656415</v>
      </c>
      <c r="AR185">
        <v>0.26600000000000001</v>
      </c>
      <c r="AS185">
        <v>0.52</v>
      </c>
      <c r="AT185">
        <v>3.2170000000000001</v>
      </c>
    </row>
    <row r="186" spans="5:46" x14ac:dyDescent="0.25">
      <c r="E186" s="170">
        <f t="shared" si="933"/>
        <v>0</v>
      </c>
      <c r="F186" s="170">
        <f t="shared" si="933"/>
        <v>0</v>
      </c>
      <c r="G186" s="170">
        <f t="shared" si="933"/>
        <v>-1</v>
      </c>
      <c r="H186" s="139"/>
      <c r="I186" s="86"/>
      <c r="J186" s="79">
        <f t="shared" si="930"/>
        <v>3.3069999999999999</v>
      </c>
      <c r="AL186">
        <v>2.9589446235617034</v>
      </c>
      <c r="AM186">
        <v>-3.2529817270884878</v>
      </c>
      <c r="AN186">
        <v>-0.90150271893220069</v>
      </c>
      <c r="AO186">
        <v>0.92216061231756319</v>
      </c>
      <c r="AP186">
        <v>0.33656776710108138</v>
      </c>
      <c r="AQ186">
        <v>0.19063562951003998</v>
      </c>
      <c r="AR186">
        <v>0.26600000000000001</v>
      </c>
      <c r="AS186">
        <v>0.52</v>
      </c>
      <c r="AT186">
        <v>3.22</v>
      </c>
    </row>
    <row r="187" spans="5:46" x14ac:dyDescent="0.25">
      <c r="E187" s="170">
        <f t="shared" si="933"/>
        <v>0</v>
      </c>
      <c r="F187" s="170">
        <f t="shared" si="933"/>
        <v>0</v>
      </c>
      <c r="G187" s="170">
        <f t="shared" si="933"/>
        <v>-1</v>
      </c>
      <c r="H187" s="139"/>
      <c r="I187" s="86"/>
      <c r="J187" s="79">
        <f t="shared" si="930"/>
        <v>3.31</v>
      </c>
      <c r="AL187">
        <v>0.50495620756304982</v>
      </c>
      <c r="AM187">
        <v>-1.4664993107545403</v>
      </c>
      <c r="AN187">
        <v>-0.32409999999999994</v>
      </c>
      <c r="AO187">
        <v>0</v>
      </c>
      <c r="AP187">
        <v>0</v>
      </c>
      <c r="AQ187">
        <v>1</v>
      </c>
      <c r="AR187">
        <v>0.26250000000000001</v>
      </c>
      <c r="AS187">
        <v>0.41199999999999998</v>
      </c>
      <c r="AT187">
        <v>3.3069999999999999</v>
      </c>
    </row>
    <row r="188" spans="5:46" x14ac:dyDescent="0.25">
      <c r="E188" s="170">
        <f t="shared" si="933"/>
        <v>-0.54511432569406837</v>
      </c>
      <c r="F188" s="170">
        <f t="shared" si="933"/>
        <v>0.64964293678730944</v>
      </c>
      <c r="G188" s="170">
        <f t="shared" si="933"/>
        <v>-0.5299192642332049</v>
      </c>
      <c r="H188" s="139"/>
      <c r="I188" s="86"/>
      <c r="J188" s="79">
        <f t="shared" si="930"/>
        <v>3.323</v>
      </c>
      <c r="AL188">
        <v>1.0888999999999995</v>
      </c>
      <c r="AM188">
        <v>-1.8860301243617503</v>
      </c>
      <c r="AN188">
        <v>-0.18149999999999999</v>
      </c>
      <c r="AO188">
        <v>0</v>
      </c>
      <c r="AP188">
        <v>0</v>
      </c>
      <c r="AQ188">
        <v>1</v>
      </c>
      <c r="AR188">
        <v>0.26250000000000001</v>
      </c>
      <c r="AS188">
        <v>0.41199999999999998</v>
      </c>
      <c r="AT188">
        <v>3.31</v>
      </c>
    </row>
    <row r="189" spans="5:46" x14ac:dyDescent="0.25">
      <c r="E189" s="170">
        <f t="shared" si="933"/>
        <v>-0.9262591509134096</v>
      </c>
      <c r="F189" s="170">
        <f t="shared" si="933"/>
        <v>0.22786685119980674</v>
      </c>
      <c r="G189" s="170">
        <f t="shared" si="933"/>
        <v>-0.30020107173935101</v>
      </c>
      <c r="H189" s="139"/>
      <c r="I189" s="86"/>
      <c r="J189" s="79">
        <f t="shared" si="930"/>
        <v>4.1130000000000004</v>
      </c>
      <c r="AL189">
        <v>2.9821461944047267</v>
      </c>
      <c r="AM189">
        <v>-3.5539888062847651</v>
      </c>
      <c r="AN189">
        <v>-1.6396999999999997</v>
      </c>
      <c r="AO189">
        <v>0.54511432569406837</v>
      </c>
      <c r="AP189">
        <v>-0.64964293678730944</v>
      </c>
      <c r="AQ189">
        <v>0.5299192642332049</v>
      </c>
      <c r="AR189">
        <v>0.26250000000000001</v>
      </c>
      <c r="AS189">
        <v>0.41199999999999998</v>
      </c>
      <c r="AT189">
        <v>3.323</v>
      </c>
    </row>
    <row r="190" spans="5:46" x14ac:dyDescent="0.25">
      <c r="E190" s="170">
        <f t="shared" si="933"/>
        <v>-0.87839390027511222</v>
      </c>
      <c r="F190" s="170">
        <f t="shared" si="933"/>
        <v>0.37740109687893753</v>
      </c>
      <c r="G190" s="170">
        <f t="shared" si="933"/>
        <v>-0.29324489430176104</v>
      </c>
      <c r="H190" s="139"/>
      <c r="I190" s="86"/>
      <c r="J190" s="79">
        <f t="shared" si="930"/>
        <v>4.1159999999999997</v>
      </c>
      <c r="AL190">
        <v>-0.51423889227236308</v>
      </c>
      <c r="AM190">
        <v>-2.8184805966888766</v>
      </c>
      <c r="AN190">
        <v>-5.2500158340477568E-2</v>
      </c>
      <c r="AO190">
        <v>0.9262591509134096</v>
      </c>
      <c r="AP190">
        <v>-0.22786685119980674</v>
      </c>
      <c r="AQ190">
        <v>0.30020107173935101</v>
      </c>
      <c r="AR190">
        <v>0.314</v>
      </c>
      <c r="AS190">
        <v>0.52</v>
      </c>
      <c r="AT190">
        <v>4.1130000000000004</v>
      </c>
    </row>
    <row r="191" spans="5:46" x14ac:dyDescent="0.25">
      <c r="E191" s="170">
        <f t="shared" si="933"/>
        <v>-0.82750328904808856</v>
      </c>
      <c r="F191" s="170">
        <f t="shared" si="933"/>
        <v>0.51308489342289043</v>
      </c>
      <c r="G191" s="170">
        <f t="shared" si="933"/>
        <v>-0.22799604986888905</v>
      </c>
      <c r="H191" s="139"/>
      <c r="I191" s="86"/>
      <c r="J191" s="79">
        <f t="shared" si="930"/>
        <v>4.1189999999999998</v>
      </c>
      <c r="AL191">
        <v>-0.68924548609988856</v>
      </c>
      <c r="AM191">
        <v>-3.5624475192816676</v>
      </c>
      <c r="AN191">
        <v>-0.2121006396955292</v>
      </c>
      <c r="AO191">
        <v>0.87839390027511222</v>
      </c>
      <c r="AP191">
        <v>-0.37740109687893753</v>
      </c>
      <c r="AQ191">
        <v>0.29324489430176104</v>
      </c>
      <c r="AR191">
        <v>0.314</v>
      </c>
      <c r="AS191">
        <v>0.52</v>
      </c>
      <c r="AT191">
        <v>4.1159999999999997</v>
      </c>
    </row>
    <row r="192" spans="5:46" x14ac:dyDescent="0.25">
      <c r="E192" s="170">
        <f t="shared" si="933"/>
        <v>-0.78362758031237012</v>
      </c>
      <c r="F192" s="170">
        <f t="shared" si="933"/>
        <v>0.60974085933301947</v>
      </c>
      <c r="G192" s="170">
        <f t="shared" si="933"/>
        <v>-0.1189281288577729</v>
      </c>
      <c r="H192" s="139"/>
      <c r="I192" s="86"/>
      <c r="J192" s="79">
        <f t="shared" si="930"/>
        <v>4.1219999999999999</v>
      </c>
      <c r="AL192">
        <v>-0.84936511366175149</v>
      </c>
      <c r="AM192">
        <v>-4.1598865521583877</v>
      </c>
      <c r="AN192">
        <v>-0.68420206355342361</v>
      </c>
      <c r="AO192">
        <v>0.82750328904808856</v>
      </c>
      <c r="AP192">
        <v>-0.51308489342289043</v>
      </c>
      <c r="AQ192">
        <v>0.22799604986888905</v>
      </c>
      <c r="AR192">
        <v>0.314</v>
      </c>
      <c r="AS192">
        <v>0.52</v>
      </c>
      <c r="AT192">
        <v>4.1189999999999998</v>
      </c>
    </row>
    <row r="193" spans="5:46" x14ac:dyDescent="0.25">
      <c r="E193" s="170">
        <f t="shared" si="933"/>
        <v>-0.72330881862056706</v>
      </c>
      <c r="F193" s="170">
        <f t="shared" si="933"/>
        <v>0.68926831820039813</v>
      </c>
      <c r="G193" s="170">
        <f t="shared" si="933"/>
        <v>-4.1635783058740938E-2</v>
      </c>
      <c r="H193" s="139"/>
      <c r="I193" s="86"/>
      <c r="J193" s="79">
        <f t="shared" si="930"/>
        <v>4.125</v>
      </c>
      <c r="AL193">
        <v>-0.94895812862362616</v>
      </c>
      <c r="AM193">
        <v>-4.499227627931905</v>
      </c>
      <c r="AN193">
        <v>-1.3814041663149663</v>
      </c>
      <c r="AO193">
        <v>0.78362758031237012</v>
      </c>
      <c r="AP193">
        <v>-0.60974085933301947</v>
      </c>
      <c r="AQ193">
        <v>0.1189281288577729</v>
      </c>
      <c r="AR193">
        <v>0.314</v>
      </c>
      <c r="AS193">
        <v>0.52</v>
      </c>
      <c r="AT193">
        <v>4.1219999999999999</v>
      </c>
    </row>
    <row r="194" spans="5:46" x14ac:dyDescent="0.25">
      <c r="E194" s="170">
        <f t="shared" ref="E194:G213" si="934">E49*-1</f>
        <v>-0.71191811744193079</v>
      </c>
      <c r="F194" s="170">
        <f t="shared" si="934"/>
        <v>0.64068868038085824</v>
      </c>
      <c r="G194" s="170">
        <f t="shared" si="934"/>
        <v>-0.28755974838243936</v>
      </c>
      <c r="H194" s="139"/>
      <c r="I194" s="86"/>
      <c r="J194" s="79">
        <f t="shared" si="930"/>
        <v>4.218</v>
      </c>
      <c r="AL194">
        <v>-0.99257283114060346</v>
      </c>
      <c r="AM194">
        <v>-4.6457506965916204</v>
      </c>
      <c r="AN194">
        <v>-2.0673062349956046</v>
      </c>
      <c r="AO194">
        <v>0.72330881862056706</v>
      </c>
      <c r="AP194">
        <v>-0.68926831820039813</v>
      </c>
      <c r="AQ194">
        <v>4.1635783058740938E-2</v>
      </c>
      <c r="AR194">
        <v>0.26600000000000001</v>
      </c>
      <c r="AS194">
        <v>0.52</v>
      </c>
      <c r="AT194">
        <v>4.125</v>
      </c>
    </row>
    <row r="195" spans="5:46" x14ac:dyDescent="0.25">
      <c r="E195" s="170">
        <f t="shared" si="934"/>
        <v>-0.65428060761688123</v>
      </c>
      <c r="F195" s="170">
        <f t="shared" si="934"/>
        <v>0.73500506747521666</v>
      </c>
      <c r="G195" s="170">
        <f t="shared" si="934"/>
        <v>-0.1780012283166528</v>
      </c>
      <c r="H195" s="139"/>
      <c r="I195" s="86"/>
      <c r="J195" s="79">
        <f t="shared" si="930"/>
        <v>4.2210000000000001</v>
      </c>
      <c r="AL195">
        <v>-1.5777176134920003</v>
      </c>
      <c r="AM195">
        <v>-3.7459151014188836</v>
      </c>
      <c r="AN195">
        <v>-0.49870150408373654</v>
      </c>
      <c r="AO195">
        <v>0.71191811744193079</v>
      </c>
      <c r="AP195">
        <v>-0.64068868038085824</v>
      </c>
      <c r="AQ195">
        <v>0.28755974838243936</v>
      </c>
      <c r="AR195">
        <v>0.26600000000000001</v>
      </c>
      <c r="AS195">
        <v>0.52</v>
      </c>
      <c r="AT195">
        <v>4.218</v>
      </c>
    </row>
    <row r="196" spans="5:46" x14ac:dyDescent="0.25">
      <c r="E196" s="170">
        <f t="shared" si="934"/>
        <v>-0.40821764411847367</v>
      </c>
      <c r="F196" s="170">
        <f t="shared" si="934"/>
        <v>0.87542622523097635</v>
      </c>
      <c r="G196" s="170">
        <f t="shared" si="934"/>
        <v>-0.25881900859134599</v>
      </c>
      <c r="H196" s="139"/>
      <c r="I196" s="86"/>
      <c r="J196" s="79">
        <f t="shared" si="930"/>
        <v>5.1020000000000003</v>
      </c>
      <c r="AL196">
        <v>-1.7311942742041728</v>
      </c>
      <c r="AM196">
        <v>-4.1712290580316864</v>
      </c>
      <c r="AN196">
        <v>-1.135703425281531</v>
      </c>
      <c r="AO196">
        <v>0.65428060761688123</v>
      </c>
      <c r="AP196">
        <v>-0.73500506747521666</v>
      </c>
      <c r="AQ196">
        <v>0.1780012283166528</v>
      </c>
      <c r="AR196">
        <v>0.26600000000000001</v>
      </c>
      <c r="AS196">
        <v>0.52</v>
      </c>
      <c r="AT196">
        <v>4.2210000000000001</v>
      </c>
    </row>
    <row r="197" spans="5:46" x14ac:dyDescent="0.25">
      <c r="E197" s="170">
        <f t="shared" si="934"/>
        <v>-0.40821764411847383</v>
      </c>
      <c r="F197" s="170">
        <f t="shared" si="934"/>
        <v>0.87542622523097635</v>
      </c>
      <c r="G197" s="170">
        <f t="shared" si="934"/>
        <v>-0.25881900859134593</v>
      </c>
      <c r="H197" s="139"/>
      <c r="I197" s="86"/>
      <c r="J197" s="79">
        <f t="shared" si="930"/>
        <v>5.1050000000000004</v>
      </c>
      <c r="AL197">
        <v>-0.45877444745700119</v>
      </c>
      <c r="AM197">
        <v>-0.21392987635621602</v>
      </c>
      <c r="AN197">
        <v>-0.49460149171809903</v>
      </c>
      <c r="AO197">
        <v>0.40821764411847367</v>
      </c>
      <c r="AP197">
        <v>-0.87542622523097635</v>
      </c>
      <c r="AQ197">
        <v>0.25881900859134599</v>
      </c>
      <c r="AR197">
        <v>0.26600000000000001</v>
      </c>
      <c r="AS197">
        <v>0.52</v>
      </c>
      <c r="AT197">
        <v>5.1020000000000003</v>
      </c>
    </row>
    <row r="198" spans="5:46" x14ac:dyDescent="0.25">
      <c r="E198" s="170">
        <f t="shared" si="934"/>
        <v>-0.40821764411847355</v>
      </c>
      <c r="F198" s="170">
        <f t="shared" si="934"/>
        <v>0.87542622523097646</v>
      </c>
      <c r="G198" s="170">
        <f t="shared" si="934"/>
        <v>-0.25881900859134593</v>
      </c>
      <c r="H198" s="139"/>
      <c r="I198" s="86"/>
      <c r="J198" s="79">
        <f t="shared" si="930"/>
        <v>5.1079999999999997</v>
      </c>
      <c r="AL198">
        <v>-1.0269405895170447</v>
      </c>
      <c r="AM198">
        <v>-0.47886989905023347</v>
      </c>
      <c r="AN198">
        <v>-0.35560107249283468</v>
      </c>
      <c r="AO198">
        <v>0.40821764411847383</v>
      </c>
      <c r="AP198">
        <v>-0.87542622523097635</v>
      </c>
      <c r="AQ198">
        <v>0.25881900859134593</v>
      </c>
      <c r="AR198">
        <v>0.26600000000000001</v>
      </c>
      <c r="AS198">
        <v>0.52</v>
      </c>
      <c r="AT198">
        <v>5.1050000000000004</v>
      </c>
    </row>
    <row r="199" spans="5:46" x14ac:dyDescent="0.25">
      <c r="E199" s="170">
        <f t="shared" si="934"/>
        <v>-0.40821764411847389</v>
      </c>
      <c r="F199" s="170">
        <f t="shared" si="934"/>
        <v>0.87542622523097635</v>
      </c>
      <c r="G199" s="170">
        <f t="shared" si="934"/>
        <v>-0.25881900859134593</v>
      </c>
      <c r="H199" s="139"/>
      <c r="I199" s="86"/>
      <c r="J199" s="79">
        <f t="shared" si="930"/>
        <v>5.1109999999999998</v>
      </c>
      <c r="AL199">
        <v>-1.5950161005127943</v>
      </c>
      <c r="AM199">
        <v>-0.74376765981687964</v>
      </c>
      <c r="AN199">
        <v>-0.21660065326757019</v>
      </c>
      <c r="AO199">
        <v>0.40821764411847355</v>
      </c>
      <c r="AP199">
        <v>-0.87542622523097646</v>
      </c>
      <c r="AQ199">
        <v>0.25881900859134593</v>
      </c>
      <c r="AR199">
        <v>0.26600000000000001</v>
      </c>
      <c r="AS199">
        <v>0.52</v>
      </c>
      <c r="AT199">
        <v>5.1079999999999997</v>
      </c>
    </row>
    <row r="200" spans="5:46" x14ac:dyDescent="0.25">
      <c r="E200" s="170">
        <f t="shared" si="934"/>
        <v>-0.30169712290827616</v>
      </c>
      <c r="F200" s="170">
        <f t="shared" si="934"/>
        <v>0.90479042408671984</v>
      </c>
      <c r="G200" s="170">
        <f t="shared" si="934"/>
        <v>-0.30055471134194911</v>
      </c>
      <c r="H200" s="139"/>
      <c r="I200" s="86"/>
      <c r="J200" s="79">
        <f t="shared" si="930"/>
        <v>5.1139999999999999</v>
      </c>
      <c r="AL200">
        <v>-2.1631822425728378</v>
      </c>
      <c r="AM200">
        <v>-1.0087076825108976</v>
      </c>
      <c r="AN200">
        <v>-7.7600234042305788E-2</v>
      </c>
      <c r="AO200">
        <v>0.40821764411847389</v>
      </c>
      <c r="AP200">
        <v>-0.87542622523097635</v>
      </c>
      <c r="AQ200">
        <v>0.25881900859134593</v>
      </c>
      <c r="AR200">
        <v>0.26600000000000001</v>
      </c>
      <c r="AS200">
        <v>0.52</v>
      </c>
      <c r="AT200">
        <v>5.1109999999999998</v>
      </c>
    </row>
    <row r="201" spans="5:46" x14ac:dyDescent="0.25">
      <c r="E201" s="170">
        <f t="shared" si="934"/>
        <v>-0.14628326953715556</v>
      </c>
      <c r="F201" s="170">
        <f t="shared" si="934"/>
        <v>0.9482683753061949</v>
      </c>
      <c r="G201" s="170">
        <f t="shared" si="934"/>
        <v>-0.28175928280656409</v>
      </c>
      <c r="H201" s="139"/>
      <c r="I201" s="86"/>
      <c r="J201" s="79">
        <f t="shared" si="930"/>
        <v>5.117</v>
      </c>
      <c r="AL201">
        <v>-2.822933219612743</v>
      </c>
      <c r="AM201">
        <v>-1.2858888288691019</v>
      </c>
      <c r="AN201">
        <v>-6.4700195135788743E-2</v>
      </c>
      <c r="AO201">
        <v>0.30169712290827616</v>
      </c>
      <c r="AP201">
        <v>-0.90479042408671984</v>
      </c>
      <c r="AQ201">
        <v>0.30055471134194911</v>
      </c>
      <c r="AR201">
        <v>0.314</v>
      </c>
      <c r="AS201">
        <v>0.52</v>
      </c>
      <c r="AT201">
        <v>5.1139999999999999</v>
      </c>
    </row>
    <row r="202" spans="5:46" x14ac:dyDescent="0.25">
      <c r="E202" s="170">
        <f t="shared" si="934"/>
        <v>-1.817651968900022E-2</v>
      </c>
      <c r="F202" s="170">
        <f t="shared" si="934"/>
        <v>0.98149257301994197</v>
      </c>
      <c r="G202" s="170">
        <f t="shared" si="934"/>
        <v>-0.19063562951004004</v>
      </c>
      <c r="H202" s="139"/>
      <c r="I202" s="86"/>
      <c r="J202" s="79">
        <f t="shared" si="930"/>
        <v>5.12</v>
      </c>
      <c r="AL202">
        <v>-3.5160353547319176</v>
      </c>
      <c r="AM202">
        <v>-1.5544217636954232</v>
      </c>
      <c r="AN202">
        <v>-0.32950099377499747</v>
      </c>
      <c r="AO202">
        <v>0.14628326953715556</v>
      </c>
      <c r="AP202">
        <v>-0.9482683753061949</v>
      </c>
      <c r="AQ202">
        <v>0.28175928280656409</v>
      </c>
      <c r="AR202">
        <v>0.314</v>
      </c>
      <c r="AS202">
        <v>0.52</v>
      </c>
      <c r="AT202">
        <v>5.117</v>
      </c>
    </row>
    <row r="203" spans="5:46" x14ac:dyDescent="0.25">
      <c r="E203" s="170">
        <f t="shared" si="934"/>
        <v>9.1254119163691944E-2</v>
      </c>
      <c r="F203" s="170">
        <f t="shared" si="934"/>
        <v>0.99198789720688774</v>
      </c>
      <c r="G203" s="170">
        <f t="shared" si="934"/>
        <v>-8.7365310797341791E-2</v>
      </c>
      <c r="H203" s="139"/>
      <c r="I203" s="86"/>
      <c r="J203" s="79">
        <f t="shared" si="930"/>
        <v>5.1230000000000002</v>
      </c>
      <c r="AL203">
        <v>-4.0389724847650976</v>
      </c>
      <c r="AM203">
        <v>-1.739454995105389</v>
      </c>
      <c r="AN203">
        <v>-0.90140271863059862</v>
      </c>
      <c r="AO203">
        <v>1.817651968900022E-2</v>
      </c>
      <c r="AP203">
        <v>-0.98149257301994197</v>
      </c>
      <c r="AQ203">
        <v>0.19063562951004004</v>
      </c>
      <c r="AR203">
        <v>0.314</v>
      </c>
      <c r="AS203">
        <v>0.52</v>
      </c>
      <c r="AT203">
        <v>5.12</v>
      </c>
    </row>
    <row r="204" spans="5:46" x14ac:dyDescent="0.25">
      <c r="E204" s="170">
        <f t="shared" si="934"/>
        <v>0.14991493015585761</v>
      </c>
      <c r="F204" s="170">
        <f t="shared" si="934"/>
        <v>0.98782183377644062</v>
      </c>
      <c r="G204" s="170">
        <f t="shared" si="934"/>
        <v>-4.1635783058740841E-2</v>
      </c>
      <c r="H204" s="139"/>
      <c r="I204" s="86"/>
      <c r="J204" s="79">
        <f t="shared" si="930"/>
        <v>5.1260000000000003</v>
      </c>
      <c r="AL204">
        <v>-4.2726087032603894</v>
      </c>
      <c r="AM204">
        <v>-1.818015349426068</v>
      </c>
      <c r="AN204">
        <v>-1.6373049381116935</v>
      </c>
      <c r="AO204">
        <v>-9.1254119163691944E-2</v>
      </c>
      <c r="AP204">
        <v>-0.99198789720688774</v>
      </c>
      <c r="AQ204">
        <v>8.7365310797341791E-2</v>
      </c>
      <c r="AR204">
        <v>0.314</v>
      </c>
      <c r="AS204">
        <v>0.52</v>
      </c>
      <c r="AT204">
        <v>5.1230000000000002</v>
      </c>
    </row>
    <row r="205" spans="5:46" x14ac:dyDescent="0.25">
      <c r="E205" s="170">
        <f t="shared" si="934"/>
        <v>2.5277142144268516E-2</v>
      </c>
      <c r="F205" s="170">
        <f t="shared" si="934"/>
        <v>0.94297602051796336</v>
      </c>
      <c r="G205" s="170">
        <f t="shared" si="934"/>
        <v>-0.33189951915169169</v>
      </c>
      <c r="H205" s="139"/>
      <c r="I205" s="86"/>
      <c r="J205" s="79">
        <f t="shared" si="930"/>
        <v>5.2130000000000001</v>
      </c>
      <c r="AL205">
        <v>-4.375215414054761</v>
      </c>
      <c r="AM205">
        <v>-1.8508620803878466</v>
      </c>
      <c r="AN205">
        <v>-2.311606971806627</v>
      </c>
      <c r="AO205">
        <v>-0.14991493015585761</v>
      </c>
      <c r="AP205">
        <v>-0.98782183377644062</v>
      </c>
      <c r="AQ205">
        <v>4.1635783058740841E-2</v>
      </c>
      <c r="AR205">
        <v>0.26600000000000001</v>
      </c>
      <c r="AS205">
        <v>0.52</v>
      </c>
      <c r="AT205">
        <v>5.1260000000000003</v>
      </c>
    </row>
    <row r="206" spans="5:46" x14ac:dyDescent="0.25">
      <c r="E206" s="170">
        <f t="shared" si="934"/>
        <v>0.15745784627150508</v>
      </c>
      <c r="F206" s="170">
        <f t="shared" si="934"/>
        <v>0.95251671130668725</v>
      </c>
      <c r="G206" s="170">
        <f t="shared" si="934"/>
        <v>-0.26061262695623988</v>
      </c>
      <c r="H206" s="139"/>
      <c r="I206" s="86"/>
      <c r="J206" s="79">
        <f t="shared" si="930"/>
        <v>5.2160000000000002</v>
      </c>
      <c r="AL206">
        <v>-3.5535056578375568</v>
      </c>
      <c r="AM206">
        <v>-0.73395449958540071</v>
      </c>
      <c r="AN206">
        <v>-0.21210063969552928</v>
      </c>
      <c r="AO206">
        <v>-2.5277142144268516E-2</v>
      </c>
      <c r="AP206">
        <v>-0.94297602051796336</v>
      </c>
      <c r="AQ206">
        <v>0.33189951915169169</v>
      </c>
      <c r="AR206">
        <v>0.26600000000000001</v>
      </c>
      <c r="AS206">
        <v>0.52</v>
      </c>
      <c r="AT206">
        <v>5.2130000000000001</v>
      </c>
    </row>
    <row r="207" spans="5:46" x14ac:dyDescent="0.25">
      <c r="E207" s="170">
        <f t="shared" si="934"/>
        <v>0</v>
      </c>
      <c r="F207" s="170">
        <f t="shared" si="934"/>
        <v>0</v>
      </c>
      <c r="G207" s="170">
        <f t="shared" si="934"/>
        <v>-1</v>
      </c>
      <c r="H207" s="139"/>
      <c r="I207" s="86"/>
      <c r="J207" s="79">
        <f t="shared" si="930"/>
        <v>5.306</v>
      </c>
      <c r="AL207">
        <v>-4.1447721538033164</v>
      </c>
      <c r="AM207">
        <v>-0.91659614619419127</v>
      </c>
      <c r="AN207">
        <v>-0.6849020656646303</v>
      </c>
      <c r="AO207">
        <v>-0.15745784627150508</v>
      </c>
      <c r="AP207">
        <v>-0.95251671130668725</v>
      </c>
      <c r="AQ207">
        <v>0.26061262695623988</v>
      </c>
      <c r="AR207">
        <v>0.26600000000000001</v>
      </c>
      <c r="AS207">
        <v>0.52</v>
      </c>
      <c r="AT207">
        <v>5.2160000000000002</v>
      </c>
    </row>
    <row r="208" spans="5:46" x14ac:dyDescent="0.25">
      <c r="E208" s="170">
        <f t="shared" si="934"/>
        <v>0</v>
      </c>
      <c r="F208" s="170">
        <f t="shared" si="934"/>
        <v>0</v>
      </c>
      <c r="G208" s="170">
        <f t="shared" si="934"/>
        <v>-1</v>
      </c>
      <c r="H208" s="139"/>
      <c r="I208" s="86"/>
      <c r="J208" s="79">
        <f t="shared" si="930"/>
        <v>5.3090000000000002</v>
      </c>
      <c r="AL208">
        <v>-1.2900129768959896</v>
      </c>
      <c r="AM208">
        <v>0.36990609543497238</v>
      </c>
      <c r="AN208">
        <v>-0.37040000000000001</v>
      </c>
      <c r="AO208">
        <v>0</v>
      </c>
      <c r="AP208">
        <v>0</v>
      </c>
      <c r="AQ208">
        <v>1</v>
      </c>
      <c r="AR208">
        <v>0.26250000000000001</v>
      </c>
      <c r="AS208">
        <v>0.41199999999999998</v>
      </c>
      <c r="AT208">
        <v>5.306</v>
      </c>
    </row>
    <row r="209" spans="5:46" x14ac:dyDescent="0.25">
      <c r="E209" s="170">
        <f t="shared" si="934"/>
        <v>0.77709618322301321</v>
      </c>
      <c r="F209" s="170">
        <f t="shared" si="934"/>
        <v>0.13702268045702024</v>
      </c>
      <c r="G209" s="170">
        <f t="shared" si="934"/>
        <v>-0.61428520009894305</v>
      </c>
      <c r="H209" s="139"/>
      <c r="I209" s="86"/>
      <c r="J209" s="79">
        <f t="shared" si="930"/>
        <v>5.3220000000000001</v>
      </c>
      <c r="AL209">
        <v>-1.9659020411053669</v>
      </c>
      <c r="AM209">
        <v>0.10302972764086886</v>
      </c>
      <c r="AN209">
        <v>-0.2271</v>
      </c>
      <c r="AO209">
        <v>0</v>
      </c>
      <c r="AP209">
        <v>0</v>
      </c>
      <c r="AQ209">
        <v>1</v>
      </c>
      <c r="AR209">
        <v>0.26250000000000001</v>
      </c>
      <c r="AS209">
        <v>0.41199999999999998</v>
      </c>
      <c r="AT209">
        <v>5.3090000000000002</v>
      </c>
    </row>
    <row r="210" spans="5:46" x14ac:dyDescent="0.25">
      <c r="E210" s="170">
        <f t="shared" si="934"/>
        <v>0.55403240849710922</v>
      </c>
      <c r="F210" s="170">
        <f t="shared" si="934"/>
        <v>0.7912400464629461</v>
      </c>
      <c r="G210" s="170">
        <f t="shared" si="934"/>
        <v>-0.25881900859134593</v>
      </c>
      <c r="H210" s="139"/>
      <c r="I210" s="86"/>
      <c r="J210" s="79">
        <f t="shared" si="930"/>
        <v>6.1120000000000001</v>
      </c>
      <c r="AL210">
        <v>-4.5285403135222442</v>
      </c>
      <c r="AM210">
        <v>-0.79850184020066928</v>
      </c>
      <c r="AN210">
        <v>-1.3812999999999995</v>
      </c>
      <c r="AO210">
        <v>-0.77709618322301321</v>
      </c>
      <c r="AP210">
        <v>-0.13702268045702024</v>
      </c>
      <c r="AQ210">
        <v>0.61428520009894305</v>
      </c>
      <c r="AR210">
        <v>0.26250000000000001</v>
      </c>
      <c r="AS210">
        <v>0.41199999999999998</v>
      </c>
      <c r="AT210">
        <v>5.3220000000000001</v>
      </c>
    </row>
    <row r="211" spans="5:46" x14ac:dyDescent="0.25">
      <c r="E211" s="170">
        <f t="shared" si="934"/>
        <v>0.67514346681500004</v>
      </c>
      <c r="F211" s="170">
        <f t="shared" si="934"/>
        <v>0.67405704167051494</v>
      </c>
      <c r="G211" s="170">
        <f t="shared" si="934"/>
        <v>-0.2997138698682742</v>
      </c>
      <c r="H211" s="139"/>
      <c r="I211" s="86"/>
      <c r="J211" s="79">
        <f t="shared" si="930"/>
        <v>6.1150000000000002</v>
      </c>
      <c r="AL211">
        <v>-2.1262791678713646</v>
      </c>
      <c r="AM211">
        <v>1.4888371408640142</v>
      </c>
      <c r="AN211">
        <v>-3.1300094401084583E-2</v>
      </c>
      <c r="AO211">
        <v>-0.55403240849710922</v>
      </c>
      <c r="AP211">
        <v>-0.7912400464629461</v>
      </c>
      <c r="AQ211">
        <v>0.25881900859134593</v>
      </c>
      <c r="AR211">
        <v>0.26600000000000001</v>
      </c>
      <c r="AS211">
        <v>0.52</v>
      </c>
      <c r="AT211">
        <v>6.1120000000000001</v>
      </c>
    </row>
    <row r="212" spans="5:46" x14ac:dyDescent="0.25">
      <c r="E212" s="170">
        <f t="shared" si="934"/>
        <v>0.78511052167952189</v>
      </c>
      <c r="F212" s="170">
        <f t="shared" si="934"/>
        <v>0.56231542538625123</v>
      </c>
      <c r="G212" s="170">
        <f t="shared" si="934"/>
        <v>-0.259620552192596</v>
      </c>
      <c r="H212" s="139"/>
      <c r="I212" s="86"/>
      <c r="J212" s="79">
        <f t="shared" si="930"/>
        <v>6.1180000000000003</v>
      </c>
      <c r="AL212">
        <v>-2.7464149167334275</v>
      </c>
      <c r="AM212">
        <v>1.9756812465535174</v>
      </c>
      <c r="AN212">
        <v>-0.12130036584190333</v>
      </c>
      <c r="AO212">
        <v>-0.67514346681500004</v>
      </c>
      <c r="AP212">
        <v>-0.67405704167051494</v>
      </c>
      <c r="AQ212">
        <v>0.2997138698682742</v>
      </c>
      <c r="AR212">
        <v>0.314</v>
      </c>
      <c r="AS212">
        <v>0.52</v>
      </c>
      <c r="AT212">
        <v>6.1150000000000002</v>
      </c>
    </row>
    <row r="213" spans="5:46" x14ac:dyDescent="0.25">
      <c r="E213" s="170">
        <f t="shared" si="934"/>
        <v>0.86437646574707028</v>
      </c>
      <c r="F213" s="170">
        <f t="shared" si="934"/>
        <v>0.47789887463062986</v>
      </c>
      <c r="G213" s="170">
        <f t="shared" si="934"/>
        <v>-0.15641608321838746</v>
      </c>
      <c r="H213" s="139"/>
      <c r="I213" s="86"/>
      <c r="J213" s="79">
        <f t="shared" si="930"/>
        <v>6.1210000000000004</v>
      </c>
      <c r="AL213">
        <v>-3.2742303509847663</v>
      </c>
      <c r="AM213">
        <v>2.4104449718884831</v>
      </c>
      <c r="AN213">
        <v>-0.49730149986132383</v>
      </c>
      <c r="AO213">
        <v>-0.78511052167952189</v>
      </c>
      <c r="AP213">
        <v>-0.56231542538625123</v>
      </c>
      <c r="AQ213">
        <v>0.259620552192596</v>
      </c>
      <c r="AR213">
        <v>0.314</v>
      </c>
      <c r="AS213">
        <v>0.52</v>
      </c>
      <c r="AT213">
        <v>6.1180000000000003</v>
      </c>
    </row>
    <row r="214" spans="5:46" x14ac:dyDescent="0.25">
      <c r="E214" s="170">
        <f t="shared" ref="E214:G233" si="935">E69*-1</f>
        <v>0.92297348593687389</v>
      </c>
      <c r="F214" s="170">
        <f t="shared" si="935"/>
        <v>0.38265645082097782</v>
      </c>
      <c r="G214" s="170">
        <f t="shared" si="935"/>
        <v>-4.1158047847629983E-2</v>
      </c>
      <c r="H214" s="139"/>
      <c r="I214" s="86"/>
      <c r="J214" s="79">
        <f t="shared" si="930"/>
        <v>6.1239999999999997</v>
      </c>
      <c r="AL214">
        <v>-3.6154090592942922</v>
      </c>
      <c r="AM214">
        <v>2.7066411027371942</v>
      </c>
      <c r="AN214">
        <v>-1.1356034249799298</v>
      </c>
      <c r="AO214">
        <v>-0.86437646574707028</v>
      </c>
      <c r="AP214">
        <v>-0.47789887463062986</v>
      </c>
      <c r="AQ214">
        <v>0.15641608321838746</v>
      </c>
      <c r="AR214">
        <v>0.314</v>
      </c>
      <c r="AS214">
        <v>0.52</v>
      </c>
      <c r="AT214">
        <v>6.1210000000000004</v>
      </c>
    </row>
    <row r="215" spans="5:46" x14ac:dyDescent="0.25">
      <c r="E215" s="170">
        <f t="shared" si="935"/>
        <v>0.93043621249346975</v>
      </c>
      <c r="F215" s="170">
        <f t="shared" si="935"/>
        <v>0.36408091964547185</v>
      </c>
      <c r="G215" s="170">
        <f t="shared" si="935"/>
        <v>-4.1635783058741119E-2</v>
      </c>
      <c r="H215" s="139"/>
      <c r="I215" s="86"/>
      <c r="J215" s="79">
        <f t="shared" si="930"/>
        <v>6.1269999999999998</v>
      </c>
      <c r="AL215">
        <v>-3.7205635827157058</v>
      </c>
      <c r="AM215">
        <v>2.8005934507214802</v>
      </c>
      <c r="AN215">
        <v>-1.8942057129244305</v>
      </c>
      <c r="AO215">
        <v>-0.92297348593687389</v>
      </c>
      <c r="AP215">
        <v>-0.38265645082097782</v>
      </c>
      <c r="AQ215">
        <v>4.1158047847629983E-2</v>
      </c>
      <c r="AR215">
        <v>0.314</v>
      </c>
      <c r="AS215">
        <v>0.52</v>
      </c>
      <c r="AT215">
        <v>6.1239999999999997</v>
      </c>
    </row>
    <row r="216" spans="5:46" x14ac:dyDescent="0.25">
      <c r="E216" s="170">
        <f t="shared" si="935"/>
        <v>0.85770611783369277</v>
      </c>
      <c r="F216" s="170">
        <f t="shared" si="935"/>
        <v>0.43006037016096493</v>
      </c>
      <c r="G216" s="170">
        <f t="shared" si="935"/>
        <v>-0.2817592828065642</v>
      </c>
      <c r="H216" s="139"/>
      <c r="I216" s="86"/>
      <c r="J216" s="79">
        <f t="shared" si="930"/>
        <v>6.2169999999999996</v>
      </c>
      <c r="AL216">
        <v>-3.7905017029477457</v>
      </c>
      <c r="AM216">
        <v>2.863616048418876</v>
      </c>
      <c r="AN216">
        <v>-2.5459075821466182</v>
      </c>
      <c r="AO216">
        <v>-0.93043621249346975</v>
      </c>
      <c r="AP216">
        <v>-0.36408091964547185</v>
      </c>
      <c r="AQ216">
        <v>4.1635783058741119E-2</v>
      </c>
      <c r="AR216">
        <v>0.26600000000000001</v>
      </c>
      <c r="AS216">
        <v>0.52</v>
      </c>
      <c r="AT216">
        <v>6.1269999999999998</v>
      </c>
    </row>
    <row r="217" spans="5:46" x14ac:dyDescent="0.25">
      <c r="E217" s="170">
        <f t="shared" si="935"/>
        <v>0.92216045965376481</v>
      </c>
      <c r="F217" s="170">
        <f t="shared" si="935"/>
        <v>0.33656818538368766</v>
      </c>
      <c r="G217" s="170">
        <f t="shared" si="935"/>
        <v>-0.19063562951003934</v>
      </c>
      <c r="H217" s="139"/>
      <c r="I217" s="86"/>
      <c r="J217" s="79">
        <f t="shared" si="930"/>
        <v>6.22</v>
      </c>
      <c r="AL217">
        <v>-2.5572545620202969</v>
      </c>
      <c r="AM217">
        <v>2.8691918319390912</v>
      </c>
      <c r="AN217">
        <v>-0.33100099829901103</v>
      </c>
      <c r="AO217">
        <v>-0.85770611783369277</v>
      </c>
      <c r="AP217">
        <v>-0.43006037016096493</v>
      </c>
      <c r="AQ217">
        <v>0.2817592828065642</v>
      </c>
      <c r="AR217">
        <v>0.26600000000000001</v>
      </c>
      <c r="AS217">
        <v>0.52</v>
      </c>
      <c r="AT217">
        <v>6.2169999999999996</v>
      </c>
    </row>
    <row r="218" spans="5:46" x14ac:dyDescent="0.25">
      <c r="E218" s="170">
        <f t="shared" si="935"/>
        <v>0.54511462036541736</v>
      </c>
      <c r="F218" s="170">
        <f t="shared" si="935"/>
        <v>-0.64964268952894855</v>
      </c>
      <c r="G218" s="170">
        <f t="shared" si="935"/>
        <v>-0.5299192642332049</v>
      </c>
      <c r="H218" s="139"/>
      <c r="I218" s="86"/>
      <c r="J218" s="79">
        <f t="shared" si="930"/>
        <v>6.3230000000000004</v>
      </c>
      <c r="AL218">
        <v>-2.9589460990807068</v>
      </c>
      <c r="AM218">
        <v>3.2529803849410732</v>
      </c>
      <c r="AN218">
        <v>-0.90150271893220069</v>
      </c>
      <c r="AO218">
        <v>-0.92216045965376481</v>
      </c>
      <c r="AP218">
        <v>-0.33656818538368766</v>
      </c>
      <c r="AQ218">
        <v>0.19063562951003934</v>
      </c>
      <c r="AR218">
        <v>0.26600000000000001</v>
      </c>
      <c r="AS218">
        <v>0.52</v>
      </c>
      <c r="AT218">
        <v>6.22</v>
      </c>
    </row>
    <row r="219" spans="5:46" x14ac:dyDescent="0.25">
      <c r="E219" s="170">
        <f t="shared" si="935"/>
        <v>0</v>
      </c>
      <c r="F219" s="170">
        <f t="shared" si="935"/>
        <v>0</v>
      </c>
      <c r="G219" s="170">
        <f t="shared" si="935"/>
        <v>0</v>
      </c>
      <c r="H219" s="139"/>
      <c r="I219" s="86"/>
      <c r="J219" s="79">
        <f t="shared" ref="J219:J282" si="936">J74</f>
        <v>0</v>
      </c>
      <c r="AL219">
        <v>-2.9821478064574669</v>
      </c>
      <c r="AM219">
        <v>3.5539874536133249</v>
      </c>
      <c r="AN219">
        <v>-1.6396999999999999</v>
      </c>
      <c r="AO219">
        <v>-0.54511462036541736</v>
      </c>
      <c r="AP219">
        <v>0.64964268952894855</v>
      </c>
      <c r="AQ219">
        <v>0.5299192642332049</v>
      </c>
      <c r="AR219">
        <v>0.26250000000000001</v>
      </c>
      <c r="AS219">
        <v>0.41199999999999998</v>
      </c>
      <c r="AT219">
        <v>6.3230000000000004</v>
      </c>
    </row>
    <row r="220" spans="5:46" x14ac:dyDescent="0.25">
      <c r="E220" s="170">
        <f t="shared" si="935"/>
        <v>0</v>
      </c>
      <c r="F220" s="170">
        <f t="shared" si="935"/>
        <v>0</v>
      </c>
      <c r="G220" s="170">
        <f t="shared" si="935"/>
        <v>0</v>
      </c>
      <c r="H220" s="139"/>
      <c r="I220" s="86"/>
      <c r="J220" s="79">
        <f t="shared" si="936"/>
        <v>0</v>
      </c>
    </row>
    <row r="221" spans="5:46" x14ac:dyDescent="0.25">
      <c r="E221" s="170">
        <f t="shared" si="935"/>
        <v>0</v>
      </c>
      <c r="F221" s="170">
        <f t="shared" si="935"/>
        <v>0</v>
      </c>
      <c r="G221" s="170">
        <f t="shared" si="935"/>
        <v>0</v>
      </c>
      <c r="H221" s="139"/>
      <c r="I221" s="86"/>
      <c r="J221" s="79">
        <f t="shared" si="936"/>
        <v>0</v>
      </c>
    </row>
    <row r="222" spans="5:46" x14ac:dyDescent="0.25">
      <c r="E222" s="170">
        <f t="shared" si="935"/>
        <v>0</v>
      </c>
      <c r="F222" s="170">
        <f t="shared" si="935"/>
        <v>0</v>
      </c>
      <c r="G222" s="170">
        <f t="shared" si="935"/>
        <v>0</v>
      </c>
      <c r="H222" s="139"/>
      <c r="I222" s="86"/>
      <c r="J222" s="79">
        <f t="shared" si="936"/>
        <v>0</v>
      </c>
    </row>
    <row r="223" spans="5:46" x14ac:dyDescent="0.25">
      <c r="E223" s="170">
        <f t="shared" si="935"/>
        <v>0</v>
      </c>
      <c r="F223" s="170">
        <f t="shared" si="935"/>
        <v>0</v>
      </c>
      <c r="G223" s="170">
        <f t="shared" si="935"/>
        <v>0</v>
      </c>
      <c r="H223" s="139"/>
      <c r="I223" s="86"/>
      <c r="J223" s="79">
        <f t="shared" si="936"/>
        <v>0</v>
      </c>
    </row>
    <row r="224" spans="5:46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</row>
    <row r="225" spans="5:10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</row>
    <row r="226" spans="5:10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</row>
    <row r="227" spans="5:10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</row>
    <row r="228" spans="5:10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</row>
    <row r="229" spans="5:10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</row>
    <row r="230" spans="5:10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</row>
    <row r="231" spans="5:10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</row>
    <row r="232" spans="5:10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</row>
    <row r="233" spans="5:10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</row>
    <row r="234" spans="5:10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</row>
    <row r="235" spans="5:10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</mergeCells>
  <conditionalFormatting sqref="HI9:HI40 HM9:HM40 AV9:AV40 AV54:AV150 HM54:HM150 HI54:HI150 M9:M150">
    <cfRule type="cellIs" dxfId="39" priority="136" stopIfTrue="1" operator="between">
      <formula>9</formula>
      <formula>9.99</formula>
    </cfRule>
    <cfRule type="cellIs" dxfId="38" priority="137" stopIfTrue="1" operator="between">
      <formula>8</formula>
      <formula>8.99</formula>
    </cfRule>
    <cfRule type="cellIs" dxfId="37" priority="138" stopIfTrue="1" operator="between">
      <formula>7</formula>
      <formula>7.99</formula>
    </cfRule>
    <cfRule type="cellIs" dxfId="36" priority="139" stopIfTrue="1" operator="between">
      <formula>6</formula>
      <formula>6.99</formula>
    </cfRule>
    <cfRule type="cellIs" dxfId="35" priority="140" stopIfTrue="1" operator="between">
      <formula>5</formula>
      <formula>5.99</formula>
    </cfRule>
    <cfRule type="cellIs" dxfId="34" priority="141" stopIfTrue="1" operator="between">
      <formula>4</formula>
      <formula>4.99</formula>
    </cfRule>
    <cfRule type="cellIs" dxfId="33" priority="142" stopIfTrue="1" operator="between">
      <formula>3</formula>
      <formula>3.99</formula>
    </cfRule>
    <cfRule type="cellIs" dxfId="32" priority="143" stopIfTrue="1" operator="between">
      <formula>2</formula>
      <formula>2.99</formula>
    </cfRule>
    <cfRule type="cellIs" dxfId="31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0" priority="22" stopIfTrue="1" operator="between">
      <formula>9</formula>
      <formula>9.99</formula>
    </cfRule>
    <cfRule type="cellIs" dxfId="29" priority="23" stopIfTrue="1" operator="between">
      <formula>8</formula>
      <formula>8.99</formula>
    </cfRule>
    <cfRule type="cellIs" dxfId="28" priority="24" stopIfTrue="1" operator="between">
      <formula>7</formula>
      <formula>7.99</formula>
    </cfRule>
    <cfRule type="cellIs" dxfId="27" priority="25" stopIfTrue="1" operator="between">
      <formula>6</formula>
      <formula>6.99</formula>
    </cfRule>
    <cfRule type="cellIs" dxfId="26" priority="26" stopIfTrue="1" operator="between">
      <formula>5</formula>
      <formula>5.99</formula>
    </cfRule>
    <cfRule type="cellIs" dxfId="25" priority="27" stopIfTrue="1" operator="between">
      <formula>4</formula>
      <formula>4.99</formula>
    </cfRule>
    <cfRule type="cellIs" dxfId="24" priority="28" stopIfTrue="1" operator="between">
      <formula>3</formula>
      <formula>3.99</formula>
    </cfRule>
    <cfRule type="cellIs" dxfId="23" priority="29" stopIfTrue="1" operator="between">
      <formula>2</formula>
      <formula>2.99</formula>
    </cfRule>
    <cfRule type="cellIs" dxfId="22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BF5565E6-27B5-4148-8746-1A28472AC7B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2735A2F6-9058-427D-BB88-37D2C19F1152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29" t="str">
        <f>CONCATENATE(Settings!$C$19," ",Settings!$B$28)</f>
        <v>9.875  Job# --- Assy# --- Post Braze --- yy.mm.dd</v>
      </c>
      <c r="D1" s="1229"/>
      <c r="E1" s="1229"/>
      <c r="F1" s="1229"/>
      <c r="G1" s="1229"/>
      <c r="H1" s="1229"/>
      <c r="I1" s="1229"/>
      <c r="J1" s="1229"/>
      <c r="K1" s="1229"/>
      <c r="M1" s="107" t="s">
        <v>319</v>
      </c>
      <c r="N1" s="1261" t="s">
        <v>321</v>
      </c>
      <c r="O1" s="1261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270" t="str">
        <f>Settings!B28</f>
        <v xml:space="preserve"> Job# --- Assy# --- Post Braze --- yy.mm.dd</v>
      </c>
      <c r="C2" s="1271"/>
      <c r="D2" s="1271"/>
      <c r="E2" s="1271"/>
      <c r="F2" s="1271"/>
      <c r="G2" s="1271"/>
      <c r="H2" s="1271"/>
      <c r="I2" s="1271"/>
      <c r="J2" s="1271"/>
      <c r="K2" s="1272"/>
      <c r="L2" s="984" t="str" cm="1">
        <f t="array" ref="L2">IF(OR($K$9:$K$150="Undefined"),"Undefined Element","")</f>
        <v/>
      </c>
      <c r="M2" s="1267" t="s">
        <v>0</v>
      </c>
      <c r="N2" s="1142" t="s">
        <v>1</v>
      </c>
      <c r="O2" s="1143"/>
      <c r="P2" s="1143"/>
      <c r="Q2" s="1143"/>
      <c r="R2" s="1143"/>
      <c r="S2" s="1143"/>
      <c r="T2" s="1143"/>
      <c r="U2" s="1143"/>
      <c r="V2" s="1143"/>
      <c r="W2" s="1143"/>
      <c r="X2" s="1143"/>
      <c r="Y2" s="1155"/>
      <c r="Z2" s="1142" t="s">
        <v>2</v>
      </c>
      <c r="AA2" s="1143"/>
      <c r="AB2" s="1143"/>
      <c r="AC2" s="1143"/>
      <c r="AD2" s="1143"/>
      <c r="AE2" s="1143"/>
      <c r="AF2" s="1143"/>
      <c r="AG2" s="1143"/>
      <c r="AH2" s="1143"/>
      <c r="AI2" s="1143"/>
      <c r="AJ2" s="1143"/>
      <c r="AK2" s="1143"/>
      <c r="AL2" s="1143"/>
      <c r="AM2" s="1143"/>
      <c r="AN2" s="1143"/>
      <c r="AO2" s="1143"/>
      <c r="AP2" s="1143"/>
      <c r="AQ2" s="1144"/>
      <c r="AS2" s="1205" t="s">
        <v>44</v>
      </c>
      <c r="AT2" s="1206"/>
      <c r="AV2" s="1283" t="str">
        <f>M2</f>
        <v>CS-Name</v>
      </c>
      <c r="AW2" s="1297"/>
      <c r="AX2" s="1297"/>
      <c r="AY2" s="1297"/>
      <c r="AZ2" s="1297"/>
      <c r="BA2" s="1297"/>
      <c r="BB2" s="1297"/>
      <c r="BC2" s="1298"/>
      <c r="BF2" s="1290" t="s">
        <v>322</v>
      </c>
      <c r="BG2" s="1291"/>
      <c r="BH2" s="1291"/>
      <c r="BI2" s="1291"/>
      <c r="BJ2" s="1291"/>
      <c r="BK2" s="1292"/>
      <c r="BM2" s="1307" t="s">
        <v>279</v>
      </c>
      <c r="BN2" s="1223"/>
      <c r="BO2" s="1223"/>
      <c r="BP2" s="1224"/>
      <c r="BR2" s="1307" t="s">
        <v>279</v>
      </c>
      <c r="BS2" s="1223"/>
      <c r="BT2" s="1223"/>
      <c r="BU2" s="1224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234"/>
      <c r="C3" s="1235"/>
      <c r="D3" s="1235"/>
      <c r="E3" s="1235"/>
      <c r="F3" s="1235"/>
      <c r="G3" s="1235"/>
      <c r="H3" s="1235"/>
      <c r="I3" s="1235"/>
      <c r="J3" s="1235"/>
      <c r="K3" s="1236"/>
      <c r="L3" s="984"/>
      <c r="M3" s="1268"/>
      <c r="N3" s="1145"/>
      <c r="O3" s="1146"/>
      <c r="P3" s="1146"/>
      <c r="Q3" s="1146"/>
      <c r="R3" s="1146"/>
      <c r="S3" s="1146"/>
      <c r="T3" s="1146"/>
      <c r="U3" s="1146"/>
      <c r="V3" s="1146"/>
      <c r="W3" s="1146"/>
      <c r="X3" s="1146"/>
      <c r="Y3" s="1202"/>
      <c r="Z3" s="1048"/>
      <c r="AA3" s="1049"/>
      <c r="AB3" s="1049"/>
      <c r="AC3" s="1049"/>
      <c r="AD3" s="1049"/>
      <c r="AE3" s="1049"/>
      <c r="AF3" s="1049"/>
      <c r="AG3" s="1049"/>
      <c r="AH3" s="1049"/>
      <c r="AI3" s="1049"/>
      <c r="AJ3" s="1049"/>
      <c r="AK3" s="1049"/>
      <c r="AL3" s="1049"/>
      <c r="AM3" s="1049"/>
      <c r="AN3" s="1049"/>
      <c r="AO3" s="1049"/>
      <c r="AP3" s="1049"/>
      <c r="AQ3" s="1163"/>
      <c r="AS3" s="466">
        <v>100</v>
      </c>
      <c r="AT3" s="463" t="s">
        <v>45</v>
      </c>
      <c r="AV3" s="1284"/>
      <c r="AW3" s="1299"/>
      <c r="AX3" s="1299"/>
      <c r="AY3" s="1299"/>
      <c r="AZ3" s="1299"/>
      <c r="BA3" s="1299"/>
      <c r="BB3" s="1299"/>
      <c r="BC3" s="1300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08" t="s">
        <v>316</v>
      </c>
      <c r="C4" s="913"/>
      <c r="D4" s="913"/>
      <c r="E4" s="913"/>
      <c r="F4" s="913"/>
      <c r="G4" s="913"/>
      <c r="H4" s="913"/>
      <c r="I4" s="913"/>
      <c r="J4" s="913"/>
      <c r="K4" s="1273"/>
      <c r="L4" s="984"/>
      <c r="M4" s="1268"/>
      <c r="N4" s="1186" t="s">
        <v>3</v>
      </c>
      <c r="O4" s="1184"/>
      <c r="P4" s="1184"/>
      <c r="Q4" s="1183" t="s">
        <v>4</v>
      </c>
      <c r="R4" s="1184"/>
      <c r="S4" s="1185"/>
      <c r="T4" s="1258" t="str">
        <f>N4</f>
        <v>Cartesian Coordinates</v>
      </c>
      <c r="U4" s="1167"/>
      <c r="V4" s="1259"/>
      <c r="W4" s="1167" t="str">
        <f>Q4</f>
        <v>Polar XY; Cartesian Z</v>
      </c>
      <c r="X4" s="1167"/>
      <c r="Y4" s="1233"/>
      <c r="Z4" s="1263" t="s">
        <v>3</v>
      </c>
      <c r="AA4" s="1264"/>
      <c r="AB4" s="1264"/>
      <c r="AC4" s="1264"/>
      <c r="AD4" s="1264"/>
      <c r="AE4" s="1264"/>
      <c r="AF4" s="1264"/>
      <c r="AG4" s="1303" t="s">
        <v>31</v>
      </c>
      <c r="AH4" s="1264"/>
      <c r="AI4" s="1264"/>
      <c r="AJ4" s="1304"/>
      <c r="AK4" s="1310" t="s">
        <v>32</v>
      </c>
      <c r="AL4" s="1311"/>
      <c r="AM4" s="1311"/>
      <c r="AN4" s="1311"/>
      <c r="AO4" s="1311"/>
      <c r="AP4" s="1311"/>
      <c r="AQ4" s="1312"/>
      <c r="AS4" s="467">
        <v>125</v>
      </c>
      <c r="AT4" s="464" t="s">
        <v>46</v>
      </c>
      <c r="AV4" s="1284"/>
      <c r="AW4" s="1301"/>
      <c r="AX4" s="1301"/>
      <c r="AY4" s="1301"/>
      <c r="AZ4" s="1302"/>
      <c r="BA4" s="1301" t="str">
        <f>Z2</f>
        <v>PDC Orientation</v>
      </c>
      <c r="BB4" s="1301"/>
      <c r="BC4" s="1302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900" t="s">
        <v>381</v>
      </c>
      <c r="IF4" s="900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234" t="str">
        <f>CONCATENATE(B7," ; ",E7," ; ",H8)</f>
        <v>Absolute-Point ; Incremental-Vector Point ; Radius</v>
      </c>
      <c r="C5" s="1235"/>
      <c r="D5" s="1235"/>
      <c r="E5" s="1235"/>
      <c r="F5" s="1235"/>
      <c r="G5" s="1235"/>
      <c r="H5" s="1235"/>
      <c r="I5" s="1235"/>
      <c r="J5" s="1235"/>
      <c r="K5" s="1236"/>
      <c r="L5" s="843"/>
      <c r="M5" s="1268"/>
      <c r="N5" s="1191" t="s">
        <v>5</v>
      </c>
      <c r="O5" s="1152"/>
      <c r="P5" s="1152"/>
      <c r="Q5" s="1219" t="s">
        <v>6</v>
      </c>
      <c r="R5" s="1152"/>
      <c r="S5" s="1153"/>
      <c r="T5" s="1136" t="str">
        <f>CONCATENATE("Relative to ",M8,"'s θ &amp; Z; Z Axis")</f>
        <v>Relative to 's θ &amp; Z; Z Axis</v>
      </c>
      <c r="U5" s="1137"/>
      <c r="V5" s="1138"/>
      <c r="W5" s="1137" t="str">
        <f>CONCATENATE("Relative to ",M8,"'s θ &amp; Z; Z Axis")</f>
        <v>Relative to 's θ &amp; Z; Z Axis</v>
      </c>
      <c r="X5" s="1137"/>
      <c r="Y5" s="1260"/>
      <c r="Z5" s="1250" t="str">
        <f>N5</f>
        <v>Relative to World_CS</v>
      </c>
      <c r="AA5" s="1137"/>
      <c r="AB5" s="1137"/>
      <c r="AC5" s="1137"/>
      <c r="AD5" s="1137"/>
      <c r="AE5" s="1137"/>
      <c r="AF5" s="1137"/>
      <c r="AG5" s="1136" t="str">
        <f>N5</f>
        <v>Relative to World_CS</v>
      </c>
      <c r="AH5" s="1137"/>
      <c r="AI5" s="1137"/>
      <c r="AJ5" s="1174"/>
      <c r="AK5" s="1151" t="s">
        <v>7</v>
      </c>
      <c r="AL5" s="1152"/>
      <c r="AM5" s="1152"/>
      <c r="AN5" s="1152"/>
      <c r="AO5" s="1152"/>
      <c r="AP5" s="1152"/>
      <c r="AQ5" s="1153"/>
      <c r="AS5" s="171">
        <f>(((AS4*12)/60)/AS3)</f>
        <v>0.25</v>
      </c>
      <c r="AT5" s="464" t="s">
        <v>47</v>
      </c>
      <c r="AV5" s="1284"/>
      <c r="AW5" s="1258" t="str">
        <f>W4</f>
        <v>Polar XY; Cartesian Z</v>
      </c>
      <c r="AX5" s="1167"/>
      <c r="AY5" s="1167"/>
      <c r="AZ5" s="985" t="s">
        <v>104</v>
      </c>
      <c r="BA5" s="1167" t="str">
        <f>AK4</f>
        <v>Polar Z Projection → XZ Plane</v>
      </c>
      <c r="BB5" s="1167"/>
      <c r="BC5" s="1168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37"/>
      <c r="C6" s="1238"/>
      <c r="D6" s="1238"/>
      <c r="E6" s="1238"/>
      <c r="F6" s="1238"/>
      <c r="G6" s="1238"/>
      <c r="H6" s="1238"/>
      <c r="I6" s="1238"/>
      <c r="J6" s="1238"/>
      <c r="K6" s="1239"/>
      <c r="L6" s="984" t="str" cm="1">
        <f t="array" ref="L6">IF(OR($K$9:$K$150="Inactive"),"Inactive Element","")</f>
        <v/>
      </c>
      <c r="M6" s="1268"/>
      <c r="N6" s="1187" t="s">
        <v>8</v>
      </c>
      <c r="O6" s="1189" t="s">
        <v>9</v>
      </c>
      <c r="P6" s="1217" t="s">
        <v>10</v>
      </c>
      <c r="Q6" s="1192" t="s">
        <v>11</v>
      </c>
      <c r="R6" s="1193"/>
      <c r="S6" s="1180" t="s">
        <v>10</v>
      </c>
      <c r="T6" s="1213" t="str">
        <f>N6</f>
        <v>X</v>
      </c>
      <c r="U6" s="1215" t="str">
        <f>O6</f>
        <v>Y</v>
      </c>
      <c r="V6" s="1256" t="str">
        <f>P6</f>
        <v>Z</v>
      </c>
      <c r="W6" s="1169" t="str">
        <f>Q6</f>
        <v>Projected XY</v>
      </c>
      <c r="X6" s="1170"/>
      <c r="Y6" s="1211" t="str">
        <f>S6</f>
        <v>Z</v>
      </c>
      <c r="Z6" s="1197" t="s">
        <v>12</v>
      </c>
      <c r="AA6" s="1198"/>
      <c r="AB6" s="1198"/>
      <c r="AC6" s="1199"/>
      <c r="AD6" s="1183" t="s">
        <v>13</v>
      </c>
      <c r="AE6" s="1184"/>
      <c r="AF6" s="1184"/>
      <c r="AG6" s="1196" t="s">
        <v>7</v>
      </c>
      <c r="AH6" s="1184"/>
      <c r="AI6" s="1183" t="s">
        <v>14</v>
      </c>
      <c r="AJ6" s="1185"/>
      <c r="AK6" s="1258" t="str">
        <f>AD6</f>
        <v>Unit Vector</v>
      </c>
      <c r="AL6" s="1167"/>
      <c r="AM6" s="1168"/>
      <c r="AN6" s="34" t="s">
        <v>15</v>
      </c>
      <c r="AO6" s="35" t="s">
        <v>16</v>
      </c>
      <c r="AP6" s="737" t="s">
        <v>17</v>
      </c>
      <c r="AQ6" s="1265" t="s">
        <v>108</v>
      </c>
      <c r="AS6" s="172">
        <f>(AS5/360)</f>
        <v>6.9444444444444447E-4</v>
      </c>
      <c r="AT6" s="465" t="s">
        <v>48</v>
      </c>
      <c r="AV6" s="1284"/>
      <c r="AW6" s="1136" t="str">
        <f>W5</f>
        <v>Relative to 's θ &amp; Z; Z Axis</v>
      </c>
      <c r="AX6" s="1137"/>
      <c r="AY6" s="1137"/>
      <c r="AZ6" s="1280"/>
      <c r="BA6" s="1137" t="str">
        <f>AK5</f>
        <v>Vector Along X Axis</v>
      </c>
      <c r="BB6" s="1137"/>
      <c r="BC6" s="1174"/>
      <c r="BD6" s="468"/>
      <c r="BF6" s="461">
        <f>SUM(AZ9:AZ150)</f>
        <v>0</v>
      </c>
      <c r="BG6" s="1262" t="s">
        <v>318</v>
      </c>
      <c r="BH6" s="1262"/>
      <c r="BI6" s="1262"/>
      <c r="BJ6" s="1262"/>
      <c r="BK6" s="1262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251" t="s">
        <v>40</v>
      </c>
      <c r="C7" s="1252"/>
      <c r="D7" s="1253"/>
      <c r="E7" s="1254" t="s">
        <v>41</v>
      </c>
      <c r="F7" s="1252"/>
      <c r="G7" s="1255"/>
      <c r="H7" s="880" t="s">
        <v>314</v>
      </c>
      <c r="I7" s="878"/>
      <c r="J7" s="879"/>
      <c r="K7" s="539"/>
      <c r="L7" s="984"/>
      <c r="M7" s="1269"/>
      <c r="N7" s="1188"/>
      <c r="O7" s="1190"/>
      <c r="P7" s="1218"/>
      <c r="Q7" s="36" t="s">
        <v>18</v>
      </c>
      <c r="R7" s="2" t="s">
        <v>19</v>
      </c>
      <c r="S7" s="1181"/>
      <c r="T7" s="1214"/>
      <c r="U7" s="1216"/>
      <c r="V7" s="1257"/>
      <c r="W7" s="37" t="str">
        <f>Q7</f>
        <v>&lt; θ°</v>
      </c>
      <c r="X7" s="27" t="str">
        <f>R7</f>
        <v>r</v>
      </c>
      <c r="Y7" s="1212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66"/>
      <c r="AS7" s="1305" t="s">
        <v>54</v>
      </c>
      <c r="AT7" s="1308" t="s">
        <v>53</v>
      </c>
      <c r="AV7" s="1284"/>
      <c r="AW7" s="1279" t="str">
        <f>$W$6</f>
        <v>Projected XY</v>
      </c>
      <c r="AX7" s="1170"/>
      <c r="AY7" s="1281" t="str">
        <f>$Y$6</f>
        <v>Z</v>
      </c>
      <c r="AZ7" s="1280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62"/>
      <c r="BH7" s="1262"/>
      <c r="BI7" s="1262"/>
      <c r="BJ7" s="1262"/>
      <c r="BK7" s="1262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886" t="s">
        <v>33</v>
      </c>
      <c r="IH7" s="976" t="s">
        <v>385</v>
      </c>
      <c r="II7" s="882" t="s">
        <v>333</v>
      </c>
      <c r="IJ7" s="883"/>
      <c r="IK7" s="883"/>
      <c r="IL7" s="878"/>
      <c r="IM7" s="878"/>
      <c r="IN7" s="878"/>
      <c r="IO7" s="879"/>
      <c r="IP7" s="880" t="s">
        <v>329</v>
      </c>
      <c r="IQ7" s="878"/>
      <c r="IR7" s="878"/>
      <c r="IS7" s="878"/>
      <c r="IT7" s="878"/>
      <c r="IU7" s="880" t="s">
        <v>328</v>
      </c>
      <c r="IV7" s="878"/>
      <c r="IW7" s="878"/>
      <c r="IX7" s="878"/>
      <c r="IY7" s="879"/>
      <c r="JA7" s="784"/>
      <c r="JB7" s="1313" t="s">
        <v>364</v>
      </c>
      <c r="JC7" s="1220"/>
      <c r="JD7" s="1220"/>
      <c r="JE7" s="1221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84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306"/>
      <c r="AT8" s="1309"/>
      <c r="AV8" s="1285"/>
      <c r="AW8" s="46" t="str">
        <f>$W$7</f>
        <v>&lt; θ°</v>
      </c>
      <c r="AX8" s="27" t="str">
        <f>$X$7</f>
        <v>r</v>
      </c>
      <c r="AY8" s="1282"/>
      <c r="AZ8" s="986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978"/>
      <c r="IH8" s="977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1222" t="s">
        <v>365</v>
      </c>
      <c r="JC19" s="1223"/>
      <c r="JD19" s="1223"/>
      <c r="JE19" s="1223"/>
      <c r="JF19" s="1223"/>
      <c r="JG19" s="1223"/>
      <c r="JH19" s="1223"/>
      <c r="JI19" s="1224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1225" t="s">
        <v>369</v>
      </c>
      <c r="JC20" s="1226"/>
      <c r="JD20" s="1226"/>
      <c r="JE20" s="1226"/>
      <c r="JF20" s="979" t="s">
        <v>370</v>
      </c>
      <c r="JG20" s="980"/>
      <c r="JH20" s="980"/>
      <c r="JI20" s="981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1097"/>
      <c r="JC21" s="1098"/>
      <c r="JD21" s="1098"/>
      <c r="JE21" s="1098"/>
      <c r="JF21" s="982" t="s">
        <v>358</v>
      </c>
      <c r="JG21" s="983"/>
      <c r="JH21" s="1227" t="s">
        <v>371</v>
      </c>
      <c r="JI21" s="1228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77" t="str">
        <f>$W$6</f>
        <v>Projected XY</v>
      </c>
      <c r="AX152" s="1278"/>
      <c r="AY152" s="1295" t="str">
        <f>$Y$6</f>
        <v>Z</v>
      </c>
      <c r="AZ152" s="1293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96"/>
      <c r="AZ153" s="1294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240" t="s">
        <v>42</v>
      </c>
      <c r="C157" s="1241"/>
      <c r="D157" s="1241"/>
      <c r="E157" s="1241"/>
      <c r="F157" s="1241"/>
      <c r="G157" s="1241"/>
      <c r="H157" s="1241"/>
      <c r="I157" s="1241"/>
      <c r="J157" s="1241"/>
      <c r="K157" s="1242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243"/>
      <c r="C158" s="1198"/>
      <c r="D158" s="1198"/>
      <c r="E158" s="1198"/>
      <c r="F158" s="1198"/>
      <c r="G158" s="1198"/>
      <c r="H158" s="1198"/>
      <c r="I158" s="1198"/>
      <c r="J158" s="1198"/>
      <c r="K158" s="1244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245"/>
      <c r="C159" s="1246"/>
      <c r="D159" s="1246"/>
      <c r="E159" s="1246"/>
      <c r="F159" s="1246"/>
      <c r="G159" s="1246"/>
      <c r="H159" s="1246"/>
      <c r="I159" s="1246"/>
      <c r="J159" s="1246"/>
      <c r="K159" s="1247"/>
      <c r="AQ159" s="166"/>
      <c r="BD159" s="468"/>
    </row>
    <row r="160" spans="1:259" ht="15" customHeight="1" x14ac:dyDescent="0.25">
      <c r="B160" s="1234" t="str">
        <f>CONCATENATE(B162," ; ",E162," ; ",H163)</f>
        <v>Absolute-Point ; Incremental-Vector Point ; Radius</v>
      </c>
      <c r="C160" s="1235"/>
      <c r="D160" s="1235"/>
      <c r="E160" s="1235"/>
      <c r="F160" s="1235"/>
      <c r="G160" s="1235"/>
      <c r="H160" s="1235"/>
      <c r="I160" s="1235"/>
      <c r="J160" s="1235"/>
      <c r="K160" s="1236"/>
      <c r="AQ160" s="166"/>
      <c r="BD160" s="468"/>
    </row>
    <row r="161" spans="2:56" ht="15" customHeight="1" x14ac:dyDescent="0.25">
      <c r="B161" s="1237"/>
      <c r="C161" s="1238"/>
      <c r="D161" s="1238"/>
      <c r="E161" s="1238"/>
      <c r="F161" s="1238"/>
      <c r="G161" s="1238"/>
      <c r="H161" s="1238"/>
      <c r="I161" s="1238"/>
      <c r="J161" s="1238"/>
      <c r="K161" s="1239"/>
      <c r="AQ161" s="166"/>
      <c r="BD161" s="468"/>
    </row>
    <row r="162" spans="2:56" ht="15" customHeight="1" x14ac:dyDescent="0.25">
      <c r="B162" s="1251" t="s">
        <v>40</v>
      </c>
      <c r="C162" s="1252"/>
      <c r="D162" s="1253"/>
      <c r="E162" s="1254" t="s">
        <v>41</v>
      </c>
      <c r="F162" s="1252"/>
      <c r="G162" s="1255"/>
      <c r="H162" s="880" t="s">
        <v>314</v>
      </c>
      <c r="I162" s="878"/>
      <c r="J162" s="879"/>
      <c r="K162" s="539"/>
      <c r="M162" s="1026" t="s">
        <v>313</v>
      </c>
      <c r="N162" s="1274"/>
      <c r="O162" s="1286" t="s">
        <v>292</v>
      </c>
      <c r="P162" s="1287"/>
      <c r="Q162" s="1288"/>
      <c r="R162" s="1289" t="s">
        <v>41</v>
      </c>
      <c r="S162" s="1287"/>
      <c r="T162" s="1288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75"/>
      <c r="N163" s="1276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1313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1313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1313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1.1100000000000001</v>
      </c>
      <c r="N167" s="869">
        <f>Assy.Model!K12</f>
        <v>1313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1.113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1.1160000000000001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1.119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1.1220000000000001</v>
      </c>
      <c r="N171" s="869">
        <f>Assy.Model!K16</f>
        <v>1613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1.125</v>
      </c>
      <c r="N172" s="869">
        <f>Assy.Model!K17</f>
        <v>1313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1.218</v>
      </c>
      <c r="N173" s="869">
        <f>Assy.Model!K18</f>
        <v>1313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1.2210000000000001</v>
      </c>
      <c r="N174" s="869">
        <f>Assy.Model!K19</f>
        <v>1313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1.3080000000000001</v>
      </c>
      <c r="N175" s="869" t="str">
        <f>Assy.Model!K20</f>
        <v>Inactive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1.3109999999999999</v>
      </c>
      <c r="N176" s="869" t="str">
        <f>Assy.Model!K21</f>
        <v>Inactive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2.1139999999999999</v>
      </c>
      <c r="N177" s="869">
        <f>Assy.Model!K22</f>
        <v>1613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2.117</v>
      </c>
      <c r="N178" s="869">
        <f>Assy.Model!K23</f>
        <v>1613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2.12</v>
      </c>
      <c r="N179" s="869">
        <f>Assy.Model!K24</f>
        <v>1613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2.1230000000000002</v>
      </c>
      <c r="N180" s="869">
        <f>Assy.Model!K25</f>
        <v>1613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2.125</v>
      </c>
      <c r="N181" s="869">
        <f>Assy.Model!K26</f>
        <v>1313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2.2130000000000001</v>
      </c>
      <c r="N182" s="869">
        <f>Assy.Model!K27</f>
        <v>1313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2.2160000000000002</v>
      </c>
      <c r="N183" s="869">
        <f>Assy.Model!K28</f>
        <v>1313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2.3220000000000001</v>
      </c>
      <c r="N184" s="869" t="str">
        <f>Assy.Model!K29</f>
        <v>Inactive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3.1030000000000002</v>
      </c>
      <c r="N185" s="869">
        <f>Assy.Model!K30</f>
        <v>1313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3.1059999999999999</v>
      </c>
      <c r="N186" s="869">
        <f>Assy.Model!K31</f>
        <v>1313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3.109</v>
      </c>
      <c r="N187" s="869">
        <f>Assy.Model!K32</f>
        <v>1313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3.1120000000000001</v>
      </c>
      <c r="N188" s="869">
        <f>Assy.Model!K33</f>
        <v>1313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3.1150000000000002</v>
      </c>
      <c r="N189" s="869">
        <f>Assy.Model!K34</f>
        <v>1613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3.1179999999999999</v>
      </c>
      <c r="N190" s="869">
        <f>Assy.Model!K35</f>
        <v>1613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3.121</v>
      </c>
      <c r="N191" s="869">
        <f>Assy.Model!K36</f>
        <v>1613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3.1240000000000001</v>
      </c>
      <c r="N192" s="869">
        <f>Assy.Model!K37</f>
        <v>1613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3.1269999999999998</v>
      </c>
      <c r="N193" s="869">
        <f>Assy.Model!K38</f>
        <v>1313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3.2170000000000001</v>
      </c>
      <c r="N194" s="869">
        <f>Assy.Model!K39</f>
        <v>1313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3.22</v>
      </c>
      <c r="N195" s="869">
        <f>Assy.Model!K40</f>
        <v>1313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3.3069999999999999</v>
      </c>
      <c r="N196" s="869" t="str">
        <f>Assy.Model!K41</f>
        <v>Inactive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3.31</v>
      </c>
      <c r="N197" s="869" t="str">
        <f>Assy.Model!K42</f>
        <v>Inactive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3.323</v>
      </c>
      <c r="N198" s="869" t="str">
        <f>Assy.Model!K43</f>
        <v>Inactive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4.1130000000000004</v>
      </c>
      <c r="N199" s="869">
        <f>Assy.Model!K44</f>
        <v>1613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4.1159999999999997</v>
      </c>
      <c r="N200" s="869">
        <f>Assy.Model!K45</f>
        <v>1613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4.1189999999999998</v>
      </c>
      <c r="N201" s="869">
        <f>Assy.Model!K46</f>
        <v>1613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4.1219999999999999</v>
      </c>
      <c r="N202" s="869">
        <f>Assy.Model!K47</f>
        <v>1613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4.125</v>
      </c>
      <c r="N203" s="869">
        <f>Assy.Model!K48</f>
        <v>1313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4.218</v>
      </c>
      <c r="N204" s="869">
        <f>Assy.Model!K49</f>
        <v>1313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4.2210000000000001</v>
      </c>
      <c r="N205" s="869">
        <f>Assy.Model!K50</f>
        <v>1313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5.1020000000000003</v>
      </c>
      <c r="N206" s="869">
        <f>Assy.Model!K51</f>
        <v>1313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5.1050000000000004</v>
      </c>
      <c r="N207" s="869">
        <f>Assy.Model!K52</f>
        <v>1313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5.1079999999999997</v>
      </c>
      <c r="N208" s="869">
        <f>Assy.Model!K53</f>
        <v>1313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5.1109999999999998</v>
      </c>
      <c r="N209" s="869">
        <f>Assy.Model!K54</f>
        <v>1313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5.1139999999999999</v>
      </c>
      <c r="N210" s="869">
        <f>Assy.Model!K55</f>
        <v>1613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5.117</v>
      </c>
      <c r="N211" s="869">
        <f>Assy.Model!K56</f>
        <v>1613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5.12</v>
      </c>
      <c r="N212" s="869">
        <f>Assy.Model!K57</f>
        <v>1613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5.1230000000000002</v>
      </c>
      <c r="N213" s="869">
        <f>Assy.Model!K58</f>
        <v>1613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>
        <f>Assy.Model!$M59</f>
        <v>5.1260000000000003</v>
      </c>
      <c r="N214" s="869">
        <f>Assy.Model!K59</f>
        <v>1313</v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>
        <f>Assy.Model!$M60</f>
        <v>5.2130000000000001</v>
      </c>
      <c r="N215" s="869">
        <f>Assy.Model!K60</f>
        <v>1313</v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>
        <f>Assy.Model!$M61</f>
        <v>5.2160000000000002</v>
      </c>
      <c r="N216" s="869">
        <f>Assy.Model!K61</f>
        <v>1313</v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>
        <f>Assy.Model!$M62</f>
        <v>5.306</v>
      </c>
      <c r="N217" s="869" t="str">
        <f>Assy.Model!K62</f>
        <v>Inactive</v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>
        <f>Assy.Model!$M63</f>
        <v>5.3090000000000002</v>
      </c>
      <c r="N218" s="869" t="str">
        <f>Assy.Model!K63</f>
        <v>Inactive</v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>
        <f>Assy.Model!$M64</f>
        <v>5.3220000000000001</v>
      </c>
      <c r="N219" s="869" t="str">
        <f>Assy.Model!K64</f>
        <v>Inactive</v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>
        <f>Assy.Model!$M65</f>
        <v>6.1120000000000001</v>
      </c>
      <c r="N220" s="869">
        <f>Assy.Model!K65</f>
        <v>1313</v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>
        <f>Assy.Model!$M66</f>
        <v>6.1150000000000002</v>
      </c>
      <c r="N221" s="869">
        <f>Assy.Model!K66</f>
        <v>1613</v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>
        <f>Assy.Model!$M67</f>
        <v>6.1180000000000003</v>
      </c>
      <c r="N222" s="869">
        <f>Assy.Model!K67</f>
        <v>1613</v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>
        <f>Assy.Model!$M68</f>
        <v>6.1210000000000004</v>
      </c>
      <c r="N223" s="869">
        <f>Assy.Model!K68</f>
        <v>1613</v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>
        <f>Assy.Model!$M69</f>
        <v>6.1239999999999997</v>
      </c>
      <c r="N224" s="869">
        <f>Assy.Model!K69</f>
        <v>1613</v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>
        <f>Assy.Model!$M70</f>
        <v>6.1269999999999998</v>
      </c>
      <c r="N225" s="869">
        <f>Assy.Model!K70</f>
        <v>1313</v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>
        <f>Assy.Model!$M71</f>
        <v>6.2169999999999996</v>
      </c>
      <c r="N226" s="869">
        <f>Assy.Model!K71</f>
        <v>1313</v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>
        <f>Assy.Model!$M72</f>
        <v>6.22</v>
      </c>
      <c r="N227" s="869">
        <f>Assy.Model!K72</f>
        <v>1313</v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>
        <f>Assy.Model!$M73</f>
        <v>6.3230000000000004</v>
      </c>
      <c r="N228" s="869" t="str">
        <f>Assy.Model!K73</f>
        <v>Inactive</v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 t="str">
        <f>Assy.Model!$M74</f>
        <v/>
      </c>
      <c r="N229" s="869" t="str">
        <f>Assy.Model!K74</f>
        <v/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 t="str">
        <f>Assy.Model!$M75</f>
        <v/>
      </c>
      <c r="N230" s="869" t="str">
        <f>Assy.Model!K75</f>
        <v/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 t="str">
        <f>Assy.Model!$M76</f>
        <v/>
      </c>
      <c r="N231" s="869" t="str">
        <f>Assy.Model!K76</f>
        <v/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 t="str">
        <f>Assy.Model!$M77</f>
        <v/>
      </c>
      <c r="N232" s="869" t="str">
        <f>Assy.Model!K77</f>
        <v/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 t="str">
        <f>Assy.Model!$M78</f>
        <v/>
      </c>
      <c r="N233" s="869" t="str">
        <f>Assy.Model!K78</f>
        <v/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19" priority="14" stopIfTrue="1" operator="between">
      <formula>9</formula>
      <formula>9.99</formula>
    </cfRule>
    <cfRule type="cellIs" dxfId="18" priority="15" stopIfTrue="1" operator="between">
      <formula>8</formula>
      <formula>8.99</formula>
    </cfRule>
    <cfRule type="cellIs" dxfId="17" priority="16" stopIfTrue="1" operator="between">
      <formula>7</formula>
      <formula>7.99</formula>
    </cfRule>
    <cfRule type="cellIs" dxfId="16" priority="17" stopIfTrue="1" operator="between">
      <formula>6</formula>
      <formula>6.99</formula>
    </cfRule>
    <cfRule type="cellIs" dxfId="15" priority="18" stopIfTrue="1" operator="between">
      <formula>5</formula>
      <formula>5.99</formula>
    </cfRule>
    <cfRule type="cellIs" dxfId="14" priority="19" stopIfTrue="1" operator="between">
      <formula>4</formula>
      <formula>4.99</formula>
    </cfRule>
    <cfRule type="cellIs" dxfId="13" priority="20" stopIfTrue="1" operator="between">
      <formula>3</formula>
      <formula>3.99</formula>
    </cfRule>
    <cfRule type="cellIs" dxfId="12" priority="21" stopIfTrue="1" operator="between">
      <formula>2</formula>
      <formula>2.99</formula>
    </cfRule>
    <cfRule type="cellIs" dxfId="11" priority="22" stopIfTrue="1" operator="between">
      <formula>1</formula>
      <formula>1.99</formula>
    </cfRule>
  </conditionalFormatting>
  <conditionalFormatting sqref="AV9:AV150">
    <cfRule type="cellIs" dxfId="10" priority="5" stopIfTrue="1" operator="between">
      <formula>9</formula>
      <formula>9.99</formula>
    </cfRule>
    <cfRule type="cellIs" dxfId="9" priority="6" stopIfTrue="1" operator="between">
      <formula>8</formula>
      <formula>8.99</formula>
    </cfRule>
    <cfRule type="cellIs" dxfId="8" priority="7" stopIfTrue="1" operator="between">
      <formula>7</formula>
      <formula>7.99</formula>
    </cfRule>
    <cfRule type="cellIs" dxfId="7" priority="8" stopIfTrue="1" operator="between">
      <formula>6</formula>
      <formula>6.99</formula>
    </cfRule>
    <cfRule type="cellIs" dxfId="6" priority="9" stopIfTrue="1" operator="between">
      <formula>5</formula>
      <formula>5.99</formula>
    </cfRule>
    <cfRule type="cellIs" dxfId="5" priority="10" stopIfTrue="1" operator="between">
      <formula>4</formula>
      <formula>4.99</formula>
    </cfRule>
    <cfRule type="cellIs" dxfId="4" priority="11" stopIfTrue="1" operator="between">
      <formula>3</formula>
      <formula>3.99</formula>
    </cfRule>
    <cfRule type="cellIs" dxfId="3" priority="12" stopIfTrue="1" operator="between">
      <formula>2</formula>
      <formula>2.99</formula>
    </cfRule>
    <cfRule type="cellIs" dxfId="2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2023-03-29T14:37:48Z</dcterms:modified>
</cp:coreProperties>
</file>