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43\"/>
    </mc:Choice>
  </mc:AlternateContent>
  <xr:revisionPtr revIDLastSave="0" documentId="13_ncr:1_{76B2053C-A5DA-4CD1-9302-70093782D95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20" i="1"/>
  <c r="L15" i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K11" i="1"/>
  <c r="IT11" i="1"/>
  <c r="IQ11" i="1"/>
  <c r="IX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Y11" i="1"/>
  <c r="IF11" i="1" s="1"/>
  <c r="IR11" i="1"/>
  <c r="JA9" i="1" a="1"/>
  <c r="JA9" i="1" s="1"/>
  <c r="IL11" i="1"/>
  <c r="IS11" i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83" i="1" l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IS58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78" i="1" l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<sst xmlns="http://schemas.openxmlformats.org/spreadsheetml/2006/main" count="734" uniqueCount="391">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</sst>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39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-6.3200190611774912E-2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0.24880075038306318</v>
      </c>
      <c r="D9" s="704">
        <v>-0.27340082457688691</v>
      </c>
      <c r="E9" s="705">
        <v>-0.90630781366099966</v>
      </c>
      <c r="F9" s="703">
        <v>-5.5162737096161339E-2</v>
      </c>
      <c r="G9" s="706">
        <v>0.4190026483604592</v>
      </c>
      <c r="H9" s="705">
        <v>0.219</v>
      </c>
      <c r="I9" s="703">
        <v>0.42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0.24880075038306318</v>
      </c>
      <c r="P9" s="625">
        <f t="shared" ref="P9:P40" si="4">IF(M9="","",D9)</f>
        <v>-0.27340082457688691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0.24880075038306318</v>
      </c>
      <c r="S9" s="626">
        <f>IF(M9="","",P9)</f>
        <v>-0.27340082457688691</v>
      </c>
      <c r="T9" s="627">
        <f>IF(M9="","",X9*COS(RADIANS(W9)))</f>
        <v>0.24880075038306318</v>
      </c>
      <c r="U9" s="624">
        <f>IF(M9="","",X9*SIN(RADIANS(W9)))</f>
        <v>0</v>
      </c>
      <c r="V9" s="628">
        <f>IF(M9="","",Y9)</f>
        <v>-0.27340082457688691</v>
      </c>
      <c r="W9" s="583">
        <f t="shared" ref="W9:W14" si="5">IF(M9="","",IF(Q9-$Q$8&lt;0,360+Q9-$Q$8,Q9-$Q$8))</f>
        <v>0</v>
      </c>
      <c r="X9" s="629">
        <f>IF(M9="","",R9)</f>
        <v>0.24880075038306318</v>
      </c>
      <c r="Y9" s="630">
        <f>IF(M9="","",S9)</f>
        <v>-0.27340082457688691</v>
      </c>
      <c r="Z9" s="623">
        <f t="shared" ref="Z9:Z40" si="6">IF(M9="","",-E9)</f>
        <v>0.90630781366099966</v>
      </c>
      <c r="AA9" s="624">
        <f t="shared" ref="AA9:AA40" si="7">IF(M9="","",-F9)</f>
        <v>5.5162737096161339E-2</v>
      </c>
      <c r="AB9" s="624">
        <f t="shared" ref="AB9:AB40" si="8">IF(M9="","",-G9)</f>
        <v>-0.4190026483604592</v>
      </c>
      <c r="AC9" s="628">
        <f>IF(M9="","",SQRT(Z9^2+AA9^2+AB9^2))</f>
        <v>1</v>
      </c>
      <c r="AD9" s="631">
        <f>IF(M9="","",Z9*(1/SQRT(Z9^2+AA9^2+AB9^2)))</f>
        <v>0.90630781366099966</v>
      </c>
      <c r="AE9" s="624">
        <f>IF(M9="","",AA9*(1/SQRT(Z9^2+AA9^2+AB9^2)))</f>
        <v>5.5162737096161339E-2</v>
      </c>
      <c r="AF9" s="625">
        <f>IF(M9="","",AB9*(1/SQRT(Z9^2+AA9^2+AB9^2)))</f>
        <v>-0.4190026483604592</v>
      </c>
      <c r="AG9" s="599">
        <f>IF(M9="","",DEGREES(ATAN2(-AF9,AE9)))</f>
        <v>7.499998917134131</v>
      </c>
      <c r="AH9" s="600">
        <f>IF(M9="","",DEGREES(ACOS(AD9)))</f>
        <v>24.999996390447087</v>
      </c>
      <c r="AI9" s="583">
        <f>IF(M9="","",DEGREES(-ACOS(-AF9)))</f>
        <v>-65.228363484651638</v>
      </c>
      <c r="AJ9" s="601">
        <f>IF(M9="","",DEGREES(ATAN2(-AE9,AD9)))</f>
        <v>93.483030519403556</v>
      </c>
      <c r="AK9" s="627">
        <f>IF(M9="","",(COS(RADIANS((90-$Q$8)-W9))*AD9)+(-SIN(RADIANS((90-$Q$8)-W9))*AE9))</f>
        <v>0.90630781366099966</v>
      </c>
      <c r="AL9" s="624">
        <f>IF(M9="","",(SIN(RADIANS((90-$Q$8)-W9))*AD9)+(COS(RADIANS((90-$Q$8)-W9))*AE9))</f>
        <v>5.5162737096161339E-2</v>
      </c>
      <c r="AM9" s="626">
        <f>IF(M9="","",AF9)</f>
        <v>-0.4190026483604592</v>
      </c>
      <c r="AN9" s="581">
        <f>IF(M9="","",DEGREES(ATAN2(-AM9,AL9)))</f>
        <v>7.499998917134131</v>
      </c>
      <c r="AO9" s="582">
        <f>IF(ROUND(IF(M9="",0,DEGREES(ACOS(AK9))),4)=90,0,IF(M9="","",DEGREES(ACOS(AK9))))</f>
        <v>24.999996390447087</v>
      </c>
      <c r="AP9" s="781">
        <f>IF(M9="","",DEGREES(ATAN2(AK9,AL9)))</f>
        <v>3.4830305194035667</v>
      </c>
      <c r="AQ9" s="584">
        <f t="shared" ref="AQ9:AQ40" si="9">IF(M9="","",DEGREES(ATAN(($AS$5*SIN(RADIANS(90)))/(($X9*2*PI())-($AS$5*COS(RADIANS(90)))))))</f>
        <v>9.0859243276848041</v>
      </c>
      <c r="AS9" s="51">
        <f>IF(M9="","",W9)</f>
        <v>0</v>
      </c>
      <c r="AT9" s="71">
        <f t="shared" ref="AT9:AT40" si="10">IF(M9="","",Y9+(((AS9-$AS$9)*$AS$6)*-1))</f>
        <v>-0.27340082457688691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8.0034609189382708E-18</v>
      </c>
      <c r="C10" s="708">
        <v>0.84310254279726915</v>
      </c>
      <c r="D10" s="709">
        <v>-0.20900063034590108</v>
      </c>
      <c r="E10" s="710">
        <v>-0.97029572627599658</v>
      </c>
      <c r="F10" s="708">
        <v>-3.1577139314176543E-2</v>
      </c>
      <c r="G10" s="711">
        <v>0.23985222084289659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1111</v>
      </c>
      <c r="M10" s="168">
        <f t="shared" si="1"/>
        <v>1.1040000000000001</v>
      </c>
      <c r="N10" s="632">
        <f t="shared" si="2"/>
        <v>8.0034609189382708E-18</v>
      </c>
      <c r="O10" s="629">
        <f t="shared" si="3"/>
        <v>0.84310254279726915</v>
      </c>
      <c r="P10" s="633">
        <f t="shared" si="4"/>
        <v>-0.20900063034590108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0.84310254279726915</v>
      </c>
      <c r="S10" s="634">
        <f t="shared" ref="S10:S105" si="80">IF(M10="","",P10)</f>
        <v>-0.20900063034590108</v>
      </c>
      <c r="T10" s="635">
        <f t="shared" ref="T10:T105" si="81">IF(M10="","",X10*COS(RADIANS(W10)))</f>
        <v>0.84310254279726915</v>
      </c>
      <c r="U10" s="629">
        <f t="shared" ref="U10:U105" si="82">IF(M10="","",X10*SIN(RADIANS(W10)))</f>
        <v>0</v>
      </c>
      <c r="V10" s="636">
        <f>IF(M10="","",Y10)</f>
        <v>-0.20900063034590108</v>
      </c>
      <c r="W10" s="585">
        <f t="shared" si="5"/>
        <v>0</v>
      </c>
      <c r="X10" s="629">
        <f t="shared" ref="X10:X105" si="83">IF(M10="","",R10)</f>
        <v>0.84310254279726915</v>
      </c>
      <c r="Y10" s="630">
        <f>IF(M10="","",S10)</f>
        <v>-0.20900063034590108</v>
      </c>
      <c r="Z10" s="632">
        <f t="shared" si="6"/>
        <v>0.97029572627599658</v>
      </c>
      <c r="AA10" s="629">
        <f t="shared" si="7"/>
        <v>3.1577139314176543E-2</v>
      </c>
      <c r="AB10" s="629">
        <f t="shared" si="8"/>
        <v>-0.23985222084289659</v>
      </c>
      <c r="AC10" s="636">
        <f t="shared" ref="AC10:AC105" si="84">IF(M10="","",SQRT(Z10^2+AA10^2+AB10^2))</f>
        <v>1</v>
      </c>
      <c r="AD10" s="637">
        <f>IF(M10="","",Z10*(1/SQRT(Z10^2+AA10^2+AB10^2)))</f>
        <v>0.97029572627599658</v>
      </c>
      <c r="AE10" s="629">
        <f t="shared" ref="AE10:AE105" si="85">IF(M10="","",AA10*(1/SQRT(Z10^2+AA10^2+AB10^2)))</f>
        <v>3.1577139314176543E-2</v>
      </c>
      <c r="AF10" s="633">
        <f t="shared" ref="AF10:AF105" si="86">IF(M10="","",AB10*(1/SQRT(Z10^2+AA10^2+AB10^2)))</f>
        <v>-0.23985222084289659</v>
      </c>
      <c r="AG10" s="602">
        <f t="shared" ref="AG10:AG105" si="87">IF(M10="","",DEGREES(ATAN2(-AF10,AE10)))</f>
        <v>7.499998917134139</v>
      </c>
      <c r="AH10" s="603">
        <f t="shared" ref="AH10:AH105" si="88">IF(M10="","",DEGREES(ACOS(AD10)))</f>
        <v>13.999999999999968</v>
      </c>
      <c r="AI10" s="585">
        <f t="shared" ref="AI10:AI105" si="89">IF(M10="","",DEGREES(-ACOS(-AF10)))</f>
        <v>-76.122181515388689</v>
      </c>
      <c r="AJ10" s="586">
        <f t="shared" ref="AJ10:AJ105" si="90">IF(M10="","",DEGREES(ATAN2(-AE10,AD10)))</f>
        <v>91.86396625993811</v>
      </c>
      <c r="AK10" s="635">
        <f>IF(M10="","",(COS(RADIANS((90-$Q$8)-W10))*AD10)+(-SIN(RADIANS((90-$Q$8)-W10))*AE10))</f>
        <v>0.97029572627599658</v>
      </c>
      <c r="AL10" s="629">
        <f t="shared" ref="AL10:AL105" si="91">IF(M10="","",(SIN(RADIANS((90-$Q$8)-W10))*AD10)+(COS(RADIANS((90-$Q$8)-W10))*AE10))</f>
        <v>3.1577139314176543E-2</v>
      </c>
      <c r="AM10" s="634">
        <f t="shared" ref="AM10:AM105" si="92">IF(M10="","",AF10)</f>
        <v>-0.23985222084289659</v>
      </c>
      <c r="AN10" s="581">
        <f t="shared" ref="AN10:AN105" si="93">IF(M10="","",DEGREES(ATAN2(-AM10,AL10)))</f>
        <v>7.499998917134139</v>
      </c>
      <c r="AO10" s="582">
        <f t="shared" ref="AO10:AO54" si="94">IF(ROUND(IF(M10="",0,DEGREES(ACOS(AK10))),4)=90,0,IF(M10="","",DEGREES(ACOS(AK10))))</f>
        <v>13.999999999999968</v>
      </c>
      <c r="AP10" s="585">
        <f t="shared" ref="AP10:AP105" si="95">IF(M10="","",DEGREES(ATAN2(AK10,AL10)))</f>
        <v>1.8639662599381237</v>
      </c>
      <c r="AQ10" s="586">
        <f t="shared" si="9"/>
        <v>2.7019683897567481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-0.20900063034590108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1111</v>
      </c>
      <c r="JB10" s="787" cm="1">
        <f t="array" ref="JB10">IF($JA10="","",COUNT(IF(IF($II$9:$II$150="",$IJ$9:$IJ$150,"")=$JA10,$IG$9:$IG$150,"")))</f>
        <v>12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-1.7287475584906666E-16</v>
      </c>
      <c r="C11" s="708">
        <v>1.401904228143152</v>
      </c>
      <c r="D11" s="709">
        <v>-0.13670041228844343</v>
      </c>
      <c r="E11" s="710">
        <v>-0.97629601393762733</v>
      </c>
      <c r="F11" s="708">
        <v>-2.8251030583274286E-2</v>
      </c>
      <c r="G11" s="711">
        <v>0.21458791308105668</v>
      </c>
      <c r="H11" s="710">
        <v>0.219</v>
      </c>
      <c r="I11" s="708">
        <v>0.42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-1.7287475584906666E-16</v>
      </c>
      <c r="O11" s="629">
        <f t="shared" si="3"/>
        <v>1.401904228143152</v>
      </c>
      <c r="P11" s="633">
        <f t="shared" si="4"/>
        <v>-0.13670041228844343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1.401904228143152</v>
      </c>
      <c r="S11" s="634">
        <f t="shared" si="80"/>
        <v>-0.13670041228844343</v>
      </c>
      <c r="T11" s="635">
        <f t="shared" si="81"/>
        <v>1.401904228143152</v>
      </c>
      <c r="U11" s="629">
        <f t="shared" si="82"/>
        <v>0</v>
      </c>
      <c r="V11" s="636">
        <f t="shared" ref="V11:V105" si="114">IF(M11="","",Y11)</f>
        <v>-0.13670041228844343</v>
      </c>
      <c r="W11" s="585">
        <f t="shared" si="5"/>
        <v>0</v>
      </c>
      <c r="X11" s="629">
        <f>IF(M11="","",R11)</f>
        <v>1.401904228143152</v>
      </c>
      <c r="Y11" s="630">
        <f>IF(M11="","",S11)</f>
        <v>-0.13670041228844343</v>
      </c>
      <c r="Z11" s="632">
        <f t="shared" si="6"/>
        <v>0.97629601393762733</v>
      </c>
      <c r="AA11" s="629">
        <f t="shared" si="7"/>
        <v>2.8251030583274286E-2</v>
      </c>
      <c r="AB11" s="629">
        <f t="shared" si="8"/>
        <v>-0.21458791308105668</v>
      </c>
      <c r="AC11" s="636">
        <f t="shared" si="84"/>
        <v>1</v>
      </c>
      <c r="AD11" s="637">
        <f t="shared" ref="AD11:AD105" si="115">IF(M11="","",Z11*(1/SQRT(Z11^2+AA11^2+AB11^2)))</f>
        <v>0.97629601393762733</v>
      </c>
      <c r="AE11" s="629">
        <f t="shared" si="85"/>
        <v>2.8251030583274286E-2</v>
      </c>
      <c r="AF11" s="633">
        <f t="shared" si="86"/>
        <v>-0.21458791308105668</v>
      </c>
      <c r="AG11" s="602">
        <f>IF(M11="","",DEGREES(ATAN2(-AF11,AE11)))</f>
        <v>7.4999989171341337</v>
      </c>
      <c r="AH11" s="603">
        <f t="shared" si="88"/>
        <v>12.499998195223544</v>
      </c>
      <c r="AI11" s="585">
        <f t="shared" si="89"/>
        <v>-77.608647798292665</v>
      </c>
      <c r="AJ11" s="586">
        <f t="shared" si="90"/>
        <v>91.657502671588773</v>
      </c>
      <c r="AK11" s="635">
        <f>IF(M11="","",(COS(RADIANS((90-$Q$8)-W11))*AD11)+(-SIN(RADIANS((90-$Q$8)-W11))*AE11))</f>
        <v>0.97629601393762733</v>
      </c>
      <c r="AL11" s="629">
        <f t="shared" si="91"/>
        <v>2.8251030583274286E-2</v>
      </c>
      <c r="AM11" s="634">
        <f t="shared" si="92"/>
        <v>-0.21458791308105668</v>
      </c>
      <c r="AN11" s="581">
        <f>IF(M11="","",DEGREES(ATAN2(-AM11,AL11)))</f>
        <v>7.4999989171341337</v>
      </c>
      <c r="AO11" s="582">
        <f>IF(ROUND(IF(M11="",0,DEGREES(ACOS(AK11))),4)=90,0,IF(M11="","",DEGREES(ACOS(AK11))))</f>
        <v>12.499998195223544</v>
      </c>
      <c r="AP11" s="585">
        <f t="shared" si="95"/>
        <v>1.6575026715887768</v>
      </c>
      <c r="AQ11" s="586">
        <f t="shared" si="9"/>
        <v>1.6257278848662746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-0.13670041228844343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-2.8692407394393701E-16</v>
      </c>
      <c r="C12" s="708">
        <v>1.960605913187434</v>
      </c>
      <c r="D12" s="709">
        <v>-6.3200190611774912E-2</v>
      </c>
      <c r="E12" s="710">
        <v>-0.97629601393762733</v>
      </c>
      <c r="F12" s="708">
        <v>-2.8251030583274286E-2</v>
      </c>
      <c r="G12" s="711">
        <v>0.21458791308105668</v>
      </c>
      <c r="H12" s="710">
        <v>0.219</v>
      </c>
      <c r="I12" s="708">
        <v>0.42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1111</v>
      </c>
      <c r="L12" s="773" t="s">
        <v>366</v>
      </c>
      <c r="M12" s="168">
        <f t="shared" si="1"/>
        <v>1.1100000000000001</v>
      </c>
      <c r="N12" s="632">
        <f t="shared" si="2"/>
        <v>-2.8692407394393701E-16</v>
      </c>
      <c r="O12" s="629">
        <f t="shared" si="3"/>
        <v>1.960605913187434</v>
      </c>
      <c r="P12" s="633">
        <f t="shared" si="4"/>
        <v>-6.3200190611774912E-2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1.960605913187434</v>
      </c>
      <c r="S12" s="634">
        <f t="shared" si="80"/>
        <v>-6.3200190611774912E-2</v>
      </c>
      <c r="T12" s="635">
        <f>IF(M12="","",X12*COS(RADIANS(W12)))</f>
        <v>1.960605913187434</v>
      </c>
      <c r="U12" s="629">
        <f t="shared" si="82"/>
        <v>0</v>
      </c>
      <c r="V12" s="636">
        <f t="shared" si="114"/>
        <v>-6.3200190611774912E-2</v>
      </c>
      <c r="W12" s="585">
        <f>IF(M12="","",IF(Q12-$Q$8&lt;0,360+Q12-$Q$8,Q12-$Q$8))</f>
        <v>0</v>
      </c>
      <c r="X12" s="629">
        <f t="shared" si="83"/>
        <v>1.960605913187434</v>
      </c>
      <c r="Y12" s="630">
        <f>IF(M12="","",S12)</f>
        <v>-6.3200190611774912E-2</v>
      </c>
      <c r="Z12" s="632">
        <f t="shared" si="6"/>
        <v>0.97629601393762733</v>
      </c>
      <c r="AA12" s="629">
        <f t="shared" si="7"/>
        <v>2.8251030583274286E-2</v>
      </c>
      <c r="AB12" s="629">
        <f t="shared" si="8"/>
        <v>-0.21458791308105668</v>
      </c>
      <c r="AC12" s="636">
        <f t="shared" si="84"/>
        <v>1</v>
      </c>
      <c r="AD12" s="637">
        <f t="shared" si="115"/>
        <v>0.97629601393762733</v>
      </c>
      <c r="AE12" s="629">
        <f t="shared" si="85"/>
        <v>2.8251030583274286E-2</v>
      </c>
      <c r="AF12" s="633">
        <f t="shared" si="86"/>
        <v>-0.21458791308105668</v>
      </c>
      <c r="AG12" s="602">
        <f t="shared" si="87"/>
        <v>7.4999989171341337</v>
      </c>
      <c r="AH12" s="603">
        <f t="shared" si="88"/>
        <v>12.499998195223544</v>
      </c>
      <c r="AI12" s="585">
        <f t="shared" si="89"/>
        <v>-77.608647798292665</v>
      </c>
      <c r="AJ12" s="586">
        <f t="shared" si="90"/>
        <v>91.657502671588773</v>
      </c>
      <c r="AK12" s="635">
        <f t="shared" ref="AK12:AK105" si="211">IF(M12="","",(COS(RADIANS((90-$Q$8)-W12))*AD12)+(-SIN(RADIANS((90-$Q$8)-W12))*AE12))</f>
        <v>0.97629601393762733</v>
      </c>
      <c r="AL12" s="629">
        <f>IF(M12="","",(SIN(RADIANS((90-$Q$8)-W12))*AD12)+(COS(RADIANS((90-$Q$8)-W12))*AE12))</f>
        <v>2.8251030583274286E-2</v>
      </c>
      <c r="AM12" s="634">
        <f t="shared" si="92"/>
        <v>-0.21458791308105668</v>
      </c>
      <c r="AN12" s="581">
        <f>IF(M12="","",DEGREES(ATAN2(-AM12,AL12)))</f>
        <v>7.4999989171341337</v>
      </c>
      <c r="AO12" s="582">
        <f t="shared" si="94"/>
        <v>12.499998195223544</v>
      </c>
      <c r="AP12" s="585">
        <f t="shared" si="95"/>
        <v>1.6575026715887768</v>
      </c>
      <c r="AQ12" s="586">
        <f t="shared" si="9"/>
        <v>1.1626067865228289</v>
      </c>
      <c r="AS12" s="52">
        <f t="shared" si="116"/>
        <v>0</v>
      </c>
      <c r="AT12" s="72">
        <f>IF(M12="","",Y12+(((AS12-$AS$9)*$AS$6)*-1))</f>
        <v>-6.3200190611774912E-2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1111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8.5605200870273162E-3</v>
      </c>
      <c r="C13" s="708">
        <v>2.5841936150209004</v>
      </c>
      <c r="D13" s="709">
        <v>-7.4500224692677683E-2</v>
      </c>
      <c r="E13" s="710">
        <v>-0.97570854700162413</v>
      </c>
      <c r="F13" s="708">
        <v>5.2394598805371444E-2</v>
      </c>
      <c r="G13" s="711">
        <v>0.21271492031355924</v>
      </c>
      <c r="H13" s="710">
        <v>0.26600000000000001</v>
      </c>
      <c r="I13" s="708">
        <v>0.52</v>
      </c>
      <c r="J13" s="570">
        <v>1.1140000000000001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0</v>
      </c>
      <c r="M13" s="168">
        <f t="shared" si="1"/>
        <v>1.1140000000000001</v>
      </c>
      <c r="N13" s="632">
        <f t="shared" si="2"/>
        <v>8.5605200870273162E-3</v>
      </c>
      <c r="O13" s="629">
        <f t="shared" si="3"/>
        <v>2.5841936150209004</v>
      </c>
      <c r="P13" s="633">
        <f t="shared" si="4"/>
        <v>-7.4500224692677683E-2</v>
      </c>
      <c r="Q13" s="585">
        <f t="shared" si="113"/>
        <v>89.810200027403724</v>
      </c>
      <c r="R13" s="629">
        <f t="shared" si="79"/>
        <v>2.5842077939707071</v>
      </c>
      <c r="S13" s="634">
        <f t="shared" si="80"/>
        <v>-7.4500224692677683E-2</v>
      </c>
      <c r="T13" s="635">
        <f>IF(M13="","",X13*COS(RADIANS(W13)))</f>
        <v>2.5841936150209004</v>
      </c>
      <c r="U13" s="629">
        <f t="shared" si="82"/>
        <v>-8.5605200870291706E-3</v>
      </c>
      <c r="V13" s="636">
        <f t="shared" si="114"/>
        <v>-7.4500224692677683E-2</v>
      </c>
      <c r="W13" s="585">
        <f t="shared" si="5"/>
        <v>359.81020002740371</v>
      </c>
      <c r="X13" s="629">
        <f t="shared" si="83"/>
        <v>2.5842077939707071</v>
      </c>
      <c r="Y13" s="630">
        <f>IF(M13="","",S13)</f>
        <v>-7.4500224692677683E-2</v>
      </c>
      <c r="Z13" s="632">
        <f t="shared" si="6"/>
        <v>0.97570854700162413</v>
      </c>
      <c r="AA13" s="629">
        <f t="shared" si="7"/>
        <v>-5.2394598805371444E-2</v>
      </c>
      <c r="AB13" s="629">
        <f t="shared" si="8"/>
        <v>-0.21271492031355924</v>
      </c>
      <c r="AC13" s="636">
        <f t="shared" si="84"/>
        <v>1</v>
      </c>
      <c r="AD13" s="637">
        <f>IF(M13="","",Z13*(1/SQRT(Z13^2+AA13^2+AB13^2)))</f>
        <v>0.97570854700162413</v>
      </c>
      <c r="AE13" s="629">
        <f t="shared" si="85"/>
        <v>-5.2394598805371444E-2</v>
      </c>
      <c r="AF13" s="633">
        <f t="shared" si="86"/>
        <v>-0.21271492031355924</v>
      </c>
      <c r="AG13" s="602">
        <f>IF(M13="","",DEGREES(ATAN2(-AF13,AE13)))</f>
        <v>-13.83728628414273</v>
      </c>
      <c r="AH13" s="603">
        <f t="shared" si="88"/>
        <v>12.654571831123693</v>
      </c>
      <c r="AI13" s="585">
        <f t="shared" si="89"/>
        <v>-77.718498863080356</v>
      </c>
      <c r="AJ13" s="586">
        <f t="shared" si="90"/>
        <v>86.926224665616175</v>
      </c>
      <c r="AK13" s="635">
        <f t="shared" si="211"/>
        <v>0.97587675734988844</v>
      </c>
      <c r="AL13" s="629">
        <f t="shared" si="91"/>
        <v>-4.9162151501571251E-2</v>
      </c>
      <c r="AM13" s="634">
        <f t="shared" si="92"/>
        <v>-0.21271492031355924</v>
      </c>
      <c r="AN13" s="581">
        <f t="shared" si="93"/>
        <v>-13.013563563203043</v>
      </c>
      <c r="AO13" s="582">
        <f t="shared" si="94"/>
        <v>12.610502982469237</v>
      </c>
      <c r="AP13" s="585">
        <f t="shared" si="95"/>
        <v>-2.8839753617875137</v>
      </c>
      <c r="AQ13" s="586">
        <f t="shared" si="9"/>
        <v>0.88210650704321181</v>
      </c>
      <c r="AS13" s="52">
        <f t="shared" si="116"/>
        <v>-0.18979997259629044</v>
      </c>
      <c r="AT13" s="72">
        <f t="shared" si="10"/>
        <v>-7.4368419156152485E-2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1.1140000000000001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4.0311400159025339E-2</v>
      </c>
      <c r="C14" s="708">
        <v>3.2671611757539609</v>
      </c>
      <c r="D14" s="709">
        <v>-0.31440094823326004</v>
      </c>
      <c r="E14" s="710">
        <v>-0.96189602391916296</v>
      </c>
      <c r="F14" s="708">
        <v>0.174268193222753</v>
      </c>
      <c r="G14" s="711">
        <v>0.21068136130038273</v>
      </c>
      <c r="H14" s="710">
        <v>0.26600000000000001</v>
      </c>
      <c r="I14" s="708">
        <v>0.52</v>
      </c>
      <c r="J14" s="570">
        <v>1.1200000000000001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1.1200000000000001</v>
      </c>
      <c r="N14" s="632">
        <f t="shared" si="2"/>
        <v>4.0311400159025339E-2</v>
      </c>
      <c r="O14" s="629">
        <f t="shared" si="3"/>
        <v>3.2671611757539609</v>
      </c>
      <c r="P14" s="633">
        <f t="shared" si="4"/>
        <v>-0.31440094823326004</v>
      </c>
      <c r="Q14" s="585">
        <f t="shared" si="113"/>
        <v>89.293100102063718</v>
      </c>
      <c r="R14" s="629">
        <f t="shared" si="79"/>
        <v>3.2674098545081218</v>
      </c>
      <c r="S14" s="634">
        <f t="shared" si="80"/>
        <v>-0.31440094823326004</v>
      </c>
      <c r="T14" s="635">
        <f t="shared" si="81"/>
        <v>3.2671611757539609</v>
      </c>
      <c r="U14" s="629">
        <f t="shared" si="82"/>
        <v>-4.0311400159025568E-2</v>
      </c>
      <c r="V14" s="636">
        <f t="shared" si="114"/>
        <v>-0.31440094823326004</v>
      </c>
      <c r="W14" s="585">
        <f t="shared" si="5"/>
        <v>359.2931001020637</v>
      </c>
      <c r="X14" s="629">
        <f t="shared" si="83"/>
        <v>3.2674098545081218</v>
      </c>
      <c r="Y14" s="630">
        <f t="shared" ref="Y14:Y75" si="223">IF(M14="","",S14)</f>
        <v>-0.31440094823326004</v>
      </c>
      <c r="Z14" s="632">
        <f t="shared" si="6"/>
        <v>0.96189602391916296</v>
      </c>
      <c r="AA14" s="629">
        <f t="shared" si="7"/>
        <v>-0.174268193222753</v>
      </c>
      <c r="AB14" s="629">
        <f t="shared" si="8"/>
        <v>-0.21068136130038273</v>
      </c>
      <c r="AC14" s="636">
        <f t="shared" si="84"/>
        <v>1</v>
      </c>
      <c r="AD14" s="637">
        <f>IF(M14="","",Z14*(1/SQRT(Z14^2+AA14^2+AB14^2)))</f>
        <v>0.96189602391916296</v>
      </c>
      <c r="AE14" s="629">
        <f t="shared" si="85"/>
        <v>-0.174268193222753</v>
      </c>
      <c r="AF14" s="633">
        <f t="shared" si="86"/>
        <v>-0.21068136130038273</v>
      </c>
      <c r="AG14" s="602">
        <f t="shared" si="87"/>
        <v>-39.596353057401814</v>
      </c>
      <c r="AH14" s="603">
        <f t="shared" si="88"/>
        <v>15.867610926171832</v>
      </c>
      <c r="AI14" s="585">
        <f t="shared" si="89"/>
        <v>-77.837715263733244</v>
      </c>
      <c r="AJ14" s="586">
        <f t="shared" si="90"/>
        <v>79.731021327181281</v>
      </c>
      <c r="AK14" s="635">
        <f>IF(M14="","",(COS(RADIANS((90-$Q$8)-W14))*AD14)+(-SIN(RADIANS((90-$Q$8)-W14))*AE14))</f>
        <v>0.96397283462528538</v>
      </c>
      <c r="AL14" s="629">
        <f t="shared" si="91"/>
        <v>-0.16238761684657468</v>
      </c>
      <c r="AM14" s="634">
        <f t="shared" si="92"/>
        <v>-0.21068136130038273</v>
      </c>
      <c r="AN14" s="581">
        <f t="shared" si="93"/>
        <v>-37.624084264291653</v>
      </c>
      <c r="AO14" s="582">
        <f t="shared" si="94"/>
        <v>15.426423219059238</v>
      </c>
      <c r="AP14" s="585">
        <f>IF(M14="","",DEGREES(ATAN2(AK14,AL14)))</f>
        <v>-9.5620787748824476</v>
      </c>
      <c r="AQ14" s="586">
        <f t="shared" si="9"/>
        <v>0.69768227932511007</v>
      </c>
      <c r="AS14" s="52">
        <f t="shared" si="116"/>
        <v>-0.70689989793629593</v>
      </c>
      <c r="AT14" s="72">
        <f t="shared" si="10"/>
        <v>-0.31391004552635982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1.1200000000000001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7.7552570954943306E-2</v>
      </c>
      <c r="C15" s="708">
        <v>3.7568109518973669</v>
      </c>
      <c r="D15" s="709">
        <v>-0.80250242034730013</v>
      </c>
      <c r="E15" s="710">
        <v>-0.92351444528805571</v>
      </c>
      <c r="F15" s="708">
        <v>0.32129738505634142</v>
      </c>
      <c r="G15" s="711">
        <v>0.20949715916988437</v>
      </c>
      <c r="H15" s="710">
        <v>0.26600000000000001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0</v>
      </c>
      <c r="M15" s="168">
        <f t="shared" si="1"/>
        <v>1.1259999999999999</v>
      </c>
      <c r="N15" s="632">
        <f t="shared" si="2"/>
        <v>7.7552570954943306E-2</v>
      </c>
      <c r="O15" s="629">
        <f t="shared" si="3"/>
        <v>3.7568109518973669</v>
      </c>
      <c r="P15" s="633">
        <f t="shared" si="4"/>
        <v>-0.80250242034730013</v>
      </c>
      <c r="Q15" s="585">
        <f t="shared" si="113"/>
        <v>88.817400170746296</v>
      </c>
      <c r="R15" s="629">
        <f t="shared" si="79"/>
        <v>3.757611332955781</v>
      </c>
      <c r="S15" s="634">
        <f t="shared" si="80"/>
        <v>-0.80250242034730013</v>
      </c>
      <c r="T15" s="635">
        <f t="shared" si="81"/>
        <v>3.7568109518973669</v>
      </c>
      <c r="U15" s="629">
        <f t="shared" si="82"/>
        <v>-7.7552570954944167E-2</v>
      </c>
      <c r="V15" s="636">
        <f t="shared" si="114"/>
        <v>-0.80250242034730013</v>
      </c>
      <c r="W15" s="585">
        <f t="shared" ref="W15:W78" si="224">IF(M15="","",IF(Q15-$Q$8&lt;0,360+Q15-$Q$8,Q15-$Q$8))</f>
        <v>358.81740017074628</v>
      </c>
      <c r="X15" s="629">
        <f>IF(M15="","",R15)</f>
        <v>3.757611332955781</v>
      </c>
      <c r="Y15" s="630">
        <f>IF(M15="","",S15)</f>
        <v>-0.80250242034730013</v>
      </c>
      <c r="Z15" s="632">
        <f t="shared" si="6"/>
        <v>0.92351444528805571</v>
      </c>
      <c r="AA15" s="629">
        <f t="shared" si="7"/>
        <v>-0.32129738505634142</v>
      </c>
      <c r="AB15" s="629">
        <f t="shared" si="8"/>
        <v>-0.20949715916988437</v>
      </c>
      <c r="AC15" s="636">
        <f t="shared" si="84"/>
        <v>1</v>
      </c>
      <c r="AD15" s="637">
        <f t="shared" si="115"/>
        <v>0.92351444528805571</v>
      </c>
      <c r="AE15" s="629">
        <f t="shared" si="85"/>
        <v>-0.32129738505634142</v>
      </c>
      <c r="AF15" s="633">
        <f t="shared" si="86"/>
        <v>-0.20949715916988437</v>
      </c>
      <c r="AG15" s="602">
        <f t="shared" si="87"/>
        <v>-56.89424011291009</v>
      </c>
      <c r="AH15" s="603">
        <f t="shared" si="88"/>
        <v>22.554598460719259</v>
      </c>
      <c r="AI15" s="585">
        <f t="shared" si="89"/>
        <v>-77.907113876321418</v>
      </c>
      <c r="AJ15" s="586">
        <f t="shared" si="90"/>
        <v>70.816842887994611</v>
      </c>
      <c r="AK15" s="635">
        <f t="shared" si="211"/>
        <v>0.92994892523838646</v>
      </c>
      <c r="AL15" s="629">
        <f t="shared" si="91"/>
        <v>-0.30216872231870412</v>
      </c>
      <c r="AM15" s="634">
        <f t="shared" si="92"/>
        <v>-0.20949715916988437</v>
      </c>
      <c r="AN15" s="581">
        <f>IF(M15="","",DEGREES(ATAN2(-AM15,AL15)))</f>
        <v>-55.265971340343825</v>
      </c>
      <c r="AO15" s="582">
        <f t="shared" si="94"/>
        <v>21.573145233605302</v>
      </c>
      <c r="AP15" s="585">
        <f t="shared" si="95"/>
        <v>-18.000557282751664</v>
      </c>
      <c r="AQ15" s="586">
        <f t="shared" si="9"/>
        <v>0.60667302497821796</v>
      </c>
      <c r="AS15" s="52">
        <f t="shared" si="116"/>
        <v>-1.1825998292537179</v>
      </c>
      <c r="AT15" s="72">
        <f t="shared" si="10"/>
        <v>-0.80168117046587395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0.10065975242965206</v>
      </c>
      <c r="C16" s="708">
        <v>4.0009460222390283</v>
      </c>
      <c r="D16" s="709">
        <v>-1.4626044112149046</v>
      </c>
      <c r="E16" s="710">
        <v>-0.86682142027744846</v>
      </c>
      <c r="F16" s="708">
        <v>0.47482857213794594</v>
      </c>
      <c r="G16" s="711">
        <v>0.15217901441929027</v>
      </c>
      <c r="H16" s="710">
        <v>0.26600000000000001</v>
      </c>
      <c r="I16" s="708">
        <v>0.52</v>
      </c>
      <c r="J16" s="570">
        <v>1.1319999999999999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1.1319999999999999</v>
      </c>
      <c r="N16" s="632">
        <f t="shared" si="2"/>
        <v>0.10065975242965206</v>
      </c>
      <c r="O16" s="629">
        <f t="shared" si="3"/>
        <v>4.0009460222390283</v>
      </c>
      <c r="P16" s="633">
        <f t="shared" si="4"/>
        <v>-1.4626044112149046</v>
      </c>
      <c r="Q16" s="585">
        <f>IF(M16="","",IF(DEGREES(ATAN2(N16,O16))&lt;0,DEGREES(ATAN2(N16,O16))+360,IF(DEGREES(ATAN2(N16,O16))&gt;360,DEGREES(ATAN2(N16,O16))-360,DEGREES(ATAN2(N16,O16)))))</f>
        <v>88.558800208083511</v>
      </c>
      <c r="R16" s="629">
        <f t="shared" si="79"/>
        <v>4.0022120706716056</v>
      </c>
      <c r="S16" s="634">
        <f t="shared" si="80"/>
        <v>-1.4626044112149046</v>
      </c>
      <c r="T16" s="635">
        <f t="shared" si="81"/>
        <v>4.0009460222390283</v>
      </c>
      <c r="U16" s="629">
        <f t="shared" si="82"/>
        <v>-0.1006597524296491</v>
      </c>
      <c r="V16" s="636">
        <f t="shared" si="114"/>
        <v>-1.4626044112149046</v>
      </c>
      <c r="W16" s="585">
        <f>IF(M16="","",IF(Q16-$Q$8&lt;0,360+Q16-$Q$8,Q16-$Q$8))</f>
        <v>358.55880020808354</v>
      </c>
      <c r="X16" s="629">
        <f t="shared" si="83"/>
        <v>4.0022120706716056</v>
      </c>
      <c r="Y16" s="630">
        <f t="shared" si="223"/>
        <v>-1.4626044112149046</v>
      </c>
      <c r="Z16" s="632">
        <f t="shared" si="6"/>
        <v>0.86682142027744846</v>
      </c>
      <c r="AA16" s="629">
        <f t="shared" si="7"/>
        <v>-0.47482857213794594</v>
      </c>
      <c r="AB16" s="629">
        <f t="shared" si="8"/>
        <v>-0.15217901441929027</v>
      </c>
      <c r="AC16" s="636">
        <f t="shared" si="84"/>
        <v>1</v>
      </c>
      <c r="AD16" s="637">
        <f t="shared" si="115"/>
        <v>0.86682142027744846</v>
      </c>
      <c r="AE16" s="629">
        <f t="shared" si="85"/>
        <v>-0.47482857213794594</v>
      </c>
      <c r="AF16" s="633">
        <f t="shared" si="86"/>
        <v>-0.15217901441929027</v>
      </c>
      <c r="AG16" s="602">
        <f t="shared" si="87"/>
        <v>-72.229733001975603</v>
      </c>
      <c r="AH16" s="603">
        <f t="shared" si="88"/>
        <v>29.908657077986849</v>
      </c>
      <c r="AI16" s="585">
        <f t="shared" si="89"/>
        <v>-81.246775191528315</v>
      </c>
      <c r="AJ16" s="586">
        <f t="shared" si="90"/>
        <v>61.286895872772682</v>
      </c>
      <c r="AK16" s="635">
        <f t="shared" si="211"/>
        <v>0.87848963970032046</v>
      </c>
      <c r="AL16" s="629">
        <f t="shared" si="91"/>
        <v>-0.45287691540812153</v>
      </c>
      <c r="AM16" s="634">
        <f t="shared" si="92"/>
        <v>-0.15217901441929027</v>
      </c>
      <c r="AN16" s="581">
        <f t="shared" si="93"/>
        <v>-71.426245171542092</v>
      </c>
      <c r="AO16" s="582">
        <f t="shared" si="94"/>
        <v>28.539297144832386</v>
      </c>
      <c r="AP16" s="585">
        <f t="shared" si="95"/>
        <v>-27.271904335310879</v>
      </c>
      <c r="AQ16" s="586">
        <f t="shared" si="9"/>
        <v>0.56959788460641092</v>
      </c>
      <c r="AS16" s="52">
        <f t="shared" si="116"/>
        <v>-1.4411997919164605</v>
      </c>
      <c r="AT16" s="72">
        <f t="shared" si="10"/>
        <v>-1.4616035780260737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0.10835000177577031</v>
      </c>
      <c r="C17" s="708">
        <v>4.0754722605025862</v>
      </c>
      <c r="D17" s="709">
        <v>-2.155306500404405</v>
      </c>
      <c r="E17" s="710">
        <v>-0.84786895559918396</v>
      </c>
      <c r="F17" s="708">
        <v>0.51740233842364125</v>
      </c>
      <c r="G17" s="711">
        <v>0.11581474139718578</v>
      </c>
      <c r="H17" s="710">
        <v>0.26600000000000001</v>
      </c>
      <c r="I17" s="708">
        <v>0.52</v>
      </c>
      <c r="J17" s="570">
        <v>1.1379999999999999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1.1379999999999999</v>
      </c>
      <c r="N17" s="632">
        <f t="shared" si="2"/>
        <v>0.10835000177577031</v>
      </c>
      <c r="O17" s="629">
        <f t="shared" si="3"/>
        <v>4.0754722605025862</v>
      </c>
      <c r="P17" s="633">
        <f t="shared" si="4"/>
        <v>-2.155306500404405</v>
      </c>
      <c r="Q17" s="585">
        <f>IF(M17="","",IF(DEGREES(ATAN2(N17,O17))&lt;0,DEGREES(ATAN2(N17,O17))+360,IF(DEGREES(ATAN2(N17,O17))&gt;360,DEGREES(ATAN2(N17,O17))-360,DEGREES(ATAN2(N17,O17)))))</f>
        <v>88.477100219879517</v>
      </c>
      <c r="R17" s="629">
        <f>IF(M17="","",SQRT(N17^2+O17^2))</f>
        <v>4.0769122959674853</v>
      </c>
      <c r="S17" s="634">
        <f>IF(M17="","",P17)</f>
        <v>-2.155306500404405</v>
      </c>
      <c r="T17" s="635">
        <f>IF(M17="","",X17*COS(RADIANS(W17)))</f>
        <v>4.0754722605025862</v>
      </c>
      <c r="U17" s="629">
        <f>IF(M17="","",X17*SIN(RADIANS(W17)))</f>
        <v>-0.10835000177577221</v>
      </c>
      <c r="V17" s="636">
        <f>IF(M17="","",Y17)</f>
        <v>-2.155306500404405</v>
      </c>
      <c r="W17" s="585">
        <f t="shared" si="224"/>
        <v>358.4771002198795</v>
      </c>
      <c r="X17" s="629">
        <f>IF(M17="","",R17)</f>
        <v>4.0769122959674853</v>
      </c>
      <c r="Y17" s="630">
        <f t="shared" si="223"/>
        <v>-2.155306500404405</v>
      </c>
      <c r="Z17" s="632">
        <f t="shared" si="6"/>
        <v>0.84786895559918396</v>
      </c>
      <c r="AA17" s="629">
        <f t="shared" si="7"/>
        <v>-0.51740233842364125</v>
      </c>
      <c r="AB17" s="629">
        <f t="shared" si="8"/>
        <v>-0.11581474139718578</v>
      </c>
      <c r="AC17" s="636">
        <f>IF(M17="","",SQRT(Z17^2+AA17^2+AB17^2))</f>
        <v>1</v>
      </c>
      <c r="AD17" s="637">
        <f>IF(M17="","",Z17*(1/SQRT(Z17^2+AA17^2+AB17^2)))</f>
        <v>0.84786895559918396</v>
      </c>
      <c r="AE17" s="629">
        <f>IF(M17="","",AA17*(1/SQRT(Z17^2+AA17^2+AB17^2)))</f>
        <v>-0.51740233842364125</v>
      </c>
      <c r="AF17" s="633">
        <f>IF(M17="","",AB17*(1/SQRT(Z17^2+AA17^2+AB17^2)))</f>
        <v>-0.11581474139718578</v>
      </c>
      <c r="AG17" s="602">
        <f>IF(M17="","",DEGREES(ATAN2(-AF17,AE17)))</f>
        <v>-77.382955806268711</v>
      </c>
      <c r="AH17" s="603">
        <f>IF(M17="","",DEGREES(ACOS(AD17)))</f>
        <v>32.019363748143462</v>
      </c>
      <c r="AI17" s="585">
        <f>IF(M17="","",DEGREES(-ACOS(-AF17)))</f>
        <v>-83.349379695737113</v>
      </c>
      <c r="AJ17" s="586">
        <f>IF(M17="","",DEGREES(ATAN2(-AE17,AD17)))</f>
        <v>58.606847887886893</v>
      </c>
      <c r="AK17" s="635">
        <f>IF(M17="","",(COS(RADIANS((90-$Q$8)-W17))*AD17)+(-SIN(RADIANS((90-$Q$8)-W17))*AE17))</f>
        <v>0.86132020962188716</v>
      </c>
      <c r="AL17" s="629">
        <f>IF(M17="","",(SIN(RADIANS((90-$Q$8)-W17))*AD17)+(COS(RADIANS((90-$Q$8)-W17))*AE17))</f>
        <v>-0.49468620576281641</v>
      </c>
      <c r="AM17" s="634">
        <f>IF(M17="","",AF17)</f>
        <v>-0.11581474139718578</v>
      </c>
      <c r="AN17" s="581">
        <f>IF(M17="","",DEGREES(ATAN2(-AM17,AL17)))</f>
        <v>-76.823370719154866</v>
      </c>
      <c r="AO17" s="582">
        <f t="shared" si="94"/>
        <v>30.534859319776171</v>
      </c>
      <c r="AP17" s="585">
        <f>IF(M17="","",DEGREES(ATAN2(AK17,AL17)))</f>
        <v>-29.870252331992599</v>
      </c>
      <c r="AQ17" s="586">
        <f t="shared" si="9"/>
        <v>0.55916195652853284</v>
      </c>
      <c r="AS17" s="52">
        <f t="shared" si="116"/>
        <v>-1.5228997801204969</v>
      </c>
      <c r="AT17" s="72">
        <f t="shared" si="10"/>
        <v>-2.1542489311126545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1.1379999999999999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0.90979396314404926</v>
      </c>
      <c r="C18" s="708">
        <v>3.141106169602788</v>
      </c>
      <c r="D18" s="709">
        <v>-0.32736024735764396</v>
      </c>
      <c r="E18" s="710">
        <v>-0.84627048688804241</v>
      </c>
      <c r="F18" s="708">
        <v>0.44906154610392035</v>
      </c>
      <c r="G18" s="711">
        <v>0.28665308446453608</v>
      </c>
      <c r="H18" s="710">
        <v>0.26600000000000001</v>
      </c>
      <c r="I18" s="708">
        <v>0.52</v>
      </c>
      <c r="J18" s="570">
        <v>1.22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1.22</v>
      </c>
      <c r="N18" s="632">
        <f t="shared" si="2"/>
        <v>0.90979396314404926</v>
      </c>
      <c r="O18" s="629">
        <f t="shared" si="3"/>
        <v>3.141106169602788</v>
      </c>
      <c r="P18" s="633">
        <f t="shared" si="4"/>
        <v>-0.32736024735764396</v>
      </c>
      <c r="Q18" s="585">
        <f t="shared" si="113"/>
        <v>73.846802332233196</v>
      </c>
      <c r="R18" s="629">
        <f>IF(M18="","",SQRT(N18^2+O18^2))</f>
        <v>3.270209935782419</v>
      </c>
      <c r="S18" s="634">
        <f>IF(M18="","",P18)</f>
        <v>-0.32736024735764396</v>
      </c>
      <c r="T18" s="635">
        <f>IF(M18="","",X18*COS(RADIANS(W18)))</f>
        <v>3.1411061696027884</v>
      </c>
      <c r="U18" s="629">
        <f>IF(M18="","",X18*SIN(RADIANS(W18)))</f>
        <v>-0.90979396314404803</v>
      </c>
      <c r="V18" s="636">
        <f>IF(M18="","",Y18)</f>
        <v>-0.32736024735764396</v>
      </c>
      <c r="W18" s="585">
        <f t="shared" si="224"/>
        <v>343.84680233223321</v>
      </c>
      <c r="X18" s="629">
        <f>IF(M18="","",R18)</f>
        <v>3.270209935782419</v>
      </c>
      <c r="Y18" s="630">
        <f t="shared" si="223"/>
        <v>-0.32736024735764396</v>
      </c>
      <c r="Z18" s="632">
        <f t="shared" si="6"/>
        <v>0.84627048688804241</v>
      </c>
      <c r="AA18" s="629">
        <f t="shared" si="7"/>
        <v>-0.44906154610392035</v>
      </c>
      <c r="AB18" s="629">
        <f t="shared" si="8"/>
        <v>-0.28665308446453608</v>
      </c>
      <c r="AC18" s="636">
        <f>IF(M18="","",SQRT(Z18^2+AA18^2+AB18^2))</f>
        <v>1</v>
      </c>
      <c r="AD18" s="637">
        <f>IF(M18="","",Z18*(1/SQRT(Z18^2+AA18^2+AB18^2)))</f>
        <v>0.84627048688804241</v>
      </c>
      <c r="AE18" s="629">
        <f>IF(M18="","",AA18*(1/SQRT(Z18^2+AA18^2+AB18^2)))</f>
        <v>-0.44906154610392035</v>
      </c>
      <c r="AF18" s="633">
        <f>IF(M18="","",AB18*(1/SQRT(Z18^2+AA18^2+AB18^2)))</f>
        <v>-0.28665308446453608</v>
      </c>
      <c r="AG18" s="602">
        <f>IF(M18="","",DEGREES(ATAN2(-AF18,AE18)))</f>
        <v>-57.448359758330469</v>
      </c>
      <c r="AH18" s="603">
        <f>IF(M18="","",DEGREES(ACOS(AD18)))</f>
        <v>32.191685379954663</v>
      </c>
      <c r="AI18" s="585">
        <f>IF(M18="","",DEGREES(-ACOS(-AF18)))</f>
        <v>-73.342313242746016</v>
      </c>
      <c r="AJ18" s="586">
        <f>IF(M18="","",DEGREES(ATAN2(-AE18,AD18)))</f>
        <v>62.047971046330424</v>
      </c>
      <c r="AK18" s="635">
        <f>IF(M18="","",(COS(RADIANS((90-$Q$8)-W18))*AD18)+(-SIN(RADIANS((90-$Q$8)-W18))*AE18))</f>
        <v>0.93779267737088512</v>
      </c>
      <c r="AL18" s="629">
        <f>IF(M18="","",(SIN(RADIANS((90-$Q$8)-W18))*AD18)+(COS(RADIANS((90-$Q$8)-W18))*AE18))</f>
        <v>-0.1958951337744633</v>
      </c>
      <c r="AM18" s="634">
        <f>IF(M18="","",AF18)</f>
        <v>-0.28665308446453608</v>
      </c>
      <c r="AN18" s="581">
        <f>IF(M18="","",DEGREES(ATAN2(-AM18,AL18)))</f>
        <v>-34.348212849092562</v>
      </c>
      <c r="AO18" s="582">
        <f t="shared" si="94"/>
        <v>20.315890747911304</v>
      </c>
      <c r="AP18" s="585">
        <f>IF(M18="","",DEGREES(ATAN2(AK18,AL18)))</f>
        <v>-11.798831285902782</v>
      </c>
      <c r="AQ18" s="586">
        <f t="shared" si="9"/>
        <v>0.69708495552429295</v>
      </c>
      <c r="AS18" s="52">
        <f t="shared" si="116"/>
        <v>-16.15319766776679</v>
      </c>
      <c r="AT18" s="72">
        <f t="shared" si="10"/>
        <v>-0.31614274897725037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1.1200000000000001</v>
      </c>
      <c r="II18" s="734" cm="1">
        <f t="array" ref="II18">IFERROR(ROUND(VALUE(IF($IH18&lt;1,$IH18+LARGE((IF($M$9:$M$150="",0,$M$9:$M$150)-MOD(IF($M$9:$M$150="",0,$M$9:$M$150),1)),1),$IH18)),4),"")</f>
        <v>1.1200000000000001</v>
      </c>
      <c r="IJ18" s="533">
        <f t="shared" si="112"/>
        <v>1313</v>
      </c>
      <c r="IK18" s="533">
        <f t="shared" si="66"/>
        <v>1313</v>
      </c>
      <c r="IL18" s="727">
        <f t="shared" si="225"/>
        <v>15.446297769830494</v>
      </c>
      <c r="IM18" s="759">
        <v>7.2923195930449196E-4</v>
      </c>
      <c r="IN18" s="5">
        <f t="shared" si="226"/>
        <v>0</v>
      </c>
      <c r="IO18" s="771">
        <v>0</v>
      </c>
      <c r="IP18" s="9">
        <f t="shared" si="227"/>
        <v>-3.2674098545081218</v>
      </c>
      <c r="IQ18" s="5">
        <f t="shared" si="228"/>
        <v>-0.31440094823326004</v>
      </c>
      <c r="IR18" s="5">
        <f t="shared" si="71"/>
        <v>0.26600000000000001</v>
      </c>
      <c r="IS18" s="5">
        <f t="shared" si="229"/>
        <v>0.25641677401032592</v>
      </c>
      <c r="IT18" s="727">
        <f t="shared" si="230"/>
        <v>37.624084264291653</v>
      </c>
      <c r="IU18" s="9">
        <f t="shared" si="231"/>
        <v>-3.270209935782419</v>
      </c>
      <c r="IV18" s="5">
        <f t="shared" si="232"/>
        <v>-0.32736024735764396</v>
      </c>
      <c r="IW18" s="5">
        <f t="shared" si="76"/>
        <v>0.26600000000000001</v>
      </c>
      <c r="IX18" s="5">
        <f t="shared" si="233"/>
        <v>0.24945285218065547</v>
      </c>
      <c r="IY18" s="762">
        <f t="shared" si="234"/>
        <v>34.348212849092562</v>
      </c>
    </row>
    <row r="19" spans="1:269" ht="15" customHeight="1" thickBot="1" x14ac:dyDescent="0.3">
      <c r="A19" s="79"/>
      <c r="B19" s="707">
        <v>0.94692595427441428</v>
      </c>
      <c r="C19" s="708">
        <v>3.6426280925994794</v>
      </c>
      <c r="D19" s="709">
        <v>-0.81233730488612721</v>
      </c>
      <c r="E19" s="710">
        <v>-0.77721514260198676</v>
      </c>
      <c r="F19" s="708">
        <v>0.56870694920849918</v>
      </c>
      <c r="G19" s="711">
        <v>0.26927500446965913</v>
      </c>
      <c r="H19" s="710">
        <v>0.26600000000000001</v>
      </c>
      <c r="I19" s="708">
        <v>0.52</v>
      </c>
      <c r="J19" s="570">
        <v>1.226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1.226</v>
      </c>
      <c r="N19" s="632">
        <f t="shared" si="2"/>
        <v>0.94692595427441428</v>
      </c>
      <c r="O19" s="629">
        <f t="shared" si="3"/>
        <v>3.6426280925994794</v>
      </c>
      <c r="P19" s="633">
        <f t="shared" si="4"/>
        <v>-0.81233730488612721</v>
      </c>
      <c r="Q19" s="585">
        <f t="shared" si="113"/>
        <v>75.428102103921759</v>
      </c>
      <c r="R19" s="629">
        <f>IF(M19="","",SQRT(N19^2+O19^2))</f>
        <v>3.7636960801681942</v>
      </c>
      <c r="S19" s="634">
        <f>IF(M19="","",P19)</f>
        <v>-0.81233730488612721</v>
      </c>
      <c r="T19" s="635">
        <f>IF(M19="","",X19*COS(RADIANS(W19)))</f>
        <v>3.6426280925994803</v>
      </c>
      <c r="U19" s="629">
        <f>IF(M19="","",X19*SIN(RADIANS(W19)))</f>
        <v>-0.94692595427441051</v>
      </c>
      <c r="V19" s="636">
        <f>IF(M19="","",Y19)</f>
        <v>-0.81233730488612721</v>
      </c>
      <c r="W19" s="585">
        <f t="shared" si="224"/>
        <v>345.42810210392179</v>
      </c>
      <c r="X19" s="629">
        <f>IF(M19="","",R19)</f>
        <v>3.7636960801681942</v>
      </c>
      <c r="Y19" s="630">
        <f t="shared" si="223"/>
        <v>-0.81233730488612721</v>
      </c>
      <c r="Z19" s="632">
        <f t="shared" si="6"/>
        <v>0.77721514260198676</v>
      </c>
      <c r="AA19" s="629">
        <f t="shared" si="7"/>
        <v>-0.56870694920849918</v>
      </c>
      <c r="AB19" s="629">
        <f t="shared" si="8"/>
        <v>-0.26927500446965913</v>
      </c>
      <c r="AC19" s="636">
        <f>IF(M19="","",SQRT(Z19^2+AA19^2+AB19^2))</f>
        <v>1</v>
      </c>
      <c r="AD19" s="637">
        <f>IF(M19="","",Z19*(1/SQRT(Z19^2+AA19^2+AB19^2)))</f>
        <v>0.77721514260198676</v>
      </c>
      <c r="AE19" s="629">
        <f>IF(M19="","",AA19*(1/SQRT(Z19^2+AA19^2+AB19^2)))</f>
        <v>-0.56870694920849918</v>
      </c>
      <c r="AF19" s="633">
        <f>IF(M19="","",AB19*(1/SQRT(Z19^2+AA19^2+AB19^2)))</f>
        <v>-0.26927500446965913</v>
      </c>
      <c r="AG19" s="602">
        <f>IF(M19="","",DEGREES(ATAN2(-AF19,AE19)))</f>
        <v>-64.663081611820232</v>
      </c>
      <c r="AH19" s="603">
        <f>IF(M19="","",DEGREES(ACOS(AD19)))</f>
        <v>38.993701051517561</v>
      </c>
      <c r="AI19" s="585">
        <f>IF(M19="","",DEGREES(-ACOS(-AF19)))</f>
        <v>-74.378870042561516</v>
      </c>
      <c r="AJ19" s="586">
        <f>IF(M19="","",DEGREES(ATAN2(-AE19,AD19)))</f>
        <v>53.806171291428129</v>
      </c>
      <c r="AK19" s="635">
        <f>IF(M19="","",(COS(RADIANS((90-$Q$8)-W19))*AD19)+(-SIN(RADIANS((90-$Q$8)-W19))*AE19))</f>
        <v>0.89529786976499726</v>
      </c>
      <c r="AL19" s="629">
        <f>IF(M19="","",(SIN(RADIANS((90-$Q$8)-W19))*AD19)+(COS(RADIANS((90-$Q$8)-W19))*AE19))</f>
        <v>-0.35486997106281482</v>
      </c>
      <c r="AM19" s="634">
        <f>IF(M19="","",AF19)</f>
        <v>-0.26927500446965913</v>
      </c>
      <c r="AN19" s="581">
        <f>IF(M19="","",DEGREES(ATAN2(-AM19,AL19)))</f>
        <v>-52.808806969786581</v>
      </c>
      <c r="AO19" s="582">
        <f t="shared" si="94"/>
        <v>26.453284106039799</v>
      </c>
      <c r="AP19" s="585">
        <f>IF(M19="","",DEGREES(ATAN2(AK19,AL19)))</f>
        <v>-21.62193081249368</v>
      </c>
      <c r="AQ19" s="586">
        <f t="shared" si="9"/>
        <v>0.60569229309069661</v>
      </c>
      <c r="AS19" s="52">
        <f t="shared" si="116"/>
        <v>-14.571897896078212</v>
      </c>
      <c r="AT19" s="72">
        <f t="shared" si="10"/>
        <v>-0.802217931347184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1.226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1.1259999999999999</v>
      </c>
      <c r="II19" s="734" cm="1">
        <f t="array" ref="II19">IFERROR(ROUND(VALUE(IF($IH19&lt;1,$IH19+LARGE((IF($M$9:$M$150="",0,$M$9:$M$150)-MOD(IF($M$9:$M$150="",0,$M$9:$M$150),1)),1),$IH19)),4),"")</f>
        <v>1.1259999999999999</v>
      </c>
      <c r="IJ19" s="533">
        <f t="shared" si="112"/>
        <v>1313</v>
      </c>
      <c r="IK19" s="533">
        <f t="shared" si="66"/>
        <v>1313</v>
      </c>
      <c r="IL19" s="727">
        <f t="shared" si="225"/>
        <v>13.389298066824495</v>
      </c>
      <c r="IM19" s="759">
        <v>9.6336381708428799E-4</v>
      </c>
      <c r="IN19" s="5">
        <f t="shared" si="226"/>
        <v>0</v>
      </c>
      <c r="IO19" s="771">
        <v>0</v>
      </c>
      <c r="IP19" s="9">
        <f t="shared" si="227"/>
        <v>-3.757611332955781</v>
      </c>
      <c r="IQ19" s="5">
        <f t="shared" si="228"/>
        <v>-0.80250242034730013</v>
      </c>
      <c r="IR19" s="5">
        <f t="shared" si="71"/>
        <v>0.26600000000000001</v>
      </c>
      <c r="IS19" s="5">
        <f t="shared" si="229"/>
        <v>0.24736641411341082</v>
      </c>
      <c r="IT19" s="727">
        <f t="shared" si="230"/>
        <v>55.265971340343825</v>
      </c>
      <c r="IU19" s="9">
        <f t="shared" si="231"/>
        <v>-3.7636960801681942</v>
      </c>
      <c r="IV19" s="5">
        <f t="shared" si="232"/>
        <v>-0.81233730488612721</v>
      </c>
      <c r="IW19" s="5">
        <f t="shared" si="76"/>
        <v>0.26600000000000001</v>
      </c>
      <c r="IX19" s="5">
        <f t="shared" si="233"/>
        <v>0.23814923335748928</v>
      </c>
      <c r="IY19" s="762">
        <f t="shared" si="234"/>
        <v>52.808806969786581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2.2384501258936944</v>
      </c>
      <c r="C20" s="708">
        <v>1.0377605910182666</v>
      </c>
      <c r="D20" s="709">
        <v>-6.550019754859579E-2</v>
      </c>
      <c r="E20" s="710">
        <v>-0.38925964273494429</v>
      </c>
      <c r="F20" s="708">
        <v>0.89535276128054986</v>
      </c>
      <c r="G20" s="711">
        <v>0.21638013634610356</v>
      </c>
      <c r="H20" s="710">
        <v>0.26600000000000001</v>
      </c>
      <c r="I20" s="708">
        <v>0.52</v>
      </c>
      <c r="J20" s="570">
        <v>2.113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2.113</v>
      </c>
      <c r="N20" s="632">
        <f t="shared" si="2"/>
        <v>2.2384501258936944</v>
      </c>
      <c r="O20" s="629">
        <f t="shared" si="3"/>
        <v>1.0377605910182666</v>
      </c>
      <c r="P20" s="633">
        <f t="shared" si="4"/>
        <v>-6.550019754859579E-2</v>
      </c>
      <c r="Q20" s="585">
        <f t="shared" si="113"/>
        <v>24.872757425641364</v>
      </c>
      <c r="R20" s="629">
        <f>IF(M20="","",SQRT(N20^2+O20^2))</f>
        <v>2.4673074413992429</v>
      </c>
      <c r="S20" s="634">
        <f>IF(M20="","",P20)</f>
        <v>-6.550019754859579E-2</v>
      </c>
      <c r="T20" s="635">
        <f>IF(M20="","",X20*COS(RADIANS(W20)))</f>
        <v>1.037760591018265</v>
      </c>
      <c r="U20" s="629">
        <f>IF(M20="","",X20*SIN(RADIANS(W20)))</f>
        <v>-2.2384501258936953</v>
      </c>
      <c r="V20" s="636">
        <f>IF(M20="","",Y20)</f>
        <v>-6.550019754859579E-2</v>
      </c>
      <c r="W20" s="585">
        <f t="shared" si="224"/>
        <v>294.87275742564134</v>
      </c>
      <c r="X20" s="629">
        <f>IF(M20="","",R20)</f>
        <v>2.4673074413992429</v>
      </c>
      <c r="Y20" s="630">
        <f t="shared" si="223"/>
        <v>-6.550019754859579E-2</v>
      </c>
      <c r="Z20" s="632">
        <f t="shared" si="6"/>
        <v>0.38925964273494429</v>
      </c>
      <c r="AA20" s="629">
        <f t="shared" si="7"/>
        <v>-0.89535276128054986</v>
      </c>
      <c r="AB20" s="629">
        <f t="shared" si="8"/>
        <v>-0.21638013634610356</v>
      </c>
      <c r="AC20" s="636">
        <f>IF(M20="","",SQRT(Z20^2+AA20^2+AB20^2))</f>
        <v>1</v>
      </c>
      <c r="AD20" s="637">
        <f>IF(M20="","",Z20*(1/SQRT(Z20^2+AA20^2+AB20^2)))</f>
        <v>0.38925964273494429</v>
      </c>
      <c r="AE20" s="629">
        <f>IF(M20="","",AA20*(1/SQRT(Z20^2+AA20^2+AB20^2)))</f>
        <v>-0.89535276128054986</v>
      </c>
      <c r="AF20" s="633">
        <f>IF(M20="","",AB20*(1/SQRT(Z20^2+AA20^2+AB20^2)))</f>
        <v>-0.21638013634610356</v>
      </c>
      <c r="AG20" s="602">
        <f>IF(M20="","",DEGREES(ATAN2(-AF20,AE20)))</f>
        <v>-76.41381416512958</v>
      </c>
      <c r="AH20" s="603">
        <f>IF(M20="","",DEGREES(ACOS(AD20)))</f>
        <v>67.091559945625264</v>
      </c>
      <c r="AI20" s="585">
        <f>IF(M20="","",DEGREES(-ACOS(-AF20)))</f>
        <v>-77.50349053152091</v>
      </c>
      <c r="AJ20" s="586">
        <f>IF(M20="","",DEGREES(ATAN2(-AE20,AD20)))</f>
        <v>23.497265051727766</v>
      </c>
      <c r="AK20" s="635">
        <f>IF(M20="","",(COS(RADIANS((90-$Q$8)-W20))*AD20)+(-SIN(RADIANS((90-$Q$8)-W20))*AE20))</f>
        <v>0.97602786653380691</v>
      </c>
      <c r="AL20" s="629">
        <f>IF(M20="","",(SIN(RADIANS((90-$Q$8)-W20))*AD20)+(COS(RADIANS((90-$Q$8)-W20))*AE20))</f>
        <v>-2.3435877289040119E-2</v>
      </c>
      <c r="AM20" s="634">
        <f>IF(M20="","",AF20)</f>
        <v>-0.21638013634610356</v>
      </c>
      <c r="AN20" s="581">
        <f>IF(M20="","",DEGREES(ATAN2(-AM20,AL20)))</f>
        <v>-6.181541957120845</v>
      </c>
      <c r="AO20" s="582">
        <f t="shared" si="94"/>
        <v>12.570784821663317</v>
      </c>
      <c r="AP20" s="585">
        <f>IF(M20="","",DEGREES(ATAN2(AK20,AL20)))</f>
        <v>-1.3754923739135563</v>
      </c>
      <c r="AQ20" s="586">
        <f t="shared" si="9"/>
        <v>0.92389339186013264</v>
      </c>
      <c r="AS20" s="52">
        <f t="shared" si="116"/>
        <v>-65.127242574358661</v>
      </c>
      <c r="AT20" s="72">
        <f t="shared" si="10"/>
        <v>-2.027294576084672E-2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2.113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2.8798148417101395</v>
      </c>
      <c r="C21" s="708">
        <v>1.3055031188519068</v>
      </c>
      <c r="D21" s="709">
        <v>-0.25320076365350319</v>
      </c>
      <c r="E21" s="710">
        <v>-0.27221935043570206</v>
      </c>
      <c r="F21" s="708">
        <v>0.94012706171894189</v>
      </c>
      <c r="G21" s="711">
        <v>0.20507982122108792</v>
      </c>
      <c r="H21" s="710">
        <v>0.26600000000000001</v>
      </c>
      <c r="I21" s="708">
        <v>0.52</v>
      </c>
      <c r="J21" s="570">
        <v>2.1190000000000002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2.1190000000000002</v>
      </c>
      <c r="N21" s="632">
        <f t="shared" si="2"/>
        <v>2.8798148417101395</v>
      </c>
      <c r="O21" s="629">
        <f t="shared" si="3"/>
        <v>1.3055031188519068</v>
      </c>
      <c r="P21" s="633">
        <f t="shared" si="4"/>
        <v>-0.25320076365350319</v>
      </c>
      <c r="Q21" s="585">
        <f t="shared" si="113"/>
        <v>24.386157495897688</v>
      </c>
      <c r="R21" s="629">
        <f>IF(M21="","",SQRT(N21^2+O21^2))</f>
        <v>3.1619095363191612</v>
      </c>
      <c r="S21" s="634">
        <f>IF(M21="","",P21)</f>
        <v>-0.25320076365350319</v>
      </c>
      <c r="T21" s="635">
        <f>IF(M21="","",X21*COS(RADIANS(W21)))</f>
        <v>1.3055031188519064</v>
      </c>
      <c r="U21" s="629">
        <f>IF(M21="","",X21*SIN(RADIANS(W21)))</f>
        <v>-2.8798148417101399</v>
      </c>
      <c r="V21" s="636">
        <f>IF(M21="","",Y21)</f>
        <v>-0.25320076365350319</v>
      </c>
      <c r="W21" s="585">
        <f t="shared" si="224"/>
        <v>294.38615749589769</v>
      </c>
      <c r="X21" s="629">
        <f>IF(M21="","",R21)</f>
        <v>3.1619095363191612</v>
      </c>
      <c r="Y21" s="630">
        <f t="shared" si="223"/>
        <v>-0.25320076365350319</v>
      </c>
      <c r="Z21" s="632">
        <f t="shared" si="6"/>
        <v>0.27221935043570206</v>
      </c>
      <c r="AA21" s="629">
        <f t="shared" si="7"/>
        <v>-0.94012706171894189</v>
      </c>
      <c r="AB21" s="629">
        <f t="shared" si="8"/>
        <v>-0.20507982122108792</v>
      </c>
      <c r="AC21" s="636">
        <f>IF(M21="","",SQRT(Z21^2+AA21^2+AB21^2))</f>
        <v>1</v>
      </c>
      <c r="AD21" s="637">
        <f>IF(M21="","",Z21*(1/SQRT(Z21^2+AA21^2+AB21^2)))</f>
        <v>0.27221935043570206</v>
      </c>
      <c r="AE21" s="629">
        <f>IF(M21="","",AA21*(1/SQRT(Z21^2+AA21^2+AB21^2)))</f>
        <v>-0.94012706171894189</v>
      </c>
      <c r="AF21" s="633">
        <f>IF(M21="","",AB21*(1/SQRT(Z21^2+AA21^2+AB21^2)))</f>
        <v>-0.20507982122108792</v>
      </c>
      <c r="AG21" s="602">
        <f>IF(M21="","",DEGREES(ATAN2(-AF21,AE21)))</f>
        <v>-77.694242013247816</v>
      </c>
      <c r="AH21" s="603">
        <f>IF(M21="","",DEGREES(ACOS(AD21)))</f>
        <v>74.203626088089763</v>
      </c>
      <c r="AI21" s="585">
        <f>IF(M21="","",DEGREES(-ACOS(-AF21)))</f>
        <v>-78.165828254306376</v>
      </c>
      <c r="AJ21" s="586">
        <f>IF(M21="","",DEGREES(ATAN2(-AE21,AD21)))</f>
        <v>16.148685824116146</v>
      </c>
      <c r="AK21" s="635">
        <f>IF(M21="","",(COS(RADIANS((90-$Q$8)-W21))*AD21)+(-SIN(RADIANS((90-$Q$8)-W21))*AE21))</f>
        <v>0.9686472814154693</v>
      </c>
      <c r="AL21" s="629">
        <f>IF(M21="","",(SIN(RADIANS((90-$Q$8)-W21))*AD21)+(COS(RADIANS((90-$Q$8)-W21))*AE21))</f>
        <v>-0.14023092074983787</v>
      </c>
      <c r="AM21" s="634">
        <f>IF(M21="","",AF21)</f>
        <v>-0.20507982122108792</v>
      </c>
      <c r="AN21" s="581">
        <f>IF(M21="","",DEGREES(ATAN2(-AM21,AL21)))</f>
        <v>-34.363813884956848</v>
      </c>
      <c r="AO21" s="582">
        <f>IF(ROUND(IF(M21="",0,DEGREES(ACOS(AK21))),4)=90,0,IF(M21="","",DEGREES(ACOS(AK21))))</f>
        <v>14.385219872175353</v>
      </c>
      <c r="AP21" s="585">
        <f>IF(M21="","",DEGREES(ATAN2(AK21,AL21)))</f>
        <v>-8.2374716717815346</v>
      </c>
      <c r="AQ21" s="586">
        <f t="shared" si="9"/>
        <v>0.72095873860577109</v>
      </c>
      <c r="AS21" s="52">
        <f t="shared" si="116"/>
        <v>-65.613842504102308</v>
      </c>
      <c r="AT21" s="72">
        <f t="shared" si="10"/>
        <v>-0.20763559524787659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2.1190000000000002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3.3742245447467556</v>
      </c>
      <c r="C22" s="708">
        <v>1.4945711867030047</v>
      </c>
      <c r="D22" s="709">
        <v>-0.70770213442963725</v>
      </c>
      <c r="E22" s="710">
        <v>-0.13641350950521589</v>
      </c>
      <c r="F22" s="708">
        <v>0.96999468955853441</v>
      </c>
      <c r="G22" s="711">
        <v>0.20125023391964775</v>
      </c>
      <c r="H22" s="710">
        <v>0.26600000000000001</v>
      </c>
      <c r="I22" s="708">
        <v>0.52</v>
      </c>
      <c r="J22" s="570">
        <v>2.125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2.125</v>
      </c>
      <c r="N22" s="632">
        <f t="shared" si="2"/>
        <v>3.3742245447467556</v>
      </c>
      <c r="O22" s="629">
        <f t="shared" si="3"/>
        <v>1.4945711867030047</v>
      </c>
      <c r="P22" s="633">
        <f t="shared" si="4"/>
        <v>-0.70770213442963725</v>
      </c>
      <c r="Q22" s="585">
        <f t="shared" si="113"/>
        <v>23.890357567482337</v>
      </c>
      <c r="R22" s="629">
        <f t="shared" si="79"/>
        <v>3.6904111302799691</v>
      </c>
      <c r="S22" s="634">
        <f t="shared" si="80"/>
        <v>-0.70770213442963725</v>
      </c>
      <c r="T22" s="635">
        <f t="shared" si="81"/>
        <v>1.4945711867030054</v>
      </c>
      <c r="U22" s="629">
        <f t="shared" si="82"/>
        <v>-3.3742245447467552</v>
      </c>
      <c r="V22" s="636">
        <f t="shared" si="114"/>
        <v>-0.70770213442963725</v>
      </c>
      <c r="W22" s="585">
        <f t="shared" si="224"/>
        <v>293.89035756748234</v>
      </c>
      <c r="X22" s="629">
        <f t="shared" si="83"/>
        <v>3.6904111302799691</v>
      </c>
      <c r="Y22" s="630">
        <f t="shared" si="223"/>
        <v>-0.70770213442963725</v>
      </c>
      <c r="Z22" s="632">
        <f t="shared" si="6"/>
        <v>0.13641350950521589</v>
      </c>
      <c r="AA22" s="629">
        <f t="shared" si="7"/>
        <v>-0.96999468955853441</v>
      </c>
      <c r="AB22" s="629">
        <f t="shared" si="8"/>
        <v>-0.20125023391964775</v>
      </c>
      <c r="AC22" s="636">
        <f t="shared" si="84"/>
        <v>1</v>
      </c>
      <c r="AD22" s="637">
        <f t="shared" si="115"/>
        <v>0.13641350950521589</v>
      </c>
      <c r="AE22" s="629">
        <f t="shared" si="85"/>
        <v>-0.96999468955853441</v>
      </c>
      <c r="AF22" s="633">
        <f t="shared" si="86"/>
        <v>-0.20125023391964775</v>
      </c>
      <c r="AG22" s="602">
        <f t="shared" si="87"/>
        <v>-78.278819134860669</v>
      </c>
      <c r="AH22" s="603">
        <f t="shared" si="88"/>
        <v>82.159635762181082</v>
      </c>
      <c r="AI22" s="585">
        <f t="shared" si="89"/>
        <v>-78.389921169410698</v>
      </c>
      <c r="AJ22" s="586">
        <f t="shared" si="90"/>
        <v>8.0051926024171571</v>
      </c>
      <c r="AK22" s="635">
        <f t="shared" si="211"/>
        <v>0.94213340135416834</v>
      </c>
      <c r="AL22" s="629">
        <f t="shared" si="91"/>
        <v>-0.26811004718233256</v>
      </c>
      <c r="AM22" s="634">
        <f t="shared" si="92"/>
        <v>-0.20125023391964775</v>
      </c>
      <c r="AN22" s="581">
        <f t="shared" si="93"/>
        <v>-53.107173181333962</v>
      </c>
      <c r="AO22" s="582">
        <f t="shared" si="94"/>
        <v>19.587023710551705</v>
      </c>
      <c r="AP22" s="585">
        <f t="shared" si="95"/>
        <v>-15.885164965065186</v>
      </c>
      <c r="AQ22" s="586">
        <f t="shared" si="9"/>
        <v>0.61771933335933549</v>
      </c>
      <c r="AS22" s="52">
        <f t="shared" si="116"/>
        <v>-66.10964243251766</v>
      </c>
      <c r="AT22" s="72">
        <f t="shared" si="10"/>
        <v>-0.66179266051816665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2.125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3.6481660983934461</v>
      </c>
      <c r="C23" s="708">
        <v>1.5937807035729679</v>
      </c>
      <c r="D23" s="709">
        <v>-1.3463040604530467</v>
      </c>
      <c r="E23" s="710">
        <v>3.9535141581852007E-2</v>
      </c>
      <c r="F23" s="708">
        <v>0.98486823257588463</v>
      </c>
      <c r="G23" s="711">
        <v>0.16873510909990314</v>
      </c>
      <c r="H23" s="710">
        <v>0.26600000000000001</v>
      </c>
      <c r="I23" s="708">
        <v>0.52</v>
      </c>
      <c r="J23" s="570">
        <v>2.1309999999999998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2.1309999999999998</v>
      </c>
      <c r="N23" s="632">
        <f t="shared" si="2"/>
        <v>3.6481660983934461</v>
      </c>
      <c r="O23" s="629">
        <f t="shared" si="3"/>
        <v>1.5937807035729679</v>
      </c>
      <c r="P23" s="633">
        <f t="shared" si="4"/>
        <v>-1.3463040604530467</v>
      </c>
      <c r="Q23" s="585">
        <f t="shared" si="113"/>
        <v>23.599157609526408</v>
      </c>
      <c r="R23" s="629">
        <f t="shared" si="79"/>
        <v>3.981112007033814</v>
      </c>
      <c r="S23" s="634">
        <f t="shared" si="80"/>
        <v>-1.3463040604530467</v>
      </c>
      <c r="T23" s="635">
        <f t="shared" si="81"/>
        <v>1.5937807035729661</v>
      </c>
      <c r="U23" s="629">
        <f t="shared" si="82"/>
        <v>-3.648166098393447</v>
      </c>
      <c r="V23" s="636">
        <f t="shared" si="114"/>
        <v>-1.3463040604530467</v>
      </c>
      <c r="W23" s="585">
        <f t="shared" si="224"/>
        <v>293.5991576095264</v>
      </c>
      <c r="X23" s="629">
        <f t="shared" si="83"/>
        <v>3.981112007033814</v>
      </c>
      <c r="Y23" s="630">
        <f t="shared" si="223"/>
        <v>-1.3463040604530467</v>
      </c>
      <c r="Z23" s="632">
        <f t="shared" si="6"/>
        <v>-3.9535141581852007E-2</v>
      </c>
      <c r="AA23" s="629">
        <f t="shared" si="7"/>
        <v>-0.98486823257588463</v>
      </c>
      <c r="AB23" s="629">
        <f t="shared" si="8"/>
        <v>-0.16873510909990314</v>
      </c>
      <c r="AC23" s="636">
        <f t="shared" si="84"/>
        <v>1</v>
      </c>
      <c r="AD23" s="637">
        <f t="shared" si="115"/>
        <v>-3.9535141581852007E-2</v>
      </c>
      <c r="AE23" s="629">
        <f t="shared" si="85"/>
        <v>-0.98486823257588463</v>
      </c>
      <c r="AF23" s="633">
        <f t="shared" si="86"/>
        <v>-0.16873510909990314</v>
      </c>
      <c r="AG23" s="602">
        <f t="shared" si="87"/>
        <v>-80.278041703373617</v>
      </c>
      <c r="AH23" s="603">
        <f t="shared" si="88"/>
        <v>92.265787264635421</v>
      </c>
      <c r="AI23" s="585">
        <f t="shared" si="89"/>
        <v>-80.285716226199639</v>
      </c>
      <c r="AJ23" s="586">
        <f t="shared" si="90"/>
        <v>-2.2987655840892152</v>
      </c>
      <c r="AK23" s="635">
        <f t="shared" si="211"/>
        <v>0.88667501579084618</v>
      </c>
      <c r="AL23" s="629">
        <f t="shared" si="91"/>
        <v>-0.43050653807967509</v>
      </c>
      <c r="AM23" s="634">
        <f t="shared" si="92"/>
        <v>-0.16873510909990314</v>
      </c>
      <c r="AN23" s="581">
        <f t="shared" si="93"/>
        <v>-68.597526305151987</v>
      </c>
      <c r="AO23" s="582">
        <f t="shared" si="94"/>
        <v>27.541640620736516</v>
      </c>
      <c r="AP23" s="585">
        <f t="shared" si="95"/>
        <v>-25.89792319361559</v>
      </c>
      <c r="AQ23" s="586">
        <f t="shared" si="9"/>
        <v>0.57261657723161075</v>
      </c>
      <c r="AS23" s="52">
        <f t="shared" si="116"/>
        <v>-66.400842390473599</v>
      </c>
      <c r="AT23" s="72">
        <f t="shared" si="10"/>
        <v>-1.3001923643485511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2.1309999999999998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8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3.739412803416033</v>
      </c>
      <c r="C24" s="708">
        <v>1.6241938784083358</v>
      </c>
      <c r="D24" s="709">
        <v>-2.0064060513206501</v>
      </c>
      <c r="E24" s="710">
        <v>0.11059470671750717</v>
      </c>
      <c r="F24" s="708">
        <v>0.98709460363288981</v>
      </c>
      <c r="G24" s="711">
        <v>0.11581474139718537</v>
      </c>
      <c r="H24" s="710">
        <v>0.26600000000000001</v>
      </c>
      <c r="I24" s="708">
        <v>0.52</v>
      </c>
      <c r="J24" s="570">
        <v>2.137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2.137</v>
      </c>
      <c r="N24" s="632">
        <f t="shared" si="2"/>
        <v>3.739412803416033</v>
      </c>
      <c r="O24" s="629">
        <f t="shared" si="3"/>
        <v>1.6241938784083358</v>
      </c>
      <c r="P24" s="633">
        <f t="shared" si="4"/>
        <v>-2.0064060513206501</v>
      </c>
      <c r="Q24" s="585">
        <f t="shared" si="113"/>
        <v>23.477457627097714</v>
      </c>
      <c r="R24" s="629">
        <f t="shared" si="79"/>
        <v>4.0769122959674844</v>
      </c>
      <c r="S24" s="634">
        <f t="shared" si="80"/>
        <v>-2.0064060513206501</v>
      </c>
      <c r="T24" s="635">
        <f t="shared" si="81"/>
        <v>1.624193878408335</v>
      </c>
      <c r="U24" s="629">
        <f t="shared" si="82"/>
        <v>-3.739412803416033</v>
      </c>
      <c r="V24" s="636">
        <f t="shared" si="114"/>
        <v>-2.0064060513206501</v>
      </c>
      <c r="W24" s="585">
        <f t="shared" si="224"/>
        <v>293.47745762709769</v>
      </c>
      <c r="X24" s="629">
        <f t="shared" si="83"/>
        <v>4.0769122959674844</v>
      </c>
      <c r="Y24" s="630">
        <f t="shared" si="223"/>
        <v>-2.0064060513206501</v>
      </c>
      <c r="Z24" s="632">
        <f t="shared" si="6"/>
        <v>-0.11059470671750717</v>
      </c>
      <c r="AA24" s="629">
        <f t="shared" si="7"/>
        <v>-0.98709460363288981</v>
      </c>
      <c r="AB24" s="629">
        <f t="shared" si="8"/>
        <v>-0.11581474139718537</v>
      </c>
      <c r="AC24" s="636">
        <f t="shared" si="84"/>
        <v>1</v>
      </c>
      <c r="AD24" s="637">
        <f t="shared" si="115"/>
        <v>-0.11059470671750717</v>
      </c>
      <c r="AE24" s="629">
        <f t="shared" si="85"/>
        <v>-0.98709460363288981</v>
      </c>
      <c r="AF24" s="633">
        <f t="shared" si="86"/>
        <v>-0.11581474139718537</v>
      </c>
      <c r="AG24" s="602">
        <f t="shared" si="87"/>
        <v>-83.308143157276305</v>
      </c>
      <c r="AH24" s="603">
        <f t="shared" si="88"/>
        <v>96.349598930192101</v>
      </c>
      <c r="AI24" s="585">
        <f t="shared" si="89"/>
        <v>-83.349379695737142</v>
      </c>
      <c r="AJ24" s="586">
        <f t="shared" si="90"/>
        <v>-6.3927947048949187</v>
      </c>
      <c r="AK24" s="635">
        <f>IF(M24="","",(COS(RADIANS((90-$Q$8)-W24))*AD24)+(-SIN(RADIANS((90-$Q$8)-W24))*AE24))</f>
        <v>0.86132020962188693</v>
      </c>
      <c r="AL24" s="629">
        <f t="shared" si="91"/>
        <v>-0.4946862057628168</v>
      </c>
      <c r="AM24" s="634">
        <f t="shared" si="92"/>
        <v>-0.11581474139718537</v>
      </c>
      <c r="AN24" s="581">
        <f t="shared" si="93"/>
        <v>-76.823370719154923</v>
      </c>
      <c r="AO24" s="582">
        <f t="shared" si="94"/>
        <v>30.534859319776199</v>
      </c>
      <c r="AP24" s="585">
        <f t="shared" si="95"/>
        <v>-29.870252331992617</v>
      </c>
      <c r="AQ24" s="586">
        <f t="shared" si="9"/>
        <v>0.55916195652853296</v>
      </c>
      <c r="AS24" s="52">
        <f t="shared" si="116"/>
        <v>-66.522542372902308</v>
      </c>
      <c r="AT24" s="72">
        <f t="shared" si="10"/>
        <v>-1.960209841339468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2.137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3.1302235937736653</v>
      </c>
      <c r="C25" s="708">
        <v>0.46270347550388646</v>
      </c>
      <c r="D25" s="709">
        <v>-0.26704649766082661</v>
      </c>
      <c r="E25" s="710">
        <v>3.0030263963404694E-2</v>
      </c>
      <c r="F25" s="708">
        <v>0.95860784310480929</v>
      </c>
      <c r="G25" s="711">
        <v>0.28314163661361025</v>
      </c>
      <c r="H25" s="710">
        <v>0.26600000000000001</v>
      </c>
      <c r="I25" s="708">
        <v>0.52</v>
      </c>
      <c r="J25" s="570">
        <v>2.2189999999999999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2.2189999999999999</v>
      </c>
      <c r="N25" s="632">
        <f t="shared" si="2"/>
        <v>3.1302235937736653</v>
      </c>
      <c r="O25" s="629">
        <f t="shared" si="3"/>
        <v>0.46270347550388646</v>
      </c>
      <c r="P25" s="633">
        <f t="shared" si="4"/>
        <v>-0.26704649766082661</v>
      </c>
      <c r="Q25" s="585">
        <f t="shared" si="113"/>
        <v>8.4084598027918229</v>
      </c>
      <c r="R25" s="629">
        <f>IF(M25="","",SQRT(N25^2+O25^2))</f>
        <v>3.1642367568278922</v>
      </c>
      <c r="S25" s="634">
        <f>IF(M25="","",P25)</f>
        <v>-0.26704649766082661</v>
      </c>
      <c r="T25" s="635">
        <f>IF(M25="","",X25*COS(RADIANS(W25)))</f>
        <v>0.46270347550388596</v>
      </c>
      <c r="U25" s="629">
        <f>IF(M25="","",X25*SIN(RADIANS(W25)))</f>
        <v>-3.1302235937736658</v>
      </c>
      <c r="V25" s="636">
        <f>IF(M25="","",Y25)</f>
        <v>-0.26704649766082661</v>
      </c>
      <c r="W25" s="585">
        <f t="shared" si="224"/>
        <v>278.40845980279181</v>
      </c>
      <c r="X25" s="629">
        <f>IF(M25="","",R25)</f>
        <v>3.1642367568278922</v>
      </c>
      <c r="Y25" s="630">
        <f t="shared" si="223"/>
        <v>-0.26704649766082661</v>
      </c>
      <c r="Z25" s="632">
        <f t="shared" si="6"/>
        <v>-3.0030263963404694E-2</v>
      </c>
      <c r="AA25" s="629">
        <f t="shared" si="7"/>
        <v>-0.95860784310480929</v>
      </c>
      <c r="AB25" s="629">
        <f t="shared" si="8"/>
        <v>-0.28314163661361025</v>
      </c>
      <c r="AC25" s="636">
        <f>IF(M25="","",SQRT(Z25^2+AA25^2+AB25^2))</f>
        <v>1</v>
      </c>
      <c r="AD25" s="637">
        <f>IF(M25="","",Z25*(1/SQRT(Z25^2+AA25^2+AB25^2)))</f>
        <v>-3.0030263963404694E-2</v>
      </c>
      <c r="AE25" s="629">
        <f>IF(M25="","",AA25*(1/SQRT(Z25^2+AA25^2+AB25^2)))</f>
        <v>-0.95860784310480929</v>
      </c>
      <c r="AF25" s="633">
        <f>IF(M25="","",AB25*(1/SQRT(Z25^2+AA25^2+AB25^2)))</f>
        <v>-0.28314163661361025</v>
      </c>
      <c r="AG25" s="602">
        <f>IF(M25="","",DEGREES(ATAN2(-AF25,AE25)))</f>
        <v>-73.544570327638468</v>
      </c>
      <c r="AH25" s="603">
        <f>IF(M25="","",DEGREES(ACOS(AD25)))</f>
        <v>91.720866099866655</v>
      </c>
      <c r="AI25" s="585">
        <f>IF(M25="","",DEGREES(-ACOS(-AF25)))</f>
        <v>-73.552202762387878</v>
      </c>
      <c r="AJ25" s="586">
        <f>IF(M25="","",DEGREES(ATAN2(-AE25,AD25)))</f>
        <v>-1.7943154449316729</v>
      </c>
      <c r="AK25" s="635">
        <f>IF(M25="","",(COS(RADIANS((90-$Q$8)-W25))*AD25)+(-SIN(RADIANS((90-$Q$8)-W25))*AE25))</f>
        <v>0.94391223214004483</v>
      </c>
      <c r="AL25" s="629">
        <f>IF(M25="","",(SIN(RADIANS((90-$Q$8)-W25))*AD25)+(COS(RADIANS((90-$Q$8)-W25))*AE25))</f>
        <v>-0.16988381804093236</v>
      </c>
      <c r="AM25" s="634">
        <f>IF(M25="","",AF25)</f>
        <v>-0.28314163661361025</v>
      </c>
      <c r="AN25" s="581">
        <f>IF(M25="","",DEGREES(ATAN2(-AM25,AL25)))</f>
        <v>-30.963583348537139</v>
      </c>
      <c r="AO25" s="582">
        <f>IF(ROUND(IF(M25="",0,DEGREES(ACOS(AK25))),4)=90,0,IF(M25="","",DEGREES(ACOS(AK25))))</f>
        <v>19.280699859183478</v>
      </c>
      <c r="AP25" s="585">
        <f>IF(M25="","",DEGREES(ATAN2(AK25,AL25)))</f>
        <v>-10.202775247723485</v>
      </c>
      <c r="AQ25" s="586">
        <f t="shared" si="9"/>
        <v>0.72042854659212108</v>
      </c>
      <c r="AS25" s="52">
        <f t="shared" si="116"/>
        <v>-81.59154019720819</v>
      </c>
      <c r="AT25" s="72">
        <f t="shared" si="10"/>
        <v>-0.21038570585720981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2.2189999999999999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2.1190000000000002</v>
      </c>
      <c r="II25" s="734" cm="1">
        <f t="array" ref="II25">IFERROR(ROUND(VALUE(IF($IH25&lt;1,$IH25+LARGE((IF($M$9:$M$150="",0,$M$9:$M$150)-MOD(IF($M$9:$M$150="",0,$M$9:$M$150),1)),1),$IH25)),4),"")</f>
        <v>2.1190000000000002</v>
      </c>
      <c r="IJ25" s="533">
        <f t="shared" si="112"/>
        <v>1313</v>
      </c>
      <c r="IK25" s="533">
        <f t="shared" si="66"/>
        <v>1313</v>
      </c>
      <c r="IL25" s="727">
        <f t="shared" si="225"/>
        <v>15.977697693105881</v>
      </c>
      <c r="IM25" s="759">
        <v>7.9822035154056596E-4</v>
      </c>
      <c r="IN25" s="5">
        <f t="shared" si="226"/>
        <v>0</v>
      </c>
      <c r="IO25" s="771">
        <v>0</v>
      </c>
      <c r="IP25" s="9">
        <f t="shared" si="227"/>
        <v>-3.1619095363191612</v>
      </c>
      <c r="IQ25" s="5">
        <f t="shared" si="228"/>
        <v>-0.25320076365350319</v>
      </c>
      <c r="IR25" s="5">
        <f t="shared" si="71"/>
        <v>0.26600000000000001</v>
      </c>
      <c r="IS25" s="5">
        <f t="shared" si="229"/>
        <v>0.25766017685651482</v>
      </c>
      <c r="IT25" s="727">
        <f t="shared" si="230"/>
        <v>34.363813884956848</v>
      </c>
      <c r="IU25" s="9">
        <f t="shared" si="231"/>
        <v>-3.1642367568278922</v>
      </c>
      <c r="IV25" s="5">
        <f t="shared" si="232"/>
        <v>-0.26704649766082661</v>
      </c>
      <c r="IW25" s="5">
        <f t="shared" si="76"/>
        <v>0.26600000000000001</v>
      </c>
      <c r="IX25" s="5">
        <f t="shared" si="233"/>
        <v>0.25108065374925193</v>
      </c>
      <c r="IY25" s="762">
        <f t="shared" si="234"/>
        <v>30.963583348537139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3.6367106625234471</v>
      </c>
      <c r="C26" s="708">
        <v>0.65753655164060187</v>
      </c>
      <c r="D26" s="709">
        <v>-0.71813586003728369</v>
      </c>
      <c r="E26" s="710">
        <v>0.15142010284434612</v>
      </c>
      <c r="F26" s="708">
        <v>0.95241136418567185</v>
      </c>
      <c r="G26" s="711">
        <v>0.2645459238480064</v>
      </c>
      <c r="H26" s="710">
        <v>0.26600000000000001</v>
      </c>
      <c r="I26" s="708">
        <v>0.52</v>
      </c>
      <c r="J26" s="570">
        <v>2.2250000000000001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2.2250000000000001</v>
      </c>
      <c r="N26" s="632">
        <f t="shared" si="2"/>
        <v>3.6367106625234471</v>
      </c>
      <c r="O26" s="629">
        <f t="shared" si="3"/>
        <v>0.65753655164060187</v>
      </c>
      <c r="P26" s="633">
        <f t="shared" si="4"/>
        <v>-0.71813586003728369</v>
      </c>
      <c r="Q26" s="585">
        <f t="shared" si="113"/>
        <v>10.248659537099844</v>
      </c>
      <c r="R26" s="629">
        <f>IF(M26="","",SQRT(N26^2+O26^2))</f>
        <v>3.6956756837762623</v>
      </c>
      <c r="S26" s="634">
        <f>IF(M26="","",P26)</f>
        <v>-0.71813586003728369</v>
      </c>
      <c r="T26" s="635">
        <f>IF(M26="","",X26*COS(RADIANS(W26)))</f>
        <v>0.65753655164060165</v>
      </c>
      <c r="U26" s="629">
        <f>IF(M26="","",X26*SIN(RADIANS(W26)))</f>
        <v>-3.6367106625234471</v>
      </c>
      <c r="V26" s="636">
        <f>IF(M26="","",Y26)</f>
        <v>-0.71813586003728369</v>
      </c>
      <c r="W26" s="585">
        <f t="shared" si="224"/>
        <v>280.24865953709985</v>
      </c>
      <c r="X26" s="629">
        <f>IF(M26="","",R26)</f>
        <v>3.6956756837762623</v>
      </c>
      <c r="Y26" s="630">
        <f t="shared" si="223"/>
        <v>-0.71813586003728369</v>
      </c>
      <c r="Z26" s="632">
        <f t="shared" si="6"/>
        <v>-0.15142010284434612</v>
      </c>
      <c r="AA26" s="629">
        <f t="shared" si="7"/>
        <v>-0.95241136418567185</v>
      </c>
      <c r="AB26" s="629">
        <f t="shared" si="8"/>
        <v>-0.2645459238480064</v>
      </c>
      <c r="AC26" s="636">
        <f>IF(M26="","",SQRT(Z26^2+AA26^2+AB26^2))</f>
        <v>1</v>
      </c>
      <c r="AD26" s="637">
        <f>IF(M26="","",Z26*(1/SQRT(Z26^2+AA26^2+AB26^2)))</f>
        <v>-0.15142010284434612</v>
      </c>
      <c r="AE26" s="629">
        <f>IF(M26="","",AA26*(1/SQRT(Z26^2+AA26^2+AB26^2)))</f>
        <v>-0.95241136418567185</v>
      </c>
      <c r="AF26" s="633">
        <f>IF(M26="","",AB26*(1/SQRT(Z26^2+AA26^2+AB26^2)))</f>
        <v>-0.2645459238480064</v>
      </c>
      <c r="AG26" s="602">
        <f>IF(M26="","",DEGREES(ATAN2(-AF26,AE26)))</f>
        <v>-74.47660323020385</v>
      </c>
      <c r="AH26" s="603">
        <f>IF(M26="","",DEGREES(ACOS(AD26)))</f>
        <v>98.709232564048818</v>
      </c>
      <c r="AI26" s="585">
        <f>IF(M26="","",DEGREES(-ACOS(-AF26)))</f>
        <v>-74.660026727854628</v>
      </c>
      <c r="AJ26" s="586">
        <f>IF(M26="","",DEGREES(ATAN2(-AE26,AD26)))</f>
        <v>-9.0336219809631473</v>
      </c>
      <c r="AK26" s="635">
        <f>IF(M26="","",(COS(RADIANS((90-$Q$8)-W26))*AD26)+(-SIN(RADIANS((90-$Q$8)-W26))*AE26))</f>
        <v>0.91027476402684826</v>
      </c>
      <c r="AL26" s="629">
        <f>IF(M26="","",(SIN(RADIANS((90-$Q$8)-W26))*AD26)+(COS(RADIANS((90-$Q$8)-W26))*AE26))</f>
        <v>-0.31845770229540771</v>
      </c>
      <c r="AM26" s="634">
        <f>IF(M26="","",AF26)</f>
        <v>-0.2645459238480064</v>
      </c>
      <c r="AN26" s="581">
        <f>IF(M26="","",DEGREES(ATAN2(-AM26,AL26)))</f>
        <v>-50.283256446964884</v>
      </c>
      <c r="AO26" s="582">
        <f t="shared" si="94"/>
        <v>24.456650466659053</v>
      </c>
      <c r="AP26" s="585">
        <f>IF(M26="","",DEGREES(ATAN2(AK26,AL26)))</f>
        <v>-19.282281518062984</v>
      </c>
      <c r="AQ26" s="586">
        <f t="shared" si="9"/>
        <v>0.61683944959800596</v>
      </c>
      <c r="AS26" s="52">
        <f t="shared" si="116"/>
        <v>-79.751340462900146</v>
      </c>
      <c r="AT26" s="72">
        <f t="shared" si="10"/>
        <v>-0.66275298471582522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2.2250000000000001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2.125</v>
      </c>
      <c r="II26" s="734" cm="1">
        <f t="array" ref="II26">IFERROR(ROUND(VALUE(IF($IH26&lt;1,$IH26+LARGE((IF($M$9:$M$150="",0,$M$9:$M$150)-MOD(IF($M$9:$M$150="",0,$M$9:$M$150),1)),1),$IH26)),4),"")</f>
        <v>2.125</v>
      </c>
      <c r="IJ26" s="533">
        <f t="shared" si="112"/>
        <v>1313</v>
      </c>
      <c r="IK26" s="533">
        <f t="shared" si="66"/>
        <v>1313</v>
      </c>
      <c r="IL26" s="727">
        <f t="shared" si="225"/>
        <v>13.641698030382486</v>
      </c>
      <c r="IM26" s="759">
        <v>1.3647833269699199E-4</v>
      </c>
      <c r="IN26" s="5">
        <f t="shared" si="226"/>
        <v>0</v>
      </c>
      <c r="IO26" s="771">
        <v>0</v>
      </c>
      <c r="IP26" s="9">
        <f t="shared" si="227"/>
        <v>-3.6904111302799691</v>
      </c>
      <c r="IQ26" s="5">
        <f t="shared" si="228"/>
        <v>-0.70770213442963725</v>
      </c>
      <c r="IR26" s="5">
        <f t="shared" si="71"/>
        <v>0.26600000000000001</v>
      </c>
      <c r="IS26" s="5">
        <f t="shared" si="229"/>
        <v>0.25060748476020878</v>
      </c>
      <c r="IT26" s="727">
        <f t="shared" si="230"/>
        <v>53.107173181333962</v>
      </c>
      <c r="IU26" s="9">
        <f t="shared" si="231"/>
        <v>-3.6956756837762623</v>
      </c>
      <c r="IV26" s="5">
        <f t="shared" si="232"/>
        <v>-0.71813586003728369</v>
      </c>
      <c r="IW26" s="5">
        <f t="shared" si="76"/>
        <v>0.26600000000000001</v>
      </c>
      <c r="IX26" s="5">
        <f t="shared" si="233"/>
        <v>0.24213308723114166</v>
      </c>
      <c r="IY26" s="762">
        <f t="shared" si="234"/>
        <v>50.283256446964884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0.55876108064094709</v>
      </c>
      <c r="C27" s="708">
        <v>-0.322601310895691</v>
      </c>
      <c r="D27" s="709">
        <v>-0.23160069850770673</v>
      </c>
      <c r="E27" s="710">
        <v>0.44286750927628515</v>
      </c>
      <c r="F27" s="708">
        <v>0.84556782820430276</v>
      </c>
      <c r="G27" s="711">
        <v>0.2981332204456229</v>
      </c>
      <c r="H27" s="710">
        <v>0.219</v>
      </c>
      <c r="I27" s="708">
        <v>0.42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320"/>
      <c r="M27" s="168">
        <f t="shared" si="1"/>
        <v>3.1030000000000002</v>
      </c>
      <c r="N27" s="632">
        <f t="shared" si="2"/>
        <v>0.55876108064094709</v>
      </c>
      <c r="O27" s="629">
        <f t="shared" si="3"/>
        <v>-0.322601310895691</v>
      </c>
      <c r="P27" s="633">
        <f t="shared" si="4"/>
        <v>-0.23160069850770673</v>
      </c>
      <c r="Q27" s="585">
        <f t="shared" si="113"/>
        <v>329.99996534829228</v>
      </c>
      <c r="R27" s="629">
        <f t="shared" si="79"/>
        <v>0.64520194592906899</v>
      </c>
      <c r="S27" s="634">
        <f t="shared" si="80"/>
        <v>-0.23160069850770673</v>
      </c>
      <c r="T27" s="635">
        <f t="shared" si="81"/>
        <v>-0.32260131089569105</v>
      </c>
      <c r="U27" s="629">
        <f t="shared" si="82"/>
        <v>-0.55876108064094709</v>
      </c>
      <c r="V27" s="636">
        <f t="shared" si="114"/>
        <v>-0.23160069850770673</v>
      </c>
      <c r="W27" s="585">
        <f t="shared" si="224"/>
        <v>239.99996534829228</v>
      </c>
      <c r="X27" s="629">
        <f t="shared" si="83"/>
        <v>0.64520194592906899</v>
      </c>
      <c r="Y27" s="630">
        <f t="shared" si="223"/>
        <v>-0.23160069850770673</v>
      </c>
      <c r="Z27" s="632">
        <f t="shared" si="6"/>
        <v>-0.44286750927628515</v>
      </c>
      <c r="AA27" s="629">
        <f t="shared" si="7"/>
        <v>-0.84556782820430276</v>
      </c>
      <c r="AB27" s="629">
        <f t="shared" si="8"/>
        <v>-0.2981332204456229</v>
      </c>
      <c r="AC27" s="636">
        <f t="shared" si="84"/>
        <v>1</v>
      </c>
      <c r="AD27" s="637">
        <f t="shared" si="115"/>
        <v>-0.44286750927628515</v>
      </c>
      <c r="AE27" s="629">
        <f t="shared" si="85"/>
        <v>-0.84556782820430276</v>
      </c>
      <c r="AF27" s="633">
        <f t="shared" si="86"/>
        <v>-0.2981332204456229</v>
      </c>
      <c r="AG27" s="602">
        <f t="shared" si="87"/>
        <v>-70.578193182808619</v>
      </c>
      <c r="AH27" s="603">
        <f t="shared" si="88"/>
        <v>116.28698314037432</v>
      </c>
      <c r="AI27" s="585">
        <f t="shared" si="89"/>
        <v>-72.654485535255915</v>
      </c>
      <c r="AJ27" s="586">
        <f t="shared" si="90"/>
        <v>-27.643371393059699</v>
      </c>
      <c r="AK27" s="635">
        <f t="shared" si="211"/>
        <v>0.95371695074822704</v>
      </c>
      <c r="AL27" s="629">
        <f t="shared" si="91"/>
        <v>3.924997735318797E-2</v>
      </c>
      <c r="AM27" s="634">
        <f t="shared" si="92"/>
        <v>-0.2981332204456229</v>
      </c>
      <c r="AN27" s="581">
        <f t="shared" si="93"/>
        <v>7.499998917134131</v>
      </c>
      <c r="AO27" s="582">
        <f t="shared" si="94"/>
        <v>17.499999999999979</v>
      </c>
      <c r="AP27" s="585">
        <f t="shared" si="95"/>
        <v>2.3566632586480303</v>
      </c>
      <c r="AQ27" s="586">
        <f t="shared" si="9"/>
        <v>3.5288846723193501</v>
      </c>
      <c r="AS27" s="52">
        <f t="shared" si="116"/>
        <v>-120.00003465170772</v>
      </c>
      <c r="AT27" s="72">
        <f t="shared" si="10"/>
        <v>-0.14826734111068748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1.0528298910960938</v>
      </c>
      <c r="C28" s="708">
        <v>-0.60785247001843068</v>
      </c>
      <c r="D28" s="709">
        <v>-0.16130048648226722</v>
      </c>
      <c r="E28" s="710">
        <v>0.4636824166886116</v>
      </c>
      <c r="F28" s="708">
        <v>0.85962238454645046</v>
      </c>
      <c r="G28" s="711">
        <v>0.21458791308105674</v>
      </c>
      <c r="H28" s="710">
        <v>0.219</v>
      </c>
      <c r="I28" s="708">
        <v>0.42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1111</v>
      </c>
      <c r="L28" s="320"/>
      <c r="M28" s="168">
        <f t="shared" si="1"/>
        <v>3.1059999999999999</v>
      </c>
      <c r="N28" s="632">
        <f t="shared" si="2"/>
        <v>1.0528298910960938</v>
      </c>
      <c r="O28" s="629">
        <f t="shared" si="3"/>
        <v>-0.60785247001843068</v>
      </c>
      <c r="P28" s="633">
        <f t="shared" si="4"/>
        <v>-0.16130048648226722</v>
      </c>
      <c r="Q28" s="585">
        <f t="shared" si="113"/>
        <v>329.99996534829228</v>
      </c>
      <c r="R28" s="629">
        <f t="shared" si="79"/>
        <v>1.2157036665622589</v>
      </c>
      <c r="S28" s="634">
        <f t="shared" si="80"/>
        <v>-0.16130048648226722</v>
      </c>
      <c r="T28" s="635">
        <f t="shared" si="81"/>
        <v>-0.60785247001843112</v>
      </c>
      <c r="U28" s="629">
        <f t="shared" si="82"/>
        <v>-1.0528298910960936</v>
      </c>
      <c r="V28" s="636">
        <f t="shared" si="114"/>
        <v>-0.16130048648226722</v>
      </c>
      <c r="W28" s="585">
        <f t="shared" si="224"/>
        <v>239.99996534829228</v>
      </c>
      <c r="X28" s="629">
        <f t="shared" si="83"/>
        <v>1.2157036665622589</v>
      </c>
      <c r="Y28" s="630">
        <f t="shared" si="223"/>
        <v>-0.16130048648226722</v>
      </c>
      <c r="Z28" s="632">
        <f t="shared" si="6"/>
        <v>-0.4636824166886116</v>
      </c>
      <c r="AA28" s="629">
        <f t="shared" si="7"/>
        <v>-0.85962238454645046</v>
      </c>
      <c r="AB28" s="629">
        <f t="shared" si="8"/>
        <v>-0.21458791308105674</v>
      </c>
      <c r="AC28" s="636">
        <f t="shared" si="84"/>
        <v>1</v>
      </c>
      <c r="AD28" s="637">
        <f t="shared" si="115"/>
        <v>-0.4636824166886116</v>
      </c>
      <c r="AE28" s="629">
        <f t="shared" si="85"/>
        <v>-0.85962238454645046</v>
      </c>
      <c r="AF28" s="633">
        <f t="shared" si="86"/>
        <v>-0.21458791308105674</v>
      </c>
      <c r="AG28" s="602">
        <f t="shared" si="87"/>
        <v>-75.983687012951449</v>
      </c>
      <c r="AH28" s="603">
        <f t="shared" si="88"/>
        <v>117.62498360192347</v>
      </c>
      <c r="AI28" s="585">
        <f t="shared" si="89"/>
        <v>-77.608647798292651</v>
      </c>
      <c r="AJ28" s="586">
        <f t="shared" si="90"/>
        <v>-28.342531980118949</v>
      </c>
      <c r="AK28" s="635">
        <f t="shared" si="211"/>
        <v>0.97629601393762733</v>
      </c>
      <c r="AL28" s="629">
        <f t="shared" si="91"/>
        <v>2.8251030583274217E-2</v>
      </c>
      <c r="AM28" s="634">
        <f t="shared" si="92"/>
        <v>-0.21458791308105674</v>
      </c>
      <c r="AN28" s="581">
        <f t="shared" si="93"/>
        <v>7.499998917134115</v>
      </c>
      <c r="AO28" s="582">
        <f t="shared" si="94"/>
        <v>12.499998195223544</v>
      </c>
      <c r="AP28" s="585">
        <f t="shared" si="95"/>
        <v>1.6575026715887728</v>
      </c>
      <c r="AQ28" s="586">
        <f t="shared" si="9"/>
        <v>1.8745630319014976</v>
      </c>
      <c r="AS28" s="52">
        <f t="shared" si="116"/>
        <v>-120.00003465170772</v>
      </c>
      <c r="AT28" s="72">
        <f t="shared" si="10"/>
        <v>-7.7967129085247971E-2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1.5366795745339372</v>
      </c>
      <c r="C29" s="708">
        <v>-0.88720360516632712</v>
      </c>
      <c r="D29" s="709">
        <v>-8.7700264503997857E-2</v>
      </c>
      <c r="E29" s="710">
        <v>0.46368241668861149</v>
      </c>
      <c r="F29" s="708">
        <v>0.85962238454645057</v>
      </c>
      <c r="G29" s="711">
        <v>0.21458791308105668</v>
      </c>
      <c r="H29" s="710">
        <v>0.219</v>
      </c>
      <c r="I29" s="708">
        <v>0.42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1111</v>
      </c>
      <c r="L29" s="320"/>
      <c r="M29" s="168">
        <f t="shared" si="1"/>
        <v>3.109</v>
      </c>
      <c r="N29" s="632">
        <f t="shared" si="2"/>
        <v>1.5366795745339372</v>
      </c>
      <c r="O29" s="629">
        <f t="shared" si="3"/>
        <v>-0.88720360516632712</v>
      </c>
      <c r="P29" s="633">
        <f t="shared" si="4"/>
        <v>-8.7700264503997857E-2</v>
      </c>
      <c r="Q29" s="585">
        <f t="shared" si="113"/>
        <v>329.99996534829228</v>
      </c>
      <c r="R29" s="629">
        <f>IF(M29="","",SQRT(N29^2+O29^2))</f>
        <v>1.7744053516065403</v>
      </c>
      <c r="S29" s="634">
        <f>IF(M29="","",P29)</f>
        <v>-8.7700264503997857E-2</v>
      </c>
      <c r="T29" s="635">
        <f>IF(M29="","",X29*COS(RADIANS(W29)))</f>
        <v>-0.88720360516632679</v>
      </c>
      <c r="U29" s="629">
        <f>IF(M29="","",X29*SIN(RADIANS(W29)))</f>
        <v>-1.5366795745339374</v>
      </c>
      <c r="V29" s="636">
        <f>IF(M29="","",Y29)</f>
        <v>-8.7700264503997857E-2</v>
      </c>
      <c r="W29" s="585">
        <f t="shared" si="224"/>
        <v>239.99996534829228</v>
      </c>
      <c r="X29" s="629">
        <f>IF(M29="","",R29)</f>
        <v>1.7744053516065403</v>
      </c>
      <c r="Y29" s="630">
        <f t="shared" si="223"/>
        <v>-8.7700264503997857E-2</v>
      </c>
      <c r="Z29" s="632">
        <f t="shared" si="6"/>
        <v>-0.46368241668861149</v>
      </c>
      <c r="AA29" s="629">
        <f t="shared" si="7"/>
        <v>-0.85962238454645057</v>
      </c>
      <c r="AB29" s="629">
        <f t="shared" si="8"/>
        <v>-0.21458791308105668</v>
      </c>
      <c r="AC29" s="636">
        <f>IF(M29="","",SQRT(Z29^2+AA29^2+AB29^2))</f>
        <v>1</v>
      </c>
      <c r="AD29" s="637">
        <f>IF(M29="","",Z29*(1/SQRT(Z29^2+AA29^2+AB29^2)))</f>
        <v>-0.46368241668861149</v>
      </c>
      <c r="AE29" s="629">
        <f>IF(M29="","",AA29*(1/SQRT(Z29^2+AA29^2+AB29^2)))</f>
        <v>-0.85962238454645057</v>
      </c>
      <c r="AF29" s="633">
        <f>IF(M29="","",AB29*(1/SQRT(Z29^2+AA29^2+AB29^2)))</f>
        <v>-0.21458791308105668</v>
      </c>
      <c r="AG29" s="602">
        <f>IF(M29="","",DEGREES(ATAN2(-AF29,AE29)))</f>
        <v>-75.983687012951464</v>
      </c>
      <c r="AH29" s="603">
        <f>IF(M29="","",DEGREES(ACOS(AD29)))</f>
        <v>117.62498360192347</v>
      </c>
      <c r="AI29" s="585">
        <f>IF(M29="","",DEGREES(-ACOS(-AF29)))</f>
        <v>-77.608647798292665</v>
      </c>
      <c r="AJ29" s="586">
        <f>IF(M29="","",DEGREES(ATAN2(-AE29,AD29)))</f>
        <v>-28.342531980118938</v>
      </c>
      <c r="AK29" s="635">
        <f>IF(M29="","",(COS(RADIANS((90-$Q$8)-W29))*AD29)+(-SIN(RADIANS((90-$Q$8)-W29))*AE29))</f>
        <v>0.97629601393762733</v>
      </c>
      <c r="AL29" s="629">
        <f>IF(M29="","",(SIN(RADIANS((90-$Q$8)-W29))*AD29)+(COS(RADIANS((90-$Q$8)-W29))*AE29))</f>
        <v>2.8251030583274384E-2</v>
      </c>
      <c r="AM29" s="634">
        <f>IF(M29="","",AF29)</f>
        <v>-0.21458791308105668</v>
      </c>
      <c r="AN29" s="581">
        <f>IF(M29="","",DEGREES(ATAN2(-AM29,AL29)))</f>
        <v>7.4999989171341594</v>
      </c>
      <c r="AO29" s="582">
        <f t="shared" si="94"/>
        <v>12.499998195223544</v>
      </c>
      <c r="AP29" s="585">
        <f>IF(M29="","",DEGREES(ATAN2(AK29,AL29)))</f>
        <v>1.6575026715887826</v>
      </c>
      <c r="AQ29" s="586">
        <f t="shared" si="9"/>
        <v>1.284568177125101</v>
      </c>
      <c r="AS29" s="52">
        <f t="shared" si="116"/>
        <v>-120.00003465170772</v>
      </c>
      <c r="AT29" s="72">
        <f t="shared" si="10"/>
        <v>-4.3669071069786097E-3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1111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2.0207024635144482</v>
      </c>
      <c r="C30" s="708">
        <v>-1.1666547407205763</v>
      </c>
      <c r="D30" s="709">
        <v>-2.0200060923383712E-2</v>
      </c>
      <c r="E30" s="710">
        <v>0.47997240940289132</v>
      </c>
      <c r="F30" s="708">
        <v>0.85021733973180502</v>
      </c>
      <c r="G30" s="711">
        <v>0.21623358072083967</v>
      </c>
      <c r="H30" s="710">
        <v>0.219</v>
      </c>
      <c r="I30" s="708">
        <v>0.42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1111</v>
      </c>
      <c r="L30" s="320"/>
      <c r="M30" s="168">
        <f t="shared" si="1"/>
        <v>3.1120000000000001</v>
      </c>
      <c r="N30" s="632">
        <f t="shared" si="2"/>
        <v>2.0207024635144482</v>
      </c>
      <c r="O30" s="629">
        <f t="shared" si="3"/>
        <v>-1.1666547407205763</v>
      </c>
      <c r="P30" s="633">
        <f t="shared" si="4"/>
        <v>-2.0200060923383712E-2</v>
      </c>
      <c r="Q30" s="585">
        <f t="shared" si="113"/>
        <v>329.99996534829228</v>
      </c>
      <c r="R30" s="629">
        <f>IF(M30="","",SQRT(N30^2+O30^2))</f>
        <v>2.3333070372540248</v>
      </c>
      <c r="S30" s="634">
        <f>IF(M30="","",P30)</f>
        <v>-2.0200060923383712E-2</v>
      </c>
      <c r="T30" s="635">
        <f>IF(M30="","",X30*COS(RADIANS(W30)))</f>
        <v>-1.1666547407205765</v>
      </c>
      <c r="U30" s="629">
        <f>IF(M30="","",X30*SIN(RADIANS(W30)))</f>
        <v>-2.0207024635144482</v>
      </c>
      <c r="V30" s="636">
        <f>IF(M30="","",Y30)</f>
        <v>-2.0200060923383712E-2</v>
      </c>
      <c r="W30" s="585">
        <f t="shared" si="224"/>
        <v>239.99996534829228</v>
      </c>
      <c r="X30" s="629">
        <f>IF(M30="","",R30)</f>
        <v>2.3333070372540248</v>
      </c>
      <c r="Y30" s="630">
        <f t="shared" si="223"/>
        <v>-2.0200060923383712E-2</v>
      </c>
      <c r="Z30" s="632">
        <f t="shared" si="6"/>
        <v>-0.47997240940289132</v>
      </c>
      <c r="AA30" s="629">
        <f t="shared" si="7"/>
        <v>-0.85021733973180502</v>
      </c>
      <c r="AB30" s="629">
        <f t="shared" si="8"/>
        <v>-0.21623358072083967</v>
      </c>
      <c r="AC30" s="636">
        <f>IF(M30="","",SQRT(Z30^2+AA30^2+AB30^2))</f>
        <v>1</v>
      </c>
      <c r="AD30" s="637">
        <f>IF(M30="","",Z30*(1/SQRT(Z30^2+AA30^2+AB30^2)))</f>
        <v>-0.47997240940289132</v>
      </c>
      <c r="AE30" s="629">
        <f>IF(M30="","",AA30*(1/SQRT(Z30^2+AA30^2+AB30^2)))</f>
        <v>-0.85021733973180502</v>
      </c>
      <c r="AF30" s="633">
        <f>IF(M30="","",AB30*(1/SQRT(Z30^2+AA30^2+AB30^2)))</f>
        <v>-0.21623358072083967</v>
      </c>
      <c r="AG30" s="602">
        <f>IF(M30="","",DEGREES(ATAN2(-AF30,AE30)))</f>
        <v>-75.730637269826147</v>
      </c>
      <c r="AH30" s="603">
        <f>IF(M30="","",DEGREES(ACOS(AD30)))</f>
        <v>118.68360004449492</v>
      </c>
      <c r="AI30" s="585">
        <f>IF(M30="","",DEGREES(-ACOS(-AF30)))</f>
        <v>-77.512091166670558</v>
      </c>
      <c r="AJ30" s="586">
        <f>IF(M30="","",DEGREES(ATAN2(-AE30,AD30)))</f>
        <v>-29.445991275177768</v>
      </c>
      <c r="AK30" s="635">
        <f>IF(M30="","",(COS(RADIANS((90-$Q$8)-W30))*AD30)+(-SIN(RADIANS((90-$Q$8)-W30))*AE30))</f>
        <v>0.97629601393762744</v>
      </c>
      <c r="AL30" s="629">
        <f>IF(M30="","",(SIN(RADIANS((90-$Q$8)-W30))*AD30)+(COS(RADIANS((90-$Q$8)-W30))*AE30))</f>
        <v>9.4409606579184402E-3</v>
      </c>
      <c r="AM30" s="634">
        <f>IF(M30="","",AF30)</f>
        <v>-0.21623358072083967</v>
      </c>
      <c r="AN30" s="581">
        <f>IF(M30="","",DEGREES(ATAN2(-AM30,AL30)))</f>
        <v>2.4999996390448276</v>
      </c>
      <c r="AO30" s="582">
        <f>IF(ROUND(IF(M30="",0,DEGREES(ACOS(AK30))),4)=90,0,IF(M30="","",DEGREES(ACOS(AK30))))</f>
        <v>12.499998195223519</v>
      </c>
      <c r="AP30" s="585">
        <f>IF(M30="","",DEGREES(ATAN2(AK30,AL30)))</f>
        <v>0.55404337652995628</v>
      </c>
      <c r="AQ30" s="586">
        <f t="shared" si="9"/>
        <v>0.97694202336480118</v>
      </c>
      <c r="AS30" s="52">
        <f t="shared" si="116"/>
        <v>-120.00003465170772</v>
      </c>
      <c r="AT30" s="72">
        <f t="shared" si="10"/>
        <v>6.3133296473635539E-2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1111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2.6296264953457227</v>
      </c>
      <c r="C31" s="708">
        <v>-1.5503185039269691</v>
      </c>
      <c r="D31" s="709">
        <v>-0.19940060139221374</v>
      </c>
      <c r="E31" s="710">
        <v>0.59631685026899139</v>
      </c>
      <c r="F31" s="708">
        <v>0.77795934872910544</v>
      </c>
      <c r="G31" s="711">
        <v>0.197953190957498</v>
      </c>
      <c r="H31" s="710">
        <v>0.26600000000000001</v>
      </c>
      <c r="I31" s="708">
        <v>0.52</v>
      </c>
      <c r="J31" s="570">
        <v>3.1179999999999999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3.1179999999999999</v>
      </c>
      <c r="N31" s="632">
        <f t="shared" si="2"/>
        <v>2.6296264953457227</v>
      </c>
      <c r="O31" s="629">
        <f t="shared" si="3"/>
        <v>-1.5503185039269691</v>
      </c>
      <c r="P31" s="633">
        <f t="shared" si="4"/>
        <v>-0.19940060139221374</v>
      </c>
      <c r="Q31" s="585">
        <f t="shared" si="113"/>
        <v>329.47816542363086</v>
      </c>
      <c r="R31" s="629">
        <f>IF(M31="","",SQRT(N31^2+O31^2))</f>
        <v>3.0526092066693673</v>
      </c>
      <c r="S31" s="634">
        <f>IF(M31="","",P31)</f>
        <v>-0.19940060139221374</v>
      </c>
      <c r="T31" s="635">
        <f>IF(M31="","",X31*COS(RADIANS(W31)))</f>
        <v>-1.5503185039269693</v>
      </c>
      <c r="U31" s="629">
        <f>IF(M31="","",X31*SIN(RADIANS(W31)))</f>
        <v>-2.6296264953457227</v>
      </c>
      <c r="V31" s="636">
        <f>IF(M31="","",Y31)</f>
        <v>-0.19940060139221374</v>
      </c>
      <c r="W31" s="585">
        <f t="shared" si="224"/>
        <v>239.47816542363086</v>
      </c>
      <c r="X31" s="629">
        <f>IF(M31="","",R31)</f>
        <v>3.0526092066693673</v>
      </c>
      <c r="Y31" s="630">
        <f t="shared" si="223"/>
        <v>-0.19940060139221374</v>
      </c>
      <c r="Z31" s="632">
        <f t="shared" si="6"/>
        <v>-0.59631685026899139</v>
      </c>
      <c r="AA31" s="629">
        <f t="shared" si="7"/>
        <v>-0.77795934872910544</v>
      </c>
      <c r="AB31" s="629">
        <f t="shared" si="8"/>
        <v>-0.197953190957498</v>
      </c>
      <c r="AC31" s="636">
        <f>IF(M31="","",SQRT(Z31^2+AA31^2+AB31^2))</f>
        <v>1</v>
      </c>
      <c r="AD31" s="637">
        <f>IF(M31="","",Z31*(1/SQRT(Z31^2+AA31^2+AB31^2)))</f>
        <v>-0.59631685026899139</v>
      </c>
      <c r="AE31" s="629">
        <f>IF(M31="","",AA31*(1/SQRT(Z31^2+AA31^2+AB31^2)))</f>
        <v>-0.77795934872910544</v>
      </c>
      <c r="AF31" s="633">
        <f>IF(M31="","",AB31*(1/SQRT(Z31^2+AA31^2+AB31^2)))</f>
        <v>-0.197953190957498</v>
      </c>
      <c r="AG31" s="602">
        <f>IF(M31="","",DEGREES(ATAN2(-AF31,AE31)))</f>
        <v>-75.72394148596932</v>
      </c>
      <c r="AH31" s="603">
        <f>IF(M31="","",DEGREES(ACOS(AD31)))</f>
        <v>126.60656440733281</v>
      </c>
      <c r="AI31" s="585">
        <f>IF(M31="","",DEGREES(-ACOS(-AF31)))</f>
        <v>-78.582707330372386</v>
      </c>
      <c r="AJ31" s="586">
        <f>IF(M31="","",DEGREES(ATAN2(-AE31,AD31)))</f>
        <v>-37.470675575831677</v>
      </c>
      <c r="AK31" s="635">
        <f>IF(M31="","",(COS(RADIANS((90-$Q$8)-W31))*AD31)+(-SIN(RADIANS((90-$Q$8)-W31))*AE31))</f>
        <v>0.97301140165798272</v>
      </c>
      <c r="AL31" s="629">
        <f>IF(M31="","",(SIN(RADIANS((90-$Q$8)-W31))*AD31)+(COS(RADIANS((90-$Q$8)-W31))*AE31))</f>
        <v>-0.11858898107881877</v>
      </c>
      <c r="AM31" s="634">
        <f>IF(M31="","",AF31)</f>
        <v>-0.197953190957498</v>
      </c>
      <c r="AN31" s="581">
        <f>IF(M31="","",DEGREES(ATAN2(-AM31,AL31)))</f>
        <v>-30.924807965171311</v>
      </c>
      <c r="AO31" s="582">
        <f t="shared" si="94"/>
        <v>13.341646036189195</v>
      </c>
      <c r="AP31" s="585">
        <f>IF(M31="","",DEGREES(ATAN2(AK31,AL31)))</f>
        <v>-6.9488409994625293</v>
      </c>
      <c r="AQ31" s="586">
        <f t="shared" si="9"/>
        <v>0.74677018474087986</v>
      </c>
      <c r="AS31" s="52">
        <f t="shared" si="116"/>
        <v>-120.52183457636914</v>
      </c>
      <c r="AT31" s="72">
        <f t="shared" si="10"/>
        <v>-0.11570488293640184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3.0993468130764015</v>
      </c>
      <c r="C32" s="708">
        <v>-1.8650104815087758</v>
      </c>
      <c r="D32" s="709">
        <v>-0.61740186208401615</v>
      </c>
      <c r="E32" s="710">
        <v>0.6987686561556542</v>
      </c>
      <c r="F32" s="708">
        <v>0.6858454556414979</v>
      </c>
      <c r="G32" s="711">
        <v>0.20331841075103704</v>
      </c>
      <c r="H32" s="710">
        <v>0.26600000000000001</v>
      </c>
      <c r="I32" s="708">
        <v>0.52</v>
      </c>
      <c r="J32" s="570">
        <v>3.1240000000000001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3.1240000000000001</v>
      </c>
      <c r="N32" s="632">
        <f t="shared" si="2"/>
        <v>3.0993468130764015</v>
      </c>
      <c r="O32" s="629">
        <f t="shared" si="3"/>
        <v>-1.8650104815087758</v>
      </c>
      <c r="P32" s="633">
        <f t="shared" si="4"/>
        <v>-0.61740186208401615</v>
      </c>
      <c r="Q32" s="585">
        <f t="shared" si="113"/>
        <v>328.96286549803096</v>
      </c>
      <c r="R32" s="629">
        <f t="shared" si="79"/>
        <v>3.6172109095081035</v>
      </c>
      <c r="S32" s="634">
        <f t="shared" si="80"/>
        <v>-0.61740186208401615</v>
      </c>
      <c r="T32" s="635">
        <f t="shared" si="81"/>
        <v>-1.865010481508778</v>
      </c>
      <c r="U32" s="629">
        <f t="shared" si="82"/>
        <v>-3.0993468130764001</v>
      </c>
      <c r="V32" s="636">
        <f t="shared" si="114"/>
        <v>-0.61740186208401615</v>
      </c>
      <c r="W32" s="585">
        <f t="shared" si="224"/>
        <v>238.96286549803096</v>
      </c>
      <c r="X32" s="629">
        <f t="shared" si="83"/>
        <v>3.6172109095081035</v>
      </c>
      <c r="Y32" s="630">
        <f t="shared" si="223"/>
        <v>-0.61740186208401615</v>
      </c>
      <c r="Z32" s="632">
        <f t="shared" si="6"/>
        <v>-0.6987686561556542</v>
      </c>
      <c r="AA32" s="629">
        <f t="shared" si="7"/>
        <v>-0.6858454556414979</v>
      </c>
      <c r="AB32" s="629">
        <f t="shared" si="8"/>
        <v>-0.20331841075103704</v>
      </c>
      <c r="AC32" s="636">
        <f t="shared" si="84"/>
        <v>1</v>
      </c>
      <c r="AD32" s="637">
        <f t="shared" si="115"/>
        <v>-0.6987686561556542</v>
      </c>
      <c r="AE32" s="629">
        <f t="shared" si="85"/>
        <v>-0.6858454556414979</v>
      </c>
      <c r="AF32" s="633">
        <f t="shared" si="86"/>
        <v>-0.20331841075103704</v>
      </c>
      <c r="AG32" s="602">
        <f t="shared" si="87"/>
        <v>-73.487579571955607</v>
      </c>
      <c r="AH32" s="603">
        <f t="shared" si="88"/>
        <v>134.32829640575957</v>
      </c>
      <c r="AI32" s="585">
        <f t="shared" si="89"/>
        <v>-78.268921903249407</v>
      </c>
      <c r="AJ32" s="586">
        <f t="shared" si="90"/>
        <v>-45.534750687070442</v>
      </c>
      <c r="AK32" s="635">
        <f t="shared" si="211"/>
        <v>0.94793582151166089</v>
      </c>
      <c r="AL32" s="629">
        <f t="shared" si="91"/>
        <v>-0.24511079565103866</v>
      </c>
      <c r="AM32" s="634">
        <f t="shared" si="92"/>
        <v>-0.20331841075103704</v>
      </c>
      <c r="AN32" s="581">
        <f t="shared" si="93"/>
        <v>-50.324431149945276</v>
      </c>
      <c r="AO32" s="582">
        <f t="shared" si="94"/>
        <v>18.569903795732163</v>
      </c>
      <c r="AP32" s="585">
        <f t="shared" si="95"/>
        <v>-14.497616185101382</v>
      </c>
      <c r="AQ32" s="586">
        <f t="shared" si="9"/>
        <v>0.63021890328843189</v>
      </c>
      <c r="AS32" s="52">
        <f t="shared" si="116"/>
        <v>-121.03713450196904</v>
      </c>
      <c r="AT32" s="72">
        <f t="shared" si="10"/>
        <v>-0.53334829645764881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3.1240000000000001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3.3748200443174725</v>
      </c>
      <c r="C33" s="708">
        <v>-2.0577952283660057</v>
      </c>
      <c r="D33" s="709">
        <v>-1.2315037142152023</v>
      </c>
      <c r="E33" s="710">
        <v>0.81422280190582641</v>
      </c>
      <c r="F33" s="708">
        <v>0.55124671794716096</v>
      </c>
      <c r="G33" s="711">
        <v>0.18212162092708453</v>
      </c>
      <c r="H33" s="710">
        <v>0.26600000000000001</v>
      </c>
      <c r="I33" s="708">
        <v>0.52</v>
      </c>
      <c r="J33" s="570">
        <v>3.13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3.13</v>
      </c>
      <c r="N33" s="632">
        <f t="shared" si="2"/>
        <v>3.3748200443174725</v>
      </c>
      <c r="O33" s="629">
        <f t="shared" si="3"/>
        <v>-2.0577952283660057</v>
      </c>
      <c r="P33" s="633">
        <f t="shared" si="4"/>
        <v>-1.2315037142152023</v>
      </c>
      <c r="Q33" s="585">
        <f t="shared" si="113"/>
        <v>328.6272655464856</v>
      </c>
      <c r="R33" s="629">
        <f t="shared" si="79"/>
        <v>3.9527119213791546</v>
      </c>
      <c r="S33" s="634">
        <f t="shared" si="80"/>
        <v>-1.2315037142152023</v>
      </c>
      <c r="T33" s="635">
        <f t="shared" si="81"/>
        <v>-2.0577952283660061</v>
      </c>
      <c r="U33" s="629">
        <f t="shared" si="82"/>
        <v>-3.3748200443174721</v>
      </c>
      <c r="V33" s="636">
        <f t="shared" si="114"/>
        <v>-1.2315037142152023</v>
      </c>
      <c r="W33" s="585">
        <f t="shared" si="224"/>
        <v>238.6272655464856</v>
      </c>
      <c r="X33" s="629">
        <f t="shared" si="83"/>
        <v>3.9527119213791546</v>
      </c>
      <c r="Y33" s="630">
        <f t="shared" si="223"/>
        <v>-1.2315037142152023</v>
      </c>
      <c r="Z33" s="632">
        <f t="shared" si="6"/>
        <v>-0.81422280190582641</v>
      </c>
      <c r="AA33" s="629">
        <f t="shared" si="7"/>
        <v>-0.55124671794716096</v>
      </c>
      <c r="AB33" s="629">
        <f t="shared" si="8"/>
        <v>-0.18212162092708453</v>
      </c>
      <c r="AC33" s="636">
        <f t="shared" si="84"/>
        <v>1</v>
      </c>
      <c r="AD33" s="637">
        <f t="shared" si="115"/>
        <v>-0.81422280190582641</v>
      </c>
      <c r="AE33" s="629">
        <f t="shared" si="85"/>
        <v>-0.55124671794716096</v>
      </c>
      <c r="AF33" s="633">
        <f t="shared" si="86"/>
        <v>-0.18212162092708453</v>
      </c>
      <c r="AG33" s="602">
        <f t="shared" si="87"/>
        <v>-71.71740961808824</v>
      </c>
      <c r="AH33" s="603">
        <f t="shared" si="88"/>
        <v>144.51058663611462</v>
      </c>
      <c r="AI33" s="585">
        <f t="shared" si="89"/>
        <v>-79.506637323394344</v>
      </c>
      <c r="AJ33" s="586">
        <f t="shared" si="90"/>
        <v>-55.901136928437239</v>
      </c>
      <c r="AK33" s="635">
        <f t="shared" si="211"/>
        <v>0.89454084689460434</v>
      </c>
      <c r="AL33" s="629">
        <f t="shared" si="91"/>
        <v>-0.40820140669524313</v>
      </c>
      <c r="AM33" s="634">
        <f t="shared" si="92"/>
        <v>-0.18212162092708453</v>
      </c>
      <c r="AN33" s="581">
        <f t="shared" si="93"/>
        <v>-65.955660451854641</v>
      </c>
      <c r="AO33" s="582">
        <f t="shared" si="94"/>
        <v>26.550486192839195</v>
      </c>
      <c r="AP33" s="585">
        <f t="shared" si="95"/>
        <v>-24.528402474922849</v>
      </c>
      <c r="AQ33" s="586">
        <f t="shared" si="9"/>
        <v>0.57673052877223208</v>
      </c>
      <c r="AS33" s="52">
        <f t="shared" si="116"/>
        <v>-121.3727344535144</v>
      </c>
      <c r="AT33" s="72">
        <f t="shared" si="10"/>
        <v>-1.1472170930669285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3.4753011010746113</v>
      </c>
      <c r="C34" s="708">
        <v>-2.1315478239721632</v>
      </c>
      <c r="D34" s="709">
        <v>-1.8979057240836648</v>
      </c>
      <c r="E34" s="710">
        <v>0.87201501431687212</v>
      </c>
      <c r="F34" s="708">
        <v>0.47558044585647985</v>
      </c>
      <c r="G34" s="711">
        <v>0.11581474139718644</v>
      </c>
      <c r="H34" s="710">
        <v>0.26600000000000001</v>
      </c>
      <c r="I34" s="708">
        <v>0.52</v>
      </c>
      <c r="J34" s="570">
        <v>3.1360000000000001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3.1360000000000001</v>
      </c>
      <c r="N34" s="632">
        <f t="shared" si="2"/>
        <v>3.4753011010746113</v>
      </c>
      <c r="O34" s="629">
        <f t="shared" si="3"/>
        <v>-2.1315478239721632</v>
      </c>
      <c r="P34" s="633">
        <f t="shared" si="4"/>
        <v>-1.8979057240836648</v>
      </c>
      <c r="Q34" s="585">
        <f t="shared" si="113"/>
        <v>328.47746556811404</v>
      </c>
      <c r="R34" s="629">
        <f>IF(M34="","",SQRT(N34^2+O34^2))</f>
        <v>4.0769122959674853</v>
      </c>
      <c r="S34" s="634">
        <f>IF(M34="","",P34)</f>
        <v>-1.8979057240836648</v>
      </c>
      <c r="T34" s="635">
        <f>IF(M34="","",X34*COS(RADIANS(W34)))</f>
        <v>-2.1315478239721641</v>
      </c>
      <c r="U34" s="629">
        <f>IF(M34="","",X34*SIN(RADIANS(W34)))</f>
        <v>-3.4753011010746109</v>
      </c>
      <c r="V34" s="636">
        <f>IF(M34="","",Y34)</f>
        <v>-1.8979057240836648</v>
      </c>
      <c r="W34" s="585">
        <f t="shared" si="224"/>
        <v>238.47746556811404</v>
      </c>
      <c r="X34" s="629">
        <f>IF(M34="","",R34)</f>
        <v>4.0769122959674853</v>
      </c>
      <c r="Y34" s="630">
        <f t="shared" si="223"/>
        <v>-1.8979057240836648</v>
      </c>
      <c r="Z34" s="632">
        <f t="shared" si="6"/>
        <v>-0.87201501431687212</v>
      </c>
      <c r="AA34" s="629">
        <f t="shared" si="7"/>
        <v>-0.47558044585647985</v>
      </c>
      <c r="AB34" s="629">
        <f t="shared" si="8"/>
        <v>-0.11581474139718644</v>
      </c>
      <c r="AC34" s="636">
        <f>IF(M34="","",SQRT(Z34^2+AA34^2+AB34^2))</f>
        <v>1</v>
      </c>
      <c r="AD34" s="637">
        <f>IF(M34="","",Z34*(1/SQRT(Z34^2+AA34^2+AB34^2)))</f>
        <v>-0.87201501431687212</v>
      </c>
      <c r="AE34" s="629">
        <f>IF(M34="","",AA34*(1/SQRT(Z34^2+AA34^2+AB34^2)))</f>
        <v>-0.47558044585647985</v>
      </c>
      <c r="AF34" s="633">
        <f>IF(M34="","",AB34*(1/SQRT(Z34^2+AA34^2+AB34^2)))</f>
        <v>-0.11581474139718644</v>
      </c>
      <c r="AG34" s="602">
        <f>IF(M34="","",DEGREES(ATAN2(-AF34,AE34)))</f>
        <v>-76.313564405031144</v>
      </c>
      <c r="AH34" s="603">
        <f>IF(M34="","",DEGREES(ACOS(AD34)))</f>
        <v>150.69364821119655</v>
      </c>
      <c r="AI34" s="585">
        <f>IF(M34="","",DEGREES(-ACOS(-AF34)))</f>
        <v>-83.349379695737085</v>
      </c>
      <c r="AJ34" s="586">
        <f>IF(M34="","",DEGREES(ATAN2(-AE34,AD34)))</f>
        <v>-61.392786763878561</v>
      </c>
      <c r="AK34" s="635">
        <f>IF(M34="","",(COS(RADIANS((90-$Q$8)-W34))*AD34)+(-SIN(RADIANS((90-$Q$8)-W34))*AE34))</f>
        <v>0.86132020962188705</v>
      </c>
      <c r="AL34" s="629">
        <f>IF(M34="","",(SIN(RADIANS((90-$Q$8)-W34))*AD34)+(COS(RADIANS((90-$Q$8)-W34))*AE34))</f>
        <v>-0.4946862057628163</v>
      </c>
      <c r="AM34" s="634">
        <f>IF(M34="","",AF34)</f>
        <v>-0.11581474139718644</v>
      </c>
      <c r="AN34" s="581">
        <f>IF(M34="","",DEGREES(ATAN2(-AM34,AL34)))</f>
        <v>-76.823370719154795</v>
      </c>
      <c r="AO34" s="582">
        <f t="shared" si="94"/>
        <v>30.534859319776185</v>
      </c>
      <c r="AP34" s="585">
        <f>IF(M34="","",DEGREES(ATAN2(AK34,AL34)))</f>
        <v>-29.870252331992599</v>
      </c>
      <c r="AQ34" s="586">
        <f t="shared" si="9"/>
        <v>0.55916195652853284</v>
      </c>
      <c r="AS34" s="52">
        <f t="shared" si="116"/>
        <v>-121.52253443188596</v>
      </c>
      <c r="AT34" s="72">
        <f t="shared" si="10"/>
        <v>-1.8135150751726328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3.1360000000000001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2.1218216461135135</v>
      </c>
      <c r="C35" s="708">
        <v>-2.1972131170280815</v>
      </c>
      <c r="D35" s="709">
        <v>-0.21287386828337862</v>
      </c>
      <c r="E35" s="710">
        <v>0.78328788551734385</v>
      </c>
      <c r="F35" s="708">
        <v>0.55607209577359806</v>
      </c>
      <c r="G35" s="711">
        <v>0.27792789119432937</v>
      </c>
      <c r="H35" s="710">
        <v>0.26600000000000001</v>
      </c>
      <c r="I35" s="708">
        <v>0.52</v>
      </c>
      <c r="J35" s="570">
        <v>3.218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3.218</v>
      </c>
      <c r="N35" s="632">
        <f t="shared" si="2"/>
        <v>2.1218216461135135</v>
      </c>
      <c r="O35" s="629">
        <f t="shared" si="3"/>
        <v>-2.1972131170280815</v>
      </c>
      <c r="P35" s="633">
        <f t="shared" si="4"/>
        <v>-0.21287386828337862</v>
      </c>
      <c r="Q35" s="585">
        <f t="shared" si="113"/>
        <v>313.99996765840615</v>
      </c>
      <c r="R35" s="629">
        <f>IF(M35="","",SQRT(N35^2+O35^2))</f>
        <v>3.0544840119987726</v>
      </c>
      <c r="S35" s="634">
        <f>IF(M35="","",P35)</f>
        <v>-0.21287386828337862</v>
      </c>
      <c r="T35" s="635">
        <f>IF(M35="","",X35*COS(RADIANS(W35)))</f>
        <v>-2.1972131170280811</v>
      </c>
      <c r="U35" s="629">
        <f>IF(M35="","",X35*SIN(RADIANS(W35)))</f>
        <v>-2.121821646113514</v>
      </c>
      <c r="V35" s="636">
        <f>IF(M35="","",Y35)</f>
        <v>-0.21287386828337862</v>
      </c>
      <c r="W35" s="585">
        <f t="shared" si="224"/>
        <v>223.99996765840615</v>
      </c>
      <c r="X35" s="629">
        <f>IF(M35="","",R35)</f>
        <v>3.0544840119987726</v>
      </c>
      <c r="Y35" s="630">
        <f t="shared" si="223"/>
        <v>-0.21287386828337862</v>
      </c>
      <c r="Z35" s="632">
        <f t="shared" si="6"/>
        <v>-0.78328788551734385</v>
      </c>
      <c r="AA35" s="629">
        <f t="shared" si="7"/>
        <v>-0.55607209577359806</v>
      </c>
      <c r="AB35" s="629">
        <f t="shared" si="8"/>
        <v>-0.27792789119432937</v>
      </c>
      <c r="AC35" s="636">
        <f>IF(M35="","",SQRT(Z35^2+AA35^2+AB35^2))</f>
        <v>1</v>
      </c>
      <c r="AD35" s="637">
        <f>IF(M35="","",Z35*(1/SQRT(Z35^2+AA35^2+AB35^2)))</f>
        <v>-0.78328788551734385</v>
      </c>
      <c r="AE35" s="629">
        <f>IF(M35="","",AA35*(1/SQRT(Z35^2+AA35^2+AB35^2)))</f>
        <v>-0.55607209577359806</v>
      </c>
      <c r="AF35" s="633">
        <f>IF(M35="","",AB35*(1/SQRT(Z35^2+AA35^2+AB35^2)))</f>
        <v>-0.27792789119432937</v>
      </c>
      <c r="AG35" s="602">
        <f>IF(M35="","",DEGREES(ATAN2(-AF35,AE35)))</f>
        <v>-63.443864795023785</v>
      </c>
      <c r="AH35" s="603">
        <f>IF(M35="","",DEGREES(ACOS(AD35)))</f>
        <v>141.56260472695908</v>
      </c>
      <c r="AI35" s="585">
        <f>IF(M35="","",DEGREES(-ACOS(-AF35)))</f>
        <v>-73.863426368710989</v>
      </c>
      <c r="AJ35" s="586">
        <f>IF(M35="","",DEGREES(ATAN2(-AE35,AD35)))</f>
        <v>-54.628278203259249</v>
      </c>
      <c r="AK35" s="635">
        <f>IF(M35="","",(COS(RADIANS((90-$Q$8)-W35))*AD35)+(-SIN(RADIANS((90-$Q$8)-W35))*AE35))</f>
        <v>0.94973036843029024</v>
      </c>
      <c r="AL35" s="629">
        <f>IF(M35="","",(SIN(RADIANS((90-$Q$8)-W35))*AD35)+(COS(RADIANS((90-$Q$8)-W35))*AE35))</f>
        <v>-0.14411215971436425</v>
      </c>
      <c r="AM35" s="634">
        <f>IF(M35="","",AF35)</f>
        <v>-0.27792789119432937</v>
      </c>
      <c r="AN35" s="581">
        <f>IF(M35="","",DEGREES(ATAN2(-AM35,AL35)))</f>
        <v>-27.407803111004949</v>
      </c>
      <c r="AO35" s="582">
        <f t="shared" si="94"/>
        <v>18.244283123846447</v>
      </c>
      <c r="AP35" s="585">
        <f>IF(M35="","",DEGREES(ATAN2(AK35,AL35)))</f>
        <v>-8.628245861665393</v>
      </c>
      <c r="AQ35" s="586">
        <f t="shared" si="9"/>
        <v>0.74631187809636079</v>
      </c>
      <c r="AS35" s="52">
        <f t="shared" si="116"/>
        <v>-136.00003234159385</v>
      </c>
      <c r="AT35" s="72">
        <f t="shared" si="10"/>
        <v>-0.118429401379494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3.218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3.1179999999999999</v>
      </c>
      <c r="II35" s="734" cm="1">
        <f t="array" ref="II35">IFERROR(ROUND(VALUE(IF($IH35&lt;1,$IH35+LARGE((IF($M$9:$M$150="",0,$M$9:$M$150)-MOD(IF($M$9:$M$150="",0,$M$9:$M$150),1)),1),$IH35)),4),"")</f>
        <v>3.1179999999999999</v>
      </c>
      <c r="IJ35" s="533">
        <f t="shared" si="112"/>
        <v>1313</v>
      </c>
      <c r="IK35" s="533">
        <f t="shared" si="66"/>
        <v>1313</v>
      </c>
      <c r="IL35" s="727">
        <f t="shared" si="225"/>
        <v>15.478197765224706</v>
      </c>
      <c r="IM35" s="759">
        <v>1.28260252664717E-4</v>
      </c>
      <c r="IN35" s="5">
        <f t="shared" si="226"/>
        <v>0</v>
      </c>
      <c r="IO35" s="771">
        <v>0</v>
      </c>
      <c r="IP35" s="9">
        <f t="shared" si="227"/>
        <v>-3.0526092066693673</v>
      </c>
      <c r="IQ35" s="5">
        <f t="shared" si="228"/>
        <v>-0.19940060139221374</v>
      </c>
      <c r="IR35" s="5">
        <f t="shared" si="71"/>
        <v>0.26600000000000001</v>
      </c>
      <c r="IS35" s="5">
        <f t="shared" si="229"/>
        <v>0.25882103284102342</v>
      </c>
      <c r="IT35" s="727">
        <f t="shared" si="230"/>
        <v>30.924807965171311</v>
      </c>
      <c r="IU35" s="9">
        <f t="shared" si="231"/>
        <v>-3.0544840119987726</v>
      </c>
      <c r="IV35" s="5">
        <f t="shared" si="232"/>
        <v>-0.21287386828337862</v>
      </c>
      <c r="IW35" s="5">
        <f t="shared" si="76"/>
        <v>0.26600000000000001</v>
      </c>
      <c r="IX35" s="5">
        <f t="shared" si="233"/>
        <v>0.25262827800245724</v>
      </c>
      <c r="IY35" s="762">
        <f t="shared" si="234"/>
        <v>27.407803111004949</v>
      </c>
    </row>
    <row r="36" spans="1:267" ht="15" customHeight="1" x14ac:dyDescent="0.25">
      <c r="A36" s="79"/>
      <c r="B36" s="707">
        <v>2.5629290948889887</v>
      </c>
      <c r="C36" s="708">
        <v>-2.5592308987326371</v>
      </c>
      <c r="D36" s="709">
        <v>-0.62823317175960491</v>
      </c>
      <c r="E36" s="710">
        <v>0.85528472182823356</v>
      </c>
      <c r="F36" s="708">
        <v>0.44253252848780272</v>
      </c>
      <c r="G36" s="711">
        <v>0.26954221531588202</v>
      </c>
      <c r="H36" s="710">
        <v>0.26600000000000001</v>
      </c>
      <c r="I36" s="708">
        <v>0.52</v>
      </c>
      <c r="J36" s="570">
        <v>3.2240000000000002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3.2240000000000002</v>
      </c>
      <c r="N36" s="632">
        <f t="shared" si="2"/>
        <v>2.5629290948889887</v>
      </c>
      <c r="O36" s="629">
        <f t="shared" si="3"/>
        <v>-2.5592308987326371</v>
      </c>
      <c r="P36" s="633">
        <f t="shared" si="4"/>
        <v>-0.62823317175960491</v>
      </c>
      <c r="Q36" s="585">
        <f t="shared" si="113"/>
        <v>315.04136750804656</v>
      </c>
      <c r="R36" s="629">
        <f>IF(M36="","",SQRT(N36^2+O36^2))</f>
        <v>3.6219150098333825</v>
      </c>
      <c r="S36" s="634">
        <f>IF(M36="","",P36)</f>
        <v>-0.62823317175960491</v>
      </c>
      <c r="T36" s="635">
        <f>IF(M36="","",X36*COS(RADIANS(W36)))</f>
        <v>-2.559230898732638</v>
      </c>
      <c r="U36" s="629">
        <f>IF(M36="","",X36*SIN(RADIANS(W36)))</f>
        <v>-2.5629290948889873</v>
      </c>
      <c r="V36" s="636">
        <f>IF(M36="","",Y36)</f>
        <v>-0.62823317175960491</v>
      </c>
      <c r="W36" s="585">
        <f t="shared" si="224"/>
        <v>225.04136750804656</v>
      </c>
      <c r="X36" s="629">
        <f>IF(M36="","",R36)</f>
        <v>3.6219150098333825</v>
      </c>
      <c r="Y36" s="630">
        <f t="shared" si="223"/>
        <v>-0.62823317175960491</v>
      </c>
      <c r="Z36" s="632">
        <f t="shared" si="6"/>
        <v>-0.85528472182823356</v>
      </c>
      <c r="AA36" s="629">
        <f t="shared" si="7"/>
        <v>-0.44253252848780272</v>
      </c>
      <c r="AB36" s="629">
        <f t="shared" si="8"/>
        <v>-0.26954221531588202</v>
      </c>
      <c r="AC36" s="636">
        <f>IF(M36="","",SQRT(Z36^2+AA36^2+AB36^2))</f>
        <v>1</v>
      </c>
      <c r="AD36" s="637">
        <f>IF(M36="","",Z36*(1/SQRT(Z36^2+AA36^2+AB36^2)))</f>
        <v>-0.85528472182823356</v>
      </c>
      <c r="AE36" s="629">
        <f>IF(M36="","",AA36*(1/SQRT(Z36^2+AA36^2+AB36^2)))</f>
        <v>-0.44253252848780272</v>
      </c>
      <c r="AF36" s="633">
        <f>IF(M36="","",AB36*(1/SQRT(Z36^2+AA36^2+AB36^2)))</f>
        <v>-0.26954221531588202</v>
      </c>
      <c r="AG36" s="602">
        <f>IF(M36="","",DEGREES(ATAN2(-AF36,AE36)))</f>
        <v>-58.654816527971953</v>
      </c>
      <c r="AH36" s="603">
        <f>IF(M36="","",DEGREES(ACOS(AD36)))</f>
        <v>148.7912038694034</v>
      </c>
      <c r="AI36" s="585">
        <f>IF(M36="","",DEGREES(-ACOS(-AF36)))</f>
        <v>-74.362972180598618</v>
      </c>
      <c r="AJ36" s="586">
        <f>IF(M36="","",DEGREES(ATAN2(-AE36,AD36)))</f>
        <v>-62.642520622601289</v>
      </c>
      <c r="AK36" s="635">
        <f>IF(M36="","",(COS(RADIANS((90-$Q$8)-W36))*AD36)+(-SIN(RADIANS((90-$Q$8)-W36))*AE36))</f>
        <v>0.91748441666658898</v>
      </c>
      <c r="AL36" s="629">
        <f>IF(M36="","",(SIN(RADIANS((90-$Q$8)-W36))*AD36)+(COS(RADIANS((90-$Q$8)-W36))*AE36))</f>
        <v>-0.292522374078592</v>
      </c>
      <c r="AM36" s="634">
        <f>IF(M36="","",AF36)</f>
        <v>-0.26954221531588202</v>
      </c>
      <c r="AN36" s="581">
        <f>IF(M36="","",DEGREES(ATAN2(-AM36,AL36)))</f>
        <v>-47.341249068120163</v>
      </c>
      <c r="AO36" s="582">
        <f t="shared" si="94"/>
        <v>23.438951952834035</v>
      </c>
      <c r="AP36" s="585">
        <f>IF(M36="","",DEGREES(ATAN2(AK36,AL36)))</f>
        <v>-17.683888130647851</v>
      </c>
      <c r="AQ36" s="586">
        <f t="shared" si="9"/>
        <v>0.62940044832961861</v>
      </c>
      <c r="AS36" s="52">
        <f t="shared" si="116"/>
        <v>-134.95863249195344</v>
      </c>
      <c r="AT36" s="72">
        <f t="shared" si="10"/>
        <v>-0.53451189919574837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3.2240000000000002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3.1240000000000001</v>
      </c>
      <c r="II36" s="734" cm="1">
        <f t="array" ref="II36">IFERROR(ROUND(VALUE(IF($IH36&lt;1,$IH36+LARGE((IF($M$9:$M$150="",0,$M$9:$M$150)-MOD(IF($M$9:$M$150="",0,$M$9:$M$150),1)),1),$IH36)),4),"")</f>
        <v>3.1240000000000001</v>
      </c>
      <c r="IJ36" s="533">
        <f t="shared" si="112"/>
        <v>1313</v>
      </c>
      <c r="IK36" s="533">
        <f t="shared" si="66"/>
        <v>1313</v>
      </c>
      <c r="IL36" s="727">
        <f t="shared" si="225"/>
        <v>13.921497989984402</v>
      </c>
      <c r="IM36" s="759">
        <v>6.1207723876880501E-4</v>
      </c>
      <c r="IN36" s="5">
        <f t="shared" si="226"/>
        <v>0</v>
      </c>
      <c r="IO36" s="771">
        <v>0</v>
      </c>
      <c r="IP36" s="9">
        <f t="shared" si="227"/>
        <v>-3.6172109095081035</v>
      </c>
      <c r="IQ36" s="5">
        <f t="shared" si="228"/>
        <v>-0.61740186208401615</v>
      </c>
      <c r="IR36" s="5">
        <f t="shared" si="71"/>
        <v>0.26600000000000001</v>
      </c>
      <c r="IS36" s="5">
        <f t="shared" si="229"/>
        <v>0.2521509285221018</v>
      </c>
      <c r="IT36" s="727">
        <f t="shared" si="230"/>
        <v>50.324431149945276</v>
      </c>
      <c r="IU36" s="9">
        <f t="shared" si="231"/>
        <v>-3.6219150098333825</v>
      </c>
      <c r="IV36" s="5">
        <f t="shared" si="232"/>
        <v>-0.62823317175960491</v>
      </c>
      <c r="IW36" s="5">
        <f t="shared" si="76"/>
        <v>0.26600000000000001</v>
      </c>
      <c r="IX36" s="5">
        <f t="shared" si="233"/>
        <v>0.24405085483331271</v>
      </c>
      <c r="IY36" s="762">
        <f t="shared" si="234"/>
        <v>47.341249068120163</v>
      </c>
    </row>
    <row r="37" spans="1:267" ht="15" customHeight="1" x14ac:dyDescent="0.25">
      <c r="A37" s="79"/>
      <c r="B37" s="707">
        <v>-2.2149857503361146E-2</v>
      </c>
      <c r="C37" s="708">
        <v>-2.9395254154467341</v>
      </c>
      <c r="D37" s="709">
        <v>-0.15410046476700162</v>
      </c>
      <c r="E37" s="710">
        <v>0.97248966780250046</v>
      </c>
      <c r="F37" s="708">
        <v>-0.10957157292887981</v>
      </c>
      <c r="G37" s="711">
        <v>0.20556730387703601</v>
      </c>
      <c r="H37" s="710">
        <v>0.26600000000000001</v>
      </c>
      <c r="I37" s="708">
        <v>0.52</v>
      </c>
      <c r="J37" s="570">
        <v>4.117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4.117</v>
      </c>
      <c r="N37" s="632">
        <f t="shared" si="2"/>
        <v>-2.2149857503361146E-2</v>
      </c>
      <c r="O37" s="629">
        <f t="shared" si="3"/>
        <v>-2.9395254154467341</v>
      </c>
      <c r="P37" s="633">
        <f t="shared" si="4"/>
        <v>-0.15410046476700162</v>
      </c>
      <c r="Q37" s="585">
        <f t="shared" si="113"/>
        <v>269.56827407354899</v>
      </c>
      <c r="R37" s="629">
        <f t="shared" si="79"/>
        <v>2.9396088658603396</v>
      </c>
      <c r="S37" s="634">
        <f t="shared" si="80"/>
        <v>-0.15410046476700162</v>
      </c>
      <c r="T37" s="635">
        <f t="shared" si="81"/>
        <v>-2.9395254154467341</v>
      </c>
      <c r="U37" s="629">
        <f t="shared" si="82"/>
        <v>2.2149857503360109E-2</v>
      </c>
      <c r="V37" s="636">
        <f t="shared" si="114"/>
        <v>-0.15410046476700162</v>
      </c>
      <c r="W37" s="585">
        <f t="shared" si="224"/>
        <v>179.56827407354899</v>
      </c>
      <c r="X37" s="629">
        <f t="shared" si="83"/>
        <v>2.9396088658603396</v>
      </c>
      <c r="Y37" s="630">
        <f t="shared" si="223"/>
        <v>-0.15410046476700162</v>
      </c>
      <c r="Z37" s="632">
        <f t="shared" si="6"/>
        <v>-0.97248966780250046</v>
      </c>
      <c r="AA37" s="629">
        <f t="shared" si="7"/>
        <v>0.10957157292887981</v>
      </c>
      <c r="AB37" s="629">
        <f t="shared" si="8"/>
        <v>-0.20556730387703601</v>
      </c>
      <c r="AC37" s="636">
        <f t="shared" si="84"/>
        <v>1</v>
      </c>
      <c r="AD37" s="637">
        <f t="shared" si="115"/>
        <v>-0.97248966780250046</v>
      </c>
      <c r="AE37" s="629">
        <f t="shared" si="85"/>
        <v>0.10957157292887981</v>
      </c>
      <c r="AF37" s="633">
        <f t="shared" si="86"/>
        <v>-0.20556730387703601</v>
      </c>
      <c r="AG37" s="602">
        <f t="shared" si="87"/>
        <v>28.058527353776508</v>
      </c>
      <c r="AH37" s="603">
        <f t="shared" si="88"/>
        <v>166.52942173059265</v>
      </c>
      <c r="AI37" s="585">
        <f t="shared" si="89"/>
        <v>-78.137289512999601</v>
      </c>
      <c r="AJ37" s="586">
        <f t="shared" si="90"/>
        <v>-96.428472702504649</v>
      </c>
      <c r="AK37" s="635">
        <f t="shared" si="211"/>
        <v>0.97328767875185906</v>
      </c>
      <c r="AL37" s="629">
        <f t="shared" si="91"/>
        <v>-0.10224078426217439</v>
      </c>
      <c r="AM37" s="634">
        <f t="shared" si="92"/>
        <v>-0.20556730387703601</v>
      </c>
      <c r="AN37" s="581">
        <f t="shared" si="93"/>
        <v>-26.443876766311355</v>
      </c>
      <c r="AO37" s="582">
        <f t="shared" si="94"/>
        <v>13.272873811763189</v>
      </c>
      <c r="AP37" s="585">
        <f t="shared" si="95"/>
        <v>-5.9967467760536497</v>
      </c>
      <c r="AQ37" s="586">
        <f t="shared" si="9"/>
        <v>0.77547304111950111</v>
      </c>
      <c r="AS37" s="52">
        <f t="shared" si="116"/>
        <v>-180.43172592645101</v>
      </c>
      <c r="AT37" s="72">
        <f t="shared" si="10"/>
        <v>-2.8800655095855082E-2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-5.9258562822260955E-2</v>
      </c>
      <c r="C38" s="708">
        <v>-3.5374143571297707</v>
      </c>
      <c r="D38" s="709">
        <v>-0.53260160632644438</v>
      </c>
      <c r="E38" s="710">
        <v>0.94961265483697233</v>
      </c>
      <c r="F38" s="708">
        <v>-0.2378810084182934</v>
      </c>
      <c r="G38" s="711">
        <v>0.20407947375317609</v>
      </c>
      <c r="H38" s="710">
        <v>0.26600000000000001</v>
      </c>
      <c r="I38" s="708">
        <v>0.52</v>
      </c>
      <c r="J38" s="570">
        <v>4.1230000000000002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4.1230000000000002</v>
      </c>
      <c r="N38" s="632">
        <f t="shared" si="2"/>
        <v>-5.9258562822260955E-2</v>
      </c>
      <c r="O38" s="629">
        <f t="shared" si="3"/>
        <v>-3.5374143571297707</v>
      </c>
      <c r="P38" s="633">
        <f t="shared" si="4"/>
        <v>-0.53260160632644438</v>
      </c>
      <c r="Q38" s="585">
        <f t="shared" si="113"/>
        <v>269.0402741497827</v>
      </c>
      <c r="R38" s="629">
        <f t="shared" si="79"/>
        <v>3.5379106703385812</v>
      </c>
      <c r="S38" s="634">
        <f t="shared" si="80"/>
        <v>-0.53260160632644438</v>
      </c>
      <c r="T38" s="635">
        <f t="shared" si="81"/>
        <v>-3.5374143571297707</v>
      </c>
      <c r="U38" s="629">
        <f t="shared" si="82"/>
        <v>5.9258562822263071E-2</v>
      </c>
      <c r="V38" s="636">
        <f t="shared" si="114"/>
        <v>-0.53260160632644438</v>
      </c>
      <c r="W38" s="585">
        <f t="shared" si="224"/>
        <v>179.0402741497827</v>
      </c>
      <c r="X38" s="629">
        <f t="shared" si="83"/>
        <v>3.5379106703385812</v>
      </c>
      <c r="Y38" s="630">
        <f t="shared" si="223"/>
        <v>-0.53260160632644438</v>
      </c>
      <c r="Z38" s="632">
        <f t="shared" si="6"/>
        <v>-0.94961265483697233</v>
      </c>
      <c r="AA38" s="629">
        <f t="shared" si="7"/>
        <v>0.2378810084182934</v>
      </c>
      <c r="AB38" s="629">
        <f t="shared" si="8"/>
        <v>-0.20407947375317609</v>
      </c>
      <c r="AC38" s="636">
        <f t="shared" si="84"/>
        <v>1</v>
      </c>
      <c r="AD38" s="637">
        <f t="shared" si="115"/>
        <v>-0.94961265483697233</v>
      </c>
      <c r="AE38" s="629">
        <f t="shared" si="85"/>
        <v>0.2378810084182934</v>
      </c>
      <c r="AF38" s="633">
        <f t="shared" si="86"/>
        <v>-0.20407947375317609</v>
      </c>
      <c r="AG38" s="602">
        <f t="shared" si="87"/>
        <v>49.373518562143623</v>
      </c>
      <c r="AH38" s="603">
        <f t="shared" si="88"/>
        <v>161.73418600230255</v>
      </c>
      <c r="AI38" s="585">
        <f t="shared" si="89"/>
        <v>-78.224382369242278</v>
      </c>
      <c r="AJ38" s="586">
        <f t="shared" si="90"/>
        <v>-104.06337551312953</v>
      </c>
      <c r="AK38" s="635">
        <f t="shared" si="211"/>
        <v>0.95346384912855275</v>
      </c>
      <c r="AL38" s="629">
        <f t="shared" si="91"/>
        <v>-0.2219420122410159</v>
      </c>
      <c r="AM38" s="634">
        <f t="shared" si="92"/>
        <v>-0.20407947375317609</v>
      </c>
      <c r="AN38" s="581">
        <f t="shared" si="93"/>
        <v>-47.400932782604684</v>
      </c>
      <c r="AO38" s="582">
        <f t="shared" si="94"/>
        <v>17.54816119841194</v>
      </c>
      <c r="AP38" s="585">
        <f t="shared" si="95"/>
        <v>-13.103649662912217</v>
      </c>
      <c r="AQ38" s="586">
        <f t="shared" si="9"/>
        <v>0.64434372072864377</v>
      </c>
      <c r="AS38" s="52">
        <f t="shared" si="116"/>
        <v>-180.9597258502173</v>
      </c>
      <c r="AT38" s="72">
        <f t="shared" si="10"/>
        <v>-0.40693513004157122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4.1230000000000002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-9.1296637373552467E-2</v>
      </c>
      <c r="C39" s="708">
        <v>-3.9154475732799021</v>
      </c>
      <c r="D39" s="709">
        <v>-1.1189033746125774</v>
      </c>
      <c r="E39" s="710">
        <v>0.89295193955310603</v>
      </c>
      <c r="F39" s="708">
        <v>-0.40590418070614548</v>
      </c>
      <c r="G39" s="711">
        <v>0.19462432975766153</v>
      </c>
      <c r="H39" s="710">
        <v>0.26600000000000001</v>
      </c>
      <c r="I39" s="708">
        <v>0.52</v>
      </c>
      <c r="J39" s="570">
        <v>4.1289999999999996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4.1289999999999996</v>
      </c>
      <c r="N39" s="632">
        <f t="shared" si="2"/>
        <v>-9.1296637373552467E-2</v>
      </c>
      <c r="O39" s="629">
        <f t="shared" si="3"/>
        <v>-3.9154475732799021</v>
      </c>
      <c r="P39" s="633">
        <f t="shared" si="4"/>
        <v>-1.1189033746125774</v>
      </c>
      <c r="Q39" s="585">
        <f t="shared" si="113"/>
        <v>268.66427420407041</v>
      </c>
      <c r="R39" s="629">
        <f t="shared" si="79"/>
        <v>3.9165118121996252</v>
      </c>
      <c r="S39" s="634">
        <f t="shared" si="80"/>
        <v>-1.1189033746125774</v>
      </c>
      <c r="T39" s="635">
        <f t="shared" si="81"/>
        <v>-3.9154475732799021</v>
      </c>
      <c r="U39" s="629">
        <f t="shared" si="82"/>
        <v>9.1296637373552522E-2</v>
      </c>
      <c r="V39" s="636">
        <f t="shared" si="114"/>
        <v>-1.1189033746125774</v>
      </c>
      <c r="W39" s="585">
        <f t="shared" si="224"/>
        <v>178.66427420407041</v>
      </c>
      <c r="X39" s="629">
        <f t="shared" si="83"/>
        <v>3.9165118121996252</v>
      </c>
      <c r="Y39" s="630">
        <f t="shared" si="223"/>
        <v>-1.1189033746125774</v>
      </c>
      <c r="Z39" s="632">
        <f t="shared" si="6"/>
        <v>-0.89295193955310603</v>
      </c>
      <c r="AA39" s="629">
        <f t="shared" si="7"/>
        <v>0.40590418070614548</v>
      </c>
      <c r="AB39" s="629">
        <f t="shared" si="8"/>
        <v>-0.19462432975766153</v>
      </c>
      <c r="AC39" s="636">
        <f t="shared" si="84"/>
        <v>1</v>
      </c>
      <c r="AD39" s="637">
        <f t="shared" si="115"/>
        <v>-0.89295193955310603</v>
      </c>
      <c r="AE39" s="629">
        <f t="shared" si="85"/>
        <v>0.40590418070614548</v>
      </c>
      <c r="AF39" s="633">
        <f t="shared" si="86"/>
        <v>-0.19462432975766153</v>
      </c>
      <c r="AG39" s="602">
        <f t="shared" si="87"/>
        <v>64.383053922022555</v>
      </c>
      <c r="AH39" s="603">
        <f t="shared" si="88"/>
        <v>153.24656271854005</v>
      </c>
      <c r="AI39" s="585">
        <f t="shared" si="89"/>
        <v>-78.777221176444854</v>
      </c>
      <c r="AJ39" s="586">
        <f t="shared" si="90"/>
        <v>-114.44485535735485</v>
      </c>
      <c r="AK39" s="635">
        <f t="shared" si="211"/>
        <v>0.90217120769736436</v>
      </c>
      <c r="AL39" s="629">
        <f t="shared" si="91"/>
        <v>-0.38497854780267993</v>
      </c>
      <c r="AM39" s="634">
        <f t="shared" si="92"/>
        <v>-0.19462432975766153</v>
      </c>
      <c r="AN39" s="581">
        <f t="shared" si="93"/>
        <v>-63.181307425179874</v>
      </c>
      <c r="AO39" s="582">
        <f t="shared" si="94"/>
        <v>25.555053112049549</v>
      </c>
      <c r="AP39" s="585">
        <f t="shared" si="95"/>
        <v>-23.109129561425252</v>
      </c>
      <c r="AQ39" s="586">
        <f t="shared" si="9"/>
        <v>0.58206085312480516</v>
      </c>
      <c r="AS39" s="52">
        <f t="shared" si="116"/>
        <v>-181.33572579592959</v>
      </c>
      <c r="AT39" s="72">
        <f t="shared" si="10"/>
        <v>-0.99297578725429292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4.1289999999999996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-0.10832339820638298</v>
      </c>
      <c r="C40" s="708">
        <v>-4.0754729676949024</v>
      </c>
      <c r="D40" s="709">
        <v>-1.7901053989578828</v>
      </c>
      <c r="E40" s="710">
        <v>0.84787233304192344</v>
      </c>
      <c r="F40" s="708">
        <v>-0.51739680375621655</v>
      </c>
      <c r="G40" s="711">
        <v>0.11581474139718587</v>
      </c>
      <c r="H40" s="710">
        <v>0.26600000000000001</v>
      </c>
      <c r="I40" s="708">
        <v>0.52</v>
      </c>
      <c r="J40" s="570">
        <v>4.1349999999999998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4.1349999999999998</v>
      </c>
      <c r="N40" s="632">
        <f t="shared" si="2"/>
        <v>-0.10832339820638298</v>
      </c>
      <c r="O40" s="629">
        <f t="shared" si="3"/>
        <v>-4.0754729676949024</v>
      </c>
      <c r="P40" s="633">
        <f t="shared" si="4"/>
        <v>-1.7901053989578828</v>
      </c>
      <c r="Q40" s="585">
        <f t="shared" si="113"/>
        <v>268.47747423104101</v>
      </c>
      <c r="R40" s="629">
        <f t="shared" si="79"/>
        <v>4.0769122959674853</v>
      </c>
      <c r="S40" s="634">
        <f t="shared" si="80"/>
        <v>-1.7901053989578828</v>
      </c>
      <c r="T40" s="635">
        <f t="shared" si="81"/>
        <v>-4.0754729676949024</v>
      </c>
      <c r="U40" s="629">
        <f t="shared" si="82"/>
        <v>0.10832339820638032</v>
      </c>
      <c r="V40" s="636">
        <f t="shared" si="114"/>
        <v>-1.7901053989578828</v>
      </c>
      <c r="W40" s="585">
        <f t="shared" si="224"/>
        <v>178.47747423104101</v>
      </c>
      <c r="X40" s="629">
        <f t="shared" si="83"/>
        <v>4.0769122959674853</v>
      </c>
      <c r="Y40" s="630">
        <f t="shared" si="223"/>
        <v>-1.7901053989578828</v>
      </c>
      <c r="Z40" s="632">
        <f t="shared" si="6"/>
        <v>-0.84787233304192344</v>
      </c>
      <c r="AA40" s="629">
        <f t="shared" si="7"/>
        <v>0.51739680375621655</v>
      </c>
      <c r="AB40" s="629">
        <f t="shared" si="8"/>
        <v>-0.11581474139718587</v>
      </c>
      <c r="AC40" s="636">
        <f t="shared" si="84"/>
        <v>1</v>
      </c>
      <c r="AD40" s="637">
        <f t="shared" si="115"/>
        <v>-0.84787233304192344</v>
      </c>
      <c r="AE40" s="629">
        <f t="shared" si="85"/>
        <v>0.51739680375621655</v>
      </c>
      <c r="AF40" s="633">
        <f t="shared" si="86"/>
        <v>-0.11581474139718587</v>
      </c>
      <c r="AG40" s="602">
        <f t="shared" si="87"/>
        <v>77.382825161082692</v>
      </c>
      <c r="AH40" s="603">
        <f t="shared" si="88"/>
        <v>147.98100123123831</v>
      </c>
      <c r="AI40" s="585">
        <f t="shared" si="89"/>
        <v>-83.349379695737113</v>
      </c>
      <c r="AJ40" s="586">
        <f t="shared" si="90"/>
        <v>-121.39277810095165</v>
      </c>
      <c r="AK40" s="635">
        <f t="shared" si="211"/>
        <v>0.8613202096218866</v>
      </c>
      <c r="AL40" s="629">
        <f t="shared" si="91"/>
        <v>-0.49468620576281747</v>
      </c>
      <c r="AM40" s="634">
        <f t="shared" si="92"/>
        <v>-0.11581474139718587</v>
      </c>
      <c r="AN40" s="581">
        <f t="shared" si="93"/>
        <v>-76.82337071915488</v>
      </c>
      <c r="AO40" s="582">
        <f t="shared" si="94"/>
        <v>30.534859319776235</v>
      </c>
      <c r="AP40" s="585">
        <f t="shared" si="95"/>
        <v>-29.870252331992663</v>
      </c>
      <c r="AQ40" s="586">
        <f t="shared" si="9"/>
        <v>0.55916195652853284</v>
      </c>
      <c r="AS40" s="52">
        <f t="shared" si="116"/>
        <v>-181.52252576895899</v>
      </c>
      <c r="AT40" s="72">
        <f t="shared" si="10"/>
        <v>-1.6640480893961058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4.1349999999999998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-0.78599286276615254</v>
      </c>
      <c r="C41" s="708">
        <v>-2.8341941396243211</v>
      </c>
      <c r="D41" s="709">
        <v>-0.16696856425688794</v>
      </c>
      <c r="E41" s="710">
        <v>0.88246954016122547</v>
      </c>
      <c r="F41" s="708">
        <v>-0.37279623712441673</v>
      </c>
      <c r="G41" s="711">
        <v>0.286828304519465</v>
      </c>
      <c r="H41" s="710">
        <v>0.26600000000000001</v>
      </c>
      <c r="I41" s="708">
        <v>0.52</v>
      </c>
      <c r="J41" s="570">
        <v>4.2169999999999996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4.2169999999999996</v>
      </c>
      <c r="N41" s="632">
        <f t="shared" ref="N41:N72" si="240">IF(M41="","",B41)</f>
        <v>-0.78599286276615254</v>
      </c>
      <c r="O41" s="629">
        <f t="shared" ref="O41:O72" si="241">IF(M41="","",C41)</f>
        <v>-2.8341941396243211</v>
      </c>
      <c r="P41" s="633">
        <f t="shared" ref="P41:P72" si="242">IF(M41="","",D41)</f>
        <v>-0.16696856425688794</v>
      </c>
      <c r="Q41" s="585">
        <f t="shared" si="113"/>
        <v>254.49997624914201</v>
      </c>
      <c r="R41" s="629">
        <f t="shared" si="79"/>
        <v>2.9411632395023872</v>
      </c>
      <c r="S41" s="634">
        <f t="shared" si="80"/>
        <v>-0.16696856425688794</v>
      </c>
      <c r="T41" s="635">
        <f t="shared" si="81"/>
        <v>-2.8341941396243211</v>
      </c>
      <c r="U41" s="629">
        <f t="shared" si="82"/>
        <v>0.78599286276615243</v>
      </c>
      <c r="V41" s="636">
        <f t="shared" si="114"/>
        <v>-0.16696856425688794</v>
      </c>
      <c r="W41" s="585">
        <f t="shared" si="224"/>
        <v>164.49997624914201</v>
      </c>
      <c r="X41" s="629">
        <f t="shared" si="83"/>
        <v>2.9411632395023872</v>
      </c>
      <c r="Y41" s="630">
        <f t="shared" si="223"/>
        <v>-0.16696856425688794</v>
      </c>
      <c r="Z41" s="632">
        <f t="shared" ref="Z41:Z72" si="243">IF(M41="","",-E41)</f>
        <v>-0.88246954016122547</v>
      </c>
      <c r="AA41" s="629">
        <f t="shared" ref="AA41:AA72" si="244">IF(M41="","",-F41)</f>
        <v>0.37279623712441673</v>
      </c>
      <c r="AB41" s="629">
        <f t="shared" ref="AB41:AB72" si="245">IF(M41="","",-G41)</f>
        <v>-0.286828304519465</v>
      </c>
      <c r="AC41" s="636">
        <f t="shared" si="84"/>
        <v>1</v>
      </c>
      <c r="AD41" s="637">
        <f t="shared" si="115"/>
        <v>-0.88246954016122547</v>
      </c>
      <c r="AE41" s="629">
        <f t="shared" si="85"/>
        <v>0.37279623712441673</v>
      </c>
      <c r="AF41" s="633">
        <f t="shared" si="86"/>
        <v>-0.286828304519465</v>
      </c>
      <c r="AG41" s="602">
        <f t="shared" si="87"/>
        <v>52.42542495715594</v>
      </c>
      <c r="AH41" s="603">
        <f t="shared" si="88"/>
        <v>151.94171270160987</v>
      </c>
      <c r="AI41" s="585">
        <f t="shared" si="89"/>
        <v>-73.331833823772925</v>
      </c>
      <c r="AJ41" s="586">
        <f t="shared" si="90"/>
        <v>-112.90146050420185</v>
      </c>
      <c r="AK41" s="635">
        <f t="shared" si="211"/>
        <v>0.95000003510193354</v>
      </c>
      <c r="AL41" s="629">
        <f t="shared" si="91"/>
        <v>-0.1234076862793165</v>
      </c>
      <c r="AM41" s="634">
        <f t="shared" si="92"/>
        <v>-0.286828304519465</v>
      </c>
      <c r="AN41" s="581">
        <f t="shared" si="93"/>
        <v>-23.279760131909921</v>
      </c>
      <c r="AO41" s="582">
        <f t="shared" si="94"/>
        <v>18.194865897794369</v>
      </c>
      <c r="AP41" s="585">
        <f t="shared" si="95"/>
        <v>-7.4014367533438632</v>
      </c>
      <c r="AQ41" s="586">
        <f t="shared" ref="AQ41:AQ72" si="246">IF(M41="","",DEGREES(ATAN(($AS$5*SIN(RADIANS(90)))/(($X41*2*PI())-($AS$5*COS(RADIANS(90)))))))</f>
        <v>0.77506326183309671</v>
      </c>
      <c r="AS41" s="52">
        <f t="shared" si="116"/>
        <v>-195.50002375085799</v>
      </c>
      <c r="AT41" s="72">
        <f t="shared" ref="AT41:AT72" si="247">IF(M41="","",Y41+(((AS41-$AS$9)*$AS$6)*-1))</f>
        <v>-3.1204658874347674E-2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4.2169999999999996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4.117</v>
      </c>
      <c r="II41" s="734" cm="1">
        <f t="array" ref="II41">IFERROR(ROUND(VALUE(IF($IH41&lt;1,$IH41+LARGE((IF($M$9:$M$150="",0,$M$9:$M$150)-MOD(IF($M$9:$M$150="",0,$M$9:$M$150),1)),1),$IH41)),4),"")</f>
        <v>4.117</v>
      </c>
      <c r="IJ41" s="533">
        <f t="shared" si="112"/>
        <v>1313</v>
      </c>
      <c r="IK41" s="533">
        <f t="shared" ref="IK41:IK72" si="382">IF(ISNUMBER($II41),INDEX($K$9:$K$150,MATCH($IG41,$M$9:$M$150,0)),"")</f>
        <v>1313</v>
      </c>
      <c r="IL41" s="727">
        <f t="shared" si="225"/>
        <v>15.068297824406983</v>
      </c>
      <c r="IM41" s="759">
        <v>1.54900983914965E-3</v>
      </c>
      <c r="IN41" s="5">
        <f t="shared" si="226"/>
        <v>0</v>
      </c>
      <c r="IO41" s="771">
        <v>0</v>
      </c>
      <c r="IP41" s="9">
        <f t="shared" si="227"/>
        <v>-2.9396088658603396</v>
      </c>
      <c r="IQ41" s="5">
        <f t="shared" si="228"/>
        <v>-0.15410046476700162</v>
      </c>
      <c r="IR41" s="5">
        <f t="shared" ref="IR41:IR72" si="383">IF(ISNUMBER($II41),INDEX($H$9:$H$150,MATCH($II41,$M$9:$M$150,0)),"")</f>
        <v>0.26600000000000001</v>
      </c>
      <c r="IS41" s="5">
        <f t="shared" si="229"/>
        <v>0.2588945225479945</v>
      </c>
      <c r="IT41" s="727">
        <f t="shared" si="230"/>
        <v>26.443876766311355</v>
      </c>
      <c r="IU41" s="9">
        <f t="shared" si="231"/>
        <v>-2.9411632395023872</v>
      </c>
      <c r="IV41" s="5">
        <f t="shared" si="232"/>
        <v>-0.16696856425688794</v>
      </c>
      <c r="IW41" s="5">
        <f t="shared" ref="IW41:IW72" si="384">IF(ISNUMBER($II41),$H41,"")</f>
        <v>0.26600000000000001</v>
      </c>
      <c r="IX41" s="5">
        <f t="shared" si="233"/>
        <v>0.25270000933711434</v>
      </c>
      <c r="IY41" s="762">
        <f t="shared" si="234"/>
        <v>23.279760131909921</v>
      </c>
    </row>
    <row r="42" spans="1:267" ht="15" customHeight="1" x14ac:dyDescent="0.25">
      <c r="A42" s="79"/>
      <c r="B42" s="707">
        <v>-0.93178723031727984</v>
      </c>
      <c r="C42" s="708">
        <v>-3.4173038378152376</v>
      </c>
      <c r="D42" s="709">
        <v>-0.54397791923016303</v>
      </c>
      <c r="E42" s="710">
        <v>0.82186419494211727</v>
      </c>
      <c r="F42" s="708">
        <v>-0.49992687561099108</v>
      </c>
      <c r="G42" s="711">
        <v>0.27315263885596724</v>
      </c>
      <c r="H42" s="710">
        <v>0.26600000000000001</v>
      </c>
      <c r="I42" s="708">
        <v>0.52</v>
      </c>
      <c r="J42" s="570">
        <v>4.2229999999999999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4.2229999999999999</v>
      </c>
      <c r="N42" s="632">
        <f t="shared" si="240"/>
        <v>-0.93178723031727984</v>
      </c>
      <c r="O42" s="629">
        <f t="shared" si="241"/>
        <v>-3.4173038378152376</v>
      </c>
      <c r="P42" s="633">
        <f t="shared" si="242"/>
        <v>-0.54397791923016303</v>
      </c>
      <c r="Q42" s="585">
        <f t="shared" si="113"/>
        <v>254.74807621332079</v>
      </c>
      <c r="R42" s="629">
        <f t="shared" ref="R42:R47" si="385">IF(M42="","",SQRT(N42^2+O42^2))</f>
        <v>3.5420605531990978</v>
      </c>
      <c r="S42" s="634">
        <f t="shared" ref="S42:S47" si="386">IF(M42="","",P42)</f>
        <v>-0.54397791923016303</v>
      </c>
      <c r="T42" s="635">
        <f t="shared" ref="T42:T47" si="387">IF(M42="","",X42*COS(RADIANS(W42)))</f>
        <v>-3.4173038378152376</v>
      </c>
      <c r="U42" s="629">
        <f t="shared" ref="U42:U47" si="388">IF(M42="","",X42*SIN(RADIANS(W42)))</f>
        <v>0.9317872303172795</v>
      </c>
      <c r="V42" s="636">
        <f t="shared" ref="V42:V47" si="389">IF(M42="","",Y42)</f>
        <v>-0.54397791923016303</v>
      </c>
      <c r="W42" s="585">
        <f t="shared" si="224"/>
        <v>164.74807621332079</v>
      </c>
      <c r="X42" s="629">
        <f t="shared" ref="X42:X47" si="390">IF(M42="","",R42)</f>
        <v>3.5420605531990978</v>
      </c>
      <c r="Y42" s="630">
        <f t="shared" si="223"/>
        <v>-0.54397791923016303</v>
      </c>
      <c r="Z42" s="632">
        <f t="shared" si="243"/>
        <v>-0.82186419494211727</v>
      </c>
      <c r="AA42" s="629">
        <f t="shared" si="244"/>
        <v>0.49992687561099108</v>
      </c>
      <c r="AB42" s="629">
        <f t="shared" si="245"/>
        <v>-0.27315263885596724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-0.82186419494211727</v>
      </c>
      <c r="AE42" s="629">
        <f t="shared" ref="AE42:AE47" si="393">IF(M42="","",AA42*(1/SQRT(Z42^2+AA42^2+AB42^2)))</f>
        <v>0.49992687561099108</v>
      </c>
      <c r="AF42" s="633">
        <f t="shared" ref="AF42:AF47" si="394">IF(M42="","",AB42*(1/SQRT(Z42^2+AA42^2+AB42^2)))</f>
        <v>-0.27315263885596724</v>
      </c>
      <c r="AG42" s="602">
        <f t="shared" ref="AG42:AG47" si="395">IF(M42="","",DEGREES(ATAN2(-AF42,AE42)))</f>
        <v>61.348461291271072</v>
      </c>
      <c r="AH42" s="603">
        <f t="shared" ref="AH42:AH47" si="396">IF(M42="","",DEGREES(ACOS(AD42)))</f>
        <v>145.27184456440477</v>
      </c>
      <c r="AI42" s="585">
        <f t="shared" ref="AI42:AI47" si="397">IF(M42="","",DEGREES(-ACOS(-AF42)))</f>
        <v>-74.148046295318196</v>
      </c>
      <c r="AJ42" s="586">
        <f t="shared" ref="AJ42:AJ47" si="398">IF(M42="","",DEGREES(ATAN2(-AE42,AD42)))</f>
        <v>-121.31148193822355</v>
      </c>
      <c r="AK42" s="635">
        <f t="shared" ref="AK42:AK47" si="399">IF(M42="","",(COS(RADIANS((90-$Q$8)-W42))*AD42)+(-SIN(RADIANS((90-$Q$8)-W42))*AE42))</f>
        <v>0.92442946616709432</v>
      </c>
      <c r="AL42" s="629">
        <f t="shared" ref="AL42:AL47" si="400">IF(M42="","",(SIN(RADIANS((90-$Q$8)-W42))*AD42)+(COS(RADIANS((90-$Q$8)-W42))*AE42))</f>
        <v>-0.26611613624138442</v>
      </c>
      <c r="AM42" s="634">
        <f t="shared" ref="AM42:AM47" si="401">IF(M42="","",AF42)</f>
        <v>-0.27315263885596724</v>
      </c>
      <c r="AN42" s="581">
        <f t="shared" ref="AN42:AN47" si="402">IF(M42="","",DEGREES(ATAN2(-AM42,AL42)))</f>
        <v>-44.252433956833947</v>
      </c>
      <c r="AO42" s="582">
        <f t="shared" si="94"/>
        <v>22.41751998221357</v>
      </c>
      <c r="AP42" s="585">
        <f t="shared" ref="AP42:AP47" si="403">IF(M42="","",DEGREES(ATAN2(AK42,AL42)))</f>
        <v>-16.059558151544341</v>
      </c>
      <c r="AQ42" s="586">
        <f t="shared" si="246"/>
        <v>0.64358887030372647</v>
      </c>
      <c r="AS42" s="52">
        <f t="shared" si="116"/>
        <v>-195.25192378667921</v>
      </c>
      <c r="AT42" s="72">
        <f t="shared" si="247"/>
        <v>-0.40838630548941357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4.2229999999999999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4.1230000000000002</v>
      </c>
      <c r="II42" s="734" cm="1">
        <f t="array" ref="II42">IFERROR(ROUND(VALUE(IF($IH42&lt;1,$IH42+LARGE((IF($M$9:$M$150="",0,$M$9:$M$150)-MOD(IF($M$9:$M$150="",0,$M$9:$M$150),1)),1),$IH42)),4),"")</f>
        <v>4.1230000000000002</v>
      </c>
      <c r="IJ42" s="533">
        <f t="shared" si="112"/>
        <v>1313</v>
      </c>
      <c r="IK42" s="533">
        <f t="shared" si="382"/>
        <v>1313</v>
      </c>
      <c r="IL42" s="727">
        <f t="shared" si="225"/>
        <v>14.292197936461918</v>
      </c>
      <c r="IM42" s="759">
        <v>1.03169625953874E-3</v>
      </c>
      <c r="IN42" s="5">
        <f t="shared" si="226"/>
        <v>0</v>
      </c>
      <c r="IO42" s="771">
        <v>0</v>
      </c>
      <c r="IP42" s="9">
        <f t="shared" si="227"/>
        <v>-3.5379106703385812</v>
      </c>
      <c r="IQ42" s="5">
        <f t="shared" si="228"/>
        <v>-0.53260160632644438</v>
      </c>
      <c r="IR42" s="5">
        <f t="shared" si="383"/>
        <v>0.26600000000000001</v>
      </c>
      <c r="IS42" s="5">
        <f t="shared" si="229"/>
        <v>0.25362138386819505</v>
      </c>
      <c r="IT42" s="727">
        <f t="shared" si="230"/>
        <v>47.400932782604684</v>
      </c>
      <c r="IU42" s="9">
        <f t="shared" si="231"/>
        <v>-3.5420605531990978</v>
      </c>
      <c r="IV42" s="5">
        <f t="shared" si="232"/>
        <v>-0.54397791923016303</v>
      </c>
      <c r="IW42" s="5">
        <f t="shared" si="384"/>
        <v>0.26600000000000001</v>
      </c>
      <c r="IX42" s="5">
        <f t="shared" si="233"/>
        <v>0.24589823800044711</v>
      </c>
      <c r="IY42" s="762">
        <f t="shared" si="234"/>
        <v>44.252433956833947</v>
      </c>
    </row>
    <row r="43" spans="1:267" ht="15" customHeight="1" x14ac:dyDescent="0.25">
      <c r="A43" s="79"/>
      <c r="B43" s="707">
        <v>-0.3660802334332619</v>
      </c>
      <c r="C43" s="708">
        <v>-0.2563319671901772</v>
      </c>
      <c r="D43" s="709">
        <v>-0.25190075973269138</v>
      </c>
      <c r="E43" s="710">
        <v>0.57186381059109681</v>
      </c>
      <c r="F43" s="708">
        <v>-0.73145915656198657</v>
      </c>
      <c r="G43" s="711">
        <v>0.37140178300306731</v>
      </c>
      <c r="H43" s="710">
        <v>0.219</v>
      </c>
      <c r="I43" s="708">
        <v>0.42</v>
      </c>
      <c r="J43" s="570">
        <v>5.1020000000000003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1111</v>
      </c>
      <c r="L43" s="320"/>
      <c r="M43" s="168">
        <f t="shared" si="239"/>
        <v>5.1020000000000003</v>
      </c>
      <c r="N43" s="632">
        <f t="shared" si="240"/>
        <v>-0.3660802334332619</v>
      </c>
      <c r="O43" s="629">
        <f t="shared" si="241"/>
        <v>-0.2563319671901772</v>
      </c>
      <c r="P43" s="633">
        <f t="shared" si="242"/>
        <v>-0.25190075973269138</v>
      </c>
      <c r="Q43" s="585">
        <f t="shared" si="113"/>
        <v>214.99998195223557</v>
      </c>
      <c r="R43" s="629">
        <f t="shared" si="385"/>
        <v>0.44690134785446511</v>
      </c>
      <c r="S43" s="634">
        <f t="shared" si="386"/>
        <v>-0.25190075973269138</v>
      </c>
      <c r="T43" s="635">
        <f t="shared" si="387"/>
        <v>-0.25633196719017726</v>
      </c>
      <c r="U43" s="629">
        <f t="shared" si="388"/>
        <v>0.3660802334332619</v>
      </c>
      <c r="V43" s="636">
        <f t="shared" si="389"/>
        <v>-0.25190075973269138</v>
      </c>
      <c r="W43" s="585">
        <f t="shared" si="224"/>
        <v>124.99998195223557</v>
      </c>
      <c r="X43" s="629">
        <f t="shared" si="390"/>
        <v>0.44690134785446511</v>
      </c>
      <c r="Y43" s="630">
        <f t="shared" si="223"/>
        <v>-0.25190075973269138</v>
      </c>
      <c r="Z43" s="632">
        <f t="shared" si="243"/>
        <v>-0.57186381059109681</v>
      </c>
      <c r="AA43" s="629">
        <f t="shared" si="244"/>
        <v>0.73145915656198657</v>
      </c>
      <c r="AB43" s="629">
        <f t="shared" si="245"/>
        <v>-0.37140178300306731</v>
      </c>
      <c r="AC43" s="636">
        <f t="shared" si="391"/>
        <v>1</v>
      </c>
      <c r="AD43" s="637">
        <f t="shared" si="392"/>
        <v>-0.57186381059109681</v>
      </c>
      <c r="AE43" s="629">
        <f t="shared" si="393"/>
        <v>0.73145915656198657</v>
      </c>
      <c r="AF43" s="633">
        <f t="shared" si="394"/>
        <v>-0.37140178300306731</v>
      </c>
      <c r="AG43" s="602">
        <f t="shared" si="395"/>
        <v>63.080605817690426</v>
      </c>
      <c r="AH43" s="603">
        <f t="shared" si="396"/>
        <v>124.88029746232377</v>
      </c>
      <c r="AI43" s="585">
        <f t="shared" si="397"/>
        <v>-68.197905126886312</v>
      </c>
      <c r="AJ43" s="586">
        <f t="shared" si="398"/>
        <v>-141.98126437543129</v>
      </c>
      <c r="AK43" s="635">
        <f t="shared" si="399"/>
        <v>0.92718385456678742</v>
      </c>
      <c r="AL43" s="629">
        <f t="shared" si="400"/>
        <v>4.8895965199768354E-2</v>
      </c>
      <c r="AM43" s="634">
        <f t="shared" si="401"/>
        <v>-0.37140178300306731</v>
      </c>
      <c r="AN43" s="581">
        <f t="shared" si="402"/>
        <v>7.4999989171341399</v>
      </c>
      <c r="AO43" s="582">
        <f t="shared" si="94"/>
        <v>21.999999999999993</v>
      </c>
      <c r="AP43" s="585">
        <f t="shared" si="403"/>
        <v>3.0187536723331529</v>
      </c>
      <c r="AQ43" s="586">
        <f t="shared" si="246"/>
        <v>5.0877704843436904</v>
      </c>
      <c r="AS43" s="52">
        <f t="shared" ref="AS43:AS74" si="406">IF(G43="","",IF(AND(W43&lt;(AS42+180),W43&gt;(AS42-180)),W43,IF(W43&gt;(AS42+180),W43-360,IF(W43&lt;(AS42-180),W43+360,"Error"))))</f>
        <v>-235.00001804776443</v>
      </c>
      <c r="AT43" s="72">
        <f t="shared" si="247"/>
        <v>-8.8706302755077182E-2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5.1020000000000003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1111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-0.8433197590502195</v>
      </c>
      <c r="C44" s="708">
        <v>-0.59049845652783084</v>
      </c>
      <c r="D44" s="709">
        <v>-0.18580056037449008</v>
      </c>
      <c r="E44" s="710">
        <v>0.58312203114697403</v>
      </c>
      <c r="F44" s="708">
        <v>-0.78353093388234807</v>
      </c>
      <c r="G44" s="711">
        <v>0.21458791308105662</v>
      </c>
      <c r="H44" s="710">
        <v>0.219</v>
      </c>
      <c r="I44" s="708">
        <v>0.42</v>
      </c>
      <c r="J44" s="570">
        <v>5.1050000000000004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1111</v>
      </c>
      <c r="L44" s="320"/>
      <c r="M44" s="168">
        <f t="shared" si="239"/>
        <v>5.1050000000000004</v>
      </c>
      <c r="N44" s="632">
        <f t="shared" si="240"/>
        <v>-0.8433197590502195</v>
      </c>
      <c r="O44" s="629">
        <f t="shared" si="241"/>
        <v>-0.59049845652783084</v>
      </c>
      <c r="P44" s="633">
        <f t="shared" si="242"/>
        <v>-0.18580056037449008</v>
      </c>
      <c r="Q44" s="585">
        <f t="shared" si="113"/>
        <v>214.9999819522356</v>
      </c>
      <c r="R44" s="629">
        <f t="shared" si="385"/>
        <v>1.0295031049813648</v>
      </c>
      <c r="S44" s="634">
        <f t="shared" si="386"/>
        <v>-0.18580056037449008</v>
      </c>
      <c r="T44" s="635">
        <f t="shared" si="387"/>
        <v>-0.59049845652783106</v>
      </c>
      <c r="U44" s="629">
        <f t="shared" si="388"/>
        <v>0.8433197590502195</v>
      </c>
      <c r="V44" s="636">
        <f t="shared" si="389"/>
        <v>-0.18580056037449008</v>
      </c>
      <c r="W44" s="585">
        <f t="shared" si="224"/>
        <v>124.9999819522356</v>
      </c>
      <c r="X44" s="629">
        <f t="shared" si="390"/>
        <v>1.0295031049813648</v>
      </c>
      <c r="Y44" s="630">
        <f t="shared" si="223"/>
        <v>-0.18580056037449008</v>
      </c>
      <c r="Z44" s="632">
        <f t="shared" si="243"/>
        <v>-0.58312203114697403</v>
      </c>
      <c r="AA44" s="629">
        <f t="shared" si="244"/>
        <v>0.78353093388234807</v>
      </c>
      <c r="AB44" s="629">
        <f t="shared" si="245"/>
        <v>-0.21458791308105662</v>
      </c>
      <c r="AC44" s="636">
        <f t="shared" si="391"/>
        <v>1</v>
      </c>
      <c r="AD44" s="637">
        <f t="shared" si="392"/>
        <v>-0.58312203114697403</v>
      </c>
      <c r="AE44" s="629">
        <f t="shared" si="393"/>
        <v>0.78353093388234807</v>
      </c>
      <c r="AF44" s="633">
        <f t="shared" si="394"/>
        <v>-0.21458791308105662</v>
      </c>
      <c r="AG44" s="602">
        <f t="shared" si="395"/>
        <v>74.683802124016083</v>
      </c>
      <c r="AH44" s="603">
        <f t="shared" si="396"/>
        <v>125.67043062121496</v>
      </c>
      <c r="AI44" s="585">
        <f t="shared" si="397"/>
        <v>-77.608647798292665</v>
      </c>
      <c r="AJ44" s="586">
        <f t="shared" si="398"/>
        <v>-143.34251537617564</v>
      </c>
      <c r="AK44" s="635">
        <f t="shared" si="399"/>
        <v>0.97629601393762733</v>
      </c>
      <c r="AL44" s="629">
        <f t="shared" si="400"/>
        <v>2.825103058327405E-2</v>
      </c>
      <c r="AM44" s="634">
        <f t="shared" si="401"/>
        <v>-0.21458791308105662</v>
      </c>
      <c r="AN44" s="581">
        <f t="shared" si="402"/>
        <v>7.4999989171340751</v>
      </c>
      <c r="AO44" s="582">
        <f t="shared" si="94"/>
        <v>12.499998195223544</v>
      </c>
      <c r="AP44" s="585">
        <f t="shared" si="403"/>
        <v>1.6575026715887631</v>
      </c>
      <c r="AQ44" s="586">
        <f t="shared" si="246"/>
        <v>2.213293536574966</v>
      </c>
      <c r="AS44" s="52">
        <f t="shared" si="406"/>
        <v>-235.0000180477644</v>
      </c>
      <c r="AT44" s="72">
        <f t="shared" si="247"/>
        <v>-2.260610339687591E-2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5.1050000000000004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1111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-1.300981487443962</v>
      </c>
      <c r="C45" s="708">
        <v>-0.91095643385867031</v>
      </c>
      <c r="D45" s="709">
        <v>-0.11220033839622046</v>
      </c>
      <c r="E45" s="710">
        <v>0.58312203114697403</v>
      </c>
      <c r="F45" s="708">
        <v>-0.78353093388234807</v>
      </c>
      <c r="G45" s="711">
        <v>0.21458791308105662</v>
      </c>
      <c r="H45" s="710">
        <v>0.219</v>
      </c>
      <c r="I45" s="708">
        <v>0.42</v>
      </c>
      <c r="J45" s="570">
        <v>5.1079999999999997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1111</v>
      </c>
      <c r="L45" s="320"/>
      <c r="M45" s="168">
        <f t="shared" si="239"/>
        <v>5.1079999999999997</v>
      </c>
      <c r="N45" s="632">
        <f t="shared" si="240"/>
        <v>-1.300981487443962</v>
      </c>
      <c r="O45" s="629">
        <f t="shared" si="241"/>
        <v>-0.91095643385867031</v>
      </c>
      <c r="P45" s="633">
        <f t="shared" si="242"/>
        <v>-0.11220033839622046</v>
      </c>
      <c r="Q45" s="585">
        <f t="shared" si="113"/>
        <v>214.99998195223557</v>
      </c>
      <c r="R45" s="629">
        <f t="shared" si="385"/>
        <v>1.5882047900256471</v>
      </c>
      <c r="S45" s="634">
        <f t="shared" si="386"/>
        <v>-0.11220033839622046</v>
      </c>
      <c r="T45" s="635">
        <f t="shared" si="387"/>
        <v>-0.91095643385867009</v>
      </c>
      <c r="U45" s="629">
        <f t="shared" si="388"/>
        <v>1.3009814874439622</v>
      </c>
      <c r="V45" s="636">
        <f t="shared" si="389"/>
        <v>-0.11220033839622046</v>
      </c>
      <c r="W45" s="585">
        <f t="shared" si="224"/>
        <v>124.99998195223557</v>
      </c>
      <c r="X45" s="629">
        <f t="shared" si="390"/>
        <v>1.5882047900256471</v>
      </c>
      <c r="Y45" s="630">
        <f t="shared" si="223"/>
        <v>-0.11220033839622046</v>
      </c>
      <c r="Z45" s="632">
        <f t="shared" si="243"/>
        <v>-0.58312203114697403</v>
      </c>
      <c r="AA45" s="629">
        <f t="shared" si="244"/>
        <v>0.78353093388234807</v>
      </c>
      <c r="AB45" s="629">
        <f t="shared" si="245"/>
        <v>-0.21458791308105662</v>
      </c>
      <c r="AC45" s="636">
        <f t="shared" si="391"/>
        <v>1</v>
      </c>
      <c r="AD45" s="637">
        <f t="shared" si="392"/>
        <v>-0.58312203114697403</v>
      </c>
      <c r="AE45" s="629">
        <f t="shared" si="393"/>
        <v>0.78353093388234807</v>
      </c>
      <c r="AF45" s="633">
        <f t="shared" si="394"/>
        <v>-0.21458791308105662</v>
      </c>
      <c r="AG45" s="602">
        <f t="shared" si="395"/>
        <v>74.683802124016083</v>
      </c>
      <c r="AH45" s="603">
        <f t="shared" si="396"/>
        <v>125.67043062121496</v>
      </c>
      <c r="AI45" s="585">
        <f t="shared" si="397"/>
        <v>-77.608647798292665</v>
      </c>
      <c r="AJ45" s="586">
        <f t="shared" si="398"/>
        <v>-143.34251537617564</v>
      </c>
      <c r="AK45" s="635">
        <f t="shared" si="399"/>
        <v>0.97629601393762744</v>
      </c>
      <c r="AL45" s="629">
        <f t="shared" si="400"/>
        <v>2.8251030583274439E-2</v>
      </c>
      <c r="AM45" s="634">
        <f t="shared" si="401"/>
        <v>-0.21458791308105662</v>
      </c>
      <c r="AN45" s="581">
        <f t="shared" si="402"/>
        <v>7.4999989171341772</v>
      </c>
      <c r="AO45" s="582">
        <f t="shared" si="94"/>
        <v>12.499998195223519</v>
      </c>
      <c r="AP45" s="585">
        <f t="shared" si="403"/>
        <v>1.6575026715887855</v>
      </c>
      <c r="AQ45" s="586">
        <f t="shared" si="246"/>
        <v>1.4351108120634903</v>
      </c>
      <c r="AS45" s="52">
        <f t="shared" si="406"/>
        <v>-235.00001804776443</v>
      </c>
      <c r="AT45" s="72">
        <f t="shared" si="247"/>
        <v>5.0994118581393744E-2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5.1079999999999997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1111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-1.7585613003681506</v>
      </c>
      <c r="C46" s="708">
        <v>-1.231357053398686</v>
      </c>
      <c r="D46" s="709">
        <v>-3.870011671955189E-2</v>
      </c>
      <c r="E46" s="710">
        <v>0.5754325831323388</v>
      </c>
      <c r="F46" s="708">
        <v>-0.78891513973720306</v>
      </c>
      <c r="G46" s="711">
        <v>0.21561596546423353</v>
      </c>
      <c r="H46" s="710">
        <v>0.219</v>
      </c>
      <c r="I46" s="708">
        <v>0.42</v>
      </c>
      <c r="J46" s="570">
        <v>5.1109999999999998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1111</v>
      </c>
      <c r="L46" s="320"/>
      <c r="M46" s="168">
        <f t="shared" si="239"/>
        <v>5.1109999999999998</v>
      </c>
      <c r="N46" s="632">
        <f t="shared" si="240"/>
        <v>-1.7585613003681506</v>
      </c>
      <c r="O46" s="629">
        <f t="shared" si="241"/>
        <v>-1.231357053398686</v>
      </c>
      <c r="P46" s="633">
        <f t="shared" si="242"/>
        <v>-3.870011671955189E-2</v>
      </c>
      <c r="Q46" s="585">
        <f t="shared" si="113"/>
        <v>214.9999819522356</v>
      </c>
      <c r="R46" s="629">
        <f t="shared" si="385"/>
        <v>2.1468064747683275</v>
      </c>
      <c r="S46" s="634">
        <f t="shared" si="386"/>
        <v>-3.870011671955189E-2</v>
      </c>
      <c r="T46" s="635">
        <f t="shared" si="387"/>
        <v>-1.2313570533986862</v>
      </c>
      <c r="U46" s="629">
        <f t="shared" si="388"/>
        <v>1.7585613003681502</v>
      </c>
      <c r="V46" s="636">
        <f t="shared" si="389"/>
        <v>-3.870011671955189E-2</v>
      </c>
      <c r="W46" s="585">
        <f t="shared" si="224"/>
        <v>124.9999819522356</v>
      </c>
      <c r="X46" s="629">
        <f t="shared" si="390"/>
        <v>2.1468064747683275</v>
      </c>
      <c r="Y46" s="630">
        <f t="shared" si="223"/>
        <v>-3.870011671955189E-2</v>
      </c>
      <c r="Z46" s="632">
        <f t="shared" si="243"/>
        <v>-0.5754325831323388</v>
      </c>
      <c r="AA46" s="629">
        <f t="shared" si="244"/>
        <v>0.78891513973720306</v>
      </c>
      <c r="AB46" s="629">
        <f t="shared" si="245"/>
        <v>-0.21561596546423353</v>
      </c>
      <c r="AC46" s="636">
        <f t="shared" si="391"/>
        <v>1</v>
      </c>
      <c r="AD46" s="637">
        <f t="shared" si="392"/>
        <v>-0.5754325831323388</v>
      </c>
      <c r="AE46" s="629">
        <f t="shared" si="393"/>
        <v>0.78891513973720306</v>
      </c>
      <c r="AF46" s="633">
        <f t="shared" si="394"/>
        <v>-0.21561596546423353</v>
      </c>
      <c r="AG46" s="602">
        <f t="shared" si="395"/>
        <v>74.713973854789927</v>
      </c>
      <c r="AH46" s="603">
        <f t="shared" si="396"/>
        <v>125.12993188660586</v>
      </c>
      <c r="AI46" s="585">
        <f t="shared" si="397"/>
        <v>-77.54833285629249</v>
      </c>
      <c r="AJ46" s="586">
        <f t="shared" si="398"/>
        <v>-143.89308918040129</v>
      </c>
      <c r="AK46" s="635">
        <f t="shared" si="399"/>
        <v>0.97629601393762744</v>
      </c>
      <c r="AL46" s="629">
        <f t="shared" si="400"/>
        <v>1.8863949915823019E-2</v>
      </c>
      <c r="AM46" s="634">
        <f t="shared" si="401"/>
        <v>-0.21561596546423353</v>
      </c>
      <c r="AN46" s="581">
        <f t="shared" si="402"/>
        <v>4.9999992780893745</v>
      </c>
      <c r="AO46" s="582">
        <f t="shared" si="94"/>
        <v>12.499998195223519</v>
      </c>
      <c r="AP46" s="585">
        <f t="shared" si="403"/>
        <v>1.1069288673631212</v>
      </c>
      <c r="AQ46" s="586">
        <f t="shared" si="246"/>
        <v>1.061793729045867</v>
      </c>
      <c r="AS46" s="52">
        <f t="shared" si="406"/>
        <v>-235.0000180477644</v>
      </c>
      <c r="AT46" s="72">
        <f t="shared" si="247"/>
        <v>0.12449434025806227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5.1109999999999998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1111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-2.3217703176536872</v>
      </c>
      <c r="C47" s="708">
        <v>-1.6049725531127916</v>
      </c>
      <c r="D47" s="709">
        <v>-0.12010036222269251</v>
      </c>
      <c r="E47" s="710">
        <v>0.48593291890924839</v>
      </c>
      <c r="F47" s="708">
        <v>-0.84993113319326941</v>
      </c>
      <c r="G47" s="711">
        <v>0.20368177912897112</v>
      </c>
      <c r="H47" s="710">
        <v>0.26600000000000001</v>
      </c>
      <c r="I47" s="708">
        <v>0.52</v>
      </c>
      <c r="J47" s="570">
        <v>5.1159999999999997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5.1159999999999997</v>
      </c>
      <c r="N47" s="632">
        <f t="shared" si="240"/>
        <v>-2.3217703176536872</v>
      </c>
      <c r="O47" s="629">
        <f t="shared" si="241"/>
        <v>-1.6049725531127916</v>
      </c>
      <c r="P47" s="633">
        <f t="shared" si="242"/>
        <v>-0.12010036222269251</v>
      </c>
      <c r="Q47" s="585">
        <f t="shared" si="113"/>
        <v>214.6549820020474</v>
      </c>
      <c r="R47" s="629">
        <f t="shared" si="385"/>
        <v>2.8225085126856744</v>
      </c>
      <c r="S47" s="634">
        <f t="shared" si="386"/>
        <v>-0.12010036222269251</v>
      </c>
      <c r="T47" s="635">
        <f t="shared" si="387"/>
        <v>-1.6049725531127916</v>
      </c>
      <c r="U47" s="629">
        <f t="shared" si="388"/>
        <v>2.3217703176536877</v>
      </c>
      <c r="V47" s="636">
        <f t="shared" si="389"/>
        <v>-0.12010036222269251</v>
      </c>
      <c r="W47" s="585">
        <f t="shared" si="224"/>
        <v>124.6549820020474</v>
      </c>
      <c r="X47" s="629">
        <f t="shared" si="390"/>
        <v>2.8225085126856744</v>
      </c>
      <c r="Y47" s="630">
        <f t="shared" si="223"/>
        <v>-0.12010036222269251</v>
      </c>
      <c r="Z47" s="632">
        <f t="shared" si="243"/>
        <v>-0.48593291890924839</v>
      </c>
      <c r="AA47" s="629">
        <f t="shared" si="244"/>
        <v>0.84993113319326941</v>
      </c>
      <c r="AB47" s="629">
        <f t="shared" si="245"/>
        <v>-0.20368177912897112</v>
      </c>
      <c r="AC47" s="636">
        <f t="shared" si="391"/>
        <v>1</v>
      </c>
      <c r="AD47" s="637">
        <f t="shared" si="392"/>
        <v>-0.48593291890924839</v>
      </c>
      <c r="AE47" s="629">
        <f t="shared" si="393"/>
        <v>0.84993113319326941</v>
      </c>
      <c r="AF47" s="633">
        <f t="shared" si="394"/>
        <v>-0.20368177912897112</v>
      </c>
      <c r="AG47" s="602">
        <f t="shared" si="395"/>
        <v>76.523498407878748</v>
      </c>
      <c r="AH47" s="603">
        <f t="shared" si="396"/>
        <v>119.07361281200261</v>
      </c>
      <c r="AI47" s="585">
        <f t="shared" si="397"/>
        <v>-78.247657468792639</v>
      </c>
      <c r="AJ47" s="586">
        <f t="shared" si="398"/>
        <v>-150.24200998001467</v>
      </c>
      <c r="AK47" s="635">
        <f t="shared" si="399"/>
        <v>0.97546344403455709</v>
      </c>
      <c r="AL47" s="629">
        <f t="shared" si="400"/>
        <v>-8.3575129094113798E-2</v>
      </c>
      <c r="AM47" s="634">
        <f t="shared" si="401"/>
        <v>-0.20368177912897112</v>
      </c>
      <c r="AN47" s="581">
        <f t="shared" si="402"/>
        <v>-22.309425004415878</v>
      </c>
      <c r="AO47" s="582">
        <f t="shared" si="94"/>
        <v>12.71851660831039</v>
      </c>
      <c r="AP47" s="585">
        <f t="shared" si="403"/>
        <v>-4.8969919820620662</v>
      </c>
      <c r="AQ47" s="586">
        <f t="shared" si="246"/>
        <v>0.80764172287648106</v>
      </c>
      <c r="AS47" s="52">
        <f t="shared" si="406"/>
        <v>-235.3450179979526</v>
      </c>
      <c r="AT47" s="72">
        <f t="shared" si="247"/>
        <v>4.3333678053663463E-2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-2.8582302661343832</v>
      </c>
      <c r="C48" s="708">
        <v>-1.9367597709095279</v>
      </c>
      <c r="D48" s="709">
        <v>-0.45400136926812956</v>
      </c>
      <c r="E48" s="710">
        <v>0.37269054216398023</v>
      </c>
      <c r="F48" s="708">
        <v>-0.90554099629669638</v>
      </c>
      <c r="G48" s="711">
        <v>0.20272460089368777</v>
      </c>
      <c r="H48" s="710">
        <v>0.26600000000000001</v>
      </c>
      <c r="I48" s="708">
        <v>0.52</v>
      </c>
      <c r="J48" s="570">
        <v>5.1219999999999999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5.1219999999999999</v>
      </c>
      <c r="N48" s="632">
        <f t="shared" si="240"/>
        <v>-2.8582302661343832</v>
      </c>
      <c r="O48" s="629">
        <f t="shared" si="241"/>
        <v>-1.9367597709095279</v>
      </c>
      <c r="P48" s="633">
        <f t="shared" si="242"/>
        <v>-0.45400136926812956</v>
      </c>
      <c r="Q48" s="585">
        <f t="shared" si="113"/>
        <v>214.1218820790175</v>
      </c>
      <c r="R48" s="629">
        <f t="shared" si="79"/>
        <v>3.452610413073006</v>
      </c>
      <c r="S48" s="634">
        <f t="shared" si="80"/>
        <v>-0.45400136926812956</v>
      </c>
      <c r="T48" s="635">
        <f t="shared" si="81"/>
        <v>-1.9367597709095274</v>
      </c>
      <c r="U48" s="629">
        <f t="shared" si="82"/>
        <v>2.8582302661343832</v>
      </c>
      <c r="V48" s="636">
        <f t="shared" si="114"/>
        <v>-0.45400136926812956</v>
      </c>
      <c r="W48" s="585">
        <f t="shared" si="224"/>
        <v>124.1218820790175</v>
      </c>
      <c r="X48" s="629">
        <f t="shared" si="83"/>
        <v>3.452610413073006</v>
      </c>
      <c r="Y48" s="630">
        <f t="shared" si="223"/>
        <v>-0.45400136926812956</v>
      </c>
      <c r="Z48" s="632">
        <f t="shared" si="243"/>
        <v>-0.37269054216398023</v>
      </c>
      <c r="AA48" s="629">
        <f t="shared" si="244"/>
        <v>0.90554099629669638</v>
      </c>
      <c r="AB48" s="629">
        <f t="shared" si="245"/>
        <v>-0.20272460089368777</v>
      </c>
      <c r="AC48" s="636">
        <f t="shared" si="84"/>
        <v>1</v>
      </c>
      <c r="AD48" s="637">
        <f t="shared" si="115"/>
        <v>-0.37269054216398023</v>
      </c>
      <c r="AE48" s="629">
        <f t="shared" si="85"/>
        <v>0.90554099629669638</v>
      </c>
      <c r="AF48" s="633">
        <f t="shared" si="86"/>
        <v>-0.20272460089368777</v>
      </c>
      <c r="AG48" s="602">
        <f t="shared" si="87"/>
        <v>77.381187321325825</v>
      </c>
      <c r="AH48" s="603">
        <f t="shared" si="88"/>
        <v>111.88164598028047</v>
      </c>
      <c r="AI48" s="585">
        <f t="shared" si="89"/>
        <v>-78.303668321722796</v>
      </c>
      <c r="AJ48" s="586">
        <f t="shared" si="90"/>
        <v>-157.62956462753226</v>
      </c>
      <c r="AK48" s="635">
        <f t="shared" si="211"/>
        <v>0.95871133313191659</v>
      </c>
      <c r="AL48" s="629">
        <f t="shared" si="91"/>
        <v>-0.19943749877321998</v>
      </c>
      <c r="AM48" s="634">
        <f t="shared" si="92"/>
        <v>-0.20272460089368777</v>
      </c>
      <c r="AN48" s="581">
        <f t="shared" si="93"/>
        <v>-44.531699072199231</v>
      </c>
      <c r="AO48" s="582">
        <f t="shared" si="94"/>
        <v>16.52185433264221</v>
      </c>
      <c r="AP48" s="585">
        <f t="shared" si="95"/>
        <v>-11.751446706549746</v>
      </c>
      <c r="AQ48" s="586">
        <f t="shared" si="246"/>
        <v>0.66026149639610432</v>
      </c>
      <c r="AS48" s="52">
        <f t="shared" si="406"/>
        <v>-235.8781179209825</v>
      </c>
      <c r="AT48" s="72">
        <f t="shared" si="247"/>
        <v>-0.29019712071189174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5.1219999999999999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-3.2209729887173539</v>
      </c>
      <c r="C49" s="708">
        <v>-2.1489084299761609</v>
      </c>
      <c r="D49" s="709">
        <v>-1.0093030440579811</v>
      </c>
      <c r="E49" s="710">
        <v>0.21789924670753943</v>
      </c>
      <c r="F49" s="708">
        <v>-0.95636248460586448</v>
      </c>
      <c r="G49" s="711">
        <v>0.19465537835565866</v>
      </c>
      <c r="H49" s="710">
        <v>0.26600000000000001</v>
      </c>
      <c r="I49" s="708">
        <v>0.52</v>
      </c>
      <c r="J49" s="570">
        <v>5.1280000000000001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5.1280000000000001</v>
      </c>
      <c r="N49" s="632">
        <f t="shared" si="240"/>
        <v>-3.2209729887173539</v>
      </c>
      <c r="O49" s="629">
        <f t="shared" si="241"/>
        <v>-2.1489084299761609</v>
      </c>
      <c r="P49" s="633">
        <f t="shared" si="242"/>
        <v>-1.0093030440579811</v>
      </c>
      <c r="Q49" s="585">
        <f t="shared" si="113"/>
        <v>213.70968213853178</v>
      </c>
      <c r="R49" s="629">
        <f t="shared" si="79"/>
        <v>3.8720116779872207</v>
      </c>
      <c r="S49" s="634">
        <f t="shared" si="80"/>
        <v>-1.0093030440579811</v>
      </c>
      <c r="T49" s="635">
        <f t="shared" si="81"/>
        <v>-2.1489084299761601</v>
      </c>
      <c r="U49" s="629">
        <f t="shared" si="82"/>
        <v>3.2209729887173544</v>
      </c>
      <c r="V49" s="636">
        <f t="shared" si="114"/>
        <v>-1.0093030440579811</v>
      </c>
      <c r="W49" s="585">
        <f t="shared" si="224"/>
        <v>123.70968213853178</v>
      </c>
      <c r="X49" s="629">
        <f t="shared" si="83"/>
        <v>3.8720116779872207</v>
      </c>
      <c r="Y49" s="630">
        <f t="shared" si="223"/>
        <v>-1.0093030440579811</v>
      </c>
      <c r="Z49" s="632">
        <f t="shared" si="243"/>
        <v>-0.21789924670753943</v>
      </c>
      <c r="AA49" s="629">
        <f t="shared" si="244"/>
        <v>0.95636248460586448</v>
      </c>
      <c r="AB49" s="629">
        <f t="shared" si="245"/>
        <v>-0.19465537835565866</v>
      </c>
      <c r="AC49" s="636">
        <f t="shared" si="84"/>
        <v>1</v>
      </c>
      <c r="AD49" s="637">
        <f t="shared" si="115"/>
        <v>-0.21789924670753943</v>
      </c>
      <c r="AE49" s="629">
        <f t="shared" si="85"/>
        <v>0.95636248460586448</v>
      </c>
      <c r="AF49" s="633">
        <f t="shared" si="86"/>
        <v>-0.19465537835565866</v>
      </c>
      <c r="AG49" s="602">
        <f t="shared" si="87"/>
        <v>78.49532690858689</v>
      </c>
      <c r="AH49" s="603">
        <f t="shared" si="88"/>
        <v>102.58567554531027</v>
      </c>
      <c r="AI49" s="585">
        <f t="shared" si="89"/>
        <v>-78.775407536551455</v>
      </c>
      <c r="AJ49" s="586">
        <f t="shared" si="90"/>
        <v>-167.1647396116754</v>
      </c>
      <c r="AK49" s="635">
        <f t="shared" si="211"/>
        <v>0.91649084599819353</v>
      </c>
      <c r="AL49" s="629">
        <f t="shared" si="91"/>
        <v>-0.34950509707117439</v>
      </c>
      <c r="AM49" s="634">
        <f t="shared" si="92"/>
        <v>-0.19465537835565866</v>
      </c>
      <c r="AN49" s="581">
        <f t="shared" si="93"/>
        <v>-60.884565471598414</v>
      </c>
      <c r="AO49" s="582">
        <f t="shared" si="94"/>
        <v>23.581657951049685</v>
      </c>
      <c r="AP49" s="585">
        <f t="shared" si="95"/>
        <v>-20.874421750207183</v>
      </c>
      <c r="AQ49" s="586">
        <f t="shared" si="246"/>
        <v>0.58874987561414138</v>
      </c>
      <c r="AS49" s="52">
        <f t="shared" si="406"/>
        <v>-236.29031786146822</v>
      </c>
      <c r="AT49" s="72">
        <f t="shared" si="247"/>
        <v>-0.84521254554307257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5.1280000000000001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-3.4004653302214547</v>
      </c>
      <c r="C50" s="708">
        <v>-2.2490107618623698</v>
      </c>
      <c r="D50" s="709">
        <v>-1.6634050168295302</v>
      </c>
      <c r="E50" s="710">
        <v>6.2536329041490354E-2</v>
      </c>
      <c r="F50" s="708">
        <v>-0.991300233645245</v>
      </c>
      <c r="G50" s="711">
        <v>0.11581474139718573</v>
      </c>
      <c r="H50" s="710">
        <v>0.26600000000000001</v>
      </c>
      <c r="I50" s="708">
        <v>0.52</v>
      </c>
      <c r="J50" s="570">
        <v>5.1340000000000003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5.1340000000000003</v>
      </c>
      <c r="N50" s="632">
        <f t="shared" si="240"/>
        <v>-3.4004653302214547</v>
      </c>
      <c r="O50" s="629">
        <f t="shared" si="241"/>
        <v>-2.2490107618623698</v>
      </c>
      <c r="P50" s="633">
        <f t="shared" si="242"/>
        <v>-1.6634050168295302</v>
      </c>
      <c r="Q50" s="585">
        <f t="shared" si="113"/>
        <v>213.47998195223556</v>
      </c>
      <c r="R50" s="629">
        <f t="shared" si="79"/>
        <v>4.0769122959674844</v>
      </c>
      <c r="S50" s="634">
        <f t="shared" si="80"/>
        <v>-1.6634050168295302</v>
      </c>
      <c r="T50" s="635">
        <f t="shared" si="81"/>
        <v>-2.2490107618623698</v>
      </c>
      <c r="U50" s="629">
        <f t="shared" si="82"/>
        <v>3.4004653302214551</v>
      </c>
      <c r="V50" s="636">
        <f t="shared" si="114"/>
        <v>-1.6634050168295302</v>
      </c>
      <c r="W50" s="585">
        <f t="shared" si="224"/>
        <v>123.47998195223556</v>
      </c>
      <c r="X50" s="629">
        <f t="shared" si="83"/>
        <v>4.0769122959674844</v>
      </c>
      <c r="Y50" s="630">
        <f t="shared" si="223"/>
        <v>-1.6634050168295302</v>
      </c>
      <c r="Z50" s="632">
        <f t="shared" si="243"/>
        <v>-6.2536329041490354E-2</v>
      </c>
      <c r="AA50" s="629">
        <f t="shared" si="244"/>
        <v>0.991300233645245</v>
      </c>
      <c r="AB50" s="629">
        <f t="shared" si="245"/>
        <v>-0.11581474139718573</v>
      </c>
      <c r="AC50" s="636">
        <f t="shared" si="84"/>
        <v>1</v>
      </c>
      <c r="AD50" s="637">
        <f t="shared" si="115"/>
        <v>-6.2536329041490354E-2</v>
      </c>
      <c r="AE50" s="629">
        <f t="shared" si="85"/>
        <v>0.991300233645245</v>
      </c>
      <c r="AF50" s="633">
        <f t="shared" si="86"/>
        <v>-0.11581474139718573</v>
      </c>
      <c r="AG50" s="602">
        <f t="shared" si="87"/>
        <v>83.336277759741037</v>
      </c>
      <c r="AH50" s="603">
        <f t="shared" si="88"/>
        <v>93.585407278981094</v>
      </c>
      <c r="AI50" s="585">
        <f t="shared" si="89"/>
        <v>-83.349379695737113</v>
      </c>
      <c r="AJ50" s="586">
        <f t="shared" si="90"/>
        <v>-176.39027037975708</v>
      </c>
      <c r="AK50" s="635">
        <f t="shared" si="211"/>
        <v>0.86132020962188682</v>
      </c>
      <c r="AL50" s="629">
        <f t="shared" si="91"/>
        <v>-0.49468620576281669</v>
      </c>
      <c r="AM50" s="634">
        <f t="shared" si="92"/>
        <v>-0.11581474139718573</v>
      </c>
      <c r="AN50" s="581">
        <f t="shared" si="93"/>
        <v>-76.82337071915488</v>
      </c>
      <c r="AO50" s="582">
        <f t="shared" si="94"/>
        <v>30.53485931977621</v>
      </c>
      <c r="AP50" s="585">
        <f t="shared" si="95"/>
        <v>-29.870252331992617</v>
      </c>
      <c r="AQ50" s="586">
        <f t="shared" si="246"/>
        <v>0.55916195652853296</v>
      </c>
      <c r="AS50" s="52">
        <f t="shared" si="406"/>
        <v>-236.52001804776444</v>
      </c>
      <c r="AT50" s="72">
        <f t="shared" si="247"/>
        <v>-1.4991550042963604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5.1340000000000003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-2.6613428504847221</v>
      </c>
      <c r="C51" s="708">
        <v>-0.94367963575940317</v>
      </c>
      <c r="D51" s="709">
        <v>-0.13316200909059211</v>
      </c>
      <c r="E51" s="710">
        <v>0.22386993226511739</v>
      </c>
      <c r="F51" s="708">
        <v>-0.93165439020465335</v>
      </c>
      <c r="G51" s="711">
        <v>0.28618586729607604</v>
      </c>
      <c r="H51" s="710">
        <v>0.26600000000000001</v>
      </c>
      <c r="I51" s="708">
        <v>0.52</v>
      </c>
      <c r="J51" s="570">
        <v>5.2160000000000002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5.2160000000000002</v>
      </c>
      <c r="N51" s="632">
        <f t="shared" si="240"/>
        <v>-2.6613428504847221</v>
      </c>
      <c r="O51" s="629">
        <f t="shared" si="241"/>
        <v>-0.94367963575940317</v>
      </c>
      <c r="P51" s="633">
        <f t="shared" si="242"/>
        <v>-0.13316200909059211</v>
      </c>
      <c r="Q51" s="585">
        <f t="shared" si="113"/>
        <v>199.52388418670762</v>
      </c>
      <c r="R51" s="629">
        <f t="shared" si="79"/>
        <v>2.823699173561721</v>
      </c>
      <c r="S51" s="634">
        <f t="shared" si="80"/>
        <v>-0.13316200909059211</v>
      </c>
      <c r="T51" s="635">
        <f t="shared" si="81"/>
        <v>-0.94367963575940372</v>
      </c>
      <c r="U51" s="629">
        <f t="shared" si="82"/>
        <v>2.6613428504847221</v>
      </c>
      <c r="V51" s="636">
        <f t="shared" si="114"/>
        <v>-0.13316200909059211</v>
      </c>
      <c r="W51" s="585">
        <f t="shared" si="224"/>
        <v>109.52388418670762</v>
      </c>
      <c r="X51" s="629">
        <f t="shared" si="83"/>
        <v>2.823699173561721</v>
      </c>
      <c r="Y51" s="630">
        <f t="shared" si="223"/>
        <v>-0.13316200909059211</v>
      </c>
      <c r="Z51" s="632">
        <f t="shared" si="243"/>
        <v>-0.22386993226511739</v>
      </c>
      <c r="AA51" s="629">
        <f t="shared" si="244"/>
        <v>0.93165439020465335</v>
      </c>
      <c r="AB51" s="629">
        <f t="shared" si="245"/>
        <v>-0.28618586729607604</v>
      </c>
      <c r="AC51" s="636">
        <f t="shared" si="84"/>
        <v>1</v>
      </c>
      <c r="AD51" s="637">
        <f t="shared" si="115"/>
        <v>-0.22386993226511739</v>
      </c>
      <c r="AE51" s="629">
        <f t="shared" si="85"/>
        <v>0.93165439020465335</v>
      </c>
      <c r="AF51" s="633">
        <f t="shared" si="86"/>
        <v>-0.28618586729607604</v>
      </c>
      <c r="AG51" s="602">
        <f t="shared" si="87"/>
        <v>72.924074046368418</v>
      </c>
      <c r="AH51" s="603">
        <f t="shared" si="88"/>
        <v>102.93643502052791</v>
      </c>
      <c r="AI51" s="585">
        <f t="shared" si="89"/>
        <v>-73.370253386326524</v>
      </c>
      <c r="AJ51" s="586">
        <f t="shared" si="90"/>
        <v>-166.4884000055948</v>
      </c>
      <c r="AK51" s="635">
        <f t="shared" si="211"/>
        <v>0.952903649165045</v>
      </c>
      <c r="AL51" s="629">
        <f t="shared" si="91"/>
        <v>-0.1003607730536856</v>
      </c>
      <c r="AM51" s="634">
        <f t="shared" si="92"/>
        <v>-0.28618586729607604</v>
      </c>
      <c r="AN51" s="581">
        <f t="shared" si="93"/>
        <v>-19.324946550092491</v>
      </c>
      <c r="AO51" s="582">
        <f t="shared" si="94"/>
        <v>17.654305761826365</v>
      </c>
      <c r="AP51" s="585">
        <f t="shared" si="95"/>
        <v>-6.0122841923024337</v>
      </c>
      <c r="AQ51" s="586">
        <f t="shared" si="246"/>
        <v>0.80730121206216499</v>
      </c>
      <c r="AS51" s="52">
        <f t="shared" si="406"/>
        <v>-250.47611581329238</v>
      </c>
      <c r="AT51" s="72">
        <f t="shared" si="247"/>
        <v>4.0779738001972043E-2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5.2160000000000002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5.1159999999999997</v>
      </c>
      <c r="II51" s="734" cm="1">
        <f t="array" ref="II51">IFERROR(ROUND(VALUE(IF($IH51&lt;1,$IH51+LARGE((IF($M$9:$M$150="",0,$M$9:$M$150)-MOD(IF($M$9:$M$150="",0,$M$9:$M$150),1)),1),$IH51)),4),"")</f>
        <v>5.1159999999999997</v>
      </c>
      <c r="IJ51" s="533">
        <f t="shared" si="112"/>
        <v>1313</v>
      </c>
      <c r="IK51" s="533">
        <f t="shared" si="382"/>
        <v>1313</v>
      </c>
      <c r="IL51" s="727">
        <f t="shared" si="225"/>
        <v>15.131097815339785</v>
      </c>
      <c r="IM51" s="759">
        <v>2.4818098556979801E-3</v>
      </c>
      <c r="IN51" s="5">
        <f t="shared" si="226"/>
        <v>0.14000000000000001</v>
      </c>
      <c r="IO51" s="771">
        <v>70</v>
      </c>
      <c r="IP51" s="9">
        <f t="shared" si="227"/>
        <v>-2.8225085126856744</v>
      </c>
      <c r="IQ51" s="5">
        <f t="shared" si="228"/>
        <v>-0.12010036222269251</v>
      </c>
      <c r="IR51" s="5">
        <f t="shared" si="383"/>
        <v>0.26600000000000001</v>
      </c>
      <c r="IS51" s="5">
        <f t="shared" si="229"/>
        <v>0.25947327611319221</v>
      </c>
      <c r="IT51" s="727">
        <f t="shared" si="230"/>
        <v>22.309425004415878</v>
      </c>
      <c r="IU51" s="9">
        <f t="shared" si="231"/>
        <v>-2.823699173561721</v>
      </c>
      <c r="IV51" s="5">
        <f t="shared" si="232"/>
        <v>-0.13316200909059211</v>
      </c>
      <c r="IW51" s="5">
        <f t="shared" si="384"/>
        <v>0.26600000000000001</v>
      </c>
      <c r="IX51" s="5">
        <f t="shared" si="233"/>
        <v>0.25347237067790196</v>
      </c>
      <c r="IY51" s="762">
        <f t="shared" si="234"/>
        <v>19.324946550092491</v>
      </c>
    </row>
    <row r="52" spans="1:259" ht="15" customHeight="1" x14ac:dyDescent="0.25">
      <c r="A52" s="79"/>
      <c r="B52" s="707">
        <v>-3.2328957595007957</v>
      </c>
      <c r="C52" s="708">
        <v>-1.2222791295348037</v>
      </c>
      <c r="D52" s="709">
        <v>-0.46440591996575747</v>
      </c>
      <c r="E52" s="710">
        <v>0.10449057397794613</v>
      </c>
      <c r="F52" s="708">
        <v>-0.95592278557405685</v>
      </c>
      <c r="G52" s="711">
        <v>0.2743963337402584</v>
      </c>
      <c r="H52" s="710">
        <v>0.26600000000000001</v>
      </c>
      <c r="I52" s="708">
        <v>0.52</v>
      </c>
      <c r="J52" s="570">
        <v>5.2220000000000004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5.2220000000000004</v>
      </c>
      <c r="N52" s="632">
        <f t="shared" si="240"/>
        <v>-3.2328957595007957</v>
      </c>
      <c r="O52" s="629">
        <f t="shared" si="241"/>
        <v>-1.2222791295348037</v>
      </c>
      <c r="P52" s="633">
        <f t="shared" si="242"/>
        <v>-0.46440591996575747</v>
      </c>
      <c r="Q52" s="585">
        <f t="shared" si="113"/>
        <v>200.71038401539823</v>
      </c>
      <c r="R52" s="629">
        <f t="shared" si="79"/>
        <v>3.4562380216493458</v>
      </c>
      <c r="S52" s="634">
        <f t="shared" si="80"/>
        <v>-0.46440591996575747</v>
      </c>
      <c r="T52" s="635">
        <f t="shared" si="81"/>
        <v>-1.222279129534803</v>
      </c>
      <c r="U52" s="629">
        <f t="shared" si="82"/>
        <v>3.2328957595007957</v>
      </c>
      <c r="V52" s="636">
        <f t="shared" si="114"/>
        <v>-0.46440591996575747</v>
      </c>
      <c r="W52" s="585">
        <f t="shared" si="224"/>
        <v>110.71038401539823</v>
      </c>
      <c r="X52" s="629">
        <f t="shared" si="83"/>
        <v>3.4562380216493458</v>
      </c>
      <c r="Y52" s="630">
        <f t="shared" si="223"/>
        <v>-0.46440591996575747</v>
      </c>
      <c r="Z52" s="632">
        <f t="shared" si="243"/>
        <v>-0.10449057397794613</v>
      </c>
      <c r="AA52" s="629">
        <f t="shared" si="244"/>
        <v>0.95592278557405685</v>
      </c>
      <c r="AB52" s="629">
        <f t="shared" si="245"/>
        <v>-0.2743963337402584</v>
      </c>
      <c r="AC52" s="636">
        <f t="shared" si="84"/>
        <v>1</v>
      </c>
      <c r="AD52" s="637">
        <f t="shared" si="115"/>
        <v>-0.10449057397794613</v>
      </c>
      <c r="AE52" s="629">
        <f t="shared" si="85"/>
        <v>0.95592278557405685</v>
      </c>
      <c r="AF52" s="633">
        <f t="shared" si="86"/>
        <v>-0.2743963337402584</v>
      </c>
      <c r="AG52" s="602">
        <f t="shared" si="87"/>
        <v>73.983946298548759</v>
      </c>
      <c r="AH52" s="603">
        <f t="shared" si="88"/>
        <v>95.997817150076628</v>
      </c>
      <c r="AI52" s="585">
        <f t="shared" si="89"/>
        <v>-74.073957165519388</v>
      </c>
      <c r="AJ52" s="586">
        <f t="shared" si="90"/>
        <v>-173.76184558480364</v>
      </c>
      <c r="AK52" s="635">
        <f t="shared" si="211"/>
        <v>0.93110351415068371</v>
      </c>
      <c r="AL52" s="629">
        <f t="shared" si="91"/>
        <v>-0.24031832632188571</v>
      </c>
      <c r="AM52" s="634">
        <f t="shared" si="92"/>
        <v>-0.2743963337402584</v>
      </c>
      <c r="AN52" s="581">
        <f t="shared" si="93"/>
        <v>-41.212113813564159</v>
      </c>
      <c r="AO52" s="582">
        <f t="shared" si="94"/>
        <v>21.3925087956098</v>
      </c>
      <c r="AP52" s="585">
        <f t="shared" si="95"/>
        <v>-14.472229600201851</v>
      </c>
      <c r="AQ52" s="586">
        <f t="shared" si="246"/>
        <v>0.65956855842585438</v>
      </c>
      <c r="AS52" s="52">
        <f t="shared" si="406"/>
        <v>-249.28961598460177</v>
      </c>
      <c r="AT52" s="72">
        <f t="shared" si="247"/>
        <v>-0.2912881310875618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5.2220000000000004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5.1219999999999999</v>
      </c>
      <c r="II52" s="734" cm="1">
        <f t="array" ref="II52">IFERROR(ROUND(VALUE(IF($IH52&lt;1,$IH52+LARGE((IF($M$9:$M$150="",0,$M$9:$M$150)-MOD(IF($M$9:$M$150="",0,$M$9:$M$150),1)),1),$IH52)),4),"")</f>
        <v>5.1219999999999999</v>
      </c>
      <c r="IJ52" s="533">
        <f t="shared" si="112"/>
        <v>1313</v>
      </c>
      <c r="IK52" s="533">
        <f t="shared" si="382"/>
        <v>1313</v>
      </c>
      <c r="IL52" s="727">
        <f t="shared" si="225"/>
        <v>13.411498063619263</v>
      </c>
      <c r="IM52" s="759">
        <v>7.6532194889589004E-4</v>
      </c>
      <c r="IN52" s="5">
        <f t="shared" si="226"/>
        <v>0</v>
      </c>
      <c r="IO52" s="771">
        <v>0</v>
      </c>
      <c r="IP52" s="9">
        <f t="shared" si="227"/>
        <v>-3.452610413073006</v>
      </c>
      <c r="IQ52" s="5">
        <f t="shared" si="228"/>
        <v>-0.45400136926812956</v>
      </c>
      <c r="IR52" s="5">
        <f t="shared" si="383"/>
        <v>0.26600000000000001</v>
      </c>
      <c r="IS52" s="5">
        <f t="shared" si="229"/>
        <v>0.25501721461308985</v>
      </c>
      <c r="IT52" s="727">
        <f t="shared" si="230"/>
        <v>44.531699072199231</v>
      </c>
      <c r="IU52" s="9">
        <f t="shared" si="231"/>
        <v>-3.4562380216493458</v>
      </c>
      <c r="IV52" s="5">
        <f t="shared" si="232"/>
        <v>-0.46440591996575747</v>
      </c>
      <c r="IW52" s="5">
        <f t="shared" si="384"/>
        <v>0.26600000000000001</v>
      </c>
      <c r="IX52" s="5">
        <f t="shared" si="233"/>
        <v>0.24767353476408188</v>
      </c>
      <c r="IY52" s="762">
        <f t="shared" si="234"/>
        <v>41.212113813564159</v>
      </c>
    </row>
    <row r="53" spans="1:259" ht="15" customHeight="1" x14ac:dyDescent="0.25">
      <c r="A53" s="79"/>
      <c r="B53" s="707">
        <v>-2.3360921051476837</v>
      </c>
      <c r="C53" s="708">
        <v>1.3631287147484277</v>
      </c>
      <c r="D53" s="709">
        <v>-9.2700279584043407E-2</v>
      </c>
      <c r="E53" s="710">
        <v>-0.54922012929019548</v>
      </c>
      <c r="F53" s="708">
        <v>-0.80916688498413913</v>
      </c>
      <c r="G53" s="711">
        <v>0.20882098033369639</v>
      </c>
      <c r="H53" s="710">
        <v>0.26600000000000001</v>
      </c>
      <c r="I53" s="708">
        <v>0.52</v>
      </c>
      <c r="J53" s="570">
        <v>6.1150000000000002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6.1150000000000002</v>
      </c>
      <c r="N53" s="632">
        <f t="shared" si="240"/>
        <v>-2.3360921051476837</v>
      </c>
      <c r="O53" s="629">
        <f t="shared" si="241"/>
        <v>1.3631287147484277</v>
      </c>
      <c r="P53" s="633">
        <f t="shared" si="242"/>
        <v>-9.2700279584043407E-2</v>
      </c>
      <c r="Q53" s="585">
        <f t="shared" si="113"/>
        <v>149.73609137517553</v>
      </c>
      <c r="R53" s="629">
        <f t="shared" ref="R53:R58" si="410">IF(M53="","",SQRT(N53^2+O53^2))</f>
        <v>2.7047081573998026</v>
      </c>
      <c r="S53" s="634">
        <f t="shared" ref="S53:S58" si="411">IF(M53="","",P53)</f>
        <v>-9.2700279584043407E-2</v>
      </c>
      <c r="T53" s="635">
        <f t="shared" ref="T53:T58" si="412">IF(M53="","",X53*COS(RADIANS(W53)))</f>
        <v>1.3631287147484263</v>
      </c>
      <c r="U53" s="629">
        <f t="shared" ref="U53:U58" si="413">IF(M53="","",X53*SIN(RADIANS(W53)))</f>
        <v>2.3360921051476842</v>
      </c>
      <c r="V53" s="636">
        <f t="shared" ref="V53:V58" si="414">IF(M53="","",Y53)</f>
        <v>-9.2700279584043407E-2</v>
      </c>
      <c r="W53" s="585">
        <f t="shared" si="224"/>
        <v>59.736091375175533</v>
      </c>
      <c r="X53" s="629">
        <f t="shared" ref="X53:X58" si="415">IF(M53="","",R53)</f>
        <v>2.7047081573998026</v>
      </c>
      <c r="Y53" s="630">
        <f t="shared" si="223"/>
        <v>-9.2700279584043407E-2</v>
      </c>
      <c r="Z53" s="632">
        <f t="shared" si="243"/>
        <v>0.54922012929019548</v>
      </c>
      <c r="AA53" s="629">
        <f t="shared" si="244"/>
        <v>0.80916688498413913</v>
      </c>
      <c r="AB53" s="629">
        <f t="shared" si="245"/>
        <v>-0.20882098033369639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0.54922012929019548</v>
      </c>
      <c r="AE53" s="629">
        <f t="shared" ref="AE53:AE58" si="418">IF(M53="","",AA53*(1/SQRT(Z53^2+AA53^2+AB53^2)))</f>
        <v>0.80916688498413913</v>
      </c>
      <c r="AF53" s="633">
        <f t="shared" ref="AF53:AF58" si="419">IF(M53="","",AB53*(1/SQRT(Z53^2+AA53^2+AB53^2)))</f>
        <v>-0.20882098033369639</v>
      </c>
      <c r="AG53" s="602">
        <f t="shared" ref="AG53:AG58" si="420">IF(M53="","",DEGREES(ATAN2(-AF53,AE53)))</f>
        <v>75.529458960399907</v>
      </c>
      <c r="AH53" s="603">
        <f t="shared" ref="AH53:AH58" si="421">IF(M53="","",DEGREES(ACOS(AD53)))</f>
        <v>56.686472982178998</v>
      </c>
      <c r="AI53" s="585">
        <f t="shared" ref="AI53:AI58" si="422">IF(M53="","",DEGREES(-ACOS(-AF53)))</f>
        <v>-77.946732367121896</v>
      </c>
      <c r="AJ53" s="586">
        <f t="shared" ref="AJ53:AJ58" si="423">IF(M53="","",DEGREES(ATAN2(-AE53,AD53)))</f>
        <v>145.83339224572885</v>
      </c>
      <c r="AK53" s="635">
        <f t="shared" ref="AK53:AK58" si="424">IF(M53="","",(COS(RADIANS((90-$Q$8)-W53))*AD53)+(-SIN(RADIANS((90-$Q$8)-W53))*AE53))</f>
        <v>0.97568608039718296</v>
      </c>
      <c r="AL53" s="629">
        <f t="shared" ref="AL53:AL58" si="425">IF(M53="","",(SIN(RADIANS((90-$Q$8)-W53))*AD53)+(COS(RADIANS((90-$Q$8)-W53))*AE53))</f>
        <v>-6.6561781013250776E-2</v>
      </c>
      <c r="AM53" s="634">
        <f t="shared" ref="AM53:AM58" si="426">IF(M53="","",AF53)</f>
        <v>-0.20882098033369639</v>
      </c>
      <c r="AN53" s="581">
        <f t="shared" ref="AN53:AN58" si="427">IF(M53="","",DEGREES(ATAN2(-AM53,AL53)))</f>
        <v>-17.679704273558592</v>
      </c>
      <c r="AO53" s="582">
        <f t="shared" si="94"/>
        <v>12.660446355870988</v>
      </c>
      <c r="AP53" s="585">
        <f t="shared" ref="AP53:AP58" si="428">IF(M53="","",DEGREES(ATAN2(AK53,AL53)))</f>
        <v>-3.9026991294466651</v>
      </c>
      <c r="AQ53" s="586">
        <f t="shared" si="246"/>
        <v>0.84281263188344935</v>
      </c>
      <c r="AS53" s="52">
        <f t="shared" si="406"/>
        <v>-300.26390862482447</v>
      </c>
      <c r="AT53" s="72">
        <f t="shared" si="247"/>
        <v>0.11581632362764026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6.1150000000000002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-2.887947010782018</v>
      </c>
      <c r="C54" s="708">
        <v>1.7211048338579467</v>
      </c>
      <c r="D54" s="709">
        <v>-0.38180115151227317</v>
      </c>
      <c r="E54" s="710">
        <v>-0.64571555324485241</v>
      </c>
      <c r="F54" s="708">
        <v>-0.73700476330419862</v>
      </c>
      <c r="G54" s="711">
        <v>0.19968826496471093</v>
      </c>
      <c r="H54" s="710">
        <v>0.26600000000000001</v>
      </c>
      <c r="I54" s="708">
        <v>0.52</v>
      </c>
      <c r="J54" s="570">
        <v>6.1210000000000004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6.1210000000000004</v>
      </c>
      <c r="N54" s="632">
        <f t="shared" si="240"/>
        <v>-2.887947010782018</v>
      </c>
      <c r="O54" s="629">
        <f t="shared" si="241"/>
        <v>1.7211048338579467</v>
      </c>
      <c r="P54" s="633">
        <f t="shared" si="242"/>
        <v>-0.38180115151227317</v>
      </c>
      <c r="Q54" s="585">
        <f t="shared" si="113"/>
        <v>149.20669145161139</v>
      </c>
      <c r="R54" s="629">
        <f t="shared" si="410"/>
        <v>3.3619101395209814</v>
      </c>
      <c r="S54" s="634">
        <f t="shared" si="411"/>
        <v>-0.38180115151227317</v>
      </c>
      <c r="T54" s="635">
        <f t="shared" si="412"/>
        <v>1.7211048338579473</v>
      </c>
      <c r="U54" s="629">
        <f t="shared" si="413"/>
        <v>2.887947010782018</v>
      </c>
      <c r="V54" s="636">
        <f t="shared" si="414"/>
        <v>-0.38180115151227317</v>
      </c>
      <c r="W54" s="585">
        <f t="shared" si="224"/>
        <v>59.206691451611391</v>
      </c>
      <c r="X54" s="629">
        <f t="shared" si="415"/>
        <v>3.3619101395209814</v>
      </c>
      <c r="Y54" s="630">
        <f t="shared" si="223"/>
        <v>-0.38180115151227317</v>
      </c>
      <c r="Z54" s="632">
        <f t="shared" si="243"/>
        <v>0.64571555324485241</v>
      </c>
      <c r="AA54" s="629">
        <f t="shared" si="244"/>
        <v>0.73700476330419862</v>
      </c>
      <c r="AB54" s="629">
        <f t="shared" si="245"/>
        <v>-0.19968826496471093</v>
      </c>
      <c r="AC54" s="636">
        <f t="shared" si="416"/>
        <v>1</v>
      </c>
      <c r="AD54" s="637">
        <f t="shared" si="417"/>
        <v>0.64571555324485241</v>
      </c>
      <c r="AE54" s="629">
        <f t="shared" si="418"/>
        <v>0.73700476330419862</v>
      </c>
      <c r="AF54" s="633">
        <f t="shared" si="419"/>
        <v>-0.19968826496471093</v>
      </c>
      <c r="AG54" s="602">
        <f t="shared" si="420"/>
        <v>74.83993442674479</v>
      </c>
      <c r="AH54" s="603">
        <f t="shared" si="421"/>
        <v>49.780653585541998</v>
      </c>
      <c r="AI54" s="585">
        <f t="shared" si="422"/>
        <v>-78.481269786316304</v>
      </c>
      <c r="AJ54" s="586">
        <f t="shared" si="423"/>
        <v>138.77726905235284</v>
      </c>
      <c r="AK54" s="635">
        <f t="shared" si="424"/>
        <v>0.96367086824190351</v>
      </c>
      <c r="AL54" s="629">
        <f t="shared" si="425"/>
        <v>-0.17737828090631458</v>
      </c>
      <c r="AM54" s="634">
        <f t="shared" si="426"/>
        <v>-0.19968826496471093</v>
      </c>
      <c r="AN54" s="581">
        <f t="shared" si="427"/>
        <v>-41.613914891627125</v>
      </c>
      <c r="AO54" s="582">
        <f t="shared" si="94"/>
        <v>15.491332672335282</v>
      </c>
      <c r="AP54" s="585">
        <f t="shared" si="428"/>
        <v>-10.429422399258554</v>
      </c>
      <c r="AQ54" s="586">
        <f t="shared" si="246"/>
        <v>0.67807291246120338</v>
      </c>
      <c r="AS54" s="52">
        <f t="shared" si="406"/>
        <v>-300.79330854838861</v>
      </c>
      <c r="AT54" s="72">
        <f t="shared" si="247"/>
        <v>-0.17291690946478108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6.1210000000000004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-3.2575900806426836</v>
      </c>
      <c r="C55" s="708">
        <v>1.9757359219828401</v>
      </c>
      <c r="D55" s="709">
        <v>-0.90400272647222346</v>
      </c>
      <c r="E55" s="710">
        <v>-0.7574421117716289</v>
      </c>
      <c r="F55" s="708">
        <v>-0.62052345597837899</v>
      </c>
      <c r="G55" s="711">
        <v>0.20305685877503366</v>
      </c>
      <c r="H55" s="710">
        <v>0.26600000000000001</v>
      </c>
      <c r="I55" s="708">
        <v>0.52</v>
      </c>
      <c r="J55" s="570">
        <v>6.1269999999999998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6.1269999999999998</v>
      </c>
      <c r="N55" s="632">
        <f t="shared" si="240"/>
        <v>-3.2575900806426836</v>
      </c>
      <c r="O55" s="629">
        <f t="shared" si="241"/>
        <v>1.9757359219828401</v>
      </c>
      <c r="P55" s="633">
        <f t="shared" si="242"/>
        <v>-0.90400272647222346</v>
      </c>
      <c r="Q55" s="585">
        <f t="shared" si="113"/>
        <v>148.76309151565931</v>
      </c>
      <c r="R55" s="629">
        <f t="shared" si="410"/>
        <v>3.8099114906930569</v>
      </c>
      <c r="S55" s="634">
        <f t="shared" si="411"/>
        <v>-0.90400272647222346</v>
      </c>
      <c r="T55" s="635">
        <f t="shared" si="412"/>
        <v>1.9757359219828403</v>
      </c>
      <c r="U55" s="629">
        <f t="shared" si="413"/>
        <v>3.2575900806426836</v>
      </c>
      <c r="V55" s="636">
        <f t="shared" si="414"/>
        <v>-0.90400272647222346</v>
      </c>
      <c r="W55" s="585">
        <f t="shared" si="224"/>
        <v>58.763091515659312</v>
      </c>
      <c r="X55" s="629">
        <f t="shared" si="415"/>
        <v>3.8099114906930569</v>
      </c>
      <c r="Y55" s="630">
        <f t="shared" si="223"/>
        <v>-0.90400272647222346</v>
      </c>
      <c r="Z55" s="632">
        <f t="shared" si="243"/>
        <v>0.7574421117716289</v>
      </c>
      <c r="AA55" s="629">
        <f t="shared" si="244"/>
        <v>0.62052345597837899</v>
      </c>
      <c r="AB55" s="629">
        <f t="shared" si="245"/>
        <v>-0.20305685877503366</v>
      </c>
      <c r="AC55" s="636">
        <f t="shared" si="416"/>
        <v>1</v>
      </c>
      <c r="AD55" s="637">
        <f t="shared" si="417"/>
        <v>0.7574421117716289</v>
      </c>
      <c r="AE55" s="629">
        <f t="shared" si="418"/>
        <v>0.62052345597837899</v>
      </c>
      <c r="AF55" s="633">
        <f t="shared" si="419"/>
        <v>-0.20305685877503366</v>
      </c>
      <c r="AG55" s="602">
        <f t="shared" si="420"/>
        <v>71.880103466032793</v>
      </c>
      <c r="AH55" s="603">
        <f t="shared" si="421"/>
        <v>40.760783926721501</v>
      </c>
      <c r="AI55" s="585">
        <f t="shared" si="422"/>
        <v>-78.284226994624902</v>
      </c>
      <c r="AJ55" s="586">
        <f t="shared" si="423"/>
        <v>129.325550825237</v>
      </c>
      <c r="AK55" s="635">
        <f t="shared" si="424"/>
        <v>0.92335915221250786</v>
      </c>
      <c r="AL55" s="629">
        <f t="shared" si="425"/>
        <v>-0.32584626456323634</v>
      </c>
      <c r="AM55" s="634">
        <f t="shared" si="426"/>
        <v>-0.20305685877503366</v>
      </c>
      <c r="AN55" s="581">
        <f t="shared" si="427"/>
        <v>-58.070173475028056</v>
      </c>
      <c r="AO55" s="582">
        <f>IF(ROUND(IF(M55="",0,DEGREES(ACOS(AK55))),4)=90,0,IF(M55="","",DEGREES(ACOS(AK55))))</f>
        <v>22.577784457743736</v>
      </c>
      <c r="AP55" s="585">
        <f t="shared" si="428"/>
        <v>-19.437540690422296</v>
      </c>
      <c r="AQ55" s="586">
        <f t="shared" si="246"/>
        <v>0.59834559477534177</v>
      </c>
      <c r="AS55" s="52">
        <f t="shared" si="406"/>
        <v>-301.23690848434069</v>
      </c>
      <c r="AT55" s="72">
        <f t="shared" si="247"/>
        <v>-0.69481042891365352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6.1269999999999998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-3.4486431574031728</v>
      </c>
      <c r="C56" s="708">
        <v>2.1094012686054975</v>
      </c>
      <c r="D56" s="709">
        <v>-1.576204753833538</v>
      </c>
      <c r="E56" s="710">
        <v>-0.86509738027681615</v>
      </c>
      <c r="F56" s="708">
        <v>-0.48085785512372042</v>
      </c>
      <c r="G56" s="711">
        <v>0.14276640292451437</v>
      </c>
      <c r="H56" s="710">
        <v>0.26600000000000001</v>
      </c>
      <c r="I56" s="708">
        <v>0.52</v>
      </c>
      <c r="J56" s="570">
        <v>6.133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6.133</v>
      </c>
      <c r="N56" s="632">
        <f t="shared" si="240"/>
        <v>-3.4486431574031728</v>
      </c>
      <c r="O56" s="629">
        <f t="shared" si="241"/>
        <v>2.1094012686054975</v>
      </c>
      <c r="P56" s="633">
        <f t="shared" si="242"/>
        <v>-1.576204753833538</v>
      </c>
      <c r="Q56" s="585">
        <f t="shared" si="113"/>
        <v>148.54749154678808</v>
      </c>
      <c r="R56" s="629">
        <f t="shared" si="410"/>
        <v>4.0426121925183729</v>
      </c>
      <c r="S56" s="634">
        <f t="shared" si="411"/>
        <v>-1.576204753833538</v>
      </c>
      <c r="T56" s="635">
        <f t="shared" si="412"/>
        <v>2.1094012686054975</v>
      </c>
      <c r="U56" s="629">
        <f t="shared" si="413"/>
        <v>3.4486431574031728</v>
      </c>
      <c r="V56" s="636">
        <f t="shared" si="414"/>
        <v>-1.576204753833538</v>
      </c>
      <c r="W56" s="585">
        <f t="shared" si="224"/>
        <v>58.547491546788081</v>
      </c>
      <c r="X56" s="629">
        <f t="shared" si="415"/>
        <v>4.0426121925183729</v>
      </c>
      <c r="Y56" s="630">
        <f t="shared" si="223"/>
        <v>-1.576204753833538</v>
      </c>
      <c r="Z56" s="632">
        <f t="shared" si="243"/>
        <v>0.86509738027681615</v>
      </c>
      <c r="AA56" s="629">
        <f t="shared" si="244"/>
        <v>0.48085785512372042</v>
      </c>
      <c r="AB56" s="629">
        <f t="shared" si="245"/>
        <v>-0.14276640292451437</v>
      </c>
      <c r="AC56" s="636">
        <f t="shared" si="416"/>
        <v>1</v>
      </c>
      <c r="AD56" s="637">
        <f t="shared" si="417"/>
        <v>0.86509738027681615</v>
      </c>
      <c r="AE56" s="629">
        <f t="shared" si="418"/>
        <v>0.48085785512372042</v>
      </c>
      <c r="AF56" s="633">
        <f t="shared" si="419"/>
        <v>-0.14276640292451437</v>
      </c>
      <c r="AG56" s="602">
        <f t="shared" si="420"/>
        <v>73.463877997535903</v>
      </c>
      <c r="AH56" s="603">
        <f t="shared" si="421"/>
        <v>30.106173333404129</v>
      </c>
      <c r="AI56" s="585">
        <f t="shared" si="422"/>
        <v>-81.792042155930915</v>
      </c>
      <c r="AJ56" s="586">
        <f t="shared" si="423"/>
        <v>119.06716395453338</v>
      </c>
      <c r="AK56" s="635">
        <f t="shared" si="424"/>
        <v>0.86160742047565642</v>
      </c>
      <c r="AL56" s="629">
        <f t="shared" si="425"/>
        <v>-0.48708357309324296</v>
      </c>
      <c r="AM56" s="634">
        <f t="shared" si="426"/>
        <v>-0.14276640292451437</v>
      </c>
      <c r="AN56" s="581">
        <f t="shared" si="427"/>
        <v>-73.66389990945261</v>
      </c>
      <c r="AO56" s="582">
        <f t="shared" ref="AO56:AO119" si="461">IF(ROUND(IF(M56="",0,DEGREES(ACOS(AK56))),4)=90,0,IF(M56="","",DEGREES(ACOS(AK56))))</f>
        <v>30.502454125828933</v>
      </c>
      <c r="AP56" s="585">
        <f t="shared" si="428"/>
        <v>-29.480327592254714</v>
      </c>
      <c r="AQ56" s="586">
        <f t="shared" si="246"/>
        <v>0.56390593857142424</v>
      </c>
      <c r="AS56" s="52">
        <f t="shared" si="406"/>
        <v>-301.45250845321192</v>
      </c>
      <c r="AT56" s="72">
        <f t="shared" si="247"/>
        <v>-1.3668627340743631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6.133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-3.4753950708513397</v>
      </c>
      <c r="C57" s="708">
        <v>2.1313946069447298</v>
      </c>
      <c r="D57" s="709">
        <v>-2.2631068255301852</v>
      </c>
      <c r="E57" s="710">
        <v>-0.8720162708589988</v>
      </c>
      <c r="F57" s="708">
        <v>-0.47559658140416516</v>
      </c>
      <c r="G57" s="711">
        <v>0.11573899564898964</v>
      </c>
      <c r="H57" s="710">
        <v>0.26600000000000001</v>
      </c>
      <c r="I57" s="708">
        <v>0.52</v>
      </c>
      <c r="J57" s="570">
        <v>6.1390000000000002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6.1390000000000002</v>
      </c>
      <c r="N57" s="632">
        <f t="shared" si="240"/>
        <v>-3.4753950708513397</v>
      </c>
      <c r="O57" s="629">
        <f t="shared" si="241"/>
        <v>2.1313946069447298</v>
      </c>
      <c r="P57" s="633">
        <f t="shared" si="242"/>
        <v>-2.2631068255301852</v>
      </c>
      <c r="Q57" s="585">
        <f t="shared" si="113"/>
        <v>148.47999155653389</v>
      </c>
      <c r="R57" s="629">
        <f t="shared" si="410"/>
        <v>4.0769122959674844</v>
      </c>
      <c r="S57" s="634">
        <f t="shared" si="411"/>
        <v>-2.2631068255301852</v>
      </c>
      <c r="T57" s="635">
        <f t="shared" si="412"/>
        <v>2.1313946069447289</v>
      </c>
      <c r="U57" s="629">
        <f t="shared" si="413"/>
        <v>3.4753950708513397</v>
      </c>
      <c r="V57" s="636">
        <f t="shared" si="414"/>
        <v>-2.2631068255301852</v>
      </c>
      <c r="W57" s="585">
        <f t="shared" si="224"/>
        <v>58.479991556533889</v>
      </c>
      <c r="X57" s="629">
        <f t="shared" si="415"/>
        <v>4.0769122959674844</v>
      </c>
      <c r="Y57" s="630">
        <f t="shared" si="223"/>
        <v>-2.2631068255301852</v>
      </c>
      <c r="Z57" s="632">
        <f t="shared" si="243"/>
        <v>0.8720162708589988</v>
      </c>
      <c r="AA57" s="629">
        <f t="shared" si="244"/>
        <v>0.47559658140416516</v>
      </c>
      <c r="AB57" s="629">
        <f t="shared" si="245"/>
        <v>-0.11573899564898964</v>
      </c>
      <c r="AC57" s="636">
        <f t="shared" si="416"/>
        <v>1</v>
      </c>
      <c r="AD57" s="637">
        <f t="shared" si="417"/>
        <v>0.8720162708589988</v>
      </c>
      <c r="AE57" s="629">
        <f t="shared" si="418"/>
        <v>0.47559658140416516</v>
      </c>
      <c r="AF57" s="633">
        <f t="shared" si="419"/>
        <v>-0.11573899564898964</v>
      </c>
      <c r="AG57" s="602">
        <f t="shared" si="420"/>
        <v>76.322625965776751</v>
      </c>
      <c r="AH57" s="603">
        <f t="shared" si="421"/>
        <v>29.306204704440827</v>
      </c>
      <c r="AI57" s="585">
        <f t="shared" si="422"/>
        <v>-83.353748989848683</v>
      </c>
      <c r="AJ57" s="586">
        <f t="shared" si="423"/>
        <v>118.60799566158904</v>
      </c>
      <c r="AK57" s="635">
        <f t="shared" si="424"/>
        <v>0.86131281143230998</v>
      </c>
      <c r="AL57" s="629">
        <f t="shared" si="425"/>
        <v>-0.49471681369115961</v>
      </c>
      <c r="AM57" s="634">
        <f t="shared" si="426"/>
        <v>-0.11573899564898964</v>
      </c>
      <c r="AN57" s="581">
        <f t="shared" si="427"/>
        <v>-76.832474520112825</v>
      </c>
      <c r="AO57" s="582">
        <f t="shared" si="461"/>
        <v>30.535693626210836</v>
      </c>
      <c r="AP57" s="585">
        <f t="shared" si="428"/>
        <v>-29.871995894944845</v>
      </c>
      <c r="AQ57" s="586">
        <f t="shared" si="246"/>
        <v>0.55916195652853296</v>
      </c>
      <c r="AS57" s="52">
        <f t="shared" si="406"/>
        <v>-301.52000844346611</v>
      </c>
      <c r="AT57" s="72">
        <f t="shared" si="247"/>
        <v>-2.0537179307777782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6.1390000000000002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-2.3462272306985024</v>
      </c>
      <c r="C58" s="708">
        <v>2.4121987616571174</v>
      </c>
      <c r="D58" s="709">
        <v>-0.39435906947132093</v>
      </c>
      <c r="E58" s="710">
        <v>-0.82180725795172715</v>
      </c>
      <c r="F58" s="708">
        <v>-0.49967778199328045</v>
      </c>
      <c r="G58" s="711">
        <v>0.2737790075227452</v>
      </c>
      <c r="H58" s="710">
        <v>0.26600000000000001</v>
      </c>
      <c r="I58" s="708">
        <v>0.52</v>
      </c>
      <c r="J58" s="570">
        <v>6.2210000000000001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6.2210000000000001</v>
      </c>
      <c r="N58" s="632">
        <f t="shared" si="240"/>
        <v>-2.3462272306985024</v>
      </c>
      <c r="O58" s="629">
        <f t="shared" si="241"/>
        <v>2.4121987616571174</v>
      </c>
      <c r="P58" s="633">
        <f t="shared" si="242"/>
        <v>-0.39435906947132093</v>
      </c>
      <c r="Q58" s="585">
        <f t="shared" si="113"/>
        <v>134.2056936174875</v>
      </c>
      <c r="R58" s="629">
        <f t="shared" si="410"/>
        <v>3.3650386452181045</v>
      </c>
      <c r="S58" s="634">
        <f t="shared" si="411"/>
        <v>-0.39435906947132093</v>
      </c>
      <c r="T58" s="635">
        <f t="shared" si="412"/>
        <v>2.4121987616571183</v>
      </c>
      <c r="U58" s="629">
        <f t="shared" si="413"/>
        <v>2.3462272306985019</v>
      </c>
      <c r="V58" s="636">
        <f t="shared" si="414"/>
        <v>-0.39435906947132093</v>
      </c>
      <c r="W58" s="585">
        <f t="shared" si="224"/>
        <v>44.205693617487498</v>
      </c>
      <c r="X58" s="629">
        <f t="shared" si="415"/>
        <v>3.3650386452181045</v>
      </c>
      <c r="Y58" s="630">
        <f t="shared" si="223"/>
        <v>-0.39435906947132093</v>
      </c>
      <c r="Z58" s="632">
        <f t="shared" si="243"/>
        <v>0.82180725795172715</v>
      </c>
      <c r="AA58" s="629">
        <f t="shared" si="244"/>
        <v>0.49967778199328045</v>
      </c>
      <c r="AB58" s="629">
        <f t="shared" si="245"/>
        <v>-0.2737790075227452</v>
      </c>
      <c r="AC58" s="636">
        <f t="shared" si="416"/>
        <v>1</v>
      </c>
      <c r="AD58" s="637">
        <f t="shared" si="417"/>
        <v>0.82180725795172715</v>
      </c>
      <c r="AE58" s="629">
        <f t="shared" si="418"/>
        <v>0.49967778199328045</v>
      </c>
      <c r="AF58" s="633">
        <f t="shared" si="419"/>
        <v>-0.2737790075227452</v>
      </c>
      <c r="AG58" s="602">
        <f t="shared" si="420"/>
        <v>61.28117571237491</v>
      </c>
      <c r="AH58" s="603">
        <f t="shared" si="421"/>
        <v>34.733881447189169</v>
      </c>
      <c r="AI58" s="585">
        <f t="shared" si="422"/>
        <v>-74.110735801666138</v>
      </c>
      <c r="AJ58" s="586">
        <f t="shared" si="423"/>
        <v>121.30056690123453</v>
      </c>
      <c r="AK58" s="635">
        <f t="shared" si="424"/>
        <v>0.93749891197317281</v>
      </c>
      <c r="AL58" s="629">
        <f t="shared" si="425"/>
        <v>-0.21480420174889076</v>
      </c>
      <c r="AM58" s="634">
        <f t="shared" si="426"/>
        <v>-0.2737790075227452</v>
      </c>
      <c r="AN58" s="581">
        <f t="shared" si="427"/>
        <v>-38.117367090981773</v>
      </c>
      <c r="AO58" s="582">
        <f t="shared" si="461"/>
        <v>20.364313949194063</v>
      </c>
      <c r="AP58" s="585">
        <f t="shared" si="428"/>
        <v>-12.905126716252957</v>
      </c>
      <c r="AQ58" s="586">
        <f t="shared" si="246"/>
        <v>0.67744256095561528</v>
      </c>
      <c r="AS58" s="52">
        <f t="shared" si="406"/>
        <v>-315.7943063825125</v>
      </c>
      <c r="AT58" s="72">
        <f t="shared" si="247"/>
        <v>-0.17505746781679835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6.2210000000000001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0.121</v>
      </c>
      <c r="II58" s="734" cm="1">
        <f t="array" ref="II58">IFERROR(ROUND(VALUE(IF($IH58&lt;1,$IH58+LARGE((IF($M$9:$M$150="",0,$M$9:$M$150)-MOD(IF($M$9:$M$150="",0,$M$9:$M$150),1)),1),$IH58)),4),"")</f>
        <v>6.1210000000000004</v>
      </c>
      <c r="IJ58" s="533">
        <f t="shared" si="112"/>
        <v>1313</v>
      </c>
      <c r="IK58" s="533">
        <f t="shared" si="382"/>
        <v>1313</v>
      </c>
      <c r="IL58" s="727">
        <f t="shared" si="225"/>
        <v>15.000997834123893</v>
      </c>
      <c r="IM58" s="759">
        <v>2.4415844252258001E-4</v>
      </c>
      <c r="IN58" s="5">
        <f t="shared" si="226"/>
        <v>0</v>
      </c>
      <c r="IO58" s="771">
        <v>0</v>
      </c>
      <c r="IP58" s="9">
        <f t="shared" si="227"/>
        <v>-3.3619101395209814</v>
      </c>
      <c r="IQ58" s="5">
        <f t="shared" si="228"/>
        <v>-0.38180115151227317</v>
      </c>
      <c r="IR58" s="5">
        <f t="shared" si="383"/>
        <v>0.26600000000000001</v>
      </c>
      <c r="IS58" s="5">
        <f t="shared" si="229"/>
        <v>0.25633645095234636</v>
      </c>
      <c r="IT58" s="727">
        <f t="shared" si="230"/>
        <v>41.613914891627125</v>
      </c>
      <c r="IU58" s="9">
        <f t="shared" si="231"/>
        <v>-3.3650386452181045</v>
      </c>
      <c r="IV58" s="5">
        <f t="shared" si="232"/>
        <v>-0.39435906947132093</v>
      </c>
      <c r="IW58" s="5">
        <f t="shared" si="384"/>
        <v>0.26600000000000001</v>
      </c>
      <c r="IX58" s="5">
        <f t="shared" si="233"/>
        <v>0.24937471058486399</v>
      </c>
      <c r="IY58" s="762">
        <f t="shared" si="234"/>
        <v>38.117367090981773</v>
      </c>
    </row>
    <row r="59" spans="1:259" ht="15" customHeight="1" x14ac:dyDescent="0.25">
      <c r="A59" s="79"/>
      <c r="B59" s="707">
        <v>-2.7259891006341181</v>
      </c>
      <c r="C59" s="708">
        <v>2.6712298231498468</v>
      </c>
      <c r="D59" s="709">
        <v>-0.91364328514821791</v>
      </c>
      <c r="E59" s="710">
        <v>-0.8932806835874455</v>
      </c>
      <c r="F59" s="708">
        <v>-0.36699909568610439</v>
      </c>
      <c r="G59" s="711">
        <v>0.2595405249573326</v>
      </c>
      <c r="H59" s="710">
        <v>0.26600000000000001</v>
      </c>
      <c r="I59" s="708">
        <v>0.52</v>
      </c>
      <c r="J59" s="570">
        <v>6.2270000000000003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6.2270000000000003</v>
      </c>
      <c r="N59" s="632">
        <f t="shared" si="240"/>
        <v>-2.7259891006341181</v>
      </c>
      <c r="O59" s="629">
        <f t="shared" si="241"/>
        <v>2.6712298231498468</v>
      </c>
      <c r="P59" s="633">
        <f t="shared" si="242"/>
        <v>-0.91364328514821791</v>
      </c>
      <c r="Q59" s="585">
        <f t="shared" si="113"/>
        <v>135.58129341887545</v>
      </c>
      <c r="R59" s="629">
        <f t="shared" si="79"/>
        <v>3.8166065221425658</v>
      </c>
      <c r="S59" s="634">
        <f t="shared" si="80"/>
        <v>-0.91364328514821791</v>
      </c>
      <c r="T59" s="635">
        <f t="shared" si="81"/>
        <v>2.6712298231498477</v>
      </c>
      <c r="U59" s="629">
        <f t="shared" si="82"/>
        <v>2.7259891006341173</v>
      </c>
      <c r="V59" s="636">
        <f t="shared" si="114"/>
        <v>-0.91364328514821791</v>
      </c>
      <c r="W59" s="585">
        <f t="shared" si="224"/>
        <v>45.581293418875447</v>
      </c>
      <c r="X59" s="629">
        <f t="shared" si="83"/>
        <v>3.8166065221425658</v>
      </c>
      <c r="Y59" s="630">
        <f t="shared" si="223"/>
        <v>-0.91364328514821791</v>
      </c>
      <c r="Z59" s="632">
        <f t="shared" si="243"/>
        <v>0.8932806835874455</v>
      </c>
      <c r="AA59" s="629">
        <f t="shared" si="244"/>
        <v>0.36699909568610439</v>
      </c>
      <c r="AB59" s="629">
        <f t="shared" si="245"/>
        <v>-0.2595405249573326</v>
      </c>
      <c r="AC59" s="636">
        <f t="shared" si="84"/>
        <v>1</v>
      </c>
      <c r="AD59" s="637">
        <f t="shared" si="115"/>
        <v>0.8932806835874455</v>
      </c>
      <c r="AE59" s="629">
        <f t="shared" si="85"/>
        <v>0.36699909568610439</v>
      </c>
      <c r="AF59" s="633">
        <f t="shared" si="86"/>
        <v>-0.2595405249573326</v>
      </c>
      <c r="AG59" s="602">
        <f t="shared" si="87"/>
        <v>54.732178358036904</v>
      </c>
      <c r="AH59" s="603">
        <f t="shared" si="88"/>
        <v>26.711564069843792</v>
      </c>
      <c r="AI59" s="585">
        <f t="shared" si="89"/>
        <v>-74.957199723941599</v>
      </c>
      <c r="AJ59" s="586">
        <f t="shared" si="90"/>
        <v>112.33502018294533</v>
      </c>
      <c r="AK59" s="635">
        <f t="shared" si="211"/>
        <v>0.8873310668987171</v>
      </c>
      <c r="AL59" s="629">
        <f t="shared" si="91"/>
        <v>-0.38115914474305423</v>
      </c>
      <c r="AM59" s="634">
        <f t="shared" si="92"/>
        <v>-0.2595405249573326</v>
      </c>
      <c r="AN59" s="581">
        <f t="shared" si="93"/>
        <v>-55.748099904526121</v>
      </c>
      <c r="AO59" s="582">
        <f t="shared" si="461"/>
        <v>27.460237497280684</v>
      </c>
      <c r="AP59" s="585">
        <f t="shared" si="95"/>
        <v>-23.246273235930108</v>
      </c>
      <c r="AQ59" s="586">
        <f t="shared" si="246"/>
        <v>0.59729606240428967</v>
      </c>
      <c r="AS59" s="52">
        <f t="shared" si="406"/>
        <v>-314.41870658112452</v>
      </c>
      <c r="AT59" s="72">
        <f t="shared" si="247"/>
        <v>-0.69529696113354811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6.2270000000000003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0.127</v>
      </c>
      <c r="II59" s="734" cm="1">
        <f t="array" ref="II59">IFERROR(ROUND(VALUE(IF($IH59&lt;1,$IH59+LARGE((IF($M$9:$M$150="",0,$M$9:$M$150)-MOD(IF($M$9:$M$150="",0,$M$9:$M$150),1)),1),$IH59)),4),"")</f>
        <v>6.1269999999999998</v>
      </c>
      <c r="IJ59" s="533">
        <f t="shared" si="112"/>
        <v>1313</v>
      </c>
      <c r="IK59" s="533">
        <f>IF(ISNUMBER($II59),INDEX($K$9:$K$150,MATCH($IG59,$M$9:$M$150,0)),"")</f>
        <v>1313</v>
      </c>
      <c r="IL59" s="727">
        <f t="shared" si="225"/>
        <v>13.181798096783865</v>
      </c>
      <c r="IM59" s="759">
        <v>5.0504909120212304E-4</v>
      </c>
      <c r="IN59" s="5">
        <f t="shared" si="226"/>
        <v>0</v>
      </c>
      <c r="IO59" s="771">
        <v>0</v>
      </c>
      <c r="IP59" s="9">
        <f t="shared" si="227"/>
        <v>-3.8099114906930569</v>
      </c>
      <c r="IQ59" s="5">
        <f t="shared" si="228"/>
        <v>-0.90400272647222346</v>
      </c>
      <c r="IR59" s="5">
        <f t="shared" si="383"/>
        <v>0.26600000000000001</v>
      </c>
      <c r="IS59" s="5">
        <f t="shared" si="229"/>
        <v>0.2456135344885271</v>
      </c>
      <c r="IT59" s="727">
        <f t="shared" si="230"/>
        <v>58.070173475028056</v>
      </c>
      <c r="IU59" s="9">
        <f t="shared" si="231"/>
        <v>-3.8166065221425658</v>
      </c>
      <c r="IV59" s="5">
        <f t="shared" si="232"/>
        <v>-0.91364328514821791</v>
      </c>
      <c r="IW59" s="5">
        <f t="shared" si="384"/>
        <v>0.26600000000000001</v>
      </c>
      <c r="IX59" s="5">
        <f t="shared" si="233"/>
        <v>0.23603006379505875</v>
      </c>
      <c r="IY59" s="762">
        <f t="shared" si="234"/>
        <v>55.748099904526121</v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0.90630781366099966</v>
      </c>
      <c r="F154" s="170">
        <f t="shared" si="929"/>
        <v>5.5162737096161339E-2</v>
      </c>
      <c r="G154" s="170">
        <f t="shared" si="929"/>
        <v>-0.4190026483604592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0.97029572627599658</v>
      </c>
      <c r="F155" s="170">
        <f t="shared" si="929"/>
        <v>3.1577139314176543E-2</v>
      </c>
      <c r="G155" s="170">
        <f t="shared" si="929"/>
        <v>-0.23985222084289659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0.97629601393762733</v>
      </c>
      <c r="F156" s="170">
        <f t="shared" si="929"/>
        <v>2.8251030583274286E-2</v>
      </c>
      <c r="G156" s="170">
        <f t="shared" si="929"/>
        <v>-0.21458791308105668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0.97629601393762733</v>
      </c>
      <c r="F157" s="170">
        <f t="shared" si="929"/>
        <v>2.8251030583274286E-2</v>
      </c>
      <c r="G157" s="170">
        <f t="shared" si="929"/>
        <v>-0.21458791308105668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0.97570854700162413</v>
      </c>
      <c r="F158" s="170">
        <f t="shared" si="929"/>
        <v>-5.2394598805371444E-2</v>
      </c>
      <c r="G158" s="170">
        <f t="shared" si="929"/>
        <v>-0.21271492031355924</v>
      </c>
      <c r="H158" s="139"/>
      <c r="I158" s="86"/>
      <c r="J158" s="79">
        <f t="shared" si="930"/>
        <v>1.1140000000000001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0.96189602391916296</v>
      </c>
      <c r="F159" s="170">
        <f t="shared" si="929"/>
        <v>-0.174268193222753</v>
      </c>
      <c r="G159" s="170">
        <f t="shared" si="929"/>
        <v>-0.21068136130038273</v>
      </c>
      <c r="H159" s="139"/>
      <c r="I159" s="86"/>
      <c r="J159" s="79">
        <f t="shared" si="930"/>
        <v>1.1200000000000001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0.92351444528805571</v>
      </c>
      <c r="F160" s="170">
        <f t="shared" si="929"/>
        <v>-0.32129738505634142</v>
      </c>
      <c r="G160" s="170">
        <f t="shared" si="929"/>
        <v>-0.20949715916988437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0.86682142027744846</v>
      </c>
      <c r="F161" s="170">
        <f t="shared" si="929"/>
        <v>-0.47482857213794594</v>
      </c>
      <c r="G161" s="170">
        <f t="shared" si="929"/>
        <v>-0.15217901441929027</v>
      </c>
      <c r="H161" s="139"/>
      <c r="I161" s="86"/>
      <c r="J161" s="79">
        <f t="shared" si="930"/>
        <v>1.1319999999999999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0.84786895559918396</v>
      </c>
      <c r="F162" s="170">
        <f t="shared" si="929"/>
        <v>-0.51740233842364125</v>
      </c>
      <c r="G162" s="170">
        <f t="shared" si="929"/>
        <v>-0.11581474139718578</v>
      </c>
      <c r="H162" s="139"/>
      <c r="I162" s="86"/>
      <c r="J162" s="79">
        <f t="shared" si="930"/>
        <v>1.1379999999999999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0.84627048688804241</v>
      </c>
      <c r="F163" s="170">
        <f t="shared" si="929"/>
        <v>-0.44906154610392035</v>
      </c>
      <c r="G163" s="170">
        <f t="shared" si="929"/>
        <v>-0.28665308446453608</v>
      </c>
      <c r="H163" s="139"/>
      <c r="I163" s="86"/>
      <c r="J163" s="79">
        <f t="shared" si="930"/>
        <v>1.22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0.77721514260198676</v>
      </c>
      <c r="F164" s="170">
        <f t="shared" si="929"/>
        <v>-0.56870694920849918</v>
      </c>
      <c r="G164" s="170">
        <f t="shared" si="929"/>
        <v>-0.26927500446965913</v>
      </c>
      <c r="H164" s="139"/>
      <c r="I164" s="86"/>
      <c r="J164" s="79">
        <f t="shared" si="930"/>
        <v>1.226</v>
      </c>
    </row>
    <row r="165" spans="5:16" x14ac:dyDescent="0.25">
      <c r="E165" s="170">
        <f t="shared" si="929"/>
        <v>0.38925964273494429</v>
      </c>
      <c r="F165" s="170">
        <f t="shared" si="929"/>
        <v>-0.89535276128054986</v>
      </c>
      <c r="G165" s="170">
        <f t="shared" si="929"/>
        <v>-0.21638013634610356</v>
      </c>
      <c r="H165" s="139"/>
      <c r="I165" s="86"/>
      <c r="J165" s="79">
        <f t="shared" si="930"/>
        <v>2.113</v>
      </c>
    </row>
    <row r="166" spans="5:16" x14ac:dyDescent="0.25">
      <c r="E166" s="170">
        <f t="shared" si="929"/>
        <v>0.27221935043570206</v>
      </c>
      <c r="F166" s="170">
        <f t="shared" si="929"/>
        <v>-0.94012706171894189</v>
      </c>
      <c r="G166" s="170">
        <f t="shared" si="929"/>
        <v>-0.20507982122108792</v>
      </c>
      <c r="H166" s="139"/>
      <c r="I166" s="86"/>
      <c r="J166" s="79">
        <f t="shared" si="930"/>
        <v>2.1190000000000002</v>
      </c>
    </row>
    <row r="167" spans="5:16" x14ac:dyDescent="0.25">
      <c r="E167" s="170">
        <f t="shared" si="929"/>
        <v>0.13641350950521589</v>
      </c>
      <c r="F167" s="170">
        <f t="shared" si="929"/>
        <v>-0.96999468955853441</v>
      </c>
      <c r="G167" s="170">
        <f t="shared" si="929"/>
        <v>-0.20125023391964775</v>
      </c>
      <c r="H167" s="139"/>
      <c r="I167" s="86"/>
      <c r="J167" s="79">
        <f t="shared" si="930"/>
        <v>2.125</v>
      </c>
    </row>
    <row r="168" spans="5:16" x14ac:dyDescent="0.25">
      <c r="E168" s="170">
        <f t="shared" si="929"/>
        <v>-3.9535141581852007E-2</v>
      </c>
      <c r="F168" s="170">
        <f t="shared" si="929"/>
        <v>-0.98486823257588463</v>
      </c>
      <c r="G168" s="170">
        <f t="shared" si="929"/>
        <v>-0.16873510909990314</v>
      </c>
      <c r="H168" s="139"/>
      <c r="I168" s="86"/>
      <c r="J168" s="79">
        <f t="shared" si="930"/>
        <v>2.1309999999999998</v>
      </c>
    </row>
    <row r="169" spans="5:16" x14ac:dyDescent="0.25">
      <c r="E169" s="170">
        <f t="shared" si="929"/>
        <v>-0.11059470671750717</v>
      </c>
      <c r="F169" s="170">
        <f t="shared" si="929"/>
        <v>-0.98709460363288981</v>
      </c>
      <c r="G169" s="170">
        <f t="shared" si="929"/>
        <v>-0.11581474139718537</v>
      </c>
      <c r="H169" s="139"/>
      <c r="I169" s="86"/>
      <c r="J169" s="79">
        <f t="shared" si="930"/>
        <v>2.137</v>
      </c>
    </row>
    <row r="170" spans="5:16" x14ac:dyDescent="0.25">
      <c r="E170" s="170">
        <f t="shared" si="929"/>
        <v>-3.0030263963404694E-2</v>
      </c>
      <c r="F170" s="170">
        <f t="shared" si="929"/>
        <v>-0.95860784310480929</v>
      </c>
      <c r="G170" s="170">
        <f t="shared" si="929"/>
        <v>-0.28314163661361025</v>
      </c>
      <c r="H170" s="139"/>
      <c r="I170" s="86"/>
      <c r="J170" s="79">
        <f t="shared" si="930"/>
        <v>2.2189999999999999</v>
      </c>
    </row>
    <row r="171" spans="5:16" x14ac:dyDescent="0.25">
      <c r="E171" s="170">
        <f t="shared" si="929"/>
        <v>-0.15142010284434612</v>
      </c>
      <c r="F171" s="170">
        <f t="shared" si="929"/>
        <v>-0.95241136418567185</v>
      </c>
      <c r="G171" s="170">
        <f t="shared" si="929"/>
        <v>-0.2645459238480064</v>
      </c>
      <c r="H171" s="139"/>
      <c r="I171" s="86"/>
      <c r="J171" s="79">
        <f t="shared" si="930"/>
        <v>2.2250000000000001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-0.44286750927628515</v>
      </c>
      <c r="F172" s="170">
        <f t="shared" si="929"/>
        <v>-0.84556782820430276</v>
      </c>
      <c r="G172" s="170">
        <f t="shared" si="929"/>
        <v>-0.2981332204456229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-0.4636824166886116</v>
      </c>
      <c r="F173" s="170">
        <f t="shared" si="929"/>
        <v>-0.85962238454645046</v>
      </c>
      <c r="G173" s="170">
        <f t="shared" si="929"/>
        <v>-0.21458791308105674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-0.46368241668861149</v>
      </c>
      <c r="F174" s="170">
        <f t="shared" si="933"/>
        <v>-0.85962238454645057</v>
      </c>
      <c r="G174" s="170">
        <f t="shared" si="933"/>
        <v>-0.21458791308105668</v>
      </c>
      <c r="H174" s="139"/>
      <c r="I174" s="86"/>
      <c r="J174" s="79">
        <f t="shared" si="930"/>
        <v>3.109</v>
      </c>
    </row>
    <row r="175" spans="5:16" x14ac:dyDescent="0.25">
      <c r="E175" s="170">
        <f t="shared" si="933"/>
        <v>-0.47997240940289132</v>
      </c>
      <c r="F175" s="170">
        <f t="shared" si="933"/>
        <v>-0.85021733973180502</v>
      </c>
      <c r="G175" s="170">
        <f t="shared" si="933"/>
        <v>-0.21623358072083967</v>
      </c>
      <c r="H175" s="139"/>
      <c r="I175" s="86"/>
      <c r="J175" s="79">
        <f t="shared" si="930"/>
        <v>3.1120000000000001</v>
      </c>
    </row>
    <row r="176" spans="5:16" x14ac:dyDescent="0.25">
      <c r="E176" s="170">
        <f t="shared" si="933"/>
        <v>-0.59631685026899139</v>
      </c>
      <c r="F176" s="170">
        <f t="shared" si="933"/>
        <v>-0.77795934872910544</v>
      </c>
      <c r="G176" s="170">
        <f t="shared" si="933"/>
        <v>-0.197953190957498</v>
      </c>
      <c r="H176" s="139"/>
      <c r="I176" s="86"/>
      <c r="J176" s="79">
        <f t="shared" si="930"/>
        <v>3.1179999999999999</v>
      </c>
    </row>
    <row r="177" spans="5:10" x14ac:dyDescent="0.25">
      <c r="E177" s="170">
        <f t="shared" si="933"/>
        <v>-0.6987686561556542</v>
      </c>
      <c r="F177" s="170">
        <f t="shared" si="933"/>
        <v>-0.6858454556414979</v>
      </c>
      <c r="G177" s="170">
        <f t="shared" si="933"/>
        <v>-0.20331841075103704</v>
      </c>
      <c r="H177" s="139"/>
      <c r="I177" s="86"/>
      <c r="J177" s="79">
        <f t="shared" si="930"/>
        <v>3.1240000000000001</v>
      </c>
    </row>
    <row r="178" spans="5:10" x14ac:dyDescent="0.25">
      <c r="E178" s="170">
        <f t="shared" si="933"/>
        <v>-0.81422280190582641</v>
      </c>
      <c r="F178" s="170">
        <f t="shared" si="933"/>
        <v>-0.55124671794716096</v>
      </c>
      <c r="G178" s="170">
        <f t="shared" si="933"/>
        <v>-0.18212162092708453</v>
      </c>
      <c r="H178" s="139"/>
      <c r="I178" s="86"/>
      <c r="J178" s="79">
        <f t="shared" si="930"/>
        <v>3.13</v>
      </c>
    </row>
    <row r="179" spans="5:10" x14ac:dyDescent="0.25">
      <c r="E179" s="170">
        <f t="shared" si="933"/>
        <v>-0.87201501431687212</v>
      </c>
      <c r="F179" s="170">
        <f t="shared" si="933"/>
        <v>-0.47558044585647985</v>
      </c>
      <c r="G179" s="170">
        <f t="shared" si="933"/>
        <v>-0.11581474139718644</v>
      </c>
      <c r="H179" s="139"/>
      <c r="I179" s="86"/>
      <c r="J179" s="79">
        <f t="shared" si="930"/>
        <v>3.1360000000000001</v>
      </c>
    </row>
    <row r="180" spans="5:10" x14ac:dyDescent="0.25">
      <c r="E180" s="170">
        <f t="shared" si="933"/>
        <v>-0.78328788551734385</v>
      </c>
      <c r="F180" s="170">
        <f t="shared" si="933"/>
        <v>-0.55607209577359806</v>
      </c>
      <c r="G180" s="170">
        <f t="shared" si="933"/>
        <v>-0.27792789119432937</v>
      </c>
      <c r="H180" s="139"/>
      <c r="I180" s="86"/>
      <c r="J180" s="79">
        <f t="shared" si="930"/>
        <v>3.218</v>
      </c>
    </row>
    <row r="181" spans="5:10" x14ac:dyDescent="0.25">
      <c r="E181" s="170">
        <f t="shared" si="933"/>
        <v>-0.85528472182823356</v>
      </c>
      <c r="F181" s="170">
        <f t="shared" si="933"/>
        <v>-0.44253252848780272</v>
      </c>
      <c r="G181" s="170">
        <f t="shared" si="933"/>
        <v>-0.26954221531588202</v>
      </c>
      <c r="H181" s="139"/>
      <c r="I181" s="86"/>
      <c r="J181" s="79">
        <f t="shared" si="930"/>
        <v>3.2240000000000002</v>
      </c>
    </row>
    <row r="182" spans="5:10" x14ac:dyDescent="0.25">
      <c r="E182" s="170">
        <f t="shared" si="933"/>
        <v>-0.97248966780250046</v>
      </c>
      <c r="F182" s="170">
        <f t="shared" si="933"/>
        <v>0.10957157292887981</v>
      </c>
      <c r="G182" s="170">
        <f t="shared" si="933"/>
        <v>-0.20556730387703601</v>
      </c>
      <c r="H182" s="139"/>
      <c r="I182" s="86"/>
      <c r="J182" s="79">
        <f t="shared" si="930"/>
        <v>4.117</v>
      </c>
    </row>
    <row r="183" spans="5:10" x14ac:dyDescent="0.25">
      <c r="E183" s="170">
        <f t="shared" si="933"/>
        <v>-0.94961265483697233</v>
      </c>
      <c r="F183" s="170">
        <f t="shared" si="933"/>
        <v>0.2378810084182934</v>
      </c>
      <c r="G183" s="170">
        <f t="shared" si="933"/>
        <v>-0.20407947375317609</v>
      </c>
      <c r="H183" s="139"/>
      <c r="I183" s="86"/>
      <c r="J183" s="79">
        <f t="shared" si="930"/>
        <v>4.1230000000000002</v>
      </c>
    </row>
    <row r="184" spans="5:10" x14ac:dyDescent="0.25">
      <c r="E184" s="170">
        <f t="shared" si="933"/>
        <v>-0.89295193955310603</v>
      </c>
      <c r="F184" s="170">
        <f t="shared" si="933"/>
        <v>0.40590418070614548</v>
      </c>
      <c r="G184" s="170">
        <f t="shared" si="933"/>
        <v>-0.19462432975766153</v>
      </c>
      <c r="H184" s="139"/>
      <c r="I184" s="86"/>
      <c r="J184" s="79">
        <f t="shared" si="930"/>
        <v>4.1289999999999996</v>
      </c>
    </row>
    <row r="185" spans="5:10" x14ac:dyDescent="0.25">
      <c r="E185" s="170">
        <f t="shared" si="933"/>
        <v>-0.84787233304192344</v>
      </c>
      <c r="F185" s="170">
        <f t="shared" si="933"/>
        <v>0.51739680375621655</v>
      </c>
      <c r="G185" s="170">
        <f t="shared" si="933"/>
        <v>-0.11581474139718587</v>
      </c>
      <c r="H185" s="139"/>
      <c r="I185" s="86"/>
      <c r="J185" s="79">
        <f t="shared" si="930"/>
        <v>4.1349999999999998</v>
      </c>
    </row>
    <row r="186" spans="5:10" x14ac:dyDescent="0.25">
      <c r="E186" s="170">
        <f t="shared" si="933"/>
        <v>-0.88246954016122547</v>
      </c>
      <c r="F186" s="170">
        <f t="shared" si="933"/>
        <v>0.37279623712441673</v>
      </c>
      <c r="G186" s="170">
        <f t="shared" si="933"/>
        <v>-0.286828304519465</v>
      </c>
      <c r="H186" s="139"/>
      <c r="I186" s="86"/>
      <c r="J186" s="79">
        <f t="shared" si="930"/>
        <v>4.2169999999999996</v>
      </c>
    </row>
    <row r="187" spans="5:10" x14ac:dyDescent="0.25">
      <c r="E187" s="170">
        <f t="shared" si="933"/>
        <v>-0.82186419494211727</v>
      </c>
      <c r="F187" s="170">
        <f t="shared" si="933"/>
        <v>0.49992687561099108</v>
      </c>
      <c r="G187" s="170">
        <f t="shared" si="933"/>
        <v>-0.27315263885596724</v>
      </c>
      <c r="H187" s="139"/>
      <c r="I187" s="86"/>
      <c r="J187" s="79">
        <f t="shared" si="930"/>
        <v>4.2229999999999999</v>
      </c>
    </row>
    <row r="188" spans="5:10" x14ac:dyDescent="0.25">
      <c r="E188" s="170">
        <f t="shared" si="933"/>
        <v>-0.57186381059109681</v>
      </c>
      <c r="F188" s="170">
        <f t="shared" si="933"/>
        <v>0.73145915656198657</v>
      </c>
      <c r="G188" s="170">
        <f t="shared" si="933"/>
        <v>-0.37140178300306731</v>
      </c>
      <c r="H188" s="139"/>
      <c r="I188" s="86"/>
      <c r="J188" s="79">
        <f t="shared" si="930"/>
        <v>5.1020000000000003</v>
      </c>
    </row>
    <row r="189" spans="5:10" x14ac:dyDescent="0.25">
      <c r="E189" s="170">
        <f t="shared" si="933"/>
        <v>-0.58312203114697403</v>
      </c>
      <c r="F189" s="170">
        <f t="shared" si="933"/>
        <v>0.78353093388234807</v>
      </c>
      <c r="G189" s="170">
        <f t="shared" si="933"/>
        <v>-0.21458791308105662</v>
      </c>
      <c r="H189" s="139"/>
      <c r="I189" s="86"/>
      <c r="J189" s="79">
        <f t="shared" si="930"/>
        <v>5.1050000000000004</v>
      </c>
    </row>
    <row r="190" spans="5:10" x14ac:dyDescent="0.25">
      <c r="E190" s="170">
        <f t="shared" si="933"/>
        <v>-0.58312203114697403</v>
      </c>
      <c r="F190" s="170">
        <f t="shared" si="933"/>
        <v>0.78353093388234807</v>
      </c>
      <c r="G190" s="170">
        <f t="shared" si="933"/>
        <v>-0.21458791308105662</v>
      </c>
      <c r="H190" s="139"/>
      <c r="I190" s="86"/>
      <c r="J190" s="79">
        <f t="shared" si="930"/>
        <v>5.1079999999999997</v>
      </c>
    </row>
    <row r="191" spans="5:10" x14ac:dyDescent="0.25">
      <c r="E191" s="170">
        <f t="shared" si="933"/>
        <v>-0.5754325831323388</v>
      </c>
      <c r="F191" s="170">
        <f t="shared" si="933"/>
        <v>0.78891513973720306</v>
      </c>
      <c r="G191" s="170">
        <f t="shared" si="933"/>
        <v>-0.21561596546423353</v>
      </c>
      <c r="H191" s="139"/>
      <c r="I191" s="86"/>
      <c r="J191" s="79">
        <f t="shared" si="930"/>
        <v>5.1109999999999998</v>
      </c>
    </row>
    <row r="192" spans="5:10" x14ac:dyDescent="0.25">
      <c r="E192" s="170">
        <f t="shared" si="933"/>
        <v>-0.48593291890924839</v>
      </c>
      <c r="F192" s="170">
        <f t="shared" si="933"/>
        <v>0.84993113319326941</v>
      </c>
      <c r="G192" s="170">
        <f t="shared" si="933"/>
        <v>-0.20368177912897112</v>
      </c>
      <c r="H192" s="139"/>
      <c r="I192" s="86"/>
      <c r="J192" s="79">
        <f t="shared" si="930"/>
        <v>5.1159999999999997</v>
      </c>
    </row>
    <row r="193" spans="5:10" x14ac:dyDescent="0.25">
      <c r="E193" s="170">
        <f t="shared" si="933"/>
        <v>-0.37269054216398023</v>
      </c>
      <c r="F193" s="170">
        <f t="shared" si="933"/>
        <v>0.90554099629669638</v>
      </c>
      <c r="G193" s="170">
        <f t="shared" si="933"/>
        <v>-0.20272460089368777</v>
      </c>
      <c r="H193" s="139"/>
      <c r="I193" s="86"/>
      <c r="J193" s="79">
        <f t="shared" si="930"/>
        <v>5.1219999999999999</v>
      </c>
    </row>
    <row r="194" spans="5:10" x14ac:dyDescent="0.25">
      <c r="E194" s="170">
        <f t="shared" ref="E194:G213" si="934">E49*-1</f>
        <v>-0.21789924670753943</v>
      </c>
      <c r="F194" s="170">
        <f t="shared" si="934"/>
        <v>0.95636248460586448</v>
      </c>
      <c r="G194" s="170">
        <f t="shared" si="934"/>
        <v>-0.19465537835565866</v>
      </c>
      <c r="H194" s="139"/>
      <c r="I194" s="86"/>
      <c r="J194" s="79">
        <f t="shared" si="930"/>
        <v>5.1280000000000001</v>
      </c>
    </row>
    <row r="195" spans="5:10" x14ac:dyDescent="0.25">
      <c r="E195" s="170">
        <f t="shared" si="934"/>
        <v>-6.2536329041490354E-2</v>
      </c>
      <c r="F195" s="170">
        <f t="shared" si="934"/>
        <v>0.991300233645245</v>
      </c>
      <c r="G195" s="170">
        <f t="shared" si="934"/>
        <v>-0.11581474139718573</v>
      </c>
      <c r="H195" s="139"/>
      <c r="I195" s="86"/>
      <c r="J195" s="79">
        <f t="shared" si="930"/>
        <v>5.1340000000000003</v>
      </c>
    </row>
    <row r="196" spans="5:10" x14ac:dyDescent="0.25">
      <c r="E196" s="170">
        <f t="shared" si="934"/>
        <v>-0.22386993226511739</v>
      </c>
      <c r="F196" s="170">
        <f t="shared" si="934"/>
        <v>0.93165439020465335</v>
      </c>
      <c r="G196" s="170">
        <f t="shared" si="934"/>
        <v>-0.28618586729607604</v>
      </c>
      <c r="H196" s="139"/>
      <c r="I196" s="86"/>
      <c r="J196" s="79">
        <f t="shared" si="930"/>
        <v>5.2160000000000002</v>
      </c>
    </row>
    <row r="197" spans="5:10" x14ac:dyDescent="0.25">
      <c r="E197" s="170">
        <f t="shared" si="934"/>
        <v>-0.10449057397794613</v>
      </c>
      <c r="F197" s="170">
        <f t="shared" si="934"/>
        <v>0.95592278557405685</v>
      </c>
      <c r="G197" s="170">
        <f t="shared" si="934"/>
        <v>-0.2743963337402584</v>
      </c>
      <c r="H197" s="139"/>
      <c r="I197" s="86"/>
      <c r="J197" s="79">
        <f t="shared" si="930"/>
        <v>5.2220000000000004</v>
      </c>
    </row>
    <row r="198" spans="5:10" x14ac:dyDescent="0.25">
      <c r="E198" s="170">
        <f t="shared" si="934"/>
        <v>0.54922012929019548</v>
      </c>
      <c r="F198" s="170">
        <f t="shared" si="934"/>
        <v>0.80916688498413913</v>
      </c>
      <c r="G198" s="170">
        <f t="shared" si="934"/>
        <v>-0.20882098033369639</v>
      </c>
      <c r="H198" s="139"/>
      <c r="I198" s="86"/>
      <c r="J198" s="79">
        <f t="shared" si="930"/>
        <v>6.1150000000000002</v>
      </c>
    </row>
    <row r="199" spans="5:10" x14ac:dyDescent="0.25">
      <c r="E199" s="170">
        <f t="shared" si="934"/>
        <v>0.64571555324485241</v>
      </c>
      <c r="F199" s="170">
        <f t="shared" si="934"/>
        <v>0.73700476330419862</v>
      </c>
      <c r="G199" s="170">
        <f t="shared" si="934"/>
        <v>-0.19968826496471093</v>
      </c>
      <c r="H199" s="139"/>
      <c r="I199" s="86"/>
      <c r="J199" s="79">
        <f t="shared" si="930"/>
        <v>6.1210000000000004</v>
      </c>
    </row>
    <row r="200" spans="5:10" x14ac:dyDescent="0.25">
      <c r="E200" s="170">
        <f t="shared" si="934"/>
        <v>0.7574421117716289</v>
      </c>
      <c r="F200" s="170">
        <f t="shared" si="934"/>
        <v>0.62052345597837899</v>
      </c>
      <c r="G200" s="170">
        <f t="shared" si="934"/>
        <v>-0.20305685877503366</v>
      </c>
      <c r="H200" s="139"/>
      <c r="I200" s="86"/>
      <c r="J200" s="79">
        <f t="shared" si="930"/>
        <v>6.1269999999999998</v>
      </c>
    </row>
    <row r="201" spans="5:10" x14ac:dyDescent="0.25">
      <c r="E201" s="170">
        <f t="shared" si="934"/>
        <v>0.86509738027681615</v>
      </c>
      <c r="F201" s="170">
        <f t="shared" si="934"/>
        <v>0.48085785512372042</v>
      </c>
      <c r="G201" s="170">
        <f t="shared" si="934"/>
        <v>-0.14276640292451437</v>
      </c>
      <c r="H201" s="139"/>
      <c r="I201" s="86"/>
      <c r="J201" s="79">
        <f t="shared" si="930"/>
        <v>6.133</v>
      </c>
    </row>
    <row r="202" spans="5:10" x14ac:dyDescent="0.25">
      <c r="E202" s="170">
        <f t="shared" si="934"/>
        <v>0.8720162708589988</v>
      </c>
      <c r="F202" s="170">
        <f t="shared" si="934"/>
        <v>0.47559658140416516</v>
      </c>
      <c r="G202" s="170">
        <f t="shared" si="934"/>
        <v>-0.11573899564898964</v>
      </c>
      <c r="H202" s="139"/>
      <c r="I202" s="86"/>
      <c r="J202" s="79">
        <f t="shared" si="930"/>
        <v>6.1390000000000002</v>
      </c>
    </row>
    <row r="203" spans="5:10" x14ac:dyDescent="0.25">
      <c r="E203" s="170">
        <f t="shared" si="934"/>
        <v>0.82180725795172715</v>
      </c>
      <c r="F203" s="170">
        <f t="shared" si="934"/>
        <v>0.49967778199328045</v>
      </c>
      <c r="G203" s="170">
        <f t="shared" si="934"/>
        <v>-0.2737790075227452</v>
      </c>
      <c r="H203" s="139"/>
      <c r="I203" s="86"/>
      <c r="J203" s="79">
        <f t="shared" si="930"/>
        <v>6.2210000000000001</v>
      </c>
    </row>
    <row r="204" spans="5:10" x14ac:dyDescent="0.25">
      <c r="E204" s="170">
        <f t="shared" si="934"/>
        <v>0.8932806835874455</v>
      </c>
      <c r="F204" s="170">
        <f t="shared" si="934"/>
        <v>0.36699909568610439</v>
      </c>
      <c r="G204" s="170">
        <f t="shared" si="934"/>
        <v>-0.2595405249573326</v>
      </c>
      <c r="H204" s="139"/>
      <c r="I204" s="86"/>
      <c r="J204" s="79">
        <f t="shared" si="930"/>
        <v>6.2270000000000003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9B771D8-1A5E-42C7-9208-CAE7E9947A93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B09F006-A7E0-4721-8A2A-C84561FDDC0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1111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1.1140000000000001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1.1200000000000001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1.1379999999999999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1.226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2.113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2.1190000000000002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2.125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2.1309999999999998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2.137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2.2189999999999999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2.2250000000000001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1111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1111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3.1179999999999999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3.1240000000000001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3.1360000000000001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3.218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3.2240000000000002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4.117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4.1230000000000002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4.1289999999999996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4.1349999999999998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4.2169999999999996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4.2229999999999999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5.1020000000000003</v>
      </c>
      <c r="N198" s="869">
        <f>Assy.Model!K43</f>
        <v>1111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5.1050000000000004</v>
      </c>
      <c r="N199" s="869">
        <f>Assy.Model!K44</f>
        <v>1111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5.1079999999999997</v>
      </c>
      <c r="N200" s="869">
        <f>Assy.Model!K45</f>
        <v>1111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5.1109999999999998</v>
      </c>
      <c r="N201" s="869">
        <f>Assy.Model!K46</f>
        <v>1111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5.1159999999999997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5.1219999999999999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5.1280000000000001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5.1340000000000003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5.2160000000000002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5.2220000000000004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6.1150000000000002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6.1210000000000004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6.1269999999999998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6.133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6.1390000000000002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6.2210000000000001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6.2270000000000003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2023-03-28T17:53:10Z</dcterms:modified>
</cp:coreProperties>
</file>