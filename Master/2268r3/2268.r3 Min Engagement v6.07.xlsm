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68\"/>
    </mc:Choice>
  </mc:AlternateContent>
  <xr:revisionPtr revIDLastSave="0" documentId="13_ncr:1_{956E0341-64AD-4E1F-9DB7-DEC51871769F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W48" i="1"/>
  <c r="IR48" i="1"/>
  <c r="IN48" i="1"/>
  <c r="IQ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X11" i="1" l="1"/>
  <c r="IL11" i="1"/>
  <c r="IV11" i="1"/>
  <c r="IR11" i="1"/>
  <c r="IS11" i="1"/>
  <c r="IW11" i="1"/>
  <c r="IT11" i="1"/>
  <c r="IP11" i="1"/>
  <c r="IY11" i="1"/>
  <c r="IQ11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2" i="1" l="1"/>
  <c r="IV48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2" i="1" l="1"/>
  <c r="IU48" i="1"/>
  <c r="IE48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L20" i="1" l="1"/>
  <c r="L13" i="1"/>
  <c r="JA9" i="7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8" i="1" l="1"/>
  <c r="IL47" i="1"/>
  <c r="IL32" i="1"/>
  <c r="IL23" i="1"/>
  <c r="IL16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47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IT32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45" i="1" l="1"/>
  <c r="IT48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AP46" i="1"/>
  <c r="AO46" i="1"/>
  <c r="AP43" i="1"/>
  <c r="AO44" i="1"/>
  <c r="IS47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45" i="1" l="1"/>
  <c r="IF45" i="1" s="1"/>
  <c r="IS48" i="1"/>
  <c r="IS52" i="1"/>
  <c r="IX48" i="1"/>
  <c r="IF48" i="1" s="1"/>
  <c r="IT29" i="1"/>
  <c r="IY47" i="1"/>
  <c r="IF47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2" i="1" s="1"/>
  <c r="JH29" i="1" a="1"/>
  <c r="JH29" i="1" s="1"/>
  <c r="L15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<sst xmlns="http://schemas.openxmlformats.org/spreadsheetml/2006/main" count="734" uniqueCount="391">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</sst>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M21" sqref="M2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7.875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33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1.113's θ about Z Axis</v>
      </c>
      <c r="U5" s="1021"/>
      <c r="V5" s="1072"/>
      <c r="W5" s="1021" t="str">
        <f>CONCATENATE("Relative to ",M8,"'s θ about Z Axis")</f>
        <v>Relative to 1.113's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1.113's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89.091000131243348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-7.0500304013716944E-2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1.4939793715351438E-17</v>
      </c>
      <c r="C9" s="703">
        <v>0.34330103539592266</v>
      </c>
      <c r="D9" s="704">
        <v>-0.46490149352770443</v>
      </c>
      <c r="E9" s="705">
        <v>-0.93969263802333458</v>
      </c>
      <c r="F9" s="703">
        <v>-8.852130215629557E-2</v>
      </c>
      <c r="G9" s="706">
        <v>0.33036604714967344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1.4939793715351438E-17</v>
      </c>
      <c r="O9" s="624">
        <f t="shared" ref="O9:O40" si="3">IF(M9="","",C9)</f>
        <v>0.34330103539592266</v>
      </c>
      <c r="P9" s="625">
        <f t="shared" ref="P9:P40" si="4">IF(M9="","",D9)</f>
        <v>-0.46490149352770443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0.34330103539592266</v>
      </c>
      <c r="S9" s="626">
        <f>IF(M9="","",P9)</f>
        <v>-0.46490149352770443</v>
      </c>
      <c r="T9" s="627">
        <f>IF(M9="","",X9*COS(RADIANS(W9)))</f>
        <v>0.34325783195031823</v>
      </c>
      <c r="U9" s="624">
        <f>IF(M9="","",X9*SIN(RADIANS(W9)))</f>
        <v>5.4462563912880775E-3</v>
      </c>
      <c r="V9" s="628">
        <f>IF(M9="","",Y9)</f>
        <v>-0.46490149352770443</v>
      </c>
      <c r="W9" s="583">
        <f t="shared" ref="W9:W14" si="5">IF(M9="","",IF(Q9-$Q$8&lt;0,360+Q9-$Q$8,Q9-$Q$8))</f>
        <v>0.90899986875665206</v>
      </c>
      <c r="X9" s="629">
        <f>IF(M9="","",R9)</f>
        <v>0.34330103539592266</v>
      </c>
      <c r="Y9" s="630">
        <f>IF(M9="","",S9)</f>
        <v>-0.46490149352770443</v>
      </c>
      <c r="Z9" s="623">
        <f t="shared" ref="Z9:Z40" si="6">IF(M9="","",-E9)</f>
        <v>0.93969263802333458</v>
      </c>
      <c r="AA9" s="624">
        <f t="shared" ref="AA9:AA40" si="7">IF(M9="","",-F9)</f>
        <v>8.852130215629557E-2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8.852130215629557E-2</v>
      </c>
      <c r="AF9" s="625">
        <f>IF(M9="","",AB9*(1/SQRT(Z9^2+AA9^2+AB9^2)))</f>
        <v>-0.33036604714967344</v>
      </c>
      <c r="AG9" s="599">
        <f>IF(M9="","",DEGREES(ATAN2(-AF9,AE9)))</f>
        <v>14.999997834268262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8.852130215629557E-2</v>
      </c>
      <c r="AM9" s="626">
        <f>IF(M9="","",AF9)</f>
        <v>-0.33036604714967344</v>
      </c>
      <c r="AN9" s="581">
        <f>IF(M9="","",DEGREES(ATAN2(-AM9,AL9)))</f>
        <v>14.999997834268262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5.3815187622394784</v>
      </c>
      <c r="AQ9" s="584">
        <f t="shared" ref="AQ9:AQ40" si="9">IF(M9="","",DEGREES(ATAN(($AS$5*SIN(RADIANS(90)))/(($X9*2*PI())-($AS$5*COS(RADIANS(90)))))))</f>
        <v>6.6111083349681135</v>
      </c>
      <c r="AS9" s="51">
        <f>IF(M9="","",W9)</f>
        <v>0.90899986875665206</v>
      </c>
      <c r="AT9" s="71">
        <f t="shared" ref="AT9:AT40" si="10">IF(M9="","",Y9+(((AS9-$AS$9)*$AS$6)*-1))</f>
        <v>-0.46490149352770443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-2.1342562450502056E-18</v>
      </c>
      <c r="C10" s="708">
        <v>1.0693032250185268</v>
      </c>
      <c r="D10" s="709">
        <v>-0.27040090691393531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-2.1342562450502056E-18</v>
      </c>
      <c r="O10" s="629">
        <f t="shared" si="3"/>
        <v>1.0693032250185268</v>
      </c>
      <c r="P10" s="633">
        <f t="shared" si="4"/>
        <v>-0.27040090691393531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1.0693032250185268</v>
      </c>
      <c r="S10" s="634">
        <f t="shared" ref="S10:S105" si="80">IF(M10="","",P10)</f>
        <v>-0.27040090691393531</v>
      </c>
      <c r="T10" s="635">
        <f t="shared" ref="T10:T105" si="81">IF(M10="","",X10*COS(RADIANS(W10)))</f>
        <v>1.0691686562903449</v>
      </c>
      <c r="U10" s="629">
        <f t="shared" ref="U10:U105" si="82">IF(M10="","",X10*SIN(RADIANS(W10)))</f>
        <v>1.6963827437239568E-2</v>
      </c>
      <c r="V10" s="636">
        <f>IF(M10="","",Y10)</f>
        <v>-0.27040090691393531</v>
      </c>
      <c r="W10" s="585">
        <f t="shared" si="5"/>
        <v>0.90899986875665206</v>
      </c>
      <c r="X10" s="629">
        <f t="shared" ref="X10:X105" si="83">IF(M10="","",R10)</f>
        <v>1.0693032250185268</v>
      </c>
      <c r="Y10" s="630">
        <f>IF(M10="","",S10)</f>
        <v>-0.27040090691393531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2.1309908135242601</v>
      </c>
      <c r="AS10" s="52">
        <f>IF($M10="","",IF(AND($W10&lt;($AS$9+180),$W10&gt;($AS$9-180)),$W10,IF($W10&gt;($AS$9+180),$W10-360,IF($W10&lt;($AS$9-180),$W10+360,"Error"))))</f>
        <v>0.90899986875665206</v>
      </c>
      <c r="AT10" s="72">
        <f t="shared" si="10"/>
        <v>-0.27040090691393531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-8.5370249802008226E-18</v>
      </c>
      <c r="C11" s="708">
        <v>1.794305411625122</v>
      </c>
      <c r="D11" s="709">
        <v>-7.6200321204968724E-2</v>
      </c>
      <c r="E11" s="710">
        <v>-0.96592582628906831</v>
      </c>
      <c r="F11" s="708">
        <v>-4.4943455527547763E-2</v>
      </c>
      <c r="G11" s="711">
        <v>0.25488700224417882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-8.5370249802008226E-18</v>
      </c>
      <c r="O11" s="629">
        <f t="shared" si="3"/>
        <v>1.794305411625122</v>
      </c>
      <c r="P11" s="633">
        <f t="shared" si="4"/>
        <v>-7.6200321204968724E-2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1.794305411625122</v>
      </c>
      <c r="S11" s="634">
        <f t="shared" si="80"/>
        <v>-7.6200321204968724E-2</v>
      </c>
      <c r="T11" s="635">
        <f t="shared" si="81"/>
        <v>1.7940796034618594</v>
      </c>
      <c r="U11" s="629">
        <f t="shared" si="82"/>
        <v>2.846553406026275E-2</v>
      </c>
      <c r="V11" s="636">
        <f t="shared" ref="V11:V105" si="114">IF(M11="","",Y11)</f>
        <v>-7.6200321204968724E-2</v>
      </c>
      <c r="W11" s="585">
        <f t="shared" si="5"/>
        <v>0.90899986875665206</v>
      </c>
      <c r="X11" s="629">
        <f>IF(M11="","",R11)</f>
        <v>1.794305411625122</v>
      </c>
      <c r="Y11" s="630">
        <f>IF(M11="","",S11)</f>
        <v>-7.6200321204968724E-2</v>
      </c>
      <c r="Z11" s="632">
        <f t="shared" si="6"/>
        <v>0.96592582628906831</v>
      </c>
      <c r="AA11" s="629">
        <f t="shared" si="7"/>
        <v>4.4943455527547763E-2</v>
      </c>
      <c r="AB11" s="629">
        <f t="shared" si="8"/>
        <v>-0.25488700224417882</v>
      </c>
      <c r="AC11" s="636">
        <f t="shared" si="84"/>
        <v>1</v>
      </c>
      <c r="AD11" s="637">
        <f t="shared" ref="AD11:AD105" si="115">IF(M11="","",Z11*(1/SQRT(Z11^2+AA11^2+AB11^2)))</f>
        <v>0.96592582628906831</v>
      </c>
      <c r="AE11" s="629">
        <f t="shared" si="85"/>
        <v>4.4943455527547763E-2</v>
      </c>
      <c r="AF11" s="633">
        <f t="shared" si="86"/>
        <v>-0.25488700224417882</v>
      </c>
      <c r="AG11" s="602">
        <f>IF(M11="","",DEGREES(ATAN2(-AF11,AE11)))</f>
        <v>9.9999999999999964</v>
      </c>
      <c r="AH11" s="603">
        <f t="shared" si="88"/>
        <v>14.999999999999982</v>
      </c>
      <c r="AI11" s="585">
        <f t="shared" si="89"/>
        <v>-75.233110391428809</v>
      </c>
      <c r="AJ11" s="586">
        <f t="shared" si="90"/>
        <v>92.663987616622293</v>
      </c>
      <c r="AK11" s="635">
        <f>IF(M11="","",(COS(RADIANS((90-$Q$8)-W11))*AD11)+(-SIN(RADIANS((90-$Q$8)-W11))*AE11))</f>
        <v>0.96592582628906831</v>
      </c>
      <c r="AL11" s="629">
        <f t="shared" si="91"/>
        <v>4.4943455527547763E-2</v>
      </c>
      <c r="AM11" s="634">
        <f t="shared" si="92"/>
        <v>-0.25488700224417882</v>
      </c>
      <c r="AN11" s="581">
        <f>IF(M11="","",DEGREES(ATAN2(-AM11,AL11)))</f>
        <v>9.9999999999999964</v>
      </c>
      <c r="AO11" s="582">
        <f>IF(ROUND(IF(M11="",0,DEGREES(ACOS(AK11))),4)=90,0,IF(M11="","",DEGREES(ACOS(AK11))))</f>
        <v>14.999999999999982</v>
      </c>
      <c r="AP11" s="585">
        <f t="shared" si="95"/>
        <v>2.6639876166223009</v>
      </c>
      <c r="AQ11" s="586">
        <f t="shared" si="9"/>
        <v>1.270326142181277</v>
      </c>
      <c r="AS11" s="52">
        <f t="shared" ref="AS11:AS42" si="116">IF(G11="","",IF(AND(W11&lt;(AS10+180),W11&gt;(AS10-180)),W11,IF(W11&gt;(AS10+180),W11-360,IF(W11&lt;(AS10-180),W11+360,"Error"))))</f>
        <v>0.90899986875665206</v>
      </c>
      <c r="AT11" s="72">
        <f t="shared" si="10"/>
        <v>-7.6200321204968724E-2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4.1525127014845939E-2</v>
      </c>
      <c r="C12" s="708">
        <v>2.6171784885812936</v>
      </c>
      <c r="D12" s="709">
        <v>-7.0500304013716944E-2</v>
      </c>
      <c r="E12" s="710">
        <v>-0.96101099711342941</v>
      </c>
      <c r="F12" s="708">
        <v>0.1360338541838359</v>
      </c>
      <c r="G12" s="711">
        <v>0.24073357460674871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4.1525127014845939E-2</v>
      </c>
      <c r="O12" s="629">
        <f t="shared" si="3"/>
        <v>2.6171784885812936</v>
      </c>
      <c r="P12" s="633">
        <f t="shared" si="4"/>
        <v>-7.0500304013716944E-2</v>
      </c>
      <c r="Q12" s="585">
        <f>IF(M12="","",IF(DEGREES(ATAN2(N12,O12))&lt;0,DEGREES(ATAN2(N12,O12))+360,IF(DEGREES(ATAN2(N12,O12))&gt;360,DEGREES(ATAN2(N12,O12))-360,DEGREES(ATAN2(N12,O12)))))</f>
        <v>89.091000131243348</v>
      </c>
      <c r="R12" s="629">
        <f t="shared" si="79"/>
        <v>2.6175078944038095</v>
      </c>
      <c r="S12" s="634">
        <f t="shared" si="80"/>
        <v>-7.0500304013716944E-2</v>
      </c>
      <c r="T12" s="635">
        <f>IF(M12="","",X12*COS(RADIANS(W12)))</f>
        <v>2.6175078944038095</v>
      </c>
      <c r="U12" s="629">
        <f t="shared" si="82"/>
        <v>0</v>
      </c>
      <c r="V12" s="636">
        <f t="shared" si="114"/>
        <v>-7.0500304013716944E-2</v>
      </c>
      <c r="W12" s="585">
        <f>IF(M12="","",IF(Q12-$Q$8&lt;0,360+Q12-$Q$8,Q12-$Q$8))</f>
        <v>0</v>
      </c>
      <c r="X12" s="629">
        <f t="shared" si="83"/>
        <v>2.6175078944038095</v>
      </c>
      <c r="Y12" s="630">
        <f>IF(M12="","",S12)</f>
        <v>-7.0500304013716944E-2</v>
      </c>
      <c r="Z12" s="632">
        <f t="shared" si="6"/>
        <v>0.96101099711342941</v>
      </c>
      <c r="AA12" s="629">
        <f t="shared" si="7"/>
        <v>-0.1360338541838359</v>
      </c>
      <c r="AB12" s="629">
        <f t="shared" si="8"/>
        <v>-0.24073357460674871</v>
      </c>
      <c r="AC12" s="636">
        <f t="shared" si="84"/>
        <v>1</v>
      </c>
      <c r="AD12" s="637">
        <f t="shared" si="115"/>
        <v>0.96101099711342941</v>
      </c>
      <c r="AE12" s="629">
        <f t="shared" si="85"/>
        <v>-0.1360338541838359</v>
      </c>
      <c r="AF12" s="633">
        <f t="shared" si="86"/>
        <v>-0.24073357460674871</v>
      </c>
      <c r="AG12" s="602">
        <f t="shared" si="87"/>
        <v>-29.469945370003909</v>
      </c>
      <c r="AH12" s="603">
        <f t="shared" si="88"/>
        <v>16.05202951544311</v>
      </c>
      <c r="AI12" s="585">
        <f t="shared" si="89"/>
        <v>-76.070159437866479</v>
      </c>
      <c r="AJ12" s="586">
        <f t="shared" si="90"/>
        <v>81.943146341533208</v>
      </c>
      <c r="AK12" s="635">
        <f t="shared" ref="AK12:AK105" si="211">IF(M12="","",(COS(RADIANS((90-$Q$8)-W12))*AD12)+(-SIN(RADIANS((90-$Q$8)-W12))*AE12))</f>
        <v>0.96304814873644928</v>
      </c>
      <c r="AL12" s="629">
        <f>IF(M12="","",(SIN(RADIANS((90-$Q$8)-W12))*AD12)+(COS(RADIANS((90-$Q$8)-W12))*AE12))</f>
        <v>-0.1207708958000845</v>
      </c>
      <c r="AM12" s="634">
        <f t="shared" si="92"/>
        <v>-0.24073357460674871</v>
      </c>
      <c r="AN12" s="581">
        <f>IF(M12="","",DEGREES(ATAN2(-AM12,AL12)))</f>
        <v>-26.641943354908527</v>
      </c>
      <c r="AO12" s="582">
        <f t="shared" si="94"/>
        <v>15.624359248728833</v>
      </c>
      <c r="AP12" s="585">
        <f t="shared" si="95"/>
        <v>-7.1478537897101457</v>
      </c>
      <c r="AQ12" s="586">
        <f t="shared" si="9"/>
        <v>0.87088603198982373</v>
      </c>
      <c r="AS12" s="52">
        <f t="shared" si="116"/>
        <v>0</v>
      </c>
      <c r="AT12" s="72">
        <f>IF(M12="","",Y12+(((AS12-$AS$9)*$AS$6)*-1))</f>
        <v>-6.9869054104858164E-2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0.1091638821707743</v>
      </c>
      <c r="C13" s="708">
        <v>3.283095543207676</v>
      </c>
      <c r="D13" s="709">
        <v>-0.49440158249997229</v>
      </c>
      <c r="E13" s="710">
        <v>-0.93948851336091654</v>
      </c>
      <c r="F13" s="708">
        <v>0.29625628196016235</v>
      </c>
      <c r="G13" s="711">
        <v>0.17202775549903504</v>
      </c>
      <c r="H13" s="710">
        <v>0.314</v>
      </c>
      <c r="I13" s="708">
        <v>0.52</v>
      </c>
      <c r="J13" s="570">
        <v>1.119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1.119</v>
      </c>
      <c r="N13" s="632">
        <f t="shared" si="2"/>
        <v>0.1091638821707743</v>
      </c>
      <c r="O13" s="629">
        <f t="shared" si="3"/>
        <v>3.283095543207676</v>
      </c>
      <c r="P13" s="633">
        <f t="shared" si="4"/>
        <v>-0.49440158249997229</v>
      </c>
      <c r="Q13" s="585">
        <f t="shared" si="113"/>
        <v>88.095600274961299</v>
      </c>
      <c r="R13" s="629">
        <f t="shared" si="79"/>
        <v>3.2849099072882808</v>
      </c>
      <c r="S13" s="634">
        <f t="shared" si="80"/>
        <v>-0.49440158249997229</v>
      </c>
      <c r="T13" s="635">
        <f>IF(M13="","",X13*COS(RADIANS(W13)))</f>
        <v>3.2844141918704546</v>
      </c>
      <c r="U13" s="629">
        <f t="shared" si="82"/>
        <v>-5.7065885086021985E-2</v>
      </c>
      <c r="V13" s="636">
        <f t="shared" si="114"/>
        <v>-0.49440158249997229</v>
      </c>
      <c r="W13" s="585">
        <f t="shared" si="5"/>
        <v>359.00460014371794</v>
      </c>
      <c r="X13" s="629">
        <f t="shared" si="83"/>
        <v>3.2849099072882808</v>
      </c>
      <c r="Y13" s="630">
        <f>IF(M13="","",S13)</f>
        <v>-0.49440158249997229</v>
      </c>
      <c r="Z13" s="632">
        <f t="shared" si="6"/>
        <v>0.93948851336091654</v>
      </c>
      <c r="AA13" s="629">
        <f t="shared" si="7"/>
        <v>-0.29625628196016235</v>
      </c>
      <c r="AB13" s="629">
        <f t="shared" si="8"/>
        <v>-0.17202775549903504</v>
      </c>
      <c r="AC13" s="636">
        <f t="shared" si="84"/>
        <v>1</v>
      </c>
      <c r="AD13" s="637">
        <f>IF(M13="","",Z13*(1/SQRT(Z13^2+AA13^2+AB13^2)))</f>
        <v>0.93948851336091654</v>
      </c>
      <c r="AE13" s="629">
        <f t="shared" si="85"/>
        <v>-0.29625628196016235</v>
      </c>
      <c r="AF13" s="633">
        <f t="shared" si="86"/>
        <v>-0.17202775549903504</v>
      </c>
      <c r="AG13" s="602">
        <f>IF(M13="","",DEGREES(ATAN2(-AF13,AE13)))</f>
        <v>-59.857460431431988</v>
      </c>
      <c r="AH13" s="603">
        <f t="shared" si="88"/>
        <v>20.034164429803777</v>
      </c>
      <c r="AI13" s="585">
        <f t="shared" si="89"/>
        <v>-80.094261979893844</v>
      </c>
      <c r="AJ13" s="586">
        <f t="shared" si="90"/>
        <v>72.497964687316539</v>
      </c>
      <c r="AK13" s="635">
        <f t="shared" si="211"/>
        <v>0.9488147696382947</v>
      </c>
      <c r="AL13" s="629">
        <f t="shared" si="91"/>
        <v>-0.26487163731550051</v>
      </c>
      <c r="AM13" s="634">
        <f t="shared" si="92"/>
        <v>-0.17202775549903504</v>
      </c>
      <c r="AN13" s="581">
        <f t="shared" si="93"/>
        <v>-56.997245726506655</v>
      </c>
      <c r="AO13" s="582">
        <f t="shared" si="94"/>
        <v>18.411113247366341</v>
      </c>
      <c r="AP13" s="585">
        <f t="shared" si="95"/>
        <v>-15.597635587644715</v>
      </c>
      <c r="AQ13" s="586">
        <f t="shared" si="9"/>
        <v>0.69396580617805226</v>
      </c>
      <c r="AS13" s="52">
        <f t="shared" si="116"/>
        <v>-0.99539985628206296</v>
      </c>
      <c r="AT13" s="72">
        <f t="shared" si="10"/>
        <v>-0.4930790826909176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0.15588234920333313</v>
      </c>
      <c r="C14" s="708">
        <v>3.6207569275582907</v>
      </c>
      <c r="D14" s="709">
        <v>-1.1885036759118863</v>
      </c>
      <c r="E14" s="710">
        <v>-0.87691222519662104</v>
      </c>
      <c r="F14" s="708">
        <v>0.46662143319308103</v>
      </c>
      <c r="G14" s="711">
        <v>0.11527960524544598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0.15588234920333313</v>
      </c>
      <c r="O14" s="629">
        <f t="shared" si="3"/>
        <v>3.6207569275582907</v>
      </c>
      <c r="P14" s="633">
        <f t="shared" si="4"/>
        <v>-1.1885036759118863</v>
      </c>
      <c r="Q14" s="585">
        <f t="shared" si="113"/>
        <v>87.534800355930798</v>
      </c>
      <c r="R14" s="629">
        <f t="shared" si="79"/>
        <v>3.6241109303185661</v>
      </c>
      <c r="S14" s="634">
        <f t="shared" si="80"/>
        <v>-1.1885036759118863</v>
      </c>
      <c r="T14" s="635">
        <f t="shared" si="81"/>
        <v>3.6227742417935134</v>
      </c>
      <c r="U14" s="629">
        <f t="shared" si="82"/>
        <v>-9.8421685882409293E-2</v>
      </c>
      <c r="V14" s="636">
        <f t="shared" si="114"/>
        <v>-1.1885036759118863</v>
      </c>
      <c r="W14" s="585">
        <f t="shared" si="5"/>
        <v>358.44380022468744</v>
      </c>
      <c r="X14" s="629">
        <f t="shared" si="83"/>
        <v>3.6241109303185661</v>
      </c>
      <c r="Y14" s="630">
        <f t="shared" ref="Y14:Y75" si="223">IF(M14="","",S14)</f>
        <v>-1.1885036759118863</v>
      </c>
      <c r="Z14" s="632">
        <f t="shared" si="6"/>
        <v>0.87691222519662104</v>
      </c>
      <c r="AA14" s="629">
        <f t="shared" si="7"/>
        <v>-0.46662143319308103</v>
      </c>
      <c r="AB14" s="629">
        <f t="shared" si="8"/>
        <v>-0.11527960524544598</v>
      </c>
      <c r="AC14" s="636">
        <f t="shared" si="84"/>
        <v>1</v>
      </c>
      <c r="AD14" s="637">
        <f>IF(M14="","",Z14*(1/SQRT(Z14^2+AA14^2+AB14^2)))</f>
        <v>0.87691222519662104</v>
      </c>
      <c r="AE14" s="629">
        <f t="shared" si="85"/>
        <v>-0.46662143319308103</v>
      </c>
      <c r="AF14" s="633">
        <f t="shared" si="86"/>
        <v>-0.11527960524544598</v>
      </c>
      <c r="AG14" s="602">
        <f t="shared" si="87"/>
        <v>-76.122856380008812</v>
      </c>
      <c r="AH14" s="603">
        <f t="shared" si="88"/>
        <v>28.727898951018702</v>
      </c>
      <c r="AI14" s="585">
        <f t="shared" si="89"/>
        <v>-83.380247491774099</v>
      </c>
      <c r="AJ14" s="586">
        <f t="shared" si="90"/>
        <v>61.981720040500136</v>
      </c>
      <c r="AK14" s="635">
        <f>IF(M14="","",(COS(RADIANS((90-$Q$8)-W14))*AD14)+(-SIN(RADIANS((90-$Q$8)-W14))*AE14))</f>
        <v>0.89617126017455984</v>
      </c>
      <c r="AL14" s="629">
        <f t="shared" si="91"/>
        <v>-0.42847133515743596</v>
      </c>
      <c r="AM14" s="634">
        <f t="shared" si="92"/>
        <v>-0.11527960524544598</v>
      </c>
      <c r="AN14" s="581">
        <f t="shared" si="93"/>
        <v>-74.941245330664401</v>
      </c>
      <c r="AO14" s="582">
        <f t="shared" si="94"/>
        <v>26.340726971777592</v>
      </c>
      <c r="AP14" s="585">
        <f>IF(M14="","",DEGREES(ATAN2(AK14,AL14)))</f>
        <v>-25.553080315430641</v>
      </c>
      <c r="AQ14" s="586">
        <f t="shared" si="9"/>
        <v>0.62901911280228429</v>
      </c>
      <c r="AS14" s="52">
        <f t="shared" si="116"/>
        <v>-1.5561997753125638</v>
      </c>
      <c r="AT14" s="72">
        <f t="shared" si="10"/>
        <v>-1.1867917317146159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0.16481988122623625</v>
      </c>
      <c r="C15" s="708">
        <v>3.6792100788210416</v>
      </c>
      <c r="D15" s="709">
        <v>-1.9736999999999998</v>
      </c>
      <c r="E15" s="710">
        <v>-0.84278135614737548</v>
      </c>
      <c r="F15" s="708">
        <v>0.5382560596318241</v>
      </c>
      <c r="G15" s="711">
        <v>1.1339744831728188E-7</v>
      </c>
      <c r="H15" s="710">
        <v>0.314</v>
      </c>
      <c r="I15" s="708">
        <v>0.52</v>
      </c>
      <c r="J15" s="570">
        <v>1.131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 t="str">
        <f>IF($L14=$JH$22,$JH$29,IF($L14=$JI$22,$JI$29,""))</f>
        <v/>
      </c>
      <c r="M15" s="168">
        <f t="shared" si="1"/>
        <v>1.131</v>
      </c>
      <c r="N15" s="632">
        <f t="shared" si="2"/>
        <v>0.16481988122623625</v>
      </c>
      <c r="O15" s="629">
        <f t="shared" si="3"/>
        <v>3.6792100788210416</v>
      </c>
      <c r="P15" s="633">
        <f t="shared" si="4"/>
        <v>-1.9736999999999998</v>
      </c>
      <c r="Q15" s="585">
        <f t="shared" si="113"/>
        <v>87.43499995370766</v>
      </c>
      <c r="R15" s="629">
        <f t="shared" si="79"/>
        <v>3.6828999982820285</v>
      </c>
      <c r="S15" s="634">
        <f t="shared" si="80"/>
        <v>-1.9736999999999998</v>
      </c>
      <c r="T15" s="635">
        <f t="shared" si="81"/>
        <v>3.6813618252560039</v>
      </c>
      <c r="U15" s="629">
        <f t="shared" si="82"/>
        <v>-0.10643077042635897</v>
      </c>
      <c r="V15" s="636">
        <f t="shared" si="114"/>
        <v>-1.9736999999999998</v>
      </c>
      <c r="W15" s="585">
        <f t="shared" ref="W15:W78" si="224">IF(M15="","",IF(Q15-$Q$8&lt;0,360+Q15-$Q$8,Q15-$Q$8))</f>
        <v>358.34399982246435</v>
      </c>
      <c r="X15" s="629">
        <f>IF(M15="","",R15)</f>
        <v>3.6828999982820285</v>
      </c>
      <c r="Y15" s="630">
        <f>IF(M15="","",S15)</f>
        <v>-1.9736999999999998</v>
      </c>
      <c r="Z15" s="632">
        <f t="shared" si="6"/>
        <v>0.84278135614737548</v>
      </c>
      <c r="AA15" s="629">
        <f t="shared" si="7"/>
        <v>-0.5382560596318241</v>
      </c>
      <c r="AB15" s="629">
        <f t="shared" si="8"/>
        <v>-1.1339744831728188E-7</v>
      </c>
      <c r="AC15" s="636">
        <f t="shared" si="84"/>
        <v>1</v>
      </c>
      <c r="AD15" s="637">
        <f t="shared" si="115"/>
        <v>0.84278135614737548</v>
      </c>
      <c r="AE15" s="629">
        <f t="shared" si="85"/>
        <v>-0.5382560596318241</v>
      </c>
      <c r="AF15" s="633">
        <f t="shared" si="86"/>
        <v>-1.1339744831728188E-7</v>
      </c>
      <c r="AG15" s="602">
        <f t="shared" si="87"/>
        <v>-89.999987929174083</v>
      </c>
      <c r="AH15" s="603">
        <f t="shared" si="88"/>
        <v>32.564999999999934</v>
      </c>
      <c r="AI15" s="585">
        <f t="shared" si="89"/>
        <v>-89.999993502804799</v>
      </c>
      <c r="AJ15" s="586">
        <f t="shared" si="90"/>
        <v>57.435000000000642</v>
      </c>
      <c r="AK15" s="635">
        <f t="shared" si="211"/>
        <v>0.86602540418841534</v>
      </c>
      <c r="AL15" s="629">
        <f t="shared" si="91"/>
        <v>-0.499999999300279</v>
      </c>
      <c r="AM15" s="634">
        <f t="shared" si="92"/>
        <v>-1.1339744831728188E-7</v>
      </c>
      <c r="AN15" s="581">
        <f>IF(M15="","",DEGREES(ATAN2(-AM15,AL15)))</f>
        <v>-89.999987005609597</v>
      </c>
      <c r="AO15" s="582">
        <f t="shared" si="94"/>
        <v>29.999999953707679</v>
      </c>
      <c r="AP15" s="585">
        <f t="shared" si="95"/>
        <v>-29.99999995370705</v>
      </c>
      <c r="AQ15" s="586">
        <f t="shared" si="9"/>
        <v>0.61897905011094345</v>
      </c>
      <c r="AS15" s="52">
        <f t="shared" si="116"/>
        <v>-1.6560001775356454</v>
      </c>
      <c r="AT15" s="72">
        <f t="shared" si="10"/>
        <v>-1.9719187499678523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1.2415251648704937</v>
      </c>
      <c r="C16" s="708">
        <v>3.0605721603341389</v>
      </c>
      <c r="D16" s="709">
        <v>-0.54549057924672018</v>
      </c>
      <c r="E16" s="710">
        <v>0.20856644909207128</v>
      </c>
      <c r="F16" s="708">
        <v>0.51415201699719626</v>
      </c>
      <c r="G16" s="711">
        <v>0.83195416924902743</v>
      </c>
      <c r="H16" s="710">
        <v>0.25700000000000001</v>
      </c>
      <c r="I16" s="708">
        <v>0.41499999999999992</v>
      </c>
      <c r="J16" s="570">
        <v>1.2190000000000001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CPS-32193r1</v>
      </c>
      <c r="L16" s="320"/>
      <c r="M16" s="168">
        <f t="shared" si="1"/>
        <v>1.2190000000000001</v>
      </c>
      <c r="N16" s="632">
        <f t="shared" si="2"/>
        <v>1.2415251648704937</v>
      </c>
      <c r="O16" s="629">
        <f t="shared" si="3"/>
        <v>3.0605721603341389</v>
      </c>
      <c r="P16" s="633">
        <f t="shared" si="4"/>
        <v>-0.54549057924672018</v>
      </c>
      <c r="Q16" s="585">
        <f>IF(M16="","",IF(DEGREES(ATAN2(N16,O16))&lt;0,DEGREES(ATAN2(N16,O16))+360,IF(DEGREES(ATAN2(N16,O16))&gt;360,DEGREES(ATAN2(N16,O16))-360,DEGREES(ATAN2(N16,O16)))))</f>
        <v>67.92</v>
      </c>
      <c r="R16" s="629">
        <f t="shared" si="79"/>
        <v>3.302799824939302</v>
      </c>
      <c r="S16" s="634">
        <f t="shared" si="80"/>
        <v>-0.54549057924672018</v>
      </c>
      <c r="T16" s="635">
        <f t="shared" si="81"/>
        <v>3.0798830170393274</v>
      </c>
      <c r="U16" s="629">
        <f t="shared" si="82"/>
        <v>-1.1928148577930333</v>
      </c>
      <c r="V16" s="636">
        <f t="shared" si="114"/>
        <v>-0.54549057924672018</v>
      </c>
      <c r="W16" s="585">
        <f>IF(M16="","",IF(Q16-$Q$8&lt;0,360+Q16-$Q$8,Q16-$Q$8))</f>
        <v>338.82899986875668</v>
      </c>
      <c r="X16" s="629">
        <f t="shared" si="83"/>
        <v>3.302799824939302</v>
      </c>
      <c r="Y16" s="630">
        <f t="shared" si="223"/>
        <v>-0.54549057924672018</v>
      </c>
      <c r="Z16" s="632">
        <f t="shared" si="6"/>
        <v>-0.20856644909207128</v>
      </c>
      <c r="AA16" s="629">
        <f t="shared" si="7"/>
        <v>-0.51415201699719626</v>
      </c>
      <c r="AB16" s="629">
        <f t="shared" si="8"/>
        <v>-0.83195416924902743</v>
      </c>
      <c r="AC16" s="636">
        <f t="shared" si="84"/>
        <v>1</v>
      </c>
      <c r="AD16" s="637">
        <f t="shared" si="115"/>
        <v>-0.20856644909207128</v>
      </c>
      <c r="AE16" s="629">
        <f t="shared" si="85"/>
        <v>-0.51415201699719626</v>
      </c>
      <c r="AF16" s="633">
        <f t="shared" si="86"/>
        <v>-0.83195416924902743</v>
      </c>
      <c r="AG16" s="602">
        <f t="shared" si="87"/>
        <v>-31.716281535227179</v>
      </c>
      <c r="AH16" s="603">
        <f t="shared" si="88"/>
        <v>102.03835572231336</v>
      </c>
      <c r="AI16" s="585">
        <f t="shared" si="89"/>
        <v>-33.699995134322705</v>
      </c>
      <c r="AJ16" s="586">
        <f t="shared" si="90"/>
        <v>-22.079999999999991</v>
      </c>
      <c r="AK16" s="635">
        <f t="shared" si="211"/>
        <v>2.2204460492503131E-16</v>
      </c>
      <c r="AL16" s="629">
        <f t="shared" si="91"/>
        <v>-0.55484435679671529</v>
      </c>
      <c r="AM16" s="634">
        <f t="shared" si="92"/>
        <v>-0.83195416924902743</v>
      </c>
      <c r="AN16" s="581">
        <f t="shared" si="93"/>
        <v>-33.699995134322712</v>
      </c>
      <c r="AO16" s="582">
        <f t="shared" si="94"/>
        <v>0</v>
      </c>
      <c r="AP16" s="585">
        <f t="shared" si="95"/>
        <v>-89.999999999999972</v>
      </c>
      <c r="AQ16" s="586">
        <f t="shared" si="9"/>
        <v>0.69020724148252843</v>
      </c>
      <c r="AS16" s="52">
        <f t="shared" si="116"/>
        <v>-21.171000131243318</v>
      </c>
      <c r="AT16" s="72">
        <f t="shared" si="10"/>
        <v>-0.53015724591338687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1.2190000000000001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1.119</v>
      </c>
      <c r="II16" s="734" cm="1">
        <f t="array" ref="II16">IFERROR(ROUND(VALUE(IF($IH16&lt;1,$IH16+LARGE((IF($M$9:$M$150="",0,$M$9:$M$150)-MOD(IF($M$9:$M$150="",0,$M$9:$M$150),1)),1),$IH16)),4),"")</f>
        <v>1.119</v>
      </c>
      <c r="IJ16" s="533">
        <f t="shared" si="112"/>
        <v>1613</v>
      </c>
      <c r="IK16" s="533" t="str">
        <f t="shared" si="66"/>
        <v>CPS-32193r1</v>
      </c>
      <c r="IL16" s="727">
        <f>IF(ISNUMBER($II16),IFERROR(IF(INDEX($W$9:$W$150,MATCH($II16,$M$9:$M$150,0))&lt;$W16,((INDEX($W$9:$W$150,MATCH($II16,$M$9:$M$150,0))+360)-$W16),INDEX($W$9:$W$150,MATCH($II16,$M$9:$M$150,0))-$W16),""),"")</f>
        <v>20.175600274961255</v>
      </c>
      <c r="IM16" s="759">
        <v>2.3839451488581999E-2</v>
      </c>
      <c r="IN16" s="5">
        <f>IF(ISNUMBER($II16),(($IO16*12)/60)/$AS$3,"")</f>
        <v>1.6</v>
      </c>
      <c r="IO16" s="771">
        <v>800</v>
      </c>
      <c r="IP16" s="9">
        <f>IF(ISNUMBER($II16),(INDEX($X$9:$X$150,MATCH($II16,$M$9:$M$150,0))*-1),"")</f>
        <v>-3.2849099072882808</v>
      </c>
      <c r="IQ16" s="5">
        <f>IF(ISNUMBER($II16),INDEX($Y$9:$Y$150,MATCH($II16,$M$9:$M$150,0)),"")</f>
        <v>-0.49440158249997229</v>
      </c>
      <c r="IR16" s="5">
        <f t="shared" si="71"/>
        <v>0.314</v>
      </c>
      <c r="IS16" s="5">
        <f>IF(ISNUMBER($II16),$IR16*COS(RADIANS(INDEX($AO$9:$AO$150,MATCH($II16,$M$9:$M$150,0)))),"")</f>
        <v>0.29792783766642456</v>
      </c>
      <c r="IT16" s="727">
        <f>IF(ISNUMBER($II16),(-1*INDEX($AN$9:$AN$150,MATCH($II16,$M$9:$M$150,0))),"")</f>
        <v>56.997245726506655</v>
      </c>
      <c r="IU16" s="9">
        <f>IF(ISNUMBER($II16),-$X16,"")</f>
        <v>-3.302799824939302</v>
      </c>
      <c r="IV16" s="5">
        <f>IF(ISNUMBER($II16),$Y16,"")</f>
        <v>-0.54549057924672018</v>
      </c>
      <c r="IW16" s="5">
        <f t="shared" si="76"/>
        <v>0.25700000000000001</v>
      </c>
      <c r="IX16" s="5">
        <f>IF(ISNUMBER($II16),$IW16*COS(RADIANS($AO16)),"")</f>
        <v>0.25700000000000001</v>
      </c>
      <c r="IY16" s="762">
        <f>IF(ISNUMBER($II16),(-1*$AN16),"")</f>
        <v>33.699995134322712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1.2978734143497739</v>
      </c>
      <c r="C17" s="708">
        <v>3.3793128125931147</v>
      </c>
      <c r="D17" s="709">
        <v>-1.2355732367555972</v>
      </c>
      <c r="E17" s="710">
        <v>0.29476379014712173</v>
      </c>
      <c r="F17" s="708">
        <v>0.76748615738519144</v>
      </c>
      <c r="G17" s="711">
        <v>0.56927963799895109</v>
      </c>
      <c r="H17" s="710">
        <v>0.25700000000000001</v>
      </c>
      <c r="I17" s="708">
        <v>0.41499999999999992</v>
      </c>
      <c r="J17" s="570">
        <v>1.2250000000000001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CPS-32193r1</v>
      </c>
      <c r="M17" s="168">
        <f t="shared" si="1"/>
        <v>1.2250000000000001</v>
      </c>
      <c r="N17" s="632">
        <f t="shared" si="2"/>
        <v>1.2978734143497739</v>
      </c>
      <c r="O17" s="629">
        <f t="shared" si="3"/>
        <v>3.3793128125931147</v>
      </c>
      <c r="P17" s="633">
        <f t="shared" si="4"/>
        <v>-1.2355732367555972</v>
      </c>
      <c r="Q17" s="585">
        <f>IF(M17="","",IF(DEGREES(ATAN2(N17,O17))&lt;0,DEGREES(ATAN2(N17,O17))+360,IF(DEGREES(ATAN2(N17,O17))&gt;360,DEGREES(ATAN2(N17,O17))-360,DEGREES(ATAN2(N17,O17)))))</f>
        <v>68.989999887823942</v>
      </c>
      <c r="R17" s="629">
        <f>IF(M17="","",SQRT(N17^2+O17^2))</f>
        <v>3.619976586254658</v>
      </c>
      <c r="S17" s="634">
        <f>IF(M17="","",P17)</f>
        <v>-1.2355732367555972</v>
      </c>
      <c r="T17" s="635">
        <f>IF(M17="","",X17*COS(RADIANS(W17)))</f>
        <v>3.3994774864710209</v>
      </c>
      <c r="U17" s="629">
        <f>IF(M17="","",X17*SIN(RADIANS(W17)))</f>
        <v>-1.2440993947464958</v>
      </c>
      <c r="V17" s="636">
        <f>IF(M17="","",Y17)</f>
        <v>-1.2355732367555972</v>
      </c>
      <c r="W17" s="585">
        <f t="shared" si="224"/>
        <v>339.89899975658062</v>
      </c>
      <c r="X17" s="629">
        <f>IF(M17="","",R17)</f>
        <v>3.619976586254658</v>
      </c>
      <c r="Y17" s="630">
        <f t="shared" si="223"/>
        <v>-1.2355732367555972</v>
      </c>
      <c r="Z17" s="632">
        <f t="shared" si="6"/>
        <v>-0.29476379014712173</v>
      </c>
      <c r="AA17" s="629">
        <f t="shared" si="7"/>
        <v>-0.76748615738519144</v>
      </c>
      <c r="AB17" s="629">
        <f t="shared" si="8"/>
        <v>-0.56927963799895109</v>
      </c>
      <c r="AC17" s="636">
        <f>IF(M17="","",SQRT(Z17^2+AA17^2+AB17^2))</f>
        <v>1</v>
      </c>
      <c r="AD17" s="637">
        <f>IF(M17="","",Z17*(1/SQRT(Z17^2+AA17^2+AB17^2)))</f>
        <v>-0.29476379014712173</v>
      </c>
      <c r="AE17" s="629">
        <f>IF(M17="","",AA17*(1/SQRT(Z17^2+AA17^2+AB17^2)))</f>
        <v>-0.76748615738519144</v>
      </c>
      <c r="AF17" s="633">
        <f>IF(M17="","",AB17*(1/SQRT(Z17^2+AA17^2+AB17^2)))</f>
        <v>-0.56927963799895109</v>
      </c>
      <c r="AG17" s="602">
        <f>IF(M17="","",DEGREES(ATAN2(-AF17,AE17)))</f>
        <v>-53.433979005751745</v>
      </c>
      <c r="AH17" s="603">
        <f>IF(M17="","",DEGREES(ACOS(AD17)))</f>
        <v>107.14337373981986</v>
      </c>
      <c r="AI17" s="585">
        <f>IF(M17="","",DEGREES(-ACOS(-AF17)))</f>
        <v>-55.299992015670028</v>
      </c>
      <c r="AJ17" s="586">
        <f>IF(M17="","",DEGREES(ATAN2(-AE17,AD17)))</f>
        <v>-21.009984194507293</v>
      </c>
      <c r="AK17" s="635">
        <f>IF(M17="","",(COS(RADIANS((90-$Q$8)-W17))*AD17)+(-SIN(RADIANS((90-$Q$8)-W17))*AE17))</f>
        <v>2.2840452418293467E-7</v>
      </c>
      <c r="AL17" s="629">
        <f>IF(M17="","",(SIN(RADIANS((90-$Q$8)-W17))*AD17)+(COS(RADIANS((90-$Q$8)-W17))*AE17))</f>
        <v>-0.82214396169997572</v>
      </c>
      <c r="AM17" s="634">
        <f>IF(M17="","",AF17)</f>
        <v>-0.56927963799895109</v>
      </c>
      <c r="AN17" s="581">
        <f>IF(M17="","",DEGREES(ATAN2(-AM17,AL17)))</f>
        <v>-55.299992015668998</v>
      </c>
      <c r="AO17" s="582">
        <f t="shared" si="94"/>
        <v>0</v>
      </c>
      <c r="AP17" s="585">
        <f>IF(M17="","",DEGREES(ATAN2(AK17,AL17)))</f>
        <v>-89.999984082331238</v>
      </c>
      <c r="AQ17" s="586">
        <f t="shared" si="9"/>
        <v>0.62973745228897682</v>
      </c>
      <c r="AS17" s="52">
        <f t="shared" si="116"/>
        <v>-20.101000243419378</v>
      </c>
      <c r="AT17" s="72">
        <f t="shared" si="10"/>
        <v>-1.2209829588999193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1.2250000000000001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1.125</v>
      </c>
      <c r="II17" s="734" cm="1">
        <f t="array" ref="II17">IFERROR(ROUND(VALUE(IF($IH17&lt;1,$IH17+LARGE((IF($M$9:$M$150="",0,$M$9:$M$150)-MOD(IF($M$9:$M$150="",0,$M$9:$M$150),1)),1),$IH17)),4),"")</f>
        <v>1.125</v>
      </c>
      <c r="IJ17" s="533">
        <f t="shared" si="112"/>
        <v>1613</v>
      </c>
      <c r="IK17" s="533" t="str">
        <f t="shared" si="66"/>
        <v>CPS-32193r1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18.544800468106814</v>
      </c>
      <c r="IM17" s="759">
        <v>2.1972739739913601E-2</v>
      </c>
      <c r="IN17" s="5">
        <f t="shared" ref="IN17:IN80" si="226">IF(ISNUMBER($II17),(($IO17*12)/60)/$AS$3,"")</f>
        <v>1.84</v>
      </c>
      <c r="IO17" s="771">
        <v>920</v>
      </c>
      <c r="IP17" s="9">
        <f t="shared" ref="IP17:IP80" si="227">IF(ISNUMBER($II17),(INDEX($X$9:$X$150,MATCH($II17,$M$9:$M$150,0))*-1),"")</f>
        <v>-3.6241109303185661</v>
      </c>
      <c r="IQ17" s="5">
        <f t="shared" ref="IQ17:IQ80" si="228">IF(ISNUMBER($II17),INDEX($Y$9:$Y$150,MATCH($II17,$M$9:$M$150,0)),"")</f>
        <v>-1.1885036759118863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0.28139777569481178</v>
      </c>
      <c r="IT17" s="727">
        <f t="shared" ref="IT17:IT80" si="230">IF(ISNUMBER($II17),(-1*INDEX($AN$9:$AN$150,MATCH($II17,$M$9:$M$150,0))),"")</f>
        <v>74.941245330664401</v>
      </c>
      <c r="IU17" s="9">
        <f t="shared" ref="IU17:IU80" si="231">IF(ISNUMBER($II17),-$X17,"")</f>
        <v>-3.619976586254658</v>
      </c>
      <c r="IV17" s="5">
        <f t="shared" ref="IV17:IV80" si="232">IF(ISNUMBER($II17),$Y17,"")</f>
        <v>-1.2355732367555972</v>
      </c>
      <c r="IW17" s="5">
        <f t="shared" si="76"/>
        <v>0.25700000000000001</v>
      </c>
      <c r="IX17" s="5">
        <f t="shared" ref="IX17:IX80" si="233">IF(ISNUMBER($II17),$IW17*COS(RADIANS($AO17)),"")</f>
        <v>0.25700000000000001</v>
      </c>
      <c r="IY17" s="762">
        <f t="shared" ref="IY17:IY80" si="234">IF(ISNUMBER($II17),(-1*$AN17),"")</f>
        <v>55.299992015668998</v>
      </c>
    </row>
    <row r="18" spans="1:269" ht="15" customHeight="1" x14ac:dyDescent="0.25">
      <c r="A18" s="79"/>
      <c r="B18" s="707">
        <v>1.3141211381450517</v>
      </c>
      <c r="C18" s="708">
        <v>3.4216175095774082</v>
      </c>
      <c r="D18" s="709">
        <v>-2.0178296842464465</v>
      </c>
      <c r="E18" s="710">
        <v>0.35853067289185636</v>
      </c>
      <c r="F18" s="708">
        <v>0.93351794658467135</v>
      </c>
      <c r="G18" s="711">
        <v>2.2679489486396887E-7</v>
      </c>
      <c r="H18" s="710">
        <v>0.25700000000000001</v>
      </c>
      <c r="I18" s="708">
        <v>0.41499999999999992</v>
      </c>
      <c r="J18" s="570">
        <v>1.2310000000000001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CPS-32193r1</v>
      </c>
      <c r="L18" s="779" t="s">
        <v>331</v>
      </c>
      <c r="M18" s="168">
        <f t="shared" si="1"/>
        <v>1.2310000000000001</v>
      </c>
      <c r="N18" s="632">
        <f t="shared" si="2"/>
        <v>1.3141211381450517</v>
      </c>
      <c r="O18" s="629">
        <f t="shared" si="3"/>
        <v>3.4216175095774082</v>
      </c>
      <c r="P18" s="633">
        <f t="shared" si="4"/>
        <v>-2.0178296842464465</v>
      </c>
      <c r="Q18" s="585">
        <f t="shared" si="113"/>
        <v>68.989999889210878</v>
      </c>
      <c r="R18" s="629">
        <f>IF(M18="","",SQRT(N18^2+O18^2))</f>
        <v>3.6652940874596065</v>
      </c>
      <c r="S18" s="634">
        <f>IF(M18="","",P18)</f>
        <v>-2.0178296842464465</v>
      </c>
      <c r="T18" s="635">
        <f>IF(M18="","",X18*COS(RADIANS(W18)))</f>
        <v>3.4420346195156624</v>
      </c>
      <c r="U18" s="629">
        <f>IF(M18="","",X18*SIN(RADIANS(W18)))</f>
        <v>-1.2596739362319198</v>
      </c>
      <c r="V18" s="636">
        <f>IF(M18="","",Y18)</f>
        <v>-2.0178296842464465</v>
      </c>
      <c r="W18" s="585">
        <f t="shared" si="224"/>
        <v>339.89899975796754</v>
      </c>
      <c r="X18" s="629">
        <f>IF(M18="","",R18)</f>
        <v>3.6652940874596065</v>
      </c>
      <c r="Y18" s="630">
        <f t="shared" si="223"/>
        <v>-2.0178296842464465</v>
      </c>
      <c r="Z18" s="632">
        <f t="shared" si="6"/>
        <v>-0.35853067289185636</v>
      </c>
      <c r="AA18" s="629">
        <f t="shared" si="7"/>
        <v>-0.93351794658467135</v>
      </c>
      <c r="AB18" s="629">
        <f t="shared" si="8"/>
        <v>-2.2679489486396887E-7</v>
      </c>
      <c r="AC18" s="636">
        <f>IF(M18="","",SQRT(Z18^2+AA18^2+AB18^2))</f>
        <v>1</v>
      </c>
      <c r="AD18" s="637">
        <f>IF(M18="","",Z18*(1/SQRT(Z18^2+AA18^2+AB18^2)))</f>
        <v>-0.35853067289185636</v>
      </c>
      <c r="AE18" s="629">
        <f>IF(M18="","",AA18*(1/SQRT(Z18^2+AA18^2+AB18^2)))</f>
        <v>-0.93351794658467135</v>
      </c>
      <c r="AF18" s="633">
        <f>IF(M18="","",AB18*(1/SQRT(Z18^2+AA18^2+AB18^2)))</f>
        <v>-2.2679489486396887E-7</v>
      </c>
      <c r="AG18" s="602">
        <f>IF(M18="","",DEGREES(ATAN2(-AF18,AE18)))</f>
        <v>-89.999986080192315</v>
      </c>
      <c r="AH18" s="603">
        <f>IF(M18="","",DEGREES(ACOS(AD18)))</f>
        <v>111.00998700560905</v>
      </c>
      <c r="AI18" s="585">
        <f>IF(M18="","",DEGREES(-ACOS(-AF18)))</f>
        <v>-89.999987005609711</v>
      </c>
      <c r="AJ18" s="586">
        <f>IF(M18="","",DEGREES(ATAN2(-AE18,AD18)))</f>
        <v>-21.009987005609609</v>
      </c>
      <c r="AK18" s="635">
        <f>IF(M18="","",(COS(RADIANS((90-$Q$8)-W18))*AD18)+(-SIN(RADIANS((90-$Q$8)-W18))*AE18))</f>
        <v>2.2872853172595242E-7</v>
      </c>
      <c r="AL18" s="629">
        <f>IF(M18="","",(SIN(RADIANS((90-$Q$8)-W18))*AD18)+(COS(RADIANS((90-$Q$8)-W18))*AE18))</f>
        <v>-0.99999999999994815</v>
      </c>
      <c r="AM18" s="634">
        <f>IF(M18="","",AF18)</f>
        <v>-2.2679489486396887E-7</v>
      </c>
      <c r="AN18" s="581">
        <f>IF(M18="","",DEGREES(ATAN2(-AM18,AL18)))</f>
        <v>-89.999987005609711</v>
      </c>
      <c r="AO18" s="582">
        <f t="shared" si="94"/>
        <v>0</v>
      </c>
      <c r="AP18" s="585">
        <f>IF(M18="","",DEGREES(ATAN2(AK18,AL18)))</f>
        <v>-89.999986894820481</v>
      </c>
      <c r="AQ18" s="586">
        <f t="shared" si="9"/>
        <v>0.62195202736419852</v>
      </c>
      <c r="AS18" s="52">
        <f t="shared" si="116"/>
        <v>-20.101000242032455</v>
      </c>
      <c r="AT18" s="72">
        <f t="shared" si="10"/>
        <v>-2.003239406391732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>Gage</v>
      </c>
      <c r="IG18" s="847">
        <f t="shared" si="210"/>
        <v>1.2310000000000001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1.131</v>
      </c>
      <c r="II18" s="734" cm="1">
        <f t="array" ref="II18">IFERROR(ROUND(VALUE(IF($IH18&lt;1,$IH18+LARGE((IF($M$9:$M$150="",0,$M$9:$M$150)-MOD(IF($M$9:$M$150="",0,$M$9:$M$150),1)),1),$IH18)),4),"")</f>
        <v>1.131</v>
      </c>
      <c r="IJ18" s="533">
        <f t="shared" si="112"/>
        <v>1613</v>
      </c>
      <c r="IK18" s="533" t="str">
        <f t="shared" si="66"/>
        <v>CPS-32193r1</v>
      </c>
      <c r="IL18" s="727">
        <f t="shared" si="225"/>
        <v>18.44500006449681</v>
      </c>
      <c r="IM18" s="759">
        <v>1.77453743832484E-2</v>
      </c>
      <c r="IN18" s="5">
        <f t="shared" si="226"/>
        <v>2.12</v>
      </c>
      <c r="IO18" s="771">
        <v>1060</v>
      </c>
      <c r="IP18" s="9">
        <f t="shared" si="227"/>
        <v>-3.6828999982820285</v>
      </c>
      <c r="IQ18" s="5">
        <f t="shared" si="228"/>
        <v>-1.9736999999999998</v>
      </c>
      <c r="IR18" s="5">
        <f t="shared" si="71"/>
        <v>0.314</v>
      </c>
      <c r="IS18" s="5">
        <f t="shared" si="229"/>
        <v>0.27193197691516241</v>
      </c>
      <c r="IT18" s="727">
        <f t="shared" si="230"/>
        <v>89.999987005609597</v>
      </c>
      <c r="IU18" s="9">
        <f t="shared" si="231"/>
        <v>-3.6652940874596065</v>
      </c>
      <c r="IV18" s="5">
        <f t="shared" si="232"/>
        <v>-2.0178296842464465</v>
      </c>
      <c r="IW18" s="5">
        <f t="shared" si="76"/>
        <v>0.25700000000000001</v>
      </c>
      <c r="IX18" s="5">
        <f t="shared" si="233"/>
        <v>0.25700000000000001</v>
      </c>
      <c r="IY18" s="762">
        <f t="shared" si="234"/>
        <v>89.999987005609711</v>
      </c>
    </row>
    <row r="19" spans="1:269" ht="15" customHeight="1" thickBot="1" x14ac:dyDescent="0.3">
      <c r="A19" s="79"/>
      <c r="B19" s="707">
        <v>2.0514231182241853</v>
      </c>
      <c r="C19" s="708">
        <v>1.39768152604278</v>
      </c>
      <c r="D19" s="709">
        <v>-3.7800205390219409E-2</v>
      </c>
      <c r="E19" s="710">
        <v>-0.45738172233859925</v>
      </c>
      <c r="F19" s="708">
        <v>0.85452443201725636</v>
      </c>
      <c r="G19" s="711">
        <v>0.24615026946189156</v>
      </c>
      <c r="H19" s="710">
        <v>0.314</v>
      </c>
      <c r="I19" s="708">
        <v>0.52</v>
      </c>
      <c r="J19" s="570">
        <v>2.1120000000000001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2.1120000000000001</v>
      </c>
      <c r="N19" s="632">
        <f t="shared" si="2"/>
        <v>2.0514231182241853</v>
      </c>
      <c r="O19" s="629">
        <f t="shared" si="3"/>
        <v>1.39768152604278</v>
      </c>
      <c r="P19" s="633">
        <f t="shared" si="4"/>
        <v>-3.7800205390219409E-2</v>
      </c>
      <c r="Q19" s="585">
        <f t="shared" si="113"/>
        <v>34.2675001057599</v>
      </c>
      <c r="R19" s="629">
        <f>IF(M19="","",SQRT(N19^2+O19^2))</f>
        <v>2.4823074866393795</v>
      </c>
      <c r="S19" s="634">
        <f>IF(M19="","",P19)</f>
        <v>-3.7800205390219409E-2</v>
      </c>
      <c r="T19" s="635">
        <f>IF(M19="","",X19*COS(RADIANS(W19)))</f>
        <v>1.4300501776498649</v>
      </c>
      <c r="U19" s="629">
        <f>IF(M19="","",X19*SIN(RADIANS(W19)))</f>
        <v>-2.0289916085655708</v>
      </c>
      <c r="V19" s="636">
        <f>IF(M19="","",Y19)</f>
        <v>-3.7800205390219409E-2</v>
      </c>
      <c r="W19" s="585">
        <f t="shared" si="224"/>
        <v>305.17649997451656</v>
      </c>
      <c r="X19" s="629">
        <f>IF(M19="","",R19)</f>
        <v>2.4823074866393795</v>
      </c>
      <c r="Y19" s="630">
        <f t="shared" si="223"/>
        <v>-3.7800205390219409E-2</v>
      </c>
      <c r="Z19" s="632">
        <f t="shared" si="6"/>
        <v>0.45738172233859925</v>
      </c>
      <c r="AA19" s="629">
        <f t="shared" si="7"/>
        <v>-0.85452443201725636</v>
      </c>
      <c r="AB19" s="629">
        <f t="shared" si="8"/>
        <v>-0.24615026946189156</v>
      </c>
      <c r="AC19" s="636">
        <f>IF(M19="","",SQRT(Z19^2+AA19^2+AB19^2))</f>
        <v>1</v>
      </c>
      <c r="AD19" s="637">
        <f>IF(M19="","",Z19*(1/SQRT(Z19^2+AA19^2+AB19^2)))</f>
        <v>0.45738172233859925</v>
      </c>
      <c r="AE19" s="629">
        <f>IF(M19="","",AA19*(1/SQRT(Z19^2+AA19^2+AB19^2)))</f>
        <v>-0.85452443201725636</v>
      </c>
      <c r="AF19" s="633">
        <f>IF(M19="","",AB19*(1/SQRT(Z19^2+AA19^2+AB19^2)))</f>
        <v>-0.24615026946189156</v>
      </c>
      <c r="AG19" s="602">
        <f>IF(M19="","",DEGREES(ATAN2(-AF19,AE19)))</f>
        <v>-73.930675099171879</v>
      </c>
      <c r="AH19" s="603">
        <f>IF(M19="","",DEGREES(ACOS(AD19)))</f>
        <v>62.78171654358092</v>
      </c>
      <c r="AI19" s="585">
        <f>IF(M19="","",DEGREES(-ACOS(-AF19)))</f>
        <v>-75.750178737144708</v>
      </c>
      <c r="AJ19" s="586">
        <f>IF(M19="","",DEGREES(ATAN2(-AE19,AD19)))</f>
        <v>28.157787230003194</v>
      </c>
      <c r="AK19" s="635">
        <f>IF(M19="","",(COS(RADIANS((90-$Q$8)-W19))*AD19)+(-SIN(RADIANS((90-$Q$8)-W19))*AE19))</f>
        <v>0.96372636003632151</v>
      </c>
      <c r="AL19" s="629">
        <f>IF(M19="","",(SIN(RADIANS((90-$Q$8)-W19))*AD19)+(COS(RADIANS((90-$Q$8)-W19))*AE19))</f>
        <v>-0.10315787810429355</v>
      </c>
      <c r="AM19" s="634">
        <f>IF(M19="","",AF19)</f>
        <v>-0.24615026946189156</v>
      </c>
      <c r="AN19" s="581">
        <f>IF(M19="","",DEGREES(ATAN2(-AM19,AL19)))</f>
        <v>-22.737825210823537</v>
      </c>
      <c r="AO19" s="582">
        <f t="shared" si="94"/>
        <v>15.479424299784572</v>
      </c>
      <c r="AP19" s="585">
        <f>IF(M19="","",DEGREES(ATAN2(AK19,AL19)))</f>
        <v>-6.1097128757566903</v>
      </c>
      <c r="AQ19" s="586">
        <f t="shared" si="9"/>
        <v>0.91831146362173421</v>
      </c>
      <c r="AS19" s="52">
        <f t="shared" si="116"/>
        <v>-54.82350002548344</v>
      </c>
      <c r="AT19" s="72">
        <f t="shared" si="10"/>
        <v>9.0291953633621358E-4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2.1120000000000001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2.6694433370615047</v>
      </c>
      <c r="C20" s="708">
        <v>1.7497774035637161</v>
      </c>
      <c r="D20" s="709">
        <v>-0.39960129658231047</v>
      </c>
      <c r="E20" s="710">
        <v>-0.32316837426443368</v>
      </c>
      <c r="F20" s="708">
        <v>0.92946837998477394</v>
      </c>
      <c r="G20" s="711">
        <v>0.17790652737817955</v>
      </c>
      <c r="H20" s="710">
        <v>0.314</v>
      </c>
      <c r="I20" s="708">
        <v>0.52</v>
      </c>
      <c r="J20" s="570">
        <v>2.1179999999999999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2.1179999999999999</v>
      </c>
      <c r="N20" s="632">
        <f t="shared" si="2"/>
        <v>2.6694433370615047</v>
      </c>
      <c r="O20" s="629">
        <f t="shared" si="3"/>
        <v>1.7497774035637161</v>
      </c>
      <c r="P20" s="633">
        <f t="shared" si="4"/>
        <v>-0.39960129658231047</v>
      </c>
      <c r="Q20" s="585">
        <f t="shared" si="113"/>
        <v>33.244200253506101</v>
      </c>
      <c r="R20" s="629">
        <f>IF(M20="","",SQRT(N20^2+O20^2))</f>
        <v>3.1918096264978337</v>
      </c>
      <c r="S20" s="634">
        <f>IF(M20="","",P20)</f>
        <v>-0.39960129658231047</v>
      </c>
      <c r="T20" s="635">
        <f>IF(M20="","",X20*COS(RADIANS(W20)))</f>
        <v>1.7919062494790736</v>
      </c>
      <c r="U20" s="629">
        <f>IF(M20="","",X20*SIN(RADIANS(W20)))</f>
        <v>-2.6413482702744973</v>
      </c>
      <c r="V20" s="636">
        <f>IF(M20="","",Y20)</f>
        <v>-0.39960129658231047</v>
      </c>
      <c r="W20" s="585">
        <f t="shared" si="224"/>
        <v>304.15320012226277</v>
      </c>
      <c r="X20" s="629">
        <f>IF(M20="","",R20)</f>
        <v>3.1918096264978337</v>
      </c>
      <c r="Y20" s="630">
        <f t="shared" si="223"/>
        <v>-0.39960129658231047</v>
      </c>
      <c r="Z20" s="632">
        <f t="shared" si="6"/>
        <v>0.32316837426443368</v>
      </c>
      <c r="AA20" s="629">
        <f t="shared" si="7"/>
        <v>-0.92946837998477394</v>
      </c>
      <c r="AB20" s="629">
        <f t="shared" si="8"/>
        <v>-0.17790652737817955</v>
      </c>
      <c r="AC20" s="636">
        <f>IF(M20="","",SQRT(Z20^2+AA20^2+AB20^2))</f>
        <v>1</v>
      </c>
      <c r="AD20" s="637">
        <f>IF(M20="","",Z20*(1/SQRT(Z20^2+AA20^2+AB20^2)))</f>
        <v>0.32316837426443368</v>
      </c>
      <c r="AE20" s="629">
        <f>IF(M20="","",AA20*(1/SQRT(Z20^2+AA20^2+AB20^2)))</f>
        <v>-0.92946837998477394</v>
      </c>
      <c r="AF20" s="633">
        <f>IF(M20="","",AB20*(1/SQRT(Z20^2+AA20^2+AB20^2)))</f>
        <v>-0.17790652737817955</v>
      </c>
      <c r="AG20" s="602">
        <f>IF(M20="","",DEGREES(ATAN2(-AF20,AE20)))</f>
        <v>-79.164260165448056</v>
      </c>
      <c r="AH20" s="603">
        <f>IF(M20="","",DEGREES(ACOS(AD20)))</f>
        <v>71.145356631906537</v>
      </c>
      <c r="AI20" s="585">
        <f>IF(M20="","",DEGREES(-ACOS(-AF20)))</f>
        <v>-79.75215537166163</v>
      </c>
      <c r="AJ20" s="586">
        <f>IF(M20="","",DEGREES(ATAN2(-AE20,AD20)))</f>
        <v>19.172135264189475</v>
      </c>
      <c r="AK20" s="635">
        <f>IF(M20="","",(COS(RADIANS((90-$Q$8)-W20))*AD20)+(-SIN(RADIANS((90-$Q$8)-W20))*AE20))</f>
        <v>0.95451679432927516</v>
      </c>
      <c r="AL20" s="629">
        <f>IF(M20="","",(SIN(RADIANS((90-$Q$8)-W20))*AD20)+(COS(RADIANS((90-$Q$8)-W20))*AE20))</f>
        <v>-0.23926336296976469</v>
      </c>
      <c r="AM20" s="634">
        <f>IF(M20="","",AF20)</f>
        <v>-0.17790652737817955</v>
      </c>
      <c r="AN20" s="581">
        <f>IF(M20="","",DEGREES(ATAN2(-AM20,AL20)))</f>
        <v>-53.367004943464877</v>
      </c>
      <c r="AO20" s="582">
        <f t="shared" si="94"/>
        <v>17.346951180278403</v>
      </c>
      <c r="AP20" s="585">
        <f>IF(M20="","",DEGREES(ATAN2(AK20,AL20)))</f>
        <v>-14.072064989316637</v>
      </c>
      <c r="AQ20" s="586">
        <f t="shared" si="9"/>
        <v>0.71420567676525104</v>
      </c>
      <c r="AS20" s="52">
        <f t="shared" si="116"/>
        <v>-55.846799877737226</v>
      </c>
      <c r="AT20" s="72">
        <f t="shared" si="10"/>
        <v>-0.3601875467583564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3.0324059417669931</v>
      </c>
      <c r="C21" s="708">
        <v>1.9376569042580503</v>
      </c>
      <c r="D21" s="709">
        <v>-1.0615032928787316</v>
      </c>
      <c r="E21" s="710">
        <v>-0.1435454277288527</v>
      </c>
      <c r="F21" s="708">
        <v>0.98056810289493512</v>
      </c>
      <c r="G21" s="711">
        <v>0.13371950404921806</v>
      </c>
      <c r="H21" s="710">
        <v>0.314</v>
      </c>
      <c r="I21" s="708">
        <v>0.52</v>
      </c>
      <c r="J21" s="570">
        <v>2.1240000000000001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2.1240000000000001</v>
      </c>
      <c r="N21" s="632">
        <f t="shared" si="2"/>
        <v>3.0324059417669931</v>
      </c>
      <c r="O21" s="629">
        <f t="shared" si="3"/>
        <v>1.9376569042580503</v>
      </c>
      <c r="P21" s="633">
        <f t="shared" si="4"/>
        <v>-1.0615032928787316</v>
      </c>
      <c r="Q21" s="585">
        <f t="shared" si="113"/>
        <v>32.57790034970791</v>
      </c>
      <c r="R21" s="629">
        <f>IF(M21="","",SQRT(N21^2+O21^2))</f>
        <v>3.5986108534103343</v>
      </c>
      <c r="S21" s="634">
        <f>IF(M21="","",P21)</f>
        <v>-1.0615032928787316</v>
      </c>
      <c r="T21" s="635">
        <f>IF(M21="","",X21*COS(RADIANS(W21)))</f>
        <v>1.9855202809813859</v>
      </c>
      <c r="U21" s="629">
        <f>IF(M21="","",X21*SIN(RADIANS(W21)))</f>
        <v>-3.001284606313479</v>
      </c>
      <c r="V21" s="636">
        <f>IF(M21="","",Y21)</f>
        <v>-1.0615032928787316</v>
      </c>
      <c r="W21" s="585">
        <f t="shared" si="224"/>
        <v>303.4869002184646</v>
      </c>
      <c r="X21" s="629">
        <f>IF(M21="","",R21)</f>
        <v>3.5986108534103343</v>
      </c>
      <c r="Y21" s="630">
        <f t="shared" si="223"/>
        <v>-1.0615032928787316</v>
      </c>
      <c r="Z21" s="632">
        <f t="shared" si="6"/>
        <v>0.1435454277288527</v>
      </c>
      <c r="AA21" s="629">
        <f t="shared" si="7"/>
        <v>-0.98056810289493512</v>
      </c>
      <c r="AB21" s="629">
        <f t="shared" si="8"/>
        <v>-0.13371950404921806</v>
      </c>
      <c r="AC21" s="636">
        <f>IF(M21="","",SQRT(Z21^2+AA21^2+AB21^2))</f>
        <v>1</v>
      </c>
      <c r="AD21" s="637">
        <f>IF(M21="","",Z21*(1/SQRT(Z21^2+AA21^2+AB21^2)))</f>
        <v>0.1435454277288527</v>
      </c>
      <c r="AE21" s="629">
        <f>IF(M21="","",AA21*(1/SQRT(Z21^2+AA21^2+AB21^2)))</f>
        <v>-0.98056810289493512</v>
      </c>
      <c r="AF21" s="633">
        <f>IF(M21="","",AB21*(1/SQRT(Z21^2+AA21^2+AB21^2)))</f>
        <v>-0.13371950404921806</v>
      </c>
      <c r="AG21" s="602">
        <f>IF(M21="","",DEGREES(ATAN2(-AF21,AE21)))</f>
        <v>-82.234508619699596</v>
      </c>
      <c r="AH21" s="603">
        <f>IF(M21="","",DEGREES(ACOS(AD21)))</f>
        <v>81.746942804660108</v>
      </c>
      <c r="AI21" s="585">
        <f>IF(M21="","",DEGREES(-ACOS(-AF21)))</f>
        <v>-82.315418464356227</v>
      </c>
      <c r="AJ21" s="586">
        <f>IF(M21="","",DEGREES(ATAN2(-AE21,AD21)))</f>
        <v>8.3283765578232476</v>
      </c>
      <c r="AK21" s="635">
        <f>IF(M21="","",(COS(RADIANS((90-$Q$8)-W21))*AD21)+(-SIN(RADIANS((90-$Q$8)-W21))*AE21))</f>
        <v>0.90357709213203063</v>
      </c>
      <c r="AL21" s="629">
        <f>IF(M21="","",(SIN(RADIANS((90-$Q$8)-W21))*AD21)+(COS(RADIANS((90-$Q$8)-W21))*AE21))</f>
        <v>-0.407022766944375</v>
      </c>
      <c r="AM21" s="634">
        <f>IF(M21="","",AF21)</f>
        <v>-0.13371950404921806</v>
      </c>
      <c r="AN21" s="581">
        <f>IF(M21="","",DEGREES(ATAN2(-AM21,AL21)))</f>
        <v>-71.813056768957793</v>
      </c>
      <c r="AO21" s="582">
        <f>IF(ROUND(IF(M21="",0,DEGREES(ACOS(AK21))),4)=90,0,IF(M21="","",DEGREES(ACOS(AK21))))</f>
        <v>25.36768203221909</v>
      </c>
      <c r="AP21" s="585">
        <f>IF(M21="","",DEGREES(ATAN2(AK21,AL21)))</f>
        <v>-24.249523791884684</v>
      </c>
      <c r="AQ21" s="586">
        <f t="shared" si="9"/>
        <v>0.63347603628615479</v>
      </c>
      <c r="AS21" s="52">
        <f t="shared" si="116"/>
        <v>-56.513099781535402</v>
      </c>
      <c r="AT21" s="72">
        <f t="shared" si="10"/>
        <v>-1.0216268347882509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2.1240000000000001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3.108369257402487</v>
      </c>
      <c r="C22" s="708">
        <v>1.9752956663839238</v>
      </c>
      <c r="D22" s="709">
        <v>-1.8556999999999999</v>
      </c>
      <c r="E22" s="710">
        <v>-4.2485975283767075E-2</v>
      </c>
      <c r="F22" s="708">
        <v>0.99909706330474934</v>
      </c>
      <c r="G22" s="711">
        <v>1.1339744821699087E-7</v>
      </c>
      <c r="H22" s="710">
        <v>0.314</v>
      </c>
      <c r="I22" s="708">
        <v>0.52</v>
      </c>
      <c r="J22" s="570">
        <v>2.13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750</v>
      </c>
      <c r="M22" s="168">
        <f t="shared" si="1"/>
        <v>2.13</v>
      </c>
      <c r="N22" s="632">
        <f t="shared" si="2"/>
        <v>3.108369257402487</v>
      </c>
      <c r="O22" s="629">
        <f t="shared" si="3"/>
        <v>1.9752956663839238</v>
      </c>
      <c r="P22" s="633">
        <f t="shared" si="4"/>
        <v>-1.8556999999999999</v>
      </c>
      <c r="Q22" s="585">
        <f t="shared" si="113"/>
        <v>32.434999999999995</v>
      </c>
      <c r="R22" s="629">
        <f t="shared" si="79"/>
        <v>3.6829000000000001</v>
      </c>
      <c r="S22" s="634">
        <f t="shared" si="80"/>
        <v>-1.8556999999999999</v>
      </c>
      <c r="T22" s="635">
        <f t="shared" si="81"/>
        <v>2.0243594169092067</v>
      </c>
      <c r="U22" s="629">
        <f t="shared" si="82"/>
        <v>-3.0766412467447384</v>
      </c>
      <c r="V22" s="636">
        <f t="shared" si="114"/>
        <v>-1.8556999999999999</v>
      </c>
      <c r="W22" s="585">
        <f t="shared" si="224"/>
        <v>303.34399986875667</v>
      </c>
      <c r="X22" s="629">
        <f t="shared" si="83"/>
        <v>3.6829000000000001</v>
      </c>
      <c r="Y22" s="630">
        <f t="shared" si="223"/>
        <v>-1.8556999999999999</v>
      </c>
      <c r="Z22" s="632">
        <f t="shared" si="6"/>
        <v>4.2485975283767075E-2</v>
      </c>
      <c r="AA22" s="629">
        <f t="shared" si="7"/>
        <v>-0.99909706330474934</v>
      </c>
      <c r="AB22" s="629">
        <f t="shared" si="8"/>
        <v>-1.1339744821699087E-7</v>
      </c>
      <c r="AC22" s="636">
        <f t="shared" si="84"/>
        <v>1</v>
      </c>
      <c r="AD22" s="637">
        <f t="shared" si="115"/>
        <v>4.2485975283767075E-2</v>
      </c>
      <c r="AE22" s="629">
        <f t="shared" si="85"/>
        <v>-0.99909706330474934</v>
      </c>
      <c r="AF22" s="633">
        <f t="shared" si="86"/>
        <v>-1.1339744821699087E-7</v>
      </c>
      <c r="AG22" s="602">
        <f t="shared" si="87"/>
        <v>-89.999993496932959</v>
      </c>
      <c r="AH22" s="603">
        <f t="shared" si="88"/>
        <v>87.564999999999387</v>
      </c>
      <c r="AI22" s="585">
        <f t="shared" si="89"/>
        <v>-89.999993502804799</v>
      </c>
      <c r="AJ22" s="586">
        <f t="shared" si="90"/>
        <v>2.4350000000006271</v>
      </c>
      <c r="AK22" s="635">
        <f t="shared" si="211"/>
        <v>0.86602540378443871</v>
      </c>
      <c r="AL22" s="629">
        <f t="shared" si="91"/>
        <v>-0.49999999999998701</v>
      </c>
      <c r="AM22" s="634">
        <f t="shared" si="92"/>
        <v>-1.1339744821699087E-7</v>
      </c>
      <c r="AN22" s="581">
        <f t="shared" si="93"/>
        <v>-89.999987005609626</v>
      </c>
      <c r="AO22" s="582">
        <f t="shared" si="94"/>
        <v>29.999999999999993</v>
      </c>
      <c r="AP22" s="585">
        <f t="shared" si="95"/>
        <v>-29.999999999999357</v>
      </c>
      <c r="AQ22" s="586">
        <f t="shared" si="9"/>
        <v>0.61897904982222918</v>
      </c>
      <c r="AS22" s="52">
        <f t="shared" si="116"/>
        <v>-56.656000131243331</v>
      </c>
      <c r="AT22" s="72">
        <f t="shared" si="10"/>
        <v>-1.8157243055555554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2.13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Taper</v>
      </c>
      <c r="JG22" s="862"/>
      <c r="JH22" s="863" t="str" cm="1">
        <f t="array" ref="JH22">IFERROR(TRANSPOSE(_xlfn._xlws.SORT(_xlfn.UNIQUE(_xlfn._xlws.FILTER($IE$9:$IE$150,$IE$9:$IE$150&lt;&gt;"")),,1)),"")</f>
        <v>Taper</v>
      </c>
      <c r="JI22" s="862"/>
    </row>
    <row r="23" spans="1:269" ht="15" customHeight="1" thickTop="1" x14ac:dyDescent="0.25">
      <c r="A23" s="79"/>
      <c r="B23" s="707">
        <v>3.557653810752373</v>
      </c>
      <c r="C23" s="708">
        <v>0.88174832600094677</v>
      </c>
      <c r="D23" s="709">
        <v>-1.8998866618636248</v>
      </c>
      <c r="E23" s="710">
        <v>0.9706325124751386</v>
      </c>
      <c r="F23" s="708">
        <v>0.24056709194349216</v>
      </c>
      <c r="G23" s="711">
        <v>2.2679489665485007E-7</v>
      </c>
      <c r="H23" s="710">
        <v>0.25700000000000001</v>
      </c>
      <c r="I23" s="708">
        <v>0.41499999999999992</v>
      </c>
      <c r="J23" s="570">
        <v>2.23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CPS-32193r1</v>
      </c>
      <c r="M23" s="168">
        <f t="shared" si="1"/>
        <v>2.23</v>
      </c>
      <c r="N23" s="632">
        <f t="shared" si="2"/>
        <v>3.557653810752373</v>
      </c>
      <c r="O23" s="629">
        <f t="shared" si="3"/>
        <v>0.88174832600094677</v>
      </c>
      <c r="P23" s="633">
        <f t="shared" si="4"/>
        <v>-1.8998866618636248</v>
      </c>
      <c r="Q23" s="585">
        <f t="shared" si="113"/>
        <v>13.919999889210882</v>
      </c>
      <c r="R23" s="629">
        <f t="shared" si="79"/>
        <v>3.6652940874596069</v>
      </c>
      <c r="S23" s="634">
        <f t="shared" si="80"/>
        <v>-1.8998866618636248</v>
      </c>
      <c r="T23" s="635">
        <f t="shared" si="81"/>
        <v>0.9380773149789704</v>
      </c>
      <c r="U23" s="629">
        <f t="shared" si="82"/>
        <v>-3.543217704105718</v>
      </c>
      <c r="V23" s="636">
        <f t="shared" si="114"/>
        <v>-1.8998866618636248</v>
      </c>
      <c r="W23" s="585">
        <f t="shared" si="224"/>
        <v>284.82899975796755</v>
      </c>
      <c r="X23" s="629">
        <f t="shared" si="83"/>
        <v>3.6652940874596069</v>
      </c>
      <c r="Y23" s="630">
        <f t="shared" si="223"/>
        <v>-1.8998866618636248</v>
      </c>
      <c r="Z23" s="632">
        <f t="shared" si="6"/>
        <v>-0.9706325124751386</v>
      </c>
      <c r="AA23" s="629">
        <f t="shared" si="7"/>
        <v>-0.24056709194349216</v>
      </c>
      <c r="AB23" s="629">
        <f t="shared" si="8"/>
        <v>-2.2679489665485007E-7</v>
      </c>
      <c r="AC23" s="636">
        <f t="shared" si="84"/>
        <v>1</v>
      </c>
      <c r="AD23" s="637">
        <f t="shared" si="115"/>
        <v>-0.9706325124751386</v>
      </c>
      <c r="AE23" s="629">
        <f t="shared" si="85"/>
        <v>-0.24056709194349216</v>
      </c>
      <c r="AF23" s="633">
        <f t="shared" si="86"/>
        <v>-2.2679489665485007E-7</v>
      </c>
      <c r="AG23" s="602">
        <f t="shared" si="87"/>
        <v>-89.999945984339391</v>
      </c>
      <c r="AH23" s="603">
        <f t="shared" si="88"/>
        <v>166.07998700560364</v>
      </c>
      <c r="AI23" s="585">
        <f t="shared" si="89"/>
        <v>-89.999987005609611</v>
      </c>
      <c r="AJ23" s="586">
        <f t="shared" si="90"/>
        <v>-76.07998700560961</v>
      </c>
      <c r="AK23" s="635">
        <f t="shared" si="211"/>
        <v>2.2872853155941897E-7</v>
      </c>
      <c r="AL23" s="629">
        <f t="shared" si="91"/>
        <v>-0.99999999999994826</v>
      </c>
      <c r="AM23" s="634">
        <f t="shared" si="92"/>
        <v>-2.2679489665485007E-7</v>
      </c>
      <c r="AN23" s="581">
        <f t="shared" si="93"/>
        <v>-89.999987005609611</v>
      </c>
      <c r="AO23" s="582">
        <f t="shared" si="94"/>
        <v>0</v>
      </c>
      <c r="AP23" s="585">
        <f t="shared" si="95"/>
        <v>-89.999986894820495</v>
      </c>
      <c r="AQ23" s="586">
        <f t="shared" si="9"/>
        <v>0.62195202736419841</v>
      </c>
      <c r="AS23" s="52">
        <f t="shared" si="116"/>
        <v>-75.171000242032449</v>
      </c>
      <c r="AT23" s="72">
        <f t="shared" si="10"/>
        <v>-1.8470533284533546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>Gage</v>
      </c>
      <c r="IG23" s="847">
        <f t="shared" si="210"/>
        <v>2.23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2.13</v>
      </c>
      <c r="II23" s="734" cm="1">
        <f t="array" ref="II23">IFERROR(ROUND(VALUE(IF($IH23&lt;1,$IH23+LARGE((IF($M$9:$M$150="",0,$M$9:$M$150)-MOD(IF($M$9:$M$150="",0,$M$9:$M$150),1)),1),$IH23)),4),"")</f>
        <v>2.13</v>
      </c>
      <c r="IJ23" s="533">
        <f t="shared" si="112"/>
        <v>1613</v>
      </c>
      <c r="IK23" s="533" t="str">
        <f t="shared" si="66"/>
        <v>CPS-32193r1</v>
      </c>
      <c r="IL23" s="727">
        <f t="shared" si="225"/>
        <v>18.515000110789117</v>
      </c>
      <c r="IM23" s="759">
        <v>1.7698457607942801E-2</v>
      </c>
      <c r="IN23" s="5">
        <f t="shared" si="226"/>
        <v>2.12</v>
      </c>
      <c r="IO23" s="771">
        <v>1060</v>
      </c>
      <c r="IP23" s="9">
        <f t="shared" si="227"/>
        <v>-3.6829000000000001</v>
      </c>
      <c r="IQ23" s="5">
        <f t="shared" si="228"/>
        <v>-1.8556999999999999</v>
      </c>
      <c r="IR23" s="5">
        <f t="shared" si="71"/>
        <v>0.314</v>
      </c>
      <c r="IS23" s="5">
        <f t="shared" si="229"/>
        <v>0.27193197678831377</v>
      </c>
      <c r="IT23" s="727">
        <f t="shared" si="230"/>
        <v>89.999987005609626</v>
      </c>
      <c r="IU23" s="9">
        <f t="shared" si="231"/>
        <v>-3.6652940874596069</v>
      </c>
      <c r="IV23" s="5">
        <f t="shared" si="232"/>
        <v>-1.8998866618636248</v>
      </c>
      <c r="IW23" s="5">
        <f t="shared" si="76"/>
        <v>0.25700000000000001</v>
      </c>
      <c r="IX23" s="5">
        <f t="shared" si="233"/>
        <v>0.25700000000000001</v>
      </c>
      <c r="IY23" s="762">
        <f t="shared" si="234"/>
        <v>89.999987005609611</v>
      </c>
      <c r="JA23" s="855" t="str" cm="1">
        <f t="array" ref="JA23">IFERROR(_xlfn._xlws.SORT(_xlfn.UNIQUE(_xlfn._xlws.FILTER($IK$9:$IK$150,$IK$9:$IK$150&lt;&gt;"")),,1),"")</f>
        <v>CPS-32193r1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750</v>
      </c>
      <c r="JI23" s="801"/>
    </row>
    <row r="24" spans="1:269" ht="15" customHeight="1" x14ac:dyDescent="0.25">
      <c r="A24" s="79"/>
      <c r="B24" s="707">
        <v>0.55066153657573658</v>
      </c>
      <c r="C24" s="708">
        <v>-0.20042440846885767</v>
      </c>
      <c r="D24" s="709">
        <v>-0.39990129748711323</v>
      </c>
      <c r="E24" s="710">
        <v>0.25305567148571528</v>
      </c>
      <c r="F24" s="708">
        <v>0.92281966229859713</v>
      </c>
      <c r="G24" s="711">
        <v>0.29045946017304536</v>
      </c>
      <c r="H24" s="710">
        <v>0.314</v>
      </c>
      <c r="I24" s="708">
        <v>0.52</v>
      </c>
      <c r="J24" s="570">
        <v>3.1019999999999999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3.1019999999999999</v>
      </c>
      <c r="N24" s="632">
        <f t="shared" si="2"/>
        <v>0.55066153657573658</v>
      </c>
      <c r="O24" s="629">
        <f t="shared" si="3"/>
        <v>-0.20042440846885767</v>
      </c>
      <c r="P24" s="633">
        <f t="shared" si="4"/>
        <v>-0.39990129748711323</v>
      </c>
      <c r="Q24" s="585">
        <f t="shared" si="113"/>
        <v>340</v>
      </c>
      <c r="R24" s="629">
        <f t="shared" si="79"/>
        <v>0.58600176738133036</v>
      </c>
      <c r="S24" s="634">
        <f t="shared" si="80"/>
        <v>-0.39990129748711323</v>
      </c>
      <c r="T24" s="635">
        <f t="shared" si="81"/>
        <v>-0.19166328447582215</v>
      </c>
      <c r="U24" s="629">
        <f t="shared" si="82"/>
        <v>-0.55377184540023605</v>
      </c>
      <c r="V24" s="636">
        <f t="shared" si="114"/>
        <v>-0.39990129748711323</v>
      </c>
      <c r="W24" s="585">
        <f t="shared" si="224"/>
        <v>250.90899986875667</v>
      </c>
      <c r="X24" s="629">
        <f t="shared" si="83"/>
        <v>0.58600176738133036</v>
      </c>
      <c r="Y24" s="630">
        <f t="shared" si="223"/>
        <v>-0.39990129748711323</v>
      </c>
      <c r="Z24" s="632">
        <f t="shared" si="6"/>
        <v>-0.25305567148571528</v>
      </c>
      <c r="AA24" s="629">
        <f t="shared" si="7"/>
        <v>-0.92281966229859713</v>
      </c>
      <c r="AB24" s="629">
        <f t="shared" si="8"/>
        <v>-0.29045946017304536</v>
      </c>
      <c r="AC24" s="636">
        <f t="shared" si="84"/>
        <v>1</v>
      </c>
      <c r="AD24" s="637">
        <f t="shared" si="115"/>
        <v>-0.25305567148571528</v>
      </c>
      <c r="AE24" s="629">
        <f t="shared" si="85"/>
        <v>-0.92281966229859713</v>
      </c>
      <c r="AF24" s="633">
        <f t="shared" si="86"/>
        <v>-0.29045946017304536</v>
      </c>
      <c r="AG24" s="602">
        <f t="shared" si="87"/>
        <v>-72.528493188658487</v>
      </c>
      <c r="AH24" s="603">
        <f t="shared" si="88"/>
        <v>104.65840504685147</v>
      </c>
      <c r="AI24" s="585">
        <f t="shared" si="89"/>
        <v>-73.114534769632428</v>
      </c>
      <c r="AJ24" s="586">
        <f t="shared" si="90"/>
        <v>-15.334698051217286</v>
      </c>
      <c r="AK24" s="635">
        <f>IF(M24="","",(COS(RADIANS((90-$Q$8)-W24))*AD24)+(-SIN(RADIANS((90-$Q$8)-W24))*AE24))</f>
        <v>0.95371696400905337</v>
      </c>
      <c r="AL24" s="629">
        <f t="shared" si="91"/>
        <v>7.782836601996157E-2</v>
      </c>
      <c r="AM24" s="634">
        <f t="shared" si="92"/>
        <v>-0.29045946017304536</v>
      </c>
      <c r="AN24" s="581">
        <f t="shared" si="93"/>
        <v>14.999997834268274</v>
      </c>
      <c r="AO24" s="582">
        <f t="shared" si="94"/>
        <v>17.49999747331298</v>
      </c>
      <c r="AP24" s="585">
        <f t="shared" si="95"/>
        <v>4.6653019487827061</v>
      </c>
      <c r="AQ24" s="586">
        <f t="shared" si="9"/>
        <v>3.8843448334595467</v>
      </c>
      <c r="AS24" s="52">
        <f t="shared" si="116"/>
        <v>-109.09100013124333</v>
      </c>
      <c r="AT24" s="72">
        <f t="shared" si="10"/>
        <v>-0.32351240859822433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1.2319407413836023</v>
      </c>
      <c r="C25" s="708">
        <v>-0.44838976024346844</v>
      </c>
      <c r="D25" s="709">
        <v>-0.20570071177814689</v>
      </c>
      <c r="E25" s="710">
        <v>0.26741864093690504</v>
      </c>
      <c r="F25" s="708">
        <v>0.93058437921929993</v>
      </c>
      <c r="G25" s="711">
        <v>0.24999996726497567</v>
      </c>
      <c r="H25" s="710">
        <v>0.314</v>
      </c>
      <c r="I25" s="708">
        <v>0.52</v>
      </c>
      <c r="J25" s="570">
        <v>3.105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3.105</v>
      </c>
      <c r="N25" s="632">
        <f t="shared" si="2"/>
        <v>1.2319407413836023</v>
      </c>
      <c r="O25" s="629">
        <f t="shared" si="3"/>
        <v>-0.44838976024346844</v>
      </c>
      <c r="P25" s="633">
        <f t="shared" si="4"/>
        <v>-0.20570071177814689</v>
      </c>
      <c r="Q25" s="585">
        <f t="shared" si="113"/>
        <v>340</v>
      </c>
      <c r="R25" s="629">
        <f>IF(M25="","",SQRT(N25^2+O25^2))</f>
        <v>1.3110039539879255</v>
      </c>
      <c r="S25" s="634">
        <f>IF(M25="","",P25)</f>
        <v>-0.20570071177814689</v>
      </c>
      <c r="T25" s="635">
        <f>IF(M25="","",X25*COS(RADIANS(W25)))</f>
        <v>-0.4287893616856705</v>
      </c>
      <c r="U25" s="629">
        <f>IF(M25="","",X25*SIN(RADIANS(W25)))</f>
        <v>-1.2388991285319277</v>
      </c>
      <c r="V25" s="636">
        <f>IF(M25="","",Y25)</f>
        <v>-0.20570071177814689</v>
      </c>
      <c r="W25" s="585">
        <f t="shared" si="224"/>
        <v>250.90899986875667</v>
      </c>
      <c r="X25" s="629">
        <f>IF(M25="","",R25)</f>
        <v>1.3110039539879255</v>
      </c>
      <c r="Y25" s="630">
        <f t="shared" si="223"/>
        <v>-0.20570071177814689</v>
      </c>
      <c r="Z25" s="632">
        <f t="shared" si="6"/>
        <v>-0.26741864093690504</v>
      </c>
      <c r="AA25" s="629">
        <f t="shared" si="7"/>
        <v>-0.93058437921929993</v>
      </c>
      <c r="AB25" s="629">
        <f t="shared" si="8"/>
        <v>-0.24999996726497567</v>
      </c>
      <c r="AC25" s="636">
        <f>IF(M25="","",SQRT(Z25^2+AA25^2+AB25^2))</f>
        <v>1</v>
      </c>
      <c r="AD25" s="637">
        <f>IF(M25="","",Z25*(1/SQRT(Z25^2+AA25^2+AB25^2)))</f>
        <v>-0.26741864093690504</v>
      </c>
      <c r="AE25" s="629">
        <f>IF(M25="","",AA25*(1/SQRT(Z25^2+AA25^2+AB25^2)))</f>
        <v>-0.93058437921929993</v>
      </c>
      <c r="AF25" s="633">
        <f>IF(M25="","",AB25*(1/SQRT(Z25^2+AA25^2+AB25^2)))</f>
        <v>-0.24999996726497567</v>
      </c>
      <c r="AG25" s="602">
        <f>IF(M25="","",DEGREES(ATAN2(-AF25,AE25)))</f>
        <v>-74.962630657063684</v>
      </c>
      <c r="AH25" s="603">
        <f>IF(M25="","",DEGREES(ACOS(AD25)))</f>
        <v>105.51071851096762</v>
      </c>
      <c r="AI25" s="585">
        <f>IF(M25="","",DEGREES(-ACOS(-AF25)))</f>
        <v>-75.522489751159455</v>
      </c>
      <c r="AJ25" s="586">
        <f>IF(M25="","",DEGREES(ATAN2(-AE25,AD25)))</f>
        <v>-16.032870354913424</v>
      </c>
      <c r="AK25" s="635">
        <f>IF(M25="","",(COS(RADIANS((90-$Q$8)-W25))*AD25)+(-SIN(RADIANS((90-$Q$8)-W25))*AE25))</f>
        <v>0.96592583607220739</v>
      </c>
      <c r="AL25" s="629">
        <f>IF(M25="","",(SIN(RADIANS((90-$Q$8)-W25))*AD25)+(COS(RADIANS((90-$Q$8)-W25))*AE25))</f>
        <v>6.6987279208207129E-2</v>
      </c>
      <c r="AM25" s="634">
        <f>IF(M25="","",AF25)</f>
        <v>-0.24999996726497567</v>
      </c>
      <c r="AN25" s="581">
        <f>IF(M25="","",DEGREES(ATAN2(-AM25,AL25)))</f>
        <v>14.999997834268251</v>
      </c>
      <c r="AO25" s="582">
        <f>IF(ROUND(IF(M25="",0,DEGREES(ACOS(AK25))),4)=90,0,IF(M25="","",DEGREES(ACOS(AK25))))</f>
        <v>14.999997834268255</v>
      </c>
      <c r="AP25" s="585">
        <f>IF(M25="","",DEGREES(ATAN2(AK25,AL25)))</f>
        <v>3.9671296450865672</v>
      </c>
      <c r="AQ25" s="586">
        <f t="shared" si="9"/>
        <v>1.7383830542137839</v>
      </c>
      <c r="AS25" s="52">
        <f t="shared" si="116"/>
        <v>-109.09100013124333</v>
      </c>
      <c r="AT25" s="72">
        <f t="shared" si="10"/>
        <v>-0.12931182288925802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3.105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1.939502820253167</v>
      </c>
      <c r="C26" s="708">
        <v>-0.7164665777021757</v>
      </c>
      <c r="D26" s="709">
        <v>-2.0600153514862999E-2</v>
      </c>
      <c r="E26" s="710">
        <v>0.35581503309976076</v>
      </c>
      <c r="F26" s="708">
        <v>0.89755212734208956</v>
      </c>
      <c r="G26" s="711">
        <v>0.26037634478559218</v>
      </c>
      <c r="H26" s="710">
        <v>0.314</v>
      </c>
      <c r="I26" s="708">
        <v>0.52</v>
      </c>
      <c r="J26" s="570">
        <v>3.109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3.109</v>
      </c>
      <c r="N26" s="632">
        <f t="shared" si="2"/>
        <v>1.939502820253167</v>
      </c>
      <c r="O26" s="629">
        <f t="shared" si="3"/>
        <v>-0.7164665777021757</v>
      </c>
      <c r="P26" s="633">
        <f t="shared" si="4"/>
        <v>-2.0600153514862999E-2</v>
      </c>
      <c r="Q26" s="585">
        <f t="shared" si="113"/>
        <v>339.72540003964735</v>
      </c>
      <c r="R26" s="629">
        <f>IF(M26="","",SQRT(N26^2+O26^2))</f>
        <v>2.0676062359004086</v>
      </c>
      <c r="S26" s="634">
        <f>IF(M26="","",P26)</f>
        <v>-2.0600153514862999E-2</v>
      </c>
      <c r="T26" s="635">
        <f>IF(M26="","",X26*COS(RADIANS(W26)))</f>
        <v>-0.68560741223731037</v>
      </c>
      <c r="U26" s="629">
        <f>IF(M26="","",X26*SIN(RADIANS(W26)))</f>
        <v>-1.9506250339364342</v>
      </c>
      <c r="V26" s="636">
        <f>IF(M26="","",Y26)</f>
        <v>-2.0600153514862999E-2</v>
      </c>
      <c r="W26" s="585">
        <f t="shared" si="224"/>
        <v>250.63439990840402</v>
      </c>
      <c r="X26" s="629">
        <f>IF(M26="","",R26)</f>
        <v>2.0676062359004086</v>
      </c>
      <c r="Y26" s="630">
        <f t="shared" si="223"/>
        <v>-2.0600153514862999E-2</v>
      </c>
      <c r="Z26" s="632">
        <f t="shared" si="6"/>
        <v>-0.35581503309976076</v>
      </c>
      <c r="AA26" s="629">
        <f t="shared" si="7"/>
        <v>-0.89755212734208956</v>
      </c>
      <c r="AB26" s="629">
        <f t="shared" si="8"/>
        <v>-0.26037634478559218</v>
      </c>
      <c r="AC26" s="636">
        <f>IF(M26="","",SQRT(Z26^2+AA26^2+AB26^2))</f>
        <v>1</v>
      </c>
      <c r="AD26" s="637">
        <f>IF(M26="","",Z26*(1/SQRT(Z26^2+AA26^2+AB26^2)))</f>
        <v>-0.35581503309976076</v>
      </c>
      <c r="AE26" s="629">
        <f>IF(M26="","",AA26*(1/SQRT(Z26^2+AA26^2+AB26^2)))</f>
        <v>-0.89755212734208956</v>
      </c>
      <c r="AF26" s="633">
        <f>IF(M26="","",AB26*(1/SQRT(Z26^2+AA26^2+AB26^2)))</f>
        <v>-0.26037634478559218</v>
      </c>
      <c r="AG26" s="602">
        <f>IF(M26="","",DEGREES(ATAN2(-AF26,AE26)))</f>
        <v>-73.82276371683426</v>
      </c>
      <c r="AH26" s="603">
        <f>IF(M26="","",DEGREES(ACOS(AD26)))</f>
        <v>110.84340413961253</v>
      </c>
      <c r="AI26" s="585">
        <f>IF(M26="","",DEGREES(-ACOS(-AF26)))</f>
        <v>-74.907605722189061</v>
      </c>
      <c r="AJ26" s="586">
        <f>IF(M26="","",DEGREES(ATAN2(-AE26,AD26)))</f>
        <v>-21.624774126033099</v>
      </c>
      <c r="AK26" s="635">
        <f>IF(M26="","",(COS(RADIANS((90-$Q$8)-W26))*AD26)+(-SIN(RADIANS((90-$Q$8)-W26))*AE26))</f>
        <v>0.96523913824194607</v>
      </c>
      <c r="AL26" s="629">
        <f>IF(M26="","",(SIN(RADIANS((90-$Q$8)-W26))*AD26)+(COS(RADIANS((90-$Q$8)-W26))*AE26))</f>
        <v>-2.2750056748054137E-2</v>
      </c>
      <c r="AM26" s="634">
        <f>IF(M26="","",AF26)</f>
        <v>-0.26037634478559218</v>
      </c>
      <c r="AN26" s="581">
        <f>IF(M26="","",DEGREES(ATAN2(-AM26,AL26)))</f>
        <v>-4.9934656900173842</v>
      </c>
      <c r="AO26" s="582">
        <f t="shared" si="94"/>
        <v>15.151269737293227</v>
      </c>
      <c r="AP26" s="585">
        <f>IF(M26="","",DEGREES(ATAN2(AK26,AL26)))</f>
        <v>-1.3501741656804278</v>
      </c>
      <c r="AQ26" s="586">
        <f t="shared" si="9"/>
        <v>1.1024561836804887</v>
      </c>
      <c r="AS26" s="52">
        <f t="shared" si="116"/>
        <v>-109.36560009159598</v>
      </c>
      <c r="AT26" s="72">
        <f t="shared" si="10"/>
        <v>5.5979429790937452E-2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2.6706229524600156</v>
      </c>
      <c r="C27" s="708">
        <v>-1.0389831272793715</v>
      </c>
      <c r="D27" s="709">
        <v>-0.16970060320181946</v>
      </c>
      <c r="E27" s="710">
        <v>0.51079086005111707</v>
      </c>
      <c r="F27" s="708">
        <v>0.83305155999310898</v>
      </c>
      <c r="G27" s="711">
        <v>0.21240949997890368</v>
      </c>
      <c r="H27" s="710">
        <v>0.314</v>
      </c>
      <c r="I27" s="708">
        <v>0.52</v>
      </c>
      <c r="J27" s="570">
        <v>3.1150000000000002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843"/>
      <c r="M27" s="168">
        <f t="shared" si="1"/>
        <v>3.1150000000000002</v>
      </c>
      <c r="N27" s="632">
        <f t="shared" si="2"/>
        <v>2.6706229524600156</v>
      </c>
      <c r="O27" s="629">
        <f t="shared" si="3"/>
        <v>-1.0389831272793715</v>
      </c>
      <c r="P27" s="633">
        <f t="shared" si="4"/>
        <v>-0.16970060320181946</v>
      </c>
      <c r="Q27" s="585">
        <f t="shared" si="113"/>
        <v>338.74190018164717</v>
      </c>
      <c r="R27" s="629">
        <f t="shared" si="79"/>
        <v>2.865608642675666</v>
      </c>
      <c r="S27" s="634">
        <f t="shared" si="80"/>
        <v>-0.16970060320181946</v>
      </c>
      <c r="T27" s="635">
        <f t="shared" si="81"/>
        <v>-0.99648461002976885</v>
      </c>
      <c r="U27" s="629">
        <f t="shared" si="82"/>
        <v>-2.6867696802947756</v>
      </c>
      <c r="V27" s="636">
        <f t="shared" si="114"/>
        <v>-0.16970060320181946</v>
      </c>
      <c r="W27" s="585">
        <f t="shared" si="224"/>
        <v>249.65090005040383</v>
      </c>
      <c r="X27" s="629">
        <f t="shared" si="83"/>
        <v>2.865608642675666</v>
      </c>
      <c r="Y27" s="630">
        <f t="shared" si="223"/>
        <v>-0.16970060320181946</v>
      </c>
      <c r="Z27" s="632">
        <f t="shared" si="6"/>
        <v>-0.51079086005111707</v>
      </c>
      <c r="AA27" s="629">
        <f t="shared" si="7"/>
        <v>-0.83305155999310898</v>
      </c>
      <c r="AB27" s="629">
        <f t="shared" si="8"/>
        <v>-0.21240949997890368</v>
      </c>
      <c r="AC27" s="636">
        <f t="shared" si="84"/>
        <v>1</v>
      </c>
      <c r="AD27" s="637">
        <f t="shared" si="115"/>
        <v>-0.51079086005111707</v>
      </c>
      <c r="AE27" s="629">
        <f t="shared" si="85"/>
        <v>-0.83305155999310898</v>
      </c>
      <c r="AF27" s="633">
        <f t="shared" si="86"/>
        <v>-0.21240949997890368</v>
      </c>
      <c r="AG27" s="602">
        <f t="shared" si="87"/>
        <v>-75.695652416337893</v>
      </c>
      <c r="AH27" s="603">
        <f t="shared" si="88"/>
        <v>120.71652290184726</v>
      </c>
      <c r="AI27" s="585">
        <f t="shared" si="89"/>
        <v>-77.7364074138289</v>
      </c>
      <c r="AJ27" s="586">
        <f t="shared" si="90"/>
        <v>-31.51480845033181</v>
      </c>
      <c r="AK27" s="635">
        <f t="shared" si="211"/>
        <v>0.96156525382650315</v>
      </c>
      <c r="AL27" s="629">
        <f t="shared" si="91"/>
        <v>-0.17399559463470621</v>
      </c>
      <c r="AM27" s="634">
        <f t="shared" si="92"/>
        <v>-0.21240949997890368</v>
      </c>
      <c r="AN27" s="581">
        <f t="shared" si="93"/>
        <v>-39.322676753629786</v>
      </c>
      <c r="AO27" s="582">
        <f t="shared" si="94"/>
        <v>15.936778823704183</v>
      </c>
      <c r="AP27" s="585">
        <f t="shared" si="95"/>
        <v>-10.256708631978952</v>
      </c>
      <c r="AQ27" s="586">
        <f t="shared" si="9"/>
        <v>0.79549597646886883</v>
      </c>
      <c r="AS27" s="52">
        <f t="shared" si="116"/>
        <v>-110.34909994959617</v>
      </c>
      <c r="AT27" s="72">
        <f t="shared" si="10"/>
        <v>-9.2438033883518886E-2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3.1150000000000002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3.188194676699466</v>
      </c>
      <c r="C28" s="708">
        <v>-1.2985732316091709</v>
      </c>
      <c r="D28" s="709">
        <v>-0.70410221495708036</v>
      </c>
      <c r="E28" s="710">
        <v>0.65195028832248558</v>
      </c>
      <c r="F28" s="708">
        <v>0.73965448314742199</v>
      </c>
      <c r="G28" s="711">
        <v>0.16694929504537609</v>
      </c>
      <c r="H28" s="710">
        <v>0.314</v>
      </c>
      <c r="I28" s="708">
        <v>0.52</v>
      </c>
      <c r="J28" s="570">
        <v>3.121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3.121</v>
      </c>
      <c r="N28" s="632">
        <f t="shared" si="2"/>
        <v>3.188194676699466</v>
      </c>
      <c r="O28" s="629">
        <f t="shared" si="3"/>
        <v>-1.2985732316091709</v>
      </c>
      <c r="P28" s="633">
        <f t="shared" si="4"/>
        <v>-0.70410221495708036</v>
      </c>
      <c r="Q28" s="585">
        <f t="shared" si="113"/>
        <v>337.83860031206751</v>
      </c>
      <c r="R28" s="629">
        <f t="shared" si="79"/>
        <v>3.4425103826113146</v>
      </c>
      <c r="S28" s="634">
        <f t="shared" si="80"/>
        <v>-0.70410221495708036</v>
      </c>
      <c r="T28" s="635">
        <f t="shared" si="81"/>
        <v>-1.2478310937285477</v>
      </c>
      <c r="U28" s="629">
        <f t="shared" si="82"/>
        <v>-3.2083945044072926</v>
      </c>
      <c r="V28" s="636">
        <f t="shared" si="114"/>
        <v>-0.70410221495708036</v>
      </c>
      <c r="W28" s="585">
        <f t="shared" si="224"/>
        <v>248.74760018082418</v>
      </c>
      <c r="X28" s="629">
        <f t="shared" si="83"/>
        <v>3.4425103826113146</v>
      </c>
      <c r="Y28" s="630">
        <f t="shared" si="223"/>
        <v>-0.70410221495708036</v>
      </c>
      <c r="Z28" s="632">
        <f t="shared" si="6"/>
        <v>-0.65195028832248558</v>
      </c>
      <c r="AA28" s="629">
        <f t="shared" si="7"/>
        <v>-0.73965448314742199</v>
      </c>
      <c r="AB28" s="629">
        <f t="shared" si="8"/>
        <v>-0.16694929504537609</v>
      </c>
      <c r="AC28" s="636">
        <f t="shared" si="84"/>
        <v>1</v>
      </c>
      <c r="AD28" s="637">
        <f t="shared" si="115"/>
        <v>-0.65195028832248558</v>
      </c>
      <c r="AE28" s="629">
        <f t="shared" si="85"/>
        <v>-0.73965448314742199</v>
      </c>
      <c r="AF28" s="633">
        <f t="shared" si="86"/>
        <v>-0.16694929504537609</v>
      </c>
      <c r="AG28" s="602">
        <f t="shared" si="87"/>
        <v>-77.280763895081037</v>
      </c>
      <c r="AH28" s="603">
        <f t="shared" si="88"/>
        <v>130.68880715433784</v>
      </c>
      <c r="AI28" s="585">
        <f t="shared" si="89"/>
        <v>-80.389508256491396</v>
      </c>
      <c r="AJ28" s="586">
        <f t="shared" si="90"/>
        <v>-41.393772914693159</v>
      </c>
      <c r="AK28" s="635">
        <f t="shared" si="211"/>
        <v>0.93093914682458878</v>
      </c>
      <c r="AL28" s="629">
        <f t="shared" si="91"/>
        <v>-0.32477721255247988</v>
      </c>
      <c r="AM28" s="634">
        <f t="shared" si="92"/>
        <v>-0.16694929504537609</v>
      </c>
      <c r="AN28" s="581">
        <f t="shared" si="93"/>
        <v>-62.794909243580399</v>
      </c>
      <c r="AO28" s="582">
        <f t="shared" si="94"/>
        <v>21.418312808829032</v>
      </c>
      <c r="AP28" s="585">
        <f t="shared" si="95"/>
        <v>-19.232373226760693</v>
      </c>
      <c r="AQ28" s="586">
        <f t="shared" si="9"/>
        <v>0.66219847479766081</v>
      </c>
      <c r="AS28" s="52">
        <f t="shared" si="116"/>
        <v>-111.25239981917582</v>
      </c>
      <c r="AT28" s="72">
        <f t="shared" si="10"/>
        <v>-0.62621235406268283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3.3769372201904901</v>
      </c>
      <c r="C29" s="708">
        <v>-1.3994015758652338</v>
      </c>
      <c r="D29" s="709">
        <v>-1.4426044422797981</v>
      </c>
      <c r="E29" s="710">
        <v>0.78811709781666373</v>
      </c>
      <c r="F29" s="708">
        <v>0.60929405441301832</v>
      </c>
      <c r="G29" s="711">
        <v>8.736243692792256E-2</v>
      </c>
      <c r="H29" s="710">
        <v>0.314</v>
      </c>
      <c r="I29" s="708">
        <v>0.52</v>
      </c>
      <c r="J29" s="570">
        <v>3.1269999999999998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3.1269999999999998</v>
      </c>
      <c r="N29" s="632">
        <f t="shared" si="2"/>
        <v>3.3769372201904901</v>
      </c>
      <c r="O29" s="629">
        <f t="shared" si="3"/>
        <v>-1.3994015758652338</v>
      </c>
      <c r="P29" s="633">
        <f t="shared" si="4"/>
        <v>-1.4426044422797981</v>
      </c>
      <c r="Q29" s="585">
        <f t="shared" si="113"/>
        <v>337.4909003622692</v>
      </c>
      <c r="R29" s="629">
        <f>IF(M29="","",SQRT(N29^2+O29^2))</f>
        <v>3.6554110247196516</v>
      </c>
      <c r="S29" s="634">
        <f>IF(M29="","",P29)</f>
        <v>-1.4426044422797981</v>
      </c>
      <c r="T29" s="635">
        <f>IF(M29="","",X29*COS(RADIANS(W29)))</f>
        <v>-1.3456524665244403</v>
      </c>
      <c r="U29" s="629">
        <f>IF(M29="","",X29*SIN(RADIANS(W29)))</f>
        <v>-3.398712873865438</v>
      </c>
      <c r="V29" s="636">
        <f>IF(M29="","",Y29)</f>
        <v>-1.4426044422797981</v>
      </c>
      <c r="W29" s="585">
        <f t="shared" si="224"/>
        <v>248.39990023102587</v>
      </c>
      <c r="X29" s="629">
        <f>IF(M29="","",R29)</f>
        <v>3.6554110247196516</v>
      </c>
      <c r="Y29" s="630">
        <f t="shared" si="223"/>
        <v>-1.4426044422797981</v>
      </c>
      <c r="Z29" s="632">
        <f t="shared" si="6"/>
        <v>-0.78811709781666373</v>
      </c>
      <c r="AA29" s="629">
        <f t="shared" si="7"/>
        <v>-0.60929405441301832</v>
      </c>
      <c r="AB29" s="629">
        <f t="shared" si="8"/>
        <v>-8.736243692792256E-2</v>
      </c>
      <c r="AC29" s="636">
        <f>IF(M29="","",SQRT(Z29^2+AA29^2+AB29^2))</f>
        <v>1</v>
      </c>
      <c r="AD29" s="637">
        <f>IF(M29="","",Z29*(1/SQRT(Z29^2+AA29^2+AB29^2)))</f>
        <v>-0.78811709781666373</v>
      </c>
      <c r="AE29" s="629">
        <f>IF(M29="","",AA29*(1/SQRT(Z29^2+AA29^2+AB29^2)))</f>
        <v>-0.60929405441301832</v>
      </c>
      <c r="AF29" s="633">
        <f>IF(M29="","",AB29*(1/SQRT(Z29^2+AA29^2+AB29^2)))</f>
        <v>-8.736243692792256E-2</v>
      </c>
      <c r="AG29" s="602">
        <f>IF(M29="","",DEGREES(ATAN2(-AF29,AE29)))</f>
        <v>-81.840370478927809</v>
      </c>
      <c r="AH29" s="603">
        <f>IF(M29="","",DEGREES(ACOS(AD29)))</f>
        <v>142.0098978876814</v>
      </c>
      <c r="AI29" s="585">
        <f>IF(M29="","",DEGREES(-ACOS(-AF29)))</f>
        <v>-84.988111950629872</v>
      </c>
      <c r="AJ29" s="586">
        <f>IF(M29="","",DEGREES(ATAN2(-AE29,AD29)))</f>
        <v>-52.292357419169704</v>
      </c>
      <c r="AK29" s="635">
        <f>IF(M29="","",(COS(RADIANS((90-$Q$8)-W29))*AD29)+(-SIN(RADIANS((90-$Q$8)-W29))*AE29))</f>
        <v>0.86459225998571554</v>
      </c>
      <c r="AL29" s="629">
        <f>IF(M29="","",(SIN(RADIANS((90-$Q$8)-W29))*AD29)+(COS(RADIANS((90-$Q$8)-W29))*AE29))</f>
        <v>-0.49482120870755697</v>
      </c>
      <c r="AM29" s="634">
        <f>IF(M29="","",AF29)</f>
        <v>-8.736243692792256E-2</v>
      </c>
      <c r="AN29" s="581">
        <f>IF(M29="","",DEGREES(ATAN2(-AM29,AL29)))</f>
        <v>-79.987410921533439</v>
      </c>
      <c r="AO29" s="582">
        <f t="shared" si="94"/>
        <v>30.163820760922643</v>
      </c>
      <c r="AP29" s="585">
        <f>IF(M29="","",DEGREES(ATAN2(AK29,AL29)))</f>
        <v>-29.783257781438909</v>
      </c>
      <c r="AQ29" s="586">
        <f t="shared" si="9"/>
        <v>0.62363345417304028</v>
      </c>
      <c r="AS29" s="52">
        <f t="shared" si="116"/>
        <v>-111.60009976897413</v>
      </c>
      <c r="AT29" s="72">
        <f t="shared" si="10"/>
        <v>-1.3644731230869296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3.1269999999999998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3.4009548447176456</v>
      </c>
      <c r="C30" s="708">
        <v>-1.4132439825421466</v>
      </c>
      <c r="D30" s="709">
        <v>-2.2137000000000007</v>
      </c>
      <c r="E30" s="710">
        <v>0.79404344755105172</v>
      </c>
      <c r="F30" s="708">
        <v>0.60786100664644338</v>
      </c>
      <c r="G30" s="711">
        <v>1.133974479308639E-7</v>
      </c>
      <c r="H30" s="710">
        <v>0.314</v>
      </c>
      <c r="I30" s="708">
        <v>0.52</v>
      </c>
      <c r="J30" s="570">
        <v>3.133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3.133</v>
      </c>
      <c r="N30" s="632">
        <f t="shared" si="2"/>
        <v>3.4009548447176456</v>
      </c>
      <c r="O30" s="629">
        <f t="shared" si="3"/>
        <v>-1.4132439825421466</v>
      </c>
      <c r="P30" s="633">
        <f t="shared" si="4"/>
        <v>-2.2137000000000007</v>
      </c>
      <c r="Q30" s="585">
        <f t="shared" si="113"/>
        <v>337.435</v>
      </c>
      <c r="R30" s="629">
        <f>IF(M30="","",SQRT(N30^2+O30^2))</f>
        <v>3.6829000000000014</v>
      </c>
      <c r="S30" s="634">
        <f>IF(M30="","",P30)</f>
        <v>-2.2137000000000007</v>
      </c>
      <c r="T30" s="635">
        <f>IF(M30="","",X30*COS(RADIANS(W30)))</f>
        <v>-1.35911210657032</v>
      </c>
      <c r="U30" s="629">
        <f>IF(M30="","",X30*SIN(RADIANS(W30)))</f>
        <v>-3.4229470769753361</v>
      </c>
      <c r="V30" s="636">
        <f>IF(M30="","",Y30)</f>
        <v>-2.2137000000000007</v>
      </c>
      <c r="W30" s="585">
        <f t="shared" si="224"/>
        <v>248.34399986875667</v>
      </c>
      <c r="X30" s="629">
        <f>IF(M30="","",R30)</f>
        <v>3.6829000000000014</v>
      </c>
      <c r="Y30" s="630">
        <f t="shared" si="223"/>
        <v>-2.2137000000000007</v>
      </c>
      <c r="Z30" s="632">
        <f t="shared" si="6"/>
        <v>-0.79404344755105172</v>
      </c>
      <c r="AA30" s="629">
        <f t="shared" si="7"/>
        <v>-0.60786100664644338</v>
      </c>
      <c r="AB30" s="629">
        <f t="shared" si="8"/>
        <v>-1.133974479308639E-7</v>
      </c>
      <c r="AC30" s="636">
        <f>IF(M30="","",SQRT(Z30^2+AA30^2+AB30^2))</f>
        <v>1</v>
      </c>
      <c r="AD30" s="637">
        <f>IF(M30="","",Z30*(1/SQRT(Z30^2+AA30^2+AB30^2)))</f>
        <v>-0.79404344755105172</v>
      </c>
      <c r="AE30" s="629">
        <f>IF(M30="","",AA30*(1/SQRT(Z30^2+AA30^2+AB30^2)))</f>
        <v>-0.60786100664644338</v>
      </c>
      <c r="AF30" s="633">
        <f>IF(M30="","",AB30*(1/SQRT(Z30^2+AA30^2+AB30^2)))</f>
        <v>-1.133974479308639E-7</v>
      </c>
      <c r="AG30" s="602">
        <f>IF(M30="","",DEGREES(ATAN2(-AF30,AE30)))</f>
        <v>-89.999989311380233</v>
      </c>
      <c r="AH30" s="603">
        <f>IF(M30="","",DEGREES(ACOS(AD30)))</f>
        <v>142.56499999999886</v>
      </c>
      <c r="AI30" s="585">
        <f>IF(M30="","",DEGREES(-ACOS(-AF30)))</f>
        <v>-89.999993502804827</v>
      </c>
      <c r="AJ30" s="586">
        <f>IF(M30="","",DEGREES(ATAN2(-AE30,AD30)))</f>
        <v>-52.564999999999351</v>
      </c>
      <c r="AK30" s="635">
        <f>IF(M30="","",(COS(RADIANS((90-$Q$8)-W30))*AD30)+(-SIN(RADIANS((90-$Q$8)-W30))*AE30))</f>
        <v>0.86602540378443882</v>
      </c>
      <c r="AL30" s="629">
        <f>IF(M30="","",(SIN(RADIANS((90-$Q$8)-W30))*AD30)+(COS(RADIANS((90-$Q$8)-W30))*AE30))</f>
        <v>-0.49999999999998684</v>
      </c>
      <c r="AM30" s="634">
        <f>IF(M30="","",AF30)</f>
        <v>-1.133974479308639E-7</v>
      </c>
      <c r="AN30" s="581">
        <f>IF(M30="","",DEGREES(ATAN2(-AM30,AL30)))</f>
        <v>-89.999987005609654</v>
      </c>
      <c r="AO30" s="582">
        <f>IF(ROUND(IF(M30="",0,DEGREES(ACOS(AK30))),4)=90,0,IF(M30="","",DEGREES(ACOS(AK30))))</f>
        <v>29.999999999999979</v>
      </c>
      <c r="AP30" s="585">
        <f>IF(M30="","",DEGREES(ATAN2(AK30,AL30)))</f>
        <v>-29.999999999999343</v>
      </c>
      <c r="AQ30" s="586">
        <f t="shared" si="9"/>
        <v>0.61897904982222895</v>
      </c>
      <c r="AS30" s="52">
        <f t="shared" si="116"/>
        <v>-111.65600013124333</v>
      </c>
      <c r="AT30" s="72">
        <f t="shared" si="10"/>
        <v>-2.1355298611111118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3.133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12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750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2.5786665578408843</v>
      </c>
      <c r="C31" s="708">
        <v>-2.2975080963005743</v>
      </c>
      <c r="D31" s="709">
        <v>-0.75713145963611705</v>
      </c>
      <c r="E31" s="710">
        <v>0.48885443285694991</v>
      </c>
      <c r="F31" s="708">
        <v>-0.43555341189272584</v>
      </c>
      <c r="G31" s="711">
        <v>0.75585353664894317</v>
      </c>
      <c r="H31" s="710">
        <v>0.25700000000000001</v>
      </c>
      <c r="I31" s="708">
        <v>0.41499999999999992</v>
      </c>
      <c r="J31" s="570">
        <v>3.2210000000000001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CPS-32193r1</v>
      </c>
      <c r="L31" s="320"/>
      <c r="M31" s="168">
        <f t="shared" si="1"/>
        <v>3.2210000000000001</v>
      </c>
      <c r="N31" s="632">
        <f t="shared" si="2"/>
        <v>2.5786665578408843</v>
      </c>
      <c r="O31" s="629">
        <f t="shared" si="3"/>
        <v>-2.2975080963005743</v>
      </c>
      <c r="P31" s="633">
        <f t="shared" si="4"/>
        <v>-0.75713145963611705</v>
      </c>
      <c r="Q31" s="585">
        <f t="shared" si="113"/>
        <v>318.3</v>
      </c>
      <c r="R31" s="629">
        <f>IF(M31="","",SQRT(N31^2+O31^2))</f>
        <v>3.4537030371897415</v>
      </c>
      <c r="S31" s="634">
        <f>IF(M31="","",P31)</f>
        <v>-0.75713145963611705</v>
      </c>
      <c r="T31" s="635">
        <f>IF(M31="","",X31*COS(RADIANS(W31)))</f>
        <v>-2.2563100280471682</v>
      </c>
      <c r="U31" s="629">
        <f>IF(M31="","",X31*SIN(RADIANS(W31)))</f>
        <v>-2.6147905702804253</v>
      </c>
      <c r="V31" s="636">
        <f>IF(M31="","",Y31)</f>
        <v>-0.75713145963611705</v>
      </c>
      <c r="W31" s="585">
        <f t="shared" si="224"/>
        <v>229.20899986875668</v>
      </c>
      <c r="X31" s="629">
        <f>IF(M31="","",R31)</f>
        <v>3.4537030371897415</v>
      </c>
      <c r="Y31" s="630">
        <f t="shared" si="223"/>
        <v>-0.75713145963611705</v>
      </c>
      <c r="Z31" s="632">
        <f t="shared" si="6"/>
        <v>-0.48885443285694991</v>
      </c>
      <c r="AA31" s="629">
        <f t="shared" si="7"/>
        <v>0.43555341189272584</v>
      </c>
      <c r="AB31" s="629">
        <f t="shared" si="8"/>
        <v>-0.75585353664894317</v>
      </c>
      <c r="AC31" s="636">
        <f>IF(M31="","",SQRT(Z31^2+AA31^2+AB31^2))</f>
        <v>1</v>
      </c>
      <c r="AD31" s="637">
        <f>IF(M31="","",Z31*(1/SQRT(Z31^2+AA31^2+AB31^2)))</f>
        <v>-0.48885443285694991</v>
      </c>
      <c r="AE31" s="629">
        <f>IF(M31="","",AA31*(1/SQRT(Z31^2+AA31^2+AB31^2)))</f>
        <v>0.43555341189272584</v>
      </c>
      <c r="AF31" s="633">
        <f>IF(M31="","",AB31*(1/SQRT(Z31^2+AA31^2+AB31^2)))</f>
        <v>-0.75585353664894317</v>
      </c>
      <c r="AG31" s="602">
        <f>IF(M31="","",DEGREES(ATAN2(-AF31,AE31)))</f>
        <v>29.952287810494163</v>
      </c>
      <c r="AH31" s="603">
        <f>IF(M31="","",DEGREES(ACOS(AD31)))</f>
        <v>119.26531454684255</v>
      </c>
      <c r="AI31" s="585">
        <f>IF(M31="","",DEGREES(-ACOS(-AF31)))</f>
        <v>-40.899994094771486</v>
      </c>
      <c r="AJ31" s="586">
        <f>IF(M31="","",DEGREES(ATAN2(-AE31,AD31)))</f>
        <v>-131.69999999999999</v>
      </c>
      <c r="AK31" s="635">
        <f>IF(M31="","",(COS(RADIANS((90-$Q$8)-W31))*AD31)+(-SIN(RADIANS((90-$Q$8)-W31))*AE31))</f>
        <v>-1.6653345369377348E-16</v>
      </c>
      <c r="AL31" s="629">
        <f>IF(M31="","",(SIN(RADIANS((90-$Q$8)-W31))*AD31)+(COS(RADIANS((90-$Q$8)-W31))*AE31))</f>
        <v>-0.65474073581478387</v>
      </c>
      <c r="AM31" s="634">
        <f>IF(M31="","",AF31)</f>
        <v>-0.75585353664894317</v>
      </c>
      <c r="AN31" s="581">
        <f>IF(M31="","",DEGREES(ATAN2(-AM31,AL31)))</f>
        <v>-40.899994094771479</v>
      </c>
      <c r="AO31" s="582">
        <f t="shared" si="94"/>
        <v>0</v>
      </c>
      <c r="AP31" s="585">
        <f>IF(M31="","",DEGREES(ATAN2(AK31,AL31)))</f>
        <v>-90.000000000000014</v>
      </c>
      <c r="AQ31" s="586">
        <f t="shared" si="9"/>
        <v>0.66005263252138435</v>
      </c>
      <c r="AS31" s="52">
        <f t="shared" si="116"/>
        <v>-130.79100013124332</v>
      </c>
      <c r="AT31" s="72">
        <f t="shared" si="10"/>
        <v>-0.66567312630278375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3.2210000000000001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3.121</v>
      </c>
      <c r="II31" s="734" cm="1">
        <f t="array" ref="II31">IFERROR(ROUND(VALUE(IF($IH31&lt;1,$IH31+LARGE((IF($M$9:$M$150="",0,$M$9:$M$150)-MOD(IF($M$9:$M$150="",0,$M$9:$M$150),1)),1),$IH31)),4),"")</f>
        <v>3.121</v>
      </c>
      <c r="IJ31" s="533">
        <f t="shared" si="112"/>
        <v>1613</v>
      </c>
      <c r="IK31" s="533" t="str">
        <f t="shared" si="66"/>
        <v>CPS-32193r1</v>
      </c>
      <c r="IL31" s="727">
        <f t="shared" si="225"/>
        <v>19.538600312067501</v>
      </c>
      <c r="IM31" s="759">
        <v>2.1520581505451698E-2</v>
      </c>
      <c r="IN31" s="5">
        <f t="shared" si="226"/>
        <v>1.7</v>
      </c>
      <c r="IO31" s="771">
        <v>850</v>
      </c>
      <c r="IP31" s="9">
        <f t="shared" si="227"/>
        <v>-3.4425103826113146</v>
      </c>
      <c r="IQ31" s="5">
        <f t="shared" si="228"/>
        <v>-0.70410221495708036</v>
      </c>
      <c r="IR31" s="5">
        <f t="shared" si="71"/>
        <v>0.314</v>
      </c>
      <c r="IS31" s="5">
        <f t="shared" si="229"/>
        <v>0.29231489210292089</v>
      </c>
      <c r="IT31" s="727">
        <f t="shared" si="230"/>
        <v>62.794909243580399</v>
      </c>
      <c r="IU31" s="9">
        <f t="shared" si="231"/>
        <v>-3.4537030371897415</v>
      </c>
      <c r="IV31" s="5">
        <f t="shared" si="232"/>
        <v>-0.75713145963611705</v>
      </c>
      <c r="IW31" s="5">
        <f t="shared" si="76"/>
        <v>0.25700000000000001</v>
      </c>
      <c r="IX31" s="5">
        <f t="shared" si="233"/>
        <v>0.25700000000000001</v>
      </c>
      <c r="IY31" s="762">
        <f t="shared" si="234"/>
        <v>40.899994094771479</v>
      </c>
    </row>
    <row r="32" spans="1:269" ht="15" customHeight="1" x14ac:dyDescent="0.25">
      <c r="A32" s="79"/>
      <c r="B32" s="707">
        <v>2.7516954228449388</v>
      </c>
      <c r="C32" s="708">
        <v>-2.3861163769265814</v>
      </c>
      <c r="D32" s="709">
        <v>-1.4936009165044444</v>
      </c>
      <c r="E32" s="710">
        <v>0.67014613082102481</v>
      </c>
      <c r="F32" s="708">
        <v>-0.58111294298749372</v>
      </c>
      <c r="G32" s="711">
        <v>0.46174875293607875</v>
      </c>
      <c r="H32" s="710">
        <v>0.25700000000000001</v>
      </c>
      <c r="I32" s="708">
        <v>0.41499999999999992</v>
      </c>
      <c r="J32" s="570">
        <v>3.2269999999999999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CPS-32193r1</v>
      </c>
      <c r="L32" s="320"/>
      <c r="M32" s="168">
        <f t="shared" si="1"/>
        <v>3.2269999999999999</v>
      </c>
      <c r="N32" s="632">
        <f t="shared" si="2"/>
        <v>2.7516954228449388</v>
      </c>
      <c r="O32" s="629">
        <f t="shared" si="3"/>
        <v>-2.3861163769265814</v>
      </c>
      <c r="P32" s="633">
        <f t="shared" si="4"/>
        <v>-1.4936009165044444</v>
      </c>
      <c r="Q32" s="585">
        <f t="shared" si="113"/>
        <v>319.06999988850737</v>
      </c>
      <c r="R32" s="629">
        <f t="shared" si="79"/>
        <v>3.6421668089672972</v>
      </c>
      <c r="S32" s="634">
        <f t="shared" si="80"/>
        <v>-1.4936009165044444</v>
      </c>
      <c r="T32" s="635">
        <f t="shared" si="81"/>
        <v>-2.3421621627622082</v>
      </c>
      <c r="U32" s="629">
        <f t="shared" si="82"/>
        <v>-2.7892033750997935</v>
      </c>
      <c r="V32" s="636">
        <f t="shared" si="114"/>
        <v>-1.4936009165044444</v>
      </c>
      <c r="W32" s="585">
        <f t="shared" si="224"/>
        <v>229.97899975726403</v>
      </c>
      <c r="X32" s="629">
        <f t="shared" si="83"/>
        <v>3.6421668089672972</v>
      </c>
      <c r="Y32" s="630">
        <f t="shared" si="223"/>
        <v>-1.4936009165044444</v>
      </c>
      <c r="Z32" s="632">
        <f t="shared" si="6"/>
        <v>-0.67014613082102481</v>
      </c>
      <c r="AA32" s="629">
        <f t="shared" si="7"/>
        <v>0.58111294298749372</v>
      </c>
      <c r="AB32" s="629">
        <f t="shared" si="8"/>
        <v>-0.46174875293607875</v>
      </c>
      <c r="AC32" s="636">
        <f t="shared" si="84"/>
        <v>1</v>
      </c>
      <c r="AD32" s="637">
        <f t="shared" si="115"/>
        <v>-0.67014613082102481</v>
      </c>
      <c r="AE32" s="629">
        <f t="shared" si="85"/>
        <v>0.58111294298749372</v>
      </c>
      <c r="AF32" s="633">
        <f t="shared" si="86"/>
        <v>-0.46174875293607875</v>
      </c>
      <c r="AG32" s="602">
        <f t="shared" si="87"/>
        <v>51.529563220575895</v>
      </c>
      <c r="AH32" s="603">
        <f t="shared" si="88"/>
        <v>132.07834425025743</v>
      </c>
      <c r="AI32" s="585">
        <f t="shared" si="89"/>
        <v>-62.499990976118561</v>
      </c>
      <c r="AJ32" s="586">
        <f t="shared" si="90"/>
        <v>-130.92998535035767</v>
      </c>
      <c r="AK32" s="635">
        <f t="shared" si="211"/>
        <v>2.2852094339054219E-7</v>
      </c>
      <c r="AL32" s="629">
        <f t="shared" si="91"/>
        <v>-0.88701076045441751</v>
      </c>
      <c r="AM32" s="634">
        <f t="shared" si="92"/>
        <v>-0.46174875293607875</v>
      </c>
      <c r="AN32" s="581">
        <f t="shared" si="93"/>
        <v>-62.499990976117793</v>
      </c>
      <c r="AO32" s="582">
        <f t="shared" si="94"/>
        <v>0</v>
      </c>
      <c r="AP32" s="585">
        <f t="shared" si="95"/>
        <v>-89.999985238864994</v>
      </c>
      <c r="AQ32" s="586">
        <f t="shared" si="9"/>
        <v>0.6259010274496255</v>
      </c>
      <c r="AS32" s="52">
        <f t="shared" si="116"/>
        <v>-130.02100024273597</v>
      </c>
      <c r="AT32" s="72">
        <f t="shared" si="10"/>
        <v>-1.4026773053159078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3.2269999999999999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3.1269999999999998</v>
      </c>
      <c r="II32" s="734" cm="1">
        <f t="array" ref="II32">IFERROR(ROUND(VALUE(IF($IH32&lt;1,$IH32+LARGE((IF($M$9:$M$150="",0,$M$9:$M$150)-MOD(IF($M$9:$M$150="",0,$M$9:$M$150),1)),1),$IH32)),4),"")</f>
        <v>3.1269999999999998</v>
      </c>
      <c r="IJ32" s="533">
        <f t="shared" si="112"/>
        <v>1613</v>
      </c>
      <c r="IK32" s="533" t="str">
        <f t="shared" si="66"/>
        <v>CPS-32193r1</v>
      </c>
      <c r="IL32" s="727">
        <f t="shared" si="225"/>
        <v>18.420900473761833</v>
      </c>
      <c r="IM32" s="759">
        <v>1.8419995272633199E-2</v>
      </c>
      <c r="IN32" s="5">
        <f t="shared" si="226"/>
        <v>2.02</v>
      </c>
      <c r="IO32" s="771">
        <v>1010</v>
      </c>
      <c r="IP32" s="9">
        <f t="shared" si="227"/>
        <v>-3.6554110247196516</v>
      </c>
      <c r="IQ32" s="5">
        <f t="shared" si="228"/>
        <v>-1.4426044422797981</v>
      </c>
      <c r="IR32" s="5">
        <f t="shared" si="71"/>
        <v>0.314</v>
      </c>
      <c r="IS32" s="5">
        <f t="shared" si="229"/>
        <v>0.27148196963551474</v>
      </c>
      <c r="IT32" s="727">
        <f t="shared" si="230"/>
        <v>79.987410921533439</v>
      </c>
      <c r="IU32" s="9">
        <f t="shared" si="231"/>
        <v>-3.6421668089672972</v>
      </c>
      <c r="IV32" s="5">
        <f t="shared" si="232"/>
        <v>-1.4936009165044444</v>
      </c>
      <c r="IW32" s="5">
        <f t="shared" si="76"/>
        <v>0.25700000000000001</v>
      </c>
      <c r="IX32" s="5">
        <f t="shared" si="233"/>
        <v>0.25700000000000001</v>
      </c>
      <c r="IY32" s="762">
        <f t="shared" si="234"/>
        <v>62.499990976117793</v>
      </c>
    </row>
    <row r="33" spans="1:267" ht="15" customHeight="1" x14ac:dyDescent="0.25">
      <c r="A33" s="79"/>
      <c r="B33" s="707">
        <v>2.7691683256018491</v>
      </c>
      <c r="C33" s="708">
        <v>-2.4012679009327136</v>
      </c>
      <c r="D33" s="709">
        <v>-2.2449568692620367</v>
      </c>
      <c r="E33" s="710">
        <v>0.7555106926657229</v>
      </c>
      <c r="F33" s="708">
        <v>-0.65513631655382087</v>
      </c>
      <c r="G33" s="711">
        <v>2.267948966275295E-7</v>
      </c>
      <c r="H33" s="710">
        <v>0.25700000000000001</v>
      </c>
      <c r="I33" s="708">
        <v>0.41499999999999992</v>
      </c>
      <c r="J33" s="570">
        <v>3.2330000000000001</v>
      </c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CPS-32193r1</v>
      </c>
      <c r="L33" s="320"/>
      <c r="M33" s="168">
        <f t="shared" si="1"/>
        <v>3.2330000000000001</v>
      </c>
      <c r="N33" s="632">
        <f t="shared" si="2"/>
        <v>2.7691683256018491</v>
      </c>
      <c r="O33" s="629">
        <f t="shared" si="3"/>
        <v>-2.4012679009327136</v>
      </c>
      <c r="P33" s="633">
        <f t="shared" si="4"/>
        <v>-2.2449568692620367</v>
      </c>
      <c r="Q33" s="585">
        <f t="shared" si="113"/>
        <v>319.06999988921086</v>
      </c>
      <c r="R33" s="629">
        <f t="shared" si="79"/>
        <v>3.6652940874596065</v>
      </c>
      <c r="S33" s="634">
        <f t="shared" si="80"/>
        <v>-2.2449568692620367</v>
      </c>
      <c r="T33" s="635">
        <f t="shared" si="81"/>
        <v>-2.3570345833096313</v>
      </c>
      <c r="U33" s="629">
        <f t="shared" si="82"/>
        <v>-2.8069144484021495</v>
      </c>
      <c r="V33" s="636">
        <f t="shared" si="114"/>
        <v>-2.2449568692620367</v>
      </c>
      <c r="W33" s="585">
        <f t="shared" si="224"/>
        <v>229.97899975796753</v>
      </c>
      <c r="X33" s="629">
        <f t="shared" si="83"/>
        <v>3.6652940874596065</v>
      </c>
      <c r="Y33" s="630">
        <f t="shared" si="223"/>
        <v>-2.2449568692620367</v>
      </c>
      <c r="Z33" s="632">
        <f t="shared" si="6"/>
        <v>-0.7555106926657229</v>
      </c>
      <c r="AA33" s="629">
        <f t="shared" si="7"/>
        <v>0.65513631655382087</v>
      </c>
      <c r="AB33" s="629">
        <f t="shared" si="8"/>
        <v>-2.267948966275295E-7</v>
      </c>
      <c r="AC33" s="636">
        <f t="shared" si="84"/>
        <v>1</v>
      </c>
      <c r="AD33" s="637">
        <f t="shared" si="115"/>
        <v>-0.7555106926657229</v>
      </c>
      <c r="AE33" s="629">
        <f t="shared" si="85"/>
        <v>0.65513631655382087</v>
      </c>
      <c r="AF33" s="633">
        <f t="shared" si="86"/>
        <v>-2.267948966275295E-7</v>
      </c>
      <c r="AG33" s="602">
        <f t="shared" si="87"/>
        <v>89.999980165363965</v>
      </c>
      <c r="AH33" s="603">
        <f t="shared" si="88"/>
        <v>139.07001299438872</v>
      </c>
      <c r="AI33" s="585">
        <f t="shared" si="89"/>
        <v>-89.999987005609611</v>
      </c>
      <c r="AJ33" s="586">
        <f t="shared" si="90"/>
        <v>-130.9299870056096</v>
      </c>
      <c r="AK33" s="635">
        <f t="shared" si="211"/>
        <v>2.2872853189248588E-7</v>
      </c>
      <c r="AL33" s="629">
        <f t="shared" si="91"/>
        <v>-0.99999999999994804</v>
      </c>
      <c r="AM33" s="634">
        <f t="shared" si="92"/>
        <v>-2.267948966275295E-7</v>
      </c>
      <c r="AN33" s="581">
        <f t="shared" si="93"/>
        <v>-89.999987005609611</v>
      </c>
      <c r="AO33" s="582">
        <f t="shared" si="94"/>
        <v>0</v>
      </c>
      <c r="AP33" s="585">
        <f t="shared" si="95"/>
        <v>-89.999986894820466</v>
      </c>
      <c r="AQ33" s="586">
        <f t="shared" si="9"/>
        <v>0.62195202736419852</v>
      </c>
      <c r="AS33" s="52">
        <f t="shared" si="116"/>
        <v>-130.02100024203247</v>
      </c>
      <c r="AT33" s="72">
        <f t="shared" si="10"/>
        <v>-2.1540332580739889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>Gage</v>
      </c>
      <c r="IG33" s="847">
        <f t="shared" si="210"/>
        <v>3.2330000000000001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3.133</v>
      </c>
      <c r="II33" s="734" cm="1">
        <f t="array" ref="II33">IFERROR(ROUND(VALUE(IF($IH33&lt;1,$IH33+LARGE((IF($M$9:$M$150="",0,$M$9:$M$150)-MOD(IF($M$9:$M$150="",0,$M$9:$M$150),1)),1),$IH33)),4),"")</f>
        <v>3.133</v>
      </c>
      <c r="IJ33" s="533">
        <f t="shared" si="112"/>
        <v>1613</v>
      </c>
      <c r="IK33" s="533" t="str">
        <f t="shared" si="66"/>
        <v>CPS-32193r1</v>
      </c>
      <c r="IL33" s="727">
        <f t="shared" si="225"/>
        <v>18.36500011078914</v>
      </c>
      <c r="IM33" s="759">
        <v>2.56131581910863E-2</v>
      </c>
      <c r="IN33" s="5">
        <f t="shared" si="226"/>
        <v>1.88</v>
      </c>
      <c r="IO33" s="771">
        <v>940</v>
      </c>
      <c r="IP33" s="9">
        <f t="shared" si="227"/>
        <v>-3.6829000000000014</v>
      </c>
      <c r="IQ33" s="5">
        <f t="shared" si="228"/>
        <v>-2.2137000000000007</v>
      </c>
      <c r="IR33" s="5">
        <f t="shared" si="71"/>
        <v>0.314</v>
      </c>
      <c r="IS33" s="5">
        <f t="shared" si="229"/>
        <v>0.27193197678831377</v>
      </c>
      <c r="IT33" s="727">
        <f t="shared" si="230"/>
        <v>89.999987005609654</v>
      </c>
      <c r="IU33" s="9">
        <f t="shared" si="231"/>
        <v>-3.6652940874596065</v>
      </c>
      <c r="IV33" s="5">
        <f t="shared" si="232"/>
        <v>-2.2449568692620367</v>
      </c>
      <c r="IW33" s="5">
        <f t="shared" si="76"/>
        <v>0.25700000000000001</v>
      </c>
      <c r="IX33" s="5">
        <f t="shared" si="233"/>
        <v>0.25700000000000001</v>
      </c>
      <c r="IY33" s="762">
        <f t="shared" si="234"/>
        <v>89.999987005609611</v>
      </c>
    </row>
    <row r="34" spans="1:267" ht="15" customHeight="1" x14ac:dyDescent="0.25">
      <c r="A34" s="79"/>
      <c r="B34" s="707">
        <v>0.3301737809021707</v>
      </c>
      <c r="C34" s="708">
        <v>-1.9035780189960076</v>
      </c>
      <c r="D34" s="709">
        <v>-4.1700000000000272E-2</v>
      </c>
      <c r="E34" s="710">
        <v>0.95096431162806838</v>
      </c>
      <c r="F34" s="708">
        <v>0.16720390295040674</v>
      </c>
      <c r="G34" s="711">
        <v>0.26021093913958582</v>
      </c>
      <c r="H34" s="710">
        <v>0.314</v>
      </c>
      <c r="I34" s="708">
        <v>0.52</v>
      </c>
      <c r="J34" s="570">
        <v>4.1079999999999997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4.1079999999999997</v>
      </c>
      <c r="N34" s="632">
        <f t="shared" si="2"/>
        <v>0.3301737809021707</v>
      </c>
      <c r="O34" s="629">
        <f t="shared" si="3"/>
        <v>-1.9035780189960076</v>
      </c>
      <c r="P34" s="633">
        <f t="shared" si="4"/>
        <v>-4.1700000000000272E-2</v>
      </c>
      <c r="Q34" s="585">
        <f t="shared" si="113"/>
        <v>279.84000000000003</v>
      </c>
      <c r="R34" s="629">
        <f>IF(M34="","",SQRT(N34^2+O34^2))</f>
        <v>1.9319999999999999</v>
      </c>
      <c r="S34" s="634">
        <f>IF(M34="","",P34)</f>
        <v>-4.1700000000000272E-2</v>
      </c>
      <c r="T34" s="635">
        <f>IF(M34="","",X34*COS(RADIANS(W34)))</f>
        <v>-1.8981004584879158</v>
      </c>
      <c r="U34" s="629">
        <f>IF(M34="","",X34*SIN(RADIANS(W34)))</f>
        <v>-0.36033130517339734</v>
      </c>
      <c r="V34" s="636">
        <f>IF(M34="","",Y34)</f>
        <v>-4.1700000000000272E-2</v>
      </c>
      <c r="W34" s="585">
        <f t="shared" si="224"/>
        <v>190.7489998687567</v>
      </c>
      <c r="X34" s="629">
        <f>IF(M34="","",R34)</f>
        <v>1.9319999999999999</v>
      </c>
      <c r="Y34" s="630">
        <f t="shared" si="223"/>
        <v>-4.1700000000000272E-2</v>
      </c>
      <c r="Z34" s="632">
        <f t="shared" si="6"/>
        <v>-0.95096431162806838</v>
      </c>
      <c r="AA34" s="629">
        <f t="shared" si="7"/>
        <v>-0.16720390295040674</v>
      </c>
      <c r="AB34" s="629">
        <f t="shared" si="8"/>
        <v>-0.26021093913958582</v>
      </c>
      <c r="AC34" s="636">
        <f>IF(M34="","",SQRT(Z34^2+AA34^2+AB34^2))</f>
        <v>1</v>
      </c>
      <c r="AD34" s="637">
        <f>IF(M34="","",Z34*(1/SQRT(Z34^2+AA34^2+AB34^2)))</f>
        <v>-0.95096431162806838</v>
      </c>
      <c r="AE34" s="629">
        <f>IF(M34="","",AA34*(1/SQRT(Z34^2+AA34^2+AB34^2)))</f>
        <v>-0.16720390295040674</v>
      </c>
      <c r="AF34" s="633">
        <f>IF(M34="","",AB34*(1/SQRT(Z34^2+AA34^2+AB34^2)))</f>
        <v>-0.26021093913958582</v>
      </c>
      <c r="AG34" s="602">
        <f>IF(M34="","",DEGREES(ATAN2(-AF34,AE34)))</f>
        <v>-32.723608474702417</v>
      </c>
      <c r="AH34" s="603">
        <f>IF(M34="","",DEGREES(ACOS(AD34)))</f>
        <v>161.98291189494989</v>
      </c>
      <c r="AI34" s="585">
        <f>IF(M34="","",DEGREES(-ACOS(-AF34)))</f>
        <v>-74.917421108891006</v>
      </c>
      <c r="AJ34" s="586">
        <f>IF(M34="","",DEGREES(ATAN2(-AE34,AD34)))</f>
        <v>-80.027861273807531</v>
      </c>
      <c r="AK34" s="635">
        <f>IF(M34="","",(COS(RADIANS((90-$Q$8)-W34))*AD34)+(-SIN(RADIANS((90-$Q$8)-W34))*AE34))</f>
        <v>0.96554922633726503</v>
      </c>
      <c r="AL34" s="629">
        <f>IF(M34="","",(SIN(RADIANS((90-$Q$8)-W34))*AD34)+(COS(RADIANS((90-$Q$8)-W34))*AE34))</f>
        <v>2.2268074914421621E-3</v>
      </c>
      <c r="AM34" s="634">
        <f>IF(M34="","",AF34)</f>
        <v>-0.26021093913958582</v>
      </c>
      <c r="AN34" s="581">
        <f>IF(M34="","",DEGREES(ATAN2(-AM34,AL34)))</f>
        <v>0.49030819778374984</v>
      </c>
      <c r="AO34" s="582">
        <f t="shared" si="94"/>
        <v>15.083144282882534</v>
      </c>
      <c r="AP34" s="585">
        <f>IF(M34="","",DEGREES(ATAN2(AK34,AL34)))</f>
        <v>0.13213872619246589</v>
      </c>
      <c r="AQ34" s="586">
        <f t="shared" si="9"/>
        <v>1.1798159464643128</v>
      </c>
      <c r="AS34" s="52">
        <f t="shared" si="116"/>
        <v>-169.2510001312433</v>
      </c>
      <c r="AT34" s="72">
        <f t="shared" si="10"/>
        <v>7.6466666666666377E-2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4.1079999999999997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0.42531673613359866</v>
      </c>
      <c r="C35" s="708">
        <v>-2.7108461948866256</v>
      </c>
      <c r="D35" s="709">
        <v>-0.1143004361149155</v>
      </c>
      <c r="E35" s="710">
        <v>0.97425626610641647</v>
      </c>
      <c r="F35" s="708">
        <v>-9.7868323153740139E-4</v>
      </c>
      <c r="G35" s="711">
        <v>0.22544127867698929</v>
      </c>
      <c r="H35" s="710">
        <v>0.314</v>
      </c>
      <c r="I35" s="708">
        <v>0.52</v>
      </c>
      <c r="J35" s="570">
        <v>4.1139999999999999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4.1139999999999999</v>
      </c>
      <c r="N35" s="632">
        <f t="shared" si="2"/>
        <v>0.42531673613359866</v>
      </c>
      <c r="O35" s="629">
        <f t="shared" si="3"/>
        <v>-2.7108461948866256</v>
      </c>
      <c r="P35" s="633">
        <f t="shared" si="4"/>
        <v>-0.1143004361149155</v>
      </c>
      <c r="Q35" s="585">
        <f t="shared" si="113"/>
        <v>278.91670015640915</v>
      </c>
      <c r="R35" s="629">
        <f>IF(M35="","",SQRT(N35^2+O35^2))</f>
        <v>2.7440082759289619</v>
      </c>
      <c r="S35" s="634">
        <f>IF(M35="","",P35)</f>
        <v>-0.1143004361149155</v>
      </c>
      <c r="T35" s="635">
        <f>IF(M35="","",X35*COS(RADIANS(W35)))</f>
        <v>-2.7037576584777399</v>
      </c>
      <c r="U35" s="629">
        <f>IF(M35="","",X35*SIN(RADIANS(W35)))</f>
        <v>-0.4682690920716468</v>
      </c>
      <c r="V35" s="636">
        <f>IF(M35="","",Y35)</f>
        <v>-0.1143004361149155</v>
      </c>
      <c r="W35" s="585">
        <f t="shared" si="224"/>
        <v>189.82570002516582</v>
      </c>
      <c r="X35" s="629">
        <f>IF(M35="","",R35)</f>
        <v>2.7440082759289619</v>
      </c>
      <c r="Y35" s="630">
        <f t="shared" si="223"/>
        <v>-0.1143004361149155</v>
      </c>
      <c r="Z35" s="632">
        <f t="shared" si="6"/>
        <v>-0.97425626610641647</v>
      </c>
      <c r="AA35" s="629">
        <f t="shared" si="7"/>
        <v>9.7868323153740139E-4</v>
      </c>
      <c r="AB35" s="629">
        <f t="shared" si="8"/>
        <v>-0.22544127867698929</v>
      </c>
      <c r="AC35" s="636">
        <f>IF(M35="","",SQRT(Z35^2+AA35^2+AB35^2))</f>
        <v>1</v>
      </c>
      <c r="AD35" s="637">
        <f>IF(M35="","",Z35*(1/SQRT(Z35^2+AA35^2+AB35^2)))</f>
        <v>-0.97425626610641647</v>
      </c>
      <c r="AE35" s="629">
        <f>IF(M35="","",AA35*(1/SQRT(Z35^2+AA35^2+AB35^2)))</f>
        <v>9.7868323153740139E-4</v>
      </c>
      <c r="AF35" s="633">
        <f>IF(M35="","",AB35*(1/SQRT(Z35^2+AA35^2+AB35^2)))</f>
        <v>-0.22544127867698929</v>
      </c>
      <c r="AG35" s="602">
        <f>IF(M35="","",DEGREES(ATAN2(-AF35,AE35)))</f>
        <v>0.24873025349355571</v>
      </c>
      <c r="AH35" s="603">
        <f>IF(M35="","",DEGREES(ACOS(AD35)))</f>
        <v>166.97104678458831</v>
      </c>
      <c r="AI35" s="585">
        <f>IF(M35="","",DEGREES(-ACOS(-AF35)))</f>
        <v>-76.971171714987818</v>
      </c>
      <c r="AJ35" s="586">
        <f>IF(M35="","",DEGREES(ATAN2(-AE35,AD35)))</f>
        <v>-90.057556108938059</v>
      </c>
      <c r="AK35" s="635">
        <f>IF(M35="","",(COS(RADIANS((90-$Q$8)-W35))*AD35)+(-SIN(RADIANS((90-$Q$8)-W35))*AE35))</f>
        <v>0.9623304217503923</v>
      </c>
      <c r="AL35" s="629">
        <f>IF(M35="","",(SIN(RADIANS((90-$Q$8)-W35))*AD35)+(COS(RADIANS((90-$Q$8)-W35))*AE35))</f>
        <v>-0.1519749625504031</v>
      </c>
      <c r="AM35" s="634">
        <f>IF(M35="","",AF35)</f>
        <v>-0.22544127867698929</v>
      </c>
      <c r="AN35" s="581">
        <f>IF(M35="","",DEGREES(ATAN2(-AM35,AL35)))</f>
        <v>-33.984782847792431</v>
      </c>
      <c r="AO35" s="582">
        <f t="shared" si="94"/>
        <v>15.776324505550711</v>
      </c>
      <c r="AP35" s="585">
        <f>IF(M35="","",DEGREES(ATAN2(AK35,AL35)))</f>
        <v>-8.9742562653472024</v>
      </c>
      <c r="AQ35" s="586">
        <f t="shared" si="9"/>
        <v>0.83074344065065664</v>
      </c>
      <c r="AS35" s="52">
        <f t="shared" si="116"/>
        <v>-170.17429997483418</v>
      </c>
      <c r="AT35" s="72">
        <f t="shared" si="10"/>
        <v>4.5074109986892597E-3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0.46646028380177207</v>
      </c>
      <c r="C36" s="708">
        <v>-3.3355520124079443</v>
      </c>
      <c r="D36" s="709">
        <v>-0.59620188952969833</v>
      </c>
      <c r="E36" s="710">
        <v>0.9739206972350658</v>
      </c>
      <c r="F36" s="708">
        <v>-0.15636367987350261</v>
      </c>
      <c r="G36" s="711">
        <v>0.16440460794509451</v>
      </c>
      <c r="H36" s="710">
        <v>0.314</v>
      </c>
      <c r="I36" s="708">
        <v>0.52</v>
      </c>
      <c r="J36" s="570">
        <v>4.12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4.12</v>
      </c>
      <c r="N36" s="632">
        <f t="shared" si="2"/>
        <v>0.46646028380177207</v>
      </c>
      <c r="O36" s="629">
        <f t="shared" si="3"/>
        <v>-3.3355520124079443</v>
      </c>
      <c r="P36" s="633">
        <f t="shared" si="4"/>
        <v>-0.59620188952969833</v>
      </c>
      <c r="Q36" s="585">
        <f t="shared" si="113"/>
        <v>277.96090029440956</v>
      </c>
      <c r="R36" s="629">
        <f>IF(M36="","",SQRT(N36^2+O36^2))</f>
        <v>3.3680101579186363</v>
      </c>
      <c r="S36" s="634">
        <f>IF(M36="","",P36)</f>
        <v>-0.59620188952969833</v>
      </c>
      <c r="T36" s="635">
        <f>IF(M36="","",X36*COS(RADIANS(W36)))</f>
        <v>-3.3277321419005044</v>
      </c>
      <c r="U36" s="629">
        <f>IF(M36="","",X36*SIN(RADIANS(W36)))</f>
        <v>-0.51931802934752835</v>
      </c>
      <c r="V36" s="636">
        <f>IF(M36="","",Y36)</f>
        <v>-0.59620188952969833</v>
      </c>
      <c r="W36" s="585">
        <f t="shared" si="224"/>
        <v>188.86990016316622</v>
      </c>
      <c r="X36" s="629">
        <f>IF(M36="","",R36)</f>
        <v>3.3680101579186363</v>
      </c>
      <c r="Y36" s="630">
        <f t="shared" si="223"/>
        <v>-0.59620188952969833</v>
      </c>
      <c r="Z36" s="632">
        <f t="shared" si="6"/>
        <v>-0.9739206972350658</v>
      </c>
      <c r="AA36" s="629">
        <f t="shared" si="7"/>
        <v>0.15636367987350261</v>
      </c>
      <c r="AB36" s="629">
        <f t="shared" si="8"/>
        <v>-0.16440460794509451</v>
      </c>
      <c r="AC36" s="636">
        <f>IF(M36="","",SQRT(Z36^2+AA36^2+AB36^2))</f>
        <v>1</v>
      </c>
      <c r="AD36" s="637">
        <f>IF(M36="","",Z36*(1/SQRT(Z36^2+AA36^2+AB36^2)))</f>
        <v>-0.9739206972350658</v>
      </c>
      <c r="AE36" s="629">
        <f>IF(M36="","",AA36*(1/SQRT(Z36^2+AA36^2+AB36^2)))</f>
        <v>0.15636367987350261</v>
      </c>
      <c r="AF36" s="633">
        <f>IF(M36="","",AB36*(1/SQRT(Z36^2+AA36^2+AB36^2)))</f>
        <v>-0.16440460794509451</v>
      </c>
      <c r="AG36" s="602">
        <f>IF(M36="","",DEGREES(ATAN2(-AF36,AE36)))</f>
        <v>43.564026452845276</v>
      </c>
      <c r="AH36" s="603">
        <f>IF(M36="","",DEGREES(ACOS(AD36)))</f>
        <v>166.88603545314973</v>
      </c>
      <c r="AI36" s="585">
        <f>IF(M36="","",DEGREES(-ACOS(-AF36)))</f>
        <v>-80.537351310758055</v>
      </c>
      <c r="AJ36" s="586">
        <f>IF(M36="","",DEGREES(ATAN2(-AE36,AD36)))</f>
        <v>-99.121041203044243</v>
      </c>
      <c r="AK36" s="635">
        <f>IF(M36="","",(COS(RADIANS((90-$Q$8)-W36))*AD36)+(-SIN(RADIANS((90-$Q$8)-W36))*AE36))</f>
        <v>0.94287889471822817</v>
      </c>
      <c r="AL36" s="629">
        <f>IF(M36="","",(SIN(RADIANS((90-$Q$8)-W36))*AD36)+(COS(RADIANS((90-$Q$8)-W36))*AE36))</f>
        <v>-0.28974215223427924</v>
      </c>
      <c r="AM36" s="634">
        <f>IF(M36="","",AF36)</f>
        <v>-0.16440460794509451</v>
      </c>
      <c r="AN36" s="581">
        <f>IF(M36="","",DEGREES(ATAN2(-AM36,AL36)))</f>
        <v>-60.42868893804917</v>
      </c>
      <c r="AO36" s="582">
        <f t="shared" si="94"/>
        <v>19.459210204251015</v>
      </c>
      <c r="AP36" s="585">
        <f>IF(M36="","",DEGREES(ATAN2(AK36,AL36)))</f>
        <v>-17.081941497453801</v>
      </c>
      <c r="AQ36" s="586">
        <f t="shared" si="9"/>
        <v>0.67684492563929521</v>
      </c>
      <c r="AS36" s="52">
        <f t="shared" si="116"/>
        <v>-171.13009983683378</v>
      </c>
      <c r="AT36" s="72">
        <f t="shared" si="10"/>
        <v>-0.47673029251192717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0.47558662080468767</v>
      </c>
      <c r="C37" s="708">
        <v>-3.6153644109205287</v>
      </c>
      <c r="D37" s="709">
        <v>-1.3117040474842083</v>
      </c>
      <c r="E37" s="710">
        <v>0.93354514782553366</v>
      </c>
      <c r="F37" s="708">
        <v>-0.34320816526940162</v>
      </c>
      <c r="G37" s="711">
        <v>0.10344859720563496</v>
      </c>
      <c r="H37" s="710">
        <v>0.314</v>
      </c>
      <c r="I37" s="708">
        <v>0.52</v>
      </c>
      <c r="J37" s="570">
        <v>4.1260000000000003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4.1260000000000003</v>
      </c>
      <c r="N37" s="632">
        <f t="shared" si="2"/>
        <v>0.47558662080468767</v>
      </c>
      <c r="O37" s="629">
        <f t="shared" si="3"/>
        <v>-3.6153644109205287</v>
      </c>
      <c r="P37" s="633">
        <f t="shared" si="4"/>
        <v>-1.3117040474842083</v>
      </c>
      <c r="Q37" s="585">
        <f t="shared" si="113"/>
        <v>277.49400036182158</v>
      </c>
      <c r="R37" s="629">
        <f t="shared" si="79"/>
        <v>3.6465109978771713</v>
      </c>
      <c r="S37" s="634">
        <f t="shared" si="80"/>
        <v>-1.3117040474842083</v>
      </c>
      <c r="T37" s="635">
        <f t="shared" si="81"/>
        <v>-3.607364543196073</v>
      </c>
      <c r="U37" s="629">
        <f t="shared" si="82"/>
        <v>-0.53288226666961935</v>
      </c>
      <c r="V37" s="636">
        <f t="shared" si="114"/>
        <v>-1.3117040474842083</v>
      </c>
      <c r="W37" s="585">
        <f t="shared" si="224"/>
        <v>188.40300023057824</v>
      </c>
      <c r="X37" s="629">
        <f t="shared" si="83"/>
        <v>3.6465109978771713</v>
      </c>
      <c r="Y37" s="630">
        <f t="shared" si="223"/>
        <v>-1.3117040474842083</v>
      </c>
      <c r="Z37" s="632">
        <f t="shared" si="6"/>
        <v>-0.93354514782553366</v>
      </c>
      <c r="AA37" s="629">
        <f t="shared" si="7"/>
        <v>0.34320816526940162</v>
      </c>
      <c r="AB37" s="629">
        <f t="shared" si="8"/>
        <v>-0.10344859720563496</v>
      </c>
      <c r="AC37" s="636">
        <f t="shared" si="84"/>
        <v>1</v>
      </c>
      <c r="AD37" s="637">
        <f t="shared" si="115"/>
        <v>-0.93354514782553366</v>
      </c>
      <c r="AE37" s="629">
        <f t="shared" si="85"/>
        <v>0.34320816526940162</v>
      </c>
      <c r="AF37" s="633">
        <f t="shared" si="86"/>
        <v>-0.10344859720563496</v>
      </c>
      <c r="AG37" s="602">
        <f t="shared" si="87"/>
        <v>73.226327625797381</v>
      </c>
      <c r="AH37" s="603">
        <f t="shared" si="88"/>
        <v>158.9943603777059</v>
      </c>
      <c r="AI37" s="585">
        <f t="shared" si="89"/>
        <v>-84.062209037449875</v>
      </c>
      <c r="AJ37" s="586">
        <f t="shared" si="90"/>
        <v>-110.18542656446763</v>
      </c>
      <c r="AK37" s="635">
        <f t="shared" si="211"/>
        <v>0.88080927049246094</v>
      </c>
      <c r="AL37" s="629">
        <f t="shared" si="91"/>
        <v>-0.46203183521346775</v>
      </c>
      <c r="AM37" s="634">
        <f t="shared" si="92"/>
        <v>-0.10344859720563496</v>
      </c>
      <c r="AN37" s="581">
        <f t="shared" si="93"/>
        <v>-77.379658115530859</v>
      </c>
      <c r="AO37" s="582">
        <f t="shared" si="94"/>
        <v>28.259860162360692</v>
      </c>
      <c r="AP37" s="585">
        <f t="shared" si="95"/>
        <v>-27.67942692628921</v>
      </c>
      <c r="AQ37" s="586">
        <f t="shared" si="9"/>
        <v>0.6251554335438444</v>
      </c>
      <c r="AS37" s="52">
        <f t="shared" si="116"/>
        <v>-171.59699976942176</v>
      </c>
      <c r="AT37" s="72">
        <f t="shared" si="10"/>
        <v>-1.19190821440214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4.1260000000000003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0.47657223173183128</v>
      </c>
      <c r="C38" s="708">
        <v>-3.6519352839203152</v>
      </c>
      <c r="D38" s="709">
        <v>-2.0916999999999999</v>
      </c>
      <c r="E38" s="710">
        <v>0.92344479750132735</v>
      </c>
      <c r="F38" s="708">
        <v>-0.38373129396456562</v>
      </c>
      <c r="G38" s="711">
        <v>1.1339744835503556E-7</v>
      </c>
      <c r="H38" s="710">
        <v>0.314</v>
      </c>
      <c r="I38" s="708">
        <v>0.52</v>
      </c>
      <c r="J38" s="570">
        <v>4.1319999999999997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4.1319999999999997</v>
      </c>
      <c r="N38" s="632">
        <f t="shared" si="2"/>
        <v>0.47657223173183128</v>
      </c>
      <c r="O38" s="629">
        <f t="shared" si="3"/>
        <v>-3.6519352839203152</v>
      </c>
      <c r="P38" s="633">
        <f t="shared" si="4"/>
        <v>-2.0916999999999999</v>
      </c>
      <c r="Q38" s="585">
        <f t="shared" si="113"/>
        <v>277.435</v>
      </c>
      <c r="R38" s="629">
        <f t="shared" si="79"/>
        <v>3.6829000000000014</v>
      </c>
      <c r="S38" s="634">
        <f t="shared" si="80"/>
        <v>-2.0916999999999999</v>
      </c>
      <c r="T38" s="635">
        <f t="shared" si="81"/>
        <v>-3.6439151777554892</v>
      </c>
      <c r="U38" s="629">
        <f t="shared" si="82"/>
        <v>-0.53444792760678717</v>
      </c>
      <c r="V38" s="636">
        <f t="shared" si="114"/>
        <v>-2.0916999999999999</v>
      </c>
      <c r="W38" s="585">
        <f t="shared" si="224"/>
        <v>188.34399986875667</v>
      </c>
      <c r="X38" s="629">
        <f t="shared" si="83"/>
        <v>3.6829000000000014</v>
      </c>
      <c r="Y38" s="630">
        <f t="shared" si="223"/>
        <v>-2.0916999999999999</v>
      </c>
      <c r="Z38" s="632">
        <f t="shared" si="6"/>
        <v>-0.92344479750132735</v>
      </c>
      <c r="AA38" s="629">
        <f t="shared" si="7"/>
        <v>0.38373129396456562</v>
      </c>
      <c r="AB38" s="629">
        <f t="shared" si="8"/>
        <v>-1.1339744835503556E-7</v>
      </c>
      <c r="AC38" s="636">
        <f t="shared" si="84"/>
        <v>1</v>
      </c>
      <c r="AD38" s="637">
        <f t="shared" si="115"/>
        <v>-0.92344479750132735</v>
      </c>
      <c r="AE38" s="629">
        <f t="shared" si="85"/>
        <v>0.38373129396456562</v>
      </c>
      <c r="AF38" s="633">
        <f t="shared" si="86"/>
        <v>-1.1339744835503556E-7</v>
      </c>
      <c r="AG38" s="602">
        <f t="shared" si="87"/>
        <v>89.999983068372856</v>
      </c>
      <c r="AH38" s="603">
        <f t="shared" si="88"/>
        <v>157.4349999999998</v>
      </c>
      <c r="AI38" s="585">
        <f t="shared" si="89"/>
        <v>-89.999993502804799</v>
      </c>
      <c r="AJ38" s="586">
        <f t="shared" si="90"/>
        <v>-112.56499999999934</v>
      </c>
      <c r="AK38" s="635">
        <f t="shared" si="211"/>
        <v>0.86602540378443904</v>
      </c>
      <c r="AL38" s="629">
        <f t="shared" si="91"/>
        <v>-0.49999999999998684</v>
      </c>
      <c r="AM38" s="634">
        <f t="shared" si="92"/>
        <v>-1.1339744835503556E-7</v>
      </c>
      <c r="AN38" s="581">
        <f t="shared" si="93"/>
        <v>-89.999987005609611</v>
      </c>
      <c r="AO38" s="582">
        <f t="shared" si="94"/>
        <v>29.999999999999954</v>
      </c>
      <c r="AP38" s="585">
        <f t="shared" si="95"/>
        <v>-29.999999999999336</v>
      </c>
      <c r="AQ38" s="586">
        <f t="shared" si="9"/>
        <v>0.61897904982222895</v>
      </c>
      <c r="AS38" s="52">
        <f t="shared" si="116"/>
        <v>-171.65600013124333</v>
      </c>
      <c r="AT38" s="72">
        <f t="shared" si="10"/>
        <v>-1.9718631944444442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4.1319999999999997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-0.69623101793548459</v>
      </c>
      <c r="C39" s="708">
        <v>-3.5985612565622489</v>
      </c>
      <c r="D39" s="709">
        <v>-2.1229565013089271</v>
      </c>
      <c r="E39" s="710">
        <v>-0.18995206884595978</v>
      </c>
      <c r="F39" s="708">
        <v>-0.98179336499137559</v>
      </c>
      <c r="G39" s="711">
        <v>2.2679489676612418E-7</v>
      </c>
      <c r="H39" s="710">
        <v>0.25700000000000001</v>
      </c>
      <c r="I39" s="708">
        <v>0.41499999999999992</v>
      </c>
      <c r="J39" s="570">
        <v>4.2320000000000002</v>
      </c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CPS-32193r1</v>
      </c>
      <c r="L39" s="320"/>
      <c r="M39" s="168">
        <f t="shared" si="1"/>
        <v>4.2320000000000002</v>
      </c>
      <c r="N39" s="632">
        <f t="shared" si="2"/>
        <v>-0.69623101793548459</v>
      </c>
      <c r="O39" s="629">
        <f t="shared" si="3"/>
        <v>-3.5985612565622489</v>
      </c>
      <c r="P39" s="633">
        <f t="shared" si="4"/>
        <v>-2.1229565013089271</v>
      </c>
      <c r="Q39" s="585">
        <f t="shared" si="113"/>
        <v>259.04999988921088</v>
      </c>
      <c r="R39" s="629">
        <f t="shared" si="79"/>
        <v>3.6652940874596069</v>
      </c>
      <c r="S39" s="634">
        <f t="shared" si="80"/>
        <v>-2.1229565013089271</v>
      </c>
      <c r="T39" s="635">
        <f t="shared" si="81"/>
        <v>-3.6091536580140775</v>
      </c>
      <c r="U39" s="629">
        <f t="shared" si="82"/>
        <v>0.63905447374222868</v>
      </c>
      <c r="V39" s="636">
        <f t="shared" si="114"/>
        <v>-2.1229565013089271</v>
      </c>
      <c r="W39" s="585">
        <f t="shared" si="224"/>
        <v>169.95899975796755</v>
      </c>
      <c r="X39" s="629">
        <f t="shared" si="83"/>
        <v>3.6652940874596069</v>
      </c>
      <c r="Y39" s="630">
        <f t="shared" si="223"/>
        <v>-2.1229565013089271</v>
      </c>
      <c r="Z39" s="632">
        <f t="shared" si="6"/>
        <v>0.18995206884595978</v>
      </c>
      <c r="AA39" s="629">
        <f t="shared" si="7"/>
        <v>0.98179336499137559</v>
      </c>
      <c r="AB39" s="629">
        <f t="shared" si="8"/>
        <v>-2.2679489676612418E-7</v>
      </c>
      <c r="AC39" s="636">
        <f t="shared" si="84"/>
        <v>1</v>
      </c>
      <c r="AD39" s="637">
        <f t="shared" si="115"/>
        <v>0.18995206884595978</v>
      </c>
      <c r="AE39" s="629">
        <f t="shared" si="85"/>
        <v>0.98179336499137559</v>
      </c>
      <c r="AF39" s="633">
        <f t="shared" si="86"/>
        <v>-2.2679489676612418E-7</v>
      </c>
      <c r="AG39" s="602">
        <f t="shared" si="87"/>
        <v>89.999986764638209</v>
      </c>
      <c r="AH39" s="603">
        <f t="shared" si="88"/>
        <v>79.050012994390684</v>
      </c>
      <c r="AI39" s="585">
        <f t="shared" si="89"/>
        <v>-89.999987005609597</v>
      </c>
      <c r="AJ39" s="586">
        <f t="shared" si="90"/>
        <v>169.05001299439041</v>
      </c>
      <c r="AK39" s="635">
        <f t="shared" si="211"/>
        <v>2.2872853158717454E-7</v>
      </c>
      <c r="AL39" s="629">
        <f t="shared" si="91"/>
        <v>-0.99999999999994815</v>
      </c>
      <c r="AM39" s="634">
        <f t="shared" si="92"/>
        <v>-2.2679489676612418E-7</v>
      </c>
      <c r="AN39" s="581">
        <f t="shared" si="93"/>
        <v>-89.999987005609611</v>
      </c>
      <c r="AO39" s="582">
        <f t="shared" si="94"/>
        <v>0</v>
      </c>
      <c r="AP39" s="585">
        <f t="shared" si="95"/>
        <v>-89.999986894820495</v>
      </c>
      <c r="AQ39" s="586">
        <f t="shared" si="9"/>
        <v>0.62195202736419841</v>
      </c>
      <c r="AS39" s="52">
        <f t="shared" si="116"/>
        <v>-190.04100024203245</v>
      </c>
      <c r="AT39" s="72">
        <f t="shared" si="10"/>
        <v>-1.9903523345653236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>Gage</v>
      </c>
      <c r="IG39" s="847">
        <f t="shared" si="210"/>
        <v>4.2320000000000002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4.1319999999999997</v>
      </c>
      <c r="II39" s="734" cm="1">
        <f t="array" ref="II39">IFERROR(ROUND(VALUE(IF($IH39&lt;1,$IH39+LARGE((IF($M$9:$M$150="",0,$M$9:$M$150)-MOD(IF($M$9:$M$150="",0,$M$9:$M$150),1)),1),$IH39)),4),"")</f>
        <v>4.1319999999999997</v>
      </c>
      <c r="IJ39" s="533">
        <f t="shared" si="112"/>
        <v>1613</v>
      </c>
      <c r="IK39" s="533" t="str">
        <f t="shared" si="66"/>
        <v>CPS-32193r1</v>
      </c>
      <c r="IL39" s="727">
        <f t="shared" si="225"/>
        <v>18.385000110789122</v>
      </c>
      <c r="IM39" s="759">
        <v>2.5613327647530399E-2</v>
      </c>
      <c r="IN39" s="5">
        <f t="shared" si="226"/>
        <v>1.88</v>
      </c>
      <c r="IO39" s="771">
        <v>940</v>
      </c>
      <c r="IP39" s="9">
        <f t="shared" si="227"/>
        <v>-3.6829000000000014</v>
      </c>
      <c r="IQ39" s="5">
        <f t="shared" si="228"/>
        <v>-2.0916999999999999</v>
      </c>
      <c r="IR39" s="5">
        <f t="shared" si="71"/>
        <v>0.314</v>
      </c>
      <c r="IS39" s="5">
        <f t="shared" si="229"/>
        <v>0.27193197678831388</v>
      </c>
      <c r="IT39" s="727">
        <f t="shared" si="230"/>
        <v>89.999987005609611</v>
      </c>
      <c r="IU39" s="9">
        <f t="shared" si="231"/>
        <v>-3.6652940874596069</v>
      </c>
      <c r="IV39" s="5">
        <f t="shared" si="232"/>
        <v>-2.1229565013089271</v>
      </c>
      <c r="IW39" s="5">
        <f t="shared" si="76"/>
        <v>0.25700000000000001</v>
      </c>
      <c r="IX39" s="5">
        <f t="shared" si="233"/>
        <v>0.25700000000000001</v>
      </c>
      <c r="IY39" s="762">
        <f t="shared" si="234"/>
        <v>89.999987005609611</v>
      </c>
    </row>
    <row r="40" spans="1:267" ht="15" customHeight="1" x14ac:dyDescent="0.25">
      <c r="A40" s="79"/>
      <c r="B40" s="707">
        <v>-0.67801419194880164</v>
      </c>
      <c r="C40" s="708">
        <v>-0.47475064821571616</v>
      </c>
      <c r="D40" s="709">
        <v>-0.33520110235132466</v>
      </c>
      <c r="E40" s="710">
        <v>0.60890506553846202</v>
      </c>
      <c r="F40" s="708">
        <v>-0.75281779836100604</v>
      </c>
      <c r="G40" s="711">
        <v>0.24999996726497561</v>
      </c>
      <c r="H40" s="710">
        <v>0.314</v>
      </c>
      <c r="I40" s="708">
        <v>0.52</v>
      </c>
      <c r="J40" s="570">
        <v>5.1029999999999998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5.1029999999999998</v>
      </c>
      <c r="N40" s="632">
        <f t="shared" si="2"/>
        <v>-0.67801419194880164</v>
      </c>
      <c r="O40" s="629">
        <f t="shared" si="3"/>
        <v>-0.47475064821571616</v>
      </c>
      <c r="P40" s="633">
        <f t="shared" si="4"/>
        <v>-0.33520110235132466</v>
      </c>
      <c r="Q40" s="585">
        <f t="shared" si="113"/>
        <v>215</v>
      </c>
      <c r="R40" s="629">
        <f t="shared" si="79"/>
        <v>0.82770249635072934</v>
      </c>
      <c r="S40" s="634">
        <f t="shared" si="80"/>
        <v>-0.33520110235132466</v>
      </c>
      <c r="T40" s="635">
        <f t="shared" si="81"/>
        <v>-0.48544717366675139</v>
      </c>
      <c r="U40" s="629">
        <f t="shared" si="82"/>
        <v>0.6703972434640465</v>
      </c>
      <c r="V40" s="636">
        <f t="shared" si="114"/>
        <v>-0.33520110235132466</v>
      </c>
      <c r="W40" s="585">
        <f t="shared" si="224"/>
        <v>125.90899986875665</v>
      </c>
      <c r="X40" s="629">
        <f t="shared" si="83"/>
        <v>0.82770249635072934</v>
      </c>
      <c r="Y40" s="630">
        <f t="shared" si="223"/>
        <v>-0.33520110235132466</v>
      </c>
      <c r="Z40" s="632">
        <f t="shared" si="6"/>
        <v>-0.60890506553846202</v>
      </c>
      <c r="AA40" s="629">
        <f t="shared" si="7"/>
        <v>0.75281779836100604</v>
      </c>
      <c r="AB40" s="629">
        <f t="shared" si="8"/>
        <v>-0.24999996726497561</v>
      </c>
      <c r="AC40" s="636">
        <f t="shared" si="84"/>
        <v>1</v>
      </c>
      <c r="AD40" s="637">
        <f t="shared" si="115"/>
        <v>-0.60890506553846202</v>
      </c>
      <c r="AE40" s="629">
        <f t="shared" si="85"/>
        <v>0.75281779836100604</v>
      </c>
      <c r="AF40" s="633">
        <f t="shared" si="86"/>
        <v>-0.24999996726497561</v>
      </c>
      <c r="AG40" s="602">
        <f t="shared" si="87"/>
        <v>71.629414945944262</v>
      </c>
      <c r="AH40" s="603">
        <f t="shared" si="88"/>
        <v>127.51037411491511</v>
      </c>
      <c r="AI40" s="585">
        <f t="shared" si="89"/>
        <v>-75.522489751159469</v>
      </c>
      <c r="AJ40" s="586">
        <f t="shared" si="90"/>
        <v>-141.0328703549134</v>
      </c>
      <c r="AK40" s="635">
        <f t="shared" si="211"/>
        <v>0.96592583607220717</v>
      </c>
      <c r="AL40" s="629">
        <f t="shared" si="91"/>
        <v>6.6987279208207351E-2</v>
      </c>
      <c r="AM40" s="634">
        <f t="shared" si="92"/>
        <v>-0.24999996726497561</v>
      </c>
      <c r="AN40" s="581">
        <f t="shared" si="93"/>
        <v>14.999997834268303</v>
      </c>
      <c r="AO40" s="582">
        <f t="shared" si="94"/>
        <v>14.999997834268306</v>
      </c>
      <c r="AP40" s="585">
        <f t="shared" si="95"/>
        <v>3.9671296450865814</v>
      </c>
      <c r="AQ40" s="586">
        <f t="shared" si="9"/>
        <v>2.752164017067884</v>
      </c>
      <c r="AS40" s="52">
        <f t="shared" si="116"/>
        <v>-234.09100013124333</v>
      </c>
      <c r="AT40" s="72">
        <f t="shared" si="10"/>
        <v>-0.17200665790688022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5.1029999999999998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-1.2718192997700972</v>
      </c>
      <c r="C41" s="708">
        <v>-0.89053746093961661</v>
      </c>
      <c r="D41" s="709">
        <v>-0.14090051634075718</v>
      </c>
      <c r="E41" s="710">
        <v>0.60890506553846202</v>
      </c>
      <c r="F41" s="708">
        <v>-0.75281779836100615</v>
      </c>
      <c r="G41" s="711">
        <v>0.24999996726497561</v>
      </c>
      <c r="H41" s="710">
        <v>0.314</v>
      </c>
      <c r="I41" s="708">
        <v>0.52</v>
      </c>
      <c r="J41" s="570">
        <v>5.1059999999999999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5.1059999999999999</v>
      </c>
      <c r="N41" s="632">
        <f t="shared" ref="N41:N72" si="240">IF(M41="","",B41)</f>
        <v>-1.2718192997700972</v>
      </c>
      <c r="O41" s="629">
        <f t="shared" ref="O41:O72" si="241">IF(M41="","",C41)</f>
        <v>-0.89053746093961661</v>
      </c>
      <c r="P41" s="633">
        <f t="shared" ref="P41:P72" si="242">IF(M41="","",D41)</f>
        <v>-0.14090051634075718</v>
      </c>
      <c r="Q41" s="585">
        <f t="shared" si="113"/>
        <v>215</v>
      </c>
      <c r="R41" s="629">
        <f t="shared" si="79"/>
        <v>1.5526046826557234</v>
      </c>
      <c r="S41" s="634">
        <f t="shared" si="80"/>
        <v>-0.14090051634075718</v>
      </c>
      <c r="T41" s="635">
        <f t="shared" si="81"/>
        <v>-0.9106020077745538</v>
      </c>
      <c r="U41" s="629">
        <f t="shared" si="82"/>
        <v>1.2575314246735272</v>
      </c>
      <c r="V41" s="636">
        <f t="shared" si="114"/>
        <v>-0.14090051634075718</v>
      </c>
      <c r="W41" s="585">
        <f t="shared" si="224"/>
        <v>125.90899986875665</v>
      </c>
      <c r="X41" s="629">
        <f t="shared" si="83"/>
        <v>1.5526046826557234</v>
      </c>
      <c r="Y41" s="630">
        <f t="shared" si="223"/>
        <v>-0.14090051634075718</v>
      </c>
      <c r="Z41" s="632">
        <f t="shared" ref="Z41:Z72" si="243">IF(M41="","",-E41)</f>
        <v>-0.60890506553846202</v>
      </c>
      <c r="AA41" s="629">
        <f t="shared" ref="AA41:AA72" si="244">IF(M41="","",-F41)</f>
        <v>0.75281779836100615</v>
      </c>
      <c r="AB41" s="629">
        <f t="shared" ref="AB41:AB72" si="245">IF(M41="","",-G41)</f>
        <v>-0.24999996726497561</v>
      </c>
      <c r="AC41" s="636">
        <f t="shared" si="84"/>
        <v>1</v>
      </c>
      <c r="AD41" s="637">
        <f t="shared" si="115"/>
        <v>-0.60890506553846202</v>
      </c>
      <c r="AE41" s="629">
        <f t="shared" si="85"/>
        <v>0.75281779836100615</v>
      </c>
      <c r="AF41" s="633">
        <f t="shared" si="86"/>
        <v>-0.24999996726497561</v>
      </c>
      <c r="AG41" s="602">
        <f t="shared" si="87"/>
        <v>71.629414945944276</v>
      </c>
      <c r="AH41" s="603">
        <f t="shared" si="88"/>
        <v>127.51037411491511</v>
      </c>
      <c r="AI41" s="585">
        <f t="shared" si="89"/>
        <v>-75.522489751159469</v>
      </c>
      <c r="AJ41" s="586">
        <f t="shared" si="90"/>
        <v>-141.03287035491343</v>
      </c>
      <c r="AK41" s="635">
        <f t="shared" si="211"/>
        <v>0.96592583607220739</v>
      </c>
      <c r="AL41" s="629">
        <f t="shared" si="91"/>
        <v>6.6987279208207295E-2</v>
      </c>
      <c r="AM41" s="634">
        <f t="shared" si="92"/>
        <v>-0.24999996726497561</v>
      </c>
      <c r="AN41" s="581">
        <f t="shared" si="93"/>
        <v>14.99999783426829</v>
      </c>
      <c r="AO41" s="582">
        <f t="shared" si="94"/>
        <v>14.999997834268255</v>
      </c>
      <c r="AP41" s="585">
        <f t="shared" si="95"/>
        <v>3.9671296450865774</v>
      </c>
      <c r="AQ41" s="586">
        <f t="shared" ref="AQ41:AQ72" si="246">IF(M41="","",DEGREES(ATAN(($AS$5*SIN(RADIANS(90)))/(($X41*2*PI())-($AS$5*COS(RADIANS(90)))))))</f>
        <v>1.4680026317350763</v>
      </c>
      <c r="AS41" s="52">
        <f t="shared" si="116"/>
        <v>-234.09100013124333</v>
      </c>
      <c r="AT41" s="72">
        <f t="shared" ref="AT41:AT72" si="247">IF(M41="","",Y41+(((AS41-$AS$9)*$AS$6)*-1))</f>
        <v>2.2293928103687272E-2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5.1059999999999999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-1.9338398892513715</v>
      </c>
      <c r="C42" s="708">
        <v>-1.3258636937945723</v>
      </c>
      <c r="D42" s="709">
        <v>-1.8500147181243591E-2</v>
      </c>
      <c r="E42" s="710">
        <v>0.4819646982889132</v>
      </c>
      <c r="F42" s="708">
        <v>-0.83876466970416763</v>
      </c>
      <c r="G42" s="711">
        <v>0.25334533439425211</v>
      </c>
      <c r="H42" s="710">
        <v>0.314</v>
      </c>
      <c r="I42" s="708">
        <v>0.52</v>
      </c>
      <c r="J42" s="570">
        <v>5.1109999999999998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5.1109999999999998</v>
      </c>
      <c r="N42" s="632">
        <f t="shared" si="240"/>
        <v>-1.9338398892513715</v>
      </c>
      <c r="O42" s="629">
        <f t="shared" si="241"/>
        <v>-1.3258636937945723</v>
      </c>
      <c r="P42" s="633">
        <f t="shared" si="242"/>
        <v>-1.8500147181243591E-2</v>
      </c>
      <c r="Q42" s="585">
        <f t="shared" si="113"/>
        <v>214.43500008157594</v>
      </c>
      <c r="R42" s="629">
        <f t="shared" ref="R42:R47" si="385">IF(M42="","",SQRT(N42^2+O42^2))</f>
        <v>2.3447070716365284</v>
      </c>
      <c r="S42" s="634">
        <f t="shared" ref="S42:S47" si="386">IF(M42="","",P42)</f>
        <v>-1.8500147181243591E-2</v>
      </c>
      <c r="T42" s="635">
        <f t="shared" ref="T42:T47" si="387">IF(M42="","",X42*COS(RADIANS(W42)))</f>
        <v>-1.3563759990211175</v>
      </c>
      <c r="U42" s="629">
        <f t="shared" ref="U42:U47" si="388">IF(M42="","",X42*SIN(RADIANS(W42)))</f>
        <v>1.9125625221314488</v>
      </c>
      <c r="V42" s="636">
        <f t="shared" ref="V42:V47" si="389">IF(M42="","",Y42)</f>
        <v>-1.8500147181243591E-2</v>
      </c>
      <c r="W42" s="585">
        <f t="shared" si="224"/>
        <v>125.34399995033259</v>
      </c>
      <c r="X42" s="629">
        <f t="shared" ref="X42:X47" si="390">IF(M42="","",R42)</f>
        <v>2.3447070716365284</v>
      </c>
      <c r="Y42" s="630">
        <f t="shared" si="223"/>
        <v>-1.8500147181243591E-2</v>
      </c>
      <c r="Z42" s="632">
        <f t="shared" si="243"/>
        <v>-0.4819646982889132</v>
      </c>
      <c r="AA42" s="629">
        <f t="shared" si="244"/>
        <v>0.83876466970416763</v>
      </c>
      <c r="AB42" s="629">
        <f t="shared" si="245"/>
        <v>-0.25334533439425211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-0.4819646982889132</v>
      </c>
      <c r="AE42" s="629">
        <f t="shared" ref="AE42:AE47" si="393">IF(M42="","",AA42*(1/SQRT(Z42^2+AA42^2+AB42^2)))</f>
        <v>0.83876466970416763</v>
      </c>
      <c r="AF42" s="633">
        <f t="shared" ref="AF42:AF47" si="394">IF(M42="","",AB42*(1/SQRT(Z42^2+AA42^2+AB42^2)))</f>
        <v>-0.25334533439425211</v>
      </c>
      <c r="AG42" s="602">
        <f t="shared" ref="AG42:AG47" si="395">IF(M42="","",DEGREES(ATAN2(-AF42,AE42)))</f>
        <v>73.19327976972437</v>
      </c>
      <c r="AH42" s="603">
        <f t="shared" ref="AH42:AH47" si="396">IF(M42="","",DEGREES(ACOS(AD42)))</f>
        <v>118.81379836092927</v>
      </c>
      <c r="AI42" s="585">
        <f t="shared" ref="AI42:AI47" si="397">IF(M42="","",DEGREES(-ACOS(-AF42)))</f>
        <v>-75.32443945896658</v>
      </c>
      <c r="AJ42" s="586">
        <f t="shared" ref="AJ42:AJ47" si="398">IF(M42="","",DEGREES(ATAN2(-AE42,AD42)))</f>
        <v>-150.11778466099923</v>
      </c>
      <c r="AK42" s="635">
        <f t="shared" ref="AK42:AK47" si="399">IF(M42="","",(COS(RADIANS((90-$Q$8)-W42))*AD42)+(-SIN(RADIANS((90-$Q$8)-W42))*AE42))</f>
        <v>0.96432347497568349</v>
      </c>
      <c r="AL42" s="629">
        <f t="shared" ref="AL42:AL47" si="400">IF(M42="","",(SIN(RADIANS((90-$Q$8)-W42))*AD42)+(COS(RADIANS((90-$Q$8)-W42))*AE42))</f>
        <v>-7.6787871122248164E-2</v>
      </c>
      <c r="AM42" s="634">
        <f t="shared" ref="AM42:AM47" si="401">IF(M42="","",AF42)</f>
        <v>-0.25334533439425211</v>
      </c>
      <c r="AN42" s="581">
        <f t="shared" ref="AN42:AN47" si="402">IF(M42="","",DEGREES(ATAN2(-AM42,AL42)))</f>
        <v>-16.861828396216655</v>
      </c>
      <c r="AO42" s="582">
        <f t="shared" si="94"/>
        <v>15.350715017630963</v>
      </c>
      <c r="AP42" s="585">
        <f t="shared" ref="AP42:AP47" si="403">IF(M42="","",DEGREES(ATAN2(AK42,AL42)))</f>
        <v>-4.5527847425751515</v>
      </c>
      <c r="AQ42" s="586">
        <f t="shared" si="246"/>
        <v>0.97219301654426749</v>
      </c>
      <c r="AS42" s="52">
        <f t="shared" si="116"/>
        <v>-234.6560000496674</v>
      </c>
      <c r="AT42" s="72">
        <f t="shared" si="247"/>
        <v>0.14508665831766202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5.1109999999999998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-2.5799355018057306</v>
      </c>
      <c r="C43" s="708">
        <v>-1.7013414048433402</v>
      </c>
      <c r="D43" s="709">
        <v>-0.31360103720552862</v>
      </c>
      <c r="E43" s="710">
        <v>0.34999648428787478</v>
      </c>
      <c r="F43" s="708">
        <v>-0.91909064943251251</v>
      </c>
      <c r="G43" s="711">
        <v>0.18103822555430102</v>
      </c>
      <c r="H43" s="710">
        <v>0.314</v>
      </c>
      <c r="I43" s="708">
        <v>0.52</v>
      </c>
      <c r="J43" s="570">
        <v>5.117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5.117</v>
      </c>
      <c r="N43" s="632">
        <f t="shared" si="240"/>
        <v>-2.5799355018057306</v>
      </c>
      <c r="O43" s="629">
        <f t="shared" si="241"/>
        <v>-1.7013414048433402</v>
      </c>
      <c r="P43" s="633">
        <f t="shared" si="242"/>
        <v>-0.31360103720552862</v>
      </c>
      <c r="Q43" s="585">
        <f t="shared" si="113"/>
        <v>213.40290023059268</v>
      </c>
      <c r="R43" s="629">
        <f t="shared" si="385"/>
        <v>3.0904093206745116</v>
      </c>
      <c r="S43" s="634">
        <f t="shared" si="386"/>
        <v>-0.31360103720552862</v>
      </c>
      <c r="T43" s="635">
        <f t="shared" si="387"/>
        <v>-1.742056360418297</v>
      </c>
      <c r="U43" s="629">
        <f t="shared" si="388"/>
        <v>2.5526201061728813</v>
      </c>
      <c r="V43" s="636">
        <f t="shared" si="389"/>
        <v>-0.31360103720552862</v>
      </c>
      <c r="W43" s="585">
        <f t="shared" si="224"/>
        <v>124.31190009934933</v>
      </c>
      <c r="X43" s="629">
        <f t="shared" si="390"/>
        <v>3.0904093206745116</v>
      </c>
      <c r="Y43" s="630">
        <f t="shared" si="223"/>
        <v>-0.31360103720552862</v>
      </c>
      <c r="Z43" s="632">
        <f t="shared" si="243"/>
        <v>-0.34999648428787478</v>
      </c>
      <c r="AA43" s="629">
        <f t="shared" si="244"/>
        <v>0.91909064943251251</v>
      </c>
      <c r="AB43" s="629">
        <f t="shared" si="245"/>
        <v>-0.18103822555430102</v>
      </c>
      <c r="AC43" s="636">
        <f t="shared" si="391"/>
        <v>1</v>
      </c>
      <c r="AD43" s="637">
        <f t="shared" si="392"/>
        <v>-0.34999648428787478</v>
      </c>
      <c r="AE43" s="629">
        <f t="shared" si="393"/>
        <v>0.91909064943251251</v>
      </c>
      <c r="AF43" s="633">
        <f t="shared" si="394"/>
        <v>-0.18103822555430102</v>
      </c>
      <c r="AG43" s="602">
        <f t="shared" si="395"/>
        <v>78.856796951763542</v>
      </c>
      <c r="AH43" s="603">
        <f t="shared" si="396"/>
        <v>110.48710007827741</v>
      </c>
      <c r="AI43" s="585">
        <f t="shared" si="397"/>
        <v>-79.569760659593413</v>
      </c>
      <c r="AJ43" s="586">
        <f t="shared" si="398"/>
        <v>-159.15279834001922</v>
      </c>
      <c r="AK43" s="635">
        <f t="shared" si="399"/>
        <v>0.95995636767937431</v>
      </c>
      <c r="AL43" s="629">
        <f t="shared" si="400"/>
        <v>-0.21379647574263733</v>
      </c>
      <c r="AM43" s="634">
        <f t="shared" si="401"/>
        <v>-0.18103822555430102</v>
      </c>
      <c r="AN43" s="581">
        <f t="shared" si="402"/>
        <v>-49.742796391608294</v>
      </c>
      <c r="AO43" s="582">
        <f t="shared" si="94"/>
        <v>16.269130709601889</v>
      </c>
      <c r="AP43" s="585">
        <f t="shared" si="403"/>
        <v>-12.555698570611899</v>
      </c>
      <c r="AQ43" s="586">
        <f t="shared" si="246"/>
        <v>0.73763713572138256</v>
      </c>
      <c r="AS43" s="52">
        <f t="shared" ref="AS43:AS74" si="406">IF(G43="","",IF(AND(W43&lt;(AS42+180),W43&gt;(AS42-180)),W43,IF(W43&gt;(AS42+180),W43-360,IF(W43&lt;(AS42-180),W43+360,"Error"))))</f>
        <v>-235.68809990065068</v>
      </c>
      <c r="AT43" s="72">
        <f t="shared" si="247"/>
        <v>-0.14929749569899572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5.117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-2.9957261608019148</v>
      </c>
      <c r="C44" s="708">
        <v>-1.9192816266852528</v>
      </c>
      <c r="D44" s="709">
        <v>-0.93760291919520555</v>
      </c>
      <c r="E44" s="710">
        <v>0.16784912132102703</v>
      </c>
      <c r="F44" s="708">
        <v>-0.97422254466786606</v>
      </c>
      <c r="G44" s="711">
        <v>0.15072194907387271</v>
      </c>
      <c r="H44" s="710">
        <v>0.314</v>
      </c>
      <c r="I44" s="708">
        <v>0.52</v>
      </c>
      <c r="J44" s="570">
        <v>5.1230000000000002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5.1230000000000002</v>
      </c>
      <c r="N44" s="632">
        <f t="shared" si="240"/>
        <v>-2.9957261608019148</v>
      </c>
      <c r="O44" s="629">
        <f t="shared" si="241"/>
        <v>-1.9192816266852528</v>
      </c>
      <c r="P44" s="633">
        <f t="shared" si="242"/>
        <v>-0.93760291919520555</v>
      </c>
      <c r="Q44" s="585">
        <f t="shared" si="113"/>
        <v>212.64660033978888</v>
      </c>
      <c r="R44" s="629">
        <f t="shared" si="385"/>
        <v>3.5578107303571631</v>
      </c>
      <c r="S44" s="634">
        <f t="shared" si="386"/>
        <v>-0.93760291919520555</v>
      </c>
      <c r="T44" s="635">
        <f t="shared" si="387"/>
        <v>-1.9665654140811679</v>
      </c>
      <c r="U44" s="629">
        <f t="shared" si="388"/>
        <v>2.964900953688729</v>
      </c>
      <c r="V44" s="636">
        <f t="shared" si="389"/>
        <v>-0.93760291919520555</v>
      </c>
      <c r="W44" s="585">
        <f t="shared" si="224"/>
        <v>123.55560020854553</v>
      </c>
      <c r="X44" s="629">
        <f t="shared" si="390"/>
        <v>3.5578107303571631</v>
      </c>
      <c r="Y44" s="630">
        <f t="shared" si="223"/>
        <v>-0.93760291919520555</v>
      </c>
      <c r="Z44" s="632">
        <f t="shared" si="243"/>
        <v>-0.16784912132102703</v>
      </c>
      <c r="AA44" s="629">
        <f t="shared" si="244"/>
        <v>0.97422254466786606</v>
      </c>
      <c r="AB44" s="629">
        <f t="shared" si="245"/>
        <v>-0.15072194907387271</v>
      </c>
      <c r="AC44" s="636">
        <f t="shared" si="391"/>
        <v>1</v>
      </c>
      <c r="AD44" s="637">
        <f t="shared" si="392"/>
        <v>-0.16784912132102703</v>
      </c>
      <c r="AE44" s="629">
        <f t="shared" si="393"/>
        <v>0.97422254466786606</v>
      </c>
      <c r="AF44" s="633">
        <f t="shared" si="394"/>
        <v>-0.15072194907387271</v>
      </c>
      <c r="AG44" s="602">
        <f t="shared" si="395"/>
        <v>81.205494868885182</v>
      </c>
      <c r="AH44" s="603">
        <f t="shared" si="396"/>
        <v>99.662785906065665</v>
      </c>
      <c r="AI44" s="585">
        <f t="shared" si="397"/>
        <v>-81.3312331297182</v>
      </c>
      <c r="AJ44" s="586">
        <f t="shared" si="398"/>
        <v>-170.2244629493014</v>
      </c>
      <c r="AK44" s="635">
        <f t="shared" si="399"/>
        <v>0.91085612577989095</v>
      </c>
      <c r="AL44" s="629">
        <f t="shared" si="400"/>
        <v>-0.38421870360072369</v>
      </c>
      <c r="AM44" s="634">
        <f t="shared" si="401"/>
        <v>-0.15072194907387271</v>
      </c>
      <c r="AN44" s="581">
        <f t="shared" si="402"/>
        <v>-68.580833724860668</v>
      </c>
      <c r="AO44" s="582">
        <f t="shared" si="94"/>
        <v>24.376068843486458</v>
      </c>
      <c r="AP44" s="585">
        <f t="shared" si="403"/>
        <v>-22.871063289090287</v>
      </c>
      <c r="AQ44" s="586">
        <f t="shared" si="246"/>
        <v>0.6407399858324615</v>
      </c>
      <c r="AS44" s="52">
        <f t="shared" si="406"/>
        <v>-236.44439979145449</v>
      </c>
      <c r="AT44" s="72">
        <f t="shared" si="247"/>
        <v>-0.77277416943117005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5.1230000000000002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-3.108369257402487</v>
      </c>
      <c r="C45" s="708">
        <v>-1.975295666383925</v>
      </c>
      <c r="D45" s="709">
        <v>-1.7388000000000001</v>
      </c>
      <c r="E45" s="710">
        <v>4.2485975283767526E-2</v>
      </c>
      <c r="F45" s="708">
        <v>-0.99909706330474946</v>
      </c>
      <c r="G45" s="711">
        <v>1.1339744821699083E-7</v>
      </c>
      <c r="H45" s="710">
        <v>0.314</v>
      </c>
      <c r="I45" s="708">
        <v>0.52</v>
      </c>
      <c r="J45" s="570">
        <v>5.1289999999999996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5.1289999999999996</v>
      </c>
      <c r="N45" s="632">
        <f t="shared" si="240"/>
        <v>-3.108369257402487</v>
      </c>
      <c r="O45" s="629">
        <f t="shared" si="241"/>
        <v>-1.975295666383925</v>
      </c>
      <c r="P45" s="633">
        <f t="shared" si="242"/>
        <v>-1.7388000000000001</v>
      </c>
      <c r="Q45" s="585">
        <f t="shared" si="113"/>
        <v>212.43500000000003</v>
      </c>
      <c r="R45" s="629">
        <f t="shared" si="385"/>
        <v>3.6829000000000005</v>
      </c>
      <c r="S45" s="634">
        <f t="shared" si="386"/>
        <v>-1.7388000000000001</v>
      </c>
      <c r="T45" s="635">
        <f t="shared" si="387"/>
        <v>-2.0243594169092072</v>
      </c>
      <c r="U45" s="629">
        <f t="shared" si="388"/>
        <v>3.0766412467447384</v>
      </c>
      <c r="V45" s="636">
        <f t="shared" si="389"/>
        <v>-1.7388000000000001</v>
      </c>
      <c r="W45" s="585">
        <f t="shared" si="224"/>
        <v>123.34399986875668</v>
      </c>
      <c r="X45" s="629">
        <f t="shared" si="390"/>
        <v>3.6829000000000005</v>
      </c>
      <c r="Y45" s="630">
        <f t="shared" si="223"/>
        <v>-1.7388000000000001</v>
      </c>
      <c r="Z45" s="632">
        <f t="shared" si="243"/>
        <v>-4.2485975283767526E-2</v>
      </c>
      <c r="AA45" s="629">
        <f t="shared" si="244"/>
        <v>0.99909706330474946</v>
      </c>
      <c r="AB45" s="629">
        <f t="shared" si="245"/>
        <v>-1.1339744821699083E-7</v>
      </c>
      <c r="AC45" s="636">
        <f t="shared" si="391"/>
        <v>1</v>
      </c>
      <c r="AD45" s="637">
        <f t="shared" si="392"/>
        <v>-4.2485975283767526E-2</v>
      </c>
      <c r="AE45" s="629">
        <f t="shared" si="393"/>
        <v>0.99909706330474946</v>
      </c>
      <c r="AF45" s="633">
        <f t="shared" si="394"/>
        <v>-1.1339744821699083E-7</v>
      </c>
      <c r="AG45" s="602">
        <f t="shared" si="395"/>
        <v>89.999993496932959</v>
      </c>
      <c r="AH45" s="603">
        <f t="shared" si="396"/>
        <v>92.435000000000642</v>
      </c>
      <c r="AI45" s="585">
        <f t="shared" si="397"/>
        <v>-89.999993502804799</v>
      </c>
      <c r="AJ45" s="586">
        <f t="shared" si="398"/>
        <v>-177.56499999999934</v>
      </c>
      <c r="AK45" s="635">
        <f t="shared" si="399"/>
        <v>0.8660254037844386</v>
      </c>
      <c r="AL45" s="629">
        <f t="shared" si="400"/>
        <v>-0.49999999999998757</v>
      </c>
      <c r="AM45" s="634">
        <f t="shared" si="401"/>
        <v>-1.1339744821699083E-7</v>
      </c>
      <c r="AN45" s="581">
        <f t="shared" si="402"/>
        <v>-89.999987005609626</v>
      </c>
      <c r="AO45" s="582">
        <f t="shared" si="94"/>
        <v>30.000000000000004</v>
      </c>
      <c r="AP45" s="585">
        <f t="shared" si="403"/>
        <v>-29.999999999999385</v>
      </c>
      <c r="AQ45" s="586">
        <f t="shared" si="246"/>
        <v>0.61897904982222918</v>
      </c>
      <c r="AS45" s="52">
        <f t="shared" si="406"/>
        <v>-236.65600013124333</v>
      </c>
      <c r="AT45" s="72">
        <f t="shared" si="247"/>
        <v>-1.5738243055555556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5.1289999999999996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-3.0404925265515912</v>
      </c>
      <c r="C46" s="708">
        <v>-0.65959997849948149</v>
      </c>
      <c r="D46" s="709">
        <v>-0.36246706548440283</v>
      </c>
      <c r="E46" s="710">
        <v>-0.43452772900044945</v>
      </c>
      <c r="F46" s="708">
        <v>-9.4265806675470493E-2</v>
      </c>
      <c r="G46" s="711">
        <v>0.89571178981943456</v>
      </c>
      <c r="H46" s="710">
        <v>0.25700000000000001</v>
      </c>
      <c r="I46" s="708">
        <v>0.41499999999999992</v>
      </c>
      <c r="J46" s="570">
        <v>5.2169999999999996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CPS-32193r1</v>
      </c>
      <c r="L46" s="320"/>
      <c r="M46" s="168">
        <f t="shared" si="239"/>
        <v>5.2169999999999996</v>
      </c>
      <c r="N46" s="632">
        <f t="shared" si="240"/>
        <v>-3.0404925265515912</v>
      </c>
      <c r="O46" s="629">
        <f t="shared" si="241"/>
        <v>-0.65959997849948149</v>
      </c>
      <c r="P46" s="633">
        <f t="shared" si="242"/>
        <v>-0.36246706548440283</v>
      </c>
      <c r="Q46" s="585">
        <f t="shared" si="113"/>
        <v>192.24</v>
      </c>
      <c r="R46" s="629">
        <f t="shared" si="385"/>
        <v>3.1112163112925137</v>
      </c>
      <c r="S46" s="634">
        <f t="shared" si="386"/>
        <v>-0.36246706548440283</v>
      </c>
      <c r="T46" s="635">
        <f t="shared" si="387"/>
        <v>-0.70775248361656873</v>
      </c>
      <c r="U46" s="629">
        <f t="shared" si="388"/>
        <v>3.0296457478700662</v>
      </c>
      <c r="V46" s="636">
        <f t="shared" si="389"/>
        <v>-0.36246706548440283</v>
      </c>
      <c r="W46" s="585">
        <f t="shared" si="224"/>
        <v>103.14899986875666</v>
      </c>
      <c r="X46" s="629">
        <f t="shared" si="390"/>
        <v>3.1112163112925137</v>
      </c>
      <c r="Y46" s="630">
        <f t="shared" si="223"/>
        <v>-0.36246706548440283</v>
      </c>
      <c r="Z46" s="632">
        <f t="shared" si="243"/>
        <v>0.43452772900044945</v>
      </c>
      <c r="AA46" s="629">
        <f t="shared" si="244"/>
        <v>9.4265806675470493E-2</v>
      </c>
      <c r="AB46" s="629">
        <f t="shared" si="245"/>
        <v>-0.89571178981943456</v>
      </c>
      <c r="AC46" s="636">
        <f t="shared" si="391"/>
        <v>1</v>
      </c>
      <c r="AD46" s="637">
        <f t="shared" si="392"/>
        <v>0.43452772900044945</v>
      </c>
      <c r="AE46" s="629">
        <f t="shared" si="393"/>
        <v>9.4265806675470493E-2</v>
      </c>
      <c r="AF46" s="633">
        <f t="shared" si="394"/>
        <v>-0.89571178981943456</v>
      </c>
      <c r="AG46" s="602">
        <f t="shared" si="395"/>
        <v>6.0077631062547248</v>
      </c>
      <c r="AH46" s="603">
        <f t="shared" si="396"/>
        <v>64.244753649409134</v>
      </c>
      <c r="AI46" s="585">
        <f t="shared" si="397"/>
        <v>-26.399996188312141</v>
      </c>
      <c r="AJ46" s="586">
        <f t="shared" si="398"/>
        <v>102.24</v>
      </c>
      <c r="AK46" s="635">
        <f t="shared" si="399"/>
        <v>-1.3877787807814457E-17</v>
      </c>
      <c r="AL46" s="629">
        <f t="shared" si="400"/>
        <v>-0.44463511959635532</v>
      </c>
      <c r="AM46" s="634">
        <f t="shared" si="401"/>
        <v>-0.89571178981943456</v>
      </c>
      <c r="AN46" s="581">
        <f t="shared" si="402"/>
        <v>-26.399996188312148</v>
      </c>
      <c r="AO46" s="582">
        <f t="shared" si="94"/>
        <v>0</v>
      </c>
      <c r="AP46" s="585">
        <f t="shared" si="403"/>
        <v>-90</v>
      </c>
      <c r="AQ46" s="586">
        <f t="shared" si="246"/>
        <v>0.73270455355676434</v>
      </c>
      <c r="AS46" s="52">
        <f t="shared" si="406"/>
        <v>-256.85100013124332</v>
      </c>
      <c r="AT46" s="72">
        <f t="shared" si="247"/>
        <v>-0.18346706548440284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5.2169999999999996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5.117</v>
      </c>
      <c r="II46" s="734" cm="1">
        <f t="array" ref="II46">IFERROR(ROUND(VALUE(IF($IH46&lt;1,$IH46+LARGE((IF($M$9:$M$150="",0,$M$9:$M$150)-MOD(IF($M$9:$M$150="",0,$M$9:$M$150),1)),1),$IH46)),4),"")</f>
        <v>5.117</v>
      </c>
      <c r="IJ46" s="533">
        <f t="shared" si="112"/>
        <v>1613</v>
      </c>
      <c r="IK46" s="533" t="str">
        <f t="shared" si="382"/>
        <v>CPS-32193r1</v>
      </c>
      <c r="IL46" s="727">
        <f t="shared" si="225"/>
        <v>21.162900230592669</v>
      </c>
      <c r="IM46" s="759">
        <v>2.9015948984975601E-2</v>
      </c>
      <c r="IN46" s="5">
        <f t="shared" si="226"/>
        <v>1.5</v>
      </c>
      <c r="IO46" s="771">
        <v>750</v>
      </c>
      <c r="IP46" s="9">
        <f t="shared" si="227"/>
        <v>-3.0904093206745116</v>
      </c>
      <c r="IQ46" s="5">
        <f t="shared" si="228"/>
        <v>-0.31360103720552862</v>
      </c>
      <c r="IR46" s="5">
        <f t="shared" si="383"/>
        <v>0.314</v>
      </c>
      <c r="IS46" s="5">
        <f t="shared" si="229"/>
        <v>0.30142629945132354</v>
      </c>
      <c r="IT46" s="727">
        <f t="shared" si="230"/>
        <v>49.742796391608294</v>
      </c>
      <c r="IU46" s="9">
        <f t="shared" si="231"/>
        <v>-3.1112163112925137</v>
      </c>
      <c r="IV46" s="5">
        <f t="shared" si="232"/>
        <v>-0.36246706548440283</v>
      </c>
      <c r="IW46" s="5">
        <f t="shared" si="384"/>
        <v>0.25700000000000001</v>
      </c>
      <c r="IX46" s="5">
        <f t="shared" si="233"/>
        <v>0.25700000000000001</v>
      </c>
      <c r="IY46" s="762">
        <f t="shared" si="234"/>
        <v>26.399996188312148</v>
      </c>
    </row>
    <row r="47" spans="1:267" ht="15" customHeight="1" x14ac:dyDescent="0.25">
      <c r="A47" s="79"/>
      <c r="B47" s="707">
        <v>-3.4546839507674094</v>
      </c>
      <c r="C47" s="708">
        <v>-0.8485517580608114</v>
      </c>
      <c r="D47" s="709">
        <v>-0.98245067367434447</v>
      </c>
      <c r="E47" s="710">
        <v>-0.72282632476853459</v>
      </c>
      <c r="F47" s="708">
        <v>-0.17754340757778322</v>
      </c>
      <c r="G47" s="711">
        <v>0.66783264568848544</v>
      </c>
      <c r="H47" s="710">
        <v>0.25700000000000001</v>
      </c>
      <c r="I47" s="708">
        <v>0.41499999999999992</v>
      </c>
      <c r="J47" s="570">
        <v>5.2229999999999999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CPS-32193r1</v>
      </c>
      <c r="L47" s="320"/>
      <c r="M47" s="168">
        <f t="shared" si="239"/>
        <v>5.2229999999999999</v>
      </c>
      <c r="N47" s="632">
        <f t="shared" si="240"/>
        <v>-3.4546839507674094</v>
      </c>
      <c r="O47" s="629">
        <f t="shared" si="241"/>
        <v>-0.8485517580608114</v>
      </c>
      <c r="P47" s="633">
        <f t="shared" si="242"/>
        <v>-0.98245067367434447</v>
      </c>
      <c r="Q47" s="585">
        <f t="shared" si="113"/>
        <v>193.79999988584976</v>
      </c>
      <c r="R47" s="629">
        <f t="shared" si="385"/>
        <v>3.5573699956285134</v>
      </c>
      <c r="S47" s="634">
        <f t="shared" si="386"/>
        <v>-0.98245067367434447</v>
      </c>
      <c r="T47" s="635">
        <f t="shared" si="387"/>
        <v>-0.90325137225034824</v>
      </c>
      <c r="U47" s="629">
        <f t="shared" si="388"/>
        <v>3.4407874453859937</v>
      </c>
      <c r="V47" s="636">
        <f t="shared" si="389"/>
        <v>-0.98245067367434447</v>
      </c>
      <c r="W47" s="585">
        <f t="shared" si="224"/>
        <v>104.70899975460641</v>
      </c>
      <c r="X47" s="629">
        <f t="shared" si="390"/>
        <v>3.5573699956285134</v>
      </c>
      <c r="Y47" s="630">
        <f t="shared" si="223"/>
        <v>-0.98245067367434447</v>
      </c>
      <c r="Z47" s="632">
        <f t="shared" si="243"/>
        <v>0.72282632476853459</v>
      </c>
      <c r="AA47" s="629">
        <f t="shared" si="244"/>
        <v>0.17754340757778322</v>
      </c>
      <c r="AB47" s="629">
        <f t="shared" si="245"/>
        <v>-0.66783264568848544</v>
      </c>
      <c r="AC47" s="636">
        <f t="shared" si="391"/>
        <v>1</v>
      </c>
      <c r="AD47" s="637">
        <f t="shared" si="392"/>
        <v>0.72282632476853459</v>
      </c>
      <c r="AE47" s="629">
        <f t="shared" si="393"/>
        <v>0.17754340757778322</v>
      </c>
      <c r="AF47" s="633">
        <f t="shared" si="394"/>
        <v>-0.66783264568848544</v>
      </c>
      <c r="AG47" s="602">
        <f t="shared" si="395"/>
        <v>14.887731153255146</v>
      </c>
      <c r="AH47" s="603">
        <f t="shared" si="396"/>
        <v>43.711677235780876</v>
      </c>
      <c r="AI47" s="585">
        <f t="shared" si="397"/>
        <v>-48.099993055221582</v>
      </c>
      <c r="AJ47" s="586">
        <f t="shared" si="398"/>
        <v>103.80001745826982</v>
      </c>
      <c r="AK47" s="635">
        <f t="shared" si="399"/>
        <v>2.2827778672906973E-7</v>
      </c>
      <c r="AL47" s="629">
        <f t="shared" si="400"/>
        <v>-0.74431146528363101</v>
      </c>
      <c r="AM47" s="634">
        <f t="shared" si="401"/>
        <v>-0.66783264568848544</v>
      </c>
      <c r="AN47" s="581">
        <f t="shared" si="402"/>
        <v>-48.099993055220246</v>
      </c>
      <c r="AO47" s="582">
        <f t="shared" si="94"/>
        <v>0</v>
      </c>
      <c r="AP47" s="585">
        <f t="shared" si="403"/>
        <v>-89.999982427579923</v>
      </c>
      <c r="AQ47" s="586">
        <f t="shared" si="246"/>
        <v>0.64081936267997164</v>
      </c>
      <c r="AS47" s="52">
        <f t="shared" si="406"/>
        <v>-255.2910002453936</v>
      </c>
      <c r="AT47" s="72">
        <f t="shared" si="247"/>
        <v>-0.80453400692840682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5.2229999999999999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5.1230000000000002</v>
      </c>
      <c r="II47" s="734" cm="1">
        <f t="array" ref="II47">IFERROR(ROUND(VALUE(IF($IH47&lt;1,$IH47+LARGE((IF($M$9:$M$150="",0,$M$9:$M$150)-MOD(IF($M$9:$M$150="",0,$M$9:$M$150),1)),1),$IH47)),4),"")</f>
        <v>5.1230000000000002</v>
      </c>
      <c r="IJ47" s="533">
        <f t="shared" si="112"/>
        <v>1613</v>
      </c>
      <c r="IK47" s="533" t="str">
        <f t="shared" si="382"/>
        <v>CPS-32193r1</v>
      </c>
      <c r="IL47" s="727">
        <f t="shared" si="225"/>
        <v>18.846600453939118</v>
      </c>
      <c r="IM47" s="759">
        <v>2.68709905150375E-2</v>
      </c>
      <c r="IN47" s="5">
        <f t="shared" si="226"/>
        <v>1.72</v>
      </c>
      <c r="IO47" s="771">
        <v>860</v>
      </c>
      <c r="IP47" s="9">
        <f t="shared" si="227"/>
        <v>-3.5578107303571631</v>
      </c>
      <c r="IQ47" s="5">
        <f t="shared" si="228"/>
        <v>-0.93760291919520555</v>
      </c>
      <c r="IR47" s="5">
        <f t="shared" si="383"/>
        <v>0.314</v>
      </c>
      <c r="IS47" s="5">
        <f t="shared" si="229"/>
        <v>0.28600882349488577</v>
      </c>
      <c r="IT47" s="727">
        <f t="shared" si="230"/>
        <v>68.580833724860668</v>
      </c>
      <c r="IU47" s="9">
        <f t="shared" si="231"/>
        <v>-3.5573699956285134</v>
      </c>
      <c r="IV47" s="5">
        <f t="shared" si="232"/>
        <v>-0.98245067367434447</v>
      </c>
      <c r="IW47" s="5">
        <f t="shared" si="384"/>
        <v>0.25700000000000001</v>
      </c>
      <c r="IX47" s="5">
        <f t="shared" si="233"/>
        <v>0.25700000000000001</v>
      </c>
      <c r="IY47" s="762">
        <f t="shared" si="234"/>
        <v>48.099993055220246</v>
      </c>
    </row>
    <row r="48" spans="1:267" ht="15" customHeight="1" x14ac:dyDescent="0.25">
      <c r="A48" s="79"/>
      <c r="B48" s="707">
        <v>-3.5594927359726998</v>
      </c>
      <c r="C48" s="708">
        <v>-0.87429526484131048</v>
      </c>
      <c r="D48" s="709">
        <v>-1.7830813095786822</v>
      </c>
      <c r="E48" s="710">
        <v>-0.97113422581141529</v>
      </c>
      <c r="F48" s="708">
        <v>-0.23853367782686741</v>
      </c>
      <c r="G48" s="711">
        <v>2.2679489617958036E-7</v>
      </c>
      <c r="H48" s="710">
        <v>0.25700000000000001</v>
      </c>
      <c r="I48" s="708">
        <v>0.41499999999999992</v>
      </c>
      <c r="J48" s="570">
        <v>5.2290000000000001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CPS-32193r1</v>
      </c>
      <c r="L48" s="320"/>
      <c r="M48" s="168">
        <f t="shared" si="239"/>
        <v>5.2290000000000001</v>
      </c>
      <c r="N48" s="632">
        <f t="shared" si="240"/>
        <v>-3.5594927359726998</v>
      </c>
      <c r="O48" s="629">
        <f t="shared" si="241"/>
        <v>-0.87429526484131048</v>
      </c>
      <c r="P48" s="633">
        <f t="shared" si="242"/>
        <v>-1.7830813095786822</v>
      </c>
      <c r="Q48" s="585">
        <f t="shared" si="113"/>
        <v>193.79999988921088</v>
      </c>
      <c r="R48" s="629">
        <f t="shared" si="79"/>
        <v>3.6652940874596069</v>
      </c>
      <c r="S48" s="634">
        <f t="shared" si="80"/>
        <v>-1.7830813095786822</v>
      </c>
      <c r="T48" s="635">
        <f t="shared" si="81"/>
        <v>-0.93065436516503686</v>
      </c>
      <c r="U48" s="629">
        <f t="shared" si="82"/>
        <v>3.5451746360603473</v>
      </c>
      <c r="V48" s="636">
        <f t="shared" si="114"/>
        <v>-1.7830813095786822</v>
      </c>
      <c r="W48" s="585">
        <f t="shared" si="224"/>
        <v>104.70899975796753</v>
      </c>
      <c r="X48" s="629">
        <f t="shared" si="83"/>
        <v>3.6652940874596069</v>
      </c>
      <c r="Y48" s="630">
        <f t="shared" si="223"/>
        <v>-1.7830813095786822</v>
      </c>
      <c r="Z48" s="632">
        <f t="shared" si="243"/>
        <v>0.97113422581141529</v>
      </c>
      <c r="AA48" s="629">
        <f t="shared" si="244"/>
        <v>0.23853367782686741</v>
      </c>
      <c r="AB48" s="629">
        <f t="shared" si="245"/>
        <v>-2.2679489617958036E-7</v>
      </c>
      <c r="AC48" s="636">
        <f t="shared" si="84"/>
        <v>1</v>
      </c>
      <c r="AD48" s="637">
        <f t="shared" si="115"/>
        <v>0.97113422581141529</v>
      </c>
      <c r="AE48" s="629">
        <f t="shared" si="85"/>
        <v>0.23853367782686741</v>
      </c>
      <c r="AF48" s="633">
        <f t="shared" si="86"/>
        <v>-2.2679489617958036E-7</v>
      </c>
      <c r="AG48" s="602">
        <f t="shared" si="87"/>
        <v>89.999945523875354</v>
      </c>
      <c r="AH48" s="603">
        <f t="shared" si="88"/>
        <v>13.800012994396379</v>
      </c>
      <c r="AI48" s="585">
        <f t="shared" si="89"/>
        <v>-89.999987005609626</v>
      </c>
      <c r="AJ48" s="586">
        <f t="shared" si="90"/>
        <v>103.8000129943904</v>
      </c>
      <c r="AK48" s="635">
        <f t="shared" si="211"/>
        <v>2.2872853178146357E-7</v>
      </c>
      <c r="AL48" s="629">
        <f t="shared" si="91"/>
        <v>-0.99999999999994815</v>
      </c>
      <c r="AM48" s="634">
        <f t="shared" si="92"/>
        <v>-2.2679489617958036E-7</v>
      </c>
      <c r="AN48" s="581">
        <f t="shared" si="93"/>
        <v>-89.999987005609626</v>
      </c>
      <c r="AO48" s="582">
        <f t="shared" si="94"/>
        <v>0</v>
      </c>
      <c r="AP48" s="585">
        <f t="shared" si="95"/>
        <v>-89.999986894820481</v>
      </c>
      <c r="AQ48" s="586">
        <f t="shared" si="246"/>
        <v>0.62195202736419841</v>
      </c>
      <c r="AS48" s="52">
        <f t="shared" si="406"/>
        <v>-255.29100024203245</v>
      </c>
      <c r="AT48" s="72">
        <f t="shared" si="247"/>
        <v>-1.6051646428350785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>Gage</v>
      </c>
      <c r="IG48" s="847">
        <f t="shared" si="210"/>
        <v>5.2290000000000001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5.1289999999999996</v>
      </c>
      <c r="II48" s="734" cm="1">
        <f t="array" ref="II48">IFERROR(ROUND(VALUE(IF($IH48&lt;1,$IH48+LARGE((IF($M$9:$M$150="",0,$M$9:$M$150)-MOD(IF($M$9:$M$150="",0,$M$9:$M$150),1)),1),$IH48)),4),"")</f>
        <v>5.1289999999999996</v>
      </c>
      <c r="IJ48" s="533">
        <f t="shared" si="112"/>
        <v>1613</v>
      </c>
      <c r="IK48" s="533" t="str">
        <f t="shared" si="382"/>
        <v>CPS-32193r1</v>
      </c>
      <c r="IL48" s="727">
        <f t="shared" si="225"/>
        <v>18.63500011078915</v>
      </c>
      <c r="IM48" s="759">
        <v>1.7620651891494098E-2</v>
      </c>
      <c r="IN48" s="5">
        <f t="shared" si="226"/>
        <v>2.1</v>
      </c>
      <c r="IO48" s="771">
        <v>1050</v>
      </c>
      <c r="IP48" s="9">
        <f t="shared" si="227"/>
        <v>-3.6829000000000005</v>
      </c>
      <c r="IQ48" s="5">
        <f t="shared" si="228"/>
        <v>-1.7388000000000001</v>
      </c>
      <c r="IR48" s="5">
        <f t="shared" si="383"/>
        <v>0.314</v>
      </c>
      <c r="IS48" s="5">
        <f t="shared" si="229"/>
        <v>0.27193197678831371</v>
      </c>
      <c r="IT48" s="727">
        <f t="shared" si="230"/>
        <v>89.999987005609626</v>
      </c>
      <c r="IU48" s="9">
        <f t="shared" si="231"/>
        <v>-3.6652940874596069</v>
      </c>
      <c r="IV48" s="5">
        <f t="shared" si="232"/>
        <v>-1.7830813095786822</v>
      </c>
      <c r="IW48" s="5">
        <f t="shared" si="384"/>
        <v>0.25700000000000001</v>
      </c>
      <c r="IX48" s="5">
        <f t="shared" si="233"/>
        <v>0.25700000000000001</v>
      </c>
      <c r="IY48" s="762">
        <f t="shared" si="234"/>
        <v>89.999987005609626</v>
      </c>
    </row>
    <row r="49" spans="1:259" ht="15" customHeight="1" x14ac:dyDescent="0.25">
      <c r="A49" s="79"/>
      <c r="B49" s="707">
        <v>-1.9925852709492313</v>
      </c>
      <c r="C49" s="708">
        <v>0.94660936635495574</v>
      </c>
      <c r="D49" s="709">
        <v>-1.2800129989992207E-2</v>
      </c>
      <c r="E49" s="710">
        <v>-0.45906968940048559</v>
      </c>
      <c r="F49" s="708">
        <v>-0.85008205648170854</v>
      </c>
      <c r="G49" s="711">
        <v>0.25809982084761507</v>
      </c>
      <c r="H49" s="710">
        <v>0.314</v>
      </c>
      <c r="I49" s="708">
        <v>0.52</v>
      </c>
      <c r="J49" s="570">
        <v>6.11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6.11</v>
      </c>
      <c r="N49" s="632">
        <f t="shared" si="240"/>
        <v>-1.9925852709492313</v>
      </c>
      <c r="O49" s="629">
        <f t="shared" si="241"/>
        <v>0.94660936635495574</v>
      </c>
      <c r="P49" s="633">
        <f t="shared" si="242"/>
        <v>-1.2800129989992207E-2</v>
      </c>
      <c r="Q49" s="585">
        <f t="shared" si="113"/>
        <v>154.58920005931216</v>
      </c>
      <c r="R49" s="629">
        <f t="shared" si="79"/>
        <v>2.2060066533160665</v>
      </c>
      <c r="S49" s="634">
        <f t="shared" si="80"/>
        <v>-1.2800129989992207E-2</v>
      </c>
      <c r="T49" s="635">
        <f t="shared" si="81"/>
        <v>0.9148791181755439</v>
      </c>
      <c r="U49" s="629">
        <f t="shared" si="82"/>
        <v>2.007351875880532</v>
      </c>
      <c r="V49" s="636">
        <f t="shared" si="114"/>
        <v>-1.2800129989992207E-2</v>
      </c>
      <c r="W49" s="585">
        <f t="shared" si="224"/>
        <v>65.498199928068814</v>
      </c>
      <c r="X49" s="629">
        <f t="shared" si="83"/>
        <v>2.2060066533160665</v>
      </c>
      <c r="Y49" s="630">
        <f t="shared" si="223"/>
        <v>-1.2800129989992207E-2</v>
      </c>
      <c r="Z49" s="632">
        <f t="shared" si="243"/>
        <v>0.45906968940048559</v>
      </c>
      <c r="AA49" s="629">
        <f t="shared" si="244"/>
        <v>0.85008205648170854</v>
      </c>
      <c r="AB49" s="629">
        <f t="shared" si="245"/>
        <v>-0.25809982084761507</v>
      </c>
      <c r="AC49" s="636">
        <f t="shared" si="84"/>
        <v>1</v>
      </c>
      <c r="AD49" s="637">
        <f t="shared" si="115"/>
        <v>0.45906968940048559</v>
      </c>
      <c r="AE49" s="629">
        <f t="shared" si="85"/>
        <v>0.85008205648170854</v>
      </c>
      <c r="AF49" s="633">
        <f t="shared" si="86"/>
        <v>-0.25809982084761507</v>
      </c>
      <c r="AG49" s="602">
        <f t="shared" si="87"/>
        <v>73.110789966486891</v>
      </c>
      <c r="AH49" s="603">
        <f t="shared" si="88"/>
        <v>62.672907461871873</v>
      </c>
      <c r="AI49" s="585">
        <f t="shared" si="89"/>
        <v>-75.042657942256</v>
      </c>
      <c r="AJ49" s="586">
        <f t="shared" si="90"/>
        <v>151.62962936175029</v>
      </c>
      <c r="AK49" s="635">
        <f t="shared" si="211"/>
        <v>0.96482966152454974</v>
      </c>
      <c r="AL49" s="629">
        <f t="shared" si="91"/>
        <v>-4.9881927798071712E-2</v>
      </c>
      <c r="AM49" s="634">
        <f t="shared" si="92"/>
        <v>-0.25809982084761507</v>
      </c>
      <c r="AN49" s="581">
        <f t="shared" si="93"/>
        <v>-10.938468125080044</v>
      </c>
      <c r="AO49" s="582">
        <f t="shared" si="94"/>
        <v>15.240774905545788</v>
      </c>
      <c r="AP49" s="585">
        <f t="shared" si="95"/>
        <v>-2.9595706975618823</v>
      </c>
      <c r="AQ49" s="586">
        <f t="shared" si="246"/>
        <v>1.033305799670496</v>
      </c>
      <c r="AS49" s="52">
        <f t="shared" si="406"/>
        <v>-294.5018000719312</v>
      </c>
      <c r="AT49" s="72">
        <f t="shared" si="247"/>
        <v>0.19234625885770773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6.11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-2.6699538303051322</v>
      </c>
      <c r="C50" s="708">
        <v>1.327154372479308</v>
      </c>
      <c r="D50" s="709">
        <v>-0.23650080467122706</v>
      </c>
      <c r="E50" s="710">
        <v>-0.60187876238484184</v>
      </c>
      <c r="F50" s="708">
        <v>-0.77373823398964037</v>
      </c>
      <c r="G50" s="711">
        <v>0.19766411068447345</v>
      </c>
      <c r="H50" s="710">
        <v>0.314</v>
      </c>
      <c r="I50" s="708">
        <v>0.52</v>
      </c>
      <c r="J50" s="570">
        <v>6.1159999999999997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6.1159999999999997</v>
      </c>
      <c r="N50" s="632">
        <f t="shared" si="240"/>
        <v>-2.6699538303051322</v>
      </c>
      <c r="O50" s="629">
        <f t="shared" si="241"/>
        <v>1.327154372479308</v>
      </c>
      <c r="P50" s="633">
        <f t="shared" si="242"/>
        <v>-0.23650080467122706</v>
      </c>
      <c r="Q50" s="585">
        <f t="shared" si="113"/>
        <v>153.56940020655304</v>
      </c>
      <c r="R50" s="629">
        <f t="shared" si="79"/>
        <v>2.9816089925327218</v>
      </c>
      <c r="S50" s="634">
        <f t="shared" si="80"/>
        <v>-0.23650080467122706</v>
      </c>
      <c r="T50" s="635">
        <f t="shared" si="81"/>
        <v>1.2846302049141067</v>
      </c>
      <c r="U50" s="629">
        <f t="shared" si="82"/>
        <v>2.6906722990684564</v>
      </c>
      <c r="V50" s="636">
        <f t="shared" si="114"/>
        <v>-0.23650080467122706</v>
      </c>
      <c r="W50" s="585">
        <f t="shared" si="224"/>
        <v>64.478400075309693</v>
      </c>
      <c r="X50" s="629">
        <f t="shared" si="83"/>
        <v>2.9816089925327218</v>
      </c>
      <c r="Y50" s="630">
        <f t="shared" si="223"/>
        <v>-0.23650080467122706</v>
      </c>
      <c r="Z50" s="632">
        <f t="shared" si="243"/>
        <v>0.60187876238484184</v>
      </c>
      <c r="AA50" s="629">
        <f t="shared" si="244"/>
        <v>0.77373823398964037</v>
      </c>
      <c r="AB50" s="629">
        <f t="shared" si="245"/>
        <v>-0.19766411068447345</v>
      </c>
      <c r="AC50" s="636">
        <f t="shared" si="84"/>
        <v>1</v>
      </c>
      <c r="AD50" s="637">
        <f t="shared" si="115"/>
        <v>0.60187876238484184</v>
      </c>
      <c r="AE50" s="629">
        <f t="shared" si="85"/>
        <v>0.77373823398964037</v>
      </c>
      <c r="AF50" s="633">
        <f t="shared" si="86"/>
        <v>-0.19766411068447345</v>
      </c>
      <c r="AG50" s="602">
        <f t="shared" si="87"/>
        <v>75.669360489669899</v>
      </c>
      <c r="AH50" s="603">
        <f t="shared" si="88"/>
        <v>52.995427076794549</v>
      </c>
      <c r="AI50" s="585">
        <f t="shared" si="89"/>
        <v>-78.599604282771367</v>
      </c>
      <c r="AJ50" s="586">
        <f t="shared" si="90"/>
        <v>142.1212166032189</v>
      </c>
      <c r="AK50" s="635">
        <f t="shared" si="211"/>
        <v>0.9607669549796638</v>
      </c>
      <c r="AL50" s="629">
        <f t="shared" si="91"/>
        <v>-0.19456556110067635</v>
      </c>
      <c r="AM50" s="634">
        <f t="shared" si="92"/>
        <v>-0.19766411068447345</v>
      </c>
      <c r="AN50" s="581">
        <f t="shared" si="93"/>
        <v>-44.547382226455987</v>
      </c>
      <c r="AO50" s="582">
        <f t="shared" si="94"/>
        <v>16.102520271270226</v>
      </c>
      <c r="AP50" s="585">
        <f t="shared" si="95"/>
        <v>-11.448183603334142</v>
      </c>
      <c r="AQ50" s="586">
        <f t="shared" si="246"/>
        <v>0.76455072626106391</v>
      </c>
      <c r="AS50" s="52">
        <f t="shared" si="406"/>
        <v>-295.52159992469029</v>
      </c>
      <c r="AT50" s="72">
        <f t="shared" si="247"/>
        <v>-3.0646221481333336E-2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6.1159999999999997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-3.1158440855294698</v>
      </c>
      <c r="C51" s="708">
        <v>1.6058386721470395</v>
      </c>
      <c r="D51" s="709">
        <v>-0.81880256089332393</v>
      </c>
      <c r="E51" s="710">
        <v>-0.73367246390729779</v>
      </c>
      <c r="F51" s="708">
        <v>-0.66171234148908686</v>
      </c>
      <c r="G51" s="711">
        <v>0.15447165702880594</v>
      </c>
      <c r="H51" s="710">
        <v>0.314</v>
      </c>
      <c r="I51" s="708">
        <v>0.52</v>
      </c>
      <c r="J51" s="570">
        <v>6.1219999999999999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6.1219999999999999</v>
      </c>
      <c r="N51" s="632">
        <f t="shared" si="240"/>
        <v>-3.1158440855294698</v>
      </c>
      <c r="O51" s="629">
        <f t="shared" si="241"/>
        <v>1.6058386721470395</v>
      </c>
      <c r="P51" s="633">
        <f t="shared" si="242"/>
        <v>-0.81880256089332393</v>
      </c>
      <c r="Q51" s="585">
        <f t="shared" si="113"/>
        <v>152.73440032711213</v>
      </c>
      <c r="R51" s="629">
        <f t="shared" si="79"/>
        <v>3.5053105720166857</v>
      </c>
      <c r="S51" s="634">
        <f t="shared" si="80"/>
        <v>-0.81880256089332393</v>
      </c>
      <c r="T51" s="635">
        <f t="shared" si="81"/>
        <v>1.5562056627122063</v>
      </c>
      <c r="U51" s="629">
        <f t="shared" si="82"/>
        <v>3.1409275925488012</v>
      </c>
      <c r="V51" s="636">
        <f t="shared" si="114"/>
        <v>-0.81880256089332393</v>
      </c>
      <c r="W51" s="585">
        <f t="shared" si="224"/>
        <v>63.643400195868779</v>
      </c>
      <c r="X51" s="629">
        <f t="shared" si="83"/>
        <v>3.5053105720166857</v>
      </c>
      <c r="Y51" s="630">
        <f t="shared" si="223"/>
        <v>-0.81880256089332393</v>
      </c>
      <c r="Z51" s="632">
        <f t="shared" si="243"/>
        <v>0.73367246390729779</v>
      </c>
      <c r="AA51" s="629">
        <f t="shared" si="244"/>
        <v>0.66171234148908686</v>
      </c>
      <c r="AB51" s="629">
        <f t="shared" si="245"/>
        <v>-0.15447165702880594</v>
      </c>
      <c r="AC51" s="636">
        <f t="shared" si="84"/>
        <v>1</v>
      </c>
      <c r="AD51" s="637">
        <f t="shared" si="115"/>
        <v>0.73367246390729779</v>
      </c>
      <c r="AE51" s="629">
        <f t="shared" si="85"/>
        <v>0.66171234148908686</v>
      </c>
      <c r="AF51" s="633">
        <f t="shared" si="86"/>
        <v>-0.15447165702880594</v>
      </c>
      <c r="AG51" s="602">
        <f t="shared" si="87"/>
        <v>76.8600563696818</v>
      </c>
      <c r="AH51" s="603">
        <f t="shared" si="88"/>
        <v>42.804840244245078</v>
      </c>
      <c r="AI51" s="585">
        <f t="shared" si="89"/>
        <v>-81.113844611996456</v>
      </c>
      <c r="AJ51" s="586">
        <f t="shared" si="90"/>
        <v>132.04786658219089</v>
      </c>
      <c r="AK51" s="635">
        <f t="shared" si="211"/>
        <v>0.92429815681591676</v>
      </c>
      <c r="AL51" s="629">
        <f t="shared" si="91"/>
        <v>-0.34901493446767284</v>
      </c>
      <c r="AM51" s="634">
        <f t="shared" si="92"/>
        <v>-0.15447165702880594</v>
      </c>
      <c r="AN51" s="581">
        <f t="shared" si="93"/>
        <v>-66.126141719345824</v>
      </c>
      <c r="AO51" s="582">
        <f t="shared" si="94"/>
        <v>22.437240118831088</v>
      </c>
      <c r="AP51" s="585">
        <f t="shared" si="95"/>
        <v>-20.68653374492126</v>
      </c>
      <c r="AQ51" s="586">
        <f t="shared" si="246"/>
        <v>0.65033573553416979</v>
      </c>
      <c r="AS51" s="52">
        <f t="shared" si="406"/>
        <v>-296.35659980413124</v>
      </c>
      <c r="AT51" s="72">
        <f t="shared" si="247"/>
        <v>-0.61236811667604063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6.1219999999999999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-3.2648408557750335</v>
      </c>
      <c r="C52" s="708">
        <v>1.7042789080611622</v>
      </c>
      <c r="D52" s="709">
        <v>-1.6198999999999999</v>
      </c>
      <c r="E52" s="710">
        <v>-0.84400045002645863</v>
      </c>
      <c r="F52" s="708">
        <v>-0.53634246555267506</v>
      </c>
      <c r="G52" s="711">
        <v>1.1339744853067616E-7</v>
      </c>
      <c r="H52" s="710">
        <v>0.314</v>
      </c>
      <c r="I52" s="708">
        <v>0.52</v>
      </c>
      <c r="J52" s="570">
        <v>6.1280000000000001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6.1280000000000001</v>
      </c>
      <c r="N52" s="632">
        <f t="shared" si="240"/>
        <v>-3.2648408557750335</v>
      </c>
      <c r="O52" s="629">
        <f t="shared" si="241"/>
        <v>1.7042789080611622</v>
      </c>
      <c r="P52" s="633">
        <f t="shared" si="242"/>
        <v>-1.6198999999999999</v>
      </c>
      <c r="Q52" s="585">
        <f t="shared" si="113"/>
        <v>152.435</v>
      </c>
      <c r="R52" s="629">
        <f t="shared" si="79"/>
        <v>3.6829000000000001</v>
      </c>
      <c r="S52" s="634">
        <f t="shared" si="80"/>
        <v>-1.6198999999999999</v>
      </c>
      <c r="T52" s="635">
        <f t="shared" si="81"/>
        <v>1.652269769557368</v>
      </c>
      <c r="U52" s="629">
        <f t="shared" si="82"/>
        <v>3.291467304805995</v>
      </c>
      <c r="V52" s="636">
        <f t="shared" si="114"/>
        <v>-1.6198999999999999</v>
      </c>
      <c r="W52" s="585">
        <f t="shared" si="224"/>
        <v>63.343999868756654</v>
      </c>
      <c r="X52" s="629">
        <f t="shared" si="83"/>
        <v>3.6829000000000001</v>
      </c>
      <c r="Y52" s="630">
        <f t="shared" si="223"/>
        <v>-1.6198999999999999</v>
      </c>
      <c r="Z52" s="632">
        <f t="shared" si="243"/>
        <v>0.84400045002645863</v>
      </c>
      <c r="AA52" s="629">
        <f t="shared" si="244"/>
        <v>0.53634246555267506</v>
      </c>
      <c r="AB52" s="629">
        <f t="shared" si="245"/>
        <v>-1.1339744853067616E-7</v>
      </c>
      <c r="AC52" s="636">
        <f t="shared" si="84"/>
        <v>1</v>
      </c>
      <c r="AD52" s="637">
        <f t="shared" si="115"/>
        <v>0.84400045002645863</v>
      </c>
      <c r="AE52" s="629">
        <f t="shared" si="85"/>
        <v>0.53634246555267506</v>
      </c>
      <c r="AF52" s="633">
        <f t="shared" si="86"/>
        <v>-1.1339744853067616E-7</v>
      </c>
      <c r="AG52" s="602">
        <f t="shared" si="87"/>
        <v>89.999987886107064</v>
      </c>
      <c r="AH52" s="603">
        <f t="shared" si="88"/>
        <v>32.435000000001224</v>
      </c>
      <c r="AI52" s="585">
        <f t="shared" si="89"/>
        <v>-89.999993502804784</v>
      </c>
      <c r="AJ52" s="586">
        <f t="shared" si="90"/>
        <v>122.43500000000066</v>
      </c>
      <c r="AK52" s="635">
        <f t="shared" si="211"/>
        <v>0.8660254037844386</v>
      </c>
      <c r="AL52" s="629">
        <f t="shared" si="91"/>
        <v>-0.49999999999998701</v>
      </c>
      <c r="AM52" s="634">
        <f t="shared" si="92"/>
        <v>-1.1339744853067616E-7</v>
      </c>
      <c r="AN52" s="581">
        <f t="shared" si="93"/>
        <v>-89.999987005609583</v>
      </c>
      <c r="AO52" s="582">
        <f t="shared" si="94"/>
        <v>30.000000000000004</v>
      </c>
      <c r="AP52" s="585">
        <f t="shared" si="95"/>
        <v>-29.999999999999361</v>
      </c>
      <c r="AQ52" s="586">
        <f t="shared" si="246"/>
        <v>0.61897904982222918</v>
      </c>
      <c r="AS52" s="52">
        <f t="shared" si="406"/>
        <v>-296.65600013124333</v>
      </c>
      <c r="AT52" s="72">
        <f t="shared" si="247"/>
        <v>-1.4132576388888887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6.1280000000000001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-2.5299737845647576</v>
      </c>
      <c r="C53" s="708">
        <v>2.6520960384159227</v>
      </c>
      <c r="D53" s="709">
        <v>-1.6643090346948348</v>
      </c>
      <c r="E53" s="710">
        <v>-0.69025140433633503</v>
      </c>
      <c r="F53" s="708">
        <v>0.72356962264295344</v>
      </c>
      <c r="G53" s="711">
        <v>2.2679489724920409E-7</v>
      </c>
      <c r="H53" s="710">
        <v>0.25700000000000001</v>
      </c>
      <c r="I53" s="708">
        <v>0.41499999999999992</v>
      </c>
      <c r="J53" s="570">
        <v>6.2279999999999998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CPS-32193r1</v>
      </c>
      <c r="L53" s="320"/>
      <c r="M53" s="168">
        <f t="shared" si="239"/>
        <v>6.2279999999999998</v>
      </c>
      <c r="N53" s="632">
        <f t="shared" si="240"/>
        <v>-2.5299737845647576</v>
      </c>
      <c r="O53" s="629">
        <f t="shared" si="241"/>
        <v>2.6520960384159227</v>
      </c>
      <c r="P53" s="633">
        <f t="shared" si="242"/>
        <v>-1.6643090346948348</v>
      </c>
      <c r="Q53" s="585">
        <f t="shared" si="113"/>
        <v>133.64999988921087</v>
      </c>
      <c r="R53" s="629">
        <f t="shared" ref="R53:R58" si="410">IF(M53="","",SQRT(N53^2+O53^2))</f>
        <v>3.6652940874596074</v>
      </c>
      <c r="S53" s="634">
        <f t="shared" ref="S53:S58" si="411">IF(M53="","",P53)</f>
        <v>-1.6643090346948348</v>
      </c>
      <c r="T53" s="635">
        <f t="shared" ref="T53:T58" si="412">IF(M53="","",X53*COS(RADIANS(W53)))</f>
        <v>2.6116258267112378</v>
      </c>
      <c r="U53" s="629">
        <f t="shared" ref="U53:U58" si="413">IF(M53="","",X53*SIN(RADIANS(W53)))</f>
        <v>2.5717292409624308</v>
      </c>
      <c r="V53" s="636">
        <f t="shared" ref="V53:V58" si="414">IF(M53="","",Y53)</f>
        <v>-1.6643090346948348</v>
      </c>
      <c r="W53" s="585">
        <f t="shared" si="224"/>
        <v>44.558999757967527</v>
      </c>
      <c r="X53" s="629">
        <f t="shared" ref="X53:X58" si="415">IF(M53="","",R53)</f>
        <v>3.6652940874596074</v>
      </c>
      <c r="Y53" s="630">
        <f t="shared" si="223"/>
        <v>-1.6643090346948348</v>
      </c>
      <c r="Z53" s="632">
        <f t="shared" si="243"/>
        <v>0.69025140433633503</v>
      </c>
      <c r="AA53" s="629">
        <f t="shared" si="244"/>
        <v>-0.72356962264295344</v>
      </c>
      <c r="AB53" s="629">
        <f t="shared" si="245"/>
        <v>-2.2679489724920409E-7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0.69025140433633503</v>
      </c>
      <c r="AE53" s="629">
        <f t="shared" ref="AE53:AE58" si="418">IF(M53="","",AA53*(1/SQRT(Z53^2+AA53^2+AB53^2)))</f>
        <v>-0.72356962264295344</v>
      </c>
      <c r="AF53" s="633">
        <f t="shared" ref="AF53:AF58" si="419">IF(M53="","",AB53*(1/SQRT(Z53^2+AA53^2+AB53^2)))</f>
        <v>-2.2679489724920409E-7</v>
      </c>
      <c r="AG53" s="602">
        <f t="shared" ref="AG53:AG58" si="420">IF(M53="","",DEGREES(ATAN2(-AF53,AE53)))</f>
        <v>-89.999982041271466</v>
      </c>
      <c r="AH53" s="603">
        <f t="shared" ref="AH53:AH58" si="421">IF(M53="","",DEGREES(ACOS(AD53)))</f>
        <v>46.349987005610998</v>
      </c>
      <c r="AI53" s="585">
        <f t="shared" ref="AI53:AI58" si="422">IF(M53="","",DEGREES(-ACOS(-AF53)))</f>
        <v>-89.999987005609569</v>
      </c>
      <c r="AJ53" s="586">
        <f t="shared" ref="AJ53:AJ58" si="423">IF(M53="","",DEGREES(ATAN2(-AE53,AD53)))</f>
        <v>43.650012994390401</v>
      </c>
      <c r="AK53" s="635">
        <f t="shared" ref="AK53:AK58" si="424">IF(M53="","",(COS(RADIANS((90-$Q$8)-W53))*AD53)+(-SIN(RADIANS((90-$Q$8)-W53))*AE53))</f>
        <v>2.2872853183697472E-7</v>
      </c>
      <c r="AL53" s="629">
        <f t="shared" ref="AL53:AL58" si="425">IF(M53="","",(SIN(RADIANS((90-$Q$8)-W53))*AD53)+(COS(RADIANS((90-$Q$8)-W53))*AE53))</f>
        <v>-0.99999999999994815</v>
      </c>
      <c r="AM53" s="634">
        <f t="shared" ref="AM53:AM58" si="426">IF(M53="","",AF53)</f>
        <v>-2.2679489724920409E-7</v>
      </c>
      <c r="AN53" s="581">
        <f t="shared" ref="AN53:AN58" si="427">IF(M53="","",DEGREES(ATAN2(-AM53,AL53)))</f>
        <v>-89.999987005609583</v>
      </c>
      <c r="AO53" s="582">
        <f t="shared" si="94"/>
        <v>0</v>
      </c>
      <c r="AP53" s="585">
        <f t="shared" ref="AP53:AP58" si="428">IF(M53="","",DEGREES(ATAN2(AK53,AL53)))</f>
        <v>-89.999986894820481</v>
      </c>
      <c r="AQ53" s="586">
        <f t="shared" si="246"/>
        <v>0.62195202736419841</v>
      </c>
      <c r="AS53" s="52">
        <f t="shared" si="406"/>
        <v>-315.44100024203249</v>
      </c>
      <c r="AT53" s="72">
        <f t="shared" si="247"/>
        <v>-1.4446215346178979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>Gage</v>
      </c>
      <c r="IG53" s="847">
        <f t="shared" si="210"/>
        <v>6.2279999999999998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0.128</v>
      </c>
      <c r="II53" s="734" cm="1">
        <f t="array" ref="II53">IFERROR(ROUND(VALUE(IF($IH53&lt;1,$IH53+LARGE((IF($M$9:$M$150="",0,$M$9:$M$150)-MOD(IF($M$9:$M$150="",0,$M$9:$M$150),1)),1),$IH53)),4),"")</f>
        <v>6.1280000000000001</v>
      </c>
      <c r="IJ53" s="533">
        <f t="shared" si="112"/>
        <v>1613</v>
      </c>
      <c r="IK53" s="533" t="str">
        <f t="shared" si="382"/>
        <v>CPS-32193r1</v>
      </c>
      <c r="IL53" s="727">
        <f t="shared" si="225"/>
        <v>18.785000110789127</v>
      </c>
      <c r="IM53" s="759">
        <v>1.7515917572532201E-2</v>
      </c>
      <c r="IN53" s="5">
        <f t="shared" si="226"/>
        <v>2.08</v>
      </c>
      <c r="IO53" s="771">
        <v>1040</v>
      </c>
      <c r="IP53" s="9">
        <f t="shared" si="227"/>
        <v>-3.6829000000000001</v>
      </c>
      <c r="IQ53" s="5">
        <f t="shared" si="228"/>
        <v>-1.6198999999999999</v>
      </c>
      <c r="IR53" s="5">
        <f t="shared" si="383"/>
        <v>0.314</v>
      </c>
      <c r="IS53" s="5">
        <f t="shared" si="229"/>
        <v>0.27193197678831371</v>
      </c>
      <c r="IT53" s="727">
        <f t="shared" si="230"/>
        <v>89.999987005609583</v>
      </c>
      <c r="IU53" s="9">
        <f t="shared" si="231"/>
        <v>-3.6652940874596074</v>
      </c>
      <c r="IV53" s="5">
        <f t="shared" si="232"/>
        <v>-1.6643090346948348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89.999987005609583</v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8.852130215629557E-2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0.96592582628906831</v>
      </c>
      <c r="F156" s="170">
        <f t="shared" si="929"/>
        <v>4.4943455527547763E-2</v>
      </c>
      <c r="G156" s="170">
        <f t="shared" si="929"/>
        <v>-0.25488700224417882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0.96101099711342941</v>
      </c>
      <c r="F157" s="170">
        <f t="shared" si="929"/>
        <v>-0.1360338541838359</v>
      </c>
      <c r="G157" s="170">
        <f t="shared" si="929"/>
        <v>-0.24073357460674871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0.93948851336091654</v>
      </c>
      <c r="F158" s="170">
        <f t="shared" si="929"/>
        <v>-0.29625628196016235</v>
      </c>
      <c r="G158" s="170">
        <f t="shared" si="929"/>
        <v>-0.17202775549903504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0.87691222519662104</v>
      </c>
      <c r="F159" s="170">
        <f t="shared" si="929"/>
        <v>-0.46662143319308103</v>
      </c>
      <c r="G159" s="170">
        <f t="shared" si="929"/>
        <v>-0.11527960524544598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0.84278135614737548</v>
      </c>
      <c r="F160" s="170">
        <f t="shared" si="929"/>
        <v>-0.5382560596318241</v>
      </c>
      <c r="G160" s="170">
        <f t="shared" si="929"/>
        <v>-1.1339744831728188E-7</v>
      </c>
      <c r="H160" s="139"/>
      <c r="I160" s="86"/>
      <c r="J160" s="79">
        <f t="shared" si="930"/>
        <v>1.131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-0.20856644909207128</v>
      </c>
      <c r="F161" s="170">
        <f t="shared" si="929"/>
        <v>-0.51415201699719626</v>
      </c>
      <c r="G161" s="170">
        <f t="shared" si="929"/>
        <v>-0.83195416924902743</v>
      </c>
      <c r="H161" s="139"/>
      <c r="I161" s="86"/>
      <c r="J161" s="79">
        <f t="shared" si="930"/>
        <v>1.2190000000000001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-0.29476379014712173</v>
      </c>
      <c r="F162" s="170">
        <f t="shared" si="929"/>
        <v>-0.76748615738519144</v>
      </c>
      <c r="G162" s="170">
        <f t="shared" si="929"/>
        <v>-0.56927963799895109</v>
      </c>
      <c r="H162" s="139"/>
      <c r="I162" s="86"/>
      <c r="J162" s="79">
        <f t="shared" si="930"/>
        <v>1.2250000000000001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-0.35853067289185636</v>
      </c>
      <c r="F163" s="170">
        <f t="shared" si="929"/>
        <v>-0.93351794658467135</v>
      </c>
      <c r="G163" s="170">
        <f t="shared" si="929"/>
        <v>-2.2679489486396887E-7</v>
      </c>
      <c r="H163" s="139"/>
      <c r="I163" s="86"/>
      <c r="J163" s="79">
        <f t="shared" si="930"/>
        <v>1.2310000000000001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0.45738172233859925</v>
      </c>
      <c r="F164" s="170">
        <f t="shared" si="929"/>
        <v>-0.85452443201725636</v>
      </c>
      <c r="G164" s="170">
        <f t="shared" si="929"/>
        <v>-0.24615026946189156</v>
      </c>
      <c r="H164" s="139"/>
      <c r="I164" s="86"/>
      <c r="J164" s="79">
        <f t="shared" si="930"/>
        <v>2.1120000000000001</v>
      </c>
    </row>
    <row r="165" spans="5:16" x14ac:dyDescent="0.25">
      <c r="E165" s="170">
        <f t="shared" si="929"/>
        <v>0.32316837426443368</v>
      </c>
      <c r="F165" s="170">
        <f t="shared" si="929"/>
        <v>-0.92946837998477394</v>
      </c>
      <c r="G165" s="170">
        <f t="shared" si="929"/>
        <v>-0.17790652737817955</v>
      </c>
      <c r="H165" s="139"/>
      <c r="I165" s="86"/>
      <c r="J165" s="79">
        <f t="shared" si="930"/>
        <v>2.1179999999999999</v>
      </c>
    </row>
    <row r="166" spans="5:16" x14ac:dyDescent="0.25">
      <c r="E166" s="170">
        <f t="shared" si="929"/>
        <v>0.1435454277288527</v>
      </c>
      <c r="F166" s="170">
        <f t="shared" si="929"/>
        <v>-0.98056810289493512</v>
      </c>
      <c r="G166" s="170">
        <f t="shared" si="929"/>
        <v>-0.13371950404921806</v>
      </c>
      <c r="H166" s="139"/>
      <c r="I166" s="86"/>
      <c r="J166" s="79">
        <f t="shared" si="930"/>
        <v>2.1240000000000001</v>
      </c>
    </row>
    <row r="167" spans="5:16" x14ac:dyDescent="0.25">
      <c r="E167" s="170">
        <f t="shared" si="929"/>
        <v>4.2485975283767075E-2</v>
      </c>
      <c r="F167" s="170">
        <f t="shared" si="929"/>
        <v>-0.99909706330474934</v>
      </c>
      <c r="G167" s="170">
        <f t="shared" si="929"/>
        <v>-1.1339744821699087E-7</v>
      </c>
      <c r="H167" s="139"/>
      <c r="I167" s="86"/>
      <c r="J167" s="79">
        <f t="shared" si="930"/>
        <v>2.13</v>
      </c>
    </row>
    <row r="168" spans="5:16" x14ac:dyDescent="0.25">
      <c r="E168" s="170">
        <f t="shared" si="929"/>
        <v>-0.9706325124751386</v>
      </c>
      <c r="F168" s="170">
        <f t="shared" si="929"/>
        <v>-0.24056709194349216</v>
      </c>
      <c r="G168" s="170">
        <f t="shared" si="929"/>
        <v>-2.2679489665485007E-7</v>
      </c>
      <c r="H168" s="139"/>
      <c r="I168" s="86"/>
      <c r="J168" s="79">
        <f t="shared" si="930"/>
        <v>2.23</v>
      </c>
    </row>
    <row r="169" spans="5:16" x14ac:dyDescent="0.25">
      <c r="E169" s="170">
        <f t="shared" si="929"/>
        <v>-0.25305567148571528</v>
      </c>
      <c r="F169" s="170">
        <f t="shared" si="929"/>
        <v>-0.92281966229859713</v>
      </c>
      <c r="G169" s="170">
        <f t="shared" si="929"/>
        <v>-0.29045946017304536</v>
      </c>
      <c r="H169" s="139"/>
      <c r="I169" s="86"/>
      <c r="J169" s="79">
        <f t="shared" si="930"/>
        <v>3.1019999999999999</v>
      </c>
    </row>
    <row r="170" spans="5:16" x14ac:dyDescent="0.25">
      <c r="E170" s="170">
        <f t="shared" si="929"/>
        <v>-0.26741864093690504</v>
      </c>
      <c r="F170" s="170">
        <f t="shared" si="929"/>
        <v>-0.93058437921929993</v>
      </c>
      <c r="G170" s="170">
        <f t="shared" si="929"/>
        <v>-0.24999996726497567</v>
      </c>
      <c r="H170" s="139"/>
      <c r="I170" s="86"/>
      <c r="J170" s="79">
        <f t="shared" si="930"/>
        <v>3.105</v>
      </c>
    </row>
    <row r="171" spans="5:16" x14ac:dyDescent="0.25">
      <c r="E171" s="170">
        <f t="shared" si="929"/>
        <v>-0.35581503309976076</v>
      </c>
      <c r="F171" s="170">
        <f t="shared" si="929"/>
        <v>-0.89755212734208956</v>
      </c>
      <c r="G171" s="170">
        <f t="shared" si="929"/>
        <v>-0.26037634478559218</v>
      </c>
      <c r="H171" s="139"/>
      <c r="I171" s="86"/>
      <c r="J171" s="79">
        <f t="shared" si="930"/>
        <v>3.109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-0.51079086005111707</v>
      </c>
      <c r="F172" s="170">
        <f t="shared" si="929"/>
        <v>-0.83305155999310898</v>
      </c>
      <c r="G172" s="170">
        <f t="shared" si="929"/>
        <v>-0.21240949997890368</v>
      </c>
      <c r="H172" s="139"/>
      <c r="I172" s="86"/>
      <c r="J172" s="79">
        <f t="shared" si="930"/>
        <v>3.1150000000000002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-0.65195028832248558</v>
      </c>
      <c r="F173" s="170">
        <f t="shared" si="929"/>
        <v>-0.73965448314742199</v>
      </c>
      <c r="G173" s="170">
        <f t="shared" si="929"/>
        <v>-0.16694929504537609</v>
      </c>
      <c r="H173" s="139"/>
      <c r="I173" s="86"/>
      <c r="J173" s="79">
        <f t="shared" si="930"/>
        <v>3.121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-0.78811709781666373</v>
      </c>
      <c r="F174" s="170">
        <f t="shared" si="933"/>
        <v>-0.60929405441301832</v>
      </c>
      <c r="G174" s="170">
        <f t="shared" si="933"/>
        <v>-8.736243692792256E-2</v>
      </c>
      <c r="H174" s="139"/>
      <c r="I174" s="86"/>
      <c r="J174" s="79">
        <f t="shared" si="930"/>
        <v>3.1269999999999998</v>
      </c>
    </row>
    <row r="175" spans="5:16" x14ac:dyDescent="0.25">
      <c r="E175" s="170">
        <f t="shared" si="933"/>
        <v>-0.79404344755105172</v>
      </c>
      <c r="F175" s="170">
        <f t="shared" si="933"/>
        <v>-0.60786100664644338</v>
      </c>
      <c r="G175" s="170">
        <f t="shared" si="933"/>
        <v>-1.133974479308639E-7</v>
      </c>
      <c r="H175" s="139"/>
      <c r="I175" s="86"/>
      <c r="J175" s="79">
        <f t="shared" si="930"/>
        <v>3.133</v>
      </c>
    </row>
    <row r="176" spans="5:16" x14ac:dyDescent="0.25">
      <c r="E176" s="170">
        <f t="shared" si="933"/>
        <v>-0.48885443285694991</v>
      </c>
      <c r="F176" s="170">
        <f t="shared" si="933"/>
        <v>0.43555341189272584</v>
      </c>
      <c r="G176" s="170">
        <f t="shared" si="933"/>
        <v>-0.75585353664894317</v>
      </c>
      <c r="H176" s="139"/>
      <c r="I176" s="86"/>
      <c r="J176" s="79">
        <f t="shared" si="930"/>
        <v>3.2210000000000001</v>
      </c>
    </row>
    <row r="177" spans="5:10" x14ac:dyDescent="0.25">
      <c r="E177" s="170">
        <f t="shared" si="933"/>
        <v>-0.67014613082102481</v>
      </c>
      <c r="F177" s="170">
        <f t="shared" si="933"/>
        <v>0.58111294298749372</v>
      </c>
      <c r="G177" s="170">
        <f t="shared" si="933"/>
        <v>-0.46174875293607875</v>
      </c>
      <c r="H177" s="139"/>
      <c r="I177" s="86"/>
      <c r="J177" s="79">
        <f t="shared" si="930"/>
        <v>3.2269999999999999</v>
      </c>
    </row>
    <row r="178" spans="5:10" x14ac:dyDescent="0.25">
      <c r="E178" s="170">
        <f t="shared" si="933"/>
        <v>-0.7555106926657229</v>
      </c>
      <c r="F178" s="170">
        <f t="shared" si="933"/>
        <v>0.65513631655382087</v>
      </c>
      <c r="G178" s="170">
        <f t="shared" si="933"/>
        <v>-2.267948966275295E-7</v>
      </c>
      <c r="H178" s="139"/>
      <c r="I178" s="86"/>
      <c r="J178" s="79">
        <f t="shared" si="930"/>
        <v>3.2330000000000001</v>
      </c>
    </row>
    <row r="179" spans="5:10" x14ac:dyDescent="0.25">
      <c r="E179" s="170">
        <f t="shared" si="933"/>
        <v>-0.95096431162806838</v>
      </c>
      <c r="F179" s="170">
        <f t="shared" si="933"/>
        <v>-0.16720390295040674</v>
      </c>
      <c r="G179" s="170">
        <f t="shared" si="933"/>
        <v>-0.26021093913958582</v>
      </c>
      <c r="H179" s="139"/>
      <c r="I179" s="86"/>
      <c r="J179" s="79">
        <f t="shared" si="930"/>
        <v>4.1079999999999997</v>
      </c>
    </row>
    <row r="180" spans="5:10" x14ac:dyDescent="0.25">
      <c r="E180" s="170">
        <f t="shared" si="933"/>
        <v>-0.97425626610641647</v>
      </c>
      <c r="F180" s="170">
        <f t="shared" si="933"/>
        <v>9.7868323153740139E-4</v>
      </c>
      <c r="G180" s="170">
        <f t="shared" si="933"/>
        <v>-0.22544127867698929</v>
      </c>
      <c r="H180" s="139"/>
      <c r="I180" s="86"/>
      <c r="J180" s="79">
        <f t="shared" si="930"/>
        <v>4.1139999999999999</v>
      </c>
    </row>
    <row r="181" spans="5:10" x14ac:dyDescent="0.25">
      <c r="E181" s="170">
        <f t="shared" si="933"/>
        <v>-0.9739206972350658</v>
      </c>
      <c r="F181" s="170">
        <f t="shared" si="933"/>
        <v>0.15636367987350261</v>
      </c>
      <c r="G181" s="170">
        <f t="shared" si="933"/>
        <v>-0.16440460794509451</v>
      </c>
      <c r="H181" s="139"/>
      <c r="I181" s="86"/>
      <c r="J181" s="79">
        <f t="shared" si="930"/>
        <v>4.12</v>
      </c>
    </row>
    <row r="182" spans="5:10" x14ac:dyDescent="0.25">
      <c r="E182" s="170">
        <f t="shared" si="933"/>
        <v>-0.93354514782553366</v>
      </c>
      <c r="F182" s="170">
        <f t="shared" si="933"/>
        <v>0.34320816526940162</v>
      </c>
      <c r="G182" s="170">
        <f t="shared" si="933"/>
        <v>-0.10344859720563496</v>
      </c>
      <c r="H182" s="139"/>
      <c r="I182" s="86"/>
      <c r="J182" s="79">
        <f t="shared" si="930"/>
        <v>4.1260000000000003</v>
      </c>
    </row>
    <row r="183" spans="5:10" x14ac:dyDescent="0.25">
      <c r="E183" s="170">
        <f t="shared" si="933"/>
        <v>-0.92344479750132735</v>
      </c>
      <c r="F183" s="170">
        <f t="shared" si="933"/>
        <v>0.38373129396456562</v>
      </c>
      <c r="G183" s="170">
        <f t="shared" si="933"/>
        <v>-1.1339744835503556E-7</v>
      </c>
      <c r="H183" s="139"/>
      <c r="I183" s="86"/>
      <c r="J183" s="79">
        <f t="shared" si="930"/>
        <v>4.1319999999999997</v>
      </c>
    </row>
    <row r="184" spans="5:10" x14ac:dyDescent="0.25">
      <c r="E184" s="170">
        <f t="shared" si="933"/>
        <v>0.18995206884595978</v>
      </c>
      <c r="F184" s="170">
        <f t="shared" si="933"/>
        <v>0.98179336499137559</v>
      </c>
      <c r="G184" s="170">
        <f t="shared" si="933"/>
        <v>-2.2679489676612418E-7</v>
      </c>
      <c r="H184" s="139"/>
      <c r="I184" s="86"/>
      <c r="J184" s="79">
        <f t="shared" si="930"/>
        <v>4.2320000000000002</v>
      </c>
    </row>
    <row r="185" spans="5:10" x14ac:dyDescent="0.25">
      <c r="E185" s="170">
        <f t="shared" si="933"/>
        <v>-0.60890506553846202</v>
      </c>
      <c r="F185" s="170">
        <f t="shared" si="933"/>
        <v>0.75281779836100604</v>
      </c>
      <c r="G185" s="170">
        <f t="shared" si="933"/>
        <v>-0.24999996726497561</v>
      </c>
      <c r="H185" s="139"/>
      <c r="I185" s="86"/>
      <c r="J185" s="79">
        <f t="shared" si="930"/>
        <v>5.1029999999999998</v>
      </c>
    </row>
    <row r="186" spans="5:10" x14ac:dyDescent="0.25">
      <c r="E186" s="170">
        <f t="shared" si="933"/>
        <v>-0.60890506553846202</v>
      </c>
      <c r="F186" s="170">
        <f t="shared" si="933"/>
        <v>0.75281779836100615</v>
      </c>
      <c r="G186" s="170">
        <f t="shared" si="933"/>
        <v>-0.24999996726497561</v>
      </c>
      <c r="H186" s="139"/>
      <c r="I186" s="86"/>
      <c r="J186" s="79">
        <f t="shared" si="930"/>
        <v>5.1059999999999999</v>
      </c>
    </row>
    <row r="187" spans="5:10" x14ac:dyDescent="0.25">
      <c r="E187" s="170">
        <f t="shared" si="933"/>
        <v>-0.4819646982889132</v>
      </c>
      <c r="F187" s="170">
        <f t="shared" si="933"/>
        <v>0.83876466970416763</v>
      </c>
      <c r="G187" s="170">
        <f t="shared" si="933"/>
        <v>-0.25334533439425211</v>
      </c>
      <c r="H187" s="139"/>
      <c r="I187" s="86"/>
      <c r="J187" s="79">
        <f t="shared" si="930"/>
        <v>5.1109999999999998</v>
      </c>
    </row>
    <row r="188" spans="5:10" x14ac:dyDescent="0.25">
      <c r="E188" s="170">
        <f t="shared" si="933"/>
        <v>-0.34999648428787478</v>
      </c>
      <c r="F188" s="170">
        <f t="shared" si="933"/>
        <v>0.91909064943251251</v>
      </c>
      <c r="G188" s="170">
        <f t="shared" si="933"/>
        <v>-0.18103822555430102</v>
      </c>
      <c r="H188" s="139"/>
      <c r="I188" s="86"/>
      <c r="J188" s="79">
        <f t="shared" si="930"/>
        <v>5.117</v>
      </c>
    </row>
    <row r="189" spans="5:10" x14ac:dyDescent="0.25">
      <c r="E189" s="170">
        <f t="shared" si="933"/>
        <v>-0.16784912132102703</v>
      </c>
      <c r="F189" s="170">
        <f t="shared" si="933"/>
        <v>0.97422254466786606</v>
      </c>
      <c r="G189" s="170">
        <f t="shared" si="933"/>
        <v>-0.15072194907387271</v>
      </c>
      <c r="H189" s="139"/>
      <c r="I189" s="86"/>
      <c r="J189" s="79">
        <f t="shared" si="930"/>
        <v>5.1230000000000002</v>
      </c>
    </row>
    <row r="190" spans="5:10" x14ac:dyDescent="0.25">
      <c r="E190" s="170">
        <f t="shared" si="933"/>
        <v>-4.2485975283767526E-2</v>
      </c>
      <c r="F190" s="170">
        <f t="shared" si="933"/>
        <v>0.99909706330474946</v>
      </c>
      <c r="G190" s="170">
        <f t="shared" si="933"/>
        <v>-1.1339744821699083E-7</v>
      </c>
      <c r="H190" s="139"/>
      <c r="I190" s="86"/>
      <c r="J190" s="79">
        <f t="shared" si="930"/>
        <v>5.1289999999999996</v>
      </c>
    </row>
    <row r="191" spans="5:10" x14ac:dyDescent="0.25">
      <c r="E191" s="170">
        <f t="shared" si="933"/>
        <v>0.43452772900044945</v>
      </c>
      <c r="F191" s="170">
        <f t="shared" si="933"/>
        <v>9.4265806675470493E-2</v>
      </c>
      <c r="G191" s="170">
        <f t="shared" si="933"/>
        <v>-0.89571178981943456</v>
      </c>
      <c r="H191" s="139"/>
      <c r="I191" s="86"/>
      <c r="J191" s="79">
        <f t="shared" si="930"/>
        <v>5.2169999999999996</v>
      </c>
    </row>
    <row r="192" spans="5:10" x14ac:dyDescent="0.25">
      <c r="E192" s="170">
        <f t="shared" si="933"/>
        <v>0.72282632476853459</v>
      </c>
      <c r="F192" s="170">
        <f t="shared" si="933"/>
        <v>0.17754340757778322</v>
      </c>
      <c r="G192" s="170">
        <f t="shared" si="933"/>
        <v>-0.66783264568848544</v>
      </c>
      <c r="H192" s="139"/>
      <c r="I192" s="86"/>
      <c r="J192" s="79">
        <f t="shared" si="930"/>
        <v>5.2229999999999999</v>
      </c>
    </row>
    <row r="193" spans="5:10" x14ac:dyDescent="0.25">
      <c r="E193" s="170">
        <f t="shared" si="933"/>
        <v>0.97113422581141529</v>
      </c>
      <c r="F193" s="170">
        <f t="shared" si="933"/>
        <v>0.23853367782686741</v>
      </c>
      <c r="G193" s="170">
        <f t="shared" si="933"/>
        <v>-2.2679489617958036E-7</v>
      </c>
      <c r="H193" s="139"/>
      <c r="I193" s="86"/>
      <c r="J193" s="79">
        <f t="shared" si="930"/>
        <v>5.2290000000000001</v>
      </c>
    </row>
    <row r="194" spans="5:10" x14ac:dyDescent="0.25">
      <c r="E194" s="170">
        <f t="shared" ref="E194:G213" si="934">E49*-1</f>
        <v>0.45906968940048559</v>
      </c>
      <c r="F194" s="170">
        <f t="shared" si="934"/>
        <v>0.85008205648170854</v>
      </c>
      <c r="G194" s="170">
        <f t="shared" si="934"/>
        <v>-0.25809982084761507</v>
      </c>
      <c r="H194" s="139"/>
      <c r="I194" s="86"/>
      <c r="J194" s="79">
        <f t="shared" si="930"/>
        <v>6.11</v>
      </c>
    </row>
    <row r="195" spans="5:10" x14ac:dyDescent="0.25">
      <c r="E195" s="170">
        <f t="shared" si="934"/>
        <v>0.60187876238484184</v>
      </c>
      <c r="F195" s="170">
        <f t="shared" si="934"/>
        <v>0.77373823398964037</v>
      </c>
      <c r="G195" s="170">
        <f t="shared" si="934"/>
        <v>-0.19766411068447345</v>
      </c>
      <c r="H195" s="139"/>
      <c r="I195" s="86"/>
      <c r="J195" s="79">
        <f t="shared" si="930"/>
        <v>6.1159999999999997</v>
      </c>
    </row>
    <row r="196" spans="5:10" x14ac:dyDescent="0.25">
      <c r="E196" s="170">
        <f t="shared" si="934"/>
        <v>0.73367246390729779</v>
      </c>
      <c r="F196" s="170">
        <f t="shared" si="934"/>
        <v>0.66171234148908686</v>
      </c>
      <c r="G196" s="170">
        <f t="shared" si="934"/>
        <v>-0.15447165702880594</v>
      </c>
      <c r="H196" s="139"/>
      <c r="I196" s="86"/>
      <c r="J196" s="79">
        <f t="shared" si="930"/>
        <v>6.1219999999999999</v>
      </c>
    </row>
    <row r="197" spans="5:10" x14ac:dyDescent="0.25">
      <c r="E197" s="170">
        <f t="shared" si="934"/>
        <v>0.84400045002645863</v>
      </c>
      <c r="F197" s="170">
        <f t="shared" si="934"/>
        <v>0.53634246555267506</v>
      </c>
      <c r="G197" s="170">
        <f t="shared" si="934"/>
        <v>-1.1339744853067616E-7</v>
      </c>
      <c r="H197" s="139"/>
      <c r="I197" s="86"/>
      <c r="J197" s="79">
        <f t="shared" si="930"/>
        <v>6.1280000000000001</v>
      </c>
    </row>
    <row r="198" spans="5:10" x14ac:dyDescent="0.25">
      <c r="E198" s="170">
        <f t="shared" si="934"/>
        <v>0.69025140433633503</v>
      </c>
      <c r="F198" s="170">
        <f t="shared" si="934"/>
        <v>-0.72356962264295344</v>
      </c>
      <c r="G198" s="170">
        <f t="shared" si="934"/>
        <v>-2.2679489724920409E-7</v>
      </c>
      <c r="H198" s="139"/>
      <c r="I198" s="86"/>
      <c r="J198" s="79">
        <f t="shared" si="930"/>
        <v>6.2279999999999998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4AE4A3F-09D9-4B49-BC5A-6095E9485B42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59787048-2A04-4304-852A-22EDCB7A4D6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7.875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1.2190000000000001</v>
      </c>
      <c r="N171" s="869" t="str">
        <f>Assy.Model!K16</f>
        <v>CPS-32193r1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1.2250000000000001</v>
      </c>
      <c r="N172" s="869" t="str">
        <f>Assy.Model!K17</f>
        <v>CPS-32193r1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1.2310000000000001</v>
      </c>
      <c r="N173" s="869" t="str">
        <f>Assy.Model!K18</f>
        <v>CPS-32193r1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2.1120000000000001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2.1179999999999999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2.1240000000000001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2.13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2.23</v>
      </c>
      <c r="N178" s="869" t="str">
        <f>Assy.Model!K23</f>
        <v>CPS-32193r1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3.1019999999999999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3.105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3.1150000000000002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3.1269999999999998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3.133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3.2210000000000001</v>
      </c>
      <c r="N186" s="869" t="str">
        <f>Assy.Model!K31</f>
        <v>CPS-32193r1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3.2269999999999999</v>
      </c>
      <c r="N187" s="869" t="str">
        <f>Assy.Model!K32</f>
        <v>CPS-32193r1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3.2330000000000001</v>
      </c>
      <c r="N188" s="869" t="str">
        <f>Assy.Model!K33</f>
        <v>CPS-32193r1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4.1079999999999997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4.1139999999999999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4.1260000000000003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4.1319999999999997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4.2320000000000002</v>
      </c>
      <c r="N194" s="869" t="str">
        <f>Assy.Model!K39</f>
        <v>CPS-32193r1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5.1029999999999998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5.1059999999999999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5.1109999999999998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5.117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5.1230000000000002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5.1289999999999996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5.2169999999999996</v>
      </c>
      <c r="N201" s="869" t="str">
        <f>Assy.Model!K46</f>
        <v>CPS-32193r1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5.2229999999999999</v>
      </c>
      <c r="N202" s="869" t="str">
        <f>Assy.Model!K47</f>
        <v>CPS-32193r1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5.2290000000000001</v>
      </c>
      <c r="N203" s="869" t="str">
        <f>Assy.Model!K48</f>
        <v>CPS-32193r1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6.11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6.1159999999999997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6.1219999999999999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6.1280000000000001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6.2279999999999998</v>
      </c>
      <c r="N208" s="869" t="str">
        <f>Assy.Model!K53</f>
        <v>CPS-32193r1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2023-03-28T18:27:05Z</dcterms:modified>
</cp:coreProperties>
</file>