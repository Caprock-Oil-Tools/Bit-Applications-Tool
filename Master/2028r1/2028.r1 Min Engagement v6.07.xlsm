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28\"/>
    </mc:Choice>
  </mc:AlternateContent>
  <xr:revisionPtr revIDLastSave="0" documentId="13_ncr:1_{B55CAB72-3459-4398-88C0-A1E043F71544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V11" i="1" l="1"/>
  <c r="IL11" i="1"/>
  <c r="IX11" i="1"/>
  <c r="IR11" i="1"/>
  <c r="IW11" i="1"/>
  <c r="IT11" i="1"/>
  <c r="IP11" i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20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Q61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19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20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47" i="1" l="1"/>
  <c r="IP28" i="1"/>
  <c r="IP54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6" i="1" l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19" i="1" l="1"/>
  <c r="IT62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<sst xmlns="http://schemas.openxmlformats.org/spreadsheetml/2006/main" count="734" uniqueCount="391">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</sst>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N1" sqref="N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32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1.111's θ about Z Axis</v>
      </c>
      <c r="U5" s="1021"/>
      <c r="V5" s="1072"/>
      <c r="W5" s="1021" t="str">
        <f>CONCATENATE("Relative to ",M8,"'s θ about Z Axis")</f>
        <v>Relative to 1.111's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-4.8200135720409328E-2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2.1342562450502056E-18</v>
      </c>
      <c r="C9" s="703">
        <v>0.29580089213549071</v>
      </c>
      <c r="D9" s="704">
        <v>-0.30780091867637077</v>
      </c>
      <c r="E9" s="705">
        <v>-0.90630778703664994</v>
      </c>
      <c r="F9" s="703">
        <v>0</v>
      </c>
      <c r="G9" s="706">
        <v>0.42261826174069944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2.1342562450502056E-18</v>
      </c>
      <c r="O9" s="624">
        <f t="shared" ref="O9:O40" si="3">IF(M9="","",C9)</f>
        <v>0.29580089213549071</v>
      </c>
      <c r="P9" s="625">
        <f t="shared" ref="P9:P40" si="4">IF(M9="","",D9)</f>
        <v>-0.30780091867637077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-0.30780091867637077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-0.30780091867637077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-0.30780091867637077</v>
      </c>
      <c r="Z9" s="623">
        <f t="shared" ref="Z9:Z40" si="6">IF(M9="","",-E9)</f>
        <v>0.90630778703664994</v>
      </c>
      <c r="AA9" s="624">
        <f t="shared" ref="AA9:AA40" si="7">IF(M9="","",-F9)</f>
        <v>0</v>
      </c>
      <c r="AB9" s="624">
        <f t="shared" ref="AB9:AB40" si="8">IF(M9="","",-G9)</f>
        <v>-0.42261826174069944</v>
      </c>
      <c r="AC9" s="628">
        <f>IF(M9="","",SQRT(Z9^2+AA9^2+AB9^2))</f>
        <v>1</v>
      </c>
      <c r="AD9" s="631">
        <f>IF(M9="","",Z9*(1/SQRT(Z9^2+AA9^2+AB9^2)))</f>
        <v>0.90630778703664994</v>
      </c>
      <c r="AE9" s="624">
        <f>IF(M9="","",AA9*(1/SQRT(Z9^2+AA9^2+AB9^2)))</f>
        <v>0</v>
      </c>
      <c r="AF9" s="625">
        <f>IF(M9="","",AB9*(1/SQRT(Z9^2+AA9^2+AB9^2)))</f>
        <v>-0.42261826174069944</v>
      </c>
      <c r="AG9" s="599">
        <f>IF(M9="","",DEGREES(ATAN2(-AF9,AE9)))</f>
        <v>0</v>
      </c>
      <c r="AH9" s="600">
        <f>IF(M9="","",DEGREES(ACOS(AD9)))</f>
        <v>24.999999999999996</v>
      </c>
      <c r="AI9" s="583">
        <f>IF(M9="","",DEGREES(-ACOS(-AF9)))</f>
        <v>-65</v>
      </c>
      <c r="AJ9" s="601">
        <f>IF(M9="","",DEGREES(ATAN2(-AE9,AD9)))</f>
        <v>90</v>
      </c>
      <c r="AK9" s="627">
        <f>IF(M9="","",(COS(RADIANS((90-$Q$8)-W9))*AD9)+(-SIN(RADIANS((90-$Q$8)-W9))*AE9))</f>
        <v>0.90630778703664994</v>
      </c>
      <c r="AL9" s="624">
        <f>IF(M9="","",(SIN(RADIANS((90-$Q$8)-W9))*AD9)+(COS(RADIANS((90-$Q$8)-W9))*AE9))</f>
        <v>0</v>
      </c>
      <c r="AM9" s="626">
        <f>IF(M9="","",AF9)</f>
        <v>-0.42261826174069944</v>
      </c>
      <c r="AN9" s="581">
        <f>IF(M9="","",DEGREES(ATAN2(-AM9,AL9)))</f>
        <v>0</v>
      </c>
      <c r="AO9" s="582">
        <f>IF(ROUND(IF(M9="",0,DEGREES(ACOS(AK9))),4)=90,0,IF(M9="","",DEGREES(ACOS(AK9))))</f>
        <v>24.999999999999996</v>
      </c>
      <c r="AP9" s="781">
        <f>IF(M9="","",DEGREES(ATAN2(AK9,AL9)))</f>
        <v>0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-0.30780091867637077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36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3.6015574135222219E-18</v>
      </c>
      <c r="C10" s="708">
        <v>0.97520294121207063</v>
      </c>
      <c r="D10" s="709">
        <v>-0.21830064874355665</v>
      </c>
      <c r="E10" s="710">
        <v>-0.95371695074822693</v>
      </c>
      <c r="F10" s="708">
        <v>0</v>
      </c>
      <c r="G10" s="711">
        <v>0.30070579950427312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3.6015574135222219E-18</v>
      </c>
      <c r="O10" s="629">
        <f t="shared" si="3"/>
        <v>0.97520294121207063</v>
      </c>
      <c r="P10" s="633">
        <f t="shared" si="4"/>
        <v>-0.21830064874355665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0.97520294121207063</v>
      </c>
      <c r="S10" s="634">
        <f t="shared" ref="S10:S105" si="80">IF(M10="","",P10)</f>
        <v>-0.21830064874355665</v>
      </c>
      <c r="T10" s="635">
        <f t="shared" ref="T10:T105" si="81">IF(M10="","",X10*COS(RADIANS(W10)))</f>
        <v>0.97520294121207063</v>
      </c>
      <c r="U10" s="629">
        <f t="shared" ref="U10:U105" si="82">IF(M10="","",X10*SIN(RADIANS(W10)))</f>
        <v>0</v>
      </c>
      <c r="V10" s="636">
        <f>IF(M10="","",Y10)</f>
        <v>-0.21830064874355665</v>
      </c>
      <c r="W10" s="585">
        <f t="shared" si="5"/>
        <v>0</v>
      </c>
      <c r="X10" s="629">
        <f t="shared" ref="X10:X105" si="83">IF(M10="","",R10)</f>
        <v>0.97520294121207063</v>
      </c>
      <c r="Y10" s="630">
        <f>IF(M10="","",S10)</f>
        <v>-0.21830064874355665</v>
      </c>
      <c r="Z10" s="632">
        <f t="shared" si="6"/>
        <v>0.95371695074822693</v>
      </c>
      <c r="AA10" s="629">
        <f t="shared" si="7"/>
        <v>0</v>
      </c>
      <c r="AB10" s="629">
        <f t="shared" si="8"/>
        <v>-0.30070579950427312</v>
      </c>
      <c r="AC10" s="636">
        <f t="shared" ref="AC10:AC105" si="84">IF(M10="","",SQRT(Z10^2+AA10^2+AB10^2))</f>
        <v>1</v>
      </c>
      <c r="AD10" s="637">
        <f>IF(M10="","",Z10*(1/SQRT(Z10^2+AA10^2+AB10^2)))</f>
        <v>0.95371695074822693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-0.30070579950427312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17.499999999999993</v>
      </c>
      <c r="AI10" s="585">
        <f t="shared" ref="AI10:AI105" si="89">IF(M10="","",DEGREES(-ACOS(-AF10)))</f>
        <v>-72.5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0.95371695074822693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-0.30070579950427312</v>
      </c>
      <c r="AN10" s="581">
        <f t="shared" ref="AN10:AN105" si="93">IF(M10="","",DEGREES(ATAN2(-AM10,AL10)))</f>
        <v>0</v>
      </c>
      <c r="AO10" s="582">
        <f t="shared" ref="AO10:AO54" si="94">IF(ROUND(IF(M10="",0,DEGREES(ACOS(AK10))),4)=90,0,IF(M10="","",DEGREES(ACOS(AK10))))</f>
        <v>17.499999999999993</v>
      </c>
      <c r="AP10" s="585">
        <f t="shared" ref="AP10:AP105" si="95">IF(M10="","",DEGREES(ATAN2(AK10,AL10)))</f>
        <v>0</v>
      </c>
      <c r="AQ10" s="586">
        <f t="shared" si="9"/>
        <v>2.3363987063252938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-0.21830064874355665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-1.8674742144189297E-18</v>
      </c>
      <c r="C11" s="708">
        <v>1.6546049902886508</v>
      </c>
      <c r="D11" s="709">
        <v>-0.12890037911234345</v>
      </c>
      <c r="E11" s="710">
        <v>-0.96592583607220739</v>
      </c>
      <c r="F11" s="708">
        <v>0</v>
      </c>
      <c r="G11" s="711">
        <v>0.25881900859134593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-1.8674742144189297E-18</v>
      </c>
      <c r="O11" s="629">
        <f t="shared" si="3"/>
        <v>1.6546049902886508</v>
      </c>
      <c r="P11" s="633">
        <f t="shared" si="4"/>
        <v>-0.12890037911234345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1.6546049902886508</v>
      </c>
      <c r="S11" s="634">
        <f t="shared" si="80"/>
        <v>-0.12890037911234345</v>
      </c>
      <c r="T11" s="635">
        <f t="shared" si="81"/>
        <v>1.6546049902886508</v>
      </c>
      <c r="U11" s="629">
        <f t="shared" si="82"/>
        <v>0</v>
      </c>
      <c r="V11" s="636">
        <f t="shared" ref="V11:V105" si="114">IF(M11="","",Y11)</f>
        <v>-0.12890037911234345</v>
      </c>
      <c r="W11" s="585">
        <f t="shared" si="5"/>
        <v>0</v>
      </c>
      <c r="X11" s="629">
        <f>IF(M11="","",R11)</f>
        <v>1.6546049902886508</v>
      </c>
      <c r="Y11" s="630">
        <f>IF(M11="","",S11)</f>
        <v>-0.12890037911234345</v>
      </c>
      <c r="Z11" s="632">
        <f t="shared" si="6"/>
        <v>0.96592583607220739</v>
      </c>
      <c r="AA11" s="629">
        <f t="shared" si="7"/>
        <v>0</v>
      </c>
      <c r="AB11" s="629">
        <f t="shared" si="8"/>
        <v>-0.25881900859134593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0</v>
      </c>
      <c r="AF11" s="633">
        <f t="shared" si="86"/>
        <v>-0.25881900859134593</v>
      </c>
      <c r="AG11" s="602">
        <f>IF(M11="","",DEGREES(ATAN2(-AF11,AE11)))</f>
        <v>0</v>
      </c>
      <c r="AH11" s="603">
        <f t="shared" si="88"/>
        <v>14.999997834268255</v>
      </c>
      <c r="AI11" s="585">
        <f t="shared" si="89"/>
        <v>-75.000002165731729</v>
      </c>
      <c r="AJ11" s="586">
        <f t="shared" si="90"/>
        <v>90</v>
      </c>
      <c r="AK11" s="635">
        <f>IF(M11="","",(COS(RADIANS((90-$Q$8)-W11))*AD11)+(-SIN(RADIANS((90-$Q$8)-W11))*AE11))</f>
        <v>0.96592583607220739</v>
      </c>
      <c r="AL11" s="629">
        <f t="shared" si="91"/>
        <v>0</v>
      </c>
      <c r="AM11" s="634">
        <f t="shared" si="92"/>
        <v>-0.25881900859134593</v>
      </c>
      <c r="AN11" s="581">
        <f>IF(M11="","",DEGREES(ATAN2(-AM11,AL11)))</f>
        <v>0</v>
      </c>
      <c r="AO11" s="582">
        <f>IF(ROUND(IF(M11="",0,DEGREES(ACOS(AK11))),4)=90,0,IF(M11="","",DEGREES(ACOS(AK11))))</f>
        <v>14.999997834268255</v>
      </c>
      <c r="AP11" s="585">
        <f t="shared" si="95"/>
        <v>0</v>
      </c>
      <c r="AQ11" s="586">
        <f t="shared" si="9"/>
        <v>1.3775416877489572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-0.12890037911234345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-3.8683394441534978E-18</v>
      </c>
      <c r="C12" s="708">
        <v>2.3865071977057082</v>
      </c>
      <c r="D12" s="709">
        <v>-4.8200135720409328E-2</v>
      </c>
      <c r="E12" s="710">
        <v>-0.96574457657503487</v>
      </c>
      <c r="F12" s="708">
        <v>1.9507429275160935E-2</v>
      </c>
      <c r="G12" s="711">
        <v>0.25876026166894578</v>
      </c>
      <c r="H12" s="710">
        <v>0.26600000000000001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1.111</v>
      </c>
      <c r="N12" s="632">
        <f t="shared" si="2"/>
        <v>-3.8683394441534978E-18</v>
      </c>
      <c r="O12" s="629">
        <f t="shared" si="3"/>
        <v>2.3865071977057082</v>
      </c>
      <c r="P12" s="633">
        <f t="shared" si="4"/>
        <v>-4.8200135720409328E-2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2.3865071977057082</v>
      </c>
      <c r="S12" s="634">
        <f t="shared" si="80"/>
        <v>-4.8200135720409328E-2</v>
      </c>
      <c r="T12" s="635">
        <f>IF(M12="","",X12*COS(RADIANS(W12)))</f>
        <v>2.3865071977057082</v>
      </c>
      <c r="U12" s="629">
        <f t="shared" si="82"/>
        <v>0</v>
      </c>
      <c r="V12" s="636">
        <f t="shared" si="114"/>
        <v>-4.8200135720409328E-2</v>
      </c>
      <c r="W12" s="585">
        <f>IF(M12="","",IF(Q12-$Q$8&lt;0,360+Q12-$Q$8,Q12-$Q$8))</f>
        <v>0</v>
      </c>
      <c r="X12" s="629">
        <f t="shared" si="83"/>
        <v>2.3865071977057082</v>
      </c>
      <c r="Y12" s="630">
        <f>IF(M12="","",S12)</f>
        <v>-4.8200135720409328E-2</v>
      </c>
      <c r="Z12" s="632">
        <f t="shared" si="6"/>
        <v>0.96574457657503487</v>
      </c>
      <c r="AA12" s="629">
        <f t="shared" si="7"/>
        <v>-1.9507429275160935E-2</v>
      </c>
      <c r="AB12" s="629">
        <f t="shared" si="8"/>
        <v>-0.25876026166894578</v>
      </c>
      <c r="AC12" s="636">
        <f t="shared" si="84"/>
        <v>1</v>
      </c>
      <c r="AD12" s="637">
        <f t="shared" si="115"/>
        <v>0.96574457657503487</v>
      </c>
      <c r="AE12" s="629">
        <f t="shared" si="85"/>
        <v>-1.9507429275160935E-2</v>
      </c>
      <c r="AF12" s="633">
        <f t="shared" si="86"/>
        <v>-0.25876026166894578</v>
      </c>
      <c r="AG12" s="602">
        <f t="shared" si="87"/>
        <v>-4.3112614508212888</v>
      </c>
      <c r="AH12" s="603">
        <f t="shared" si="88"/>
        <v>15.040071661871744</v>
      </c>
      <c r="AI12" s="585">
        <f t="shared" si="89"/>
        <v>-75.003486825902485</v>
      </c>
      <c r="AJ12" s="586">
        <f t="shared" si="90"/>
        <v>88.842818878561317</v>
      </c>
      <c r="AK12" s="635">
        <f t="shared" ref="AK12:AK105" si="211">IF(M12="","",(COS(RADIANS((90-$Q$8)-W12))*AD12)+(-SIN(RADIANS((90-$Q$8)-W12))*AE12))</f>
        <v>0.96574457657503487</v>
      </c>
      <c r="AL12" s="629">
        <f>IF(M12="","",(SIN(RADIANS((90-$Q$8)-W12))*AD12)+(COS(RADIANS((90-$Q$8)-W12))*AE12))</f>
        <v>-1.9507429275160935E-2</v>
      </c>
      <c r="AM12" s="634">
        <f t="shared" si="92"/>
        <v>-0.25876026166894578</v>
      </c>
      <c r="AN12" s="581">
        <f>IF(M12="","",DEGREES(ATAN2(-AM12,AL12)))</f>
        <v>-4.3112614508212888</v>
      </c>
      <c r="AO12" s="582">
        <f t="shared" si="94"/>
        <v>15.040071661871744</v>
      </c>
      <c r="AP12" s="585">
        <f t="shared" si="95"/>
        <v>-1.157181121438682</v>
      </c>
      <c r="AQ12" s="586">
        <f t="shared" si="9"/>
        <v>0.95516805439535912</v>
      </c>
      <c r="AS12" s="52">
        <f t="shared" si="116"/>
        <v>0</v>
      </c>
      <c r="AT12" s="72">
        <f>IF(M12="","",Y12+(((AS12-$AS$9)*$AS$6)*-1))</f>
        <v>-4.8200135720409328E-2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4.8140313471034214E-3</v>
      </c>
      <c r="C13" s="708">
        <v>3.0647054622314669</v>
      </c>
      <c r="D13" s="709">
        <v>-0.20000059355059011</v>
      </c>
      <c r="E13" s="710">
        <v>-0.95472083296614652</v>
      </c>
      <c r="F13" s="708">
        <v>0.14107270268937583</v>
      </c>
      <c r="G13" s="711">
        <v>0.26192866138768089</v>
      </c>
      <c r="H13" s="710">
        <v>0.26600000000000001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>
        <f>IF($L12=$JH$22,$JH$29,IF($L12=$JI$22,$JI$29,""))</f>
        <v>50</v>
      </c>
      <c r="M13" s="168">
        <f t="shared" si="1"/>
        <v>1.1160000000000001</v>
      </c>
      <c r="N13" s="632">
        <f t="shared" si="2"/>
        <v>4.8140313471034214E-3</v>
      </c>
      <c r="O13" s="629">
        <f t="shared" si="3"/>
        <v>3.0647054622314669</v>
      </c>
      <c r="P13" s="633">
        <f t="shared" si="4"/>
        <v>-0.20000059355059011</v>
      </c>
      <c r="Q13" s="585">
        <f t="shared" si="113"/>
        <v>89.910000012994388</v>
      </c>
      <c r="R13" s="629">
        <f t="shared" si="79"/>
        <v>3.0647092431630769</v>
      </c>
      <c r="S13" s="634">
        <f t="shared" si="80"/>
        <v>-0.20000059355059011</v>
      </c>
      <c r="T13" s="635">
        <f>IF(M13="","",X13*COS(RADIANS(W13)))</f>
        <v>3.0647054622314669</v>
      </c>
      <c r="U13" s="629">
        <f t="shared" si="82"/>
        <v>-4.8140313471048864E-3</v>
      </c>
      <c r="V13" s="636">
        <f t="shared" si="114"/>
        <v>-0.20000059355059011</v>
      </c>
      <c r="W13" s="585">
        <f t="shared" si="5"/>
        <v>359.91000001299437</v>
      </c>
      <c r="X13" s="629">
        <f t="shared" si="83"/>
        <v>3.0647092431630769</v>
      </c>
      <c r="Y13" s="630">
        <f>IF(M13="","",S13)</f>
        <v>-0.20000059355059011</v>
      </c>
      <c r="Z13" s="632">
        <f t="shared" si="6"/>
        <v>0.95472083296614652</v>
      </c>
      <c r="AA13" s="629">
        <f t="shared" si="7"/>
        <v>-0.14107270268937583</v>
      </c>
      <c r="AB13" s="629">
        <f t="shared" si="8"/>
        <v>-0.26192866138768089</v>
      </c>
      <c r="AC13" s="636">
        <f t="shared" si="84"/>
        <v>1</v>
      </c>
      <c r="AD13" s="637">
        <f>IF(M13="","",Z13*(1/SQRT(Z13^2+AA13^2+AB13^2)))</f>
        <v>0.95472083296614652</v>
      </c>
      <c r="AE13" s="629">
        <f t="shared" si="85"/>
        <v>-0.14107270268937583</v>
      </c>
      <c r="AF13" s="633">
        <f t="shared" si="86"/>
        <v>-0.26192866138768089</v>
      </c>
      <c r="AG13" s="602">
        <f>IF(M13="","",DEGREES(ATAN2(-AF13,AE13)))</f>
        <v>-28.306553785804972</v>
      </c>
      <c r="AH13" s="603">
        <f t="shared" si="88"/>
        <v>17.307698767584164</v>
      </c>
      <c r="AI13" s="585">
        <f t="shared" si="89"/>
        <v>-74.815467084756577</v>
      </c>
      <c r="AJ13" s="586">
        <f t="shared" si="90"/>
        <v>81.594608687603383</v>
      </c>
      <c r="AK13" s="635">
        <f t="shared" si="211"/>
        <v>0.95494125148718512</v>
      </c>
      <c r="AL13" s="629">
        <f t="shared" si="91"/>
        <v>-0.13957285750369358</v>
      </c>
      <c r="AM13" s="634">
        <f t="shared" si="92"/>
        <v>-0.26192866138768089</v>
      </c>
      <c r="AN13" s="581">
        <f t="shared" si="93"/>
        <v>-28.051632841335795</v>
      </c>
      <c r="AO13" s="582">
        <f t="shared" si="94"/>
        <v>17.265198037891935</v>
      </c>
      <c r="AP13" s="585">
        <f t="shared" si="95"/>
        <v>-8.3153913253909888</v>
      </c>
      <c r="AQ13" s="586">
        <f t="shared" si="9"/>
        <v>0.74382213044339229</v>
      </c>
      <c r="AS13" s="52">
        <f t="shared" si="116"/>
        <v>-8.9999987005626281E-2</v>
      </c>
      <c r="AT13" s="72">
        <f t="shared" si="10"/>
        <v>-0.19993809355961398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3.3479955556725706E-2</v>
      </c>
      <c r="C14" s="708">
        <v>3.6192560661651685</v>
      </c>
      <c r="D14" s="709">
        <v>-0.61860185605199758</v>
      </c>
      <c r="E14" s="710">
        <v>-0.92146823618110318</v>
      </c>
      <c r="F14" s="708">
        <v>0.29081983569314884</v>
      </c>
      <c r="G14" s="711">
        <v>0.25752691680035467</v>
      </c>
      <c r="H14" s="710">
        <v>0.26600000000000001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1.121</v>
      </c>
      <c r="N14" s="632">
        <f t="shared" si="2"/>
        <v>3.3479955556725706E-2</v>
      </c>
      <c r="O14" s="629">
        <f t="shared" si="3"/>
        <v>3.6192560661651685</v>
      </c>
      <c r="P14" s="633">
        <f t="shared" si="4"/>
        <v>-0.61860185605199758</v>
      </c>
      <c r="Q14" s="585">
        <f t="shared" si="113"/>
        <v>89.470000076522524</v>
      </c>
      <c r="R14" s="629">
        <f t="shared" si="79"/>
        <v>3.6194109161433237</v>
      </c>
      <c r="S14" s="634">
        <f t="shared" si="80"/>
        <v>-0.61860185605199758</v>
      </c>
      <c r="T14" s="635">
        <f t="shared" si="81"/>
        <v>3.6192560661651689</v>
      </c>
      <c r="U14" s="629">
        <f t="shared" si="82"/>
        <v>-3.3479955556724922E-2</v>
      </c>
      <c r="V14" s="636">
        <f t="shared" si="114"/>
        <v>-0.61860185605199758</v>
      </c>
      <c r="W14" s="585">
        <f t="shared" si="5"/>
        <v>359.47000007652252</v>
      </c>
      <c r="X14" s="629">
        <f t="shared" si="83"/>
        <v>3.6194109161433237</v>
      </c>
      <c r="Y14" s="630">
        <f t="shared" ref="Y14:Y75" si="223">IF(M14="","",S14)</f>
        <v>-0.61860185605199758</v>
      </c>
      <c r="Z14" s="632">
        <f t="shared" si="6"/>
        <v>0.92146823618110318</v>
      </c>
      <c r="AA14" s="629">
        <f t="shared" si="7"/>
        <v>-0.29081983569314884</v>
      </c>
      <c r="AB14" s="629">
        <f t="shared" si="8"/>
        <v>-0.25752691680035467</v>
      </c>
      <c r="AC14" s="636">
        <f t="shared" si="84"/>
        <v>1</v>
      </c>
      <c r="AD14" s="637">
        <f>IF(M14="","",Z14*(1/SQRT(Z14^2+AA14^2+AB14^2)))</f>
        <v>0.92146823618110318</v>
      </c>
      <c r="AE14" s="629">
        <f t="shared" si="85"/>
        <v>-0.29081983569314884</v>
      </c>
      <c r="AF14" s="633">
        <f t="shared" si="86"/>
        <v>-0.25752691680035467</v>
      </c>
      <c r="AG14" s="602">
        <f t="shared" si="87"/>
        <v>-48.474452912341739</v>
      </c>
      <c r="AH14" s="603">
        <f t="shared" si="88"/>
        <v>22.858319276483439</v>
      </c>
      <c r="AI14" s="585">
        <f t="shared" si="89"/>
        <v>-75.076631408838281</v>
      </c>
      <c r="AJ14" s="586">
        <f t="shared" si="90"/>
        <v>72.484051561360815</v>
      </c>
      <c r="AK14" s="635">
        <f>IF(M14="","",(COS(RADIANS((90-$Q$8)-W14))*AD14)+(-SIN(RADIANS((90-$Q$8)-W14))*AE14))</f>
        <v>0.92411892881038893</v>
      </c>
      <c r="AL14" s="629">
        <f t="shared" si="91"/>
        <v>-0.28228370930261398</v>
      </c>
      <c r="AM14" s="634">
        <f t="shared" si="92"/>
        <v>-0.25752691680035467</v>
      </c>
      <c r="AN14" s="581">
        <f t="shared" si="93"/>
        <v>-47.625858803931834</v>
      </c>
      <c r="AO14" s="582">
        <f t="shared" si="94"/>
        <v>22.464130216561358</v>
      </c>
      <c r="AP14" s="585">
        <f>IF(M14="","",DEGREES(ATAN2(AK14,AL14)))</f>
        <v>-16.985948515161724</v>
      </c>
      <c r="AQ14" s="586">
        <f t="shared" si="9"/>
        <v>0.62983586470155928</v>
      </c>
      <c r="AS14" s="52">
        <f t="shared" si="116"/>
        <v>-0.52999992347747593</v>
      </c>
      <c r="AT14" s="72">
        <f t="shared" si="10"/>
        <v>-0.61823380054958266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7.1600012009047351E-2</v>
      </c>
      <c r="C15" s="708">
        <v>3.9441620587082249</v>
      </c>
      <c r="D15" s="709">
        <v>-1.2291036973255511</v>
      </c>
      <c r="E15" s="710">
        <v>-0.8790096447393313</v>
      </c>
      <c r="F15" s="708">
        <v>0.43549706431383978</v>
      </c>
      <c r="G15" s="711">
        <v>0.1941245770871422</v>
      </c>
      <c r="H15" s="710">
        <v>0.26600000000000001</v>
      </c>
      <c r="I15" s="708">
        <v>0.52</v>
      </c>
      <c r="J15" s="570">
        <v>1.1259999999999999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0</v>
      </c>
      <c r="M15" s="168">
        <f t="shared" si="1"/>
        <v>1.1259999999999999</v>
      </c>
      <c r="N15" s="632">
        <f t="shared" si="2"/>
        <v>7.1600012009047351E-2</v>
      </c>
      <c r="O15" s="629">
        <f t="shared" si="3"/>
        <v>3.9441620587082249</v>
      </c>
      <c r="P15" s="633">
        <f t="shared" si="4"/>
        <v>-1.2291036973255511</v>
      </c>
      <c r="Q15" s="585">
        <f t="shared" si="113"/>
        <v>88.960000150157398</v>
      </c>
      <c r="R15" s="629">
        <f t="shared" si="79"/>
        <v>3.9448118975526829</v>
      </c>
      <c r="S15" s="634">
        <f t="shared" si="80"/>
        <v>-1.2291036973255511</v>
      </c>
      <c r="T15" s="635">
        <f t="shared" si="81"/>
        <v>3.9441620587082249</v>
      </c>
      <c r="U15" s="629">
        <f t="shared" si="82"/>
        <v>-7.1600012009047365E-2</v>
      </c>
      <c r="V15" s="636">
        <f t="shared" si="114"/>
        <v>-1.2291036973255511</v>
      </c>
      <c r="W15" s="585">
        <f t="shared" ref="W15:W78" si="224">IF(M15="","",IF(Q15-$Q$8&lt;0,360+Q15-$Q$8,Q15-$Q$8))</f>
        <v>358.96000015015738</v>
      </c>
      <c r="X15" s="629">
        <f>IF(M15="","",R15)</f>
        <v>3.9448118975526829</v>
      </c>
      <c r="Y15" s="630">
        <f>IF(M15="","",S15)</f>
        <v>-1.2291036973255511</v>
      </c>
      <c r="Z15" s="632">
        <f t="shared" si="6"/>
        <v>0.8790096447393313</v>
      </c>
      <c r="AA15" s="629">
        <f t="shared" si="7"/>
        <v>-0.43549706431383978</v>
      </c>
      <c r="AB15" s="629">
        <f t="shared" si="8"/>
        <v>-0.1941245770871422</v>
      </c>
      <c r="AC15" s="636">
        <f t="shared" si="84"/>
        <v>1</v>
      </c>
      <c r="AD15" s="637">
        <f t="shared" si="115"/>
        <v>0.8790096447393313</v>
      </c>
      <c r="AE15" s="629">
        <f t="shared" si="85"/>
        <v>-0.43549706431383978</v>
      </c>
      <c r="AF15" s="633">
        <f t="shared" si="86"/>
        <v>-0.1941245770871422</v>
      </c>
      <c r="AG15" s="602">
        <f t="shared" si="87"/>
        <v>-65.974883844178578</v>
      </c>
      <c r="AH15" s="603">
        <f t="shared" si="88"/>
        <v>28.476872733644321</v>
      </c>
      <c r="AI15" s="585">
        <f t="shared" si="89"/>
        <v>-78.80641163340573</v>
      </c>
      <c r="AJ15" s="586">
        <f t="shared" si="90"/>
        <v>63.644317309682016</v>
      </c>
      <c r="AK15" s="635">
        <f t="shared" si="211"/>
        <v>0.88676930000754861</v>
      </c>
      <c r="AL15" s="629">
        <f t="shared" si="91"/>
        <v>-0.41947092525568491</v>
      </c>
      <c r="AM15" s="634">
        <f t="shared" si="92"/>
        <v>-0.1941245770871422</v>
      </c>
      <c r="AN15" s="581">
        <f>IF(M15="","",DEGREES(ATAN2(-AM15,AL15)))</f>
        <v>-65.166039208237564</v>
      </c>
      <c r="AO15" s="582">
        <f t="shared" si="94"/>
        <v>27.529955446829366</v>
      </c>
      <c r="AP15" s="585">
        <f t="shared" si="95"/>
        <v>-25.31568284047539</v>
      </c>
      <c r="AQ15" s="586">
        <f t="shared" si="9"/>
        <v>0.57788543206276521</v>
      </c>
      <c r="AS15" s="52">
        <f t="shared" si="116"/>
        <v>-1.0399998498426157</v>
      </c>
      <c r="AT15" s="72">
        <f t="shared" si="10"/>
        <v>-1.2283814752076048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1.1259999999999999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36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0.10278756672360316</v>
      </c>
      <c r="C16" s="708">
        <v>4.0328903228487425</v>
      </c>
      <c r="D16" s="709">
        <v>-1.9230057901342628</v>
      </c>
      <c r="E16" s="710">
        <v>-0.84873731131341301</v>
      </c>
      <c r="F16" s="708">
        <v>0.5153345364162556</v>
      </c>
      <c r="G16" s="711">
        <v>0.1186393356400889</v>
      </c>
      <c r="H16" s="710">
        <v>0.26600000000000001</v>
      </c>
      <c r="I16" s="708">
        <v>0.52</v>
      </c>
      <c r="J16" s="570">
        <v>1.131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1.131</v>
      </c>
      <c r="N16" s="632">
        <f t="shared" si="2"/>
        <v>0.10278756672360316</v>
      </c>
      <c r="O16" s="629">
        <f t="shared" si="3"/>
        <v>4.0328903228487425</v>
      </c>
      <c r="P16" s="633">
        <f t="shared" si="4"/>
        <v>-1.9230057901342628</v>
      </c>
      <c r="Q16" s="585">
        <f>IF(M16="","",IF(DEGREES(ATAN2(N16,O16))&lt;0,DEGREES(ATAN2(N16,O16))+360,IF(DEGREES(ATAN2(N16,O16))&gt;360,DEGREES(ATAN2(N16,O16))-360,DEGREES(ATAN2(N16,O16)))))</f>
        <v>88.540000210797899</v>
      </c>
      <c r="R16" s="629">
        <f t="shared" si="79"/>
        <v>4.0341999999999993</v>
      </c>
      <c r="S16" s="634">
        <f t="shared" si="80"/>
        <v>-1.9230057901342628</v>
      </c>
      <c r="T16" s="635">
        <f t="shared" si="81"/>
        <v>4.0328903228487425</v>
      </c>
      <c r="U16" s="629">
        <f t="shared" si="82"/>
        <v>-0.10278756672360445</v>
      </c>
      <c r="V16" s="636">
        <f t="shared" si="114"/>
        <v>-1.9230057901342628</v>
      </c>
      <c r="W16" s="585">
        <f>IF(M16="","",IF(Q16-$Q$8&lt;0,360+Q16-$Q$8,Q16-$Q$8))</f>
        <v>358.54000021079787</v>
      </c>
      <c r="X16" s="629">
        <f t="shared" si="83"/>
        <v>4.0341999999999993</v>
      </c>
      <c r="Y16" s="630">
        <f t="shared" si="223"/>
        <v>-1.9230057901342628</v>
      </c>
      <c r="Z16" s="632">
        <f t="shared" si="6"/>
        <v>0.84873731131341301</v>
      </c>
      <c r="AA16" s="629">
        <f t="shared" si="7"/>
        <v>-0.5153345364162556</v>
      </c>
      <c r="AB16" s="629">
        <f t="shared" si="8"/>
        <v>-0.1186393356400889</v>
      </c>
      <c r="AC16" s="636">
        <f t="shared" si="84"/>
        <v>1</v>
      </c>
      <c r="AD16" s="637">
        <f t="shared" si="115"/>
        <v>0.84873731131341301</v>
      </c>
      <c r="AE16" s="629">
        <f t="shared" si="85"/>
        <v>-0.5153345364162556</v>
      </c>
      <c r="AF16" s="633">
        <f t="shared" si="86"/>
        <v>-0.1186393356400889</v>
      </c>
      <c r="AG16" s="602">
        <f t="shared" si="87"/>
        <v>-77.035367911689093</v>
      </c>
      <c r="AH16" s="603">
        <f t="shared" si="88"/>
        <v>31.925403140354813</v>
      </c>
      <c r="AI16" s="585">
        <f t="shared" si="89"/>
        <v>-83.186418717010923</v>
      </c>
      <c r="AJ16" s="586">
        <f t="shared" si="90"/>
        <v>58.734801394798716</v>
      </c>
      <c r="AK16" s="635">
        <f t="shared" si="211"/>
        <v>0.86159200646556644</v>
      </c>
      <c r="AL16" s="629">
        <f t="shared" si="91"/>
        <v>-0.49354221950459082</v>
      </c>
      <c r="AM16" s="634">
        <f t="shared" si="92"/>
        <v>-0.1186393356400889</v>
      </c>
      <c r="AN16" s="581">
        <f t="shared" si="93"/>
        <v>-76.483500042309018</v>
      </c>
      <c r="AO16" s="582">
        <f t="shared" si="94"/>
        <v>30.504194035191837</v>
      </c>
      <c r="AP16" s="585">
        <f t="shared" si="95"/>
        <v>-29.805198815999169</v>
      </c>
      <c r="AQ16" s="586">
        <f t="shared" si="9"/>
        <v>0.56508173006230211</v>
      </c>
      <c r="AS16" s="52">
        <f t="shared" si="116"/>
        <v>-1.4599997892021293</v>
      </c>
      <c r="AT16" s="72">
        <f t="shared" si="10"/>
        <v>-1.9219919013917612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0.10419561877368359</v>
      </c>
      <c r="C17" s="708">
        <v>4.0328663606525517</v>
      </c>
      <c r="D17" s="709">
        <v>-2.6430079616608126</v>
      </c>
      <c r="E17" s="710">
        <v>-0.84847225853070662</v>
      </c>
      <c r="F17" s="708">
        <v>0.51595544540189298</v>
      </c>
      <c r="G17" s="711">
        <v>0.11783380187338453</v>
      </c>
      <c r="H17" s="710">
        <v>0.26600000000000001</v>
      </c>
      <c r="I17" s="708">
        <v>0.52</v>
      </c>
      <c r="J17" s="570">
        <v>1.1319999999999999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1.1319999999999999</v>
      </c>
      <c r="N17" s="632">
        <f t="shared" si="2"/>
        <v>0.10419561877368359</v>
      </c>
      <c r="O17" s="629">
        <f t="shared" si="3"/>
        <v>4.0328663606525517</v>
      </c>
      <c r="P17" s="633">
        <f t="shared" si="4"/>
        <v>-2.6430079616608126</v>
      </c>
      <c r="Q17" s="585">
        <f>IF(M17="","",IF(DEGREES(ATAN2(N17,O17))&lt;0,DEGREES(ATAN2(N17,O17))+360,IF(DEGREES(ATAN2(N17,O17))&gt;360,DEGREES(ATAN2(N17,O17))-360,DEGREES(ATAN2(N17,O17)))))</f>
        <v>88.520000213685549</v>
      </c>
      <c r="R17" s="629">
        <f>IF(M17="","",SQRT(N17^2+O17^2))</f>
        <v>4.0342121671838962</v>
      </c>
      <c r="S17" s="634">
        <f>IF(M17="","",P17)</f>
        <v>-2.6430079616608126</v>
      </c>
      <c r="T17" s="635">
        <f>IF(M17="","",X17*COS(RADIANS(W17)))</f>
        <v>4.0328663606525517</v>
      </c>
      <c r="U17" s="629">
        <f>IF(M17="","",X17*SIN(RADIANS(W17)))</f>
        <v>-0.10419561877368531</v>
      </c>
      <c r="V17" s="636">
        <f>IF(M17="","",Y17)</f>
        <v>-2.6430079616608126</v>
      </c>
      <c r="W17" s="585">
        <f t="shared" si="224"/>
        <v>358.52000021368553</v>
      </c>
      <c r="X17" s="629">
        <f>IF(M17="","",R17)</f>
        <v>4.0342121671838962</v>
      </c>
      <c r="Y17" s="630">
        <f t="shared" si="223"/>
        <v>-2.6430079616608126</v>
      </c>
      <c r="Z17" s="632">
        <f t="shared" si="6"/>
        <v>0.84847225853070662</v>
      </c>
      <c r="AA17" s="629">
        <f t="shared" si="7"/>
        <v>-0.51595544540189298</v>
      </c>
      <c r="AB17" s="629">
        <f t="shared" si="8"/>
        <v>-0.11783380187338453</v>
      </c>
      <c r="AC17" s="636">
        <f>IF(M17="","",SQRT(Z17^2+AA17^2+AB17^2))</f>
        <v>1</v>
      </c>
      <c r="AD17" s="637">
        <f>IF(M17="","",Z17*(1/SQRT(Z17^2+AA17^2+AB17^2)))</f>
        <v>0.84847225853070662</v>
      </c>
      <c r="AE17" s="629">
        <f>IF(M17="","",AA17*(1/SQRT(Z17^2+AA17^2+AB17^2)))</f>
        <v>-0.51595544540189298</v>
      </c>
      <c r="AF17" s="633">
        <f>IF(M17="","",AB17*(1/SQRT(Z17^2+AA17^2+AB17^2)))</f>
        <v>-0.11783380187338453</v>
      </c>
      <c r="AG17" s="602">
        <f>IF(M17="","",DEGREES(ATAN2(-AF17,AE17)))</f>
        <v>-77.135433193804616</v>
      </c>
      <c r="AH17" s="603">
        <f>IF(M17="","",DEGREES(ACOS(AD17)))</f>
        <v>31.954109421176938</v>
      </c>
      <c r="AI17" s="585">
        <f>IF(M17="","",DEGREES(-ACOS(-AF17)))</f>
        <v>-83.232898437509533</v>
      </c>
      <c r="AJ17" s="586">
        <f>IF(M17="","",DEGREES(ATAN2(-AE17,AD17)))</f>
        <v>58.696242026573842</v>
      </c>
      <c r="AK17" s="635">
        <f>IF(M17="","",(COS(RADIANS((90-$Q$8)-W17))*AD17)+(-SIN(RADIANS((90-$Q$8)-W17))*AE17))</f>
        <v>0.86151530515431485</v>
      </c>
      <c r="AL17" s="629">
        <f>IF(M17="","",(SIN(RADIANS((90-$Q$8)-W17))*AD17)+(COS(RADIANS((90-$Q$8)-W17))*AE17))</f>
        <v>-0.49386898477322061</v>
      </c>
      <c r="AM17" s="634">
        <f>IF(M17="","",AF17)</f>
        <v>-0.11783380187338453</v>
      </c>
      <c r="AN17" s="581">
        <f>IF(M17="","",DEGREES(ATAN2(-AM17,AL17)))</f>
        <v>-76.580502560221092</v>
      </c>
      <c r="AO17" s="582">
        <f t="shared" si="94"/>
        <v>30.512850626206927</v>
      </c>
      <c r="AP17" s="585">
        <f>IF(M17="","",DEGREES(ATAN2(AK17,AL17)))</f>
        <v>-29.823758187111686</v>
      </c>
      <c r="AQ17" s="586">
        <f t="shared" si="9"/>
        <v>0.56508002588631845</v>
      </c>
      <c r="AS17" s="52">
        <f t="shared" si="116"/>
        <v>-1.4799997863144654</v>
      </c>
      <c r="AT17" s="72">
        <f t="shared" si="10"/>
        <v>-2.6419801840314276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1.1319999999999999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0.77203044164252399</v>
      </c>
      <c r="C18" s="708">
        <v>2.8318580482607825</v>
      </c>
      <c r="D18" s="709">
        <v>-0.18670043279730536</v>
      </c>
      <c r="E18" s="710">
        <v>-0.89670787102850402</v>
      </c>
      <c r="F18" s="708">
        <v>0.36144352458266682</v>
      </c>
      <c r="G18" s="711">
        <v>0.25548693229358543</v>
      </c>
      <c r="H18" s="710">
        <v>0.26600000000000001</v>
      </c>
      <c r="I18" s="708">
        <v>0.52</v>
      </c>
      <c r="J18" s="570">
        <v>1.2150000000000001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1.2150000000000001</v>
      </c>
      <c r="N18" s="632">
        <f t="shared" si="2"/>
        <v>0.77203044164252399</v>
      </c>
      <c r="O18" s="629">
        <f t="shared" si="3"/>
        <v>2.8318580482607825</v>
      </c>
      <c r="P18" s="633">
        <f t="shared" si="4"/>
        <v>-0.18670043279730536</v>
      </c>
      <c r="Q18" s="585">
        <f t="shared" si="113"/>
        <v>74.75042706035417</v>
      </c>
      <c r="R18" s="629">
        <f>IF(M18="","",SQRT(N18^2+O18^2))</f>
        <v>2.9352088525899003</v>
      </c>
      <c r="S18" s="634">
        <f>IF(M18="","",P18)</f>
        <v>-0.18670043279730536</v>
      </c>
      <c r="T18" s="635">
        <f>IF(M18="","",X18*COS(RADIANS(W18)))</f>
        <v>2.8318580482607825</v>
      </c>
      <c r="U18" s="629">
        <f>IF(M18="","",X18*SIN(RADIANS(W18)))</f>
        <v>-0.77203044164252432</v>
      </c>
      <c r="V18" s="636">
        <f>IF(M18="","",Y18)</f>
        <v>-0.18670043279730536</v>
      </c>
      <c r="W18" s="585">
        <f t="shared" si="224"/>
        <v>344.75042706035418</v>
      </c>
      <c r="X18" s="629">
        <f>IF(M18="","",R18)</f>
        <v>2.9352088525899003</v>
      </c>
      <c r="Y18" s="630">
        <f t="shared" si="223"/>
        <v>-0.18670043279730536</v>
      </c>
      <c r="Z18" s="632">
        <f t="shared" si="6"/>
        <v>0.89670787102850402</v>
      </c>
      <c r="AA18" s="629">
        <f t="shared" si="7"/>
        <v>-0.36144352458266682</v>
      </c>
      <c r="AB18" s="629">
        <f t="shared" si="8"/>
        <v>-0.25548693229358543</v>
      </c>
      <c r="AC18" s="636">
        <f>IF(M18="","",SQRT(Z18^2+AA18^2+AB18^2))</f>
        <v>1</v>
      </c>
      <c r="AD18" s="637">
        <f>IF(M18="","",Z18*(1/SQRT(Z18^2+AA18^2+AB18^2)))</f>
        <v>0.89670787102850402</v>
      </c>
      <c r="AE18" s="629">
        <f>IF(M18="","",AA18*(1/SQRT(Z18^2+AA18^2+AB18^2)))</f>
        <v>-0.36144352458266682</v>
      </c>
      <c r="AF18" s="633">
        <f>IF(M18="","",AB18*(1/SQRT(Z18^2+AA18^2+AB18^2)))</f>
        <v>-0.25548693229358543</v>
      </c>
      <c r="AG18" s="602">
        <f>IF(M18="","",DEGREES(ATAN2(-AF18,AE18)))</f>
        <v>-54.745358837683391</v>
      </c>
      <c r="AH18" s="603">
        <f>IF(M18="","",DEGREES(ACOS(AD18)))</f>
        <v>26.271349894168178</v>
      </c>
      <c r="AI18" s="585">
        <f>IF(M18="","",DEGREES(-ACOS(-AF18)))</f>
        <v>-75.197559916085069</v>
      </c>
      <c r="AJ18" s="586">
        <f>IF(M18="","",DEGREES(ATAN2(-AE18,AD18)))</f>
        <v>68.04670367061992</v>
      </c>
      <c r="AK18" s="635">
        <f>IF(M18="","",(COS(RADIANS((90-$Q$8)-W18))*AD18)+(-SIN(RADIANS((90-$Q$8)-W18))*AE18))</f>
        <v>0.96020247517869772</v>
      </c>
      <c r="AL18" s="629">
        <f>IF(M18="","",(SIN(RADIANS((90-$Q$8)-W18))*AD18)+(COS(RADIANS((90-$Q$8)-W18))*AE18))</f>
        <v>-0.11286112744393173</v>
      </c>
      <c r="AM18" s="634">
        <f>IF(M18="","",AF18)</f>
        <v>-0.25548693229358543</v>
      </c>
      <c r="AN18" s="581">
        <f>IF(M18="","",DEGREES(ATAN2(-AM18,AL18)))</f>
        <v>-23.833402443844022</v>
      </c>
      <c r="AO18" s="582">
        <f t="shared" si="94"/>
        <v>16.218721168832623</v>
      </c>
      <c r="AP18" s="585">
        <f>IF(M18="","",DEGREES(ATAN2(AK18,AL18)))</f>
        <v>-6.7037233897342388</v>
      </c>
      <c r="AQ18" s="586">
        <f t="shared" si="9"/>
        <v>0.77663536864943894</v>
      </c>
      <c r="AS18" s="52">
        <f t="shared" si="116"/>
        <v>-15.249572939645816</v>
      </c>
      <c r="AT18" s="72">
        <f t="shared" si="10"/>
        <v>-0.17611045158921798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1.2150000000000001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0.115</v>
      </c>
      <c r="II18" s="734" cm="1">
        <f t="array" ref="II18">IFERROR(ROUND(VALUE(IF($IH18&lt;1,$IH18+LARGE((IF($M$9:$M$150="",0,$M$9:$M$150)-MOD(IF($M$9:$M$150="",0,$M$9:$M$150),1)),1),$IH18)),4),"")</f>
        <v>5.1150000000000002</v>
      </c>
      <c r="IJ18" s="533">
        <f t="shared" si="112"/>
        <v>1313</v>
      </c>
      <c r="IK18" s="533">
        <f t="shared" si="66"/>
        <v>1313</v>
      </c>
      <c r="IL18" s="727">
        <f t="shared" si="225"/>
        <v>89.819562173071461</v>
      </c>
      <c r="IM18" s="759">
        <v>8.7794055270681605E-3</v>
      </c>
      <c r="IN18" s="5">
        <f t="shared" si="226"/>
        <v>0.14000000000000001</v>
      </c>
      <c r="IO18" s="771">
        <v>70</v>
      </c>
      <c r="IP18" s="9">
        <f t="shared" si="227"/>
        <v>-2.9352088525899003</v>
      </c>
      <c r="IQ18" s="5">
        <f t="shared" si="228"/>
        <v>-0.14540043279730536</v>
      </c>
      <c r="IR18" s="5">
        <f t="shared" si="71"/>
        <v>0.26600000000000001</v>
      </c>
      <c r="IS18" s="5">
        <f t="shared" si="229"/>
        <v>0.25541385839753361</v>
      </c>
      <c r="IT18" s="727">
        <f t="shared" si="230"/>
        <v>23.833402443844072</v>
      </c>
      <c r="IU18" s="9">
        <f t="shared" si="231"/>
        <v>-2.9352088525899003</v>
      </c>
      <c r="IV18" s="5">
        <f t="shared" si="232"/>
        <v>-0.18670043279730536</v>
      </c>
      <c r="IW18" s="5">
        <f t="shared" si="76"/>
        <v>0.26600000000000001</v>
      </c>
      <c r="IX18" s="5">
        <f t="shared" si="233"/>
        <v>0.25541385839753361</v>
      </c>
      <c r="IY18" s="762">
        <f t="shared" si="234"/>
        <v>23.833402443844022</v>
      </c>
    </row>
    <row r="19" spans="1:269" ht="15" customHeight="1" thickBot="1" x14ac:dyDescent="0.3">
      <c r="A19" s="79"/>
      <c r="B19" s="707">
        <v>0.93331802050755786</v>
      </c>
      <c r="C19" s="708">
        <v>3.3976528090035649</v>
      </c>
      <c r="D19" s="709">
        <v>-0.55650154811746855</v>
      </c>
      <c r="E19" s="710">
        <v>-0.83052386768040798</v>
      </c>
      <c r="F19" s="708">
        <v>0.49076717626017285</v>
      </c>
      <c r="G19" s="711">
        <v>0.26339643869800689</v>
      </c>
      <c r="H19" s="710">
        <v>0.26600000000000001</v>
      </c>
      <c r="I19" s="708">
        <v>0.52</v>
      </c>
      <c r="J19" s="570">
        <v>1.22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1.22</v>
      </c>
      <c r="N19" s="632">
        <f t="shared" si="2"/>
        <v>0.93331802050755786</v>
      </c>
      <c r="O19" s="629">
        <f t="shared" si="3"/>
        <v>3.3976528090035649</v>
      </c>
      <c r="P19" s="633">
        <f t="shared" si="4"/>
        <v>-0.55650154811746855</v>
      </c>
      <c r="Q19" s="585">
        <f t="shared" si="113"/>
        <v>74.64</v>
      </c>
      <c r="R19" s="629">
        <f>IF(M19="","",SQRT(N19^2+O19^2))</f>
        <v>3.5235106269080503</v>
      </c>
      <c r="S19" s="634">
        <f>IF(M19="","",P19)</f>
        <v>-0.55650154811746855</v>
      </c>
      <c r="T19" s="635">
        <f>IF(M19="","",X19*COS(RADIANS(W19)))</f>
        <v>3.3976528090035645</v>
      </c>
      <c r="U19" s="629">
        <f>IF(M19="","",X19*SIN(RADIANS(W19)))</f>
        <v>-0.93331802050755908</v>
      </c>
      <c r="V19" s="636">
        <f>IF(M19="","",Y19)</f>
        <v>-0.55650154811746855</v>
      </c>
      <c r="W19" s="585">
        <f t="shared" si="224"/>
        <v>344.64</v>
      </c>
      <c r="X19" s="629">
        <f>IF(M19="","",R19)</f>
        <v>3.5235106269080503</v>
      </c>
      <c r="Y19" s="630">
        <f t="shared" si="223"/>
        <v>-0.55650154811746855</v>
      </c>
      <c r="Z19" s="632">
        <f t="shared" si="6"/>
        <v>0.83052386768040798</v>
      </c>
      <c r="AA19" s="629">
        <f t="shared" si="7"/>
        <v>-0.49076717626017285</v>
      </c>
      <c r="AB19" s="629">
        <f t="shared" si="8"/>
        <v>-0.26339643869800689</v>
      </c>
      <c r="AC19" s="636">
        <f>IF(M19="","",SQRT(Z19^2+AA19^2+AB19^2))</f>
        <v>1</v>
      </c>
      <c r="AD19" s="637">
        <f>IF(M19="","",Z19*(1/SQRT(Z19^2+AA19^2+AB19^2)))</f>
        <v>0.83052386768040798</v>
      </c>
      <c r="AE19" s="629">
        <f>IF(M19="","",AA19*(1/SQRT(Z19^2+AA19^2+AB19^2)))</f>
        <v>-0.49076717626017285</v>
      </c>
      <c r="AF19" s="633">
        <f>IF(M19="","",AB19*(1/SQRT(Z19^2+AA19^2+AB19^2)))</f>
        <v>-0.26339643869800689</v>
      </c>
      <c r="AG19" s="602">
        <f>IF(M19="","",DEGREES(ATAN2(-AF19,AE19)))</f>
        <v>-61.777391016430393</v>
      </c>
      <c r="AH19" s="603">
        <f>IF(M19="","",DEGREES(ACOS(AD19)))</f>
        <v>33.847410458769183</v>
      </c>
      <c r="AI19" s="585">
        <f>IF(M19="","",DEGREES(-ACOS(-AF19)))</f>
        <v>-74.728309325324275</v>
      </c>
      <c r="AJ19" s="586">
        <f>IF(M19="","",DEGREES(ATAN2(-AE19,AD19)))</f>
        <v>59.420616014418627</v>
      </c>
      <c r="AK19" s="635">
        <f>IF(M19="","",(COS(RADIANS((90-$Q$8)-W19))*AD19)+(-SIN(RADIANS((90-$Q$8)-W19))*AE19))</f>
        <v>0.93085389792742745</v>
      </c>
      <c r="AL19" s="629">
        <f>IF(M19="","",(SIN(RADIANS((90-$Q$8)-W19))*AD19)+(COS(RADIANS((90-$Q$8)-W19))*AE19))</f>
        <v>-0.25324560567662774</v>
      </c>
      <c r="AM19" s="634">
        <f>IF(M19="","",AF19)</f>
        <v>-0.26339643869800689</v>
      </c>
      <c r="AN19" s="581">
        <f>IF(M19="","",DEGREES(ATAN2(-AM19,AL19)))</f>
        <v>-43.874413967064228</v>
      </c>
      <c r="AO19" s="582">
        <f t="shared" si="94"/>
        <v>21.431684365519288</v>
      </c>
      <c r="AP19" s="585">
        <f>IF(M19="","",DEGREES(ATAN2(AK19,AL19)))</f>
        <v>-15.219383985581358</v>
      </c>
      <c r="AQ19" s="586">
        <f t="shared" si="9"/>
        <v>0.64697683055886657</v>
      </c>
      <c r="AS19" s="52">
        <f t="shared" si="116"/>
        <v>-15.360000000000014</v>
      </c>
      <c r="AT19" s="72">
        <f t="shared" si="10"/>
        <v>-0.54583488145080183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0.12</v>
      </c>
      <c r="II19" s="734" cm="1">
        <f t="array" ref="II19">IFERROR(ROUND(VALUE(IF($IH19&lt;1,$IH19+LARGE((IF($M$9:$M$150="",0,$M$9:$M$150)-MOD(IF($M$9:$M$150="",0,$M$9:$M$150),1)),1),$IH19)),4),"")</f>
        <v>5.12</v>
      </c>
      <c r="IJ19" s="533">
        <f t="shared" si="112"/>
        <v>1313</v>
      </c>
      <c r="IK19" s="533">
        <f t="shared" si="66"/>
        <v>1313</v>
      </c>
      <c r="IL19" s="727">
        <f t="shared" si="225"/>
        <v>89.40998930850435</v>
      </c>
      <c r="IM19" s="759">
        <v>1.0869985793524801E-3</v>
      </c>
      <c r="IN19" s="5">
        <f t="shared" si="226"/>
        <v>0</v>
      </c>
      <c r="IO19" s="771">
        <v>0</v>
      </c>
      <c r="IP19" s="9">
        <f t="shared" si="227"/>
        <v>-3.5235106269080507</v>
      </c>
      <c r="IQ19" s="5">
        <f t="shared" si="228"/>
        <v>-0.5152015481174691</v>
      </c>
      <c r="IR19" s="5">
        <f t="shared" si="71"/>
        <v>0.26600000000000001</v>
      </c>
      <c r="IS19" s="5">
        <f t="shared" si="229"/>
        <v>0.24760713684869567</v>
      </c>
      <c r="IT19" s="727">
        <f t="shared" si="230"/>
        <v>43.874413967064278</v>
      </c>
      <c r="IU19" s="9">
        <f t="shared" si="231"/>
        <v>-3.5235106269080503</v>
      </c>
      <c r="IV19" s="5">
        <f t="shared" si="232"/>
        <v>-0.55650154811746855</v>
      </c>
      <c r="IW19" s="5">
        <f t="shared" si="76"/>
        <v>0.26600000000000001</v>
      </c>
      <c r="IX19" s="5">
        <f t="shared" si="233"/>
        <v>0.2476071368486957</v>
      </c>
      <c r="IY19" s="762">
        <f t="shared" si="234"/>
        <v>43.874413967064228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1.0287974147438435</v>
      </c>
      <c r="C20" s="708">
        <v>3.7684012011998775</v>
      </c>
      <c r="D20" s="709">
        <v>-1.1366032977043461</v>
      </c>
      <c r="E20" s="710">
        <v>-0.75940458955869772</v>
      </c>
      <c r="F20" s="708">
        <v>0.61545854926391763</v>
      </c>
      <c r="G20" s="711">
        <v>0.21098683251601211</v>
      </c>
      <c r="H20" s="710">
        <v>0.26600000000000001</v>
      </c>
      <c r="I20" s="708">
        <v>0.52</v>
      </c>
      <c r="J20" s="570">
        <v>1.2250000000000001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1.2250000000000001</v>
      </c>
      <c r="N20" s="632">
        <f t="shared" si="2"/>
        <v>1.0287974147438435</v>
      </c>
      <c r="O20" s="629">
        <f t="shared" si="3"/>
        <v>3.7684012011998775</v>
      </c>
      <c r="P20" s="633">
        <f t="shared" si="4"/>
        <v>-1.1366032977043461</v>
      </c>
      <c r="Q20" s="585">
        <f t="shared" si="113"/>
        <v>74.73</v>
      </c>
      <c r="R20" s="629">
        <f>IF(M20="","",SQRT(N20^2+O20^2))</f>
        <v>3.9063117814363326</v>
      </c>
      <c r="S20" s="634">
        <f>IF(M20="","",P20)</f>
        <v>-1.1366032977043461</v>
      </c>
      <c r="T20" s="635">
        <f>IF(M20="","",X20*COS(RADIANS(W20)))</f>
        <v>3.768401201199878</v>
      </c>
      <c r="U20" s="629">
        <f>IF(M20="","",X20*SIN(RADIANS(W20)))</f>
        <v>-1.0287974147438419</v>
      </c>
      <c r="V20" s="636">
        <f>IF(M20="","",Y20)</f>
        <v>-1.1366032977043461</v>
      </c>
      <c r="W20" s="585">
        <f t="shared" si="224"/>
        <v>344.73</v>
      </c>
      <c r="X20" s="629">
        <f>IF(M20="","",R20)</f>
        <v>3.9063117814363326</v>
      </c>
      <c r="Y20" s="630">
        <f t="shared" si="223"/>
        <v>-1.1366032977043461</v>
      </c>
      <c r="Z20" s="632">
        <f t="shared" si="6"/>
        <v>0.75940458955869772</v>
      </c>
      <c r="AA20" s="629">
        <f t="shared" si="7"/>
        <v>-0.61545854926391763</v>
      </c>
      <c r="AB20" s="629">
        <f t="shared" si="8"/>
        <v>-0.21098683251601211</v>
      </c>
      <c r="AC20" s="636">
        <f>IF(M20="","",SQRT(Z20^2+AA20^2+AB20^2))</f>
        <v>1</v>
      </c>
      <c r="AD20" s="637">
        <f>IF(M20="","",Z20*(1/SQRT(Z20^2+AA20^2+AB20^2)))</f>
        <v>0.75940458955869772</v>
      </c>
      <c r="AE20" s="629">
        <f>IF(M20="","",AA20*(1/SQRT(Z20^2+AA20^2+AB20^2)))</f>
        <v>-0.61545854926391763</v>
      </c>
      <c r="AF20" s="633">
        <f>IF(M20="","",AB20*(1/SQRT(Z20^2+AA20^2+AB20^2)))</f>
        <v>-0.21098683251601211</v>
      </c>
      <c r="AG20" s="602">
        <f>IF(M20="","",DEGREES(ATAN2(-AF20,AE20)))</f>
        <v>-71.07764869432944</v>
      </c>
      <c r="AH20" s="603">
        <f>IF(M20="","",DEGREES(ACOS(AD20)))</f>
        <v>40.588264099356181</v>
      </c>
      <c r="AI20" s="585">
        <f>IF(M20="","",DEGREES(-ACOS(-AF20)))</f>
        <v>-77.819810588405858</v>
      </c>
      <c r="AJ20" s="586">
        <f>IF(M20="","",DEGREES(ATAN2(-AE20,AD20)))</f>
        <v>50.977003308576307</v>
      </c>
      <c r="AK20" s="635">
        <f>IF(M20="","",(COS(RADIANS((90-$Q$8)-W20))*AD20)+(-SIN(RADIANS((90-$Q$8)-W20))*AE20))</f>
        <v>0.89468622255475561</v>
      </c>
      <c r="AL20" s="629">
        <f>IF(M20="","",(SIN(RADIANS((90-$Q$8)-W20))*AD20)+(COS(RADIANS((90-$Q$8)-W20))*AE20))</f>
        <v>-0.39372721480177431</v>
      </c>
      <c r="AM20" s="634">
        <f>IF(M20="","",AF20)</f>
        <v>-0.21098683251601211</v>
      </c>
      <c r="AN20" s="581">
        <f>IF(M20="","",DEGREES(ATAN2(-AM20,AL20)))</f>
        <v>-61.814452067133629</v>
      </c>
      <c r="AO20" s="582">
        <f t="shared" si="94"/>
        <v>26.531845518450574</v>
      </c>
      <c r="AP20" s="585">
        <f>IF(M20="","",DEGREES(ATAN2(AK20,AL20)))</f>
        <v>-23.752996691423714</v>
      </c>
      <c r="AQ20" s="586">
        <f t="shared" si="9"/>
        <v>0.5835806059935118</v>
      </c>
      <c r="AS20" s="52">
        <f t="shared" si="116"/>
        <v>-15.269999999999982</v>
      </c>
      <c r="AT20" s="72">
        <f t="shared" si="10"/>
        <v>-1.1259991310376793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1.2250000000000001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0.125</v>
      </c>
      <c r="II20" s="734" cm="1">
        <f t="array" ref="II20">IFERROR(ROUND(VALUE(IF($IH20&lt;1,$IH20+LARGE((IF($M$9:$M$150="",0,$M$9:$M$150)-MOD(IF($M$9:$M$150="",0,$M$9:$M$150),1)),1),$IH20)),4),"")</f>
        <v>5.125</v>
      </c>
      <c r="IJ20" s="533">
        <f t="shared" si="112"/>
        <v>1313</v>
      </c>
      <c r="IK20" s="533">
        <f t="shared" si="66"/>
        <v>1313</v>
      </c>
      <c r="IL20" s="727">
        <f t="shared" si="225"/>
        <v>88.929989364813309</v>
      </c>
      <c r="IM20" s="759">
        <v>6.8160732743389302E-4</v>
      </c>
      <c r="IN20" s="5">
        <f t="shared" si="226"/>
        <v>0</v>
      </c>
      <c r="IO20" s="771">
        <v>0</v>
      </c>
      <c r="IP20" s="9">
        <f t="shared" si="227"/>
        <v>-3.9063117814363335</v>
      </c>
      <c r="IQ20" s="5">
        <f t="shared" si="228"/>
        <v>-1.0953032977043462</v>
      </c>
      <c r="IR20" s="5">
        <f t="shared" si="71"/>
        <v>0.26600000000000001</v>
      </c>
      <c r="IS20" s="5">
        <f t="shared" si="229"/>
        <v>0.23798653519956506</v>
      </c>
      <c r="IT20" s="727">
        <f t="shared" si="230"/>
        <v>61.814452067133601</v>
      </c>
      <c r="IU20" s="9">
        <f t="shared" si="231"/>
        <v>-3.9063117814363326</v>
      </c>
      <c r="IV20" s="5">
        <f t="shared" si="232"/>
        <v>-1.1366032977043461</v>
      </c>
      <c r="IW20" s="5">
        <f t="shared" si="76"/>
        <v>0.26600000000000001</v>
      </c>
      <c r="IX20" s="5">
        <f t="shared" si="233"/>
        <v>0.237986535199565</v>
      </c>
      <c r="IY20" s="762">
        <f t="shared" si="234"/>
        <v>61.814452067133629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1.0624790756035201</v>
      </c>
      <c r="C21" s="708">
        <v>3.8917743837361254</v>
      </c>
      <c r="D21" s="709">
        <v>-1.8230000000000011</v>
      </c>
      <c r="E21" s="710">
        <v>-0.70119061482519818</v>
      </c>
      <c r="F21" s="708">
        <v>0.70303374426200216</v>
      </c>
      <c r="G21" s="711">
        <v>0.11863926883629448</v>
      </c>
      <c r="H21" s="710">
        <v>0.26600000000000001</v>
      </c>
      <c r="I21" s="708">
        <v>0.52</v>
      </c>
      <c r="J21" s="570">
        <v>1.23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1.23</v>
      </c>
      <c r="N21" s="632">
        <f t="shared" si="2"/>
        <v>1.0624790756035201</v>
      </c>
      <c r="O21" s="629">
        <f t="shared" si="3"/>
        <v>3.8917743837361254</v>
      </c>
      <c r="P21" s="633">
        <f t="shared" si="4"/>
        <v>-1.8230000000000011</v>
      </c>
      <c r="Q21" s="585">
        <f t="shared" si="113"/>
        <v>74.72999999999999</v>
      </c>
      <c r="R21" s="629">
        <f>IF(M21="","",SQRT(N21^2+O21^2))</f>
        <v>4.0342000000000011</v>
      </c>
      <c r="S21" s="634">
        <f>IF(M21="","",P21)</f>
        <v>-1.8230000000000011</v>
      </c>
      <c r="T21" s="635">
        <f>IF(M21="","",X21*COS(RADIANS(W21)))</f>
        <v>3.8917743837361258</v>
      </c>
      <c r="U21" s="629">
        <f>IF(M21="","",X21*SIN(RADIANS(W21)))</f>
        <v>-1.0624790756035185</v>
      </c>
      <c r="V21" s="636">
        <f>IF(M21="","",Y21)</f>
        <v>-1.8230000000000011</v>
      </c>
      <c r="W21" s="585">
        <f t="shared" si="224"/>
        <v>344.73</v>
      </c>
      <c r="X21" s="629">
        <f>IF(M21="","",R21)</f>
        <v>4.0342000000000011</v>
      </c>
      <c r="Y21" s="630">
        <f t="shared" si="223"/>
        <v>-1.8230000000000011</v>
      </c>
      <c r="Z21" s="632">
        <f t="shared" si="6"/>
        <v>0.70119061482519818</v>
      </c>
      <c r="AA21" s="629">
        <f t="shared" si="7"/>
        <v>-0.70303374426200216</v>
      </c>
      <c r="AB21" s="629">
        <f t="shared" si="8"/>
        <v>-0.11863926883629448</v>
      </c>
      <c r="AC21" s="636">
        <f>IF(M21="","",SQRT(Z21^2+AA21^2+AB21^2))</f>
        <v>1</v>
      </c>
      <c r="AD21" s="637">
        <f>IF(M21="","",Z21*(1/SQRT(Z21^2+AA21^2+AB21^2)))</f>
        <v>0.70119061482519818</v>
      </c>
      <c r="AE21" s="629">
        <f>IF(M21="","",AA21*(1/SQRT(Z21^2+AA21^2+AB21^2)))</f>
        <v>-0.70303374426200216</v>
      </c>
      <c r="AF21" s="633">
        <f>IF(M21="","",AB21*(1/SQRT(Z21^2+AA21^2+AB21^2)))</f>
        <v>-0.11863926883629448</v>
      </c>
      <c r="AG21" s="602">
        <f>IF(M21="","",DEGREES(ATAN2(-AF21,AE21)))</f>
        <v>-80.421392884665195</v>
      </c>
      <c r="AH21" s="603">
        <f>IF(M21="","",DEGREES(ACOS(AD21)))</f>
        <v>45.47739458319387</v>
      </c>
      <c r="AI21" s="585">
        <f>IF(M21="","",DEGREES(-ACOS(-AF21)))</f>
        <v>-83.186422571811249</v>
      </c>
      <c r="AJ21" s="586">
        <f>IF(M21="","",DEGREES(ATAN2(-AE21,AD21)))</f>
        <v>44.924795865776908</v>
      </c>
      <c r="AK21" s="635">
        <f>IF(M21="","",(COS(RADIANS((90-$Q$8)-W21))*AD21)+(-SIN(RADIANS((90-$Q$8)-W21))*AE21))</f>
        <v>0.8615919675807997</v>
      </c>
      <c r="AL21" s="629">
        <f>IF(M21="","",(SIN(RADIANS((90-$Q$8)-W21))*AD21)+(COS(RADIANS((90-$Q$8)-W21))*AE21))</f>
        <v>-0.49354230344544509</v>
      </c>
      <c r="AM21" s="634">
        <f>IF(M21="","",AF21)</f>
        <v>-0.11863926883629448</v>
      </c>
      <c r="AN21" s="581">
        <f>IF(M21="","",DEGREES(ATAN2(-AM21,AL21)))</f>
        <v>-76.483509588486228</v>
      </c>
      <c r="AO21" s="582">
        <f>IF(ROUND(IF(M21="",0,DEGREES(ACOS(AK21))),4)=90,0,IF(M21="","",DEGREES(ACOS(AK21))))</f>
        <v>30.504198424330124</v>
      </c>
      <c r="AP21" s="585">
        <f>IF(M21="","",DEGREES(ATAN2(AK21,AL21)))</f>
        <v>-29.805204134223118</v>
      </c>
      <c r="AQ21" s="586">
        <f t="shared" si="9"/>
        <v>0.56508173006230178</v>
      </c>
      <c r="AS21" s="52">
        <f t="shared" si="116"/>
        <v>-15.269999999999982</v>
      </c>
      <c r="AT21" s="72">
        <f t="shared" si="10"/>
        <v>-1.8123958333333343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>Gage</v>
      </c>
      <c r="IG21" s="847">
        <f t="shared" si="210"/>
        <v>1.23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0.13</v>
      </c>
      <c r="II21" s="734" cm="1">
        <f t="array" ref="II21">IFERROR(ROUND(VALUE(IF($IH21&lt;1,$IH21+LARGE((IF($M$9:$M$150="",0,$M$9:$M$150)-MOD(IF($M$9:$M$150="",0,$M$9:$M$150),1)),1),$IH21)),4),"")</f>
        <v>5.13</v>
      </c>
      <c r="IJ21" s="533">
        <f t="shared" si="112"/>
        <v>1313</v>
      </c>
      <c r="IK21" s="533">
        <f t="shared" si="66"/>
        <v>1313</v>
      </c>
      <c r="IL21" s="727">
        <f t="shared" si="225"/>
        <v>88.809989382139179</v>
      </c>
      <c r="IM21" s="759">
        <v>8.2159032726679802E-5</v>
      </c>
      <c r="IN21" s="5">
        <f t="shared" si="226"/>
        <v>0</v>
      </c>
      <c r="IO21" s="771">
        <v>0</v>
      </c>
      <c r="IP21" s="9">
        <f t="shared" si="227"/>
        <v>-4.0342000000000002</v>
      </c>
      <c r="IQ21" s="5">
        <f t="shared" si="228"/>
        <v>-1.7817053678929897</v>
      </c>
      <c r="IR21" s="5">
        <f t="shared" si="71"/>
        <v>0.26600000000000001</v>
      </c>
      <c r="IS21" s="5">
        <f t="shared" si="229"/>
        <v>0.22918347371984066</v>
      </c>
      <c r="IT21" s="727">
        <f t="shared" si="230"/>
        <v>76.483500042309032</v>
      </c>
      <c r="IU21" s="9">
        <f t="shared" si="231"/>
        <v>-4.0342000000000011</v>
      </c>
      <c r="IV21" s="5">
        <f t="shared" si="232"/>
        <v>-1.8230000000000011</v>
      </c>
      <c r="IW21" s="5">
        <f t="shared" si="76"/>
        <v>0.26600000000000001</v>
      </c>
      <c r="IX21" s="5">
        <f t="shared" si="233"/>
        <v>0.22918346337649273</v>
      </c>
      <c r="IY21" s="762">
        <f t="shared" si="234"/>
        <v>76.483509588486228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2.2925856046527291</v>
      </c>
      <c r="C22" s="708">
        <v>1.0612640731191825</v>
      </c>
      <c r="D22" s="709">
        <v>-5.2000156832473006E-2</v>
      </c>
      <c r="E22" s="710">
        <v>-0.36718357654275041</v>
      </c>
      <c r="F22" s="708">
        <v>0.89405589353165249</v>
      </c>
      <c r="G22" s="711">
        <v>0.25659360934869918</v>
      </c>
      <c r="H22" s="710">
        <v>0.26600000000000001</v>
      </c>
      <c r="I22" s="708">
        <v>0.52</v>
      </c>
      <c r="J22" s="570">
        <v>2.1120000000000001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2.1120000000000001</v>
      </c>
      <c r="N22" s="632">
        <f t="shared" si="2"/>
        <v>2.2925856046527291</v>
      </c>
      <c r="O22" s="629">
        <f t="shared" si="3"/>
        <v>1.0612640731191825</v>
      </c>
      <c r="P22" s="633">
        <f t="shared" si="4"/>
        <v>-5.2000156832473006E-2</v>
      </c>
      <c r="Q22" s="585">
        <f t="shared" si="113"/>
        <v>24.839957430377094</v>
      </c>
      <c r="R22" s="629">
        <f t="shared" si="79"/>
        <v>2.5263076193437799</v>
      </c>
      <c r="S22" s="634">
        <f t="shared" si="80"/>
        <v>-5.2000156832473006E-2</v>
      </c>
      <c r="T22" s="635">
        <f t="shared" si="81"/>
        <v>1.0612640731191814</v>
      </c>
      <c r="U22" s="629">
        <f t="shared" si="82"/>
        <v>-2.2925856046527295</v>
      </c>
      <c r="V22" s="636">
        <f t="shared" si="114"/>
        <v>-5.2000156832473006E-2</v>
      </c>
      <c r="W22" s="585">
        <f t="shared" si="224"/>
        <v>294.83995743037707</v>
      </c>
      <c r="X22" s="629">
        <f t="shared" si="83"/>
        <v>2.5263076193437799</v>
      </c>
      <c r="Y22" s="630">
        <f t="shared" si="223"/>
        <v>-5.2000156832473006E-2</v>
      </c>
      <c r="Z22" s="632">
        <f t="shared" si="6"/>
        <v>0.36718357654275041</v>
      </c>
      <c r="AA22" s="629">
        <f t="shared" si="7"/>
        <v>-0.89405589353165249</v>
      </c>
      <c r="AB22" s="629">
        <f t="shared" si="8"/>
        <v>-0.25659360934869918</v>
      </c>
      <c r="AC22" s="636">
        <f t="shared" si="84"/>
        <v>1</v>
      </c>
      <c r="AD22" s="637">
        <f t="shared" si="115"/>
        <v>0.36718357654275041</v>
      </c>
      <c r="AE22" s="629">
        <f t="shared" si="85"/>
        <v>-0.89405589353165249</v>
      </c>
      <c r="AF22" s="633">
        <f t="shared" si="86"/>
        <v>-0.25659360934869918</v>
      </c>
      <c r="AG22" s="602">
        <f t="shared" si="87"/>
        <v>-73.986546533370316</v>
      </c>
      <c r="AH22" s="603">
        <f t="shared" si="88"/>
        <v>68.457974335023749</v>
      </c>
      <c r="AI22" s="585">
        <f t="shared" si="89"/>
        <v>-75.131965469680495</v>
      </c>
      <c r="AJ22" s="586">
        <f t="shared" si="90"/>
        <v>22.327672014376052</v>
      </c>
      <c r="AK22" s="635">
        <f t="shared" si="211"/>
        <v>0.96559040973936017</v>
      </c>
      <c r="AL22" s="629">
        <f t="shared" si="91"/>
        <v>-4.2366027200835876E-2</v>
      </c>
      <c r="AM22" s="634">
        <f t="shared" si="92"/>
        <v>-0.25659360934869918</v>
      </c>
      <c r="AN22" s="581">
        <f t="shared" si="93"/>
        <v>-9.3754892624187978</v>
      </c>
      <c r="AO22" s="582">
        <f t="shared" si="94"/>
        <v>15.074073788151541</v>
      </c>
      <c r="AP22" s="585">
        <f t="shared" si="95"/>
        <v>-2.5122854160010162</v>
      </c>
      <c r="AQ22" s="586">
        <f t="shared" si="9"/>
        <v>0.90232010679335417</v>
      </c>
      <c r="AS22" s="52">
        <f t="shared" si="116"/>
        <v>-65.160042569622931</v>
      </c>
      <c r="AT22" s="72">
        <f t="shared" si="10"/>
        <v>-6.7501272702348569E-3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2.1120000000000001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2.9051900332113636</v>
      </c>
      <c r="C23" s="708">
        <v>1.3154052716981319</v>
      </c>
      <c r="D23" s="709">
        <v>-0.26100078717837416</v>
      </c>
      <c r="E23" s="710">
        <v>-0.23921285866091424</v>
      </c>
      <c r="F23" s="708">
        <v>0.93383221982302755</v>
      </c>
      <c r="G23" s="711">
        <v>0.26595975912094355</v>
      </c>
      <c r="H23" s="710">
        <v>0.26600000000000001</v>
      </c>
      <c r="I23" s="708">
        <v>0.52</v>
      </c>
      <c r="J23" s="570">
        <v>2.117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2.117</v>
      </c>
      <c r="N23" s="632">
        <f t="shared" si="2"/>
        <v>2.9051900332113636</v>
      </c>
      <c r="O23" s="629">
        <f t="shared" si="3"/>
        <v>1.3154052716981319</v>
      </c>
      <c r="P23" s="633">
        <f t="shared" si="4"/>
        <v>-0.26100078717837416</v>
      </c>
      <c r="Q23" s="585">
        <f t="shared" si="113"/>
        <v>24.359957499680505</v>
      </c>
      <c r="R23" s="629">
        <f t="shared" si="79"/>
        <v>3.1891096183546095</v>
      </c>
      <c r="S23" s="634">
        <f t="shared" si="80"/>
        <v>-0.26100078717837416</v>
      </c>
      <c r="T23" s="635">
        <f t="shared" si="81"/>
        <v>1.3154052716981302</v>
      </c>
      <c r="U23" s="629">
        <f t="shared" si="82"/>
        <v>-2.9051900332113649</v>
      </c>
      <c r="V23" s="636">
        <f t="shared" si="114"/>
        <v>-0.26100078717837416</v>
      </c>
      <c r="W23" s="585">
        <f t="shared" si="224"/>
        <v>294.35995749968049</v>
      </c>
      <c r="X23" s="629">
        <f t="shared" si="83"/>
        <v>3.1891096183546095</v>
      </c>
      <c r="Y23" s="630">
        <f t="shared" si="223"/>
        <v>-0.26100078717837416</v>
      </c>
      <c r="Z23" s="632">
        <f t="shared" si="6"/>
        <v>0.23921285866091424</v>
      </c>
      <c r="AA23" s="629">
        <f t="shared" si="7"/>
        <v>-0.93383221982302755</v>
      </c>
      <c r="AB23" s="629">
        <f t="shared" si="8"/>
        <v>-0.26595975912094355</v>
      </c>
      <c r="AC23" s="636">
        <f t="shared" si="84"/>
        <v>1</v>
      </c>
      <c r="AD23" s="637">
        <f t="shared" si="115"/>
        <v>0.23921285866091424</v>
      </c>
      <c r="AE23" s="629">
        <f t="shared" si="85"/>
        <v>-0.93383221982302755</v>
      </c>
      <c r="AF23" s="633">
        <f t="shared" si="86"/>
        <v>-0.26595975912094355</v>
      </c>
      <c r="AG23" s="602">
        <f t="shared" si="87"/>
        <v>-74.102800466276548</v>
      </c>
      <c r="AH23" s="603">
        <f t="shared" si="88"/>
        <v>76.159912687970305</v>
      </c>
      <c r="AI23" s="585">
        <f t="shared" si="89"/>
        <v>-74.576010365443366</v>
      </c>
      <c r="AJ23" s="586">
        <f t="shared" si="90"/>
        <v>14.368077726401218</v>
      </c>
      <c r="AK23" s="635">
        <f t="shared" si="211"/>
        <v>0.9493627612035872</v>
      </c>
      <c r="AL23" s="629">
        <f t="shared" si="91"/>
        <v>-0.16725954133690077</v>
      </c>
      <c r="AM23" s="634">
        <f t="shared" si="92"/>
        <v>-0.26595975912094355</v>
      </c>
      <c r="AN23" s="581">
        <f t="shared" si="93"/>
        <v>-32.165393487432105</v>
      </c>
      <c r="AO23" s="582">
        <f t="shared" si="94"/>
        <v>18.311440729583953</v>
      </c>
      <c r="AP23" s="585">
        <f t="shared" si="95"/>
        <v>-9.9918797732792513</v>
      </c>
      <c r="AQ23" s="586">
        <f t="shared" si="9"/>
        <v>0.71481028475026376</v>
      </c>
      <c r="AS23" s="52">
        <f t="shared" si="116"/>
        <v>-65.64004250031951</v>
      </c>
      <c r="AT23" s="72">
        <f t="shared" si="10"/>
        <v>-0.21541742433093006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2.117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20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5</v>
      </c>
      <c r="JG23" s="801">
        <v>10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50</v>
      </c>
      <c r="JI23" s="801">
        <v>0</v>
      </c>
    </row>
    <row r="24" spans="1:269" ht="15" customHeight="1" x14ac:dyDescent="0.25">
      <c r="A24" s="79"/>
      <c r="B24" s="707">
        <v>3.3891136322238822</v>
      </c>
      <c r="C24" s="708">
        <v>1.4997229240222998</v>
      </c>
      <c r="D24" s="709">
        <v>-0.72530218751139741</v>
      </c>
      <c r="E24" s="710">
        <v>-8.6738809469580846E-2</v>
      </c>
      <c r="F24" s="708">
        <v>0.96452662237202591</v>
      </c>
      <c r="G24" s="711">
        <v>0.24932864590217291</v>
      </c>
      <c r="H24" s="710">
        <v>0.26600000000000001</v>
      </c>
      <c r="I24" s="708">
        <v>0.52</v>
      </c>
      <c r="J24" s="570">
        <v>2.1219999999999999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2.1219999999999999</v>
      </c>
      <c r="N24" s="632">
        <f t="shared" si="2"/>
        <v>3.3891136322238822</v>
      </c>
      <c r="O24" s="629">
        <f t="shared" si="3"/>
        <v>1.4997229240222998</v>
      </c>
      <c r="P24" s="633">
        <f t="shared" si="4"/>
        <v>-0.72530218751139741</v>
      </c>
      <c r="Q24" s="585">
        <f t="shared" si="113"/>
        <v>23.86995757042774</v>
      </c>
      <c r="R24" s="629">
        <f t="shared" si="79"/>
        <v>3.7061111776313123</v>
      </c>
      <c r="S24" s="634">
        <f t="shared" si="80"/>
        <v>-0.72530218751139741</v>
      </c>
      <c r="T24" s="635">
        <f t="shared" si="81"/>
        <v>1.4997229240222998</v>
      </c>
      <c r="U24" s="629">
        <f t="shared" si="82"/>
        <v>-3.3891136322238822</v>
      </c>
      <c r="V24" s="636">
        <f t="shared" si="114"/>
        <v>-0.72530218751139741</v>
      </c>
      <c r="W24" s="585">
        <f t="shared" si="224"/>
        <v>293.86995757042774</v>
      </c>
      <c r="X24" s="629">
        <f t="shared" si="83"/>
        <v>3.7061111776313123</v>
      </c>
      <c r="Y24" s="630">
        <f t="shared" si="223"/>
        <v>-0.72530218751139741</v>
      </c>
      <c r="Z24" s="632">
        <f t="shared" si="6"/>
        <v>8.6738809469580846E-2</v>
      </c>
      <c r="AA24" s="629">
        <f t="shared" si="7"/>
        <v>-0.96452662237202591</v>
      </c>
      <c r="AB24" s="629">
        <f t="shared" si="8"/>
        <v>-0.24932864590217291</v>
      </c>
      <c r="AC24" s="636">
        <f t="shared" si="84"/>
        <v>1</v>
      </c>
      <c r="AD24" s="637">
        <f t="shared" si="115"/>
        <v>8.6738809469580846E-2</v>
      </c>
      <c r="AE24" s="629">
        <f t="shared" si="85"/>
        <v>-0.96452662237202591</v>
      </c>
      <c r="AF24" s="633">
        <f t="shared" si="86"/>
        <v>-0.24932864590217291</v>
      </c>
      <c r="AG24" s="602">
        <f t="shared" si="87"/>
        <v>-75.506397661021438</v>
      </c>
      <c r="AH24" s="603">
        <f t="shared" si="88"/>
        <v>85.023979329118376</v>
      </c>
      <c r="AI24" s="585">
        <f t="shared" si="89"/>
        <v>-75.562211524093343</v>
      </c>
      <c r="AJ24" s="586">
        <f t="shared" si="90"/>
        <v>5.1387230216772606</v>
      </c>
      <c r="AK24" s="635">
        <f>IF(M24="","",(COS(RADIANS((90-$Q$8)-W24))*AD24)+(-SIN(RADIANS((90-$Q$8)-W24))*AE24))</f>
        <v>0.91712696748083244</v>
      </c>
      <c r="AL24" s="629">
        <f t="shared" si="91"/>
        <v>-0.31098770369903839</v>
      </c>
      <c r="AM24" s="634">
        <f t="shared" si="92"/>
        <v>-0.24932864590217291</v>
      </c>
      <c r="AN24" s="581">
        <f t="shared" si="93"/>
        <v>-51.279749487067896</v>
      </c>
      <c r="AO24" s="582">
        <f t="shared" si="94"/>
        <v>23.490386355678634</v>
      </c>
      <c r="AP24" s="585">
        <f t="shared" si="95"/>
        <v>-18.731234548750479</v>
      </c>
      <c r="AQ24" s="586">
        <f t="shared" si="9"/>
        <v>0.61510271567337005</v>
      </c>
      <c r="AS24" s="52">
        <f t="shared" si="116"/>
        <v>-66.130042429572256</v>
      </c>
      <c r="AT24" s="72">
        <f t="shared" si="10"/>
        <v>-0.67937854693530553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3.6521826953442083</v>
      </c>
      <c r="C25" s="708">
        <v>1.5940782148224115</v>
      </c>
      <c r="D25" s="709">
        <v>-1.3618041072011873</v>
      </c>
      <c r="E25" s="710">
        <v>5.6006387108254709E-2</v>
      </c>
      <c r="F25" s="708">
        <v>0.98305304150285533</v>
      </c>
      <c r="G25" s="711">
        <v>0.17455658737230656</v>
      </c>
      <c r="H25" s="710">
        <v>0.26600000000000001</v>
      </c>
      <c r="I25" s="708">
        <v>0.52</v>
      </c>
      <c r="J25" s="570">
        <v>2.1269999999999998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2.1269999999999998</v>
      </c>
      <c r="N25" s="632">
        <f t="shared" si="2"/>
        <v>3.6521826953442083</v>
      </c>
      <c r="O25" s="629">
        <f t="shared" si="3"/>
        <v>1.5940782148224115</v>
      </c>
      <c r="P25" s="633">
        <f t="shared" si="4"/>
        <v>-1.3618041072011873</v>
      </c>
      <c r="Q25" s="585">
        <f t="shared" si="113"/>
        <v>23.57995761229855</v>
      </c>
      <c r="R25" s="629">
        <f>IF(M25="","",SQRT(N25^2+O25^2))</f>
        <v>3.984912018494648</v>
      </c>
      <c r="S25" s="634">
        <f>IF(M25="","",P25)</f>
        <v>-1.3618041072011873</v>
      </c>
      <c r="T25" s="635">
        <f>IF(M25="","",X25*COS(RADIANS(W25)))</f>
        <v>1.5940782148224091</v>
      </c>
      <c r="U25" s="629">
        <f>IF(M25="","",X25*SIN(RADIANS(W25)))</f>
        <v>-3.6521826953442091</v>
      </c>
      <c r="V25" s="636">
        <f>IF(M25="","",Y25)</f>
        <v>-1.3618041072011873</v>
      </c>
      <c r="W25" s="585">
        <f t="shared" si="224"/>
        <v>293.57995761229853</v>
      </c>
      <c r="X25" s="629">
        <f>IF(M25="","",R25)</f>
        <v>3.984912018494648</v>
      </c>
      <c r="Y25" s="630">
        <f t="shared" si="223"/>
        <v>-1.3618041072011873</v>
      </c>
      <c r="Z25" s="632">
        <f t="shared" si="6"/>
        <v>-5.6006387108254709E-2</v>
      </c>
      <c r="AA25" s="629">
        <f t="shared" si="7"/>
        <v>-0.98305304150285533</v>
      </c>
      <c r="AB25" s="629">
        <f t="shared" si="8"/>
        <v>-0.17455658737230656</v>
      </c>
      <c r="AC25" s="636">
        <f>IF(M25="","",SQRT(Z25^2+AA25^2+AB25^2))</f>
        <v>1</v>
      </c>
      <c r="AD25" s="637">
        <f>IF(M25="","",Z25*(1/SQRT(Z25^2+AA25^2+AB25^2)))</f>
        <v>-5.6006387108254709E-2</v>
      </c>
      <c r="AE25" s="629">
        <f>IF(M25="","",AA25*(1/SQRT(Z25^2+AA25^2+AB25^2)))</f>
        <v>-0.98305304150285533</v>
      </c>
      <c r="AF25" s="633">
        <f>IF(M25="","",AB25*(1/SQRT(Z25^2+AA25^2+AB25^2)))</f>
        <v>-0.17455658737230656</v>
      </c>
      <c r="AG25" s="602">
        <f>IF(M25="","",DEGREES(ATAN2(-AF25,AE25)))</f>
        <v>-79.931176478591809</v>
      </c>
      <c r="AH25" s="603">
        <f>IF(M25="","",DEGREES(ACOS(AD25)))</f>
        <v>93.210609562605953</v>
      </c>
      <c r="AI25" s="585">
        <f>IF(M25="","",DEGREES(-ACOS(-AF25)))</f>
        <v>-79.947144726614681</v>
      </c>
      <c r="AJ25" s="586">
        <f>IF(M25="","",DEGREES(ATAN2(-AE25,AD25)))</f>
        <v>-3.26072386115748</v>
      </c>
      <c r="AK25" s="635">
        <f>IF(M25="","",(COS(RADIANS((90-$Q$8)-W25))*AD25)+(-SIN(RADIANS((90-$Q$8)-W25))*AE25))</f>
        <v>0.87856663558775216</v>
      </c>
      <c r="AL25" s="629">
        <f>IF(M25="","",(SIN(RADIANS((90-$Q$8)-W25))*AD25)+(COS(RADIANS((90-$Q$8)-W25))*AE25))</f>
        <v>-0.4445791995099998</v>
      </c>
      <c r="AM25" s="634">
        <f>IF(M25="","",AF25)</f>
        <v>-0.17455658737230656</v>
      </c>
      <c r="AN25" s="581">
        <f>IF(M25="","",DEGREES(ATAN2(-AM25,AL25)))</f>
        <v>-68.563376223618079</v>
      </c>
      <c r="AO25" s="582">
        <f>IF(ROUND(IF(M25="",0,DEGREES(ACOS(AK25))),4)=90,0,IF(M25="","",DEGREES(ACOS(AK25))))</f>
        <v>28.530062005134813</v>
      </c>
      <c r="AP25" s="585">
        <f>IF(M25="","",DEGREES(ATAN2(AK25,AL25)))</f>
        <v>-26.840681473455994</v>
      </c>
      <c r="AQ25" s="586">
        <f t="shared" si="9"/>
        <v>0.57207056646260745</v>
      </c>
      <c r="AS25" s="52">
        <f t="shared" si="116"/>
        <v>-66.420042387701471</v>
      </c>
      <c r="AT25" s="72">
        <f t="shared" si="10"/>
        <v>-1.3156790777652834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2.1269999999999998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3.6990543548184585</v>
      </c>
      <c r="C26" s="708">
        <v>1.6099269206871449</v>
      </c>
      <c r="D26" s="709">
        <v>-2.639807961660813</v>
      </c>
      <c r="E26" s="710">
        <v>0.1090353006372185</v>
      </c>
      <c r="F26" s="708">
        <v>0.98702912740760373</v>
      </c>
      <c r="G26" s="711">
        <v>0.11783380187338441</v>
      </c>
      <c r="H26" s="710">
        <v>0.26600000000000001</v>
      </c>
      <c r="I26" s="708">
        <v>0.52</v>
      </c>
      <c r="J26" s="570">
        <v>2.1320000000000001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2.1320000000000001</v>
      </c>
      <c r="N26" s="632">
        <f t="shared" si="2"/>
        <v>3.6990543548184585</v>
      </c>
      <c r="O26" s="629">
        <f t="shared" si="3"/>
        <v>1.6099269206871449</v>
      </c>
      <c r="P26" s="633">
        <f t="shared" si="4"/>
        <v>-2.639807961660813</v>
      </c>
      <c r="Q26" s="585">
        <f t="shared" si="113"/>
        <v>23.519957620961478</v>
      </c>
      <c r="R26" s="629">
        <f>IF(M26="","",SQRT(N26^2+O26^2))</f>
        <v>4.0342121671838971</v>
      </c>
      <c r="S26" s="634">
        <f>IF(M26="","",P26)</f>
        <v>-2.639807961660813</v>
      </c>
      <c r="T26" s="635">
        <f>IF(M26="","",X26*COS(RADIANS(W26)))</f>
        <v>1.6099269206871452</v>
      </c>
      <c r="U26" s="629">
        <f>IF(M26="","",X26*SIN(RADIANS(W26)))</f>
        <v>-3.6990543548184585</v>
      </c>
      <c r="V26" s="636">
        <f>IF(M26="","",Y26)</f>
        <v>-2.639807961660813</v>
      </c>
      <c r="W26" s="585">
        <f t="shared" si="224"/>
        <v>293.51995762096146</v>
      </c>
      <c r="X26" s="629">
        <f>IF(M26="","",R26)</f>
        <v>4.0342121671838971</v>
      </c>
      <c r="Y26" s="630">
        <f t="shared" si="223"/>
        <v>-2.639807961660813</v>
      </c>
      <c r="Z26" s="632">
        <f t="shared" si="6"/>
        <v>-0.1090353006372185</v>
      </c>
      <c r="AA26" s="629">
        <f t="shared" si="7"/>
        <v>-0.98702912740760373</v>
      </c>
      <c r="AB26" s="629">
        <f t="shared" si="8"/>
        <v>-0.11783380187338441</v>
      </c>
      <c r="AC26" s="636">
        <f>IF(M26="","",SQRT(Z26^2+AA26^2+AB26^2))</f>
        <v>1</v>
      </c>
      <c r="AD26" s="637">
        <f>IF(M26="","",Z26*(1/SQRT(Z26^2+AA26^2+AB26^2)))</f>
        <v>-0.1090353006372185</v>
      </c>
      <c r="AE26" s="629">
        <f>IF(M26="","",AA26*(1/SQRT(Z26^2+AA26^2+AB26^2)))</f>
        <v>-0.98702912740760373</v>
      </c>
      <c r="AF26" s="633">
        <f>IF(M26="","",AB26*(1/SQRT(Z26^2+AA26^2+AB26^2)))</f>
        <v>-0.11783380187338441</v>
      </c>
      <c r="AG26" s="602">
        <f>IF(M26="","",DEGREES(ATAN2(-AF26,AE26)))</f>
        <v>-83.192118647331938</v>
      </c>
      <c r="AH26" s="603">
        <f>IF(M26="","",DEGREES(ACOS(AD26)))</f>
        <v>96.259707876572065</v>
      </c>
      <c r="AI26" s="585">
        <f>IF(M26="","",DEGREES(-ACOS(-AF26)))</f>
        <v>-83.232898437509547</v>
      </c>
      <c r="AJ26" s="586">
        <f>IF(M26="","",DEGREES(ATAN2(-AE26,AD26)))</f>
        <v>-6.3038005661502075</v>
      </c>
      <c r="AK26" s="635">
        <f>IF(M26="","",(COS(RADIANS((90-$Q$8)-W26))*AD26)+(-SIN(RADIANS((90-$Q$8)-W26))*AE26))</f>
        <v>0.86151530515431507</v>
      </c>
      <c r="AL26" s="629">
        <f>IF(M26="","",(SIN(RADIANS((90-$Q$8)-W26))*AD26)+(COS(RADIANS((90-$Q$8)-W26))*AE26))</f>
        <v>-0.49386898477322083</v>
      </c>
      <c r="AM26" s="634">
        <f>IF(M26="","",AF26)</f>
        <v>-0.11783380187338441</v>
      </c>
      <c r="AN26" s="581">
        <f>IF(M26="","",DEGREES(ATAN2(-AM26,AL26)))</f>
        <v>-76.580502560221106</v>
      </c>
      <c r="AO26" s="582">
        <f t="shared" si="94"/>
        <v>30.512850626206912</v>
      </c>
      <c r="AP26" s="585">
        <f>IF(M26="","",DEGREES(ATAN2(AK26,AL26)))</f>
        <v>-29.823758187111689</v>
      </c>
      <c r="AQ26" s="586">
        <f t="shared" si="9"/>
        <v>0.56508002588631834</v>
      </c>
      <c r="AS26" s="52">
        <f t="shared" si="116"/>
        <v>-66.480042379038537</v>
      </c>
      <c r="AT26" s="72">
        <f t="shared" si="10"/>
        <v>-2.5936412655642584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2.1320000000000001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3.0224137140323348</v>
      </c>
      <c r="C27" s="708">
        <v>0.50740327783575978</v>
      </c>
      <c r="D27" s="709">
        <v>-0.2368005935505901</v>
      </c>
      <c r="E27" s="710">
        <v>-2.0456558043538537E-2</v>
      </c>
      <c r="F27" s="708">
        <v>0.96487040869573215</v>
      </c>
      <c r="G27" s="711">
        <v>0.26192866138768084</v>
      </c>
      <c r="H27" s="710">
        <v>0.26600000000000001</v>
      </c>
      <c r="I27" s="708">
        <v>0.52</v>
      </c>
      <c r="J27" s="570">
        <v>2.2160000000000002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2.2160000000000002</v>
      </c>
      <c r="N27" s="632">
        <f t="shared" si="2"/>
        <v>3.0224137140323348</v>
      </c>
      <c r="O27" s="629">
        <f t="shared" si="3"/>
        <v>0.50740327783575978</v>
      </c>
      <c r="P27" s="633">
        <f t="shared" si="4"/>
        <v>-0.2368005935505901</v>
      </c>
      <c r="Q27" s="585">
        <f t="shared" si="113"/>
        <v>9.5299574072759476</v>
      </c>
      <c r="R27" s="629">
        <f t="shared" si="79"/>
        <v>3.0647092431630778</v>
      </c>
      <c r="S27" s="634">
        <f t="shared" si="80"/>
        <v>-0.2368005935505901</v>
      </c>
      <c r="T27" s="635">
        <f t="shared" si="81"/>
        <v>0.50740327783575967</v>
      </c>
      <c r="U27" s="629">
        <f t="shared" si="82"/>
        <v>-3.0224137140323348</v>
      </c>
      <c r="V27" s="636">
        <f t="shared" si="114"/>
        <v>-0.2368005935505901</v>
      </c>
      <c r="W27" s="585">
        <f t="shared" si="224"/>
        <v>279.52995740727596</v>
      </c>
      <c r="X27" s="629">
        <f t="shared" si="83"/>
        <v>3.0647092431630778</v>
      </c>
      <c r="Y27" s="630">
        <f t="shared" si="223"/>
        <v>-0.2368005935505901</v>
      </c>
      <c r="Z27" s="632">
        <f t="shared" si="6"/>
        <v>2.0456558043538537E-2</v>
      </c>
      <c r="AA27" s="629">
        <f t="shared" si="7"/>
        <v>-0.96487040869573215</v>
      </c>
      <c r="AB27" s="629">
        <f t="shared" si="8"/>
        <v>-0.26192866138768084</v>
      </c>
      <c r="AC27" s="636">
        <f t="shared" si="84"/>
        <v>1</v>
      </c>
      <c r="AD27" s="637">
        <f t="shared" si="115"/>
        <v>2.0456558043538537E-2</v>
      </c>
      <c r="AE27" s="629">
        <f t="shared" si="85"/>
        <v>-0.96487040869573215</v>
      </c>
      <c r="AF27" s="633">
        <f t="shared" si="86"/>
        <v>-0.26192866138768084</v>
      </c>
      <c r="AG27" s="602">
        <f t="shared" si="87"/>
        <v>-74.812212362816581</v>
      </c>
      <c r="AH27" s="603">
        <f t="shared" si="88"/>
        <v>88.827843798861593</v>
      </c>
      <c r="AI27" s="585">
        <f t="shared" si="89"/>
        <v>-74.815467084756577</v>
      </c>
      <c r="AJ27" s="586">
        <f t="shared" si="90"/>
        <v>1.2145660818849298</v>
      </c>
      <c r="AK27" s="635">
        <f t="shared" si="211"/>
        <v>0.95494125148718512</v>
      </c>
      <c r="AL27" s="629">
        <f t="shared" si="91"/>
        <v>-0.13957285750369403</v>
      </c>
      <c r="AM27" s="634">
        <f t="shared" si="92"/>
        <v>-0.26192866138768084</v>
      </c>
      <c r="AN27" s="581">
        <f t="shared" si="93"/>
        <v>-28.051632841335881</v>
      </c>
      <c r="AO27" s="582">
        <f t="shared" si="94"/>
        <v>17.265198037891935</v>
      </c>
      <c r="AP27" s="585">
        <f t="shared" si="95"/>
        <v>-8.3153913253910154</v>
      </c>
      <c r="AQ27" s="586">
        <f t="shared" si="9"/>
        <v>0.74382213044339207</v>
      </c>
      <c r="AS27" s="52">
        <f t="shared" si="116"/>
        <v>-80.470042592724042</v>
      </c>
      <c r="AT27" s="72">
        <f t="shared" si="10"/>
        <v>-0.18091861952786509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2.2160000000000002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1.1160000000000001</v>
      </c>
      <c r="II27" s="734" cm="1">
        <f t="array" ref="II27">IFERROR(ROUND(VALUE(IF($IH27&lt;1,$IH27+LARGE((IF($M$9:$M$150="",0,$M$9:$M$150)-MOD(IF($M$9:$M$150="",0,$M$9:$M$150),1)),1),$IH27)),4),"")</f>
        <v>1.1160000000000001</v>
      </c>
      <c r="IJ27" s="533">
        <f t="shared" si="112"/>
        <v>1313</v>
      </c>
      <c r="IK27" s="533">
        <f t="shared" si="66"/>
        <v>1313</v>
      </c>
      <c r="IL27" s="727">
        <f t="shared" si="225"/>
        <v>80.380042605718415</v>
      </c>
      <c r="IM27" s="759">
        <v>4.9490576892655498E-3</v>
      </c>
      <c r="IN27" s="5">
        <f t="shared" si="226"/>
        <v>0.1</v>
      </c>
      <c r="IO27" s="771">
        <v>50</v>
      </c>
      <c r="IP27" s="9">
        <f t="shared" si="227"/>
        <v>-3.0647092431630769</v>
      </c>
      <c r="IQ27" s="5">
        <f t="shared" si="228"/>
        <v>-0.20000059355059011</v>
      </c>
      <c r="IR27" s="5">
        <f t="shared" si="71"/>
        <v>0.26600000000000001</v>
      </c>
      <c r="IS27" s="5">
        <f t="shared" si="229"/>
        <v>0.25401437289559126</v>
      </c>
      <c r="IT27" s="727">
        <f t="shared" si="230"/>
        <v>28.051632841335795</v>
      </c>
      <c r="IU27" s="9">
        <f t="shared" si="231"/>
        <v>-3.0647092431630778</v>
      </c>
      <c r="IV27" s="5">
        <f t="shared" si="232"/>
        <v>-0.2368005935505901</v>
      </c>
      <c r="IW27" s="5">
        <f t="shared" si="76"/>
        <v>0.26600000000000001</v>
      </c>
      <c r="IX27" s="5">
        <f t="shared" si="233"/>
        <v>0.25401437289559126</v>
      </c>
      <c r="IY27" s="762">
        <f t="shared" si="234"/>
        <v>28.051632841335881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3.570396926224654</v>
      </c>
      <c r="C28" s="708">
        <v>0.59363386788743466</v>
      </c>
      <c r="D28" s="709">
        <v>-0.65540185605199774</v>
      </c>
      <c r="E28" s="710">
        <v>0.12689263655341598</v>
      </c>
      <c r="F28" s="708">
        <v>0.95790299399877954</v>
      </c>
      <c r="G28" s="711">
        <v>0.25752691680035461</v>
      </c>
      <c r="H28" s="710">
        <v>0.26600000000000001</v>
      </c>
      <c r="I28" s="708">
        <v>0.52</v>
      </c>
      <c r="J28" s="570">
        <v>2.2210000000000001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2.2210000000000001</v>
      </c>
      <c r="N28" s="632">
        <f t="shared" si="2"/>
        <v>3.570396926224654</v>
      </c>
      <c r="O28" s="629">
        <f t="shared" si="3"/>
        <v>0.59363386788743466</v>
      </c>
      <c r="P28" s="633">
        <f t="shared" si="4"/>
        <v>-0.65540185605199774</v>
      </c>
      <c r="Q28" s="585">
        <f t="shared" si="113"/>
        <v>9.439957407275946</v>
      </c>
      <c r="R28" s="629">
        <f t="shared" si="79"/>
        <v>3.6194109161433237</v>
      </c>
      <c r="S28" s="634">
        <f t="shared" si="80"/>
        <v>-0.65540185605199774</v>
      </c>
      <c r="T28" s="635">
        <f t="shared" si="81"/>
        <v>0.59363386788743189</v>
      </c>
      <c r="U28" s="629">
        <f t="shared" si="82"/>
        <v>-3.5703969262246544</v>
      </c>
      <c r="V28" s="636">
        <f t="shared" si="114"/>
        <v>-0.65540185605199774</v>
      </c>
      <c r="W28" s="585">
        <f t="shared" si="224"/>
        <v>279.43995740727593</v>
      </c>
      <c r="X28" s="629">
        <f t="shared" si="83"/>
        <v>3.6194109161433237</v>
      </c>
      <c r="Y28" s="630">
        <f t="shared" si="223"/>
        <v>-0.65540185605199774</v>
      </c>
      <c r="Z28" s="632">
        <f t="shared" si="6"/>
        <v>-0.12689263655341598</v>
      </c>
      <c r="AA28" s="629">
        <f t="shared" si="7"/>
        <v>-0.95790299399877954</v>
      </c>
      <c r="AB28" s="629">
        <f t="shared" si="8"/>
        <v>-0.25752691680035461</v>
      </c>
      <c r="AC28" s="636">
        <f t="shared" si="84"/>
        <v>1</v>
      </c>
      <c r="AD28" s="637">
        <f t="shared" si="115"/>
        <v>-0.12689263655341598</v>
      </c>
      <c r="AE28" s="629">
        <f t="shared" si="85"/>
        <v>-0.95790299399877954</v>
      </c>
      <c r="AF28" s="633">
        <f t="shared" si="86"/>
        <v>-0.25752691680035461</v>
      </c>
      <c r="AG28" s="602">
        <f t="shared" si="87"/>
        <v>-74.952151580753622</v>
      </c>
      <c r="AH28" s="603">
        <f t="shared" si="88"/>
        <v>97.290066318805472</v>
      </c>
      <c r="AI28" s="585">
        <f t="shared" si="89"/>
        <v>-75.076631408838281</v>
      </c>
      <c r="AJ28" s="586">
        <f t="shared" si="90"/>
        <v>-7.5459911078857553</v>
      </c>
      <c r="AK28" s="635">
        <f t="shared" si="211"/>
        <v>0.92411892881038915</v>
      </c>
      <c r="AL28" s="629">
        <f t="shared" si="91"/>
        <v>-0.28228370930261282</v>
      </c>
      <c r="AM28" s="634">
        <f t="shared" si="92"/>
        <v>-0.25752691680035461</v>
      </c>
      <c r="AN28" s="581">
        <f t="shared" si="93"/>
        <v>-47.62585880393172</v>
      </c>
      <c r="AO28" s="582">
        <f t="shared" si="94"/>
        <v>22.464130216561319</v>
      </c>
      <c r="AP28" s="585">
        <f t="shared" si="95"/>
        <v>-16.985948515161652</v>
      </c>
      <c r="AQ28" s="586">
        <f t="shared" si="9"/>
        <v>0.62983586470155928</v>
      </c>
      <c r="AS28" s="52">
        <f t="shared" si="116"/>
        <v>-80.560042592724074</v>
      </c>
      <c r="AT28" s="72">
        <f t="shared" si="10"/>
        <v>-0.59945738202927268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2.2210000000000001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1.121</v>
      </c>
      <c r="II28" s="734" cm="1">
        <f t="array" ref="II28">IFERROR(ROUND(VALUE(IF($IH28&lt;1,$IH28+LARGE((IF($M$9:$M$150="",0,$M$9:$M$150)-MOD(IF($M$9:$M$150="",0,$M$9:$M$150),1)),1),$IH28)),4),"")</f>
        <v>1.121</v>
      </c>
      <c r="IJ28" s="533">
        <f t="shared" si="112"/>
        <v>1313</v>
      </c>
      <c r="IK28" s="533">
        <f t="shared" si="66"/>
        <v>1313</v>
      </c>
      <c r="IL28" s="727">
        <f t="shared" si="225"/>
        <v>80.030042669246598</v>
      </c>
      <c r="IM28" s="759">
        <v>1.0485152298240099E-3</v>
      </c>
      <c r="IN28" s="5">
        <f t="shared" si="226"/>
        <v>0</v>
      </c>
      <c r="IO28" s="771">
        <v>0</v>
      </c>
      <c r="IP28" s="9">
        <f t="shared" si="227"/>
        <v>-3.6194109161433237</v>
      </c>
      <c r="IQ28" s="5">
        <f t="shared" si="228"/>
        <v>-0.61860185605199758</v>
      </c>
      <c r="IR28" s="5">
        <f t="shared" si="71"/>
        <v>0.26600000000000001</v>
      </c>
      <c r="IS28" s="5">
        <f t="shared" si="229"/>
        <v>0.24581563506356346</v>
      </c>
      <c r="IT28" s="727">
        <f t="shared" si="230"/>
        <v>47.625858803931834</v>
      </c>
      <c r="IU28" s="9">
        <f t="shared" si="231"/>
        <v>-3.6194109161433237</v>
      </c>
      <c r="IV28" s="5">
        <f t="shared" si="232"/>
        <v>-0.65540185605199774</v>
      </c>
      <c r="IW28" s="5">
        <f t="shared" si="76"/>
        <v>0.26600000000000001</v>
      </c>
      <c r="IX28" s="5">
        <f t="shared" si="233"/>
        <v>0.24581563506356352</v>
      </c>
      <c r="IY28" s="762">
        <f t="shared" si="234"/>
        <v>47.62585880393172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3.8936260924040327</v>
      </c>
      <c r="C29" s="708">
        <v>0.63341673456241154</v>
      </c>
      <c r="D29" s="709">
        <v>-1.2659036973255515</v>
      </c>
      <c r="E29" s="710">
        <v>0.27163992937767423</v>
      </c>
      <c r="F29" s="708">
        <v>0.94261731224205214</v>
      </c>
      <c r="G29" s="711">
        <v>0.19412457708714237</v>
      </c>
      <c r="H29" s="710">
        <v>0.26600000000000001</v>
      </c>
      <c r="I29" s="708">
        <v>0.52</v>
      </c>
      <c r="J29" s="570">
        <v>2.226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2.226</v>
      </c>
      <c r="N29" s="632">
        <f t="shared" si="2"/>
        <v>3.8936260924040327</v>
      </c>
      <c r="O29" s="629">
        <f t="shared" si="3"/>
        <v>0.63341673456241154</v>
      </c>
      <c r="P29" s="633">
        <f t="shared" si="4"/>
        <v>-1.2659036973255515</v>
      </c>
      <c r="Q29" s="585">
        <f t="shared" si="113"/>
        <v>9.2399574072759485</v>
      </c>
      <c r="R29" s="629">
        <f>IF(M29="","",SQRT(N29^2+O29^2))</f>
        <v>3.9448118975526838</v>
      </c>
      <c r="S29" s="634">
        <f>IF(M29="","",P29)</f>
        <v>-1.2659036973255515</v>
      </c>
      <c r="T29" s="635">
        <f>IF(M29="","",X29*COS(RADIANS(W29)))</f>
        <v>0.63341673456240899</v>
      </c>
      <c r="U29" s="629">
        <f>IF(M29="","",X29*SIN(RADIANS(W29)))</f>
        <v>-3.8936260924040331</v>
      </c>
      <c r="V29" s="636">
        <f>IF(M29="","",Y29)</f>
        <v>-1.2659036973255515</v>
      </c>
      <c r="W29" s="585">
        <f t="shared" si="224"/>
        <v>279.23995740727594</v>
      </c>
      <c r="X29" s="629">
        <f>IF(M29="","",R29)</f>
        <v>3.9448118975526838</v>
      </c>
      <c r="Y29" s="630">
        <f t="shared" si="223"/>
        <v>-1.2659036973255515</v>
      </c>
      <c r="Z29" s="632">
        <f t="shared" si="6"/>
        <v>-0.27163992937767423</v>
      </c>
      <c r="AA29" s="629">
        <f t="shared" si="7"/>
        <v>-0.94261731224205214</v>
      </c>
      <c r="AB29" s="629">
        <f t="shared" si="8"/>
        <v>-0.19412457708714237</v>
      </c>
      <c r="AC29" s="636">
        <f>IF(M29="","",SQRT(Z29^2+AA29^2+AB29^2))</f>
        <v>1</v>
      </c>
      <c r="AD29" s="637">
        <f>IF(M29="","",Z29*(1/SQRT(Z29^2+AA29^2+AB29^2)))</f>
        <v>-0.27163992937767423</v>
      </c>
      <c r="AE29" s="629">
        <f>IF(M29="","",AA29*(1/SQRT(Z29^2+AA29^2+AB29^2)))</f>
        <v>-0.94261731224205214</v>
      </c>
      <c r="AF29" s="633">
        <f>IF(M29="","",AB29*(1/SQRT(Z29^2+AA29^2+AB29^2)))</f>
        <v>-0.19412457708714237</v>
      </c>
      <c r="AG29" s="602">
        <f>IF(M29="","",DEGREES(ATAN2(-AF29,AE29)))</f>
        <v>-78.363082670167927</v>
      </c>
      <c r="AH29" s="603">
        <f>IF(M29="","",DEGREES(ACOS(AD29)))</f>
        <v>105.76187553237078</v>
      </c>
      <c r="AI29" s="585">
        <f>IF(M29="","",DEGREES(-ACOS(-AF29)))</f>
        <v>-78.80641163340573</v>
      </c>
      <c r="AJ29" s="586">
        <f>IF(M29="","",DEGREES(ATAN2(-AE29,AD29)))</f>
        <v>-16.075725433199448</v>
      </c>
      <c r="AK29" s="635">
        <f>IF(M29="","",(COS(RADIANS((90-$Q$8)-W29))*AD29)+(-SIN(RADIANS((90-$Q$8)-W29))*AE29))</f>
        <v>0.88676930000754894</v>
      </c>
      <c r="AL29" s="629">
        <f>IF(M29="","",(SIN(RADIANS((90-$Q$8)-W29))*AD29)+(COS(RADIANS((90-$Q$8)-W29))*AE29))</f>
        <v>-0.41947092525568452</v>
      </c>
      <c r="AM29" s="634">
        <f>IF(M29="","",AF29)</f>
        <v>-0.19412457708714237</v>
      </c>
      <c r="AN29" s="581">
        <f>IF(M29="","",DEGREES(ATAN2(-AM29,AL29)))</f>
        <v>-65.166039208237521</v>
      </c>
      <c r="AO29" s="582">
        <f t="shared" si="94"/>
        <v>27.529955446829327</v>
      </c>
      <c r="AP29" s="585">
        <f>IF(M29="","",DEGREES(ATAN2(AK29,AL29)))</f>
        <v>-25.315682840475361</v>
      </c>
      <c r="AQ29" s="586">
        <f t="shared" si="9"/>
        <v>0.57788543206276499</v>
      </c>
      <c r="AS29" s="52">
        <f t="shared" si="116"/>
        <v>-80.760042592724062</v>
      </c>
      <c r="AT29" s="72">
        <f t="shared" si="10"/>
        <v>-1.2098203344139375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2.226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1.1259999999999999</v>
      </c>
      <c r="II29" s="734" cm="1">
        <f t="array" ref="II29">IFERROR(ROUND(VALUE(IF($IH29&lt;1,$IH29+LARGE((IF($M$9:$M$150="",0,$M$9:$M$150)-MOD(IF($M$9:$M$150="",0,$M$9:$M$150),1)),1),$IH29)),4),"")</f>
        <v>1.1259999999999999</v>
      </c>
      <c r="IJ29" s="533">
        <f t="shared" si="112"/>
        <v>1313</v>
      </c>
      <c r="IK29" s="533">
        <f t="shared" si="66"/>
        <v>1313</v>
      </c>
      <c r="IL29" s="727">
        <f t="shared" si="225"/>
        <v>79.720042742881446</v>
      </c>
      <c r="IM29" s="759">
        <v>5.4572888175553501E-4</v>
      </c>
      <c r="IN29" s="5">
        <f t="shared" si="226"/>
        <v>0</v>
      </c>
      <c r="IO29" s="771">
        <v>0</v>
      </c>
      <c r="IP29" s="9">
        <f t="shared" si="227"/>
        <v>-3.9448118975526829</v>
      </c>
      <c r="IQ29" s="5">
        <f t="shared" si="228"/>
        <v>-1.2291036973255511</v>
      </c>
      <c r="IR29" s="5">
        <f t="shared" si="71"/>
        <v>0.26600000000000001</v>
      </c>
      <c r="IS29" s="5">
        <f t="shared" si="229"/>
        <v>0.23588063380200794</v>
      </c>
      <c r="IT29" s="727">
        <f t="shared" si="230"/>
        <v>65.166039208237564</v>
      </c>
      <c r="IU29" s="9">
        <f t="shared" si="231"/>
        <v>-3.9448118975526838</v>
      </c>
      <c r="IV29" s="5">
        <f t="shared" si="232"/>
        <v>-1.2659036973255515</v>
      </c>
      <c r="IW29" s="5">
        <f t="shared" si="76"/>
        <v>0.26600000000000001</v>
      </c>
      <c r="IX29" s="5">
        <f t="shared" si="233"/>
        <v>0.23588063380200802</v>
      </c>
      <c r="IY29" s="762">
        <f t="shared" si="234"/>
        <v>65.166039208237521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50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3.9818543418309011</v>
      </c>
      <c r="C30" s="708">
        <v>0.64776974338294291</v>
      </c>
      <c r="D30" s="709">
        <v>-1.9598</v>
      </c>
      <c r="E30" s="710">
        <v>0.34879290965020293</v>
      </c>
      <c r="F30" s="708">
        <v>0.92966027669667317</v>
      </c>
      <c r="G30" s="711">
        <v>0.11863926883629451</v>
      </c>
      <c r="H30" s="710">
        <v>0.26600000000000001</v>
      </c>
      <c r="I30" s="708">
        <v>0.52</v>
      </c>
      <c r="J30" s="570">
        <v>2.2309999999999999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2.2309999999999999</v>
      </c>
      <c r="N30" s="632">
        <f t="shared" si="2"/>
        <v>3.9818543418309011</v>
      </c>
      <c r="O30" s="629">
        <f t="shared" si="3"/>
        <v>0.64776974338294291</v>
      </c>
      <c r="P30" s="633">
        <f t="shared" si="4"/>
        <v>-1.9598</v>
      </c>
      <c r="Q30" s="585">
        <f t="shared" si="113"/>
        <v>9.2399574072759538</v>
      </c>
      <c r="R30" s="629">
        <f>IF(M30="","",SQRT(N30^2+O30^2))</f>
        <v>4.0342000000000002</v>
      </c>
      <c r="S30" s="634">
        <f>IF(M30="","",P30)</f>
        <v>-1.9598</v>
      </c>
      <c r="T30" s="635">
        <f>IF(M30="","",X30*COS(RADIANS(W30)))</f>
        <v>0.64776974338294002</v>
      </c>
      <c r="U30" s="629">
        <f>IF(M30="","",X30*SIN(RADIANS(W30)))</f>
        <v>-3.9818543418309016</v>
      </c>
      <c r="V30" s="636">
        <f>IF(M30="","",Y30)</f>
        <v>-1.9598</v>
      </c>
      <c r="W30" s="585">
        <f t="shared" si="224"/>
        <v>279.23995740727594</v>
      </c>
      <c r="X30" s="629">
        <f>IF(M30="","",R30)</f>
        <v>4.0342000000000002</v>
      </c>
      <c r="Y30" s="630">
        <f t="shared" si="223"/>
        <v>-1.9598</v>
      </c>
      <c r="Z30" s="632">
        <f t="shared" si="6"/>
        <v>-0.34879290965020293</v>
      </c>
      <c r="AA30" s="629">
        <f t="shared" si="7"/>
        <v>-0.92966027669667317</v>
      </c>
      <c r="AB30" s="629">
        <f t="shared" si="8"/>
        <v>-0.11863926883629451</v>
      </c>
      <c r="AC30" s="636">
        <f>IF(M30="","",SQRT(Z30^2+AA30^2+AB30^2))</f>
        <v>1</v>
      </c>
      <c r="AD30" s="637">
        <f>IF(M30="","",Z30*(1/SQRT(Z30^2+AA30^2+AB30^2)))</f>
        <v>-0.34879290965020293</v>
      </c>
      <c r="AE30" s="629">
        <f>IF(M30="","",AA30*(1/SQRT(Z30^2+AA30^2+AB30^2)))</f>
        <v>-0.92966027669667317</v>
      </c>
      <c r="AF30" s="633">
        <f>IF(M30="","",AB30*(1/SQRT(Z30^2+AA30^2+AB30^2)))</f>
        <v>-0.11863926883629451</v>
      </c>
      <c r="AG30" s="602">
        <f>IF(M30="","",DEGREES(ATAN2(-AF30,AE30)))</f>
        <v>-82.727467240990819</v>
      </c>
      <c r="AH30" s="603">
        <f>IF(M30="","",DEGREES(ACOS(AD30)))</f>
        <v>110.4135018426261</v>
      </c>
      <c r="AI30" s="585">
        <f>IF(M30="","",DEGREES(-ACOS(-AF30)))</f>
        <v>-83.186422571811249</v>
      </c>
      <c r="AJ30" s="586">
        <f>IF(M30="","",DEGREES(ATAN2(-AE30,AD30)))</f>
        <v>-20.565246726947144</v>
      </c>
      <c r="AK30" s="635">
        <f>IF(M30="","",(COS(RADIANS((90-$Q$8)-W30))*AD30)+(-SIN(RADIANS((90-$Q$8)-W30))*AE30))</f>
        <v>0.86159196758080026</v>
      </c>
      <c r="AL30" s="629">
        <f>IF(M30="","",(SIN(RADIANS((90-$Q$8)-W30))*AD30)+(COS(RADIANS((90-$Q$8)-W30))*AE30))</f>
        <v>-0.49354230344544414</v>
      </c>
      <c r="AM30" s="634">
        <f>IF(M30="","",AF30)</f>
        <v>-0.11863926883629451</v>
      </c>
      <c r="AN30" s="581">
        <f>IF(M30="","",DEGREES(ATAN2(-AM30,AL30)))</f>
        <v>-76.4835095884862</v>
      </c>
      <c r="AO30" s="582">
        <f>IF(ROUND(IF(M30="",0,DEGREES(ACOS(AK30))),4)=90,0,IF(M30="","",DEGREES(ACOS(AK30))))</f>
        <v>30.50419842433006</v>
      </c>
      <c r="AP30" s="585">
        <f>IF(M30="","",DEGREES(ATAN2(AK30,AL30)))</f>
        <v>-29.805204134223054</v>
      </c>
      <c r="AQ30" s="586">
        <f t="shared" si="9"/>
        <v>0.56508173006230189</v>
      </c>
      <c r="AS30" s="52">
        <f t="shared" si="116"/>
        <v>-80.760042592724062</v>
      </c>
      <c r="AT30" s="72">
        <f t="shared" si="10"/>
        <v>-1.903716637088386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>Gage</v>
      </c>
      <c r="IG30" s="847">
        <f t="shared" si="210"/>
        <v>2.2309999999999999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1.131</v>
      </c>
      <c r="II30" s="734" cm="1">
        <f t="array" ref="II30">IFERROR(ROUND(VALUE(IF($IH30&lt;1,$IH30+LARGE((IF($M$9:$M$150="",0,$M$9:$M$150)-MOD(IF($M$9:$M$150="",0,$M$9:$M$150),1)),1),$IH30)),4),"")</f>
        <v>1.131</v>
      </c>
      <c r="IJ30" s="533">
        <f t="shared" si="112"/>
        <v>1313</v>
      </c>
      <c r="IK30" s="533">
        <f t="shared" si="66"/>
        <v>1313</v>
      </c>
      <c r="IL30" s="727">
        <f t="shared" si="225"/>
        <v>79.300042803521933</v>
      </c>
      <c r="IM30" s="759">
        <v>5.6912700657929299E-5</v>
      </c>
      <c r="IN30" s="5">
        <f t="shared" si="226"/>
        <v>0</v>
      </c>
      <c r="IO30" s="771">
        <v>0</v>
      </c>
      <c r="IP30" s="9">
        <f t="shared" si="227"/>
        <v>-4.0341999999999993</v>
      </c>
      <c r="IQ30" s="5">
        <f t="shared" si="228"/>
        <v>-1.9230057901342628</v>
      </c>
      <c r="IR30" s="5">
        <f t="shared" si="71"/>
        <v>0.26600000000000001</v>
      </c>
      <c r="IS30" s="5">
        <f t="shared" si="229"/>
        <v>0.22918347371984071</v>
      </c>
      <c r="IT30" s="727">
        <f t="shared" si="230"/>
        <v>76.483500042309018</v>
      </c>
      <c r="IU30" s="9">
        <f t="shared" si="231"/>
        <v>-4.0342000000000002</v>
      </c>
      <c r="IV30" s="5">
        <f t="shared" si="232"/>
        <v>-1.9598</v>
      </c>
      <c r="IW30" s="5">
        <f t="shared" si="76"/>
        <v>0.26600000000000001</v>
      </c>
      <c r="IX30" s="5">
        <f t="shared" si="233"/>
        <v>0.22918346337649287</v>
      </c>
      <c r="IY30" s="762">
        <f t="shared" si="234"/>
        <v>76.4835095884862</v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0.33572875928393803</v>
      </c>
      <c r="C31" s="708">
        <v>-0.40010640548529736</v>
      </c>
      <c r="D31" s="709">
        <v>-0.27610082849769874</v>
      </c>
      <c r="E31" s="710">
        <v>0.70773311121916405</v>
      </c>
      <c r="F31" s="708">
        <v>0.59385792398293058</v>
      </c>
      <c r="G31" s="711">
        <v>0.38268343236508978</v>
      </c>
      <c r="H31" s="710">
        <v>0.26600000000000001</v>
      </c>
      <c r="I31" s="708">
        <v>0.52</v>
      </c>
      <c r="J31" s="570">
        <v>3.1019999999999999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3.1019999999999999</v>
      </c>
      <c r="N31" s="632">
        <f t="shared" si="2"/>
        <v>0.33572875928393803</v>
      </c>
      <c r="O31" s="629">
        <f t="shared" si="3"/>
        <v>-0.40010640548529736</v>
      </c>
      <c r="P31" s="633">
        <f t="shared" si="4"/>
        <v>-0.27610082849769874</v>
      </c>
      <c r="Q31" s="585">
        <f t="shared" si="113"/>
        <v>309.9999682359346</v>
      </c>
      <c r="R31" s="629">
        <f>IF(M31="","",SQRT(N31^2+O31^2))</f>
        <v>0.52230157526155097</v>
      </c>
      <c r="S31" s="634">
        <f>IF(M31="","",P31)</f>
        <v>-0.27610082849769874</v>
      </c>
      <c r="T31" s="635">
        <f>IF(M31="","",X31*COS(RADIANS(W31)))</f>
        <v>-0.4001064054852973</v>
      </c>
      <c r="U31" s="629">
        <f>IF(M31="","",X31*SIN(RADIANS(W31)))</f>
        <v>-0.33572875928393808</v>
      </c>
      <c r="V31" s="636">
        <f>IF(M31="","",Y31)</f>
        <v>-0.27610082849769874</v>
      </c>
      <c r="W31" s="585">
        <f t="shared" si="224"/>
        <v>219.9999682359346</v>
      </c>
      <c r="X31" s="629">
        <f>IF(M31="","",R31)</f>
        <v>0.52230157526155097</v>
      </c>
      <c r="Y31" s="630">
        <f t="shared" si="223"/>
        <v>-0.27610082849769874</v>
      </c>
      <c r="Z31" s="632">
        <f t="shared" si="6"/>
        <v>-0.70773311121916405</v>
      </c>
      <c r="AA31" s="629">
        <f t="shared" si="7"/>
        <v>-0.59385792398293058</v>
      </c>
      <c r="AB31" s="629">
        <f t="shared" si="8"/>
        <v>-0.38268343236508978</v>
      </c>
      <c r="AC31" s="636">
        <f>IF(M31="","",SQRT(Z31^2+AA31^2+AB31^2))</f>
        <v>1</v>
      </c>
      <c r="AD31" s="637">
        <f>IF(M31="","",Z31*(1/SQRT(Z31^2+AA31^2+AB31^2)))</f>
        <v>-0.70773311121916405</v>
      </c>
      <c r="AE31" s="629">
        <f>IF(M31="","",AA31*(1/SQRT(Z31^2+AA31^2+AB31^2)))</f>
        <v>-0.59385792398293058</v>
      </c>
      <c r="AF31" s="633">
        <f>IF(M31="","",AB31*(1/SQRT(Z31^2+AA31^2+AB31^2)))</f>
        <v>-0.38268343236508978</v>
      </c>
      <c r="AG31" s="602">
        <f>IF(M31="","",DEGREES(ATAN2(-AF31,AE31)))</f>
        <v>-57.202173506554189</v>
      </c>
      <c r="AH31" s="603">
        <f>IF(M31="","",DEGREES(ACOS(AD31)))</f>
        <v>135.05077306639208</v>
      </c>
      <c r="AI31" s="585">
        <f>IF(M31="","",DEGREES(-ACOS(-AF31)))</f>
        <v>-67.5</v>
      </c>
      <c r="AJ31" s="586">
        <f>IF(M31="","",DEGREES(ATAN2(-AE31,AD31)))</f>
        <v>-50.000031764065419</v>
      </c>
      <c r="AK31" s="635">
        <f>IF(M31="","",(COS(RADIANS((90-$Q$8)-W31))*AD31)+(-SIN(RADIANS((90-$Q$8)-W31))*AE31))</f>
        <v>0.92387953251128674</v>
      </c>
      <c r="AL31" s="629">
        <f>IF(M31="","",(SIN(RADIANS((90-$Q$8)-W31))*AD31)+(COS(RADIANS((90-$Q$8)-W31))*AE31))</f>
        <v>0</v>
      </c>
      <c r="AM31" s="634">
        <f>IF(M31="","",AF31)</f>
        <v>-0.38268343236508978</v>
      </c>
      <c r="AN31" s="581">
        <f>IF(M31="","",DEGREES(ATAN2(-AM31,AL31)))</f>
        <v>0</v>
      </c>
      <c r="AO31" s="582">
        <f t="shared" si="94"/>
        <v>22.5</v>
      </c>
      <c r="AP31" s="585">
        <f>IF(M31="","",DEGREES(ATAN2(AK31,AL31)))</f>
        <v>0</v>
      </c>
      <c r="AQ31" s="586">
        <f t="shared" si="9"/>
        <v>4.3563566080140221</v>
      </c>
      <c r="AS31" s="52">
        <f t="shared" si="116"/>
        <v>-140.0000317640654</v>
      </c>
      <c r="AT31" s="72">
        <f t="shared" si="10"/>
        <v>-0.17887858421709776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3.1019999999999999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0.77243968989375533</v>
      </c>
      <c r="C32" s="708">
        <v>-0.92055881193123068</v>
      </c>
      <c r="D32" s="709">
        <v>-0.18670055886648554</v>
      </c>
      <c r="E32" s="710">
        <v>0.73994246339904057</v>
      </c>
      <c r="F32" s="708">
        <v>0.62088474908855051</v>
      </c>
      <c r="G32" s="711">
        <v>0.25881900859134593</v>
      </c>
      <c r="H32" s="710">
        <v>0.26600000000000001</v>
      </c>
      <c r="I32" s="708">
        <v>0.52</v>
      </c>
      <c r="J32" s="570">
        <v>3.105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3.105</v>
      </c>
      <c r="N32" s="632">
        <f t="shared" si="2"/>
        <v>0.77243968989375533</v>
      </c>
      <c r="O32" s="629">
        <f t="shared" si="3"/>
        <v>-0.92055881193123068</v>
      </c>
      <c r="P32" s="633">
        <f t="shared" si="4"/>
        <v>-0.18670055886648554</v>
      </c>
      <c r="Q32" s="585">
        <f t="shared" si="113"/>
        <v>309.9999682359346</v>
      </c>
      <c r="R32" s="629">
        <f t="shared" si="79"/>
        <v>1.2017036243381309</v>
      </c>
      <c r="S32" s="634">
        <f t="shared" si="80"/>
        <v>-0.18670055886648554</v>
      </c>
      <c r="T32" s="635">
        <f t="shared" si="81"/>
        <v>-0.92055881193123068</v>
      </c>
      <c r="U32" s="629">
        <f t="shared" si="82"/>
        <v>-0.77243968989375522</v>
      </c>
      <c r="V32" s="636">
        <f t="shared" si="114"/>
        <v>-0.18670055886648554</v>
      </c>
      <c r="W32" s="585">
        <f t="shared" si="224"/>
        <v>219.9999682359346</v>
      </c>
      <c r="X32" s="629">
        <f t="shared" si="83"/>
        <v>1.2017036243381309</v>
      </c>
      <c r="Y32" s="630">
        <f t="shared" si="223"/>
        <v>-0.18670055886648554</v>
      </c>
      <c r="Z32" s="632">
        <f t="shared" si="6"/>
        <v>-0.73994246339904057</v>
      </c>
      <c r="AA32" s="629">
        <f t="shared" si="7"/>
        <v>-0.62088474908855051</v>
      </c>
      <c r="AB32" s="629">
        <f t="shared" si="8"/>
        <v>-0.25881900859134593</v>
      </c>
      <c r="AC32" s="636">
        <f t="shared" si="84"/>
        <v>1</v>
      </c>
      <c r="AD32" s="637">
        <f t="shared" si="115"/>
        <v>-0.73994246339904057</v>
      </c>
      <c r="AE32" s="629">
        <f t="shared" si="85"/>
        <v>-0.62088474908855051</v>
      </c>
      <c r="AF32" s="633">
        <f t="shared" si="86"/>
        <v>-0.25881900859134593</v>
      </c>
      <c r="AG32" s="602">
        <f t="shared" si="87"/>
        <v>-67.370933632235264</v>
      </c>
      <c r="AH32" s="603">
        <f t="shared" si="88"/>
        <v>137.72651456592416</v>
      </c>
      <c r="AI32" s="585">
        <f t="shared" si="89"/>
        <v>-75.000002165731729</v>
      </c>
      <c r="AJ32" s="586">
        <f t="shared" si="90"/>
        <v>-50.000031764065412</v>
      </c>
      <c r="AK32" s="635">
        <f t="shared" si="211"/>
        <v>0.96592583607220739</v>
      </c>
      <c r="AL32" s="629">
        <f t="shared" si="91"/>
        <v>5.5511151231257827E-17</v>
      </c>
      <c r="AM32" s="634">
        <f t="shared" si="92"/>
        <v>-0.25881900859134593</v>
      </c>
      <c r="AN32" s="581">
        <f t="shared" si="93"/>
        <v>1.2288721368550456E-14</v>
      </c>
      <c r="AO32" s="582">
        <f t="shared" si="94"/>
        <v>14.999997834268255</v>
      </c>
      <c r="AP32" s="585">
        <f t="shared" si="95"/>
        <v>3.292752468861135E-15</v>
      </c>
      <c r="AQ32" s="586">
        <f t="shared" si="9"/>
        <v>1.8963861410419625</v>
      </c>
      <c r="AS32" s="52">
        <f t="shared" si="116"/>
        <v>-140.0000317640654</v>
      </c>
      <c r="AT32" s="72">
        <f t="shared" si="10"/>
        <v>-8.9478314585884566E-2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3.105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1.2091506205035725</v>
      </c>
      <c r="C33" s="708">
        <v>-1.4410112183771642</v>
      </c>
      <c r="D33" s="709">
        <v>-9.7300289235272369E-2</v>
      </c>
      <c r="E33" s="710">
        <v>0.73994246339904057</v>
      </c>
      <c r="F33" s="708">
        <v>0.62088474908855062</v>
      </c>
      <c r="G33" s="711">
        <v>0.25881900859134593</v>
      </c>
      <c r="H33" s="710">
        <v>0.26600000000000001</v>
      </c>
      <c r="I33" s="708">
        <v>0.52</v>
      </c>
      <c r="J33" s="570">
        <v>3.1080000000000001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3.1080000000000001</v>
      </c>
      <c r="N33" s="632">
        <f t="shared" si="2"/>
        <v>1.2091506205035725</v>
      </c>
      <c r="O33" s="629">
        <f t="shared" si="3"/>
        <v>-1.4410112183771642</v>
      </c>
      <c r="P33" s="633">
        <f t="shared" si="4"/>
        <v>-9.7300289235272369E-2</v>
      </c>
      <c r="Q33" s="585">
        <f t="shared" si="113"/>
        <v>309.9999682359346</v>
      </c>
      <c r="R33" s="629">
        <f t="shared" si="79"/>
        <v>1.8811056734147109</v>
      </c>
      <c r="S33" s="634">
        <f t="shared" si="80"/>
        <v>-9.7300289235272369E-2</v>
      </c>
      <c r="T33" s="635">
        <f t="shared" si="81"/>
        <v>-1.4410112183771639</v>
      </c>
      <c r="U33" s="629">
        <f t="shared" si="82"/>
        <v>-1.2091506205035725</v>
      </c>
      <c r="V33" s="636">
        <f t="shared" si="114"/>
        <v>-9.7300289235272369E-2</v>
      </c>
      <c r="W33" s="585">
        <f t="shared" si="224"/>
        <v>219.9999682359346</v>
      </c>
      <c r="X33" s="629">
        <f t="shared" si="83"/>
        <v>1.8811056734147109</v>
      </c>
      <c r="Y33" s="630">
        <f t="shared" si="223"/>
        <v>-9.7300289235272369E-2</v>
      </c>
      <c r="Z33" s="632">
        <f t="shared" si="6"/>
        <v>-0.73994246339904057</v>
      </c>
      <c r="AA33" s="629">
        <f t="shared" si="7"/>
        <v>-0.62088474908855062</v>
      </c>
      <c r="AB33" s="629">
        <f t="shared" si="8"/>
        <v>-0.25881900859134593</v>
      </c>
      <c r="AC33" s="636">
        <f t="shared" si="84"/>
        <v>1</v>
      </c>
      <c r="AD33" s="637">
        <f t="shared" si="115"/>
        <v>-0.73994246339904057</v>
      </c>
      <c r="AE33" s="629">
        <f t="shared" si="85"/>
        <v>-0.62088474908855062</v>
      </c>
      <c r="AF33" s="633">
        <f t="shared" si="86"/>
        <v>-0.25881900859134593</v>
      </c>
      <c r="AG33" s="602">
        <f t="shared" si="87"/>
        <v>-67.370933632235264</v>
      </c>
      <c r="AH33" s="603">
        <f t="shared" si="88"/>
        <v>137.72651456592416</v>
      </c>
      <c r="AI33" s="585">
        <f t="shared" si="89"/>
        <v>-75.000002165731729</v>
      </c>
      <c r="AJ33" s="586">
        <f t="shared" si="90"/>
        <v>-50.000031764065405</v>
      </c>
      <c r="AK33" s="635">
        <f t="shared" si="211"/>
        <v>0.96592583607220739</v>
      </c>
      <c r="AL33" s="629">
        <f t="shared" si="91"/>
        <v>1.1102230246251565E-16</v>
      </c>
      <c r="AM33" s="634">
        <f t="shared" si="92"/>
        <v>-0.25881900859134593</v>
      </c>
      <c r="AN33" s="581">
        <f t="shared" si="93"/>
        <v>2.4577442737100912E-14</v>
      </c>
      <c r="AO33" s="582">
        <f t="shared" si="94"/>
        <v>14.999997834268255</v>
      </c>
      <c r="AP33" s="585">
        <f t="shared" si="95"/>
        <v>6.58550493772227E-15</v>
      </c>
      <c r="AQ33" s="586">
        <f t="shared" si="9"/>
        <v>1.211727110179295</v>
      </c>
      <c r="AS33" s="52">
        <f t="shared" si="116"/>
        <v>-140.0000317640654</v>
      </c>
      <c r="AT33" s="72">
        <f t="shared" si="10"/>
        <v>-7.8044954671396827E-5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3.1080000000000001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1.7045304895349485</v>
      </c>
      <c r="C34" s="708">
        <v>-2.0487500248385331</v>
      </c>
      <c r="D34" s="709">
        <v>-7.220021353344408E-2</v>
      </c>
      <c r="E34" s="710">
        <v>0.78369806074624415</v>
      </c>
      <c r="F34" s="708">
        <v>0.56746714220781558</v>
      </c>
      <c r="G34" s="711">
        <v>0.25258343591192012</v>
      </c>
      <c r="H34" s="710">
        <v>0.26600000000000001</v>
      </c>
      <c r="I34" s="708">
        <v>0.52</v>
      </c>
      <c r="J34" s="570">
        <v>3.113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3.113</v>
      </c>
      <c r="N34" s="632">
        <f t="shared" si="2"/>
        <v>1.7045304895349485</v>
      </c>
      <c r="O34" s="629">
        <f t="shared" si="3"/>
        <v>-2.0487500248385331</v>
      </c>
      <c r="P34" s="633">
        <f t="shared" si="4"/>
        <v>-7.220021353344408E-2</v>
      </c>
      <c r="Q34" s="585">
        <f t="shared" si="113"/>
        <v>309.75996827058628</v>
      </c>
      <c r="R34" s="629">
        <f>IF(M34="","",SQRT(N34^2+O34^2))</f>
        <v>2.6651080379658421</v>
      </c>
      <c r="S34" s="634">
        <f>IF(M34="","",P34)</f>
        <v>-7.220021353344408E-2</v>
      </c>
      <c r="T34" s="635">
        <f>IF(M34="","",X34*COS(RADIANS(W34)))</f>
        <v>-2.0487500248385331</v>
      </c>
      <c r="U34" s="629">
        <f>IF(M34="","",X34*SIN(RADIANS(W34)))</f>
        <v>-1.7045304895349482</v>
      </c>
      <c r="V34" s="636">
        <f>IF(M34="","",Y34)</f>
        <v>-7.220021353344408E-2</v>
      </c>
      <c r="W34" s="585">
        <f t="shared" si="224"/>
        <v>219.75996827058628</v>
      </c>
      <c r="X34" s="629">
        <f>IF(M34="","",R34)</f>
        <v>2.6651080379658421</v>
      </c>
      <c r="Y34" s="630">
        <f t="shared" si="223"/>
        <v>-7.220021353344408E-2</v>
      </c>
      <c r="Z34" s="632">
        <f t="shared" si="6"/>
        <v>-0.78369806074624415</v>
      </c>
      <c r="AA34" s="629">
        <f t="shared" si="7"/>
        <v>-0.56746714220781558</v>
      </c>
      <c r="AB34" s="629">
        <f t="shared" si="8"/>
        <v>-0.25258343591192012</v>
      </c>
      <c r="AC34" s="636">
        <f>IF(M34="","",SQRT(Z34^2+AA34^2+AB34^2))</f>
        <v>1</v>
      </c>
      <c r="AD34" s="637">
        <f>IF(M34="","",Z34*(1/SQRT(Z34^2+AA34^2+AB34^2)))</f>
        <v>-0.78369806074624415</v>
      </c>
      <c r="AE34" s="629">
        <f>IF(M34="","",AA34*(1/SQRT(Z34^2+AA34^2+AB34^2)))</f>
        <v>-0.56746714220781558</v>
      </c>
      <c r="AF34" s="633">
        <f>IF(M34="","",AB34*(1/SQRT(Z34^2+AA34^2+AB34^2)))</f>
        <v>-0.25258343591192012</v>
      </c>
      <c r="AG34" s="602">
        <f>IF(M34="","",DEGREES(ATAN2(-AF34,AE34)))</f>
        <v>-66.005832495583306</v>
      </c>
      <c r="AH34" s="603">
        <f>IF(M34="","",DEGREES(ACOS(AD34)))</f>
        <v>141.60042462969687</v>
      </c>
      <c r="AI34" s="585">
        <f>IF(M34="","",DEGREES(-ACOS(-AF34)))</f>
        <v>-75.369560565075147</v>
      </c>
      <c r="AJ34" s="586">
        <f>IF(M34="","",DEGREES(ATAN2(-AE34,AD34)))</f>
        <v>-54.092116243548482</v>
      </c>
      <c r="AK34" s="635">
        <f>IF(M34="","",(COS(RADIANS((90-$Q$8)-W34))*AD34)+(-SIN(RADIANS((90-$Q$8)-W34))*AE34))</f>
        <v>0.96538918140294905</v>
      </c>
      <c r="AL34" s="629">
        <f>IF(M34="","",(SIN(RADIANS((90-$Q$8)-W34))*AD34)+(COS(RADIANS((90-$Q$8)-W34))*AE34))</f>
        <v>-6.5002587125997768E-2</v>
      </c>
      <c r="AM34" s="634">
        <f>IF(M34="","",AF34)</f>
        <v>-0.25258343591192012</v>
      </c>
      <c r="AN34" s="581">
        <f>IF(M34="","",DEGREES(ATAN2(-AM34,AL34)))</f>
        <v>-14.431955923895634</v>
      </c>
      <c r="AO34" s="582">
        <f t="shared" si="94"/>
        <v>15.11834312973232</v>
      </c>
      <c r="AP34" s="585">
        <f>IF(M34="","",DEGREES(ATAN2(AK34,AL34)))</f>
        <v>-3.8520845141347735</v>
      </c>
      <c r="AQ34" s="586">
        <f t="shared" si="9"/>
        <v>0.85533390992579583</v>
      </c>
      <c r="AS34" s="52">
        <f t="shared" si="116"/>
        <v>-140.24003172941372</v>
      </c>
      <c r="AT34" s="72">
        <f t="shared" si="10"/>
        <v>2.5188697389759887E-2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2.0931880562498293</v>
      </c>
      <c r="C35" s="708">
        <v>-2.5610246997764672</v>
      </c>
      <c r="D35" s="709">
        <v>-0.33690101187105198</v>
      </c>
      <c r="E35" s="710">
        <v>0.85428242682642996</v>
      </c>
      <c r="F35" s="708">
        <v>0.44565349166865026</v>
      </c>
      <c r="G35" s="711">
        <v>0.26757148685741122</v>
      </c>
      <c r="H35" s="710">
        <v>0.26600000000000001</v>
      </c>
      <c r="I35" s="708">
        <v>0.52</v>
      </c>
      <c r="J35" s="570">
        <v>3.1179999999999999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3.1179999999999999</v>
      </c>
      <c r="N35" s="632">
        <f t="shared" si="2"/>
        <v>2.0931880562498293</v>
      </c>
      <c r="O35" s="629">
        <f t="shared" si="3"/>
        <v>-2.5610246997764672</v>
      </c>
      <c r="P35" s="633">
        <f t="shared" si="4"/>
        <v>-0.33690101187105198</v>
      </c>
      <c r="Q35" s="585">
        <f t="shared" si="113"/>
        <v>309.25996834277737</v>
      </c>
      <c r="R35" s="629">
        <f>IF(M35="","",SQRT(N35^2+O35^2))</f>
        <v>3.3076099757516881</v>
      </c>
      <c r="S35" s="634">
        <f>IF(M35="","",P35)</f>
        <v>-0.33690101187105198</v>
      </c>
      <c r="T35" s="635">
        <f>IF(M35="","",X35*COS(RADIANS(W35)))</f>
        <v>-2.5610246997764667</v>
      </c>
      <c r="U35" s="629">
        <f>IF(M35="","",X35*SIN(RADIANS(W35)))</f>
        <v>-2.0931880562498302</v>
      </c>
      <c r="V35" s="636">
        <f>IF(M35="","",Y35)</f>
        <v>-0.33690101187105198</v>
      </c>
      <c r="W35" s="585">
        <f t="shared" si="224"/>
        <v>219.25996834277737</v>
      </c>
      <c r="X35" s="629">
        <f>IF(M35="","",R35)</f>
        <v>3.3076099757516881</v>
      </c>
      <c r="Y35" s="630">
        <f t="shared" si="223"/>
        <v>-0.33690101187105198</v>
      </c>
      <c r="Z35" s="632">
        <f t="shared" si="6"/>
        <v>-0.85428242682642996</v>
      </c>
      <c r="AA35" s="629">
        <f t="shared" si="7"/>
        <v>-0.44565349166865026</v>
      </c>
      <c r="AB35" s="629">
        <f t="shared" si="8"/>
        <v>-0.26757148685741122</v>
      </c>
      <c r="AC35" s="636">
        <f>IF(M35="","",SQRT(Z35^2+AA35^2+AB35^2))</f>
        <v>1</v>
      </c>
      <c r="AD35" s="637">
        <f>IF(M35="","",Z35*(1/SQRT(Z35^2+AA35^2+AB35^2)))</f>
        <v>-0.85428242682642996</v>
      </c>
      <c r="AE35" s="629">
        <f>IF(M35="","",AA35*(1/SQRT(Z35^2+AA35^2+AB35^2)))</f>
        <v>-0.44565349166865026</v>
      </c>
      <c r="AF35" s="633">
        <f>IF(M35="","",AB35*(1/SQRT(Z35^2+AA35^2+AB35^2)))</f>
        <v>-0.26757148685741122</v>
      </c>
      <c r="AG35" s="602">
        <f>IF(M35="","",DEGREES(ATAN2(-AF35,AE35)))</f>
        <v>-59.019287913232638</v>
      </c>
      <c r="AH35" s="603">
        <f>IF(M35="","",DEGREES(ACOS(AD35)))</f>
        <v>148.68055058178979</v>
      </c>
      <c r="AI35" s="585">
        <f>IF(M35="","",DEGREES(-ACOS(-AF35)))</f>
        <v>-74.48019286646057</v>
      </c>
      <c r="AJ35" s="586">
        <f>IF(M35="","",DEGREES(ATAN2(-AE35,AD35)))</f>
        <v>-62.450303050780406</v>
      </c>
      <c r="AK35" s="635">
        <f>IF(M35="","",(COS(RADIANS((90-$Q$8)-W35))*AD35)+(-SIN(RADIANS((90-$Q$8)-W35))*AE35))</f>
        <v>0.94348335642720871</v>
      </c>
      <c r="AL35" s="629">
        <f>IF(M35="","",(SIN(RADIANS((90-$Q$8)-W35))*AD35)+(COS(RADIANS((90-$Q$8)-W35))*AE35))</f>
        <v>-0.19556240836562411</v>
      </c>
      <c r="AM35" s="634">
        <f>IF(M35="","",AF35)</f>
        <v>-0.26757148685741122</v>
      </c>
      <c r="AN35" s="581">
        <f>IF(M35="","",DEGREES(ATAN2(-AM35,AL35)))</f>
        <v>-36.162288961298081</v>
      </c>
      <c r="AO35" s="582">
        <f t="shared" si="94"/>
        <v>19.35498086619085</v>
      </c>
      <c r="AP35" s="585">
        <f>IF(M35="","",DEGREES(ATAN2(AK35,AL35)))</f>
        <v>-11.710271393557774</v>
      </c>
      <c r="AQ35" s="586">
        <f t="shared" si="9"/>
        <v>0.68920359218041538</v>
      </c>
      <c r="AS35" s="52">
        <f t="shared" si="116"/>
        <v>-140.74003165722263</v>
      </c>
      <c r="AT35" s="72">
        <f t="shared" si="10"/>
        <v>-0.23916487877575848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2.3700584339835058</v>
      </c>
      <c r="C36" s="708">
        <v>-2.9488152864346966</v>
      </c>
      <c r="D36" s="709">
        <v>-0.84350253978126022</v>
      </c>
      <c r="E36" s="710">
        <v>0.92172898312958029</v>
      </c>
      <c r="F36" s="708">
        <v>0.30559720286619246</v>
      </c>
      <c r="G36" s="711">
        <v>0.23880123797683553</v>
      </c>
      <c r="H36" s="710">
        <v>0.26600000000000001</v>
      </c>
      <c r="I36" s="708">
        <v>0.52</v>
      </c>
      <c r="J36" s="570">
        <v>3.1230000000000002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3.1230000000000002</v>
      </c>
      <c r="N36" s="632">
        <f t="shared" si="2"/>
        <v>2.3700584339835058</v>
      </c>
      <c r="O36" s="629">
        <f t="shared" si="3"/>
        <v>-2.9488152864346966</v>
      </c>
      <c r="P36" s="633">
        <f t="shared" si="4"/>
        <v>-0.84350253978126022</v>
      </c>
      <c r="Q36" s="585">
        <f t="shared" si="113"/>
        <v>308.78996841063696</v>
      </c>
      <c r="R36" s="629">
        <f>IF(M36="","",SQRT(N36^2+O36^2))</f>
        <v>3.7832114101656136</v>
      </c>
      <c r="S36" s="634">
        <f>IF(M36="","",P36)</f>
        <v>-0.84350253978126022</v>
      </c>
      <c r="T36" s="635">
        <f>IF(M36="","",X36*COS(RADIANS(W36)))</f>
        <v>-2.9488152864346961</v>
      </c>
      <c r="U36" s="629">
        <f>IF(M36="","",X36*SIN(RADIANS(W36)))</f>
        <v>-2.3700584339835067</v>
      </c>
      <c r="V36" s="636">
        <f>IF(M36="","",Y36)</f>
        <v>-0.84350253978126022</v>
      </c>
      <c r="W36" s="585">
        <f t="shared" si="224"/>
        <v>218.78996841063696</v>
      </c>
      <c r="X36" s="629">
        <f>IF(M36="","",R36)</f>
        <v>3.7832114101656136</v>
      </c>
      <c r="Y36" s="630">
        <f t="shared" si="223"/>
        <v>-0.84350253978126022</v>
      </c>
      <c r="Z36" s="632">
        <f t="shared" si="6"/>
        <v>-0.92172898312958029</v>
      </c>
      <c r="AA36" s="629">
        <f t="shared" si="7"/>
        <v>-0.30559720286619246</v>
      </c>
      <c r="AB36" s="629">
        <f t="shared" si="8"/>
        <v>-0.23880123797683553</v>
      </c>
      <c r="AC36" s="636">
        <f>IF(M36="","",SQRT(Z36^2+AA36^2+AB36^2))</f>
        <v>1</v>
      </c>
      <c r="AD36" s="637">
        <f>IF(M36="","",Z36*(1/SQRT(Z36^2+AA36^2+AB36^2)))</f>
        <v>-0.92172898312958029</v>
      </c>
      <c r="AE36" s="629">
        <f>IF(M36="","",AA36*(1/SQRT(Z36^2+AA36^2+AB36^2)))</f>
        <v>-0.30559720286619246</v>
      </c>
      <c r="AF36" s="633">
        <f>IF(M36="","",AB36*(1/SQRT(Z36^2+AA36^2+AB36^2)))</f>
        <v>-0.23880123797683553</v>
      </c>
      <c r="AG36" s="602">
        <f>IF(M36="","",DEGREES(ATAN2(-AF36,AE36)))</f>
        <v>-51.995048194149092</v>
      </c>
      <c r="AH36" s="603">
        <f>IF(M36="","",DEGREES(ACOS(AD36)))</f>
        <v>157.18017080169091</v>
      </c>
      <c r="AI36" s="585">
        <f>IF(M36="","",DEGREES(-ACOS(-AF36)))</f>
        <v>-76.184200736427869</v>
      </c>
      <c r="AJ36" s="586">
        <f>IF(M36="","",DEGREES(ATAN2(-AE36,AD36)))</f>
        <v>-71.657174382324598</v>
      </c>
      <c r="AK36" s="635">
        <f>IF(M36="","",(COS(RADIANS((90-$Q$8)-W36))*AD36)+(-SIN(RADIANS((90-$Q$8)-W36))*AE36))</f>
        <v>0.9098861708356164</v>
      </c>
      <c r="AL36" s="629">
        <f>IF(M36="","",(SIN(RADIANS((90-$Q$8)-W36))*AD36)+(COS(RADIANS((90-$Q$8)-W36))*AE36))</f>
        <v>-0.33923609015379019</v>
      </c>
      <c r="AM36" s="634">
        <f>IF(M36="","",AF36)</f>
        <v>-0.23880123797683553</v>
      </c>
      <c r="AN36" s="581">
        <f>IF(M36="","",DEGREES(ATAN2(-AM36,AL36)))</f>
        <v>-54.856822605621304</v>
      </c>
      <c r="AO36" s="582">
        <f t="shared" si="94"/>
        <v>24.510374079812362</v>
      </c>
      <c r="AP36" s="585">
        <f>IF(M36="","",DEGREES(ATAN2(AK36,AL36)))</f>
        <v>-20.447142792961554</v>
      </c>
      <c r="AQ36" s="586">
        <f t="shared" si="9"/>
        <v>0.60256811897452944</v>
      </c>
      <c r="AS36" s="52">
        <f t="shared" si="116"/>
        <v>-141.21003158936304</v>
      </c>
      <c r="AT36" s="72">
        <f t="shared" si="10"/>
        <v>-0.74544001784420255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3.1230000000000002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2.507370501044647</v>
      </c>
      <c r="C37" s="708">
        <v>-3.1465601425193053</v>
      </c>
      <c r="D37" s="709">
        <v>-1.5015045243152458</v>
      </c>
      <c r="E37" s="710">
        <v>0.97231583430183655</v>
      </c>
      <c r="F37" s="708">
        <v>0.1761470993151823</v>
      </c>
      <c r="G37" s="711">
        <v>0.1535386523608018</v>
      </c>
      <c r="H37" s="710">
        <v>0.26600000000000001</v>
      </c>
      <c r="I37" s="708">
        <v>0.52</v>
      </c>
      <c r="J37" s="570">
        <v>3.1280000000000001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3.1280000000000001</v>
      </c>
      <c r="N37" s="632">
        <f t="shared" si="2"/>
        <v>2.507370501044647</v>
      </c>
      <c r="O37" s="629">
        <f t="shared" si="3"/>
        <v>-3.1465601425193053</v>
      </c>
      <c r="P37" s="633">
        <f t="shared" si="4"/>
        <v>-1.5015045243152458</v>
      </c>
      <c r="Q37" s="585">
        <f t="shared" si="113"/>
        <v>308.54996844528864</v>
      </c>
      <c r="R37" s="629">
        <f t="shared" si="79"/>
        <v>4.0233999999999996</v>
      </c>
      <c r="S37" s="634">
        <f t="shared" si="80"/>
        <v>-1.5015045243152458</v>
      </c>
      <c r="T37" s="635">
        <f t="shared" si="81"/>
        <v>-3.1465601425193057</v>
      </c>
      <c r="U37" s="629">
        <f t="shared" si="82"/>
        <v>-2.507370501044647</v>
      </c>
      <c r="V37" s="636">
        <f t="shared" si="114"/>
        <v>-1.5015045243152458</v>
      </c>
      <c r="W37" s="585">
        <f t="shared" si="224"/>
        <v>218.54996844528864</v>
      </c>
      <c r="X37" s="629">
        <f t="shared" si="83"/>
        <v>4.0233999999999996</v>
      </c>
      <c r="Y37" s="630">
        <f t="shared" si="223"/>
        <v>-1.5015045243152458</v>
      </c>
      <c r="Z37" s="632">
        <f t="shared" si="6"/>
        <v>-0.97231583430183655</v>
      </c>
      <c r="AA37" s="629">
        <f t="shared" si="7"/>
        <v>-0.1761470993151823</v>
      </c>
      <c r="AB37" s="629">
        <f t="shared" si="8"/>
        <v>-0.1535386523608018</v>
      </c>
      <c r="AC37" s="636">
        <f t="shared" si="84"/>
        <v>1</v>
      </c>
      <c r="AD37" s="637">
        <f t="shared" si="115"/>
        <v>-0.97231583430183655</v>
      </c>
      <c r="AE37" s="629">
        <f t="shared" si="85"/>
        <v>-0.1761470993151823</v>
      </c>
      <c r="AF37" s="633">
        <f t="shared" si="86"/>
        <v>-0.1535386523608018</v>
      </c>
      <c r="AG37" s="602">
        <f t="shared" si="87"/>
        <v>-48.922959204816614</v>
      </c>
      <c r="AH37" s="603">
        <f t="shared" si="88"/>
        <v>166.486731751055</v>
      </c>
      <c r="AI37" s="585">
        <f t="shared" si="89"/>
        <v>-81.167947286381718</v>
      </c>
      <c r="AJ37" s="586">
        <f t="shared" si="90"/>
        <v>-79.73152723534011</v>
      </c>
      <c r="AK37" s="635">
        <f t="shared" si="211"/>
        <v>0.87018847015510137</v>
      </c>
      <c r="AL37" s="629">
        <f t="shared" si="91"/>
        <v>-0.46818576296204639</v>
      </c>
      <c r="AM37" s="634">
        <f t="shared" si="92"/>
        <v>-0.1535386523608018</v>
      </c>
      <c r="AN37" s="581">
        <f t="shared" si="93"/>
        <v>-71.843413057592727</v>
      </c>
      <c r="AO37" s="582">
        <f t="shared" si="94"/>
        <v>29.519451664881764</v>
      </c>
      <c r="AP37" s="585">
        <f t="shared" si="95"/>
        <v>-28.281495680628748</v>
      </c>
      <c r="AQ37" s="586">
        <f t="shared" si="9"/>
        <v>0.56659847842128663</v>
      </c>
      <c r="AS37" s="52">
        <f t="shared" si="116"/>
        <v>-141.45003155471136</v>
      </c>
      <c r="AT37" s="72">
        <f t="shared" si="10"/>
        <v>-1.4032753357355852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3.1280000000000001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2.5124563035595315</v>
      </c>
      <c r="C38" s="708">
        <v>-3.1563319110256072</v>
      </c>
      <c r="D38" s="709">
        <v>-2.6412079616608128</v>
      </c>
      <c r="E38" s="710">
        <v>0.98161730947975634</v>
      </c>
      <c r="F38" s="708">
        <v>0.15014210890282698</v>
      </c>
      <c r="G38" s="711">
        <v>0.11783380187338421</v>
      </c>
      <c r="H38" s="710">
        <v>0.26600000000000001</v>
      </c>
      <c r="I38" s="708">
        <v>0.52</v>
      </c>
      <c r="J38" s="570">
        <v>3.1320000000000001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3.1320000000000001</v>
      </c>
      <c r="N38" s="632">
        <f t="shared" si="2"/>
        <v>2.5124563035595315</v>
      </c>
      <c r="O38" s="629">
        <f t="shared" si="3"/>
        <v>-3.1563319110256072</v>
      </c>
      <c r="P38" s="633">
        <f t="shared" si="4"/>
        <v>-2.6412079616608128</v>
      </c>
      <c r="Q38" s="585">
        <f t="shared" si="113"/>
        <v>308.51996844962014</v>
      </c>
      <c r="R38" s="629">
        <f t="shared" si="79"/>
        <v>4.0342121671838962</v>
      </c>
      <c r="S38" s="634">
        <f t="shared" si="80"/>
        <v>-2.6412079616608128</v>
      </c>
      <c r="T38" s="635">
        <f t="shared" si="81"/>
        <v>-3.1563319110256063</v>
      </c>
      <c r="U38" s="629">
        <f t="shared" si="82"/>
        <v>-2.5124563035595324</v>
      </c>
      <c r="V38" s="636">
        <f t="shared" si="114"/>
        <v>-2.6412079616608128</v>
      </c>
      <c r="W38" s="585">
        <f t="shared" si="224"/>
        <v>218.51996844962014</v>
      </c>
      <c r="X38" s="629">
        <f t="shared" si="83"/>
        <v>4.0342121671838962</v>
      </c>
      <c r="Y38" s="630">
        <f t="shared" si="223"/>
        <v>-2.6412079616608128</v>
      </c>
      <c r="Z38" s="632">
        <f t="shared" si="6"/>
        <v>-0.98161730947975634</v>
      </c>
      <c r="AA38" s="629">
        <f t="shared" si="7"/>
        <v>-0.15014210890282698</v>
      </c>
      <c r="AB38" s="629">
        <f t="shared" si="8"/>
        <v>-0.11783380187338421</v>
      </c>
      <c r="AC38" s="636">
        <f t="shared" si="84"/>
        <v>1</v>
      </c>
      <c r="AD38" s="637">
        <f t="shared" si="115"/>
        <v>-0.98161730947975634</v>
      </c>
      <c r="AE38" s="629">
        <f t="shared" si="85"/>
        <v>-0.15014210890282698</v>
      </c>
      <c r="AF38" s="633">
        <f t="shared" si="86"/>
        <v>-0.11783380187338421</v>
      </c>
      <c r="AG38" s="602">
        <f t="shared" si="87"/>
        <v>-51.874639878008793</v>
      </c>
      <c r="AH38" s="603">
        <f t="shared" si="88"/>
        <v>168.99703545735815</v>
      </c>
      <c r="AI38" s="585">
        <f t="shared" si="89"/>
        <v>-83.232898437509562</v>
      </c>
      <c r="AJ38" s="586">
        <f t="shared" si="90"/>
        <v>-81.303789737491584</v>
      </c>
      <c r="AK38" s="635">
        <f t="shared" si="211"/>
        <v>0.86151530515431451</v>
      </c>
      <c r="AL38" s="629">
        <f t="shared" si="91"/>
        <v>-0.49386898477322139</v>
      </c>
      <c r="AM38" s="634">
        <f t="shared" si="92"/>
        <v>-0.11783380187338421</v>
      </c>
      <c r="AN38" s="581">
        <f t="shared" si="93"/>
        <v>-76.580502560221134</v>
      </c>
      <c r="AO38" s="582">
        <f t="shared" si="94"/>
        <v>30.512850626206976</v>
      </c>
      <c r="AP38" s="585">
        <f t="shared" si="95"/>
        <v>-29.823758187111729</v>
      </c>
      <c r="AQ38" s="586">
        <f t="shared" si="9"/>
        <v>0.56508002588631845</v>
      </c>
      <c r="AS38" s="52">
        <f t="shared" si="116"/>
        <v>-141.48003155037986</v>
      </c>
      <c r="AT38" s="72">
        <f t="shared" si="10"/>
        <v>-2.5429579397508268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3.1320000000000001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0.96931027784578649</v>
      </c>
      <c r="C39" s="708">
        <v>-2.3329525869200518</v>
      </c>
      <c r="D39" s="709">
        <v>-9.3400156832473047E-2</v>
      </c>
      <c r="E39" s="710">
        <v>0.90794266396572409</v>
      </c>
      <c r="F39" s="708">
        <v>0.33136058696264953</v>
      </c>
      <c r="G39" s="711">
        <v>0.25659360934869924</v>
      </c>
      <c r="H39" s="710">
        <v>0.26600000000000001</v>
      </c>
      <c r="I39" s="708">
        <v>0.52</v>
      </c>
      <c r="J39" s="570">
        <v>3.2120000000000002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3.2120000000000002</v>
      </c>
      <c r="N39" s="632">
        <f t="shared" si="2"/>
        <v>0.96931027784578649</v>
      </c>
      <c r="O39" s="629">
        <f t="shared" si="3"/>
        <v>-2.3329525869200518</v>
      </c>
      <c r="P39" s="633">
        <f t="shared" si="4"/>
        <v>-9.3400156832473047E-2</v>
      </c>
      <c r="Q39" s="585">
        <f t="shared" si="113"/>
        <v>292.56222442564172</v>
      </c>
      <c r="R39" s="629">
        <f t="shared" si="79"/>
        <v>2.5263076193437799</v>
      </c>
      <c r="S39" s="634">
        <f t="shared" si="80"/>
        <v>-9.3400156832473047E-2</v>
      </c>
      <c r="T39" s="635">
        <f t="shared" si="81"/>
        <v>-2.3329525869200523</v>
      </c>
      <c r="U39" s="629">
        <f t="shared" si="82"/>
        <v>-0.96931027784578472</v>
      </c>
      <c r="V39" s="636">
        <f t="shared" si="114"/>
        <v>-9.3400156832473047E-2</v>
      </c>
      <c r="W39" s="585">
        <f t="shared" si="224"/>
        <v>202.56222442564172</v>
      </c>
      <c r="X39" s="629">
        <f t="shared" si="83"/>
        <v>2.5263076193437799</v>
      </c>
      <c r="Y39" s="630">
        <f t="shared" si="223"/>
        <v>-9.3400156832473047E-2</v>
      </c>
      <c r="Z39" s="632">
        <f t="shared" si="6"/>
        <v>-0.90794266396572409</v>
      </c>
      <c r="AA39" s="629">
        <f t="shared" si="7"/>
        <v>-0.33136058696264953</v>
      </c>
      <c r="AB39" s="629">
        <f t="shared" si="8"/>
        <v>-0.25659360934869924</v>
      </c>
      <c r="AC39" s="636">
        <f t="shared" si="84"/>
        <v>1</v>
      </c>
      <c r="AD39" s="637">
        <f t="shared" si="115"/>
        <v>-0.90794266396572409</v>
      </c>
      <c r="AE39" s="629">
        <f t="shared" si="85"/>
        <v>-0.33136058696264953</v>
      </c>
      <c r="AF39" s="633">
        <f t="shared" si="86"/>
        <v>-0.25659360934869924</v>
      </c>
      <c r="AG39" s="602">
        <f t="shared" si="87"/>
        <v>-52.247099717480786</v>
      </c>
      <c r="AH39" s="603">
        <f t="shared" si="88"/>
        <v>155.2225734128634</v>
      </c>
      <c r="AI39" s="585">
        <f t="shared" si="89"/>
        <v>-75.131965469680495</v>
      </c>
      <c r="AJ39" s="586">
        <f t="shared" si="90"/>
        <v>-69.950060990359319</v>
      </c>
      <c r="AK39" s="635">
        <f t="shared" si="211"/>
        <v>0.96559040973936006</v>
      </c>
      <c r="AL39" s="629">
        <f t="shared" si="91"/>
        <v>-4.2366027200835987E-2</v>
      </c>
      <c r="AM39" s="634">
        <f t="shared" si="92"/>
        <v>-0.25659360934869924</v>
      </c>
      <c r="AN39" s="581">
        <f t="shared" si="93"/>
        <v>-9.3754892624188191</v>
      </c>
      <c r="AO39" s="582">
        <f t="shared" si="94"/>
        <v>15.074073788151567</v>
      </c>
      <c r="AP39" s="585">
        <f t="shared" si="95"/>
        <v>-2.5122854160010233</v>
      </c>
      <c r="AQ39" s="586">
        <f t="shared" si="9"/>
        <v>0.90232010679335417</v>
      </c>
      <c r="AS39" s="52">
        <f t="shared" si="116"/>
        <v>-157.43777557435828</v>
      </c>
      <c r="AT39" s="72">
        <f t="shared" si="10"/>
        <v>1.5931631760831316E-2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Nose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3.2120000000000002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2.1120000000000001</v>
      </c>
      <c r="II39" s="734" cm="1">
        <f t="array" ref="II39">IFERROR(ROUND(VALUE(IF($IH39&lt;1,$IH39+LARGE((IF($M$9:$M$150="",0,$M$9:$M$150)-MOD(IF($M$9:$M$150="",0,$M$9:$M$150),1)),1),$IH39)),4),"")</f>
        <v>2.1120000000000001</v>
      </c>
      <c r="IJ39" s="533">
        <f t="shared" si="112"/>
        <v>1313</v>
      </c>
      <c r="IK39" s="533">
        <f t="shared" si="66"/>
        <v>1313</v>
      </c>
      <c r="IL39" s="727">
        <f t="shared" si="225"/>
        <v>92.277733004735353</v>
      </c>
      <c r="IM39" s="759">
        <v>1.8216207550703498E-2</v>
      </c>
      <c r="IN39" s="5">
        <f t="shared" si="226"/>
        <v>0.16</v>
      </c>
      <c r="IO39" s="771">
        <v>80</v>
      </c>
      <c r="IP39" s="9">
        <f t="shared" si="227"/>
        <v>-2.5263076193437799</v>
      </c>
      <c r="IQ39" s="5">
        <f t="shared" si="228"/>
        <v>-5.2000156832473006E-2</v>
      </c>
      <c r="IR39" s="5">
        <f t="shared" si="71"/>
        <v>0.26600000000000001</v>
      </c>
      <c r="IS39" s="5">
        <f t="shared" si="229"/>
        <v>0.25684704899066979</v>
      </c>
      <c r="IT39" s="727">
        <f t="shared" si="230"/>
        <v>9.3754892624187978</v>
      </c>
      <c r="IU39" s="9">
        <f t="shared" si="231"/>
        <v>-2.5263076193437799</v>
      </c>
      <c r="IV39" s="5">
        <f t="shared" si="232"/>
        <v>-9.3400156832473047E-2</v>
      </c>
      <c r="IW39" s="5">
        <f t="shared" si="76"/>
        <v>0.26600000000000001</v>
      </c>
      <c r="IX39" s="5">
        <f t="shared" si="233"/>
        <v>0.25684704899066979</v>
      </c>
      <c r="IY39" s="762">
        <f t="shared" si="234"/>
        <v>9.3754892624188191</v>
      </c>
    </row>
    <row r="40" spans="1:267" ht="15" customHeight="1" x14ac:dyDescent="0.25">
      <c r="A40" s="79"/>
      <c r="B40" s="707">
        <v>1.2670573426435172</v>
      </c>
      <c r="C40" s="708">
        <v>-2.9265997075676453</v>
      </c>
      <c r="D40" s="709">
        <v>-0.3024007871783741</v>
      </c>
      <c r="E40" s="710">
        <v>0.93766993523257192</v>
      </c>
      <c r="F40" s="708">
        <v>0.22369733813631792</v>
      </c>
      <c r="G40" s="711">
        <v>0.2659597591209435</v>
      </c>
      <c r="H40" s="710">
        <v>0.26600000000000001</v>
      </c>
      <c r="I40" s="708">
        <v>0.52</v>
      </c>
      <c r="J40" s="570">
        <v>3.2170000000000001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3.2170000000000001</v>
      </c>
      <c r="N40" s="632">
        <f t="shared" si="2"/>
        <v>1.2670573426435172</v>
      </c>
      <c r="O40" s="629">
        <f t="shared" si="3"/>
        <v>-2.9265997075676453</v>
      </c>
      <c r="P40" s="633">
        <f t="shared" si="4"/>
        <v>-0.3024007871783741</v>
      </c>
      <c r="Q40" s="585">
        <f t="shared" si="113"/>
        <v>293.40996823593457</v>
      </c>
      <c r="R40" s="629">
        <f t="shared" si="79"/>
        <v>3.1891096183546086</v>
      </c>
      <c r="S40" s="634">
        <f t="shared" si="80"/>
        <v>-0.3024007871783741</v>
      </c>
      <c r="T40" s="635">
        <f t="shared" si="81"/>
        <v>-2.9265997075676453</v>
      </c>
      <c r="U40" s="629">
        <f t="shared" si="82"/>
        <v>-1.2670573426435168</v>
      </c>
      <c r="V40" s="636">
        <f t="shared" si="114"/>
        <v>-0.3024007871783741</v>
      </c>
      <c r="W40" s="585">
        <f t="shared" si="224"/>
        <v>203.40996823593457</v>
      </c>
      <c r="X40" s="629">
        <f t="shared" si="83"/>
        <v>3.1891096183546086</v>
      </c>
      <c r="Y40" s="630">
        <f t="shared" si="223"/>
        <v>-0.3024007871783741</v>
      </c>
      <c r="Z40" s="632">
        <f t="shared" si="6"/>
        <v>-0.93766993523257192</v>
      </c>
      <c r="AA40" s="629">
        <f t="shared" si="7"/>
        <v>-0.22369733813631792</v>
      </c>
      <c r="AB40" s="629">
        <f t="shared" si="8"/>
        <v>-0.2659597591209435</v>
      </c>
      <c r="AC40" s="636">
        <f t="shared" si="84"/>
        <v>1</v>
      </c>
      <c r="AD40" s="637">
        <f t="shared" si="115"/>
        <v>-0.93766993523257192</v>
      </c>
      <c r="AE40" s="629">
        <f t="shared" si="85"/>
        <v>-0.22369733813631792</v>
      </c>
      <c r="AF40" s="633">
        <f t="shared" si="86"/>
        <v>-0.2659597591209435</v>
      </c>
      <c r="AG40" s="602">
        <f t="shared" si="87"/>
        <v>-40.067012709434884</v>
      </c>
      <c r="AH40" s="603">
        <f t="shared" si="88"/>
        <v>159.66386346275155</v>
      </c>
      <c r="AI40" s="585">
        <f t="shared" si="89"/>
        <v>-74.576010365443366</v>
      </c>
      <c r="AJ40" s="586">
        <f t="shared" si="90"/>
        <v>-76.581911537344709</v>
      </c>
      <c r="AK40" s="635">
        <f t="shared" si="211"/>
        <v>0.94936276120358709</v>
      </c>
      <c r="AL40" s="629">
        <f t="shared" si="91"/>
        <v>-0.16725954133690135</v>
      </c>
      <c r="AM40" s="634">
        <f t="shared" si="92"/>
        <v>-0.2659597591209435</v>
      </c>
      <c r="AN40" s="581">
        <f t="shared" si="93"/>
        <v>-32.165393487432205</v>
      </c>
      <c r="AO40" s="582">
        <f t="shared" si="94"/>
        <v>18.311440729583978</v>
      </c>
      <c r="AP40" s="585">
        <f t="shared" si="95"/>
        <v>-9.9918797732792868</v>
      </c>
      <c r="AQ40" s="586">
        <f t="shared" si="9"/>
        <v>0.71481028475026387</v>
      </c>
      <c r="AS40" s="52">
        <f t="shared" si="116"/>
        <v>-156.59003176406543</v>
      </c>
      <c r="AT40" s="72">
        <f t="shared" si="10"/>
        <v>-0.19365770956443978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3.2170000000000001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2.117</v>
      </c>
      <c r="II40" s="734" cm="1">
        <f t="array" ref="II40">IFERROR(ROUND(VALUE(IF($IH40&lt;1,$IH40+LARGE((IF($M$9:$M$150="",0,$M$9:$M$150)-MOD(IF($M$9:$M$150="",0,$M$9:$M$150),1)),1),$IH40)),4),"")</f>
        <v>2.117</v>
      </c>
      <c r="IJ40" s="533">
        <f t="shared" si="112"/>
        <v>1313</v>
      </c>
      <c r="IK40" s="533">
        <f t="shared" si="66"/>
        <v>1313</v>
      </c>
      <c r="IL40" s="727">
        <f t="shared" si="225"/>
        <v>90.94998926374592</v>
      </c>
      <c r="IM40" s="759">
        <v>3.2093098748012801E-3</v>
      </c>
      <c r="IN40" s="5">
        <f t="shared" si="226"/>
        <v>0.06</v>
      </c>
      <c r="IO40" s="771">
        <v>30</v>
      </c>
      <c r="IP40" s="9">
        <f t="shared" si="227"/>
        <v>-3.1891096183546095</v>
      </c>
      <c r="IQ40" s="5">
        <f t="shared" si="228"/>
        <v>-0.26100078717837416</v>
      </c>
      <c r="IR40" s="5">
        <f t="shared" si="71"/>
        <v>0.26600000000000001</v>
      </c>
      <c r="IS40" s="5">
        <f t="shared" si="229"/>
        <v>0.25253049448015419</v>
      </c>
      <c r="IT40" s="727">
        <f t="shared" si="230"/>
        <v>32.165393487432105</v>
      </c>
      <c r="IU40" s="9">
        <f t="shared" si="231"/>
        <v>-3.1891096183546086</v>
      </c>
      <c r="IV40" s="5">
        <f t="shared" si="232"/>
        <v>-0.3024007871783741</v>
      </c>
      <c r="IW40" s="5">
        <f t="shared" si="76"/>
        <v>0.26600000000000001</v>
      </c>
      <c r="IX40" s="5">
        <f t="shared" si="233"/>
        <v>0.25253049448015419</v>
      </c>
      <c r="IY40" s="762">
        <f t="shared" si="234"/>
        <v>32.165393487432205</v>
      </c>
    </row>
    <row r="41" spans="1:267" ht="15" customHeight="1" x14ac:dyDescent="0.25">
      <c r="A41" s="79"/>
      <c r="B41" s="707">
        <v>1.5180383821219516</v>
      </c>
      <c r="C41" s="708">
        <v>-3.3809495014519686</v>
      </c>
      <c r="D41" s="709">
        <v>-0.76670218751139696</v>
      </c>
      <c r="E41" s="710">
        <v>0.96404318780827924</v>
      </c>
      <c r="F41" s="708">
        <v>9.1956285119831477E-2</v>
      </c>
      <c r="G41" s="711">
        <v>0.24932864590217321</v>
      </c>
      <c r="H41" s="710">
        <v>0.26600000000000001</v>
      </c>
      <c r="I41" s="708">
        <v>0.52</v>
      </c>
      <c r="J41" s="570">
        <v>3.222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3.222</v>
      </c>
      <c r="N41" s="632">
        <f t="shared" ref="N41:N72" si="240">IF(M41="","",B41)</f>
        <v>1.5180383821219516</v>
      </c>
      <c r="O41" s="629">
        <f t="shared" ref="O41:O72" si="241">IF(M41="","",C41)</f>
        <v>-3.3809495014519686</v>
      </c>
      <c r="P41" s="633">
        <f t="shared" ref="P41:P72" si="242">IF(M41="","",D41)</f>
        <v>-0.76670218751139696</v>
      </c>
      <c r="Q41" s="585">
        <f t="shared" si="113"/>
        <v>294.17996823593455</v>
      </c>
      <c r="R41" s="629">
        <f t="shared" si="79"/>
        <v>3.7061111776313114</v>
      </c>
      <c r="S41" s="634">
        <f t="shared" si="80"/>
        <v>-0.76670218751139696</v>
      </c>
      <c r="T41" s="635">
        <f t="shared" si="81"/>
        <v>-3.380949501451969</v>
      </c>
      <c r="U41" s="629">
        <f t="shared" si="82"/>
        <v>-1.5180383821219499</v>
      </c>
      <c r="V41" s="636">
        <f t="shared" si="114"/>
        <v>-0.76670218751139696</v>
      </c>
      <c r="W41" s="585">
        <f t="shared" si="224"/>
        <v>204.17996823593455</v>
      </c>
      <c r="X41" s="629">
        <f t="shared" si="83"/>
        <v>3.7061111776313114</v>
      </c>
      <c r="Y41" s="630">
        <f t="shared" si="223"/>
        <v>-0.76670218751139696</v>
      </c>
      <c r="Z41" s="632">
        <f t="shared" ref="Z41:Z72" si="243">IF(M41="","",-E41)</f>
        <v>-0.96404318780827924</v>
      </c>
      <c r="AA41" s="629">
        <f t="shared" ref="AA41:AA72" si="244">IF(M41="","",-F41)</f>
        <v>-9.1956285119831477E-2</v>
      </c>
      <c r="AB41" s="629">
        <f t="shared" ref="AB41:AB72" si="245">IF(M41="","",-G41)</f>
        <v>-0.24932864590217321</v>
      </c>
      <c r="AC41" s="636">
        <f t="shared" si="84"/>
        <v>1</v>
      </c>
      <c r="AD41" s="637">
        <f t="shared" si="115"/>
        <v>-0.96404318780827924</v>
      </c>
      <c r="AE41" s="629">
        <f t="shared" si="85"/>
        <v>-9.1956285119831477E-2</v>
      </c>
      <c r="AF41" s="633">
        <f t="shared" si="86"/>
        <v>-0.24932864590217321</v>
      </c>
      <c r="AG41" s="602">
        <f t="shared" si="87"/>
        <v>-20.244759277869427</v>
      </c>
      <c r="AH41" s="603">
        <f t="shared" si="88"/>
        <v>164.58873792187293</v>
      </c>
      <c r="AI41" s="585">
        <f t="shared" si="89"/>
        <v>-75.562211524093343</v>
      </c>
      <c r="AJ41" s="586">
        <f t="shared" si="90"/>
        <v>-84.551266312815883</v>
      </c>
      <c r="AK41" s="635">
        <f t="shared" si="211"/>
        <v>0.91712696748083267</v>
      </c>
      <c r="AL41" s="629">
        <f t="shared" si="91"/>
        <v>-0.31098770369903772</v>
      </c>
      <c r="AM41" s="634">
        <f t="shared" si="92"/>
        <v>-0.24932864590217321</v>
      </c>
      <c r="AN41" s="581">
        <f t="shared" si="93"/>
        <v>-51.279749487067804</v>
      </c>
      <c r="AO41" s="582">
        <f t="shared" si="94"/>
        <v>23.490386355678606</v>
      </c>
      <c r="AP41" s="585">
        <f t="shared" si="95"/>
        <v>-18.731234548750436</v>
      </c>
      <c r="AQ41" s="586">
        <f t="shared" ref="AQ41:AQ72" si="246">IF(M41="","",DEGREES(ATAN(($AS$5*SIN(RADIANS(90)))/(($X41*2*PI())-($AS$5*COS(RADIANS(90)))))))</f>
        <v>0.61510271567337016</v>
      </c>
      <c r="AS41" s="52">
        <f t="shared" si="116"/>
        <v>-155.82003176406545</v>
      </c>
      <c r="AT41" s="72">
        <f t="shared" ref="AT41:AT72" si="247">IF(M41="","",Y41+(((AS41-$AS$9)*$AS$6)*-1))</f>
        <v>-0.65849383211968482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3.222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2.1219999999999999</v>
      </c>
      <c r="II41" s="734" cm="1">
        <f t="array" ref="II41">IFERROR(ROUND(VALUE(IF($IH41&lt;1,$IH41+LARGE((IF($M$9:$M$150="",0,$M$9:$M$150)-MOD(IF($M$9:$M$150="",0,$M$9:$M$150),1)),1),$IH41)),4),"")</f>
        <v>2.1219999999999999</v>
      </c>
      <c r="IJ41" s="533">
        <f t="shared" si="112"/>
        <v>1313</v>
      </c>
      <c r="IK41" s="533">
        <f t="shared" ref="IK41:IK72" si="382">IF(ISNUMBER($II41),INDEX($K$9:$K$150,MATCH($IG41,$M$9:$M$150,0)),"")</f>
        <v>1313</v>
      </c>
      <c r="IL41" s="727">
        <f t="shared" si="225"/>
        <v>89.689989334493191</v>
      </c>
      <c r="IM41" s="759">
        <v>1.10727662582886E-3</v>
      </c>
      <c r="IN41" s="5">
        <f t="shared" si="226"/>
        <v>0</v>
      </c>
      <c r="IO41" s="771">
        <v>0</v>
      </c>
      <c r="IP41" s="9">
        <f t="shared" si="227"/>
        <v>-3.7061111776313123</v>
      </c>
      <c r="IQ41" s="5">
        <f t="shared" si="228"/>
        <v>-0.72530218751139741</v>
      </c>
      <c r="IR41" s="5">
        <f t="shared" ref="IR41:IR72" si="383">IF(ISNUMBER($II41),INDEX($H$9:$H$150,MATCH($II41,$M$9:$M$150,0)),"")</f>
        <v>0.26600000000000001</v>
      </c>
      <c r="IS41" s="5">
        <f t="shared" si="229"/>
        <v>0.24395577334990146</v>
      </c>
      <c r="IT41" s="727">
        <f t="shared" si="230"/>
        <v>51.279749487067896</v>
      </c>
      <c r="IU41" s="9">
        <f t="shared" si="231"/>
        <v>-3.7061111776313114</v>
      </c>
      <c r="IV41" s="5">
        <f t="shared" si="232"/>
        <v>-0.76670218751139696</v>
      </c>
      <c r="IW41" s="5">
        <f t="shared" ref="IW41:IW72" si="384">IF(ISNUMBER($II41),$H41,"")</f>
        <v>0.26600000000000001</v>
      </c>
      <c r="IX41" s="5">
        <f t="shared" si="233"/>
        <v>0.24395577334990151</v>
      </c>
      <c r="IY41" s="762">
        <f t="shared" si="234"/>
        <v>51.279749487067804</v>
      </c>
    </row>
    <row r="42" spans="1:267" ht="15" customHeight="1" x14ac:dyDescent="0.25">
      <c r="A42" s="79"/>
      <c r="B42" s="707">
        <v>1.6322314304623784</v>
      </c>
      <c r="C42" s="708">
        <v>-3.6352783342421993</v>
      </c>
      <c r="D42" s="709">
        <v>-1.4032</v>
      </c>
      <c r="E42" s="710">
        <v>0.98358563850308112</v>
      </c>
      <c r="F42" s="708">
        <v>-4.5708905219278874E-2</v>
      </c>
      <c r="G42" s="711">
        <v>0.17455654589313277</v>
      </c>
      <c r="H42" s="710">
        <v>0.26600000000000001</v>
      </c>
      <c r="I42" s="708">
        <v>0.52</v>
      </c>
      <c r="J42" s="570">
        <v>3.2269999999999999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3.2269999999999999</v>
      </c>
      <c r="N42" s="632">
        <f t="shared" si="240"/>
        <v>1.6322314304623784</v>
      </c>
      <c r="O42" s="629">
        <f t="shared" si="241"/>
        <v>-3.6352783342421993</v>
      </c>
      <c r="P42" s="633">
        <f t="shared" si="242"/>
        <v>-1.4032</v>
      </c>
      <c r="Q42" s="585">
        <f t="shared" si="113"/>
        <v>294.17996823593455</v>
      </c>
      <c r="R42" s="629">
        <f t="shared" ref="R42:R47" si="385">IF(M42="","",SQRT(N42^2+O42^2))</f>
        <v>3.9849000000000001</v>
      </c>
      <c r="S42" s="634">
        <f t="shared" ref="S42:S47" si="386">IF(M42="","",P42)</f>
        <v>-1.4032</v>
      </c>
      <c r="T42" s="635">
        <f t="shared" ref="T42:T47" si="387">IF(M42="","",X42*COS(RADIANS(W42)))</f>
        <v>-3.6352783342421997</v>
      </c>
      <c r="U42" s="629">
        <f t="shared" ref="U42:U47" si="388">IF(M42="","",X42*SIN(RADIANS(W42)))</f>
        <v>-1.6322314304623764</v>
      </c>
      <c r="V42" s="636">
        <f t="shared" ref="V42:V47" si="389">IF(M42="","",Y42)</f>
        <v>-1.4032</v>
      </c>
      <c r="W42" s="585">
        <f t="shared" si="224"/>
        <v>204.17996823593455</v>
      </c>
      <c r="X42" s="629">
        <f t="shared" ref="X42:X47" si="390">IF(M42="","",R42)</f>
        <v>3.9849000000000001</v>
      </c>
      <c r="Y42" s="630">
        <f t="shared" si="223"/>
        <v>-1.4032</v>
      </c>
      <c r="Z42" s="632">
        <f t="shared" si="243"/>
        <v>-0.98358563850308112</v>
      </c>
      <c r="AA42" s="629">
        <f t="shared" si="244"/>
        <v>4.5708905219278874E-2</v>
      </c>
      <c r="AB42" s="629">
        <f t="shared" si="245"/>
        <v>-0.17455654589313277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-0.98358563850308112</v>
      </c>
      <c r="AE42" s="629">
        <f t="shared" ref="AE42:AE47" si="393">IF(M42="","",AA42*(1/SQRT(Z42^2+AA42^2+AB42^2)))</f>
        <v>4.5708905219278874E-2</v>
      </c>
      <c r="AF42" s="633">
        <f t="shared" ref="AF42:AF47" si="394">IF(M42="","",AB42*(1/SQRT(Z42^2+AA42^2+AB42^2)))</f>
        <v>-0.17455654589313277</v>
      </c>
      <c r="AG42" s="602">
        <f t="shared" ref="AG42:AG47" si="395">IF(M42="","",DEGREES(ATAN2(-AF42,AE42)))</f>
        <v>14.673848119956006</v>
      </c>
      <c r="AH42" s="603">
        <f t="shared" ref="AH42:AH47" si="396">IF(M42="","",DEGREES(ACOS(AD42)))</f>
        <v>169.60449770831309</v>
      </c>
      <c r="AI42" s="585">
        <f t="shared" ref="AI42:AI47" si="397">IF(M42="","",DEGREES(-ACOS(-AF42)))</f>
        <v>-79.947147140252497</v>
      </c>
      <c r="AJ42" s="586">
        <f t="shared" ref="AJ42:AJ47" si="398">IF(M42="","",DEGREES(ATAN2(-AE42,AD42)))</f>
        <v>-92.660718493872253</v>
      </c>
      <c r="AK42" s="635">
        <f t="shared" ref="AK42:AK47" si="399">IF(M42="","",(COS(RADIANS((90-$Q$8)-W42))*AD42)+(-SIN(RADIANS((90-$Q$8)-W42))*AE42))</f>
        <v>0.87856660136291964</v>
      </c>
      <c r="AL42" s="629">
        <f t="shared" ref="AL42:AL47" si="400">IF(M42="","",(SIN(RADIANS((90-$Q$8)-W42))*AD42)+(COS(RADIANS((90-$Q$8)-W42))*AE42))</f>
        <v>-0.44457928343037684</v>
      </c>
      <c r="AM42" s="634">
        <f t="shared" ref="AM42:AM47" si="401">IF(M42="","",AF42)</f>
        <v>-0.17455654589313277</v>
      </c>
      <c r="AN42" s="581">
        <f t="shared" ref="AN42:AN47" si="402">IF(M42="","",DEGREES(ATAN2(-AM42,AL42)))</f>
        <v>-68.563384534553094</v>
      </c>
      <c r="AO42" s="582">
        <f t="shared" si="94"/>
        <v>28.530066110781927</v>
      </c>
      <c r="AP42" s="585">
        <f t="shared" ref="AP42:AP47" si="403">IF(M42="","",DEGREES(ATAN2(AK42,AL42)))</f>
        <v>-26.840686729806812</v>
      </c>
      <c r="AQ42" s="586">
        <f t="shared" si="246"/>
        <v>0.57207229171797258</v>
      </c>
      <c r="AS42" s="52">
        <f t="shared" si="116"/>
        <v>-155.82003176406545</v>
      </c>
      <c r="AT42" s="72">
        <f t="shared" si="247"/>
        <v>-1.2949916446082879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3.2269999999999999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2.1269999999999998</v>
      </c>
      <c r="II42" s="734" cm="1">
        <f t="array" ref="II42">IFERROR(ROUND(VALUE(IF($IH42&lt;1,$IH42+LARGE((IF($M$9:$M$150="",0,$M$9:$M$150)-MOD(IF($M$9:$M$150="",0,$M$9:$M$150),1)),1),$IH42)),4),"")</f>
        <v>2.1269999999999998</v>
      </c>
      <c r="IJ42" s="533">
        <f t="shared" si="112"/>
        <v>1313</v>
      </c>
      <c r="IK42" s="533">
        <f t="shared" si="382"/>
        <v>1313</v>
      </c>
      <c r="IL42" s="727">
        <f t="shared" si="225"/>
        <v>89.399989376363976</v>
      </c>
      <c r="IM42" s="759">
        <v>4.5546705099045397E-4</v>
      </c>
      <c r="IN42" s="5">
        <f t="shared" si="226"/>
        <v>0</v>
      </c>
      <c r="IO42" s="771">
        <v>0</v>
      </c>
      <c r="IP42" s="9">
        <f t="shared" si="227"/>
        <v>-3.984912018494648</v>
      </c>
      <c r="IQ42" s="5">
        <f t="shared" si="228"/>
        <v>-1.3618041072011873</v>
      </c>
      <c r="IR42" s="5">
        <f t="shared" si="383"/>
        <v>0.26600000000000001</v>
      </c>
      <c r="IS42" s="5">
        <f t="shared" si="229"/>
        <v>0.23369872506634209</v>
      </c>
      <c r="IT42" s="727">
        <f t="shared" si="230"/>
        <v>68.563376223618079</v>
      </c>
      <c r="IU42" s="9">
        <f t="shared" si="231"/>
        <v>-3.9849000000000001</v>
      </c>
      <c r="IV42" s="5">
        <f t="shared" si="232"/>
        <v>-1.4032</v>
      </c>
      <c r="IW42" s="5">
        <f t="shared" si="384"/>
        <v>0.26600000000000001</v>
      </c>
      <c r="IX42" s="5">
        <f t="shared" si="233"/>
        <v>0.23369871596253664</v>
      </c>
      <c r="IY42" s="762">
        <f t="shared" si="234"/>
        <v>68.563384534553094</v>
      </c>
    </row>
    <row r="43" spans="1:267" ht="15" customHeight="1" x14ac:dyDescent="0.25">
      <c r="A43" s="79"/>
      <c r="B43" s="707">
        <v>-0.48125528571175014</v>
      </c>
      <c r="C43" s="708">
        <v>-0.57353730478017007</v>
      </c>
      <c r="D43" s="709">
        <v>-0.25000073862062772</v>
      </c>
      <c r="E43" s="710">
        <v>0.71984609729846993</v>
      </c>
      <c r="F43" s="708">
        <v>-0.60402302751108006</v>
      </c>
      <c r="G43" s="711">
        <v>0.34202014332566871</v>
      </c>
      <c r="H43" s="710">
        <v>0.26600000000000001</v>
      </c>
      <c r="I43" s="708">
        <v>0.52</v>
      </c>
      <c r="J43" s="570">
        <v>4.1029999999999998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4.1029999999999998</v>
      </c>
      <c r="N43" s="632">
        <f t="shared" si="240"/>
        <v>-0.48125528571175014</v>
      </c>
      <c r="O43" s="629">
        <f t="shared" si="241"/>
        <v>-0.57353730478017007</v>
      </c>
      <c r="P43" s="633">
        <f t="shared" si="242"/>
        <v>-0.25000073862062772</v>
      </c>
      <c r="Q43" s="585">
        <f t="shared" si="113"/>
        <v>229.99997978650384</v>
      </c>
      <c r="R43" s="629">
        <f t="shared" si="385"/>
        <v>0.74869999999999992</v>
      </c>
      <c r="S43" s="634">
        <f t="shared" si="386"/>
        <v>-0.25000073862062772</v>
      </c>
      <c r="T43" s="635">
        <f t="shared" si="387"/>
        <v>-0.57353730478017018</v>
      </c>
      <c r="U43" s="629">
        <f t="shared" si="388"/>
        <v>0.48125528571174997</v>
      </c>
      <c r="V43" s="636">
        <f t="shared" si="389"/>
        <v>-0.25000073862062772</v>
      </c>
      <c r="W43" s="585">
        <f t="shared" si="224"/>
        <v>139.99997978650384</v>
      </c>
      <c r="X43" s="629">
        <f t="shared" si="390"/>
        <v>0.74869999999999992</v>
      </c>
      <c r="Y43" s="630">
        <f t="shared" si="223"/>
        <v>-0.25000073862062772</v>
      </c>
      <c r="Z43" s="632">
        <f t="shared" si="243"/>
        <v>-0.71984609729846993</v>
      </c>
      <c r="AA43" s="629">
        <f t="shared" si="244"/>
        <v>0.60402302751108006</v>
      </c>
      <c r="AB43" s="629">
        <f t="shared" si="245"/>
        <v>-0.34202014332566871</v>
      </c>
      <c r="AC43" s="636">
        <f t="shared" si="391"/>
        <v>1</v>
      </c>
      <c r="AD43" s="637">
        <f t="shared" si="392"/>
        <v>-0.71984609729846993</v>
      </c>
      <c r="AE43" s="629">
        <f t="shared" si="393"/>
        <v>0.60402302751108006</v>
      </c>
      <c r="AF43" s="633">
        <f t="shared" si="394"/>
        <v>-0.34202014332566871</v>
      </c>
      <c r="AG43" s="602">
        <f t="shared" si="395"/>
        <v>60.479858693870057</v>
      </c>
      <c r="AH43" s="603">
        <f t="shared" si="396"/>
        <v>136.04177540795169</v>
      </c>
      <c r="AI43" s="585">
        <f t="shared" si="397"/>
        <v>-70</v>
      </c>
      <c r="AJ43" s="586">
        <f t="shared" si="398"/>
        <v>-130.00002021349616</v>
      </c>
      <c r="AK43" s="635">
        <f t="shared" si="399"/>
        <v>0.93969262078590854</v>
      </c>
      <c r="AL43" s="629">
        <f t="shared" si="400"/>
        <v>-1.1102230246251565E-16</v>
      </c>
      <c r="AM43" s="634">
        <f t="shared" si="401"/>
        <v>-0.34202014332566871</v>
      </c>
      <c r="AN43" s="581">
        <f t="shared" si="402"/>
        <v>-1.8598639545244675E-14</v>
      </c>
      <c r="AO43" s="582">
        <f t="shared" si="94"/>
        <v>19.999999999999979</v>
      </c>
      <c r="AP43" s="585">
        <f t="shared" si="403"/>
        <v>-6.7693511923153588E-15</v>
      </c>
      <c r="AQ43" s="586">
        <f t="shared" si="246"/>
        <v>3.0420516648966909</v>
      </c>
      <c r="AS43" s="52">
        <f t="shared" ref="AS43:AS74" si="406">IF(G43="","",IF(AND(W43&lt;(AS42+180),W43&gt;(AS42-180)),W43,IF(W43&gt;(AS42+180),W43-360,IF(W43&lt;(AS42-180),W43+360,"Error"))))</f>
        <v>-220.00002021349616</v>
      </c>
      <c r="AT43" s="72">
        <f t="shared" si="247"/>
        <v>-9.7222946805699817E-2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4.1029999999999998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-0.91796813993550574</v>
      </c>
      <c r="C44" s="708">
        <v>-1.0939910448443757</v>
      </c>
      <c r="D44" s="709">
        <v>-0.16060046898941449</v>
      </c>
      <c r="E44" s="710">
        <v>0.73994190014476613</v>
      </c>
      <c r="F44" s="708">
        <v>-0.6208854203489933</v>
      </c>
      <c r="G44" s="711">
        <v>0.25881900859134588</v>
      </c>
      <c r="H44" s="710">
        <v>0.26600000000000001</v>
      </c>
      <c r="I44" s="708">
        <v>0.52</v>
      </c>
      <c r="J44" s="570">
        <v>4.1059999999999999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4.1059999999999999</v>
      </c>
      <c r="N44" s="632">
        <f t="shared" si="240"/>
        <v>-0.91796813993550574</v>
      </c>
      <c r="O44" s="629">
        <f t="shared" si="241"/>
        <v>-1.0939910448443757</v>
      </c>
      <c r="P44" s="633">
        <f t="shared" si="242"/>
        <v>-0.16060046898941449</v>
      </c>
      <c r="Q44" s="585">
        <f t="shared" si="113"/>
        <v>229.99997978650384</v>
      </c>
      <c r="R44" s="629">
        <f t="shared" si="385"/>
        <v>1.4281043071625898</v>
      </c>
      <c r="S44" s="634">
        <f t="shared" si="386"/>
        <v>-0.16060046898941449</v>
      </c>
      <c r="T44" s="635">
        <f t="shared" si="387"/>
        <v>-1.0939910448443757</v>
      </c>
      <c r="U44" s="629">
        <f t="shared" si="388"/>
        <v>0.91796813993550552</v>
      </c>
      <c r="V44" s="636">
        <f t="shared" si="389"/>
        <v>-0.16060046898941449</v>
      </c>
      <c r="W44" s="585">
        <f t="shared" si="224"/>
        <v>139.99997978650384</v>
      </c>
      <c r="X44" s="629">
        <f t="shared" si="390"/>
        <v>1.4281043071625898</v>
      </c>
      <c r="Y44" s="630">
        <f t="shared" si="223"/>
        <v>-0.16060046898941449</v>
      </c>
      <c r="Z44" s="632">
        <f t="shared" si="243"/>
        <v>-0.73994190014476613</v>
      </c>
      <c r="AA44" s="629">
        <f t="shared" si="244"/>
        <v>0.6208854203489933</v>
      </c>
      <c r="AB44" s="629">
        <f t="shared" si="245"/>
        <v>-0.25881900859134588</v>
      </c>
      <c r="AC44" s="636">
        <f t="shared" si="391"/>
        <v>1</v>
      </c>
      <c r="AD44" s="637">
        <f t="shared" si="392"/>
        <v>-0.73994190014476613</v>
      </c>
      <c r="AE44" s="629">
        <f t="shared" si="393"/>
        <v>0.6208854203489933</v>
      </c>
      <c r="AF44" s="633">
        <f t="shared" si="394"/>
        <v>-0.25881900859134588</v>
      </c>
      <c r="AG44" s="602">
        <f t="shared" si="395"/>
        <v>67.370955631345964</v>
      </c>
      <c r="AH44" s="603">
        <f t="shared" si="396"/>
        <v>137.72646658984388</v>
      </c>
      <c r="AI44" s="585">
        <f t="shared" si="397"/>
        <v>-75.000002165731729</v>
      </c>
      <c r="AJ44" s="586">
        <f t="shared" si="398"/>
        <v>-130.00002021349616</v>
      </c>
      <c r="AK44" s="635">
        <f t="shared" si="399"/>
        <v>0.9659258360722075</v>
      </c>
      <c r="AL44" s="629">
        <f t="shared" si="400"/>
        <v>0</v>
      </c>
      <c r="AM44" s="634">
        <f t="shared" si="401"/>
        <v>-0.25881900859134588</v>
      </c>
      <c r="AN44" s="581">
        <f t="shared" si="402"/>
        <v>0</v>
      </c>
      <c r="AO44" s="582">
        <f t="shared" si="94"/>
        <v>14.99999783426823</v>
      </c>
      <c r="AP44" s="585">
        <f t="shared" si="403"/>
        <v>0</v>
      </c>
      <c r="AQ44" s="586">
        <f t="shared" si="246"/>
        <v>1.5959177613674562</v>
      </c>
      <c r="AS44" s="52">
        <f t="shared" si="406"/>
        <v>-220.00002021349616</v>
      </c>
      <c r="AT44" s="72">
        <f t="shared" si="247"/>
        <v>-7.8226771744865919E-3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4.1059999999999999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-1.3546795426889429</v>
      </c>
      <c r="C45" s="708">
        <v>-1.6144430551148539</v>
      </c>
      <c r="D45" s="709">
        <v>-7.1100199056600394E-2</v>
      </c>
      <c r="E45" s="710">
        <v>0.73994190014476591</v>
      </c>
      <c r="F45" s="708">
        <v>-0.6208854203489933</v>
      </c>
      <c r="G45" s="711">
        <v>0.25881900859134588</v>
      </c>
      <c r="H45" s="710">
        <v>0.26600000000000001</v>
      </c>
      <c r="I45" s="708">
        <v>0.52</v>
      </c>
      <c r="J45" s="570">
        <v>4.109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4.109</v>
      </c>
      <c r="N45" s="632">
        <f t="shared" si="240"/>
        <v>-1.3546795426889429</v>
      </c>
      <c r="O45" s="629">
        <f t="shared" si="241"/>
        <v>-1.6144430551148539</v>
      </c>
      <c r="P45" s="633">
        <f t="shared" si="242"/>
        <v>-7.1100199056600394E-2</v>
      </c>
      <c r="Q45" s="585">
        <f t="shared" si="113"/>
        <v>229.99997978650384</v>
      </c>
      <c r="R45" s="629">
        <f t="shared" si="385"/>
        <v>2.1075063562391709</v>
      </c>
      <c r="S45" s="634">
        <f t="shared" si="386"/>
        <v>-7.1100199056600394E-2</v>
      </c>
      <c r="T45" s="635">
        <f t="shared" si="387"/>
        <v>-1.6144430551148543</v>
      </c>
      <c r="U45" s="629">
        <f t="shared" si="388"/>
        <v>1.3546795426889426</v>
      </c>
      <c r="V45" s="636">
        <f t="shared" si="389"/>
        <v>-7.1100199056600394E-2</v>
      </c>
      <c r="W45" s="585">
        <f t="shared" si="224"/>
        <v>139.99997978650384</v>
      </c>
      <c r="X45" s="629">
        <f t="shared" si="390"/>
        <v>2.1075063562391709</v>
      </c>
      <c r="Y45" s="630">
        <f t="shared" si="223"/>
        <v>-7.1100199056600394E-2</v>
      </c>
      <c r="Z45" s="632">
        <f t="shared" si="243"/>
        <v>-0.73994190014476591</v>
      </c>
      <c r="AA45" s="629">
        <f t="shared" si="244"/>
        <v>0.6208854203489933</v>
      </c>
      <c r="AB45" s="629">
        <f t="shared" si="245"/>
        <v>-0.25881900859134588</v>
      </c>
      <c r="AC45" s="636">
        <f t="shared" si="391"/>
        <v>1</v>
      </c>
      <c r="AD45" s="637">
        <f t="shared" si="392"/>
        <v>-0.73994190014476591</v>
      </c>
      <c r="AE45" s="629">
        <f t="shared" si="393"/>
        <v>0.6208854203489933</v>
      </c>
      <c r="AF45" s="633">
        <f t="shared" si="394"/>
        <v>-0.25881900859134588</v>
      </c>
      <c r="AG45" s="602">
        <f t="shared" si="395"/>
        <v>67.370955631345964</v>
      </c>
      <c r="AH45" s="603">
        <f t="shared" si="396"/>
        <v>137.72646658984385</v>
      </c>
      <c r="AI45" s="585">
        <f t="shared" si="397"/>
        <v>-75.000002165731729</v>
      </c>
      <c r="AJ45" s="586">
        <f t="shared" si="398"/>
        <v>-130.00002021349616</v>
      </c>
      <c r="AK45" s="635">
        <f t="shared" si="399"/>
        <v>0.96592583607220739</v>
      </c>
      <c r="AL45" s="629">
        <f t="shared" si="400"/>
        <v>-1.6653345369377348E-16</v>
      </c>
      <c r="AM45" s="634">
        <f t="shared" si="401"/>
        <v>-0.25881900859134588</v>
      </c>
      <c r="AN45" s="581">
        <f t="shared" si="402"/>
        <v>-3.6866164105651379E-14</v>
      </c>
      <c r="AO45" s="582">
        <f t="shared" si="94"/>
        <v>14.999997834268255</v>
      </c>
      <c r="AP45" s="585">
        <f t="shared" si="403"/>
        <v>-9.8782574065834049E-15</v>
      </c>
      <c r="AQ45" s="586">
        <f t="shared" si="246"/>
        <v>1.0815890655103646</v>
      </c>
      <c r="AS45" s="52">
        <f t="shared" si="406"/>
        <v>-220.00002021349616</v>
      </c>
      <c r="AT45" s="72">
        <f t="shared" si="247"/>
        <v>8.1677592758327505E-2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4.109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-1.8132357062805309</v>
      </c>
      <c r="C46" s="708">
        <v>-2.1358245508481311</v>
      </c>
      <c r="D46" s="709">
        <v>-0.10650030582332236</v>
      </c>
      <c r="E46" s="710">
        <v>0.67938707079708294</v>
      </c>
      <c r="F46" s="708">
        <v>-0.69103582378276507</v>
      </c>
      <c r="G46" s="711">
        <v>0.24678472052101352</v>
      </c>
      <c r="H46" s="710">
        <v>0.26600000000000001</v>
      </c>
      <c r="I46" s="708">
        <v>0.52</v>
      </c>
      <c r="J46" s="570">
        <v>4.1139999999999999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4.1139999999999999</v>
      </c>
      <c r="N46" s="632">
        <f t="shared" si="240"/>
        <v>-1.8132357062805309</v>
      </c>
      <c r="O46" s="629">
        <f t="shared" si="241"/>
        <v>-2.1358245508481311</v>
      </c>
      <c r="P46" s="633">
        <f t="shared" si="242"/>
        <v>-0.10650030582332236</v>
      </c>
      <c r="Q46" s="585">
        <f t="shared" si="113"/>
        <v>229.66997983414993</v>
      </c>
      <c r="R46" s="629">
        <f t="shared" si="385"/>
        <v>2.801708449952685</v>
      </c>
      <c r="S46" s="634">
        <f t="shared" si="386"/>
        <v>-0.10650030582332236</v>
      </c>
      <c r="T46" s="635">
        <f t="shared" si="387"/>
        <v>-2.1358245508481311</v>
      </c>
      <c r="U46" s="629">
        <f t="shared" si="388"/>
        <v>1.8132357062805307</v>
      </c>
      <c r="V46" s="636">
        <f t="shared" si="389"/>
        <v>-0.10650030582332236</v>
      </c>
      <c r="W46" s="585">
        <f t="shared" si="224"/>
        <v>139.66997983414993</v>
      </c>
      <c r="X46" s="629">
        <f t="shared" si="390"/>
        <v>2.801708449952685</v>
      </c>
      <c r="Y46" s="630">
        <f t="shared" si="223"/>
        <v>-0.10650030582332236</v>
      </c>
      <c r="Z46" s="632">
        <f t="shared" si="243"/>
        <v>-0.67938707079708294</v>
      </c>
      <c r="AA46" s="629">
        <f t="shared" si="244"/>
        <v>0.69103582378276507</v>
      </c>
      <c r="AB46" s="629">
        <f t="shared" si="245"/>
        <v>-0.24678472052101352</v>
      </c>
      <c r="AC46" s="636">
        <f t="shared" si="391"/>
        <v>1</v>
      </c>
      <c r="AD46" s="637">
        <f t="shared" si="392"/>
        <v>-0.67938707079708294</v>
      </c>
      <c r="AE46" s="629">
        <f t="shared" si="393"/>
        <v>0.69103582378276507</v>
      </c>
      <c r="AF46" s="633">
        <f t="shared" si="394"/>
        <v>-0.24678472052101352</v>
      </c>
      <c r="AG46" s="602">
        <f t="shared" si="395"/>
        <v>70.347189827725728</v>
      </c>
      <c r="AH46" s="603">
        <f t="shared" si="396"/>
        <v>132.79576514131654</v>
      </c>
      <c r="AI46" s="585">
        <f t="shared" si="397"/>
        <v>-75.712670271919464</v>
      </c>
      <c r="AJ46" s="586">
        <f t="shared" si="398"/>
        <v>-135.48700901872368</v>
      </c>
      <c r="AK46" s="635">
        <f t="shared" si="399"/>
        <v>0.9651476817242578</v>
      </c>
      <c r="AL46" s="629">
        <f t="shared" si="400"/>
        <v>-8.7104845902258143E-2</v>
      </c>
      <c r="AM46" s="634">
        <f t="shared" si="401"/>
        <v>-0.24678472052101352</v>
      </c>
      <c r="AN46" s="581">
        <f t="shared" si="402"/>
        <v>-19.440934190892591</v>
      </c>
      <c r="AO46" s="582">
        <f t="shared" si="94"/>
        <v>15.171305413185189</v>
      </c>
      <c r="AP46" s="585">
        <f t="shared" si="403"/>
        <v>-5.1569888528736305</v>
      </c>
      <c r="AQ46" s="586">
        <f t="shared" si="246"/>
        <v>0.81363690359367058</v>
      </c>
      <c r="AS46" s="52">
        <f t="shared" si="406"/>
        <v>-220.33002016585007</v>
      </c>
      <c r="AT46" s="72">
        <f t="shared" si="247"/>
        <v>4.650665262518465E-2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4.1139999999999999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-2.2365720799390849</v>
      </c>
      <c r="C47" s="708">
        <v>-2.5865251244648029</v>
      </c>
      <c r="D47" s="709">
        <v>-0.42490126612061835</v>
      </c>
      <c r="E47" s="710">
        <v>0.56230175755035627</v>
      </c>
      <c r="F47" s="708">
        <v>-0.78273525222410112</v>
      </c>
      <c r="G47" s="711">
        <v>0.2667250614049107</v>
      </c>
      <c r="H47" s="710">
        <v>0.26600000000000001</v>
      </c>
      <c r="I47" s="708">
        <v>0.52</v>
      </c>
      <c r="J47" s="570">
        <v>4.1189999999999998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4.1189999999999998</v>
      </c>
      <c r="N47" s="632">
        <f t="shared" si="240"/>
        <v>-2.2365720799390849</v>
      </c>
      <c r="O47" s="629">
        <f t="shared" si="241"/>
        <v>-2.5865251244648029</v>
      </c>
      <c r="P47" s="633">
        <f t="shared" si="242"/>
        <v>-0.42490126612061835</v>
      </c>
      <c r="Q47" s="585">
        <f t="shared" si="113"/>
        <v>229.14997990922862</v>
      </c>
      <c r="R47" s="629">
        <f t="shared" si="385"/>
        <v>3.419410312941503</v>
      </c>
      <c r="S47" s="634">
        <f t="shared" si="386"/>
        <v>-0.42490126612061835</v>
      </c>
      <c r="T47" s="635">
        <f t="shared" si="387"/>
        <v>-2.586525124464802</v>
      </c>
      <c r="U47" s="629">
        <f t="shared" si="388"/>
        <v>2.2365720799390854</v>
      </c>
      <c r="V47" s="636">
        <f t="shared" si="389"/>
        <v>-0.42490126612061835</v>
      </c>
      <c r="W47" s="585">
        <f t="shared" si="224"/>
        <v>139.14997990922862</v>
      </c>
      <c r="X47" s="629">
        <f t="shared" si="390"/>
        <v>3.419410312941503</v>
      </c>
      <c r="Y47" s="630">
        <f t="shared" si="223"/>
        <v>-0.42490126612061835</v>
      </c>
      <c r="Z47" s="632">
        <f t="shared" si="243"/>
        <v>-0.56230175755035627</v>
      </c>
      <c r="AA47" s="629">
        <f t="shared" si="244"/>
        <v>0.78273525222410112</v>
      </c>
      <c r="AB47" s="629">
        <f t="shared" si="245"/>
        <v>-0.2667250614049107</v>
      </c>
      <c r="AC47" s="636">
        <f t="shared" si="391"/>
        <v>1</v>
      </c>
      <c r="AD47" s="637">
        <f t="shared" si="392"/>
        <v>-0.56230175755035627</v>
      </c>
      <c r="AE47" s="629">
        <f t="shared" si="393"/>
        <v>0.78273525222410112</v>
      </c>
      <c r="AF47" s="633">
        <f t="shared" si="394"/>
        <v>-0.2667250614049107</v>
      </c>
      <c r="AG47" s="602">
        <f t="shared" si="395"/>
        <v>71.182930290330432</v>
      </c>
      <c r="AH47" s="603">
        <f t="shared" si="396"/>
        <v>124.21512955130207</v>
      </c>
      <c r="AI47" s="585">
        <f t="shared" si="397"/>
        <v>-74.530518539102118</v>
      </c>
      <c r="AJ47" s="586">
        <f t="shared" si="398"/>
        <v>-144.30726964868327</v>
      </c>
      <c r="AK47" s="635">
        <f t="shared" si="399"/>
        <v>0.93731115637482865</v>
      </c>
      <c r="AL47" s="629">
        <f t="shared" si="400"/>
        <v>-0.22428896039223245</v>
      </c>
      <c r="AM47" s="634">
        <f t="shared" si="401"/>
        <v>-0.2667250614049107</v>
      </c>
      <c r="AN47" s="581">
        <f t="shared" si="402"/>
        <v>-40.060461253590198</v>
      </c>
      <c r="AO47" s="582">
        <f t="shared" si="94"/>
        <v>20.39520521696749</v>
      </c>
      <c r="AP47" s="585">
        <f t="shared" si="403"/>
        <v>-13.45724955791189</v>
      </c>
      <c r="AQ47" s="586">
        <f t="shared" si="246"/>
        <v>0.66667160130352876</v>
      </c>
      <c r="AS47" s="52">
        <f t="shared" si="406"/>
        <v>-220.85002009077138</v>
      </c>
      <c r="AT47" s="72">
        <f t="shared" si="247"/>
        <v>-0.27153319661313824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4.1189999999999998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-2.5400712865511488</v>
      </c>
      <c r="C48" s="708">
        <v>-2.8933367041544948</v>
      </c>
      <c r="D48" s="709">
        <v>-0.97020291075037846</v>
      </c>
      <c r="E48" s="710">
        <v>0.43611422161668856</v>
      </c>
      <c r="F48" s="708">
        <v>-0.87105037881500791</v>
      </c>
      <c r="G48" s="711">
        <v>0.22599916652479352</v>
      </c>
      <c r="H48" s="710">
        <v>0.26600000000000001</v>
      </c>
      <c r="I48" s="708">
        <v>0.52</v>
      </c>
      <c r="J48" s="570">
        <v>4.1239999999999997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4.1239999999999997</v>
      </c>
      <c r="N48" s="632">
        <f t="shared" si="240"/>
        <v>-2.5400712865511488</v>
      </c>
      <c r="O48" s="629">
        <f t="shared" si="241"/>
        <v>-2.8933367041544948</v>
      </c>
      <c r="P48" s="633">
        <f t="shared" si="242"/>
        <v>-0.97020291075037846</v>
      </c>
      <c r="Q48" s="585">
        <f t="shared" si="113"/>
        <v>228.71997997131294</v>
      </c>
      <c r="R48" s="629">
        <f t="shared" si="79"/>
        <v>3.8501116119366205</v>
      </c>
      <c r="S48" s="634">
        <f t="shared" si="80"/>
        <v>-0.97020291075037846</v>
      </c>
      <c r="T48" s="635">
        <f t="shared" si="81"/>
        <v>-2.8933367041544948</v>
      </c>
      <c r="U48" s="629">
        <f t="shared" si="82"/>
        <v>2.5400712865511488</v>
      </c>
      <c r="V48" s="636">
        <f t="shared" si="114"/>
        <v>-0.97020291075037846</v>
      </c>
      <c r="W48" s="585">
        <f t="shared" si="224"/>
        <v>138.71997997131294</v>
      </c>
      <c r="X48" s="629">
        <f t="shared" si="83"/>
        <v>3.8501116119366205</v>
      </c>
      <c r="Y48" s="630">
        <f t="shared" si="223"/>
        <v>-0.97020291075037846</v>
      </c>
      <c r="Z48" s="632">
        <f t="shared" si="243"/>
        <v>-0.43611422161668856</v>
      </c>
      <c r="AA48" s="629">
        <f t="shared" si="244"/>
        <v>0.87105037881500791</v>
      </c>
      <c r="AB48" s="629">
        <f t="shared" si="245"/>
        <v>-0.22599916652479352</v>
      </c>
      <c r="AC48" s="636">
        <f t="shared" si="84"/>
        <v>1</v>
      </c>
      <c r="AD48" s="637">
        <f t="shared" si="115"/>
        <v>-0.43611422161668856</v>
      </c>
      <c r="AE48" s="629">
        <f t="shared" si="85"/>
        <v>0.87105037881500791</v>
      </c>
      <c r="AF48" s="633">
        <f t="shared" si="86"/>
        <v>-0.22599916652479352</v>
      </c>
      <c r="AG48" s="602">
        <f t="shared" si="87"/>
        <v>75.454987934424608</v>
      </c>
      <c r="AH48" s="603">
        <f t="shared" si="88"/>
        <v>115.85621474250323</v>
      </c>
      <c r="AI48" s="585">
        <f t="shared" si="89"/>
        <v>-76.938360303992667</v>
      </c>
      <c r="AJ48" s="586">
        <f t="shared" si="90"/>
        <v>-153.4039610126145</v>
      </c>
      <c r="AK48" s="635">
        <f t="shared" si="211"/>
        <v>0.9024037979063213</v>
      </c>
      <c r="AL48" s="629">
        <f t="shared" si="91"/>
        <v>-0.36686749958853826</v>
      </c>
      <c r="AM48" s="634">
        <f t="shared" si="92"/>
        <v>-0.22599916652479352</v>
      </c>
      <c r="AN48" s="581">
        <f t="shared" si="93"/>
        <v>-58.365935908261967</v>
      </c>
      <c r="AO48" s="582">
        <f t="shared" si="94"/>
        <v>25.524142969915651</v>
      </c>
      <c r="AP48" s="585">
        <f t="shared" si="95"/>
        <v>-22.123940983927447</v>
      </c>
      <c r="AQ48" s="586">
        <f t="shared" si="246"/>
        <v>0.59209854368136383</v>
      </c>
      <c r="AS48" s="52">
        <f t="shared" si="406"/>
        <v>-221.28002002868706</v>
      </c>
      <c r="AT48" s="72">
        <f t="shared" si="247"/>
        <v>-0.81653623017490129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4.1239999999999997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-2.6705693735641871</v>
      </c>
      <c r="C49" s="708">
        <v>-3.0227771123556204</v>
      </c>
      <c r="D49" s="709">
        <v>-1.6449049456517157</v>
      </c>
      <c r="E49" s="710">
        <v>0.32093622585232995</v>
      </c>
      <c r="F49" s="708">
        <v>-0.93804441286738749</v>
      </c>
      <c r="G49" s="711">
        <v>0.1306622302884069</v>
      </c>
      <c r="H49" s="710">
        <v>0.26600000000000001</v>
      </c>
      <c r="I49" s="708">
        <v>0.52</v>
      </c>
      <c r="J49" s="570">
        <v>4.1289999999999996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4.1289999999999996</v>
      </c>
      <c r="N49" s="632">
        <f t="shared" si="240"/>
        <v>-2.6705693735641871</v>
      </c>
      <c r="O49" s="629">
        <f t="shared" si="241"/>
        <v>-3.0227771123556204</v>
      </c>
      <c r="P49" s="633">
        <f t="shared" si="242"/>
        <v>-1.6449049456517157</v>
      </c>
      <c r="Q49" s="585">
        <f t="shared" si="113"/>
        <v>228.53997999730171</v>
      </c>
      <c r="R49" s="629">
        <f t="shared" si="79"/>
        <v>4.0334999999999992</v>
      </c>
      <c r="S49" s="634">
        <f t="shared" si="80"/>
        <v>-1.6449049456517157</v>
      </c>
      <c r="T49" s="635">
        <f t="shared" si="81"/>
        <v>-3.0227771123556204</v>
      </c>
      <c r="U49" s="629">
        <f t="shared" si="82"/>
        <v>2.6705693735641867</v>
      </c>
      <c r="V49" s="636">
        <f t="shared" si="114"/>
        <v>-1.6449049456517157</v>
      </c>
      <c r="W49" s="585">
        <f t="shared" si="224"/>
        <v>138.53997999730171</v>
      </c>
      <c r="X49" s="629">
        <f t="shared" si="83"/>
        <v>4.0334999999999992</v>
      </c>
      <c r="Y49" s="630">
        <f t="shared" si="223"/>
        <v>-1.6449049456517157</v>
      </c>
      <c r="Z49" s="632">
        <f t="shared" si="243"/>
        <v>-0.32093622585232995</v>
      </c>
      <c r="AA49" s="629">
        <f t="shared" si="244"/>
        <v>0.93804441286738749</v>
      </c>
      <c r="AB49" s="629">
        <f t="shared" si="245"/>
        <v>-0.1306622302884069</v>
      </c>
      <c r="AC49" s="636">
        <f t="shared" si="84"/>
        <v>1</v>
      </c>
      <c r="AD49" s="637">
        <f t="shared" si="115"/>
        <v>-0.32093622585232995</v>
      </c>
      <c r="AE49" s="629">
        <f t="shared" si="85"/>
        <v>0.93804441286738749</v>
      </c>
      <c r="AF49" s="633">
        <f t="shared" si="86"/>
        <v>-0.1306622302884069</v>
      </c>
      <c r="AG49" s="602">
        <f t="shared" si="87"/>
        <v>82.070170217592562</v>
      </c>
      <c r="AH49" s="603">
        <f t="shared" si="88"/>
        <v>108.71955329991658</v>
      </c>
      <c r="AI49" s="585">
        <f t="shared" si="89"/>
        <v>-82.492138264164254</v>
      </c>
      <c r="AJ49" s="586">
        <f t="shared" si="90"/>
        <v>-161.11247481292088</v>
      </c>
      <c r="AK49" s="635">
        <f t="shared" si="211"/>
        <v>0.86159200646556644</v>
      </c>
      <c r="AL49" s="629">
        <f t="shared" si="91"/>
        <v>-0.49049627518534622</v>
      </c>
      <c r="AM49" s="634">
        <f t="shared" si="92"/>
        <v>-0.1306622302884069</v>
      </c>
      <c r="AN49" s="581">
        <f t="shared" si="93"/>
        <v>-75.083500244443968</v>
      </c>
      <c r="AO49" s="582">
        <f t="shared" si="94"/>
        <v>30.504194035191837</v>
      </c>
      <c r="AP49" s="585">
        <f t="shared" si="95"/>
        <v>-29.652454810222611</v>
      </c>
      <c r="AQ49" s="586">
        <f t="shared" si="246"/>
        <v>0.56517979168481269</v>
      </c>
      <c r="AS49" s="52">
        <f t="shared" si="406"/>
        <v>-221.46002000269829</v>
      </c>
      <c r="AT49" s="72">
        <f t="shared" si="247"/>
        <v>-1.4911132650942864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4.1289999999999996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-2.6720960691792572</v>
      </c>
      <c r="C50" s="708">
        <v>-3.0223782699939039</v>
      </c>
      <c r="D50" s="709">
        <v>-2.6449079616608118</v>
      </c>
      <c r="E50" s="710">
        <v>0.31831735948580736</v>
      </c>
      <c r="F50" s="708">
        <v>-0.94063236909328574</v>
      </c>
      <c r="G50" s="711">
        <v>0.11783380187338462</v>
      </c>
      <c r="H50" s="710">
        <v>0.26600000000000001</v>
      </c>
      <c r="I50" s="708">
        <v>0.52</v>
      </c>
      <c r="J50" s="570">
        <v>4.1319999999999997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4.1319999999999997</v>
      </c>
      <c r="N50" s="632">
        <f t="shared" si="240"/>
        <v>-2.6720960691792572</v>
      </c>
      <c r="O50" s="629">
        <f t="shared" si="241"/>
        <v>-3.0223782699939039</v>
      </c>
      <c r="P50" s="633">
        <f t="shared" si="242"/>
        <v>-2.6449079616608118</v>
      </c>
      <c r="Q50" s="585">
        <f t="shared" si="113"/>
        <v>228.51998000018938</v>
      </c>
      <c r="R50" s="629">
        <f t="shared" si="79"/>
        <v>4.0342121671838953</v>
      </c>
      <c r="S50" s="634">
        <f t="shared" si="80"/>
        <v>-2.6449079616608118</v>
      </c>
      <c r="T50" s="635">
        <f t="shared" si="81"/>
        <v>-3.0223782699939048</v>
      </c>
      <c r="U50" s="629">
        <f t="shared" si="82"/>
        <v>2.6720960691792559</v>
      </c>
      <c r="V50" s="636">
        <f t="shared" si="114"/>
        <v>-2.6449079616608118</v>
      </c>
      <c r="W50" s="585">
        <f t="shared" si="224"/>
        <v>138.51998000018938</v>
      </c>
      <c r="X50" s="629">
        <f t="shared" si="83"/>
        <v>4.0342121671838953</v>
      </c>
      <c r="Y50" s="630">
        <f t="shared" si="223"/>
        <v>-2.6449079616608118</v>
      </c>
      <c r="Z50" s="632">
        <f t="shared" si="243"/>
        <v>-0.31831735948580736</v>
      </c>
      <c r="AA50" s="629">
        <f t="shared" si="244"/>
        <v>0.94063236909328574</v>
      </c>
      <c r="AB50" s="629">
        <f t="shared" si="245"/>
        <v>-0.11783380187338462</v>
      </c>
      <c r="AC50" s="636">
        <f t="shared" si="84"/>
        <v>1</v>
      </c>
      <c r="AD50" s="637">
        <f t="shared" si="115"/>
        <v>-0.31831735948580736</v>
      </c>
      <c r="AE50" s="629">
        <f t="shared" si="85"/>
        <v>0.94063236909328574</v>
      </c>
      <c r="AF50" s="633">
        <f t="shared" si="86"/>
        <v>-0.11783380187338462</v>
      </c>
      <c r="AG50" s="602">
        <f t="shared" si="87"/>
        <v>82.859705218029802</v>
      </c>
      <c r="AH50" s="603">
        <f t="shared" si="88"/>
        <v>108.5611963996291</v>
      </c>
      <c r="AI50" s="585">
        <f t="shared" si="89"/>
        <v>-83.232898437509533</v>
      </c>
      <c r="AJ50" s="586">
        <f t="shared" si="90"/>
        <v>-161.30377818692233</v>
      </c>
      <c r="AK50" s="635">
        <f t="shared" si="211"/>
        <v>0.86151530515431451</v>
      </c>
      <c r="AL50" s="629">
        <f t="shared" si="91"/>
        <v>-0.49386898477322122</v>
      </c>
      <c r="AM50" s="634">
        <f t="shared" si="92"/>
        <v>-0.11783380187338462</v>
      </c>
      <c r="AN50" s="581">
        <f t="shared" si="93"/>
        <v>-76.580502560221092</v>
      </c>
      <c r="AO50" s="582">
        <f t="shared" si="94"/>
        <v>30.512850626206976</v>
      </c>
      <c r="AP50" s="585">
        <f t="shared" si="95"/>
        <v>-29.823758187111721</v>
      </c>
      <c r="AQ50" s="586">
        <f t="shared" si="246"/>
        <v>0.56508002588631856</v>
      </c>
      <c r="AS50" s="52">
        <f t="shared" si="406"/>
        <v>-221.48001999981062</v>
      </c>
      <c r="AT50" s="72">
        <f t="shared" si="247"/>
        <v>-2.491102392216499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4.1319999999999997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-2.2248312102295444</v>
      </c>
      <c r="C51" s="708">
        <v>-1.4672855686670809</v>
      </c>
      <c r="D51" s="709">
        <v>-0.11590021353344399</v>
      </c>
      <c r="E51" s="710">
        <v>0.47723462288120189</v>
      </c>
      <c r="F51" s="708">
        <v>-0.84169396019358844</v>
      </c>
      <c r="G51" s="711">
        <v>0.25258343591192017</v>
      </c>
      <c r="H51" s="710">
        <v>0.26600000000000001</v>
      </c>
      <c r="I51" s="708">
        <v>0.52</v>
      </c>
      <c r="J51" s="570">
        <v>4.2130000000000001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4.2130000000000001</v>
      </c>
      <c r="N51" s="632">
        <f t="shared" si="240"/>
        <v>-2.2248312102295444</v>
      </c>
      <c r="O51" s="629">
        <f t="shared" si="241"/>
        <v>-1.4672855686670809</v>
      </c>
      <c r="P51" s="633">
        <f t="shared" si="242"/>
        <v>-0.11590021353344399</v>
      </c>
      <c r="Q51" s="585">
        <f t="shared" si="113"/>
        <v>213.40501969426501</v>
      </c>
      <c r="R51" s="629">
        <f t="shared" si="79"/>
        <v>2.6651080379658421</v>
      </c>
      <c r="S51" s="634">
        <f t="shared" si="80"/>
        <v>-0.11590021353344399</v>
      </c>
      <c r="T51" s="635">
        <f t="shared" si="81"/>
        <v>-1.4672855686670812</v>
      </c>
      <c r="U51" s="629">
        <f t="shared" si="82"/>
        <v>2.2248312102295444</v>
      </c>
      <c r="V51" s="636">
        <f t="shared" si="114"/>
        <v>-0.11590021353344399</v>
      </c>
      <c r="W51" s="585">
        <f t="shared" si="224"/>
        <v>123.40501969426501</v>
      </c>
      <c r="X51" s="629">
        <f t="shared" si="83"/>
        <v>2.6651080379658421</v>
      </c>
      <c r="Y51" s="630">
        <f t="shared" si="223"/>
        <v>-0.11590021353344399</v>
      </c>
      <c r="Z51" s="632">
        <f t="shared" si="243"/>
        <v>-0.47723462288120189</v>
      </c>
      <c r="AA51" s="629">
        <f t="shared" si="244"/>
        <v>0.84169396019358844</v>
      </c>
      <c r="AB51" s="629">
        <f t="shared" si="245"/>
        <v>-0.25258343591192017</v>
      </c>
      <c r="AC51" s="636">
        <f t="shared" si="84"/>
        <v>1</v>
      </c>
      <c r="AD51" s="637">
        <f t="shared" si="115"/>
        <v>-0.47723462288120189</v>
      </c>
      <c r="AE51" s="629">
        <f t="shared" si="85"/>
        <v>0.84169396019358844</v>
      </c>
      <c r="AF51" s="633">
        <f t="shared" si="86"/>
        <v>-0.25258343591192017</v>
      </c>
      <c r="AG51" s="602">
        <f t="shared" si="87"/>
        <v>73.296056550582819</v>
      </c>
      <c r="AH51" s="603">
        <f t="shared" si="88"/>
        <v>118.50494609157028</v>
      </c>
      <c r="AI51" s="585">
        <f t="shared" si="89"/>
        <v>-75.369560565075147</v>
      </c>
      <c r="AJ51" s="586">
        <f t="shared" si="90"/>
        <v>-150.44706481986978</v>
      </c>
      <c r="AK51" s="635">
        <f t="shared" si="211"/>
        <v>0.96538918140294894</v>
      </c>
      <c r="AL51" s="629">
        <f t="shared" si="91"/>
        <v>-6.500258712599799E-2</v>
      </c>
      <c r="AM51" s="634">
        <f t="shared" si="92"/>
        <v>-0.25258343591192017</v>
      </c>
      <c r="AN51" s="581">
        <f t="shared" si="93"/>
        <v>-14.43195592389568</v>
      </c>
      <c r="AO51" s="582">
        <f t="shared" si="94"/>
        <v>15.118343129732333</v>
      </c>
      <c r="AP51" s="585">
        <f t="shared" si="95"/>
        <v>-3.8520845141347859</v>
      </c>
      <c r="AQ51" s="586">
        <f t="shared" si="246"/>
        <v>0.85533390992579583</v>
      </c>
      <c r="AS51" s="52">
        <f t="shared" si="406"/>
        <v>-236.59498030573499</v>
      </c>
      <c r="AT51" s="72">
        <f t="shared" si="247"/>
        <v>4.8401856123316434E-2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4.2130000000000001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3.113</v>
      </c>
      <c r="II51" s="734" cm="1">
        <f t="array" ref="II51">IFERROR(ROUND(VALUE(IF($IH51&lt;1,$IH51+LARGE((IF($M$9:$M$150="",0,$M$9:$M$150)-MOD(IF($M$9:$M$150="",0,$M$9:$M$150),1)),1),$IH51)),4),"")</f>
        <v>3.113</v>
      </c>
      <c r="IJ51" s="533">
        <f t="shared" si="112"/>
        <v>1313</v>
      </c>
      <c r="IK51" s="533">
        <f t="shared" si="382"/>
        <v>1313</v>
      </c>
      <c r="IL51" s="727">
        <f t="shared" si="225"/>
        <v>96.354948576321277</v>
      </c>
      <c r="IM51" s="759">
        <v>1.6005809980525001E-2</v>
      </c>
      <c r="IN51" s="5">
        <f t="shared" si="226"/>
        <v>0.16</v>
      </c>
      <c r="IO51" s="771">
        <v>80</v>
      </c>
      <c r="IP51" s="9">
        <f t="shared" si="227"/>
        <v>-2.6651080379658421</v>
      </c>
      <c r="IQ51" s="5">
        <f t="shared" si="228"/>
        <v>-7.220021353344408E-2</v>
      </c>
      <c r="IR51" s="5">
        <f t="shared" si="383"/>
        <v>0.26600000000000001</v>
      </c>
      <c r="IS51" s="5">
        <f t="shared" si="229"/>
        <v>0.25679352225318447</v>
      </c>
      <c r="IT51" s="727">
        <f t="shared" si="230"/>
        <v>14.431955923895634</v>
      </c>
      <c r="IU51" s="9">
        <f t="shared" si="231"/>
        <v>-2.6651080379658421</v>
      </c>
      <c r="IV51" s="5">
        <f t="shared" si="232"/>
        <v>-0.11590021353344399</v>
      </c>
      <c r="IW51" s="5">
        <f t="shared" si="384"/>
        <v>0.26600000000000001</v>
      </c>
      <c r="IX51" s="5">
        <f t="shared" si="233"/>
        <v>0.25679352225318441</v>
      </c>
      <c r="IY51" s="762">
        <f t="shared" si="234"/>
        <v>14.43195592389568</v>
      </c>
    </row>
    <row r="52" spans="1:259" ht="15" customHeight="1" x14ac:dyDescent="0.25">
      <c r="A52" s="79"/>
      <c r="B52" s="707">
        <v>-2.7456795019388016</v>
      </c>
      <c r="C52" s="708">
        <v>-1.8443231344656423</v>
      </c>
      <c r="D52" s="709">
        <v>-0.38060101187105216</v>
      </c>
      <c r="E52" s="710">
        <v>0.36374799146906445</v>
      </c>
      <c r="F52" s="708">
        <v>-0.8922403813564681</v>
      </c>
      <c r="G52" s="711">
        <v>0.26757148685741139</v>
      </c>
      <c r="H52" s="710">
        <v>0.26600000000000001</v>
      </c>
      <c r="I52" s="708">
        <v>0.52</v>
      </c>
      <c r="J52" s="570">
        <v>4.218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4.218</v>
      </c>
      <c r="N52" s="632">
        <f t="shared" si="240"/>
        <v>-2.7456795019388016</v>
      </c>
      <c r="O52" s="629">
        <f t="shared" si="241"/>
        <v>-1.8443231344656423</v>
      </c>
      <c r="P52" s="633">
        <f t="shared" si="242"/>
        <v>-0.38060101187105216</v>
      </c>
      <c r="Q52" s="585">
        <f t="shared" si="113"/>
        <v>213.88997978650386</v>
      </c>
      <c r="R52" s="629">
        <f t="shared" si="79"/>
        <v>3.3076099757516872</v>
      </c>
      <c r="S52" s="634">
        <f t="shared" si="80"/>
        <v>-0.38060101187105216</v>
      </c>
      <c r="T52" s="635">
        <f t="shared" si="81"/>
        <v>-1.8443231344656439</v>
      </c>
      <c r="U52" s="629">
        <f t="shared" si="82"/>
        <v>2.7456795019388007</v>
      </c>
      <c r="V52" s="636">
        <f t="shared" si="114"/>
        <v>-0.38060101187105216</v>
      </c>
      <c r="W52" s="585">
        <f t="shared" si="224"/>
        <v>123.88997978650386</v>
      </c>
      <c r="X52" s="629">
        <f t="shared" si="83"/>
        <v>3.3076099757516872</v>
      </c>
      <c r="Y52" s="630">
        <f t="shared" si="223"/>
        <v>-0.38060101187105216</v>
      </c>
      <c r="Z52" s="632">
        <f t="shared" si="243"/>
        <v>-0.36374799146906445</v>
      </c>
      <c r="AA52" s="629">
        <f t="shared" si="244"/>
        <v>0.8922403813564681</v>
      </c>
      <c r="AB52" s="629">
        <f t="shared" si="245"/>
        <v>-0.26757148685741139</v>
      </c>
      <c r="AC52" s="636">
        <f t="shared" si="84"/>
        <v>1</v>
      </c>
      <c r="AD52" s="637">
        <f t="shared" si="115"/>
        <v>-0.36374799146906445</v>
      </c>
      <c r="AE52" s="629">
        <f t="shared" si="85"/>
        <v>0.8922403813564681</v>
      </c>
      <c r="AF52" s="633">
        <f t="shared" si="86"/>
        <v>-0.26757148685741139</v>
      </c>
      <c r="AG52" s="602">
        <f t="shared" si="87"/>
        <v>73.306684263437106</v>
      </c>
      <c r="AH52" s="603">
        <f t="shared" si="88"/>
        <v>111.33055225592102</v>
      </c>
      <c r="AI52" s="585">
        <f t="shared" si="89"/>
        <v>-74.48019286646057</v>
      </c>
      <c r="AJ52" s="586">
        <f t="shared" si="90"/>
        <v>-157.82029160705389</v>
      </c>
      <c r="AK52" s="635">
        <f t="shared" si="211"/>
        <v>0.9434833564272086</v>
      </c>
      <c r="AL52" s="629">
        <f t="shared" si="91"/>
        <v>-0.19556240836562383</v>
      </c>
      <c r="AM52" s="634">
        <f t="shared" si="92"/>
        <v>-0.26757148685741139</v>
      </c>
      <c r="AN52" s="581">
        <f t="shared" si="93"/>
        <v>-36.162288961298025</v>
      </c>
      <c r="AO52" s="582">
        <f t="shared" si="94"/>
        <v>19.354980866190864</v>
      </c>
      <c r="AP52" s="585">
        <f t="shared" si="95"/>
        <v>-11.710271393557758</v>
      </c>
      <c r="AQ52" s="586">
        <f t="shared" si="246"/>
        <v>0.6892035921804156</v>
      </c>
      <c r="AS52" s="52">
        <f t="shared" si="406"/>
        <v>-236.11002021349614</v>
      </c>
      <c r="AT52" s="72">
        <f t="shared" si="247"/>
        <v>-0.21663572005612428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4.218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3.1179999999999999</v>
      </c>
      <c r="II52" s="734" cm="1">
        <f t="array" ref="II52">IFERROR(ROUND(VALUE(IF($IH52&lt;1,$IH52+LARGE((IF($M$9:$M$150="",0,$M$9:$M$150)-MOD(IF($M$9:$M$150="",0,$M$9:$M$150),1)),1),$IH52)),4),"")</f>
        <v>3.1179999999999999</v>
      </c>
      <c r="IJ52" s="533">
        <f t="shared" si="112"/>
        <v>1313</v>
      </c>
      <c r="IK52" s="533">
        <f t="shared" si="382"/>
        <v>1313</v>
      </c>
      <c r="IL52" s="727">
        <f t="shared" si="225"/>
        <v>95.369988556273512</v>
      </c>
      <c r="IM52" s="759">
        <v>1.18691759029411E-3</v>
      </c>
      <c r="IN52" s="5">
        <f t="shared" si="226"/>
        <v>0</v>
      </c>
      <c r="IO52" s="771">
        <v>0</v>
      </c>
      <c r="IP52" s="9">
        <f t="shared" si="227"/>
        <v>-3.3076099757516881</v>
      </c>
      <c r="IQ52" s="5">
        <f t="shared" si="228"/>
        <v>-0.33690101187105198</v>
      </c>
      <c r="IR52" s="5">
        <f t="shared" si="383"/>
        <v>0.26600000000000001</v>
      </c>
      <c r="IS52" s="5">
        <f t="shared" si="229"/>
        <v>0.25096657280963752</v>
      </c>
      <c r="IT52" s="727">
        <f t="shared" si="230"/>
        <v>36.162288961298081</v>
      </c>
      <c r="IU52" s="9">
        <f t="shared" si="231"/>
        <v>-3.3076099757516872</v>
      </c>
      <c r="IV52" s="5">
        <f t="shared" si="232"/>
        <v>-0.38060101187105216</v>
      </c>
      <c r="IW52" s="5">
        <f t="shared" si="384"/>
        <v>0.26600000000000001</v>
      </c>
      <c r="IX52" s="5">
        <f t="shared" si="233"/>
        <v>0.25096657280963752</v>
      </c>
      <c r="IY52" s="762">
        <f t="shared" si="234"/>
        <v>36.162288961298025</v>
      </c>
    </row>
    <row r="53" spans="1:259" ht="15" customHeight="1" x14ac:dyDescent="0.25">
      <c r="A53" s="79"/>
      <c r="B53" s="707">
        <v>-3.1215795554220045</v>
      </c>
      <c r="C53" s="708">
        <v>-2.1373885124559471</v>
      </c>
      <c r="D53" s="709">
        <v>-0.88720253978125974</v>
      </c>
      <c r="E53" s="710">
        <v>0.23414705382864953</v>
      </c>
      <c r="F53" s="708">
        <v>-0.94241664136627734</v>
      </c>
      <c r="G53" s="711">
        <v>0.23880123797683558</v>
      </c>
      <c r="H53" s="710">
        <v>0.26600000000000001</v>
      </c>
      <c r="I53" s="708">
        <v>0.52</v>
      </c>
      <c r="J53" s="570">
        <v>4.2229999999999999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4.2229999999999999</v>
      </c>
      <c r="N53" s="632">
        <f t="shared" si="240"/>
        <v>-3.1215795554220045</v>
      </c>
      <c r="O53" s="629">
        <f t="shared" si="241"/>
        <v>-2.1373885124559471</v>
      </c>
      <c r="P53" s="633">
        <f t="shared" si="242"/>
        <v>-0.88720253978125974</v>
      </c>
      <c r="Q53" s="585">
        <f t="shared" si="113"/>
        <v>214.39997978650385</v>
      </c>
      <c r="R53" s="629">
        <f t="shared" ref="R53:R58" si="410">IF(M53="","",SQRT(N53^2+O53^2))</f>
        <v>3.7832114101656131</v>
      </c>
      <c r="S53" s="634">
        <f t="shared" ref="S53:S58" si="411">IF(M53="","",P53)</f>
        <v>-0.88720253978125974</v>
      </c>
      <c r="T53" s="635">
        <f t="shared" ref="T53:T58" si="412">IF(M53="","",X53*COS(RADIANS(W53)))</f>
        <v>-2.1373885124559484</v>
      </c>
      <c r="U53" s="629">
        <f t="shared" ref="U53:U58" si="413">IF(M53="","",X53*SIN(RADIANS(W53)))</f>
        <v>3.121579555422004</v>
      </c>
      <c r="V53" s="636">
        <f t="shared" ref="V53:V58" si="414">IF(M53="","",Y53)</f>
        <v>-0.88720253978125974</v>
      </c>
      <c r="W53" s="585">
        <f t="shared" si="224"/>
        <v>124.39997978650385</v>
      </c>
      <c r="X53" s="629">
        <f t="shared" ref="X53:X58" si="415">IF(M53="","",R53)</f>
        <v>3.7832114101656131</v>
      </c>
      <c r="Y53" s="630">
        <f t="shared" si="223"/>
        <v>-0.88720253978125974</v>
      </c>
      <c r="Z53" s="632">
        <f t="shared" si="243"/>
        <v>-0.23414705382864953</v>
      </c>
      <c r="AA53" s="629">
        <f t="shared" si="244"/>
        <v>0.94241664136627734</v>
      </c>
      <c r="AB53" s="629">
        <f t="shared" si="245"/>
        <v>-0.23880123797683558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-0.23414705382864953</v>
      </c>
      <c r="AE53" s="629">
        <f t="shared" ref="AE53:AE58" si="418">IF(M53="","",AA53*(1/SQRT(Z53^2+AA53^2+AB53^2)))</f>
        <v>0.94241664136627734</v>
      </c>
      <c r="AF53" s="633">
        <f t="shared" ref="AF53:AF58" si="419">IF(M53="","",AB53*(1/SQRT(Z53^2+AA53^2+AB53^2)))</f>
        <v>-0.23880123797683558</v>
      </c>
      <c r="AG53" s="602">
        <f t="shared" ref="AG53:AG58" si="420">IF(M53="","",DEGREES(ATAN2(-AF53,AE53)))</f>
        <v>75.780965058835505</v>
      </c>
      <c r="AH53" s="603">
        <f t="shared" ref="AH53:AH58" si="421">IF(M53="","",DEGREES(ACOS(AD53)))</f>
        <v>103.54134986061385</v>
      </c>
      <c r="AI53" s="585">
        <f t="shared" ref="AI53:AI58" si="422">IF(M53="","",DEGREES(-ACOS(-AF53)))</f>
        <v>-76.184200736427854</v>
      </c>
      <c r="AJ53" s="586">
        <f t="shared" ref="AJ53:AJ58" si="423">IF(M53="","",DEGREES(ATAN2(-AE53,AD53)))</f>
        <v>-166.04716300645771</v>
      </c>
      <c r="AK53" s="635">
        <f t="shared" ref="AK53:AK58" si="424">IF(M53="","",(COS(RADIANS((90-$Q$8)-W53))*AD53)+(-SIN(RADIANS((90-$Q$8)-W53))*AE53))</f>
        <v>0.9098861708356164</v>
      </c>
      <c r="AL53" s="629">
        <f t="shared" ref="AL53:AL58" si="425">IF(M53="","",(SIN(RADIANS((90-$Q$8)-W53))*AD53)+(COS(RADIANS((90-$Q$8)-W53))*AE53))</f>
        <v>-0.33923609015379041</v>
      </c>
      <c r="AM53" s="634">
        <f t="shared" ref="AM53:AM58" si="426">IF(M53="","",AF53)</f>
        <v>-0.23880123797683558</v>
      </c>
      <c r="AN53" s="581">
        <f t="shared" ref="AN53:AN58" si="427">IF(M53="","",DEGREES(ATAN2(-AM53,AL53)))</f>
        <v>-54.856822605621318</v>
      </c>
      <c r="AO53" s="582">
        <f t="shared" si="94"/>
        <v>24.510374079812362</v>
      </c>
      <c r="AP53" s="585">
        <f t="shared" ref="AP53:AP58" si="428">IF(M53="","",DEGREES(ATAN2(AK53,AL53)))</f>
        <v>-20.447142792961568</v>
      </c>
      <c r="AQ53" s="586">
        <f t="shared" si="246"/>
        <v>0.60256811897452955</v>
      </c>
      <c r="AS53" s="52">
        <f t="shared" si="406"/>
        <v>-235.60002021349615</v>
      </c>
      <c r="AT53" s="72">
        <f t="shared" si="247"/>
        <v>-0.72359141463299848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4.2229999999999999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3.1230000000000002</v>
      </c>
      <c r="II53" s="734" cm="1">
        <f t="array" ref="II53">IFERROR(ROUND(VALUE(IF($IH53&lt;1,$IH53+LARGE((IF($M$9:$M$150="",0,$M$9:$M$150)-MOD(IF($M$9:$M$150="",0,$M$9:$M$150),1)),1),$IH53)),4),"")</f>
        <v>3.1230000000000002</v>
      </c>
      <c r="IJ53" s="533">
        <f t="shared" si="112"/>
        <v>1313</v>
      </c>
      <c r="IK53" s="533">
        <f t="shared" si="382"/>
        <v>1313</v>
      </c>
      <c r="IL53" s="727">
        <f t="shared" si="225"/>
        <v>94.38998862413311</v>
      </c>
      <c r="IM53" s="759">
        <v>1.09074824771882E-3</v>
      </c>
      <c r="IN53" s="5">
        <f t="shared" si="226"/>
        <v>0</v>
      </c>
      <c r="IO53" s="771">
        <v>0</v>
      </c>
      <c r="IP53" s="9">
        <f t="shared" si="227"/>
        <v>-3.7832114101656136</v>
      </c>
      <c r="IQ53" s="5">
        <f t="shared" si="228"/>
        <v>-0.84350253978126022</v>
      </c>
      <c r="IR53" s="5">
        <f t="shared" si="383"/>
        <v>0.26600000000000001</v>
      </c>
      <c r="IS53" s="5">
        <f t="shared" si="229"/>
        <v>0.24202972144227397</v>
      </c>
      <c r="IT53" s="727">
        <f t="shared" si="230"/>
        <v>54.856822605621304</v>
      </c>
      <c r="IU53" s="9">
        <f t="shared" si="231"/>
        <v>-3.7832114101656131</v>
      </c>
      <c r="IV53" s="5">
        <f t="shared" si="232"/>
        <v>-0.88720253978125974</v>
      </c>
      <c r="IW53" s="5">
        <f t="shared" si="384"/>
        <v>0.26600000000000001</v>
      </c>
      <c r="IX53" s="5">
        <f t="shared" si="233"/>
        <v>0.24202972144227397</v>
      </c>
      <c r="IY53" s="762">
        <f t="shared" si="234"/>
        <v>54.856822605621318</v>
      </c>
    </row>
    <row r="54" spans="1:259" ht="15" customHeight="1" x14ac:dyDescent="0.25">
      <c r="A54" s="79"/>
      <c r="B54" s="707">
        <v>-3.3197624509001726</v>
      </c>
      <c r="C54" s="708">
        <v>-2.273087070394197</v>
      </c>
      <c r="D54" s="709">
        <v>-1.5451999999999999</v>
      </c>
      <c r="E54" s="710">
        <v>0.10395132875051853</v>
      </c>
      <c r="F54" s="708">
        <v>-0.98345160860425751</v>
      </c>
      <c r="G54" s="711">
        <v>0.14838145027158894</v>
      </c>
      <c r="H54" s="710">
        <v>0.26600000000000001</v>
      </c>
      <c r="I54" s="708">
        <v>0.52</v>
      </c>
      <c r="J54" s="570">
        <v>4.2279999999999998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4.2279999999999998</v>
      </c>
      <c r="N54" s="632">
        <f t="shared" si="240"/>
        <v>-3.3197624509001726</v>
      </c>
      <c r="O54" s="629">
        <f t="shared" si="241"/>
        <v>-2.273087070394197</v>
      </c>
      <c r="P54" s="633">
        <f t="shared" si="242"/>
        <v>-1.5451999999999999</v>
      </c>
      <c r="Q54" s="585">
        <f t="shared" si="113"/>
        <v>214.39997978650385</v>
      </c>
      <c r="R54" s="629">
        <f t="shared" si="410"/>
        <v>4.0233999999999996</v>
      </c>
      <c r="S54" s="634">
        <f t="shared" si="411"/>
        <v>-1.5451999999999999</v>
      </c>
      <c r="T54" s="635">
        <f t="shared" si="412"/>
        <v>-2.2730870703941997</v>
      </c>
      <c r="U54" s="629">
        <f t="shared" si="413"/>
        <v>3.3197624509001713</v>
      </c>
      <c r="V54" s="636">
        <f t="shared" si="414"/>
        <v>-1.5451999999999999</v>
      </c>
      <c r="W54" s="585">
        <f t="shared" si="224"/>
        <v>124.39997978650385</v>
      </c>
      <c r="X54" s="629">
        <f t="shared" si="415"/>
        <v>4.0233999999999996</v>
      </c>
      <c r="Y54" s="630">
        <f t="shared" si="223"/>
        <v>-1.5451999999999999</v>
      </c>
      <c r="Z54" s="632">
        <f t="shared" si="243"/>
        <v>-0.10395132875051853</v>
      </c>
      <c r="AA54" s="629">
        <f t="shared" si="244"/>
        <v>0.98345160860425751</v>
      </c>
      <c r="AB54" s="629">
        <f t="shared" si="245"/>
        <v>-0.14838145027158894</v>
      </c>
      <c r="AC54" s="636">
        <f t="shared" si="416"/>
        <v>1</v>
      </c>
      <c r="AD54" s="637">
        <f t="shared" si="417"/>
        <v>-0.10395132875051853</v>
      </c>
      <c r="AE54" s="629">
        <f t="shared" si="418"/>
        <v>0.98345160860425751</v>
      </c>
      <c r="AF54" s="633">
        <f t="shared" si="419"/>
        <v>-0.14838145027158894</v>
      </c>
      <c r="AG54" s="602">
        <f t="shared" si="420"/>
        <v>81.420028431146861</v>
      </c>
      <c r="AH54" s="603">
        <f t="shared" si="421"/>
        <v>95.966751495700109</v>
      </c>
      <c r="AI54" s="585">
        <f t="shared" si="422"/>
        <v>-81.466859129068055</v>
      </c>
      <c r="AJ54" s="586">
        <f t="shared" si="423"/>
        <v>-173.96621180727524</v>
      </c>
      <c r="AK54" s="635">
        <f t="shared" si="424"/>
        <v>0.87018843362700371</v>
      </c>
      <c r="AL54" s="629">
        <f t="shared" si="425"/>
        <v>-0.46984575681502316</v>
      </c>
      <c r="AM54" s="634">
        <f t="shared" si="426"/>
        <v>-0.14838145027158894</v>
      </c>
      <c r="AN54" s="581">
        <f t="shared" si="427"/>
        <v>-72.473421885429687</v>
      </c>
      <c r="AO54" s="582">
        <f t="shared" si="94"/>
        <v>29.519455912547553</v>
      </c>
      <c r="AP54" s="585">
        <f t="shared" si="428"/>
        <v>-28.366191593779099</v>
      </c>
      <c r="AQ54" s="586">
        <f t="shared" si="246"/>
        <v>0.56659847842128663</v>
      </c>
      <c r="AS54" s="52">
        <f t="shared" si="406"/>
        <v>-235.60002021349615</v>
      </c>
      <c r="AT54" s="72">
        <f t="shared" si="247"/>
        <v>-1.3815888748517386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4.2279999999999998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3.1280000000000001</v>
      </c>
      <c r="II54" s="734" cm="1">
        <f t="array" ref="II54">IFERROR(ROUND(VALUE(IF($IH54&lt;1,$IH54+LARGE((IF($M$9:$M$150="",0,$M$9:$M$150)-MOD(IF($M$9:$M$150="",0,$M$9:$M$150),1)),1),$IH54)),4),"")</f>
        <v>3.1280000000000001</v>
      </c>
      <c r="IJ54" s="533">
        <f t="shared" si="112"/>
        <v>1313</v>
      </c>
      <c r="IK54" s="533">
        <f t="shared" si="382"/>
        <v>1313</v>
      </c>
      <c r="IL54" s="727">
        <f t="shared" si="225"/>
        <v>94.149988658784793</v>
      </c>
      <c r="IM54" s="759">
        <v>6.0661952401249504E-4</v>
      </c>
      <c r="IN54" s="5">
        <f t="shared" si="226"/>
        <v>0</v>
      </c>
      <c r="IO54" s="771">
        <v>0</v>
      </c>
      <c r="IP54" s="9">
        <f t="shared" si="227"/>
        <v>-4.0233999999999996</v>
      </c>
      <c r="IQ54" s="5">
        <f t="shared" si="228"/>
        <v>-1.5015045243152458</v>
      </c>
      <c r="IR54" s="5">
        <f t="shared" si="383"/>
        <v>0.26600000000000001</v>
      </c>
      <c r="IS54" s="5">
        <f t="shared" si="229"/>
        <v>0.23147013306125699</v>
      </c>
      <c r="IT54" s="727">
        <f t="shared" si="230"/>
        <v>71.843413057592727</v>
      </c>
      <c r="IU54" s="9">
        <f t="shared" si="231"/>
        <v>-4.0233999999999996</v>
      </c>
      <c r="IV54" s="5">
        <f t="shared" si="232"/>
        <v>-1.5451999999999999</v>
      </c>
      <c r="IW54" s="5">
        <f t="shared" si="384"/>
        <v>0.26600000000000001</v>
      </c>
      <c r="IX54" s="5">
        <f t="shared" si="233"/>
        <v>0.23147012334478301</v>
      </c>
      <c r="IY54" s="762">
        <f t="shared" si="234"/>
        <v>72.473421885429687</v>
      </c>
    </row>
    <row r="55" spans="1:259" ht="15" customHeight="1" x14ac:dyDescent="0.25">
      <c r="A55" s="79"/>
      <c r="B55" s="707">
        <v>-2.1702485820721713</v>
      </c>
      <c r="C55" s="708">
        <v>0.58151679455752214</v>
      </c>
      <c r="D55" s="709">
        <v>-5.190015080045484E-2</v>
      </c>
      <c r="E55" s="710">
        <v>-0.25000017886749293</v>
      </c>
      <c r="F55" s="708">
        <v>-0.93301266409305206</v>
      </c>
      <c r="G55" s="711">
        <v>0.25881900859134593</v>
      </c>
      <c r="H55" s="710">
        <v>0.26600000000000001</v>
      </c>
      <c r="I55" s="708">
        <v>0.52</v>
      </c>
      <c r="J55" s="570">
        <v>5.1100000000000003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5.1100000000000003</v>
      </c>
      <c r="N55" s="632">
        <f t="shared" si="240"/>
        <v>-2.1702485820721713</v>
      </c>
      <c r="O55" s="629">
        <f t="shared" si="241"/>
        <v>0.58151679455752214</v>
      </c>
      <c r="P55" s="633">
        <f t="shared" si="242"/>
        <v>-5.190015080045484E-2</v>
      </c>
      <c r="Q55" s="585">
        <f t="shared" si="113"/>
        <v>164.99998917134133</v>
      </c>
      <c r="R55" s="629">
        <f t="shared" si="410"/>
        <v>2.2468067763692376</v>
      </c>
      <c r="S55" s="634">
        <f t="shared" si="411"/>
        <v>-5.190015080045484E-2</v>
      </c>
      <c r="T55" s="635">
        <f t="shared" si="412"/>
        <v>0.58151679455752225</v>
      </c>
      <c r="U55" s="629">
        <f t="shared" si="413"/>
        <v>2.1702485820721713</v>
      </c>
      <c r="V55" s="636">
        <f t="shared" si="414"/>
        <v>-5.190015080045484E-2</v>
      </c>
      <c r="W55" s="585">
        <f t="shared" si="224"/>
        <v>74.999989171341326</v>
      </c>
      <c r="X55" s="629">
        <f t="shared" si="415"/>
        <v>2.2468067763692376</v>
      </c>
      <c r="Y55" s="630">
        <f t="shared" si="223"/>
        <v>-5.190015080045484E-2</v>
      </c>
      <c r="Z55" s="632">
        <f t="shared" si="243"/>
        <v>0.25000017886749293</v>
      </c>
      <c r="AA55" s="629">
        <f t="shared" si="244"/>
        <v>0.93301266409305206</v>
      </c>
      <c r="AB55" s="629">
        <f t="shared" si="245"/>
        <v>-0.25881900859134593</v>
      </c>
      <c r="AC55" s="636">
        <f t="shared" si="416"/>
        <v>1</v>
      </c>
      <c r="AD55" s="637">
        <f t="shared" si="417"/>
        <v>0.25000017886749293</v>
      </c>
      <c r="AE55" s="629">
        <f t="shared" si="418"/>
        <v>0.93301266409305206</v>
      </c>
      <c r="AF55" s="633">
        <f t="shared" si="419"/>
        <v>-0.25881900859134593</v>
      </c>
      <c r="AG55" s="602">
        <f t="shared" si="420"/>
        <v>74.495911650368512</v>
      </c>
      <c r="AH55" s="603">
        <f t="shared" si="421"/>
        <v>75.522477229616953</v>
      </c>
      <c r="AI55" s="585">
        <f t="shared" si="422"/>
        <v>-75.000002165731729</v>
      </c>
      <c r="AJ55" s="586">
        <f t="shared" si="423"/>
        <v>164.99998917134133</v>
      </c>
      <c r="AK55" s="635">
        <f t="shared" si="424"/>
        <v>0.96592583607220739</v>
      </c>
      <c r="AL55" s="629">
        <f t="shared" si="425"/>
        <v>8.3266726846886741E-17</v>
      </c>
      <c r="AM55" s="634">
        <f t="shared" si="426"/>
        <v>-0.25881900859134593</v>
      </c>
      <c r="AN55" s="581">
        <f t="shared" si="427"/>
        <v>1.8433082052825683E-14</v>
      </c>
      <c r="AO55" s="582">
        <f>IF(ROUND(IF(M55="",0,DEGREES(ACOS(AK55))),4)=90,0,IF(M55="","",DEGREES(ACOS(AK55))))</f>
        <v>14.999997834268255</v>
      </c>
      <c r="AP55" s="585">
        <f t="shared" si="428"/>
        <v>4.9391287032917025E-15</v>
      </c>
      <c r="AQ55" s="586">
        <f t="shared" si="246"/>
        <v>1.014545792866925</v>
      </c>
      <c r="AS55" s="52">
        <f t="shared" si="406"/>
        <v>-285.00001082865867</v>
      </c>
      <c r="AT55" s="72">
        <f t="shared" si="247"/>
        <v>0.14601652338611368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5.1100000000000003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-2.829412704915061</v>
      </c>
      <c r="C56" s="708">
        <v>0.78094478267503331</v>
      </c>
      <c r="D56" s="709">
        <v>-0.14540043279730536</v>
      </c>
      <c r="E56" s="710">
        <v>-0.36426567064893678</v>
      </c>
      <c r="F56" s="708">
        <v>-0.89556515598469633</v>
      </c>
      <c r="G56" s="711">
        <v>0.25548693229358532</v>
      </c>
      <c r="H56" s="710">
        <v>0.26600000000000001</v>
      </c>
      <c r="I56" s="708">
        <v>0.52</v>
      </c>
      <c r="J56" s="570">
        <v>5.1150000000000002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5.1150000000000002</v>
      </c>
      <c r="N56" s="632">
        <f t="shared" si="240"/>
        <v>-2.829412704915061</v>
      </c>
      <c r="O56" s="629">
        <f t="shared" si="241"/>
        <v>0.78094478267503331</v>
      </c>
      <c r="P56" s="633">
        <f t="shared" si="242"/>
        <v>-0.14540043279730536</v>
      </c>
      <c r="Q56" s="585">
        <f t="shared" si="113"/>
        <v>164.56998923342564</v>
      </c>
      <c r="R56" s="629">
        <f t="shared" si="410"/>
        <v>2.9352088525899003</v>
      </c>
      <c r="S56" s="634">
        <f t="shared" si="411"/>
        <v>-0.14540043279730536</v>
      </c>
      <c r="T56" s="635">
        <f t="shared" si="412"/>
        <v>0.78094478267503342</v>
      </c>
      <c r="U56" s="629">
        <f t="shared" si="413"/>
        <v>2.8294127049150615</v>
      </c>
      <c r="V56" s="636">
        <f t="shared" si="414"/>
        <v>-0.14540043279730536</v>
      </c>
      <c r="W56" s="585">
        <f t="shared" si="224"/>
        <v>74.569989233425645</v>
      </c>
      <c r="X56" s="629">
        <f t="shared" si="415"/>
        <v>2.9352088525899003</v>
      </c>
      <c r="Y56" s="630">
        <f t="shared" si="223"/>
        <v>-0.14540043279730536</v>
      </c>
      <c r="Z56" s="632">
        <f t="shared" si="243"/>
        <v>0.36426567064893678</v>
      </c>
      <c r="AA56" s="629">
        <f t="shared" si="244"/>
        <v>0.89556515598469633</v>
      </c>
      <c r="AB56" s="629">
        <f t="shared" si="245"/>
        <v>-0.25548693229358532</v>
      </c>
      <c r="AC56" s="636">
        <f t="shared" si="416"/>
        <v>1</v>
      </c>
      <c r="AD56" s="637">
        <f t="shared" si="417"/>
        <v>0.36426567064893678</v>
      </c>
      <c r="AE56" s="629">
        <f t="shared" si="418"/>
        <v>0.89556515598469633</v>
      </c>
      <c r="AF56" s="633">
        <f t="shared" si="419"/>
        <v>-0.25548693229358532</v>
      </c>
      <c r="AG56" s="602">
        <f t="shared" si="420"/>
        <v>74.077605345144704</v>
      </c>
      <c r="AH56" s="603">
        <f t="shared" si="421"/>
        <v>68.637602187680272</v>
      </c>
      <c r="AI56" s="585">
        <f t="shared" si="422"/>
        <v>-75.197559916085083</v>
      </c>
      <c r="AJ56" s="586">
        <f t="shared" si="423"/>
        <v>157.86626584369139</v>
      </c>
      <c r="AK56" s="635">
        <f t="shared" si="424"/>
        <v>0.96020247517869772</v>
      </c>
      <c r="AL56" s="629">
        <f t="shared" si="425"/>
        <v>-0.11286112744393195</v>
      </c>
      <c r="AM56" s="634">
        <f t="shared" si="426"/>
        <v>-0.25548693229358532</v>
      </c>
      <c r="AN56" s="581">
        <f t="shared" si="427"/>
        <v>-23.833402443844072</v>
      </c>
      <c r="AO56" s="582">
        <f t="shared" ref="AO56:AO119" si="461">IF(ROUND(IF(M56="",0,DEGREES(ACOS(AK56))),4)=90,0,IF(M56="","",DEGREES(ACOS(AK56))))</f>
        <v>16.218721168832623</v>
      </c>
      <c r="AP56" s="585">
        <f t="shared" si="428"/>
        <v>-6.7037233897342512</v>
      </c>
      <c r="AQ56" s="586">
        <f t="shared" si="246"/>
        <v>0.77663536864943894</v>
      </c>
      <c r="AS56" s="52">
        <f t="shared" si="406"/>
        <v>-285.43001076657436</v>
      </c>
      <c r="AT56" s="72">
        <f t="shared" si="247"/>
        <v>5.281485245726017E-2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5.1150000000000002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-3.3878618720296849</v>
      </c>
      <c r="C57" s="708">
        <v>0.96825568626343916</v>
      </c>
      <c r="D57" s="709">
        <v>-0.5152015481174691</v>
      </c>
      <c r="E57" s="710">
        <v>-0.49929343139896282</v>
      </c>
      <c r="F57" s="708">
        <v>-0.82542618412736124</v>
      </c>
      <c r="G57" s="711">
        <v>0.26339643869800683</v>
      </c>
      <c r="H57" s="710">
        <v>0.26600000000000001</v>
      </c>
      <c r="I57" s="708">
        <v>0.52</v>
      </c>
      <c r="J57" s="570">
        <v>5.12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5.12</v>
      </c>
      <c r="N57" s="632">
        <f t="shared" si="240"/>
        <v>-3.3878618720296849</v>
      </c>
      <c r="O57" s="629">
        <f t="shared" si="241"/>
        <v>0.96825568626343916</v>
      </c>
      <c r="P57" s="633">
        <f t="shared" si="242"/>
        <v>-0.5152015481174691</v>
      </c>
      <c r="Q57" s="585">
        <f t="shared" si="113"/>
        <v>164.04998930850434</v>
      </c>
      <c r="R57" s="629">
        <f t="shared" si="410"/>
        <v>3.5235106269080507</v>
      </c>
      <c r="S57" s="634">
        <f t="shared" si="411"/>
        <v>-0.5152015481174691</v>
      </c>
      <c r="T57" s="635">
        <f t="shared" si="412"/>
        <v>0.96825568626343939</v>
      </c>
      <c r="U57" s="629">
        <f t="shared" si="413"/>
        <v>3.3878618720296849</v>
      </c>
      <c r="V57" s="636">
        <f t="shared" si="414"/>
        <v>-0.5152015481174691</v>
      </c>
      <c r="W57" s="585">
        <f t="shared" si="224"/>
        <v>74.049989308504337</v>
      </c>
      <c r="X57" s="629">
        <f t="shared" si="415"/>
        <v>3.5235106269080507</v>
      </c>
      <c r="Y57" s="630">
        <f t="shared" si="223"/>
        <v>-0.5152015481174691</v>
      </c>
      <c r="Z57" s="632">
        <f t="shared" si="243"/>
        <v>0.49929343139896282</v>
      </c>
      <c r="AA57" s="629">
        <f t="shared" si="244"/>
        <v>0.82542618412736124</v>
      </c>
      <c r="AB57" s="629">
        <f t="shared" si="245"/>
        <v>-0.26339643869800683</v>
      </c>
      <c r="AC57" s="636">
        <f t="shared" si="416"/>
        <v>1</v>
      </c>
      <c r="AD57" s="637">
        <f t="shared" si="417"/>
        <v>0.49929343139896282</v>
      </c>
      <c r="AE57" s="629">
        <f t="shared" si="418"/>
        <v>0.82542618412736124</v>
      </c>
      <c r="AF57" s="633">
        <f t="shared" si="419"/>
        <v>-0.26339643869800683</v>
      </c>
      <c r="AG57" s="602">
        <f t="shared" si="420"/>
        <v>72.301931468920799</v>
      </c>
      <c r="AH57" s="603">
        <f t="shared" si="421"/>
        <v>60.046735202926037</v>
      </c>
      <c r="AI57" s="585">
        <f t="shared" si="422"/>
        <v>-74.728309325324275</v>
      </c>
      <c r="AJ57" s="586">
        <f t="shared" si="423"/>
        <v>148.83060532292293</v>
      </c>
      <c r="AK57" s="635">
        <f t="shared" si="424"/>
        <v>0.93085389792742723</v>
      </c>
      <c r="AL57" s="629">
        <f t="shared" si="425"/>
        <v>-0.25324560567662813</v>
      </c>
      <c r="AM57" s="634">
        <f t="shared" si="426"/>
        <v>-0.26339643869800683</v>
      </c>
      <c r="AN57" s="581">
        <f t="shared" si="427"/>
        <v>-43.874413967064278</v>
      </c>
      <c r="AO57" s="582">
        <f t="shared" si="461"/>
        <v>21.431684365519313</v>
      </c>
      <c r="AP57" s="585">
        <f t="shared" si="428"/>
        <v>-15.219383985581384</v>
      </c>
      <c r="AQ57" s="586">
        <f t="shared" si="246"/>
        <v>0.64697683055886646</v>
      </c>
      <c r="AS57" s="52">
        <f t="shared" si="406"/>
        <v>-285.95001069149566</v>
      </c>
      <c r="AT57" s="72">
        <f t="shared" si="247"/>
        <v>-0.31662515180393047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5.12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-3.7485321904952706</v>
      </c>
      <c r="C58" s="708">
        <v>1.0989896044135397</v>
      </c>
      <c r="D58" s="709">
        <v>-1.0953032977043462</v>
      </c>
      <c r="E58" s="710">
        <v>-0.62953244245495765</v>
      </c>
      <c r="F58" s="708">
        <v>-0.74777901842827588</v>
      </c>
      <c r="G58" s="711">
        <v>0.21098683251601211</v>
      </c>
      <c r="H58" s="710">
        <v>0.26600000000000001</v>
      </c>
      <c r="I58" s="708">
        <v>0.52</v>
      </c>
      <c r="J58" s="570">
        <v>5.125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5.125</v>
      </c>
      <c r="N58" s="632">
        <f t="shared" si="240"/>
        <v>-3.7485321904952706</v>
      </c>
      <c r="O58" s="629">
        <f t="shared" si="241"/>
        <v>1.0989896044135397</v>
      </c>
      <c r="P58" s="633">
        <f t="shared" si="242"/>
        <v>-1.0953032977043462</v>
      </c>
      <c r="Q58" s="585">
        <f t="shared" si="113"/>
        <v>163.65998936481336</v>
      </c>
      <c r="R58" s="629">
        <f t="shared" si="410"/>
        <v>3.9063117814363335</v>
      </c>
      <c r="S58" s="634">
        <f t="shared" si="411"/>
        <v>-1.0953032977043462</v>
      </c>
      <c r="T58" s="635">
        <f t="shared" si="412"/>
        <v>1.098989604413541</v>
      </c>
      <c r="U58" s="629">
        <f t="shared" si="413"/>
        <v>3.7485321904952702</v>
      </c>
      <c r="V58" s="636">
        <f t="shared" si="414"/>
        <v>-1.0953032977043462</v>
      </c>
      <c r="W58" s="585">
        <f t="shared" si="224"/>
        <v>73.659989364813356</v>
      </c>
      <c r="X58" s="629">
        <f t="shared" si="415"/>
        <v>3.9063117814363335</v>
      </c>
      <c r="Y58" s="630">
        <f t="shared" si="223"/>
        <v>-1.0953032977043462</v>
      </c>
      <c r="Z58" s="632">
        <f t="shared" si="243"/>
        <v>0.62953244245495765</v>
      </c>
      <c r="AA58" s="629">
        <f t="shared" si="244"/>
        <v>0.74777901842827588</v>
      </c>
      <c r="AB58" s="629">
        <f t="shared" si="245"/>
        <v>-0.21098683251601211</v>
      </c>
      <c r="AC58" s="636">
        <f t="shared" si="416"/>
        <v>1</v>
      </c>
      <c r="AD58" s="637">
        <f t="shared" si="417"/>
        <v>0.62953244245495765</v>
      </c>
      <c r="AE58" s="629">
        <f t="shared" si="418"/>
        <v>0.74777901842827588</v>
      </c>
      <c r="AF58" s="633">
        <f t="shared" si="419"/>
        <v>-0.21098683251601211</v>
      </c>
      <c r="AG58" s="602">
        <f t="shared" si="420"/>
        <v>74.243517426056712</v>
      </c>
      <c r="AH58" s="603">
        <f t="shared" si="421"/>
        <v>50.984364593167143</v>
      </c>
      <c r="AI58" s="585">
        <f t="shared" si="422"/>
        <v>-77.819810588405858</v>
      </c>
      <c r="AJ58" s="586">
        <f t="shared" si="423"/>
        <v>139.90699267338968</v>
      </c>
      <c r="AK58" s="635">
        <f t="shared" si="424"/>
        <v>0.89468622255475583</v>
      </c>
      <c r="AL58" s="629">
        <f t="shared" si="425"/>
        <v>-0.39372721480177392</v>
      </c>
      <c r="AM58" s="634">
        <f t="shared" si="426"/>
        <v>-0.21098683251601211</v>
      </c>
      <c r="AN58" s="581">
        <f t="shared" si="427"/>
        <v>-61.814452067133601</v>
      </c>
      <c r="AO58" s="582">
        <f t="shared" si="461"/>
        <v>26.531845518450535</v>
      </c>
      <c r="AP58" s="585">
        <f t="shared" si="428"/>
        <v>-23.752996691423689</v>
      </c>
      <c r="AQ58" s="586">
        <f t="shared" si="246"/>
        <v>0.58358060599351158</v>
      </c>
      <c r="AS58" s="52">
        <f t="shared" si="406"/>
        <v>-286.34001063518667</v>
      </c>
      <c r="AT58" s="72">
        <f t="shared" si="247"/>
        <v>-0.89645606809657763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5.125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-3.8688693215268537</v>
      </c>
      <c r="C59" s="708">
        <v>1.1430747188825172</v>
      </c>
      <c r="D59" s="709">
        <v>-1.7817053678929897</v>
      </c>
      <c r="E59" s="710">
        <v>-0.71744444809420349</v>
      </c>
      <c r="F59" s="708">
        <v>-0.68643876051522779</v>
      </c>
      <c r="G59" s="711">
        <v>0.11863933564008888</v>
      </c>
      <c r="H59" s="710">
        <v>0.26600000000000001</v>
      </c>
      <c r="I59" s="708">
        <v>0.52</v>
      </c>
      <c r="J59" s="570">
        <v>5.13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5.13</v>
      </c>
      <c r="N59" s="632">
        <f t="shared" si="240"/>
        <v>-3.8688693215268537</v>
      </c>
      <c r="O59" s="629">
        <f t="shared" si="241"/>
        <v>1.1430747188825172</v>
      </c>
      <c r="P59" s="633">
        <f t="shared" si="242"/>
        <v>-1.7817053678929897</v>
      </c>
      <c r="Q59" s="585">
        <f t="shared" si="113"/>
        <v>163.53998938213923</v>
      </c>
      <c r="R59" s="629">
        <f t="shared" si="79"/>
        <v>4.0342000000000002</v>
      </c>
      <c r="S59" s="634">
        <f t="shared" si="80"/>
        <v>-1.7817053678929897</v>
      </c>
      <c r="T59" s="635">
        <f t="shared" si="81"/>
        <v>1.1430747188825168</v>
      </c>
      <c r="U59" s="629">
        <f t="shared" si="82"/>
        <v>3.8688693215268537</v>
      </c>
      <c r="V59" s="636">
        <f t="shared" si="114"/>
        <v>-1.7817053678929897</v>
      </c>
      <c r="W59" s="585">
        <f t="shared" si="224"/>
        <v>73.539989382139225</v>
      </c>
      <c r="X59" s="629">
        <f t="shared" si="83"/>
        <v>4.0342000000000002</v>
      </c>
      <c r="Y59" s="630">
        <f t="shared" si="223"/>
        <v>-1.7817053678929897</v>
      </c>
      <c r="Z59" s="632">
        <f t="shared" si="243"/>
        <v>0.71744444809420349</v>
      </c>
      <c r="AA59" s="629">
        <f t="shared" si="244"/>
        <v>0.68643876051522779</v>
      </c>
      <c r="AB59" s="629">
        <f t="shared" si="245"/>
        <v>-0.11863933564008888</v>
      </c>
      <c r="AC59" s="636">
        <f t="shared" si="84"/>
        <v>1</v>
      </c>
      <c r="AD59" s="637">
        <f t="shared" si="115"/>
        <v>0.71744444809420349</v>
      </c>
      <c r="AE59" s="629">
        <f t="shared" si="85"/>
        <v>0.68643876051522779</v>
      </c>
      <c r="AF59" s="633">
        <f t="shared" si="86"/>
        <v>-0.11863933564008888</v>
      </c>
      <c r="AG59" s="602">
        <f t="shared" si="87"/>
        <v>80.194263907695031</v>
      </c>
      <c r="AH59" s="603">
        <f t="shared" si="88"/>
        <v>44.156109594390735</v>
      </c>
      <c r="AI59" s="585">
        <f t="shared" si="89"/>
        <v>-83.186418717010923</v>
      </c>
      <c r="AJ59" s="586">
        <f t="shared" si="90"/>
        <v>133.73479056614005</v>
      </c>
      <c r="AK59" s="635">
        <f t="shared" si="211"/>
        <v>0.86159200646556633</v>
      </c>
      <c r="AL59" s="629">
        <f t="shared" si="91"/>
        <v>-0.49354221950459121</v>
      </c>
      <c r="AM59" s="634">
        <f t="shared" si="92"/>
        <v>-0.11863933564008888</v>
      </c>
      <c r="AN59" s="581">
        <f t="shared" si="93"/>
        <v>-76.483500042309032</v>
      </c>
      <c r="AO59" s="582">
        <f t="shared" si="461"/>
        <v>30.504194035191862</v>
      </c>
      <c r="AP59" s="585">
        <f t="shared" si="95"/>
        <v>-29.805198815999194</v>
      </c>
      <c r="AQ59" s="586">
        <f t="shared" si="246"/>
        <v>0.56508173006230189</v>
      </c>
      <c r="AS59" s="52">
        <f t="shared" si="406"/>
        <v>-286.4600106178608</v>
      </c>
      <c r="AT59" s="72">
        <f t="shared" si="247"/>
        <v>-1.5827748049639196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5.13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-3.868481744879765</v>
      </c>
      <c r="C60" s="708">
        <v>1.1444285907764629</v>
      </c>
      <c r="D60" s="709">
        <v>-2.6417079616608126</v>
      </c>
      <c r="E60" s="710">
        <v>-0.71797559933232447</v>
      </c>
      <c r="F60" s="708">
        <v>-0.68602203601593859</v>
      </c>
      <c r="G60" s="711">
        <v>0.11783380187338439</v>
      </c>
      <c r="H60" s="710">
        <v>0.26600000000000001</v>
      </c>
      <c r="I60" s="708">
        <v>0.52</v>
      </c>
      <c r="J60" s="570">
        <v>5.1319999999999997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5.1319999999999997</v>
      </c>
      <c r="N60" s="632">
        <f t="shared" si="240"/>
        <v>-3.868481744879765</v>
      </c>
      <c r="O60" s="629">
        <f t="shared" si="241"/>
        <v>1.1444285907764629</v>
      </c>
      <c r="P60" s="633">
        <f t="shared" si="242"/>
        <v>-2.6417079616608126</v>
      </c>
      <c r="Q60" s="585">
        <f t="shared" si="113"/>
        <v>163.51998938502683</v>
      </c>
      <c r="R60" s="629">
        <f t="shared" si="79"/>
        <v>4.0342121671838962</v>
      </c>
      <c r="S60" s="634">
        <f t="shared" si="80"/>
        <v>-2.6417079616608126</v>
      </c>
      <c r="T60" s="635">
        <f t="shared" si="81"/>
        <v>1.1444285907764644</v>
      </c>
      <c r="U60" s="629">
        <f t="shared" si="82"/>
        <v>3.8684817448797637</v>
      </c>
      <c r="V60" s="636">
        <f t="shared" si="114"/>
        <v>-2.6417079616608126</v>
      </c>
      <c r="W60" s="585">
        <f t="shared" si="224"/>
        <v>73.519989385026832</v>
      </c>
      <c r="X60" s="629">
        <f t="shared" si="83"/>
        <v>4.0342121671838962</v>
      </c>
      <c r="Y60" s="630">
        <f t="shared" si="223"/>
        <v>-2.6417079616608126</v>
      </c>
      <c r="Z60" s="632">
        <f t="shared" si="243"/>
        <v>0.71797559933232447</v>
      </c>
      <c r="AA60" s="629">
        <f t="shared" si="244"/>
        <v>0.68602203601593859</v>
      </c>
      <c r="AB60" s="629">
        <f t="shared" si="245"/>
        <v>-0.11783380187338439</v>
      </c>
      <c r="AC60" s="636">
        <f t="shared" si="84"/>
        <v>1</v>
      </c>
      <c r="AD60" s="637">
        <f t="shared" si="115"/>
        <v>0.71797559933232447</v>
      </c>
      <c r="AE60" s="629">
        <f t="shared" si="85"/>
        <v>0.68602203601593859</v>
      </c>
      <c r="AF60" s="633">
        <f t="shared" si="86"/>
        <v>-0.11783380187338439</v>
      </c>
      <c r="AG60" s="602">
        <f t="shared" si="87"/>
        <v>80.253759586950352</v>
      </c>
      <c r="AH60" s="603">
        <f t="shared" si="88"/>
        <v>44.112405892912172</v>
      </c>
      <c r="AI60" s="585">
        <f t="shared" si="89"/>
        <v>-83.232898437509547</v>
      </c>
      <c r="AJ60" s="586">
        <f t="shared" si="90"/>
        <v>133.69623119791518</v>
      </c>
      <c r="AK60" s="635">
        <f t="shared" si="211"/>
        <v>0.86151530515431529</v>
      </c>
      <c r="AL60" s="629">
        <f t="shared" si="91"/>
        <v>-0.49386898477322017</v>
      </c>
      <c r="AM60" s="634">
        <f t="shared" si="92"/>
        <v>-0.11783380187338439</v>
      </c>
      <c r="AN60" s="581">
        <f t="shared" si="93"/>
        <v>-76.580502560221092</v>
      </c>
      <c r="AO60" s="582">
        <f t="shared" si="461"/>
        <v>30.512850626206887</v>
      </c>
      <c r="AP60" s="585">
        <f t="shared" si="95"/>
        <v>-29.823758187111647</v>
      </c>
      <c r="AQ60" s="586">
        <f t="shared" si="246"/>
        <v>0.56508002588631845</v>
      </c>
      <c r="AS60" s="52">
        <f t="shared" si="406"/>
        <v>-286.48001061497314</v>
      </c>
      <c r="AT60" s="72">
        <f t="shared" si="247"/>
        <v>-2.442763509844859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5.1319999999999997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1313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-2.404802664297971</v>
      </c>
      <c r="C61" s="708">
        <v>1.4375306550893645</v>
      </c>
      <c r="D61" s="709">
        <v>-0.14330030582332237</v>
      </c>
      <c r="E61" s="710">
        <v>-0.56997341914467792</v>
      </c>
      <c r="F61" s="708">
        <v>-0.7837267401243182</v>
      </c>
      <c r="G61" s="711">
        <v>0.24678472052101358</v>
      </c>
      <c r="H61" s="710">
        <v>0.26600000000000001</v>
      </c>
      <c r="I61" s="708">
        <v>0.52</v>
      </c>
      <c r="J61" s="570">
        <v>5.2140000000000004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5.2140000000000004</v>
      </c>
      <c r="N61" s="632">
        <f t="shared" si="240"/>
        <v>-2.404802664297971</v>
      </c>
      <c r="O61" s="629">
        <f t="shared" si="241"/>
        <v>1.4375306550893645</v>
      </c>
      <c r="P61" s="633">
        <f t="shared" si="242"/>
        <v>-0.14330030582332237</v>
      </c>
      <c r="Q61" s="585">
        <f t="shared" si="113"/>
        <v>149.13007759040042</v>
      </c>
      <c r="R61" s="629">
        <f t="shared" si="79"/>
        <v>2.801708449952685</v>
      </c>
      <c r="S61" s="634">
        <f t="shared" si="80"/>
        <v>-0.14330030582332237</v>
      </c>
      <c r="T61" s="635">
        <f t="shared" si="81"/>
        <v>1.4375306550893643</v>
      </c>
      <c r="U61" s="629">
        <f t="shared" si="82"/>
        <v>2.404802664297971</v>
      </c>
      <c r="V61" s="636">
        <f t="shared" si="114"/>
        <v>-0.14330030582332237</v>
      </c>
      <c r="W61" s="585">
        <f t="shared" si="224"/>
        <v>59.130077590400418</v>
      </c>
      <c r="X61" s="629">
        <f t="shared" si="83"/>
        <v>2.801708449952685</v>
      </c>
      <c r="Y61" s="630">
        <f t="shared" si="223"/>
        <v>-0.14330030582332237</v>
      </c>
      <c r="Z61" s="632">
        <f t="shared" si="243"/>
        <v>0.56997341914467792</v>
      </c>
      <c r="AA61" s="629">
        <f t="shared" si="244"/>
        <v>0.7837267401243182</v>
      </c>
      <c r="AB61" s="629">
        <f t="shared" si="245"/>
        <v>-0.24678472052101358</v>
      </c>
      <c r="AC61" s="636">
        <f t="shared" si="84"/>
        <v>1</v>
      </c>
      <c r="AD61" s="637">
        <f t="shared" si="115"/>
        <v>0.56997341914467792</v>
      </c>
      <c r="AE61" s="629">
        <f t="shared" si="85"/>
        <v>0.7837267401243182</v>
      </c>
      <c r="AF61" s="633">
        <f t="shared" si="86"/>
        <v>-0.24678472052101358</v>
      </c>
      <c r="AG61" s="602">
        <f t="shared" si="87"/>
        <v>72.521505523602414</v>
      </c>
      <c r="AH61" s="603">
        <f t="shared" si="88"/>
        <v>55.251627789280029</v>
      </c>
      <c r="AI61" s="585">
        <f t="shared" si="89"/>
        <v>-75.712670271919464</v>
      </c>
      <c r="AJ61" s="586">
        <f t="shared" si="90"/>
        <v>143.97308873752681</v>
      </c>
      <c r="AK61" s="635">
        <f t="shared" si="211"/>
        <v>0.9651476817242578</v>
      </c>
      <c r="AL61" s="629">
        <f t="shared" si="91"/>
        <v>-8.7104845902257866E-2</v>
      </c>
      <c r="AM61" s="634">
        <f t="shared" si="92"/>
        <v>-0.24678472052101358</v>
      </c>
      <c r="AN61" s="581">
        <f t="shared" si="93"/>
        <v>-19.440934190892527</v>
      </c>
      <c r="AO61" s="582">
        <f t="shared" si="461"/>
        <v>15.171305413185189</v>
      </c>
      <c r="AP61" s="585">
        <f t="shared" si="95"/>
        <v>-5.1569888528736145</v>
      </c>
      <c r="AQ61" s="586">
        <f t="shared" si="246"/>
        <v>0.81363690359367058</v>
      </c>
      <c r="AS61" s="52">
        <f t="shared" si="406"/>
        <v>-300.86992240959955</v>
      </c>
      <c r="AT61" s="72">
        <f t="shared" si="247"/>
        <v>6.563714029445511E-2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Nose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5.2140000000000004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4.1139999999999999</v>
      </c>
      <c r="II61" s="734" cm="1">
        <f t="array" ref="II61">IFERROR(ROUND(VALUE(IF($IH61&lt;1,$IH61+LARGE((IF($M$9:$M$150="",0,$M$9:$M$150)-MOD(IF($M$9:$M$150="",0,$M$9:$M$150),1)),1),$IH61)),4),"")</f>
        <v>4.1139999999999999</v>
      </c>
      <c r="IJ61" s="533">
        <f t="shared" si="112"/>
        <v>1313</v>
      </c>
      <c r="IK61" s="533">
        <f t="shared" si="382"/>
        <v>1313</v>
      </c>
      <c r="IL61" s="727">
        <f t="shared" si="225"/>
        <v>80.539902243749509</v>
      </c>
      <c r="IM61" s="759">
        <v>1.0099605001517201E-2</v>
      </c>
      <c r="IN61" s="5">
        <f t="shared" si="226"/>
        <v>0.14000000000000001</v>
      </c>
      <c r="IO61" s="771">
        <v>70</v>
      </c>
      <c r="IP61" s="9">
        <f t="shared" si="227"/>
        <v>-2.801708449952685</v>
      </c>
      <c r="IQ61" s="5">
        <f t="shared" si="228"/>
        <v>-0.10650030582332236</v>
      </c>
      <c r="IR61" s="5">
        <f t="shared" si="383"/>
        <v>0.26600000000000001</v>
      </c>
      <c r="IS61" s="5">
        <f t="shared" si="229"/>
        <v>0.25672928333865258</v>
      </c>
      <c r="IT61" s="727">
        <f t="shared" si="230"/>
        <v>19.440934190892591</v>
      </c>
      <c r="IU61" s="9">
        <f t="shared" si="231"/>
        <v>-2.801708449952685</v>
      </c>
      <c r="IV61" s="5">
        <f t="shared" si="232"/>
        <v>-0.14330030582332237</v>
      </c>
      <c r="IW61" s="5">
        <f t="shared" si="384"/>
        <v>0.26600000000000001</v>
      </c>
      <c r="IX61" s="5">
        <f t="shared" si="233"/>
        <v>0.25672928333865258</v>
      </c>
      <c r="IY61" s="762">
        <f t="shared" si="234"/>
        <v>19.440934190892527</v>
      </c>
    </row>
    <row r="62" spans="1:259" ht="15" customHeight="1" x14ac:dyDescent="0.25">
      <c r="A62" s="79"/>
      <c r="B62" s="707">
        <v>-2.9398826584347462</v>
      </c>
      <c r="C62" s="708">
        <v>1.7462694073038558</v>
      </c>
      <c r="D62" s="709">
        <v>-0.46170126612061851</v>
      </c>
      <c r="E62" s="710">
        <v>-0.67151374432809297</v>
      </c>
      <c r="F62" s="708">
        <v>-0.69132266908948625</v>
      </c>
      <c r="G62" s="711">
        <v>0.26672506140491065</v>
      </c>
      <c r="H62" s="710">
        <v>0.26600000000000001</v>
      </c>
      <c r="I62" s="708">
        <v>0.52</v>
      </c>
      <c r="J62" s="570">
        <v>5.2190000000000003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5.2190000000000003</v>
      </c>
      <c r="N62" s="632">
        <f t="shared" si="240"/>
        <v>-2.9398826584347462</v>
      </c>
      <c r="O62" s="629">
        <f t="shared" si="241"/>
        <v>1.7462694073038558</v>
      </c>
      <c r="P62" s="633">
        <f t="shared" si="242"/>
        <v>-0.46170126612061851</v>
      </c>
      <c r="Q62" s="585">
        <f t="shared" si="113"/>
        <v>149.28998917134132</v>
      </c>
      <c r="R62" s="629">
        <f t="shared" si="79"/>
        <v>3.4194103129415034</v>
      </c>
      <c r="S62" s="634">
        <f t="shared" si="80"/>
        <v>-0.46170126612061851</v>
      </c>
      <c r="T62" s="635">
        <f t="shared" si="81"/>
        <v>1.7462694073038565</v>
      </c>
      <c r="U62" s="629">
        <f t="shared" si="82"/>
        <v>2.9398826584347457</v>
      </c>
      <c r="V62" s="636">
        <f t="shared" si="114"/>
        <v>-0.46170126612061851</v>
      </c>
      <c r="W62" s="585">
        <f t="shared" si="224"/>
        <v>59.289989171341318</v>
      </c>
      <c r="X62" s="629">
        <f t="shared" si="83"/>
        <v>3.4194103129415034</v>
      </c>
      <c r="Y62" s="630">
        <f t="shared" si="223"/>
        <v>-0.46170126612061851</v>
      </c>
      <c r="Z62" s="632">
        <f t="shared" si="243"/>
        <v>0.67151374432809297</v>
      </c>
      <c r="AA62" s="629">
        <f t="shared" si="244"/>
        <v>0.69132266908948625</v>
      </c>
      <c r="AB62" s="629">
        <f t="shared" si="245"/>
        <v>-0.26672506140491065</v>
      </c>
      <c r="AC62" s="636">
        <f t="shared" si="84"/>
        <v>1</v>
      </c>
      <c r="AD62" s="637">
        <f t="shared" si="115"/>
        <v>0.67151374432809297</v>
      </c>
      <c r="AE62" s="629">
        <f t="shared" si="85"/>
        <v>0.69132266908948625</v>
      </c>
      <c r="AF62" s="633">
        <f t="shared" si="86"/>
        <v>-0.26672506140491065</v>
      </c>
      <c r="AG62" s="602">
        <f t="shared" si="87"/>
        <v>68.902463929513118</v>
      </c>
      <c r="AH62" s="603">
        <f t="shared" si="88"/>
        <v>47.815995912502146</v>
      </c>
      <c r="AI62" s="585">
        <f t="shared" si="89"/>
        <v>-74.530518539102118</v>
      </c>
      <c r="AJ62" s="586">
        <f t="shared" si="90"/>
        <v>135.83273961342945</v>
      </c>
      <c r="AK62" s="635">
        <f t="shared" si="211"/>
        <v>0.93731115637482865</v>
      </c>
      <c r="AL62" s="629">
        <f t="shared" si="91"/>
        <v>-0.22428896039223206</v>
      </c>
      <c r="AM62" s="634">
        <f t="shared" si="92"/>
        <v>-0.26672506140491065</v>
      </c>
      <c r="AN62" s="581">
        <f t="shared" si="93"/>
        <v>-40.060461253590155</v>
      </c>
      <c r="AO62" s="582">
        <f t="shared" si="461"/>
        <v>20.39520521696749</v>
      </c>
      <c r="AP62" s="585">
        <f t="shared" si="95"/>
        <v>-13.457249557911869</v>
      </c>
      <c r="AQ62" s="586">
        <f t="shared" si="246"/>
        <v>0.66667160130352876</v>
      </c>
      <c r="AS62" s="52">
        <f t="shared" si="406"/>
        <v>-300.71001082865871</v>
      </c>
      <c r="AT62" s="72">
        <f t="shared" si="247"/>
        <v>-0.25287486971182771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5.2190000000000003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4.1189999999999998</v>
      </c>
      <c r="II62" s="734" cm="1">
        <f t="array" ref="II62">IFERROR(ROUND(VALUE(IF($IH62&lt;1,$IH62+LARGE((IF($M$9:$M$150="",0,$M$9:$M$150)-MOD(IF($M$9:$M$150="",0,$M$9:$M$150),1)),1),$IH62)),4),"")</f>
        <v>4.1189999999999998</v>
      </c>
      <c r="IJ62" s="533">
        <f t="shared" si="112"/>
        <v>1313</v>
      </c>
      <c r="IK62" s="533">
        <f t="shared" si="382"/>
        <v>1313</v>
      </c>
      <c r="IL62" s="727">
        <f t="shared" si="225"/>
        <v>79.859990737887301</v>
      </c>
      <c r="IM62" s="759">
        <v>1.1085766818486999E-3</v>
      </c>
      <c r="IN62" s="5">
        <f t="shared" si="226"/>
        <v>0</v>
      </c>
      <c r="IO62" s="771">
        <v>0</v>
      </c>
      <c r="IP62" s="9">
        <f t="shared" si="227"/>
        <v>-3.419410312941503</v>
      </c>
      <c r="IQ62" s="5">
        <f t="shared" si="228"/>
        <v>-0.42490126612061835</v>
      </c>
      <c r="IR62" s="5">
        <f t="shared" si="383"/>
        <v>0.26600000000000001</v>
      </c>
      <c r="IS62" s="5">
        <f t="shared" si="229"/>
        <v>0.24932476759570443</v>
      </c>
      <c r="IT62" s="727">
        <f t="shared" si="230"/>
        <v>40.060461253590198</v>
      </c>
      <c r="IU62" s="9">
        <f t="shared" si="231"/>
        <v>-3.4194103129415034</v>
      </c>
      <c r="IV62" s="5">
        <f t="shared" si="232"/>
        <v>-0.46170126612061851</v>
      </c>
      <c r="IW62" s="5">
        <f t="shared" si="384"/>
        <v>0.26600000000000001</v>
      </c>
      <c r="IX62" s="5">
        <f t="shared" si="233"/>
        <v>0.24932476759570443</v>
      </c>
      <c r="IY62" s="762">
        <f t="shared" si="234"/>
        <v>40.060461253590155</v>
      </c>
    </row>
    <row r="63" spans="1:259" ht="15" customHeight="1" x14ac:dyDescent="0.25">
      <c r="A63" s="79"/>
      <c r="B63" s="707">
        <v>-3.3200932422587339</v>
      </c>
      <c r="C63" s="708">
        <v>1.9494461488015262</v>
      </c>
      <c r="D63" s="709">
        <v>-1.0070029107503788</v>
      </c>
      <c r="E63" s="710">
        <v>-0.77328197589135805</v>
      </c>
      <c r="F63" s="708">
        <v>-0.59241823274748706</v>
      </c>
      <c r="G63" s="711">
        <v>0.22599916652479365</v>
      </c>
      <c r="H63" s="710">
        <v>0.26600000000000001</v>
      </c>
      <c r="I63" s="708">
        <v>0.52</v>
      </c>
      <c r="J63" s="570">
        <v>5.2240000000000002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5.2240000000000002</v>
      </c>
      <c r="N63" s="632">
        <f t="shared" si="240"/>
        <v>-3.3200932422587339</v>
      </c>
      <c r="O63" s="629">
        <f t="shared" si="241"/>
        <v>1.9494461488015262</v>
      </c>
      <c r="P63" s="633">
        <f t="shared" si="242"/>
        <v>-1.0070029107503788</v>
      </c>
      <c r="Q63" s="585">
        <f t="shared" si="113"/>
        <v>149.57998917134134</v>
      </c>
      <c r="R63" s="629">
        <f t="shared" si="79"/>
        <v>3.8501116119366219</v>
      </c>
      <c r="S63" s="634">
        <f t="shared" si="80"/>
        <v>-1.0070029107503788</v>
      </c>
      <c r="T63" s="635">
        <f t="shared" si="81"/>
        <v>1.9494461488015256</v>
      </c>
      <c r="U63" s="629">
        <f t="shared" si="82"/>
        <v>3.3200932422587339</v>
      </c>
      <c r="V63" s="636">
        <f t="shared" si="114"/>
        <v>-1.0070029107503788</v>
      </c>
      <c r="W63" s="585">
        <f t="shared" si="224"/>
        <v>59.579989171341339</v>
      </c>
      <c r="X63" s="629">
        <f t="shared" si="83"/>
        <v>3.8501116119366219</v>
      </c>
      <c r="Y63" s="630">
        <f t="shared" si="223"/>
        <v>-1.0070029107503788</v>
      </c>
      <c r="Z63" s="632">
        <f t="shared" si="243"/>
        <v>0.77328197589135805</v>
      </c>
      <c r="AA63" s="629">
        <f t="shared" si="244"/>
        <v>0.59241823274748706</v>
      </c>
      <c r="AB63" s="629">
        <f t="shared" si="245"/>
        <v>-0.22599916652479365</v>
      </c>
      <c r="AC63" s="636">
        <f t="shared" si="84"/>
        <v>1</v>
      </c>
      <c r="AD63" s="637">
        <f t="shared" si="115"/>
        <v>0.77328197589135805</v>
      </c>
      <c r="AE63" s="629">
        <f t="shared" si="85"/>
        <v>0.59241823274748706</v>
      </c>
      <c r="AF63" s="633">
        <f t="shared" si="86"/>
        <v>-0.22599916652479365</v>
      </c>
      <c r="AG63" s="602">
        <f t="shared" si="87"/>
        <v>69.11885537733275</v>
      </c>
      <c r="AH63" s="603">
        <f t="shared" si="88"/>
        <v>39.350470808706667</v>
      </c>
      <c r="AI63" s="585">
        <f t="shared" si="89"/>
        <v>-76.938360303992653</v>
      </c>
      <c r="AJ63" s="586">
        <f t="shared" si="90"/>
        <v>127.45604818741388</v>
      </c>
      <c r="AK63" s="635">
        <f t="shared" si="211"/>
        <v>0.90240379790632108</v>
      </c>
      <c r="AL63" s="629">
        <f t="shared" si="91"/>
        <v>-0.36686749958853809</v>
      </c>
      <c r="AM63" s="634">
        <f t="shared" si="92"/>
        <v>-0.22599916652479365</v>
      </c>
      <c r="AN63" s="581">
        <f t="shared" si="93"/>
        <v>-58.365935908261946</v>
      </c>
      <c r="AO63" s="582">
        <f t="shared" si="461"/>
        <v>25.52414296991569</v>
      </c>
      <c r="AP63" s="585">
        <f t="shared" si="95"/>
        <v>-22.123940983927444</v>
      </c>
      <c r="AQ63" s="586">
        <f t="shared" si="246"/>
        <v>0.59209854368136372</v>
      </c>
      <c r="AS63" s="52">
        <f t="shared" si="406"/>
        <v>-300.42001082865863</v>
      </c>
      <c r="AT63" s="72">
        <f t="shared" si="247"/>
        <v>-0.79837790323047697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5.2240000000000002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4.1239999999999997</v>
      </c>
      <c r="II63" s="734" cm="1">
        <f t="array" ref="II63">IFERROR(ROUND(VALUE(IF($IH63&lt;1,$IH63+LARGE((IF($M$9:$M$150="",0,$M$9:$M$150)-MOD(IF($M$9:$M$150="",0,$M$9:$M$150),1)),1),$IH63)),4),"")</f>
        <v>4.1239999999999997</v>
      </c>
      <c r="IJ63" s="533">
        <f t="shared" si="112"/>
        <v>1313</v>
      </c>
      <c r="IK63" s="533">
        <f t="shared" si="382"/>
        <v>1313</v>
      </c>
      <c r="IL63" s="727">
        <f t="shared" si="225"/>
        <v>79.139990799971599</v>
      </c>
      <c r="IM63" s="759">
        <v>8.0672640940414396E-4</v>
      </c>
      <c r="IN63" s="5">
        <f t="shared" si="226"/>
        <v>0</v>
      </c>
      <c r="IO63" s="771">
        <v>0</v>
      </c>
      <c r="IP63" s="9">
        <f t="shared" si="227"/>
        <v>-3.8501116119366205</v>
      </c>
      <c r="IQ63" s="5">
        <f t="shared" si="228"/>
        <v>-0.97020291075037846</v>
      </c>
      <c r="IR63" s="5">
        <f t="shared" si="383"/>
        <v>0.26600000000000001</v>
      </c>
      <c r="IS63" s="5">
        <f t="shared" si="229"/>
        <v>0.24003941024308148</v>
      </c>
      <c r="IT63" s="727">
        <f t="shared" si="230"/>
        <v>58.365935908261967</v>
      </c>
      <c r="IU63" s="9">
        <f t="shared" si="231"/>
        <v>-3.8501116119366219</v>
      </c>
      <c r="IV63" s="5">
        <f t="shared" si="232"/>
        <v>-1.0070029107503788</v>
      </c>
      <c r="IW63" s="5">
        <f t="shared" si="384"/>
        <v>0.26600000000000001</v>
      </c>
      <c r="IX63" s="5">
        <f t="shared" si="233"/>
        <v>0.24003941024308142</v>
      </c>
      <c r="IY63" s="762">
        <f t="shared" si="234"/>
        <v>58.365935908261946</v>
      </c>
    </row>
    <row r="64" spans="1:259" ht="15" customHeight="1" x14ac:dyDescent="0.25">
      <c r="A64" s="79"/>
      <c r="B64" s="707">
        <v>-3.4782358129910356</v>
      </c>
      <c r="C64" s="708">
        <v>2.0423021028306731</v>
      </c>
      <c r="D64" s="709">
        <v>-1.6816999999999998</v>
      </c>
      <c r="E64" s="710">
        <v>-0.85922724522456617</v>
      </c>
      <c r="F64" s="708">
        <v>-0.49462707073508372</v>
      </c>
      <c r="G64" s="711">
        <v>0.13066216728584354</v>
      </c>
      <c r="H64" s="710">
        <v>0.26600000000000001</v>
      </c>
      <c r="I64" s="708">
        <v>0.52</v>
      </c>
      <c r="J64" s="570">
        <v>5.2290000000000001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1313</v>
      </c>
      <c r="L64" s="320"/>
      <c r="M64" s="168">
        <f t="shared" si="239"/>
        <v>5.2290000000000001</v>
      </c>
      <c r="N64" s="632">
        <f t="shared" si="240"/>
        <v>-3.4782358129910356</v>
      </c>
      <c r="O64" s="629">
        <f t="shared" si="241"/>
        <v>2.0423021028306731</v>
      </c>
      <c r="P64" s="633">
        <f t="shared" si="242"/>
        <v>-1.6816999999999998</v>
      </c>
      <c r="Q64" s="585">
        <f t="shared" si="113"/>
        <v>149.57998917134134</v>
      </c>
      <c r="R64" s="629">
        <f t="shared" si="79"/>
        <v>4.0335000000000001</v>
      </c>
      <c r="S64" s="634">
        <f t="shared" si="80"/>
        <v>-1.6816999999999998</v>
      </c>
      <c r="T64" s="635">
        <f t="shared" si="81"/>
        <v>2.0423021028306727</v>
      </c>
      <c r="U64" s="629">
        <f t="shared" si="82"/>
        <v>3.4782358129910356</v>
      </c>
      <c r="V64" s="636">
        <f t="shared" si="114"/>
        <v>-1.6816999999999998</v>
      </c>
      <c r="W64" s="585">
        <f t="shared" si="224"/>
        <v>59.579989171341339</v>
      </c>
      <c r="X64" s="629">
        <f t="shared" si="83"/>
        <v>4.0335000000000001</v>
      </c>
      <c r="Y64" s="630">
        <f t="shared" si="223"/>
        <v>-1.6816999999999998</v>
      </c>
      <c r="Z64" s="632">
        <f t="shared" si="243"/>
        <v>0.85922724522456617</v>
      </c>
      <c r="AA64" s="629">
        <f t="shared" si="244"/>
        <v>0.49462707073508372</v>
      </c>
      <c r="AB64" s="629">
        <f t="shared" si="245"/>
        <v>-0.13066216728584354</v>
      </c>
      <c r="AC64" s="636">
        <f t="shared" si="84"/>
        <v>1</v>
      </c>
      <c r="AD64" s="637">
        <f t="shared" si="115"/>
        <v>0.85922724522456617</v>
      </c>
      <c r="AE64" s="629">
        <f t="shared" si="85"/>
        <v>0.49462707073508372</v>
      </c>
      <c r="AF64" s="633">
        <f t="shared" si="86"/>
        <v>-0.13066216728584354</v>
      </c>
      <c r="AG64" s="602">
        <f t="shared" si="87"/>
        <v>75.202592410926613</v>
      </c>
      <c r="AH64" s="603">
        <f t="shared" si="88"/>
        <v>30.77007156088327</v>
      </c>
      <c r="AI64" s="585">
        <f t="shared" si="89"/>
        <v>-82.492141905159684</v>
      </c>
      <c r="AJ64" s="586">
        <f t="shared" si="90"/>
        <v>119.92752897601895</v>
      </c>
      <c r="AK64" s="635">
        <f t="shared" si="211"/>
        <v>0.86159196758079981</v>
      </c>
      <c r="AL64" s="629">
        <f t="shared" si="91"/>
        <v>-0.49049636027233906</v>
      </c>
      <c r="AM64" s="634">
        <f t="shared" si="92"/>
        <v>-0.13066216728584354</v>
      </c>
      <c r="AN64" s="581">
        <f t="shared" si="93"/>
        <v>-75.083509588486251</v>
      </c>
      <c r="AO64" s="582">
        <f t="shared" si="461"/>
        <v>30.504198424330099</v>
      </c>
      <c r="AP64" s="585">
        <f t="shared" si="95"/>
        <v>-29.652460195322394</v>
      </c>
      <c r="AQ64" s="586">
        <f t="shared" si="246"/>
        <v>0.56517979168481269</v>
      </c>
      <c r="AS64" s="52">
        <f t="shared" si="406"/>
        <v>-300.42001082865863</v>
      </c>
      <c r="AT64" s="72">
        <f t="shared" si="247"/>
        <v>-1.4730749924800979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>Gage</v>
      </c>
      <c r="IG64" s="847">
        <f t="shared" si="210"/>
        <v>5.2290000000000001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4.1289999999999996</v>
      </c>
      <c r="II64" s="734" cm="1">
        <f t="array" ref="II64">IFERROR(ROUND(VALUE(IF($IH64&lt;1,$IH64+LARGE((IF($M$9:$M$150="",0,$M$9:$M$150)-MOD(IF($M$9:$M$150="",0,$M$9:$M$150),1)),1),$IH64)),4),"")</f>
        <v>4.1289999999999996</v>
      </c>
      <c r="IJ64" s="533">
        <f t="shared" si="112"/>
        <v>1313</v>
      </c>
      <c r="IK64" s="533">
        <f t="shared" si="382"/>
        <v>1313</v>
      </c>
      <c r="IL64" s="727">
        <f t="shared" si="225"/>
        <v>78.959990825960375</v>
      </c>
      <c r="IM64" s="759">
        <v>1.3986347119439001E-4</v>
      </c>
      <c r="IN64" s="5">
        <f t="shared" si="226"/>
        <v>0</v>
      </c>
      <c r="IO64" s="771">
        <v>0</v>
      </c>
      <c r="IP64" s="9">
        <f t="shared" si="227"/>
        <v>-4.0334999999999992</v>
      </c>
      <c r="IQ64" s="5">
        <f t="shared" si="228"/>
        <v>-1.6449049456517157</v>
      </c>
      <c r="IR64" s="5">
        <f t="shared" si="383"/>
        <v>0.26600000000000001</v>
      </c>
      <c r="IS64" s="5">
        <f t="shared" si="229"/>
        <v>0.22918347371984071</v>
      </c>
      <c r="IT64" s="727">
        <f t="shared" si="230"/>
        <v>75.083500244443968</v>
      </c>
      <c r="IU64" s="9">
        <f t="shared" si="231"/>
        <v>-4.0335000000000001</v>
      </c>
      <c r="IV64" s="5">
        <f t="shared" si="232"/>
        <v>-1.6816999999999998</v>
      </c>
      <c r="IW64" s="5">
        <f t="shared" si="384"/>
        <v>0.26600000000000001</v>
      </c>
      <c r="IX64" s="5">
        <f t="shared" si="233"/>
        <v>0.22918346337649279</v>
      </c>
      <c r="IY64" s="762">
        <f t="shared" si="234"/>
        <v>75.083509588486251</v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0.90630778703664994</v>
      </c>
      <c r="F154" s="170">
        <f t="shared" si="929"/>
        <v>0</v>
      </c>
      <c r="G154" s="170">
        <f t="shared" si="929"/>
        <v>-0.42261826174069944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0.95371695074822693</v>
      </c>
      <c r="F155" s="170">
        <f t="shared" si="929"/>
        <v>0</v>
      </c>
      <c r="G155" s="170">
        <f t="shared" si="929"/>
        <v>-0.30070579950427312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2.1342562450502056E-18</v>
      </c>
      <c r="AM155">
        <v>0.29580089213549071</v>
      </c>
      <c r="AN155">
        <v>-0.30780091867637077</v>
      </c>
      <c r="AO155">
        <v>-0.90630778703664994</v>
      </c>
      <c r="AP155">
        <v>0</v>
      </c>
      <c r="AQ155">
        <v>0.42261826174069944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0</v>
      </c>
      <c r="G156" s="170">
        <f t="shared" si="929"/>
        <v>-0.25881900859134593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3.6015574135222219E-18</v>
      </c>
      <c r="AM156">
        <v>0.97520294121207063</v>
      </c>
      <c r="AN156">
        <v>-0.21830064874355665</v>
      </c>
      <c r="AO156">
        <v>-0.95371695074822693</v>
      </c>
      <c r="AP156">
        <v>0</v>
      </c>
      <c r="AQ156">
        <v>0.30070579950427312</v>
      </c>
      <c r="AR156">
        <v>0.26600000000000001</v>
      </c>
      <c r="AS156">
        <v>0.52</v>
      </c>
      <c r="AT156">
        <v>1.1040000000000001</v>
      </c>
    </row>
    <row r="157" spans="1:259" x14ac:dyDescent="0.25">
      <c r="E157" s="170">
        <f t="shared" si="929"/>
        <v>0.96574457657503487</v>
      </c>
      <c r="F157" s="170">
        <f t="shared" si="929"/>
        <v>-1.9507429275160935E-2</v>
      </c>
      <c r="G157" s="170">
        <f t="shared" si="929"/>
        <v>-0.25876026166894578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-1.8674742144189297E-18</v>
      </c>
      <c r="AM157">
        <v>1.6546049902886508</v>
      </c>
      <c r="AN157">
        <v>-0.12890037911234345</v>
      </c>
      <c r="AO157">
        <v>-0.96592583607220739</v>
      </c>
      <c r="AP157">
        <v>0</v>
      </c>
      <c r="AQ157">
        <v>0.25881900859134593</v>
      </c>
      <c r="AR157">
        <v>0.26600000000000001</v>
      </c>
      <c r="AS157">
        <v>0.52</v>
      </c>
      <c r="AT157">
        <v>1.107</v>
      </c>
    </row>
    <row r="158" spans="1:259" x14ac:dyDescent="0.25">
      <c r="E158" s="170">
        <f t="shared" si="929"/>
        <v>0.95472083296614652</v>
      </c>
      <c r="F158" s="170">
        <f t="shared" si="929"/>
        <v>-0.14107270268937583</v>
      </c>
      <c r="G158" s="170">
        <f t="shared" si="929"/>
        <v>-0.26192866138768089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-3.8683394441534978E-18</v>
      </c>
      <c r="AM158">
        <v>2.3865071977057082</v>
      </c>
      <c r="AN158">
        <v>-4.8200135720409328E-2</v>
      </c>
      <c r="AO158">
        <v>-0.96574457657503487</v>
      </c>
      <c r="AP158">
        <v>1.9507429275160935E-2</v>
      </c>
      <c r="AQ158">
        <v>0.25876026166894578</v>
      </c>
      <c r="AR158">
        <v>0.26600000000000001</v>
      </c>
      <c r="AS158">
        <v>0.52</v>
      </c>
      <c r="AT158">
        <v>1.111</v>
      </c>
    </row>
    <row r="159" spans="1:259" x14ac:dyDescent="0.25">
      <c r="E159" s="170">
        <f t="shared" si="929"/>
        <v>0.92146823618110318</v>
      </c>
      <c r="F159" s="170">
        <f t="shared" si="929"/>
        <v>-0.29081983569314884</v>
      </c>
      <c r="G159" s="170">
        <f t="shared" si="929"/>
        <v>-0.25752691680035467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4.8140313471034214E-3</v>
      </c>
      <c r="AM159">
        <v>3.0647054622314669</v>
      </c>
      <c r="AN159">
        <v>-0.20000059355059011</v>
      </c>
      <c r="AO159">
        <v>-0.95472083296614652</v>
      </c>
      <c r="AP159">
        <v>0.14107270268937583</v>
      </c>
      <c r="AQ159">
        <v>0.26192866138768089</v>
      </c>
      <c r="AR159">
        <v>0.26600000000000001</v>
      </c>
      <c r="AS159">
        <v>0.52</v>
      </c>
      <c r="AT159">
        <v>1.1160000000000001</v>
      </c>
    </row>
    <row r="160" spans="1:259" x14ac:dyDescent="0.25">
      <c r="E160" s="170">
        <f t="shared" si="929"/>
        <v>0.8790096447393313</v>
      </c>
      <c r="F160" s="170">
        <f t="shared" si="929"/>
        <v>-0.43549706431383978</v>
      </c>
      <c r="G160" s="170">
        <f t="shared" si="929"/>
        <v>-0.1941245770871422</v>
      </c>
      <c r="H160" s="139"/>
      <c r="I160" s="86"/>
      <c r="J160" s="79">
        <f t="shared" si="930"/>
        <v>1.1259999999999999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3.3479955556725706E-2</v>
      </c>
      <c r="AM160">
        <v>3.6192560661651685</v>
      </c>
      <c r="AN160">
        <v>-0.61860185605199758</v>
      </c>
      <c r="AO160">
        <v>-0.92146823618110318</v>
      </c>
      <c r="AP160">
        <v>0.29081983569314884</v>
      </c>
      <c r="AQ160">
        <v>0.25752691680035467</v>
      </c>
      <c r="AR160">
        <v>0.26600000000000001</v>
      </c>
      <c r="AS160">
        <v>0.52</v>
      </c>
      <c r="AT160">
        <v>1.121</v>
      </c>
    </row>
    <row r="161" spans="5:46" x14ac:dyDescent="0.25">
      <c r="E161" s="170">
        <f t="shared" si="929"/>
        <v>0.84873731131341301</v>
      </c>
      <c r="F161" s="170">
        <f t="shared" si="929"/>
        <v>-0.5153345364162556</v>
      </c>
      <c r="G161" s="170">
        <f t="shared" si="929"/>
        <v>-0.1186393356400889</v>
      </c>
      <c r="H161" s="139"/>
      <c r="I161" s="86"/>
      <c r="J161" s="79">
        <f t="shared" si="930"/>
        <v>1.131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7.1600012009047351E-2</v>
      </c>
      <c r="AM161">
        <v>3.9441620587082249</v>
      </c>
      <c r="AN161">
        <v>-1.2291036973255511</v>
      </c>
      <c r="AO161">
        <v>-0.8790096447393313</v>
      </c>
      <c r="AP161">
        <v>0.43549706431383978</v>
      </c>
      <c r="AQ161">
        <v>0.1941245770871422</v>
      </c>
      <c r="AR161">
        <v>0.26600000000000001</v>
      </c>
      <c r="AS161">
        <v>0.52</v>
      </c>
      <c r="AT161">
        <v>1.1259999999999999</v>
      </c>
    </row>
    <row r="162" spans="5:46" x14ac:dyDescent="0.25">
      <c r="E162" s="170">
        <f t="shared" si="929"/>
        <v>0.84847225853070662</v>
      </c>
      <c r="F162" s="170">
        <f t="shared" si="929"/>
        <v>-0.51595544540189298</v>
      </c>
      <c r="G162" s="170">
        <f t="shared" si="929"/>
        <v>-0.11783380187338453</v>
      </c>
      <c r="H162" s="139"/>
      <c r="I162" s="86"/>
      <c r="J162" s="79">
        <f t="shared" si="930"/>
        <v>1.1319999999999999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0.10278756672360316</v>
      </c>
      <c r="AM162">
        <v>4.0328903228487425</v>
      </c>
      <c r="AN162">
        <v>-1.9230057901342628</v>
      </c>
      <c r="AO162">
        <v>-0.84873731131341301</v>
      </c>
      <c r="AP162">
        <v>0.5153345364162556</v>
      </c>
      <c r="AQ162">
        <v>0.1186393356400889</v>
      </c>
      <c r="AR162">
        <v>0.26600000000000001</v>
      </c>
      <c r="AS162">
        <v>0.52</v>
      </c>
      <c r="AT162">
        <v>1.131</v>
      </c>
    </row>
    <row r="163" spans="5:46" x14ac:dyDescent="0.25">
      <c r="E163" s="170">
        <f t="shared" si="929"/>
        <v>0.89670787102850402</v>
      </c>
      <c r="F163" s="170">
        <f t="shared" si="929"/>
        <v>-0.36144352458266682</v>
      </c>
      <c r="G163" s="170">
        <f t="shared" si="929"/>
        <v>-0.25548693229358543</v>
      </c>
      <c r="H163" s="139"/>
      <c r="I163" s="86"/>
      <c r="J163" s="79">
        <f t="shared" si="930"/>
        <v>1.2150000000000001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0.10419561877368359</v>
      </c>
      <c r="AM163">
        <v>4.0328663606525517</v>
      </c>
      <c r="AN163">
        <v>-2.6430079616608126</v>
      </c>
      <c r="AO163">
        <v>-0.84847225853070662</v>
      </c>
      <c r="AP163">
        <v>0.51595544540189298</v>
      </c>
      <c r="AQ163">
        <v>0.11783380187338453</v>
      </c>
      <c r="AR163">
        <v>0.26600000000000001</v>
      </c>
      <c r="AS163">
        <v>0.52</v>
      </c>
      <c r="AT163">
        <v>1.1319999999999999</v>
      </c>
    </row>
    <row r="164" spans="5:46" x14ac:dyDescent="0.25">
      <c r="E164" s="170">
        <f t="shared" si="929"/>
        <v>0.83052386768040798</v>
      </c>
      <c r="F164" s="170">
        <f t="shared" si="929"/>
        <v>-0.49076717626017285</v>
      </c>
      <c r="G164" s="170">
        <f t="shared" si="929"/>
        <v>-0.26339643869800689</v>
      </c>
      <c r="H164" s="139"/>
      <c r="I164" s="86"/>
      <c r="J164" s="79">
        <f t="shared" si="930"/>
        <v>1.22</v>
      </c>
      <c r="AL164">
        <v>0.77203044164252399</v>
      </c>
      <c r="AM164">
        <v>2.8318580482607825</v>
      </c>
      <c r="AN164">
        <v>-0.18670043279730536</v>
      </c>
      <c r="AO164">
        <v>-0.89670787102850402</v>
      </c>
      <c r="AP164">
        <v>0.36144352458266682</v>
      </c>
      <c r="AQ164">
        <v>0.25548693229358543</v>
      </c>
      <c r="AR164">
        <v>0.26600000000000001</v>
      </c>
      <c r="AS164">
        <v>0.52</v>
      </c>
      <c r="AT164">
        <v>1.2150000000000001</v>
      </c>
    </row>
    <row r="165" spans="5:46" x14ac:dyDescent="0.25">
      <c r="E165" s="170">
        <f t="shared" si="929"/>
        <v>0.75940458955869772</v>
      </c>
      <c r="F165" s="170">
        <f t="shared" si="929"/>
        <v>-0.61545854926391763</v>
      </c>
      <c r="G165" s="170">
        <f t="shared" si="929"/>
        <v>-0.21098683251601211</v>
      </c>
      <c r="H165" s="139"/>
      <c r="I165" s="86"/>
      <c r="J165" s="79">
        <f t="shared" si="930"/>
        <v>1.2250000000000001</v>
      </c>
      <c r="AL165">
        <v>0.93331802050755786</v>
      </c>
      <c r="AM165">
        <v>3.3976528090035649</v>
      </c>
      <c r="AN165">
        <v>-0.55650154811746855</v>
      </c>
      <c r="AO165">
        <v>-0.83052386768040798</v>
      </c>
      <c r="AP165">
        <v>0.49076717626017285</v>
      </c>
      <c r="AQ165">
        <v>0.26339643869800689</v>
      </c>
      <c r="AR165">
        <v>0.26600000000000001</v>
      </c>
      <c r="AS165">
        <v>0.52</v>
      </c>
      <c r="AT165">
        <v>1.22</v>
      </c>
    </row>
    <row r="166" spans="5:46" x14ac:dyDescent="0.25">
      <c r="E166" s="170">
        <f t="shared" si="929"/>
        <v>0.70119061482519818</v>
      </c>
      <c r="F166" s="170">
        <f t="shared" si="929"/>
        <v>-0.70303374426200216</v>
      </c>
      <c r="G166" s="170">
        <f t="shared" si="929"/>
        <v>-0.11863926883629448</v>
      </c>
      <c r="H166" s="139"/>
      <c r="I166" s="86"/>
      <c r="J166" s="79">
        <f t="shared" si="930"/>
        <v>1.23</v>
      </c>
      <c r="AL166">
        <v>1.0287974147438435</v>
      </c>
      <c r="AM166">
        <v>3.7684012011998775</v>
      </c>
      <c r="AN166">
        <v>-1.1366032977043461</v>
      </c>
      <c r="AO166">
        <v>-0.75940458955869772</v>
      </c>
      <c r="AP166">
        <v>0.61545854926391763</v>
      </c>
      <c r="AQ166">
        <v>0.21098683251601211</v>
      </c>
      <c r="AR166">
        <v>0.26600000000000001</v>
      </c>
      <c r="AS166">
        <v>0.52</v>
      </c>
      <c r="AT166">
        <v>1.2250000000000001</v>
      </c>
    </row>
    <row r="167" spans="5:46" x14ac:dyDescent="0.25">
      <c r="E167" s="170">
        <f t="shared" si="929"/>
        <v>0.36718357654275041</v>
      </c>
      <c r="F167" s="170">
        <f t="shared" si="929"/>
        <v>-0.89405589353165249</v>
      </c>
      <c r="G167" s="170">
        <f t="shared" si="929"/>
        <v>-0.25659360934869918</v>
      </c>
      <c r="H167" s="139"/>
      <c r="I167" s="86"/>
      <c r="J167" s="79">
        <f t="shared" si="930"/>
        <v>2.1120000000000001</v>
      </c>
      <c r="AL167">
        <v>1.0624790756035201</v>
      </c>
      <c r="AM167">
        <v>3.8917743837361254</v>
      </c>
      <c r="AN167">
        <v>-1.8230000000000011</v>
      </c>
      <c r="AO167">
        <v>-0.70119061482519818</v>
      </c>
      <c r="AP167">
        <v>0.70303374426200216</v>
      </c>
      <c r="AQ167">
        <v>0.11863926883629448</v>
      </c>
      <c r="AR167">
        <v>0.26600000000000001</v>
      </c>
      <c r="AS167">
        <v>0.52</v>
      </c>
      <c r="AT167">
        <v>1.23</v>
      </c>
    </row>
    <row r="168" spans="5:46" x14ac:dyDescent="0.25">
      <c r="E168" s="170">
        <f t="shared" si="929"/>
        <v>0.23921285866091424</v>
      </c>
      <c r="F168" s="170">
        <f t="shared" si="929"/>
        <v>-0.93383221982302755</v>
      </c>
      <c r="G168" s="170">
        <f t="shared" si="929"/>
        <v>-0.26595975912094355</v>
      </c>
      <c r="H168" s="139"/>
      <c r="I168" s="86"/>
      <c r="J168" s="79">
        <f t="shared" si="930"/>
        <v>2.117</v>
      </c>
      <c r="AL168">
        <v>2.2925856046527291</v>
      </c>
      <c r="AM168">
        <v>1.0612640731191825</v>
      </c>
      <c r="AN168">
        <v>-5.2000156832473006E-2</v>
      </c>
      <c r="AO168">
        <v>-0.36718357654275041</v>
      </c>
      <c r="AP168">
        <v>0.89405589353165249</v>
      </c>
      <c r="AQ168">
        <v>0.25659360934869918</v>
      </c>
      <c r="AR168">
        <v>0.26600000000000001</v>
      </c>
      <c r="AS168">
        <v>0.52</v>
      </c>
      <c r="AT168">
        <v>2.1120000000000001</v>
      </c>
    </row>
    <row r="169" spans="5:46" x14ac:dyDescent="0.25">
      <c r="E169" s="170">
        <f t="shared" si="929"/>
        <v>8.6738809469580846E-2</v>
      </c>
      <c r="F169" s="170">
        <f t="shared" si="929"/>
        <v>-0.96452662237202591</v>
      </c>
      <c r="G169" s="170">
        <f t="shared" si="929"/>
        <v>-0.24932864590217291</v>
      </c>
      <c r="H169" s="139"/>
      <c r="I169" s="86"/>
      <c r="J169" s="79">
        <f t="shared" si="930"/>
        <v>2.1219999999999999</v>
      </c>
      <c r="AL169">
        <v>2.9051900332113636</v>
      </c>
      <c r="AM169">
        <v>1.3154052716981319</v>
      </c>
      <c r="AN169">
        <v>-0.26100078717837416</v>
      </c>
      <c r="AO169">
        <v>-0.23921285866091424</v>
      </c>
      <c r="AP169">
        <v>0.93383221982302755</v>
      </c>
      <c r="AQ169">
        <v>0.26595975912094355</v>
      </c>
      <c r="AR169">
        <v>0.26600000000000001</v>
      </c>
      <c r="AS169">
        <v>0.52</v>
      </c>
      <c r="AT169">
        <v>2.117</v>
      </c>
    </row>
    <row r="170" spans="5:46" x14ac:dyDescent="0.25">
      <c r="E170" s="170">
        <f t="shared" si="929"/>
        <v>-5.6006387108254709E-2</v>
      </c>
      <c r="F170" s="170">
        <f t="shared" si="929"/>
        <v>-0.98305304150285533</v>
      </c>
      <c r="G170" s="170">
        <f t="shared" si="929"/>
        <v>-0.17455658737230656</v>
      </c>
      <c r="H170" s="139"/>
      <c r="I170" s="86"/>
      <c r="J170" s="79">
        <f t="shared" si="930"/>
        <v>2.1269999999999998</v>
      </c>
      <c r="AL170">
        <v>3.3891136322238822</v>
      </c>
      <c r="AM170">
        <v>1.4997229240222998</v>
      </c>
      <c r="AN170">
        <v>-0.72530218751139741</v>
      </c>
      <c r="AO170">
        <v>-8.6738809469580846E-2</v>
      </c>
      <c r="AP170">
        <v>0.96452662237202591</v>
      </c>
      <c r="AQ170">
        <v>0.24932864590217291</v>
      </c>
      <c r="AR170">
        <v>0.26600000000000001</v>
      </c>
      <c r="AS170">
        <v>0.52</v>
      </c>
      <c r="AT170">
        <v>2.1219999999999999</v>
      </c>
    </row>
    <row r="171" spans="5:46" x14ac:dyDescent="0.25">
      <c r="E171" s="170">
        <f t="shared" si="929"/>
        <v>-0.1090353006372185</v>
      </c>
      <c r="F171" s="170">
        <f t="shared" si="929"/>
        <v>-0.98702912740760373</v>
      </c>
      <c r="G171" s="170">
        <f t="shared" si="929"/>
        <v>-0.11783380187338441</v>
      </c>
      <c r="H171" s="139"/>
      <c r="I171" s="86"/>
      <c r="J171" s="79">
        <f t="shared" si="930"/>
        <v>2.1320000000000001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3.6521826953442083</v>
      </c>
      <c r="AM171">
        <v>1.5940782148224115</v>
      </c>
      <c r="AN171">
        <v>-1.3618041072011873</v>
      </c>
      <c r="AO171">
        <v>5.6006387108254709E-2</v>
      </c>
      <c r="AP171">
        <v>0.98305304150285533</v>
      </c>
      <c r="AQ171">
        <v>0.17455658737230656</v>
      </c>
      <c r="AR171">
        <v>0.26600000000000001</v>
      </c>
      <c r="AS171">
        <v>0.52</v>
      </c>
      <c r="AT171">
        <v>2.1269999999999998</v>
      </c>
    </row>
    <row r="172" spans="5:46" x14ac:dyDescent="0.25">
      <c r="E172" s="170">
        <f t="shared" si="929"/>
        <v>2.0456558043538537E-2</v>
      </c>
      <c r="F172" s="170">
        <f t="shared" si="929"/>
        <v>-0.96487040869573215</v>
      </c>
      <c r="G172" s="170">
        <f t="shared" si="929"/>
        <v>-0.26192866138768084</v>
      </c>
      <c r="H172" s="139"/>
      <c r="I172" s="86"/>
      <c r="J172" s="79">
        <f t="shared" si="930"/>
        <v>2.2160000000000002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3.6990543548184585</v>
      </c>
      <c r="AM172">
        <v>1.6099269206871449</v>
      </c>
      <c r="AN172">
        <v>-2.639807961660813</v>
      </c>
      <c r="AO172">
        <v>0.1090353006372185</v>
      </c>
      <c r="AP172">
        <v>0.98702912740760373</v>
      </c>
      <c r="AQ172">
        <v>0.11783380187338441</v>
      </c>
      <c r="AR172">
        <v>0.26600000000000001</v>
      </c>
      <c r="AS172">
        <v>0.52</v>
      </c>
      <c r="AT172">
        <v>2.1320000000000001</v>
      </c>
    </row>
    <row r="173" spans="5:46" x14ac:dyDescent="0.25">
      <c r="E173" s="170">
        <f t="shared" si="929"/>
        <v>-0.12689263655341598</v>
      </c>
      <c r="F173" s="170">
        <f t="shared" si="929"/>
        <v>-0.95790299399877954</v>
      </c>
      <c r="G173" s="170">
        <f t="shared" si="929"/>
        <v>-0.25752691680035461</v>
      </c>
      <c r="H173" s="139"/>
      <c r="I173" s="86"/>
      <c r="J173" s="79">
        <f t="shared" si="930"/>
        <v>2.2210000000000001</v>
      </c>
      <c r="O173">
        <f>IF($J24="","",IFERROR(INDEX(Settings!$AK$14:$AK$32,MATCH((((ROUND($H24,6)*2)*1000000)+ROUND($I24,6)),Settings!$AI$14:$AI$32,0)),"Undefined"))</f>
        <v>1313</v>
      </c>
      <c r="AL173">
        <v>3.0224137140323348</v>
      </c>
      <c r="AM173">
        <v>0.50740327783575978</v>
      </c>
      <c r="AN173">
        <v>-0.2368005935505901</v>
      </c>
      <c r="AO173">
        <v>-2.0456558043538537E-2</v>
      </c>
      <c r="AP173">
        <v>0.96487040869573215</v>
      </c>
      <c r="AQ173">
        <v>0.26192866138768084</v>
      </c>
      <c r="AR173">
        <v>0.26600000000000001</v>
      </c>
      <c r="AS173">
        <v>0.52</v>
      </c>
      <c r="AT173">
        <v>2.2160000000000002</v>
      </c>
    </row>
    <row r="174" spans="5:46" x14ac:dyDescent="0.25">
      <c r="E174" s="170">
        <f t="shared" ref="E174:G193" si="933">E29*-1</f>
        <v>-0.27163992937767423</v>
      </c>
      <c r="F174" s="170">
        <f t="shared" si="933"/>
        <v>-0.94261731224205214</v>
      </c>
      <c r="G174" s="170">
        <f t="shared" si="933"/>
        <v>-0.19412457708714237</v>
      </c>
      <c r="H174" s="139"/>
      <c r="I174" s="86"/>
      <c r="J174" s="79">
        <f t="shared" si="930"/>
        <v>2.226</v>
      </c>
      <c r="AL174">
        <v>3.570396926224654</v>
      </c>
      <c r="AM174">
        <v>0.59363386788743466</v>
      </c>
      <c r="AN174">
        <v>-0.65540185605199774</v>
      </c>
      <c r="AO174">
        <v>0.12689263655341598</v>
      </c>
      <c r="AP174">
        <v>0.95790299399877954</v>
      </c>
      <c r="AQ174">
        <v>0.25752691680035461</v>
      </c>
      <c r="AR174">
        <v>0.26600000000000001</v>
      </c>
      <c r="AS174">
        <v>0.52</v>
      </c>
      <c r="AT174">
        <v>2.2210000000000001</v>
      </c>
    </row>
    <row r="175" spans="5:46" x14ac:dyDescent="0.25">
      <c r="E175" s="170">
        <f t="shared" si="933"/>
        <v>-0.34879290965020293</v>
      </c>
      <c r="F175" s="170">
        <f t="shared" si="933"/>
        <v>-0.92966027669667317</v>
      </c>
      <c r="G175" s="170">
        <f t="shared" si="933"/>
        <v>-0.11863926883629451</v>
      </c>
      <c r="H175" s="139"/>
      <c r="I175" s="86"/>
      <c r="J175" s="79">
        <f t="shared" si="930"/>
        <v>2.2309999999999999</v>
      </c>
      <c r="AL175">
        <v>3.8936260924040327</v>
      </c>
      <c r="AM175">
        <v>0.63341673456241154</v>
      </c>
      <c r="AN175">
        <v>-1.2659036973255515</v>
      </c>
      <c r="AO175">
        <v>0.27163992937767423</v>
      </c>
      <c r="AP175">
        <v>0.94261731224205214</v>
      </c>
      <c r="AQ175">
        <v>0.19412457708714237</v>
      </c>
      <c r="AR175">
        <v>0.26600000000000001</v>
      </c>
      <c r="AS175">
        <v>0.52</v>
      </c>
      <c r="AT175">
        <v>2.226</v>
      </c>
    </row>
    <row r="176" spans="5:46" x14ac:dyDescent="0.25">
      <c r="E176" s="170">
        <f t="shared" si="933"/>
        <v>-0.70773311121916405</v>
      </c>
      <c r="F176" s="170">
        <f t="shared" si="933"/>
        <v>-0.59385792398293058</v>
      </c>
      <c r="G176" s="170">
        <f t="shared" si="933"/>
        <v>-0.38268343236508978</v>
      </c>
      <c r="H176" s="139"/>
      <c r="I176" s="86"/>
      <c r="J176" s="79">
        <f t="shared" si="930"/>
        <v>3.1019999999999999</v>
      </c>
      <c r="AL176">
        <v>3.9818543418309011</v>
      </c>
      <c r="AM176">
        <v>0.64776974338294291</v>
      </c>
      <c r="AN176">
        <v>-1.9598</v>
      </c>
      <c r="AO176">
        <v>0.34879290965020293</v>
      </c>
      <c r="AP176">
        <v>0.92966027669667317</v>
      </c>
      <c r="AQ176">
        <v>0.11863926883629451</v>
      </c>
      <c r="AR176">
        <v>0.26600000000000001</v>
      </c>
      <c r="AS176">
        <v>0.52</v>
      </c>
      <c r="AT176">
        <v>2.2309999999999999</v>
      </c>
    </row>
    <row r="177" spans="5:46" x14ac:dyDescent="0.25">
      <c r="E177" s="170">
        <f t="shared" si="933"/>
        <v>-0.73994246339904057</v>
      </c>
      <c r="F177" s="170">
        <f t="shared" si="933"/>
        <v>-0.62088474908855051</v>
      </c>
      <c r="G177" s="170">
        <f t="shared" si="933"/>
        <v>-0.25881900859134593</v>
      </c>
      <c r="H177" s="139"/>
      <c r="I177" s="86"/>
      <c r="J177" s="79">
        <f t="shared" si="930"/>
        <v>3.105</v>
      </c>
      <c r="AL177">
        <v>0.33572875928393803</v>
      </c>
      <c r="AM177">
        <v>-0.40010640548529736</v>
      </c>
      <c r="AN177">
        <v>-0.27610082849769874</v>
      </c>
      <c r="AO177">
        <v>0.70773311121916405</v>
      </c>
      <c r="AP177">
        <v>0.59385792398293058</v>
      </c>
      <c r="AQ177">
        <v>0.38268343236508978</v>
      </c>
      <c r="AR177">
        <v>0.26600000000000001</v>
      </c>
      <c r="AS177">
        <v>0.52</v>
      </c>
      <c r="AT177">
        <v>3.1019999999999999</v>
      </c>
    </row>
    <row r="178" spans="5:46" x14ac:dyDescent="0.25">
      <c r="E178" s="170">
        <f t="shared" si="933"/>
        <v>-0.73994246339904057</v>
      </c>
      <c r="F178" s="170">
        <f t="shared" si="933"/>
        <v>-0.62088474908855062</v>
      </c>
      <c r="G178" s="170">
        <f t="shared" si="933"/>
        <v>-0.25881900859134593</v>
      </c>
      <c r="H178" s="139"/>
      <c r="I178" s="86"/>
      <c r="J178" s="79">
        <f t="shared" si="930"/>
        <v>3.1080000000000001</v>
      </c>
      <c r="AL178">
        <v>0.77243968989375533</v>
      </c>
      <c r="AM178">
        <v>-0.92055881193123068</v>
      </c>
      <c r="AN178">
        <v>-0.18670055886648554</v>
      </c>
      <c r="AO178">
        <v>0.73994246339904057</v>
      </c>
      <c r="AP178">
        <v>0.62088474908855051</v>
      </c>
      <c r="AQ178">
        <v>0.25881900859134593</v>
      </c>
      <c r="AR178">
        <v>0.26600000000000001</v>
      </c>
      <c r="AS178">
        <v>0.52</v>
      </c>
      <c r="AT178">
        <v>3.105</v>
      </c>
    </row>
    <row r="179" spans="5:46" x14ac:dyDescent="0.25">
      <c r="E179" s="170">
        <f t="shared" si="933"/>
        <v>-0.78369806074624415</v>
      </c>
      <c r="F179" s="170">
        <f t="shared" si="933"/>
        <v>-0.56746714220781558</v>
      </c>
      <c r="G179" s="170">
        <f t="shared" si="933"/>
        <v>-0.25258343591192012</v>
      </c>
      <c r="H179" s="139"/>
      <c r="I179" s="86"/>
      <c r="J179" s="79">
        <f t="shared" si="930"/>
        <v>3.113</v>
      </c>
      <c r="AL179">
        <v>1.2091506205035725</v>
      </c>
      <c r="AM179">
        <v>-1.4410112183771642</v>
      </c>
      <c r="AN179">
        <v>-9.7300289235272369E-2</v>
      </c>
      <c r="AO179">
        <v>0.73994246339904057</v>
      </c>
      <c r="AP179">
        <v>0.62088474908855062</v>
      </c>
      <c r="AQ179">
        <v>0.25881900859134593</v>
      </c>
      <c r="AR179">
        <v>0.26600000000000001</v>
      </c>
      <c r="AS179">
        <v>0.52</v>
      </c>
      <c r="AT179">
        <v>3.1080000000000001</v>
      </c>
    </row>
    <row r="180" spans="5:46" x14ac:dyDescent="0.25">
      <c r="E180" s="170">
        <f t="shared" si="933"/>
        <v>-0.85428242682642996</v>
      </c>
      <c r="F180" s="170">
        <f t="shared" si="933"/>
        <v>-0.44565349166865026</v>
      </c>
      <c r="G180" s="170">
        <f t="shared" si="933"/>
        <v>-0.26757148685741122</v>
      </c>
      <c r="H180" s="139"/>
      <c r="I180" s="86"/>
      <c r="J180" s="79">
        <f t="shared" si="930"/>
        <v>3.1179999999999999</v>
      </c>
      <c r="AL180">
        <v>1.7045304895349485</v>
      </c>
      <c r="AM180">
        <v>-2.0487500248385331</v>
      </c>
      <c r="AN180">
        <v>-7.220021353344408E-2</v>
      </c>
      <c r="AO180">
        <v>0.78369806074624415</v>
      </c>
      <c r="AP180">
        <v>0.56746714220781558</v>
      </c>
      <c r="AQ180">
        <v>0.25258343591192012</v>
      </c>
      <c r="AR180">
        <v>0.26600000000000001</v>
      </c>
      <c r="AS180">
        <v>0.52</v>
      </c>
      <c r="AT180">
        <v>3.113</v>
      </c>
    </row>
    <row r="181" spans="5:46" x14ac:dyDescent="0.25">
      <c r="E181" s="170">
        <f t="shared" si="933"/>
        <v>-0.92172898312958029</v>
      </c>
      <c r="F181" s="170">
        <f t="shared" si="933"/>
        <v>-0.30559720286619246</v>
      </c>
      <c r="G181" s="170">
        <f t="shared" si="933"/>
        <v>-0.23880123797683553</v>
      </c>
      <c r="H181" s="139"/>
      <c r="I181" s="86"/>
      <c r="J181" s="79">
        <f t="shared" si="930"/>
        <v>3.1230000000000002</v>
      </c>
      <c r="AL181">
        <v>2.0931880562498293</v>
      </c>
      <c r="AM181">
        <v>-2.5610246997764672</v>
      </c>
      <c r="AN181">
        <v>-0.33690101187105198</v>
      </c>
      <c r="AO181">
        <v>0.85428242682642996</v>
      </c>
      <c r="AP181">
        <v>0.44565349166865026</v>
      </c>
      <c r="AQ181">
        <v>0.26757148685741122</v>
      </c>
      <c r="AR181">
        <v>0.26600000000000001</v>
      </c>
      <c r="AS181">
        <v>0.52</v>
      </c>
      <c r="AT181">
        <v>3.1179999999999999</v>
      </c>
    </row>
    <row r="182" spans="5:46" x14ac:dyDescent="0.25">
      <c r="E182" s="170">
        <f t="shared" si="933"/>
        <v>-0.97231583430183655</v>
      </c>
      <c r="F182" s="170">
        <f t="shared" si="933"/>
        <v>-0.1761470993151823</v>
      </c>
      <c r="G182" s="170">
        <f t="shared" si="933"/>
        <v>-0.1535386523608018</v>
      </c>
      <c r="H182" s="139"/>
      <c r="I182" s="86"/>
      <c r="J182" s="79">
        <f t="shared" si="930"/>
        <v>3.1280000000000001</v>
      </c>
      <c r="AL182">
        <v>2.3700584339835058</v>
      </c>
      <c r="AM182">
        <v>-2.9488152864346966</v>
      </c>
      <c r="AN182">
        <v>-0.84350253978126022</v>
      </c>
      <c r="AO182">
        <v>0.92172898312958029</v>
      </c>
      <c r="AP182">
        <v>0.30559720286619246</v>
      </c>
      <c r="AQ182">
        <v>0.23880123797683553</v>
      </c>
      <c r="AR182">
        <v>0.26600000000000001</v>
      </c>
      <c r="AS182">
        <v>0.52</v>
      </c>
      <c r="AT182">
        <v>3.1230000000000002</v>
      </c>
    </row>
    <row r="183" spans="5:46" x14ac:dyDescent="0.25">
      <c r="E183" s="170">
        <f t="shared" si="933"/>
        <v>-0.98161730947975634</v>
      </c>
      <c r="F183" s="170">
        <f t="shared" si="933"/>
        <v>-0.15014210890282698</v>
      </c>
      <c r="G183" s="170">
        <f t="shared" si="933"/>
        <v>-0.11783380187338421</v>
      </c>
      <c r="H183" s="139"/>
      <c r="I183" s="86"/>
      <c r="J183" s="79">
        <f t="shared" si="930"/>
        <v>3.1320000000000001</v>
      </c>
      <c r="AL183">
        <v>2.507370501044647</v>
      </c>
      <c r="AM183">
        <v>-3.1465601425193053</v>
      </c>
      <c r="AN183">
        <v>-1.5015045243152458</v>
      </c>
      <c r="AO183">
        <v>0.97231583430183655</v>
      </c>
      <c r="AP183">
        <v>0.1761470993151823</v>
      </c>
      <c r="AQ183">
        <v>0.1535386523608018</v>
      </c>
      <c r="AR183">
        <v>0.26600000000000001</v>
      </c>
      <c r="AS183">
        <v>0.52</v>
      </c>
      <c r="AT183">
        <v>3.1280000000000001</v>
      </c>
    </row>
    <row r="184" spans="5:46" x14ac:dyDescent="0.25">
      <c r="E184" s="170">
        <f t="shared" si="933"/>
        <v>-0.90794266396572409</v>
      </c>
      <c r="F184" s="170">
        <f t="shared" si="933"/>
        <v>-0.33136058696264953</v>
      </c>
      <c r="G184" s="170">
        <f t="shared" si="933"/>
        <v>-0.25659360934869924</v>
      </c>
      <c r="H184" s="139"/>
      <c r="I184" s="86"/>
      <c r="J184" s="79">
        <f t="shared" si="930"/>
        <v>3.2120000000000002</v>
      </c>
      <c r="AL184">
        <v>2.5124563035595315</v>
      </c>
      <c r="AM184">
        <v>-3.1563319110256072</v>
      </c>
      <c r="AN184">
        <v>-2.6412079616608128</v>
      </c>
      <c r="AO184">
        <v>0.98161730947975634</v>
      </c>
      <c r="AP184">
        <v>0.15014210890282698</v>
      </c>
      <c r="AQ184">
        <v>0.11783380187338421</v>
      </c>
      <c r="AR184">
        <v>0.26600000000000001</v>
      </c>
      <c r="AS184">
        <v>0.52</v>
      </c>
      <c r="AT184">
        <v>3.1320000000000001</v>
      </c>
    </row>
    <row r="185" spans="5:46" x14ac:dyDescent="0.25">
      <c r="E185" s="170">
        <f t="shared" si="933"/>
        <v>-0.93766993523257192</v>
      </c>
      <c r="F185" s="170">
        <f t="shared" si="933"/>
        <v>-0.22369733813631792</v>
      </c>
      <c r="G185" s="170">
        <f t="shared" si="933"/>
        <v>-0.2659597591209435</v>
      </c>
      <c r="H185" s="139"/>
      <c r="I185" s="86"/>
      <c r="J185" s="79">
        <f t="shared" si="930"/>
        <v>3.2170000000000001</v>
      </c>
      <c r="AL185">
        <v>0.96931027784578649</v>
      </c>
      <c r="AM185">
        <v>-2.3329525869200518</v>
      </c>
      <c r="AN185">
        <v>-9.3400156832473047E-2</v>
      </c>
      <c r="AO185">
        <v>0.90794266396572409</v>
      </c>
      <c r="AP185">
        <v>0.33136058696264953</v>
      </c>
      <c r="AQ185">
        <v>0.25659360934869924</v>
      </c>
      <c r="AR185">
        <v>0.26600000000000001</v>
      </c>
      <c r="AS185">
        <v>0.52</v>
      </c>
      <c r="AT185">
        <v>3.2120000000000002</v>
      </c>
    </row>
    <row r="186" spans="5:46" x14ac:dyDescent="0.25">
      <c r="E186" s="170">
        <f t="shared" si="933"/>
        <v>-0.96404318780827924</v>
      </c>
      <c r="F186" s="170">
        <f t="shared" si="933"/>
        <v>-9.1956285119831477E-2</v>
      </c>
      <c r="G186" s="170">
        <f t="shared" si="933"/>
        <v>-0.24932864590217321</v>
      </c>
      <c r="H186" s="139"/>
      <c r="I186" s="86"/>
      <c r="J186" s="79">
        <f t="shared" si="930"/>
        <v>3.222</v>
      </c>
      <c r="AL186">
        <v>1.2670573426435172</v>
      </c>
      <c r="AM186">
        <v>-2.9265997075676453</v>
      </c>
      <c r="AN186">
        <v>-0.3024007871783741</v>
      </c>
      <c r="AO186">
        <v>0.93766993523257192</v>
      </c>
      <c r="AP186">
        <v>0.22369733813631792</v>
      </c>
      <c r="AQ186">
        <v>0.2659597591209435</v>
      </c>
      <c r="AR186">
        <v>0.26600000000000001</v>
      </c>
      <c r="AS186">
        <v>0.52</v>
      </c>
      <c r="AT186">
        <v>3.2170000000000001</v>
      </c>
    </row>
    <row r="187" spans="5:46" x14ac:dyDescent="0.25">
      <c r="E187" s="170">
        <f t="shared" si="933"/>
        <v>-0.98358563850308112</v>
      </c>
      <c r="F187" s="170">
        <f t="shared" si="933"/>
        <v>4.5708905219278874E-2</v>
      </c>
      <c r="G187" s="170">
        <f t="shared" si="933"/>
        <v>-0.17455654589313277</v>
      </c>
      <c r="H187" s="139"/>
      <c r="I187" s="86"/>
      <c r="J187" s="79">
        <f t="shared" si="930"/>
        <v>3.2269999999999999</v>
      </c>
      <c r="AL187">
        <v>1.5180383821219516</v>
      </c>
      <c r="AM187">
        <v>-3.3809495014519686</v>
      </c>
      <c r="AN187">
        <v>-0.76670218751139696</v>
      </c>
      <c r="AO187">
        <v>0.96404318780827924</v>
      </c>
      <c r="AP187">
        <v>9.1956285119831477E-2</v>
      </c>
      <c r="AQ187">
        <v>0.24932864590217321</v>
      </c>
      <c r="AR187">
        <v>0.26600000000000001</v>
      </c>
      <c r="AS187">
        <v>0.52</v>
      </c>
      <c r="AT187">
        <v>3.222</v>
      </c>
    </row>
    <row r="188" spans="5:46" x14ac:dyDescent="0.25">
      <c r="E188" s="170">
        <f t="shared" si="933"/>
        <v>-0.71984609729846993</v>
      </c>
      <c r="F188" s="170">
        <f t="shared" si="933"/>
        <v>0.60402302751108006</v>
      </c>
      <c r="G188" s="170">
        <f t="shared" si="933"/>
        <v>-0.34202014332566871</v>
      </c>
      <c r="H188" s="139"/>
      <c r="I188" s="86"/>
      <c r="J188" s="79">
        <f t="shared" si="930"/>
        <v>4.1029999999999998</v>
      </c>
      <c r="AL188">
        <v>1.6322314304623784</v>
      </c>
      <c r="AM188">
        <v>-3.6352783342421993</v>
      </c>
      <c r="AN188">
        <v>-1.4032</v>
      </c>
      <c r="AO188">
        <v>0.98358563850308112</v>
      </c>
      <c r="AP188">
        <v>-4.5708905219278874E-2</v>
      </c>
      <c r="AQ188">
        <v>0.17455654589313277</v>
      </c>
      <c r="AR188">
        <v>0.26600000000000001</v>
      </c>
      <c r="AS188">
        <v>0.52</v>
      </c>
      <c r="AT188">
        <v>3.2269999999999999</v>
      </c>
    </row>
    <row r="189" spans="5:46" x14ac:dyDescent="0.25">
      <c r="E189" s="170">
        <f t="shared" si="933"/>
        <v>-0.73994190014476613</v>
      </c>
      <c r="F189" s="170">
        <f t="shared" si="933"/>
        <v>0.6208854203489933</v>
      </c>
      <c r="G189" s="170">
        <f t="shared" si="933"/>
        <v>-0.25881900859134588</v>
      </c>
      <c r="H189" s="139"/>
      <c r="I189" s="86"/>
      <c r="J189" s="79">
        <f t="shared" si="930"/>
        <v>4.1059999999999999</v>
      </c>
      <c r="AL189">
        <v>-0.48125528571175014</v>
      </c>
      <c r="AM189">
        <v>-0.57353730478017007</v>
      </c>
      <c r="AN189">
        <v>-0.25000073862062772</v>
      </c>
      <c r="AO189">
        <v>0.71984609729846993</v>
      </c>
      <c r="AP189">
        <v>-0.60402302751108006</v>
      </c>
      <c r="AQ189">
        <v>0.34202014332566871</v>
      </c>
      <c r="AR189">
        <v>0.26600000000000001</v>
      </c>
      <c r="AS189">
        <v>0.52</v>
      </c>
      <c r="AT189">
        <v>4.1029999999999998</v>
      </c>
    </row>
    <row r="190" spans="5:46" x14ac:dyDescent="0.25">
      <c r="E190" s="170">
        <f t="shared" si="933"/>
        <v>-0.73994190014476591</v>
      </c>
      <c r="F190" s="170">
        <f t="shared" si="933"/>
        <v>0.6208854203489933</v>
      </c>
      <c r="G190" s="170">
        <f t="shared" si="933"/>
        <v>-0.25881900859134588</v>
      </c>
      <c r="H190" s="139"/>
      <c r="I190" s="86"/>
      <c r="J190" s="79">
        <f t="shared" si="930"/>
        <v>4.109</v>
      </c>
      <c r="AL190">
        <v>-0.91796813993550574</v>
      </c>
      <c r="AM190">
        <v>-1.0939910448443757</v>
      </c>
      <c r="AN190">
        <v>-0.16060046898941449</v>
      </c>
      <c r="AO190">
        <v>0.73994190014476613</v>
      </c>
      <c r="AP190">
        <v>-0.6208854203489933</v>
      </c>
      <c r="AQ190">
        <v>0.25881900859134588</v>
      </c>
      <c r="AR190">
        <v>0.26600000000000001</v>
      </c>
      <c r="AS190">
        <v>0.52</v>
      </c>
      <c r="AT190">
        <v>4.1059999999999999</v>
      </c>
    </row>
    <row r="191" spans="5:46" x14ac:dyDescent="0.25">
      <c r="E191" s="170">
        <f t="shared" si="933"/>
        <v>-0.67938707079708294</v>
      </c>
      <c r="F191" s="170">
        <f t="shared" si="933"/>
        <v>0.69103582378276507</v>
      </c>
      <c r="G191" s="170">
        <f t="shared" si="933"/>
        <v>-0.24678472052101352</v>
      </c>
      <c r="H191" s="139"/>
      <c r="I191" s="86"/>
      <c r="J191" s="79">
        <f t="shared" si="930"/>
        <v>4.1139999999999999</v>
      </c>
      <c r="AL191">
        <v>-1.3546795426889429</v>
      </c>
      <c r="AM191">
        <v>-1.6144430551148539</v>
      </c>
      <c r="AN191">
        <v>-7.1100199056600394E-2</v>
      </c>
      <c r="AO191">
        <v>0.73994190014476591</v>
      </c>
      <c r="AP191">
        <v>-0.6208854203489933</v>
      </c>
      <c r="AQ191">
        <v>0.25881900859134588</v>
      </c>
      <c r="AR191">
        <v>0.26600000000000001</v>
      </c>
      <c r="AS191">
        <v>0.52</v>
      </c>
      <c r="AT191">
        <v>4.109</v>
      </c>
    </row>
    <row r="192" spans="5:46" x14ac:dyDescent="0.25">
      <c r="E192" s="170">
        <f t="shared" si="933"/>
        <v>-0.56230175755035627</v>
      </c>
      <c r="F192" s="170">
        <f t="shared" si="933"/>
        <v>0.78273525222410112</v>
      </c>
      <c r="G192" s="170">
        <f t="shared" si="933"/>
        <v>-0.2667250614049107</v>
      </c>
      <c r="H192" s="139"/>
      <c r="I192" s="86"/>
      <c r="J192" s="79">
        <f t="shared" si="930"/>
        <v>4.1189999999999998</v>
      </c>
      <c r="AL192">
        <v>-1.8132357062805309</v>
      </c>
      <c r="AM192">
        <v>-2.1358245508481311</v>
      </c>
      <c r="AN192">
        <v>-0.10650030582332236</v>
      </c>
      <c r="AO192">
        <v>0.67938707079708294</v>
      </c>
      <c r="AP192">
        <v>-0.69103582378276507</v>
      </c>
      <c r="AQ192">
        <v>0.24678472052101352</v>
      </c>
      <c r="AR192">
        <v>0.26600000000000001</v>
      </c>
      <c r="AS192">
        <v>0.52</v>
      </c>
      <c r="AT192">
        <v>4.1139999999999999</v>
      </c>
    </row>
    <row r="193" spans="5:46" x14ac:dyDescent="0.25">
      <c r="E193" s="170">
        <f t="shared" si="933"/>
        <v>-0.43611422161668856</v>
      </c>
      <c r="F193" s="170">
        <f t="shared" si="933"/>
        <v>0.87105037881500791</v>
      </c>
      <c r="G193" s="170">
        <f t="shared" si="933"/>
        <v>-0.22599916652479352</v>
      </c>
      <c r="H193" s="139"/>
      <c r="I193" s="86"/>
      <c r="J193" s="79">
        <f t="shared" si="930"/>
        <v>4.1239999999999997</v>
      </c>
      <c r="AL193">
        <v>-2.2365720799390849</v>
      </c>
      <c r="AM193">
        <v>-2.5865251244648029</v>
      </c>
      <c r="AN193">
        <v>-0.42490126612061835</v>
      </c>
      <c r="AO193">
        <v>0.56230175755035627</v>
      </c>
      <c r="AP193">
        <v>-0.78273525222410112</v>
      </c>
      <c r="AQ193">
        <v>0.2667250614049107</v>
      </c>
      <c r="AR193">
        <v>0.26600000000000001</v>
      </c>
      <c r="AS193">
        <v>0.52</v>
      </c>
      <c r="AT193">
        <v>4.1189999999999998</v>
      </c>
    </row>
    <row r="194" spans="5:46" x14ac:dyDescent="0.25">
      <c r="E194" s="170">
        <f t="shared" ref="E194:G213" si="934">E49*-1</f>
        <v>-0.32093622585232995</v>
      </c>
      <c r="F194" s="170">
        <f t="shared" si="934"/>
        <v>0.93804441286738749</v>
      </c>
      <c r="G194" s="170">
        <f t="shared" si="934"/>
        <v>-0.1306622302884069</v>
      </c>
      <c r="H194" s="139"/>
      <c r="I194" s="86"/>
      <c r="J194" s="79">
        <f t="shared" si="930"/>
        <v>4.1289999999999996</v>
      </c>
      <c r="AL194">
        <v>-2.5400712865511488</v>
      </c>
      <c r="AM194">
        <v>-2.8933367041544948</v>
      </c>
      <c r="AN194">
        <v>-0.97020291075037846</v>
      </c>
      <c r="AO194">
        <v>0.43611422161668856</v>
      </c>
      <c r="AP194">
        <v>-0.87105037881500791</v>
      </c>
      <c r="AQ194">
        <v>0.22599916652479352</v>
      </c>
      <c r="AR194">
        <v>0.26600000000000001</v>
      </c>
      <c r="AS194">
        <v>0.52</v>
      </c>
      <c r="AT194">
        <v>4.1239999999999997</v>
      </c>
    </row>
    <row r="195" spans="5:46" x14ac:dyDescent="0.25">
      <c r="E195" s="170">
        <f t="shared" si="934"/>
        <v>-0.31831735948580736</v>
      </c>
      <c r="F195" s="170">
        <f t="shared" si="934"/>
        <v>0.94063236909328574</v>
      </c>
      <c r="G195" s="170">
        <f t="shared" si="934"/>
        <v>-0.11783380187338462</v>
      </c>
      <c r="H195" s="139"/>
      <c r="I195" s="86"/>
      <c r="J195" s="79">
        <f t="shared" si="930"/>
        <v>4.1319999999999997</v>
      </c>
      <c r="AL195">
        <v>-2.6705693735641871</v>
      </c>
      <c r="AM195">
        <v>-3.0227771123556204</v>
      </c>
      <c r="AN195">
        <v>-1.6449049456517157</v>
      </c>
      <c r="AO195">
        <v>0.32093622585232995</v>
      </c>
      <c r="AP195">
        <v>-0.93804441286738749</v>
      </c>
      <c r="AQ195">
        <v>0.1306622302884069</v>
      </c>
      <c r="AR195">
        <v>0.26600000000000001</v>
      </c>
      <c r="AS195">
        <v>0.52</v>
      </c>
      <c r="AT195">
        <v>4.1289999999999996</v>
      </c>
    </row>
    <row r="196" spans="5:46" x14ac:dyDescent="0.25">
      <c r="E196" s="170">
        <f t="shared" si="934"/>
        <v>-0.47723462288120189</v>
      </c>
      <c r="F196" s="170">
        <f t="shared" si="934"/>
        <v>0.84169396019358844</v>
      </c>
      <c r="G196" s="170">
        <f t="shared" si="934"/>
        <v>-0.25258343591192017</v>
      </c>
      <c r="H196" s="139"/>
      <c r="I196" s="86"/>
      <c r="J196" s="79">
        <f t="shared" si="930"/>
        <v>4.2130000000000001</v>
      </c>
      <c r="AL196">
        <v>-2.6720960691792572</v>
      </c>
      <c r="AM196">
        <v>-3.0223782699939039</v>
      </c>
      <c r="AN196">
        <v>-2.6449079616608118</v>
      </c>
      <c r="AO196">
        <v>0.31831735948580736</v>
      </c>
      <c r="AP196">
        <v>-0.94063236909328574</v>
      </c>
      <c r="AQ196">
        <v>0.11783380187338462</v>
      </c>
      <c r="AR196">
        <v>0.26600000000000001</v>
      </c>
      <c r="AS196">
        <v>0.52</v>
      </c>
      <c r="AT196">
        <v>4.1319999999999997</v>
      </c>
    </row>
    <row r="197" spans="5:46" x14ac:dyDescent="0.25">
      <c r="E197" s="170">
        <f t="shared" si="934"/>
        <v>-0.36374799146906445</v>
      </c>
      <c r="F197" s="170">
        <f t="shared" si="934"/>
        <v>0.8922403813564681</v>
      </c>
      <c r="G197" s="170">
        <f t="shared" si="934"/>
        <v>-0.26757148685741139</v>
      </c>
      <c r="H197" s="139"/>
      <c r="I197" s="86"/>
      <c r="J197" s="79">
        <f t="shared" si="930"/>
        <v>4.218</v>
      </c>
      <c r="AL197">
        <v>-2.2248312102295444</v>
      </c>
      <c r="AM197">
        <v>-1.4672855686670809</v>
      </c>
      <c r="AN197">
        <v>-0.11590021353344399</v>
      </c>
      <c r="AO197">
        <v>0.47723462288120189</v>
      </c>
      <c r="AP197">
        <v>-0.84169396019358844</v>
      </c>
      <c r="AQ197">
        <v>0.25258343591192017</v>
      </c>
      <c r="AR197">
        <v>0.26600000000000001</v>
      </c>
      <c r="AS197">
        <v>0.52</v>
      </c>
      <c r="AT197">
        <v>4.2130000000000001</v>
      </c>
    </row>
    <row r="198" spans="5:46" x14ac:dyDescent="0.25">
      <c r="E198" s="170">
        <f t="shared" si="934"/>
        <v>-0.23414705382864953</v>
      </c>
      <c r="F198" s="170">
        <f t="shared" si="934"/>
        <v>0.94241664136627734</v>
      </c>
      <c r="G198" s="170">
        <f t="shared" si="934"/>
        <v>-0.23880123797683558</v>
      </c>
      <c r="H198" s="139"/>
      <c r="I198" s="86"/>
      <c r="J198" s="79">
        <f t="shared" si="930"/>
        <v>4.2229999999999999</v>
      </c>
      <c r="AL198">
        <v>-2.7456795019388016</v>
      </c>
      <c r="AM198">
        <v>-1.8443231344656423</v>
      </c>
      <c r="AN198">
        <v>-0.38060101187105216</v>
      </c>
      <c r="AO198">
        <v>0.36374799146906445</v>
      </c>
      <c r="AP198">
        <v>-0.8922403813564681</v>
      </c>
      <c r="AQ198">
        <v>0.26757148685741139</v>
      </c>
      <c r="AR198">
        <v>0.26600000000000001</v>
      </c>
      <c r="AS198">
        <v>0.52</v>
      </c>
      <c r="AT198">
        <v>4.218</v>
      </c>
    </row>
    <row r="199" spans="5:46" x14ac:dyDescent="0.25">
      <c r="E199" s="170">
        <f t="shared" si="934"/>
        <v>-0.10395132875051853</v>
      </c>
      <c r="F199" s="170">
        <f t="shared" si="934"/>
        <v>0.98345160860425751</v>
      </c>
      <c r="G199" s="170">
        <f t="shared" si="934"/>
        <v>-0.14838145027158894</v>
      </c>
      <c r="H199" s="139"/>
      <c r="I199" s="86"/>
      <c r="J199" s="79">
        <f t="shared" si="930"/>
        <v>4.2279999999999998</v>
      </c>
      <c r="AL199">
        <v>-3.1215795554220045</v>
      </c>
      <c r="AM199">
        <v>-2.1373885124559471</v>
      </c>
      <c r="AN199">
        <v>-0.88720253978125974</v>
      </c>
      <c r="AO199">
        <v>0.23414705382864953</v>
      </c>
      <c r="AP199">
        <v>-0.94241664136627734</v>
      </c>
      <c r="AQ199">
        <v>0.23880123797683558</v>
      </c>
      <c r="AR199">
        <v>0.26600000000000001</v>
      </c>
      <c r="AS199">
        <v>0.52</v>
      </c>
      <c r="AT199">
        <v>4.2229999999999999</v>
      </c>
    </row>
    <row r="200" spans="5:46" x14ac:dyDescent="0.25">
      <c r="E200" s="170">
        <f t="shared" si="934"/>
        <v>0.25000017886749293</v>
      </c>
      <c r="F200" s="170">
        <f t="shared" si="934"/>
        <v>0.93301266409305206</v>
      </c>
      <c r="G200" s="170">
        <f t="shared" si="934"/>
        <v>-0.25881900859134593</v>
      </c>
      <c r="H200" s="139"/>
      <c r="I200" s="86"/>
      <c r="J200" s="79">
        <f t="shared" si="930"/>
        <v>5.1100000000000003</v>
      </c>
      <c r="AL200">
        <v>-3.3197624509001726</v>
      </c>
      <c r="AM200">
        <v>-2.273087070394197</v>
      </c>
      <c r="AN200">
        <v>-1.5451999999999999</v>
      </c>
      <c r="AO200">
        <v>0.10395132875051853</v>
      </c>
      <c r="AP200">
        <v>-0.98345160860425751</v>
      </c>
      <c r="AQ200">
        <v>0.14838145027158894</v>
      </c>
      <c r="AR200">
        <v>0.26600000000000001</v>
      </c>
      <c r="AS200">
        <v>0.52</v>
      </c>
      <c r="AT200">
        <v>4.2279999999999998</v>
      </c>
    </row>
    <row r="201" spans="5:46" x14ac:dyDescent="0.25">
      <c r="E201" s="170">
        <f t="shared" si="934"/>
        <v>0.36426567064893678</v>
      </c>
      <c r="F201" s="170">
        <f t="shared" si="934"/>
        <v>0.89556515598469633</v>
      </c>
      <c r="G201" s="170">
        <f t="shared" si="934"/>
        <v>-0.25548693229358532</v>
      </c>
      <c r="H201" s="139"/>
      <c r="I201" s="86"/>
      <c r="J201" s="79">
        <f t="shared" si="930"/>
        <v>5.1150000000000002</v>
      </c>
      <c r="AL201">
        <v>-2.1702485820721713</v>
      </c>
      <c r="AM201">
        <v>0.58151679455752214</v>
      </c>
      <c r="AN201">
        <v>-5.190015080045484E-2</v>
      </c>
      <c r="AO201">
        <v>-0.25000017886749293</v>
      </c>
      <c r="AP201">
        <v>-0.93301266409305206</v>
      </c>
      <c r="AQ201">
        <v>0.25881900859134593</v>
      </c>
      <c r="AR201">
        <v>0.26600000000000001</v>
      </c>
      <c r="AS201">
        <v>0.52</v>
      </c>
      <c r="AT201">
        <v>5.1100000000000003</v>
      </c>
    </row>
    <row r="202" spans="5:46" x14ac:dyDescent="0.25">
      <c r="E202" s="170">
        <f t="shared" si="934"/>
        <v>0.49929343139896282</v>
      </c>
      <c r="F202" s="170">
        <f t="shared" si="934"/>
        <v>0.82542618412736124</v>
      </c>
      <c r="G202" s="170">
        <f t="shared" si="934"/>
        <v>-0.26339643869800683</v>
      </c>
      <c r="H202" s="139"/>
      <c r="I202" s="86"/>
      <c r="J202" s="79">
        <f t="shared" si="930"/>
        <v>5.12</v>
      </c>
      <c r="AL202">
        <v>-2.829412704915061</v>
      </c>
      <c r="AM202">
        <v>0.78094478267503331</v>
      </c>
      <c r="AN202">
        <v>-0.14540043279730536</v>
      </c>
      <c r="AO202">
        <v>-0.36426567064893678</v>
      </c>
      <c r="AP202">
        <v>-0.89556515598469633</v>
      </c>
      <c r="AQ202">
        <v>0.25548693229358532</v>
      </c>
      <c r="AR202">
        <v>0.26600000000000001</v>
      </c>
      <c r="AS202">
        <v>0.52</v>
      </c>
      <c r="AT202">
        <v>5.1150000000000002</v>
      </c>
    </row>
    <row r="203" spans="5:46" x14ac:dyDescent="0.25">
      <c r="E203" s="170">
        <f t="shared" si="934"/>
        <v>0.62953244245495765</v>
      </c>
      <c r="F203" s="170">
        <f t="shared" si="934"/>
        <v>0.74777901842827588</v>
      </c>
      <c r="G203" s="170">
        <f t="shared" si="934"/>
        <v>-0.21098683251601211</v>
      </c>
      <c r="H203" s="139"/>
      <c r="I203" s="86"/>
      <c r="J203" s="79">
        <f t="shared" si="930"/>
        <v>5.125</v>
      </c>
      <c r="AL203">
        <v>-3.3878618720296849</v>
      </c>
      <c r="AM203">
        <v>0.96825568626343916</v>
      </c>
      <c r="AN203">
        <v>-0.5152015481174691</v>
      </c>
      <c r="AO203">
        <v>-0.49929343139896282</v>
      </c>
      <c r="AP203">
        <v>-0.82542618412736124</v>
      </c>
      <c r="AQ203">
        <v>0.26339643869800683</v>
      </c>
      <c r="AR203">
        <v>0.26600000000000001</v>
      </c>
      <c r="AS203">
        <v>0.52</v>
      </c>
      <c r="AT203">
        <v>5.12</v>
      </c>
    </row>
    <row r="204" spans="5:46" x14ac:dyDescent="0.25">
      <c r="E204" s="170">
        <f t="shared" si="934"/>
        <v>0.71744444809420349</v>
      </c>
      <c r="F204" s="170">
        <f t="shared" si="934"/>
        <v>0.68643876051522779</v>
      </c>
      <c r="G204" s="170">
        <f t="shared" si="934"/>
        <v>-0.11863933564008888</v>
      </c>
      <c r="H204" s="139"/>
      <c r="I204" s="86"/>
      <c r="J204" s="79">
        <f t="shared" si="930"/>
        <v>5.13</v>
      </c>
      <c r="AL204">
        <v>-3.7485321904952706</v>
      </c>
      <c r="AM204">
        <v>1.0989896044135397</v>
      </c>
      <c r="AN204">
        <v>-1.0953032977043462</v>
      </c>
      <c r="AO204">
        <v>-0.62953244245495765</v>
      </c>
      <c r="AP204">
        <v>-0.74777901842827588</v>
      </c>
      <c r="AQ204">
        <v>0.21098683251601211</v>
      </c>
      <c r="AR204">
        <v>0.26600000000000001</v>
      </c>
      <c r="AS204">
        <v>0.52</v>
      </c>
      <c r="AT204">
        <v>5.125</v>
      </c>
    </row>
    <row r="205" spans="5:46" x14ac:dyDescent="0.25">
      <c r="E205" s="170">
        <f t="shared" si="934"/>
        <v>0.71797559933232447</v>
      </c>
      <c r="F205" s="170">
        <f t="shared" si="934"/>
        <v>0.68602203601593859</v>
      </c>
      <c r="G205" s="170">
        <f t="shared" si="934"/>
        <v>-0.11783380187338439</v>
      </c>
      <c r="H205" s="139"/>
      <c r="I205" s="86"/>
      <c r="J205" s="79">
        <f t="shared" si="930"/>
        <v>5.1319999999999997</v>
      </c>
      <c r="AL205">
        <v>-3.8688693215268537</v>
      </c>
      <c r="AM205">
        <v>1.1430747188825172</v>
      </c>
      <c r="AN205">
        <v>-1.7817053678929897</v>
      </c>
      <c r="AO205">
        <v>-0.71744444809420349</v>
      </c>
      <c r="AP205">
        <v>-0.68643876051522779</v>
      </c>
      <c r="AQ205">
        <v>0.11863933564008888</v>
      </c>
      <c r="AR205">
        <v>0.26600000000000001</v>
      </c>
      <c r="AS205">
        <v>0.52</v>
      </c>
      <c r="AT205">
        <v>5.13</v>
      </c>
    </row>
    <row r="206" spans="5:46" x14ac:dyDescent="0.25">
      <c r="E206" s="170">
        <f t="shared" si="934"/>
        <v>0.56997341914467792</v>
      </c>
      <c r="F206" s="170">
        <f t="shared" si="934"/>
        <v>0.7837267401243182</v>
      </c>
      <c r="G206" s="170">
        <f t="shared" si="934"/>
        <v>-0.24678472052101358</v>
      </c>
      <c r="H206" s="139"/>
      <c r="I206" s="86"/>
      <c r="J206" s="79">
        <f t="shared" si="930"/>
        <v>5.2140000000000004</v>
      </c>
      <c r="AL206">
        <v>-3.868481744879765</v>
      </c>
      <c r="AM206">
        <v>1.1444285907764629</v>
      </c>
      <c r="AN206">
        <v>-2.6417079616608126</v>
      </c>
      <c r="AO206">
        <v>-0.71797559933232447</v>
      </c>
      <c r="AP206">
        <v>-0.68602203601593859</v>
      </c>
      <c r="AQ206">
        <v>0.11783380187338439</v>
      </c>
      <c r="AR206">
        <v>0.26600000000000001</v>
      </c>
      <c r="AS206">
        <v>0.52</v>
      </c>
      <c r="AT206">
        <v>5.1319999999999997</v>
      </c>
    </row>
    <row r="207" spans="5:46" x14ac:dyDescent="0.25">
      <c r="E207" s="170">
        <f t="shared" si="934"/>
        <v>0.67151374432809297</v>
      </c>
      <c r="F207" s="170">
        <f t="shared" si="934"/>
        <v>0.69132266908948625</v>
      </c>
      <c r="G207" s="170">
        <f t="shared" si="934"/>
        <v>-0.26672506140491065</v>
      </c>
      <c r="H207" s="139"/>
      <c r="I207" s="86"/>
      <c r="J207" s="79">
        <f t="shared" si="930"/>
        <v>5.2190000000000003</v>
      </c>
      <c r="AL207">
        <v>-2.404802664297971</v>
      </c>
      <c r="AM207">
        <v>1.4375306550893645</v>
      </c>
      <c r="AN207">
        <v>-0.14330030582332237</v>
      </c>
      <c r="AO207">
        <v>-0.56997341914467792</v>
      </c>
      <c r="AP207">
        <v>-0.7837267401243182</v>
      </c>
      <c r="AQ207">
        <v>0.24678472052101358</v>
      </c>
      <c r="AR207">
        <v>0.26600000000000001</v>
      </c>
      <c r="AS207">
        <v>0.52</v>
      </c>
      <c r="AT207">
        <v>5.2140000000000004</v>
      </c>
    </row>
    <row r="208" spans="5:46" x14ac:dyDescent="0.25">
      <c r="E208" s="170">
        <f t="shared" si="934"/>
        <v>0.77328197589135805</v>
      </c>
      <c r="F208" s="170">
        <f t="shared" si="934"/>
        <v>0.59241823274748706</v>
      </c>
      <c r="G208" s="170">
        <f t="shared" si="934"/>
        <v>-0.22599916652479365</v>
      </c>
      <c r="H208" s="139"/>
      <c r="I208" s="86"/>
      <c r="J208" s="79">
        <f t="shared" si="930"/>
        <v>5.2240000000000002</v>
      </c>
      <c r="AL208">
        <v>-2.9398826584347462</v>
      </c>
      <c r="AM208">
        <v>1.7462694073038558</v>
      </c>
      <c r="AN208">
        <v>-0.46170126612061851</v>
      </c>
      <c r="AO208">
        <v>-0.67151374432809297</v>
      </c>
      <c r="AP208">
        <v>-0.69132266908948625</v>
      </c>
      <c r="AQ208">
        <v>0.26672506140491065</v>
      </c>
      <c r="AR208">
        <v>0.26600000000000001</v>
      </c>
      <c r="AS208">
        <v>0.52</v>
      </c>
      <c r="AT208">
        <v>5.2190000000000003</v>
      </c>
    </row>
    <row r="209" spans="5:46" x14ac:dyDescent="0.25">
      <c r="E209" s="170">
        <f t="shared" si="934"/>
        <v>0.85922724522456617</v>
      </c>
      <c r="F209" s="170">
        <f t="shared" si="934"/>
        <v>0.49462707073508372</v>
      </c>
      <c r="G209" s="170">
        <f t="shared" si="934"/>
        <v>-0.13066216728584354</v>
      </c>
      <c r="H209" s="139"/>
      <c r="I209" s="86"/>
      <c r="J209" s="79">
        <f t="shared" si="930"/>
        <v>5.2290000000000001</v>
      </c>
      <c r="AL209">
        <v>-3.3200932422587339</v>
      </c>
      <c r="AM209">
        <v>1.9494461488015262</v>
      </c>
      <c r="AN209">
        <v>-1.0070029107503788</v>
      </c>
      <c r="AO209">
        <v>-0.77328197589135805</v>
      </c>
      <c r="AP209">
        <v>-0.59241823274748706</v>
      </c>
      <c r="AQ209">
        <v>0.22599916652479365</v>
      </c>
      <c r="AR209">
        <v>0.26600000000000001</v>
      </c>
      <c r="AS209">
        <v>0.52</v>
      </c>
      <c r="AT209">
        <v>5.2240000000000002</v>
      </c>
    </row>
    <row r="210" spans="5:46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  <c r="AL210">
        <v>-3.4782358129910356</v>
      </c>
      <c r="AM210">
        <v>2.0423021028306731</v>
      </c>
      <c r="AN210">
        <v>-1.6816999999999998</v>
      </c>
      <c r="AO210">
        <v>-0.85922724522456617</v>
      </c>
      <c r="AP210">
        <v>-0.49462707073508372</v>
      </c>
      <c r="AQ210">
        <v>0.13066216728584354</v>
      </c>
      <c r="AR210">
        <v>0.26600000000000001</v>
      </c>
      <c r="AS210">
        <v>0.52</v>
      </c>
      <c r="AT210">
        <v>5.2290000000000001</v>
      </c>
    </row>
    <row r="211" spans="5:46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46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46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46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46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46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46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46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46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46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46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46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46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46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D4AA8D1-B04D-483D-A8DA-444942B91540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132B3082-232F-4A73-9CA5-68601E69817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1.1259999999999999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1.1319999999999999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1.2150000000000001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1.2250000000000001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1.23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2.1120000000000001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2.117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2.1219999999999999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2.1269999999999998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2.1320000000000001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2.2160000000000002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2.2210000000000001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2.226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2.2309999999999999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3.1019999999999999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3.105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3.1080000000000001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3.113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3.1179999999999999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3.1230000000000002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3.1280000000000001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3.1320000000000001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3.2120000000000002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3.2170000000000001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3.222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3.2269999999999999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4.1029999999999998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4.1059999999999999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4.109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4.1139999999999999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4.1189999999999998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4.1239999999999997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4.1289999999999996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4.1319999999999997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4.2130000000000001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4.218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4.2229999999999999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4.2279999999999998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5.1100000000000003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5.1150000000000002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5.12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5.125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5.13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5.1319999999999997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5.2140000000000004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5.2190000000000003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5.2240000000000002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5.2290000000000001</v>
      </c>
      <c r="N219" s="869">
        <f>Assy.Model!K64</f>
        <v>1313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2023-03-28T19:04:36Z</dcterms:modified>
</cp:coreProperties>
</file>