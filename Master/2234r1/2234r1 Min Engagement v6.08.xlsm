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34\"/>
    </mc:Choice>
  </mc:AlternateContent>
  <xr:revisionPtr revIDLastSave="0" documentId="13_ncr:1_{0791E21F-4A4B-4961-9666-4EC12F1F4A2C}" xr6:coauthVersionLast="47" xr6:coauthVersionMax="47" xr10:uidLastSave="{00000000-0000-0000-0000-000000000000}"/>
  <bookViews>
    <workbookView xWindow="28680" yWindow="-120" windowWidth="29040" windowHeight="164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31" i="4" l="1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AU31" i="4" l="1"/>
  <c r="AW31" i="4" s="1"/>
  <c r="AI31" i="4"/>
  <c r="AX33" i="4"/>
  <c r="AI33" i="4"/>
  <c r="AU33" i="4"/>
  <c r="AW33" i="4" s="1"/>
  <c r="AT34" i="4" l="1"/>
  <c r="AS34" i="4"/>
  <c r="AP34" i="4"/>
  <c r="AV34" i="4" s="1"/>
  <c r="AX34" i="4" s="1"/>
  <c r="AO34" i="4"/>
  <c r="AR34" i="4" s="1"/>
  <c r="AJ34" i="4"/>
  <c r="AQ34" i="4" l="1"/>
  <c r="AI34" i="4"/>
  <c r="AU34" i="4"/>
  <c r="AW34" i="4" s="1"/>
  <c r="AJ29" i="4" l="1"/>
  <c r="AQ29" i="4"/>
  <c r="AT29" i="4"/>
  <c r="AS29" i="4"/>
  <c r="AP29" i="4"/>
  <c r="AV29" i="4" s="1"/>
  <c r="AX29" i="4" s="1"/>
  <c r="AO29" i="4"/>
  <c r="AR29" i="4" s="1"/>
  <c r="AU29" i="4" l="1"/>
  <c r="AW29" i="4" s="1"/>
  <c r="AI29" i="4"/>
  <c r="AJ36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V23" i="4" s="1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D24" i="7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V24" i="4"/>
  <c r="AX24" i="4" s="1"/>
  <c r="AV27" i="4"/>
  <c r="AX27" i="4" s="1"/>
  <c r="AV30" i="4"/>
  <c r="AV26" i="4"/>
  <c r="AX26" i="4" s="1"/>
  <c r="AV18" i="4"/>
  <c r="AX18" i="4" s="1"/>
  <c r="AV32" i="4"/>
  <c r="AV19" i="4"/>
  <c r="AX19" i="4" s="1"/>
  <c r="AV35" i="4"/>
  <c r="AU19" i="4"/>
  <c r="AW19" i="4" s="1"/>
  <c r="AU27" i="4"/>
  <c r="AW27" i="4" s="1"/>
  <c r="AV16" i="4"/>
  <c r="AX16" i="4" s="1"/>
  <c r="AV20" i="4"/>
  <c r="AX20" i="4" s="1"/>
  <c r="AV36" i="4"/>
  <c r="AU20" i="4"/>
  <c r="AW20" i="4" s="1"/>
  <c r="AU28" i="4"/>
  <c r="AV17" i="4"/>
  <c r="AX17" i="4" s="1"/>
  <c r="AV22" i="4"/>
  <c r="AX22" i="4" s="1"/>
  <c r="AW36" i="4"/>
  <c r="AX14" i="4"/>
  <c r="AW14" i="4"/>
  <c r="AX23" i="4"/>
  <c r="AX15" i="4"/>
  <c r="AX25" i="4"/>
  <c r="AX21" i="4"/>
  <c r="AW15" i="4"/>
  <c r="AW18" i="4"/>
  <c r="AW22" i="4"/>
  <c r="K9" i="1" l="1"/>
  <c r="K112" i="1"/>
  <c r="K27" i="1"/>
  <c r="K99" i="1"/>
  <c r="K61" i="1"/>
  <c r="K98" i="1"/>
  <c r="K97" i="1"/>
  <c r="K96" i="1"/>
  <c r="K38" i="1"/>
  <c r="K92" i="1"/>
  <c r="K78" i="1"/>
  <c r="K77" i="1"/>
  <c r="K115" i="1"/>
  <c r="K114" i="1"/>
  <c r="K74" i="1"/>
  <c r="K110" i="1"/>
  <c r="K57" i="1"/>
  <c r="K76" i="1"/>
  <c r="K113" i="1"/>
  <c r="K64" i="1"/>
  <c r="K63" i="1"/>
  <c r="K62" i="1"/>
  <c r="K24" i="1"/>
  <c r="K40" i="1"/>
  <c r="K102" i="1"/>
  <c r="K90" i="1"/>
  <c r="K107" i="1"/>
  <c r="K118" i="1"/>
  <c r="K45" i="1"/>
  <c r="K79" i="1"/>
  <c r="K33" i="1"/>
  <c r="K82" i="1"/>
  <c r="K66" i="1"/>
  <c r="K15" i="1"/>
  <c r="K49" i="1"/>
  <c r="K106" i="1"/>
  <c r="K67" i="1"/>
  <c r="K116" i="1"/>
  <c r="K70" i="1"/>
  <c r="K83" i="1"/>
  <c r="K12" i="1"/>
  <c r="K28" i="1"/>
  <c r="K51" i="1"/>
  <c r="K47" i="1"/>
  <c r="K14" i="1"/>
  <c r="K71" i="1"/>
  <c r="K89" i="1"/>
  <c r="K11" i="1"/>
  <c r="K56" i="1"/>
  <c r="K30" i="1"/>
  <c r="K72" i="1"/>
  <c r="K65" i="1"/>
  <c r="K108" i="1"/>
  <c r="K117" i="1"/>
  <c r="K44" i="1"/>
  <c r="K10" i="1"/>
  <c r="K32" i="1"/>
  <c r="K13" i="1"/>
  <c r="K104" i="1"/>
  <c r="K29" i="1"/>
  <c r="K50" i="1"/>
  <c r="K84" i="1"/>
  <c r="K16" i="1"/>
  <c r="K46" i="1"/>
  <c r="K31" i="1"/>
  <c r="K109" i="1"/>
  <c r="K48" i="1"/>
  <c r="K81" i="1"/>
  <c r="K103" i="1"/>
  <c r="K88" i="1"/>
  <c r="K80" i="1"/>
  <c r="AS5" i="1"/>
  <c r="AS6" i="1" s="1"/>
  <c r="AS5" i="7"/>
  <c r="AS6" i="7" s="1"/>
  <c r="C1" i="7"/>
  <c r="C1" i="1" l="1"/>
  <c r="AO36" i="4" l="1"/>
  <c r="AQ36" i="4" s="1"/>
  <c r="AO35" i="4"/>
  <c r="AO32" i="4"/>
  <c r="AO30" i="4"/>
  <c r="AO28" i="4"/>
  <c r="L151" i="1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K41" i="1" l="1"/>
  <c r="K20" i="1"/>
  <c r="K37" i="1"/>
  <c r="K101" i="1"/>
  <c r="K100" i="1"/>
  <c r="K55" i="1"/>
  <c r="K85" i="1"/>
  <c r="K68" i="1"/>
  <c r="K105" i="1"/>
  <c r="K69" i="1"/>
  <c r="K91" i="1"/>
  <c r="K73" i="1"/>
  <c r="K86" i="1"/>
  <c r="K87" i="1"/>
  <c r="K52" i="1"/>
  <c r="K54" i="1"/>
  <c r="K42" i="1"/>
  <c r="K25" i="1"/>
  <c r="K36" i="1"/>
  <c r="K35" i="1"/>
  <c r="K34" i="1"/>
  <c r="K43" i="1"/>
  <c r="K26" i="1"/>
  <c r="K17" i="1"/>
  <c r="K53" i="1"/>
  <c r="K19" i="1"/>
  <c r="K18" i="1"/>
  <c r="K60" i="1"/>
  <c r="K22" i="1"/>
  <c r="K23" i="1"/>
  <c r="K59" i="1"/>
  <c r="K39" i="1"/>
  <c r="K95" i="1"/>
  <c r="K111" i="1"/>
  <c r="K94" i="1"/>
  <c r="K58" i="1"/>
  <c r="K93" i="1"/>
  <c r="K21" i="1"/>
  <c r="K75" i="1"/>
  <c r="L5" i="1" l="1" a="1"/>
  <c r="L5" i="1" s="1"/>
  <c r="L2" i="1" a="1"/>
  <c r="L2" i="1" s="1"/>
  <c r="L6" i="1" a="1"/>
  <c r="L6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IG83" i="1" s="1"/>
  <c r="M82" i="1"/>
  <c r="IG82" i="1" s="1"/>
  <c r="M81" i="1"/>
  <c r="IG81" i="1" s="1"/>
  <c r="M80" i="1"/>
  <c r="IG80" i="1" s="1"/>
  <c r="M79" i="1"/>
  <c r="IG79" i="1" s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4" i="1" l="1" a="1"/>
  <c r="IG4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83" i="1" a="1"/>
  <c r="IH83" i="1" s="1"/>
  <c r="II83" i="1" s="1" a="1"/>
  <c r="II83" i="1" s="1"/>
  <c r="IJ83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II10" i="1" s="1" a="1"/>
  <c r="II10" i="1" s="1"/>
  <c r="IJ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I11" i="1" s="1" a="1"/>
  <c r="II11" i="1" s="1"/>
  <c r="IJ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J9" i="1" l="1"/>
  <c r="JA9" i="1" a="1"/>
  <c r="IK21" i="1"/>
  <c r="IJ21" i="1"/>
  <c r="IK59" i="1"/>
  <c r="IJ59" i="1"/>
  <c r="IR16" i="1"/>
  <c r="IK16" i="1"/>
  <c r="IW16" i="1"/>
  <c r="IN16" i="1"/>
  <c r="Q16" i="1"/>
  <c r="IR47" i="1"/>
  <c r="IW47" i="1"/>
  <c r="IN47" i="1"/>
  <c r="IK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N87" i="1"/>
  <c r="IW87" i="1"/>
  <c r="IK87" i="1"/>
  <c r="IR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N69" i="1"/>
  <c r="IR69" i="1"/>
  <c r="IW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X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S83" i="1"/>
  <c r="IX83" i="1"/>
  <c r="IR83" i="1"/>
  <c r="IL83" i="1"/>
  <c r="IK83" i="1"/>
  <c r="IT83" i="1"/>
  <c r="IW83" i="1"/>
  <c r="IU83" i="1"/>
  <c r="IE83" i="1" s="1"/>
  <c r="IY83" i="1"/>
  <c r="IV83" i="1"/>
  <c r="IP83" i="1"/>
  <c r="IW118" i="1"/>
  <c r="IR118" i="1"/>
  <c r="IK118" i="1"/>
  <c r="IN118" i="1"/>
  <c r="IR38" i="1"/>
  <c r="IN38" i="1"/>
  <c r="IW38" i="1"/>
  <c r="IK38" i="1"/>
  <c r="IK91" i="1"/>
  <c r="IW91" i="1"/>
  <c r="IR91" i="1"/>
  <c r="IN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N105" i="1"/>
  <c r="IW105" i="1"/>
  <c r="IK105" i="1"/>
  <c r="IR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N70" i="1"/>
  <c r="IW70" i="1"/>
  <c r="IK70" i="1"/>
  <c r="IR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K85" i="1"/>
  <c r="IR85" i="1"/>
  <c r="IW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W48" i="1"/>
  <c r="IR48" i="1"/>
  <c r="IN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K104" i="1"/>
  <c r="IN104" i="1"/>
  <c r="IR104" i="1"/>
  <c r="IW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N32" i="1"/>
  <c r="IR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W49" i="1"/>
  <c r="IN49" i="1"/>
  <c r="IW72" i="1"/>
  <c r="IK72" i="1"/>
  <c r="IR72" i="1"/>
  <c r="IN72" i="1"/>
  <c r="IR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Y74" i="1"/>
  <c r="IV74" i="1"/>
  <c r="IU74" i="1"/>
  <c r="IE74" i="1" s="1"/>
  <c r="IS74" i="1"/>
  <c r="IQ74" i="1"/>
  <c r="IN74" i="1"/>
  <c r="IX74" i="1"/>
  <c r="IT74" i="1"/>
  <c r="IP74" i="1"/>
  <c r="IL74" i="1"/>
  <c r="IW74" i="1"/>
  <c r="IK74" i="1"/>
  <c r="IR74" i="1"/>
  <c r="IW89" i="1"/>
  <c r="IR89" i="1"/>
  <c r="IK89" i="1"/>
  <c r="IN89" i="1"/>
  <c r="IK103" i="1"/>
  <c r="IN103" i="1"/>
  <c r="IW103" i="1"/>
  <c r="IR103" i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K86" i="1"/>
  <c r="IN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DQ143" i="1" l="1"/>
  <c r="JA9" i="1"/>
  <c r="JB11" i="1" a="1"/>
  <c r="JB11" i="1" s="1"/>
  <c r="JB10" i="1" a="1"/>
  <c r="JB10" i="1" s="1"/>
  <c r="JA23" i="1" a="1"/>
  <c r="JA23" i="1" s="1"/>
  <c r="IF129" i="1"/>
  <c r="IF74" i="1"/>
  <c r="IF138" i="1"/>
  <c r="IF10" i="1"/>
  <c r="IF150" i="1"/>
  <c r="IF148" i="1"/>
  <c r="IF127" i="1"/>
  <c r="IF15" i="1"/>
  <c r="IF128" i="1"/>
  <c r="IF9" i="1"/>
  <c r="IF122" i="1"/>
  <c r="IF147" i="1"/>
  <c r="IF142" i="1"/>
  <c r="IF143" i="1"/>
  <c r="IF137" i="1"/>
  <c r="IF135" i="1"/>
  <c r="IF109" i="1"/>
  <c r="IF145" i="1"/>
  <c r="IF106" i="1"/>
  <c r="IF13" i="1"/>
  <c r="IF108" i="1"/>
  <c r="IF92" i="1"/>
  <c r="IF131" i="1"/>
  <c r="IF123" i="1"/>
  <c r="IF141" i="1"/>
  <c r="IF124" i="1"/>
  <c r="IF107" i="1"/>
  <c r="IF146" i="1"/>
  <c r="IF11" i="1"/>
  <c r="IF134" i="1"/>
  <c r="IF82" i="1"/>
  <c r="IF84" i="1"/>
  <c r="IF12" i="1"/>
  <c r="IF83" i="1"/>
  <c r="IF133" i="1"/>
  <c r="IF149" i="1"/>
  <c r="IF130" i="1"/>
  <c r="IF132" i="1"/>
  <c r="IF119" i="1"/>
  <c r="IF110" i="1"/>
  <c r="IF125" i="1"/>
  <c r="IF144" i="1"/>
  <c r="IF120" i="1"/>
  <c r="IF139" i="1"/>
  <c r="IF126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IV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90" i="1" l="1"/>
  <c r="IV81" i="1"/>
  <c r="IV62" i="1"/>
  <c r="IQ69" i="1"/>
  <c r="IQ75" i="1"/>
  <c r="IV71" i="1"/>
  <c r="IV36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IP104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IQ73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Q62" i="1" s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89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7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6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V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IQ37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V56" i="1" s="1"/>
  <c r="P30" i="1"/>
  <c r="S30" i="1" s="1"/>
  <c r="Y30" i="1" s="1"/>
  <c r="IQ38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Q91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31" i="1" l="1"/>
  <c r="AF86" i="1"/>
  <c r="AM86" i="1" s="1"/>
  <c r="IQ61" i="1"/>
  <c r="IQ88" i="1"/>
  <c r="IQ99" i="1"/>
  <c r="Y14" i="4"/>
  <c r="AQ91" i="1"/>
  <c r="IU91" i="1"/>
  <c r="IE91" i="1" s="1"/>
  <c r="AD86" i="1"/>
  <c r="AH86" i="1" s="1"/>
  <c r="IV47" i="1"/>
  <c r="IQ55" i="1"/>
  <c r="IQ95" i="1"/>
  <c r="IV86" i="1"/>
  <c r="IQ112" i="1"/>
  <c r="IV105" i="1"/>
  <c r="IQ111" i="1"/>
  <c r="IV104" i="1"/>
  <c r="IQ98" i="1"/>
  <c r="IV89" i="1"/>
  <c r="IQ97" i="1"/>
  <c r="IV88" i="1"/>
  <c r="IQ102" i="1"/>
  <c r="IQ90" i="1"/>
  <c r="IU57" i="1"/>
  <c r="IE57" i="1" s="1"/>
  <c r="IQ94" i="1"/>
  <c r="IV85" i="1"/>
  <c r="IV98" i="1"/>
  <c r="IQ105" i="1"/>
  <c r="IV96" i="1"/>
  <c r="IQ103" i="1"/>
  <c r="Q78" i="1"/>
  <c r="IV63" i="1"/>
  <c r="IQ70" i="1"/>
  <c r="IV97" i="1"/>
  <c r="IQ104" i="1"/>
  <c r="IQ72" i="1"/>
  <c r="IV57" i="1"/>
  <c r="IV78" i="1"/>
  <c r="IQ86" i="1"/>
  <c r="IQ76" i="1"/>
  <c r="IV70" i="1"/>
  <c r="IQ68" i="1"/>
  <c r="IQ57" i="1"/>
  <c r="IV77" i="1"/>
  <c r="IQ85" i="1"/>
  <c r="IQ96" i="1"/>
  <c r="IV87" i="1"/>
  <c r="Q98" i="1"/>
  <c r="R90" i="1"/>
  <c r="X90" i="1" s="1"/>
  <c r="IU90" i="1" s="1"/>
  <c r="IE90" i="1" s="1"/>
  <c r="IQ20" i="1"/>
  <c r="IQ77" i="1"/>
  <c r="IQ78" i="1"/>
  <c r="IV72" i="1"/>
  <c r="IV35" i="1"/>
  <c r="IQ49" i="1"/>
  <c r="IQ59" i="1"/>
  <c r="IQ71" i="1"/>
  <c r="IQ47" i="1"/>
  <c r="IV19" i="1"/>
  <c r="IQ32" i="1"/>
  <c r="IV49" i="1"/>
  <c r="IQ50" i="1"/>
  <c r="IQ48" i="1"/>
  <c r="IV37" i="1"/>
  <c r="IU36" i="1"/>
  <c r="IE36" i="1" s="1"/>
  <c r="IQ54" i="1"/>
  <c r="IV50" i="1"/>
  <c r="IQ64" i="1"/>
  <c r="IV55" i="1"/>
  <c r="IQ52" i="1"/>
  <c r="IV48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IQ25" i="1" s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IP69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IP99" i="1" s="1"/>
  <c r="AE47" i="1"/>
  <c r="R85" i="1"/>
  <c r="X85" i="1" s="1"/>
  <c r="IU85" i="1" s="1"/>
  <c r="IE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J62" i="1" s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U104" i="1" s="1"/>
  <c r="IE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IP72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IP105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8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IU105" i="1" s="1"/>
  <c r="IE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IU37" i="1" s="1"/>
  <c r="IE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6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87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U87" i="1" s="1"/>
  <c r="IE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IU88" i="1" s="1"/>
  <c r="IE88" i="1" s="1"/>
  <c r="Q86" i="1"/>
  <c r="R86" i="1"/>
  <c r="X86" i="1" s="1"/>
  <c r="IU86" i="1" s="1"/>
  <c r="IE86" i="1" s="1"/>
  <c r="R84" i="1"/>
  <c r="X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IP86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IP103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88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IP85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IP70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73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U56" i="1" s="1"/>
  <c r="IE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IP37" i="1" s="1"/>
  <c r="Q28" i="1"/>
  <c r="AE49" i="1"/>
  <c r="AD49" i="1"/>
  <c r="AH49" i="1" s="1"/>
  <c r="Q35" i="1"/>
  <c r="R35" i="1"/>
  <c r="X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31" i="1" l="1"/>
  <c r="AQ90" i="1"/>
  <c r="IP90" i="1"/>
  <c r="AG97" i="1"/>
  <c r="IU47" i="1"/>
  <c r="IE47" i="1" s="1"/>
  <c r="IP55" i="1"/>
  <c r="IP102" i="1"/>
  <c r="IP89" i="1"/>
  <c r="AQ83" i="1"/>
  <c r="IP91" i="1"/>
  <c r="AQ103" i="1"/>
  <c r="IU103" i="1"/>
  <c r="IE103" i="1" s="1"/>
  <c r="IP68" i="1"/>
  <c r="IP57" i="1"/>
  <c r="AQ68" i="1"/>
  <c r="IU68" i="1"/>
  <c r="IE68" i="1" s="1"/>
  <c r="AQ73" i="1"/>
  <c r="IU73" i="1"/>
  <c r="IE73" i="1" s="1"/>
  <c r="IP19" i="1"/>
  <c r="IU35" i="1"/>
  <c r="IE35" i="1" s="1"/>
  <c r="IP49" i="1"/>
  <c r="IP59" i="1"/>
  <c r="IP71" i="1"/>
  <c r="AQ11" i="1"/>
  <c r="IP20" i="1"/>
  <c r="AQ20" i="1"/>
  <c r="IU20" i="1"/>
  <c r="IE20" i="1" s="1"/>
  <c r="IQ19" i="1"/>
  <c r="IP47" i="1"/>
  <c r="IU19" i="1"/>
  <c r="IE19" i="1" s="1"/>
  <c r="IP32" i="1"/>
  <c r="IU49" i="1"/>
  <c r="IE49" i="1" s="1"/>
  <c r="IP50" i="1"/>
  <c r="IP28" i="1"/>
  <c r="AQ37" i="1"/>
  <c r="IP48" i="1"/>
  <c r="IP54" i="1"/>
  <c r="IU50" i="1"/>
  <c r="IE50" i="1" s="1"/>
  <c r="IP52" i="1"/>
  <c r="IU48" i="1"/>
  <c r="IE48" i="1" s="1"/>
  <c r="IP35" i="1"/>
  <c r="IU31" i="1"/>
  <c r="IE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 l="1"/>
  <c r="JH22" i="1" a="1"/>
  <c r="JH22" i="1" s="1"/>
  <c r="JF22" i="1" a="1"/>
  <c r="JF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IL105" i="1" s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IL104" i="1" s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IL91" i="1" s="1"/>
  <c r="W84" i="1"/>
  <c r="W81" i="1"/>
  <c r="IL89" i="1" s="1"/>
  <c r="W82" i="1"/>
  <c r="IL90" i="1" s="1"/>
  <c r="W79" i="1"/>
  <c r="IL87" i="1" s="1"/>
  <c r="W80" i="1"/>
  <c r="W77" i="1"/>
  <c r="IL85" i="1" s="1"/>
  <c r="W78" i="1"/>
  <c r="IL86" i="1" s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IL70" i="1" s="1"/>
  <c r="W64" i="1"/>
  <c r="W61" i="1"/>
  <c r="W62" i="1"/>
  <c r="W59" i="1"/>
  <c r="W60" i="1"/>
  <c r="W57" i="1"/>
  <c r="IL72" i="1" s="1"/>
  <c r="W58" i="1"/>
  <c r="W55" i="1"/>
  <c r="W56" i="1"/>
  <c r="IL71" i="1" s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IL38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56" i="1" l="1"/>
  <c r="IL88" i="1"/>
  <c r="IL69" i="1"/>
  <c r="IL21" i="1"/>
  <c r="IL103" i="1"/>
  <c r="IL68" i="1"/>
  <c r="IL57" i="1"/>
  <c r="IL73" i="1"/>
  <c r="IL20" i="1"/>
  <c r="IL37" i="1"/>
  <c r="IL49" i="1"/>
  <c r="IL50" i="1"/>
  <c r="IL16" i="1"/>
  <c r="IL55" i="1"/>
  <c r="IL48" i="1"/>
  <c r="IL46" i="1"/>
  <c r="IL47" i="1"/>
  <c r="IL45" i="1"/>
  <c r="IL32" i="1"/>
  <c r="IL31" i="1"/>
  <c r="IL23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8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Y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T90" i="1" s="1"/>
  <c r="T82" i="1"/>
  <c r="U82" i="1"/>
  <c r="AK82" i="1"/>
  <c r="U81" i="1"/>
  <c r="AL81" i="1"/>
  <c r="AN81" i="1" s="1"/>
  <c r="AK81" i="1"/>
  <c r="T81" i="1"/>
  <c r="AL79" i="1"/>
  <c r="AN79" i="1" s="1"/>
  <c r="IT87" i="1" s="1"/>
  <c r="U80" i="1"/>
  <c r="AL80" i="1"/>
  <c r="AN80" i="1" s="1"/>
  <c r="IT88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IT73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T57" i="1" s="1"/>
  <c r="AK50" i="1"/>
  <c r="AL50" i="1"/>
  <c r="AN50" i="1" s="1"/>
  <c r="IY50" i="1" s="1"/>
  <c r="U50" i="1"/>
  <c r="T50" i="1"/>
  <c r="T49" i="1"/>
  <c r="AK49" i="1"/>
  <c r="AO49" i="1" s="1"/>
  <c r="IS57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AL30" i="1"/>
  <c r="AN30" i="1" s="1"/>
  <c r="IT38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56" i="1" l="1"/>
  <c r="IT91" i="1"/>
  <c r="IY62" i="1"/>
  <c r="IT69" i="1"/>
  <c r="IT99" i="1"/>
  <c r="IY90" i="1"/>
  <c r="IY63" i="1"/>
  <c r="IT70" i="1"/>
  <c r="IS98" i="1"/>
  <c r="IX89" i="1"/>
  <c r="IY77" i="1"/>
  <c r="IT85" i="1"/>
  <c r="IY81" i="1"/>
  <c r="IT89" i="1"/>
  <c r="IT97" i="1"/>
  <c r="IY88" i="1"/>
  <c r="IT95" i="1"/>
  <c r="IY86" i="1"/>
  <c r="IY96" i="1"/>
  <c r="IT103" i="1"/>
  <c r="IT49" i="1"/>
  <c r="IY38" i="1"/>
  <c r="IY78" i="1"/>
  <c r="IT86" i="1"/>
  <c r="IY98" i="1"/>
  <c r="IT105" i="1"/>
  <c r="IT71" i="1"/>
  <c r="IY56" i="1"/>
  <c r="IX57" i="1"/>
  <c r="IT96" i="1"/>
  <c r="IY87" i="1"/>
  <c r="IT98" i="1"/>
  <c r="IY89" i="1"/>
  <c r="IT111" i="1"/>
  <c r="IY104" i="1"/>
  <c r="IT20" i="1"/>
  <c r="IT94" i="1"/>
  <c r="IY85" i="1"/>
  <c r="IS94" i="1"/>
  <c r="IX85" i="1"/>
  <c r="IY97" i="1"/>
  <c r="IT104" i="1"/>
  <c r="IT112" i="1"/>
  <c r="IY105" i="1"/>
  <c r="IY49" i="1"/>
  <c r="IT68" i="1"/>
  <c r="IT76" i="1"/>
  <c r="IT75" i="1"/>
  <c r="IX49" i="1"/>
  <c r="IT78" i="1"/>
  <c r="IY72" i="1"/>
  <c r="IT77" i="1"/>
  <c r="IY71" i="1"/>
  <c r="IX71" i="1"/>
  <c r="IT32" i="1"/>
  <c r="IY36" i="1"/>
  <c r="IT37" i="1"/>
  <c r="IT31" i="1"/>
  <c r="IT47" i="1"/>
  <c r="IT48" i="1"/>
  <c r="IT50" i="1"/>
  <c r="IY41" i="1"/>
  <c r="IY55" i="1"/>
  <c r="IX41" i="1"/>
  <c r="IS55" i="1"/>
  <c r="IX55" i="1"/>
  <c r="IT54" i="1"/>
  <c r="IY48" i="1"/>
  <c r="IT35" i="1"/>
  <c r="IY31" i="1"/>
  <c r="IF25" i="1"/>
  <c r="IF43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Y53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Y18" i="1"/>
  <c r="IT27" i="1"/>
  <c r="IY22" i="1"/>
  <c r="IY33" i="1"/>
  <c r="IT40" i="1"/>
  <c r="IT53" i="1"/>
  <c r="IT58" i="1"/>
  <c r="IY54" i="1"/>
  <c r="IT63" i="1"/>
  <c r="IT26" i="1"/>
  <c r="IY23" i="1"/>
  <c r="IY66" i="1"/>
  <c r="IT80" i="1"/>
  <c r="IT116" i="1"/>
  <c r="IY100" i="1"/>
  <c r="AT27" i="7"/>
  <c r="IX30" i="1"/>
  <c r="IT24" i="1"/>
  <c r="IY21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IX103" i="1" s="1"/>
  <c r="IF103" i="1" s="1"/>
  <c r="AP103" i="1"/>
  <c r="AP91" i="1"/>
  <c r="AO91" i="1"/>
  <c r="IX91" i="1" s="1"/>
  <c r="IF91" i="1" s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IS93" i="1" s="1"/>
  <c r="AP83" i="1"/>
  <c r="AO83" i="1"/>
  <c r="IS91" i="1" s="1"/>
  <c r="AO81" i="1"/>
  <c r="AP81" i="1"/>
  <c r="AO82" i="1"/>
  <c r="IS90" i="1" s="1"/>
  <c r="AP82" i="1"/>
  <c r="AO79" i="1"/>
  <c r="IS87" i="1" s="1"/>
  <c r="AP79" i="1"/>
  <c r="AP80" i="1"/>
  <c r="AO80" i="1"/>
  <c r="IS88" i="1" s="1"/>
  <c r="AO77" i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IX73" i="1" s="1"/>
  <c r="IF73" i="1" s="1"/>
  <c r="AP74" i="1"/>
  <c r="AO74" i="1"/>
  <c r="AP71" i="1"/>
  <c r="AO72" i="1"/>
  <c r="AP72" i="1"/>
  <c r="AO69" i="1"/>
  <c r="IX69" i="1" s="1"/>
  <c r="IF69" i="1" s="1"/>
  <c r="AP69" i="1"/>
  <c r="AP70" i="1"/>
  <c r="AO70" i="1"/>
  <c r="IX70" i="1" s="1"/>
  <c r="IF70" i="1" s="1"/>
  <c r="AO67" i="1"/>
  <c r="AP67" i="1"/>
  <c r="AO68" i="1"/>
  <c r="IX68" i="1" s="1"/>
  <c r="IF68" i="1" s="1"/>
  <c r="AP68" i="1"/>
  <c r="AO65" i="1"/>
  <c r="IS72" i="1" s="1"/>
  <c r="AP65" i="1"/>
  <c r="AP66" i="1"/>
  <c r="AO66" i="1"/>
  <c r="AO63" i="1"/>
  <c r="AP63" i="1"/>
  <c r="AO64" i="1"/>
  <c r="IX64" i="1" s="1"/>
  <c r="IF64" i="1" s="1"/>
  <c r="AP64" i="1"/>
  <c r="AP62" i="1"/>
  <c r="AO62" i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IT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X50" i="1" s="1"/>
  <c r="IF50" i="1" s="1"/>
  <c r="AN47" i="1"/>
  <c r="IT52" i="1" s="1"/>
  <c r="AP47" i="1"/>
  <c r="AO48" i="1"/>
  <c r="IS56" i="1" s="1"/>
  <c r="AP48" i="1"/>
  <c r="AP45" i="1"/>
  <c r="AO45" i="1"/>
  <c r="IX45" i="1" s="1"/>
  <c r="IF45" i="1" s="1"/>
  <c r="AP46" i="1"/>
  <c r="AO46" i="1"/>
  <c r="IS64" i="1" s="1"/>
  <c r="AP43" i="1"/>
  <c r="AO44" i="1"/>
  <c r="AP44" i="1"/>
  <c r="AO42" i="1"/>
  <c r="IX42" i="1" s="1"/>
  <c r="IF42" i="1" s="1"/>
  <c r="AP42" i="1"/>
  <c r="AP41" i="1"/>
  <c r="AO40" i="1"/>
  <c r="AP40" i="1"/>
  <c r="AO39" i="1"/>
  <c r="IS50" i="1" s="1"/>
  <c r="AP39" i="1"/>
  <c r="AP37" i="1"/>
  <c r="AO37" i="1"/>
  <c r="IX37" i="1" s="1"/>
  <c r="IF37" i="1" s="1"/>
  <c r="AO38" i="1"/>
  <c r="IX38" i="1" s="1"/>
  <c r="AP38" i="1"/>
  <c r="AP35" i="1"/>
  <c r="AO35" i="1"/>
  <c r="IX35" i="1" s="1"/>
  <c r="IF35" i="1" s="1"/>
  <c r="AP36" i="1"/>
  <c r="AO36" i="1"/>
  <c r="AO33" i="1"/>
  <c r="AP33" i="1"/>
  <c r="AO34" i="1"/>
  <c r="IX34" i="1" s="1"/>
  <c r="IF34" i="1" s="1"/>
  <c r="AP34" i="1"/>
  <c r="AO31" i="1"/>
  <c r="AP31" i="1"/>
  <c r="AO32" i="1"/>
  <c r="IX32" i="1" s="1"/>
  <c r="IF32" i="1" s="1"/>
  <c r="AP32" i="1"/>
  <c r="AO29" i="1"/>
  <c r="IS34" i="1" s="1"/>
  <c r="AP29" i="1"/>
  <c r="AP30" i="1"/>
  <c r="AO27" i="1"/>
  <c r="IX27" i="1" s="1"/>
  <c r="IF27" i="1" s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IT43" i="1" s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T21" i="1" l="1"/>
  <c r="IF89" i="1"/>
  <c r="IF85" i="1"/>
  <c r="IF49" i="1"/>
  <c r="IX63" i="1"/>
  <c r="IF63" i="1" s="1"/>
  <c r="IS70" i="1"/>
  <c r="IF38" i="1"/>
  <c r="IS95" i="1"/>
  <c r="IX86" i="1"/>
  <c r="IF86" i="1" s="1"/>
  <c r="IS73" i="1"/>
  <c r="IS111" i="1"/>
  <c r="IX104" i="1"/>
  <c r="IF104" i="1" s="1"/>
  <c r="IX62" i="1"/>
  <c r="IF62" i="1" s="1"/>
  <c r="IS69" i="1"/>
  <c r="IX77" i="1"/>
  <c r="IF77" i="1" s="1"/>
  <c r="IS85" i="1"/>
  <c r="IX81" i="1"/>
  <c r="IF81" i="1" s="1"/>
  <c r="IS89" i="1"/>
  <c r="IX96" i="1"/>
  <c r="IF96" i="1" s="1"/>
  <c r="IS103" i="1"/>
  <c r="IS68" i="1"/>
  <c r="IT22" i="1"/>
  <c r="IY57" i="1"/>
  <c r="IF57" i="1" s="1"/>
  <c r="IS97" i="1"/>
  <c r="IX88" i="1"/>
  <c r="IF88" i="1" s="1"/>
  <c r="IX97" i="1"/>
  <c r="IF97" i="1" s="1"/>
  <c r="IS104" i="1"/>
  <c r="IX98" i="1"/>
  <c r="IF98" i="1" s="1"/>
  <c r="IS105" i="1"/>
  <c r="IS112" i="1"/>
  <c r="IX105" i="1"/>
  <c r="IF105" i="1" s="1"/>
  <c r="IS99" i="1"/>
  <c r="IX90" i="1"/>
  <c r="IF90" i="1" s="1"/>
  <c r="IT55" i="1"/>
  <c r="IX78" i="1"/>
  <c r="IF78" i="1" s="1"/>
  <c r="IS86" i="1"/>
  <c r="IS96" i="1"/>
  <c r="IX87" i="1"/>
  <c r="IF87" i="1" s="1"/>
  <c r="IS58" i="1"/>
  <c r="IS71" i="1"/>
  <c r="IX56" i="1"/>
  <c r="IF56" i="1" s="1"/>
  <c r="IS76" i="1"/>
  <c r="IS51" i="1"/>
  <c r="IS75" i="1"/>
  <c r="IS77" i="1"/>
  <c r="IS20" i="1"/>
  <c r="IT65" i="1"/>
  <c r="IS49" i="1"/>
  <c r="IS78" i="1"/>
  <c r="IX72" i="1"/>
  <c r="IF72" i="1" s="1"/>
  <c r="IF71" i="1"/>
  <c r="IT60" i="1"/>
  <c r="IT72" i="1"/>
  <c r="IT64" i="1"/>
  <c r="IT19" i="1"/>
  <c r="IS32" i="1"/>
  <c r="IS46" i="1"/>
  <c r="IX36" i="1"/>
  <c r="IF36" i="1" s="1"/>
  <c r="IS37" i="1"/>
  <c r="IS31" i="1"/>
  <c r="IS47" i="1"/>
  <c r="IF41" i="1"/>
  <c r="IS19" i="1"/>
  <c r="IS54" i="1"/>
  <c r="IT17" i="1"/>
  <c r="IF55" i="1"/>
  <c r="IS53" i="1"/>
  <c r="IS48" i="1"/>
  <c r="IS52" i="1"/>
  <c r="IX48" i="1"/>
  <c r="IF48" i="1" s="1"/>
  <c r="IT29" i="1"/>
  <c r="IY47" i="1"/>
  <c r="IF47" i="1" s="1"/>
  <c r="IS35" i="1"/>
  <c r="IX31" i="1"/>
  <c r="IF31" i="1" s="1"/>
  <c r="IT25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JH29" i="1" a="1"/>
  <c r="JH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15" i="1" l="1"/>
  <c r="L13" i="1"/>
  <c r="L22" i="1"/>
  <c r="L20" i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<sst xmlns="http://schemas.openxmlformats.org/spreadsheetml/2006/main" count="742" uniqueCount="394">
  <si>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</si>
  <si>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</si>
  <si>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</si>
  <si>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</si>
  <si>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</si>
  <si>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</si>
  <si>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</si>
  <si>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</si>
  <si>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</si>
  <si>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</si>
  <si>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</si>
  <si>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</si>
  <si>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</si>
  <si>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</si>
  <si>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</si>
  <si>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</si>
  <si>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</si>
  <si>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</si>
  <si>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</si>
  <si>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</si>
  <si>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</si>
  <si>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</si>
  <si>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</si>
  <si>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</si>
  <si>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</si>
  <si>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</si>
  <si>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</si>
  <si>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</si>
  <si>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</si>
  <si>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</si>
  <si>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</si>
  <si>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</si>
  <si>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</si>
  <si>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</si>
  <si>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</si>
  <si>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</si>
  <si>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</si>
  <si>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</si>
  <si>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</si>
  <si>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</si>
  <si>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</si>
  <si>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</si>
  <si>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</si>
  <si>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</si>
  <si>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</si>
  <si>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</si>
  <si>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</si>
  <si>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</si>
  <si>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</si>
  <si>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</si>
  <si>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</si>
  <si>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</si>
  <si>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</si>
  <si>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</si>
  <si>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</si>
  <si>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</si>
  <si>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</si>
  <si>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</si>
  <si>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</si>
  <si>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</si>
  <si>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</si>
  <si>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</si>
  <si>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</si>
  <si>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</si>
  <si>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</si>
  <si>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</si>
  <si>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</si>
  <si>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</si>
  <si>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</si>
  <si>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</si>
  <si>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</si>
  <si>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</si>
  <si>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</si>
  <si>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</si>
  <si>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</si>
  <si>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</si>
  <si>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</si>
  <si>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</si>
  <si>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</si>
  <si>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</si>
  <si>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</si>
  <si>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</si>
  <si>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</si>
  <si>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</si>
  <si>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</si>
  <si>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</si>
  <si>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</si>
  <si>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</si>
  <si>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</si>
  <si>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</si>
  <si>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</si>
  <si>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</si>
  <si>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</si>
  <si>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</si>
  <si>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</si>
  <si>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</si>
  <si>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</si>
  <si>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</si>
  <si>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</si>
  <si>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</si>
  <si>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</si>
  <si>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</si>
  <si>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</si>
  <si>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</si>
  <si>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</si>
  <si>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</si>
  <si>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</si>
  <si>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</si>
  <si>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</si>
  <si>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</si>
  <si>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</si>
  <si>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</si>
  <si>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</si>
  <si>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</si>
  <si>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</si>
  <si>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</si>
  <si>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</si>
  <si>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</si>
  <si>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</si>
  <si>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</si>
  <si>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</si>
  <si>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</si>
  <si>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</si>
  <si>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</si>
  <si>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</si>
  <si>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</si>
  <si>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</si>
  <si>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</si>
  <si>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</si>
  <si>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</si>
  <si>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</si>
  <si>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</si>
  <si>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</si>
  <si>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</si>
  <si>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</si>
  <si>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</si>
  <si>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</si>
  <si>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</si>
  <si>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</si>
  <si>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</si>
  <si>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</si>
  <si>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</si>
  <si>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</si>
  <si>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</si>
  <si>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</si>
  <si>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</si>
  <si>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</si>
  <si>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</si>
  <si>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</si>
  <si>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</si>
  <si>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</si>
  <si>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</si>
  <si>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</si>
  <si>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</si>
  <si>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</si>
  <si>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</si>
  <si>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</si>
  <si>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</si>
  <si>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</si>
  <si>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</si>
  <si>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</si>
  <si>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</si>
  <si>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</si>
  <si>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</si>
  <si>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</si>
  <si>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</si>
  <si>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</si>
  <si>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</si>
  <si>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</si>
  <si>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</si>
  <si>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</si>
  <si>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</si>
  <si>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</si>
  <si>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</si>
  <si>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</si>
  <si>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</si>
  <si>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</si>
  <si>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</si>
  <si>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</si>
  <si>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</si>
  <si>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</si>
  <si>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</si>
  <si>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</si>
  <si>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</si>
  <si>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</si>
  <si>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</si>
  <si>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</si>
  <si>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</si>
  <si>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</si>
  <si>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</si>
  <si>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</si>
  <si>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</si>
  <si>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</si>
  <si>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</si>
  <si>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</si>
  <si>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</si>
  <si>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</si>
  <si>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</si>
  <si>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</si>
  <si>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</si>
  <si>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</si>
  <si>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</si>
  <si>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</si>
  <si>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</si>
  <si>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</si>
  <si>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</si>
  <si>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</si>
  <si>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</si>
  <si>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</si>
  <si>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</si>
  <si>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</si>
  <si>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</si>
  <si>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</si>
  <si>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</si>
  <si>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</si>
  <si>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</si>
  <si>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</si>
  <si>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</si>
  <si>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</si>
  <si>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</si>
  <si>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</si>
  <si>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</si>
  <si>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</si>
  <si>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</si>
  <si>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</si>
  <si>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</si>
  <si>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</si>
  <si>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</si>
  <si>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</si>
  <si>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</si>
  <si>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</si>
  <si>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</si>
  <si>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</si>
  <si>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</si>
  <si>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</si>
  <si>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</si>
  <si>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</si>
  <si>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</si>
  <si>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</si>
  <si>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</si>
  <si>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</si>
  <si>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</si>
  <si>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</si>
  <si>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</si>
  <si>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</si>
  <si>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</si>
  <si>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</si>
  <si>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</si>
  <si>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</si>
  <si>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</si>
  <si>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</si>
  <si>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</si>
  <si>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</si>
  <si>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</si>
  <si>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</si>
  <si>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</si>
  <si>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</si>
  <si>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</si>
  <si>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</si>
  <si>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</si>
  <si>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</si>
  <si>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</si>
  <si>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</si>
  <si>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</si>
  <si>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</si>
  <si>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</si>
  <si>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</si>
  <si>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</si>
  <si>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</si>
  <si>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</si>
  <si>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</si>
  <si>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</si>
  <si>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</si>
  <si>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</si>
  <si>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</si>
  <si>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</si>
  <si>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</si>
  <si>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</si>
  <si>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</si>
  <si>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</si>
  <si>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</si>
  <si>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</si>
  <si>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</si>
  <si>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</si>
  <si>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</si>
  <si>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</si>
  <si>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</si>
  <si>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</si>
  <si>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</si>
  <si>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</si>
  <si>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</si>
  <si>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</si>
  <si>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</si>
  <si>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</si>
  <si>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</si>
  <si>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</si>
  <si>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</si>
  <si>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</si>
  <si>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</si>
  <si>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</si>
  <si>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</si>
  <si>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</si>
  <si>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</si>
  <si>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</si>
  <si>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</si>
  <si>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</si>
  <si>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</si>
  <si>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</si>
  <si>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</si>
  <si>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</si>
  <si>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</si>
  <si>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</si>
  <si>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</si>
  <si>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</si>
  <si>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</si>
  <si>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</si>
  <si>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</si>
  <si>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</si>
  <si>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</si>
  <si>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</si>
  <si>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</si>
  <si>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</si>
  <si>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</si>
  <si>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</si>
  <si>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</si>
  <si>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</si>
  <si>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</si>
  <si>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</si>
  <si>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</si>
  <si>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</si>
  <si>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</si>
  <si>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</si>
  <si>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</si>
  <si>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</si>
  <si>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</si>
  <si>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</si>
  <si>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</si>
  <si>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</si>
  <si>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</si>
  <si>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</si>
  <si>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</si>
  <si>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</si>
  <si>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</si>
  <si>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</si>
  <si>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</si>
  <si>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</si>
  <si>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</si>
  <si>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</si>
  <si>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</si>
  <si>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</si>
  <si>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</si>
  <si>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</si>
  <si>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</si>
  <si>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</si>
  <si>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</si>
  <si>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</si>
  <si>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</si>
  <si>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</si>
  <si>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</si>
  <si>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</si>
  <si>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</si>
  <si>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</si>
  <si>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</si>
  <si>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</si>
  <si>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</si>
  <si>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</si>
  <si>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</si>
  <si>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</si>
  <si>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</si>
  <si>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</si>
  <si>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</si>
  <si>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</si>
  <si>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</si>
  <si>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</si>
  <si>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</si>
  <si>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</si>
  <si>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</si>
  <si>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</si>
  <si>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</si>
  <si>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</si>
  <si>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</si>
  <si>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</si>
  <si>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</si>
  <si>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</si>
  <si>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</si>
  <si>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</si>
  <si>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</si>
  <si>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</si>
  <si>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</si>
  <si>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</si>
  <si>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</si>
  <si>
    <t>&lt;&gt;CS CPS-31783r1</t>
  </si>
  <si>
    <t>&lt;&gt;CS CPS-32193r1</t>
  </si>
  <si>
    <t>&lt;&gt;CS CPS-31837r1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</si>
</sst>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5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3" fontId="26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5" t="s">
        <v>77</v>
      </c>
      <c r="D1" s="875"/>
      <c r="E1" s="875"/>
      <c r="F1" s="875"/>
      <c r="G1" s="875"/>
      <c r="H1" s="875"/>
      <c r="I1" s="875"/>
      <c r="J1" s="875"/>
      <c r="K1" s="875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900" t="s">
        <v>80</v>
      </c>
      <c r="B6" s="900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7" t="s">
        <v>379</v>
      </c>
      <c r="AQ7" s="897"/>
      <c r="AR7" s="897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90">
        <v>9</v>
      </c>
      <c r="D9" s="894"/>
      <c r="E9" s="894"/>
      <c r="F9" s="894"/>
      <c r="G9" s="894"/>
      <c r="H9" s="894"/>
      <c r="I9" s="894"/>
      <c r="J9" s="894"/>
      <c r="K9" s="891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2"/>
      <c r="C10" s="913"/>
      <c r="D10" s="913"/>
      <c r="E10" s="913"/>
      <c r="F10" s="913"/>
      <c r="G10" s="913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8"/>
      <c r="B11" s="901" t="s">
        <v>33</v>
      </c>
      <c r="C11" s="906" t="s">
        <v>34</v>
      </c>
      <c r="D11" s="906"/>
      <c r="E11" s="905" t="s">
        <v>39</v>
      </c>
      <c r="F11" s="901" t="s">
        <v>35</v>
      </c>
      <c r="G11" s="901" t="s">
        <v>36</v>
      </c>
      <c r="H11" s="901" t="s">
        <v>43</v>
      </c>
      <c r="I11" s="892" t="s">
        <v>67</v>
      </c>
      <c r="J11" s="906" t="s">
        <v>56</v>
      </c>
      <c r="K11" s="906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5" t="s">
        <v>347</v>
      </c>
      <c r="AN11" s="894"/>
      <c r="AO11" s="894"/>
      <c r="AP11" s="894"/>
      <c r="AQ11" s="894"/>
      <c r="AR11" s="916"/>
      <c r="AS11" s="923" t="s">
        <v>354</v>
      </c>
      <c r="AT11" s="924"/>
      <c r="AU11" s="924"/>
      <c r="AV11" s="925"/>
      <c r="BC11" s="470"/>
    </row>
    <row r="12" spans="1:55" ht="15.75" thickBot="1" x14ac:dyDescent="0.3">
      <c r="A12" s="907"/>
      <c r="B12" s="902"/>
      <c r="C12" s="48" t="s">
        <v>8</v>
      </c>
      <c r="D12" s="49" t="s">
        <v>10</v>
      </c>
      <c r="E12" s="902"/>
      <c r="F12" s="902"/>
      <c r="G12" s="902"/>
      <c r="H12" s="902"/>
      <c r="I12" s="893"/>
      <c r="J12" s="53" t="s">
        <v>8</v>
      </c>
      <c r="K12" s="54" t="s">
        <v>10</v>
      </c>
      <c r="M12" s="31"/>
      <c r="N12" s="31"/>
      <c r="O12" s="884" t="s">
        <v>46</v>
      </c>
      <c r="P12" s="885"/>
      <c r="Q12" s="903" t="s">
        <v>45</v>
      </c>
      <c r="R12" s="904"/>
      <c r="S12" s="904"/>
      <c r="T12" s="904"/>
      <c r="U12" s="904"/>
      <c r="V12" s="904"/>
      <c r="W12" s="904"/>
      <c r="X12" s="904"/>
      <c r="Y12" s="904"/>
      <c r="Z12" s="904"/>
      <c r="AA12" s="904"/>
      <c r="AB12" s="904"/>
      <c r="AC12" s="904"/>
      <c r="AD12" s="904"/>
      <c r="AE12" s="890"/>
      <c r="AF12" s="878" t="s">
        <v>56</v>
      </c>
      <c r="AG12" s="879"/>
      <c r="AH12" s="31"/>
      <c r="AK12" s="898" t="s">
        <v>355</v>
      </c>
      <c r="AL12" s="914"/>
      <c r="AM12" s="917" t="s">
        <v>352</v>
      </c>
      <c r="AN12" s="918"/>
      <c r="AO12" s="899"/>
      <c r="AP12" s="898" t="s">
        <v>380</v>
      </c>
      <c r="AQ12" s="899"/>
      <c r="AR12" s="802" t="s">
        <v>378</v>
      </c>
      <c r="AS12" s="920" t="s">
        <v>352</v>
      </c>
      <c r="AT12" s="899"/>
      <c r="AU12" s="921" t="s">
        <v>353</v>
      </c>
      <c r="AV12" s="922"/>
      <c r="AW12" s="926" t="s">
        <v>351</v>
      </c>
      <c r="AX12" s="927"/>
      <c r="AZ12" s="898" t="s">
        <v>60</v>
      </c>
      <c r="BA12" s="899"/>
      <c r="BC12" s="919" t="s">
        <v>383</v>
      </c>
    </row>
    <row r="13" spans="1:55" ht="15.75" thickBot="1" x14ac:dyDescent="0.3">
      <c r="A13" s="64" t="s">
        <v>57</v>
      </c>
      <c r="B13" s="908" t="s">
        <v>97</v>
      </c>
      <c r="C13" s="910" t="str">
        <f>SUBSTITUTE(ADDRESS(1,COLUMN(Assy.Model!X9),4),"1","")</f>
        <v>X</v>
      </c>
      <c r="D13" s="101" t="str">
        <f>SUBSTITUTE(ADDRESS(1,COLUMN(Assy.Model!Y9),4),"1","")</f>
        <v>Y</v>
      </c>
      <c r="E13" s="895" t="str">
        <f>SUBSTITUTE(ADDRESS(1,COLUMN(Assy.Model!H9),4),"1","")</f>
        <v>H</v>
      </c>
      <c r="F13" s="895" t="str">
        <f>SUBSTITUTE(ADDRESS(1,COLUMN(Assy.Model!AN9),4),"1","")</f>
        <v>AN</v>
      </c>
      <c r="G13" s="895" t="str">
        <f>SUBSTITUTE(ADDRESS(1,COLUMN(Assy.Model!AO9),4),"1","")</f>
        <v>AO</v>
      </c>
      <c r="H13" s="895" t="str">
        <f>SUBSTITUTE(ADDRESS(1,COLUMN(Assy.Model!AO9),4),"1","")</f>
        <v>AO</v>
      </c>
      <c r="I13" s="895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6"/>
      <c r="P13" s="887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9"/>
    </row>
    <row r="14" spans="1:55" x14ac:dyDescent="0.25">
      <c r="A14" s="62" t="s">
        <v>58</v>
      </c>
      <c r="B14" s="909"/>
      <c r="C14" s="911"/>
      <c r="D14" s="102" t="str">
        <f>SUBSTITUTE(ADDRESS(1,COLUMN(Assy.Model!AT9),4),"1","")</f>
        <v>AT</v>
      </c>
      <c r="E14" s="896"/>
      <c r="F14" s="896"/>
      <c r="G14" s="896"/>
      <c r="H14" s="896"/>
      <c r="I14" s="896"/>
      <c r="J14" s="91">
        <v>0</v>
      </c>
      <c r="K14" s="92">
        <v>0</v>
      </c>
      <c r="L14" s="31"/>
      <c r="M14" s="190">
        <v>6.25E-2</v>
      </c>
      <c r="N14" s="31">
        <v>32</v>
      </c>
      <c r="O14" s="882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29" si="10">($AU14-$AT14)/2</f>
        <v>2.5000000000000022E-3</v>
      </c>
      <c r="AX14" s="755">
        <f t="shared" ref="AX14:AX29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31">_xlfn._xlws.FILTER(IF(AJ14:AJ36,AK14:AK36,""),IF(AJ14:AJ36,AK14:AK36,"")&lt;&gt;"")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2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28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2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2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2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9.875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2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3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29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90" t="s">
        <v>64</v>
      </c>
      <c r="C21" s="894"/>
      <c r="D21" s="894"/>
      <c r="E21" s="894"/>
      <c r="F21" s="891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8"/>
      <c r="C22" s="890" t="s">
        <v>63</v>
      </c>
      <c r="D22" s="891"/>
      <c r="E22" s="892" t="s">
        <v>60</v>
      </c>
      <c r="F22" s="892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9"/>
      <c r="C23" s="57" t="s">
        <v>8</v>
      </c>
      <c r="D23" s="57" t="s">
        <v>9</v>
      </c>
      <c r="E23" s="893"/>
      <c r="F23" s="893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80">
        <v>0</v>
      </c>
      <c r="E24" s="880">
        <v>2</v>
      </c>
      <c r="F24" s="880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4.9375</v>
      </c>
      <c r="D25" s="881"/>
      <c r="E25" s="881"/>
      <c r="F25" s="881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6" t="s">
        <v>311</v>
      </c>
      <c r="C27" s="876"/>
      <c r="D27" s="876"/>
      <c r="E27" s="876"/>
      <c r="F27" s="876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7" t="s">
        <v>390</v>
      </c>
      <c r="C28" s="877"/>
      <c r="D28" s="877"/>
      <c r="E28" s="877"/>
      <c r="F28" s="877"/>
      <c r="G28" s="31"/>
      <c r="H28" s="31"/>
      <c r="I28" s="31"/>
      <c r="AI28" s="842">
        <f t="shared" si="13"/>
        <v>390000.212</v>
      </c>
      <c r="AJ28" s="839" t="b">
        <v>1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 t="shared" ref="AP28:AP33" si="19"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CPS-31783r1</v>
      </c>
    </row>
    <row r="29" spans="2:55" x14ac:dyDescent="0.25">
      <c r="B29" s="100"/>
      <c r="D29" s="100"/>
      <c r="AI29" s="842">
        <f t="shared" ref="AI29" si="20">ROUND(((ROUND(AP29,6)*1000000)+AQ29),6)</f>
        <v>390000.43800000002</v>
      </c>
      <c r="AJ29" s="839" t="b">
        <f>TRUE</f>
        <v>1</v>
      </c>
      <c r="AK29" s="874" t="s">
        <v>391</v>
      </c>
      <c r="AL29" s="744" t="s">
        <v>341</v>
      </c>
      <c r="AM29" s="746">
        <v>0.38</v>
      </c>
      <c r="AN29" s="741">
        <v>0.438</v>
      </c>
      <c r="AO29" s="748">
        <f>0.225*2</f>
        <v>0.45</v>
      </c>
      <c r="AP29" s="829">
        <f t="shared" si="19"/>
        <v>0.39</v>
      </c>
      <c r="AQ29" s="833">
        <f>AN29</f>
        <v>0.438</v>
      </c>
      <c r="AR29" s="181">
        <f t="shared" si="18"/>
        <v>0.19</v>
      </c>
      <c r="AS29" s="4">
        <f t="shared" si="14"/>
        <v>0.379</v>
      </c>
      <c r="AT29" s="8">
        <f t="shared" si="14"/>
        <v>0.38100000000000001</v>
      </c>
      <c r="AU29" s="821">
        <f>($AP29+AU$9)-0.002</f>
        <v>0.38900000000000001</v>
      </c>
      <c r="AV29" s="822">
        <f>($AP29+AV$9)-0.002</f>
        <v>0.39200000000000002</v>
      </c>
      <c r="AW29" s="177">
        <f t="shared" si="10"/>
        <v>4.0000000000000036E-3</v>
      </c>
      <c r="AX29" s="8">
        <f t="shared" si="11"/>
        <v>6.5000000000000058E-3</v>
      </c>
      <c r="BC29" s="86" t="str">
        <v>&lt;&gt;CS CPS-31783r1</v>
      </c>
    </row>
    <row r="30" spans="2:55" x14ac:dyDescent="0.25">
      <c r="AF30" s="100"/>
      <c r="AI30" s="842">
        <f t="shared" ref="AI30:AI36" si="21">ROUND(((ROUND(AP30,6)*1000000)+AQ30),6)</f>
        <v>514000.45500000002</v>
      </c>
      <c r="AJ30" s="839" t="b">
        <v>0</v>
      </c>
      <c r="AK30" s="740" t="s">
        <v>336</v>
      </c>
      <c r="AL30" s="744" t="s">
        <v>342</v>
      </c>
      <c r="AM30" s="746">
        <v>0.504</v>
      </c>
      <c r="AN30" s="741">
        <v>0.71</v>
      </c>
      <c r="AO30" s="748">
        <f>0.255*2</f>
        <v>0.51</v>
      </c>
      <c r="AP30" s="829">
        <f t="shared" si="19"/>
        <v>0.51400000000000001</v>
      </c>
      <c r="AQ30" s="8">
        <f>($AN30-($AO30/2))</f>
        <v>0.45499999999999996</v>
      </c>
      <c r="AR30" s="181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ref="AW30:AW36" si="24">($AU30-$AT30)/2</f>
        <v>3.5000000000000031E-3</v>
      </c>
      <c r="AX30" s="8">
        <f t="shared" ref="AX30:AX36" si="25">($AV30-$AS30)/2</f>
        <v>5.5000000000000049E-3</v>
      </c>
      <c r="BC30" s="86" t="str">
        <v>CPS-32193r1</v>
      </c>
    </row>
    <row r="31" spans="2:55" x14ac:dyDescent="0.25">
      <c r="AF31" s="100"/>
      <c r="AI31" s="842">
        <f t="shared" si="21"/>
        <v>514000.71</v>
      </c>
      <c r="AJ31" s="839" t="b">
        <v>0</v>
      </c>
      <c r="AK31" s="874" t="s">
        <v>393</v>
      </c>
      <c r="AL31" s="744" t="s">
        <v>342</v>
      </c>
      <c r="AM31" s="746">
        <v>0.504</v>
      </c>
      <c r="AN31" s="741">
        <v>0.71</v>
      </c>
      <c r="AO31" s="748">
        <f>0.255*2</f>
        <v>0.51</v>
      </c>
      <c r="AP31" s="829">
        <f t="shared" si="19"/>
        <v>0.51400000000000001</v>
      </c>
      <c r="AQ31" s="833">
        <f>AN31</f>
        <v>0.71</v>
      </c>
      <c r="AR31" s="181">
        <f t="shared" si="22"/>
        <v>0.252</v>
      </c>
      <c r="AS31" s="4">
        <f t="shared" si="23"/>
        <v>0.503</v>
      </c>
      <c r="AT31" s="8">
        <f t="shared" si="23"/>
        <v>0.505</v>
      </c>
      <c r="AU31" s="821">
        <f>($AP31+AU$9)-0.003</f>
        <v>0.51200000000000001</v>
      </c>
      <c r="AV31" s="822">
        <f>($AP31+AV$9)-0.004</f>
        <v>0.51400000000000001</v>
      </c>
      <c r="AW31" s="177">
        <f t="shared" si="24"/>
        <v>3.5000000000000031E-3</v>
      </c>
      <c r="AX31" s="8">
        <f t="shared" si="25"/>
        <v>5.5000000000000049E-3</v>
      </c>
      <c r="BC31" s="86" t="str">
        <v>&lt;&gt;CS CPS-32193r1</v>
      </c>
    </row>
    <row r="32" spans="2:55" x14ac:dyDescent="0.25">
      <c r="AI32" s="842">
        <f t="shared" si="21"/>
        <v>514000.41499999998</v>
      </c>
      <c r="AJ32" s="839" t="b">
        <f>TRUE</f>
        <v>1</v>
      </c>
      <c r="AK32" s="740" t="s">
        <v>334</v>
      </c>
      <c r="AL32" s="744" t="s">
        <v>342</v>
      </c>
      <c r="AM32" s="746">
        <v>0.504</v>
      </c>
      <c r="AN32" s="741">
        <v>0.67</v>
      </c>
      <c r="AO32" s="748">
        <f>0.255*2</f>
        <v>0.51</v>
      </c>
      <c r="AP32" s="829">
        <f t="shared" si="19"/>
        <v>0.51400000000000001</v>
      </c>
      <c r="AQ32" s="8">
        <f>($AN32-($AO32/2))</f>
        <v>0.41500000000000004</v>
      </c>
      <c r="AR32" s="181">
        <f t="shared" si="22"/>
        <v>0.252</v>
      </c>
      <c r="AS32" s="4">
        <f t="shared" si="23"/>
        <v>0.503</v>
      </c>
      <c r="AT32" s="8">
        <f t="shared" si="23"/>
        <v>0.505</v>
      </c>
      <c r="AU32" s="821">
        <f>($AP32+AU$9)-0.003</f>
        <v>0.51200000000000001</v>
      </c>
      <c r="AV32" s="822">
        <f>($AP32+AV$9)-0.004</f>
        <v>0.51400000000000001</v>
      </c>
      <c r="AW32" s="177">
        <f t="shared" si="24"/>
        <v>3.5000000000000031E-3</v>
      </c>
      <c r="AX32" s="8">
        <f t="shared" si="25"/>
        <v>5.5000000000000049E-3</v>
      </c>
    </row>
    <row r="33" spans="35:50" x14ac:dyDescent="0.25">
      <c r="AI33" s="842">
        <f t="shared" si="21"/>
        <v>514000.67</v>
      </c>
      <c r="AJ33" s="839" t="b">
        <f>TRUE</f>
        <v>1</v>
      </c>
      <c r="AK33" s="874" t="s">
        <v>392</v>
      </c>
      <c r="AL33" s="744" t="s">
        <v>342</v>
      </c>
      <c r="AM33" s="746">
        <v>0.504</v>
      </c>
      <c r="AN33" s="741">
        <v>0.67</v>
      </c>
      <c r="AO33" s="748">
        <f>0.255*2</f>
        <v>0.51</v>
      </c>
      <c r="AP33" s="829">
        <f t="shared" si="19"/>
        <v>0.51400000000000001</v>
      </c>
      <c r="AQ33" s="833">
        <f>AN33</f>
        <v>0.67</v>
      </c>
      <c r="AR33" s="181">
        <f t="shared" si="22"/>
        <v>0.252</v>
      </c>
      <c r="AS33" s="4">
        <f t="shared" si="23"/>
        <v>0.503</v>
      </c>
      <c r="AT33" s="8">
        <f t="shared" si="23"/>
        <v>0.505</v>
      </c>
      <c r="AU33" s="821">
        <f>($AP33+AU$9)-0.003</f>
        <v>0.51200000000000001</v>
      </c>
      <c r="AV33" s="822">
        <f>($AP33+AV$9)-0.004</f>
        <v>0.51400000000000001</v>
      </c>
      <c r="AW33" s="177">
        <f t="shared" si="24"/>
        <v>3.5000000000000031E-3</v>
      </c>
      <c r="AX33" s="8">
        <f t="shared" si="25"/>
        <v>5.5000000000000049E-3</v>
      </c>
    </row>
    <row r="34" spans="35:50" x14ac:dyDescent="0.25">
      <c r="AI34" s="842">
        <f t="shared" si="21"/>
        <v>450000.33189999999</v>
      </c>
      <c r="AJ34" s="839" t="b">
        <f>FALSE</f>
        <v>0</v>
      </c>
      <c r="AK34" s="740" t="s">
        <v>340</v>
      </c>
      <c r="AL34" s="744" t="s">
        <v>343</v>
      </c>
      <c r="AM34" s="746">
        <v>0.4415</v>
      </c>
      <c r="AN34" s="741">
        <v>0.55000000000000004</v>
      </c>
      <c r="AO34" s="748">
        <f>0.2181*2</f>
        <v>0.43619999999999998</v>
      </c>
      <c r="AP34" s="829">
        <f>($AM34+AP$9)+0.0055</f>
        <v>0.45</v>
      </c>
      <c r="AQ34" s="8">
        <f>($AN34-($AO34/2))</f>
        <v>0.33190000000000008</v>
      </c>
      <c r="AR34" s="181">
        <f t="shared" si="22"/>
        <v>0.22075</v>
      </c>
      <c r="AS34" s="834">
        <f>($AM34+AS$9)+0.0008</f>
        <v>0.44130000000000003</v>
      </c>
      <c r="AT34" s="833">
        <f>($AM34+AT$9)-0.0008</f>
        <v>0.44169999999999998</v>
      </c>
      <c r="AU34" s="821">
        <f>($AP34+AU$9)-0.005</f>
        <v>0.44600000000000001</v>
      </c>
      <c r="AV34" s="822">
        <f>($AP34+AV$9)-0.002</f>
        <v>0.45200000000000001</v>
      </c>
      <c r="AW34" s="177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842">
        <f t="shared" si="21"/>
        <v>450000.33199999999</v>
      </c>
      <c r="AJ35" s="839" t="b">
        <f>FALSE</f>
        <v>0</v>
      </c>
      <c r="AK35" s="740" t="s">
        <v>340</v>
      </c>
      <c r="AL35" s="744" t="s">
        <v>343</v>
      </c>
      <c r="AM35" s="746">
        <v>0.4415</v>
      </c>
      <c r="AN35" s="741">
        <v>0.55000000000000004</v>
      </c>
      <c r="AO35" s="748">
        <f>0.2181*2</f>
        <v>0.43619999999999998</v>
      </c>
      <c r="AP35" s="829">
        <f>($AM35+AP$9)+0.0055</f>
        <v>0.45</v>
      </c>
      <c r="AQ35" s="833">
        <f>($AN35-($AO35/2))+0.0001</f>
        <v>0.33200000000000007</v>
      </c>
      <c r="AR35" s="181">
        <f t="shared" si="22"/>
        <v>0.22075</v>
      </c>
      <c r="AS35" s="834">
        <f>($AM35+AS$9)+0.0008</f>
        <v>0.44130000000000003</v>
      </c>
      <c r="AT35" s="833">
        <f>($AM35+AT$9)-0.0008</f>
        <v>0.44169999999999998</v>
      </c>
      <c r="AU35" s="821">
        <f>($AP35+AU$9)-0.005</f>
        <v>0.44600000000000001</v>
      </c>
      <c r="AV35" s="822">
        <f>($AP35+AV$9)-0.002</f>
        <v>0.45200000000000001</v>
      </c>
      <c r="AW35" s="177">
        <f t="shared" si="24"/>
        <v>2.150000000000013E-3</v>
      </c>
      <c r="AX35" s="8">
        <f t="shared" si="25"/>
        <v>5.3499999999999936E-3</v>
      </c>
    </row>
    <row r="36" spans="35:50" x14ac:dyDescent="0.25">
      <c r="AI36" s="842">
        <f t="shared" si="21"/>
        <v>525000.40700000001</v>
      </c>
      <c r="AJ36" s="839" t="b">
        <f>FALSE</f>
        <v>0</v>
      </c>
      <c r="AK36" s="742" t="s">
        <v>335</v>
      </c>
      <c r="AL36" s="745" t="s">
        <v>344</v>
      </c>
      <c r="AM36" s="747">
        <v>0.51459999999999995</v>
      </c>
      <c r="AN36" s="743">
        <v>0.67</v>
      </c>
      <c r="AO36" s="749">
        <f>0.263*2</f>
        <v>0.52600000000000002</v>
      </c>
      <c r="AP36" s="832">
        <f>($AM36+AP$9)+0.0074</f>
        <v>0.52499999999999991</v>
      </c>
      <c r="AQ36" s="722">
        <f>($AN36-($AO36/2))</f>
        <v>0.40700000000000003</v>
      </c>
      <c r="AR36" s="827">
        <f t="shared" si="22"/>
        <v>0.25729999999999997</v>
      </c>
      <c r="AS36" s="835">
        <f>($AM36+AS$9)+0.0008</f>
        <v>0.51439999999999997</v>
      </c>
      <c r="AT36" s="836">
        <f>($AM36+AT$9)-0.0008</f>
        <v>0.51479999999999992</v>
      </c>
      <c r="AU36" s="823">
        <f>($AP36+AU$9)-0.005</f>
        <v>0.52099999999999991</v>
      </c>
      <c r="AV36" s="824">
        <f>($AP36+AV$9)-0.002</f>
        <v>0.52699999999999991</v>
      </c>
      <c r="AW36" s="180">
        <f t="shared" si="24"/>
        <v>3.0999999999999917E-3</v>
      </c>
      <c r="AX36" s="722">
        <f t="shared" si="25"/>
        <v>6.2999999999999723E-3</v>
      </c>
    </row>
    <row r="37" spans="35:50" x14ac:dyDescent="0.25">
      <c r="AI37" s="468"/>
      <c r="AJ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K39" s="468"/>
      <c r="AL39" s="468"/>
    </row>
    <row r="40" spans="35:50" x14ac:dyDescent="0.25">
      <c r="AI40" s="468"/>
      <c r="AJ40" s="468"/>
      <c r="AK40" s="468"/>
      <c r="AL40" s="468"/>
    </row>
    <row r="41" spans="35:50" x14ac:dyDescent="0.25">
      <c r="AI41" s="468"/>
      <c r="AJ41" s="468"/>
      <c r="AK41" s="468"/>
      <c r="AL41" s="468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68"/>
      <c r="AJ46" s="468"/>
      <c r="AK46" s="468"/>
      <c r="AL46" s="468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68"/>
      <c r="AJ47" s="468"/>
      <c r="AK47" s="468"/>
      <c r="AL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I51" s="468"/>
      <c r="AJ51" s="468"/>
      <c r="AK51" s="468"/>
      <c r="AL51" s="468"/>
      <c r="AM51" s="468"/>
      <c r="AN51" s="468"/>
      <c r="AO51" s="468"/>
      <c r="AP51" s="468"/>
      <c r="AQ51" s="468"/>
      <c r="AR51" s="468"/>
    </row>
    <row r="52" spans="2:44" x14ac:dyDescent="0.25">
      <c r="AI52" s="468"/>
      <c r="AJ52" s="468"/>
      <c r="AK52" s="468"/>
      <c r="AL52" s="468"/>
      <c r="AM52" s="468"/>
      <c r="AN52" s="468"/>
      <c r="AO52" s="468"/>
      <c r="AP52" s="468"/>
      <c r="AQ52" s="468"/>
      <c r="AR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57" spans="2:44" x14ac:dyDescent="0.25">
      <c r="AJ57" s="468"/>
      <c r="AK57" s="468"/>
      <c r="AL57" s="468"/>
    </row>
    <row r="58" spans="2:44" x14ac:dyDescent="0.25">
      <c r="AJ58" s="468"/>
      <c r="AK58" s="468"/>
      <c r="AL58" s="468"/>
    </row>
    <row r="62" spans="2:44" x14ac:dyDescent="0.25">
      <c r="B62" s="31"/>
    </row>
    <row r="63" spans="2:44" x14ac:dyDescent="0.25">
      <c r="B63" s="31"/>
    </row>
    <row r="65" spans="2:11" x14ac:dyDescent="0.25">
      <c r="I65" s="508"/>
      <c r="K65" s="508"/>
    </row>
    <row r="66" spans="2:11" x14ac:dyDescent="0.25">
      <c r="I66" s="508"/>
      <c r="K66" s="508"/>
    </row>
    <row r="67" spans="2:11" x14ac:dyDescent="0.25">
      <c r="I67" s="508"/>
      <c r="K67" s="508"/>
    </row>
    <row r="68" spans="2:11" x14ac:dyDescent="0.25">
      <c r="I68" s="508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4" t="s">
        <v>95</v>
      </c>
      <c r="D3" s="894"/>
      <c r="E3" s="894"/>
      <c r="F3" s="894"/>
      <c r="G3" s="894"/>
      <c r="H3" s="894"/>
      <c r="I3" s="894"/>
      <c r="J3" s="894"/>
      <c r="K3" s="916"/>
      <c r="L3" s="974"/>
      <c r="M3" s="894"/>
      <c r="N3" s="894"/>
      <c r="O3" s="894"/>
      <c r="P3" s="894"/>
      <c r="Q3" s="894"/>
      <c r="R3" s="891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6" t="s">
        <v>86</v>
      </c>
      <c r="C4" s="957" t="s">
        <v>82</v>
      </c>
      <c r="D4" s="894" t="s">
        <v>83</v>
      </c>
      <c r="E4" s="894"/>
      <c r="F4" s="894"/>
      <c r="G4" s="894"/>
      <c r="H4" s="894"/>
      <c r="I4" s="894"/>
      <c r="J4" s="894"/>
      <c r="K4" s="894"/>
      <c r="L4" s="150" t="s">
        <v>91</v>
      </c>
      <c r="M4" s="890" t="s">
        <v>94</v>
      </c>
      <c r="N4" s="894"/>
      <c r="O4" s="894"/>
      <c r="P4" s="916"/>
      <c r="Q4" s="894" t="s">
        <v>52</v>
      </c>
      <c r="R4" s="891"/>
      <c r="S4" s="107"/>
      <c r="T4" s="890">
        <v>350</v>
      </c>
      <c r="U4" s="894"/>
      <c r="V4" s="894" t="s">
        <v>76</v>
      </c>
      <c r="W4" s="894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7"/>
      <c r="C5" s="958"/>
      <c r="D5" s="942" t="s">
        <v>85</v>
      </c>
      <c r="E5" s="960" t="s">
        <v>89</v>
      </c>
      <c r="F5" s="906" t="s">
        <v>34</v>
      </c>
      <c r="G5" s="906"/>
      <c r="H5" s="905" t="s">
        <v>39</v>
      </c>
      <c r="I5" s="901" t="s">
        <v>35</v>
      </c>
      <c r="J5" s="901" t="s">
        <v>36</v>
      </c>
      <c r="K5" s="968" t="s">
        <v>67</v>
      </c>
      <c r="L5" s="151" t="s">
        <v>92</v>
      </c>
      <c r="M5" s="892" t="s">
        <v>90</v>
      </c>
      <c r="N5" s="892" t="s">
        <v>47</v>
      </c>
      <c r="O5" s="970" t="s">
        <v>84</v>
      </c>
      <c r="P5" s="971"/>
      <c r="Q5" s="972" t="s">
        <v>84</v>
      </c>
      <c r="R5" s="973"/>
      <c r="S5" s="107"/>
      <c r="T5" s="884" t="s">
        <v>46</v>
      </c>
      <c r="U5" s="975"/>
      <c r="V5" s="927" t="s">
        <v>45</v>
      </c>
      <c r="W5" s="879"/>
      <c r="X5" s="879"/>
      <c r="Y5" s="879"/>
      <c r="Z5" s="879"/>
      <c r="AA5" s="879"/>
      <c r="AB5" s="879"/>
      <c r="AC5" s="879"/>
      <c r="AD5" s="879"/>
      <c r="AE5" s="879"/>
      <c r="AF5" s="879"/>
      <c r="AG5" s="879"/>
      <c r="AH5" s="879"/>
      <c r="AI5" s="879"/>
      <c r="AJ5" s="879"/>
      <c r="AK5" s="31"/>
      <c r="AL5" s="31"/>
    </row>
    <row r="6" spans="2:38" ht="15" customHeight="1" thickBot="1" x14ac:dyDescent="0.3">
      <c r="B6" s="938"/>
      <c r="C6" s="959"/>
      <c r="D6" s="943"/>
      <c r="E6" s="961"/>
      <c r="F6" s="108" t="s">
        <v>8</v>
      </c>
      <c r="G6" s="109" t="s">
        <v>10</v>
      </c>
      <c r="H6" s="956"/>
      <c r="I6" s="956"/>
      <c r="J6" s="956"/>
      <c r="K6" s="969"/>
      <c r="L6" s="152" t="s">
        <v>93</v>
      </c>
      <c r="M6" s="967"/>
      <c r="N6" s="967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9"/>
      <c r="U6" s="976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4">
        <f>ROW(Assy.Model!B9)</f>
        <v>9</v>
      </c>
      <c r="D7" s="933" t="str">
        <f>SUBSTITUTE(ADDRESS(1,COLUMN(Assy.Model!B9),4),"1","")</f>
        <v>B</v>
      </c>
      <c r="E7" s="947" t="str">
        <f>SUBSTITUTE(ADDRESS(1,COLUMN(Assy.Model!M9),4),"1","")</f>
        <v>M</v>
      </c>
      <c r="F7" s="950" t="str">
        <f>SUBSTITUTE(ADDRESS(1,COLUMN(Assy.Model!X9),4),"1","")</f>
        <v>X</v>
      </c>
      <c r="G7" s="939" t="str">
        <f>SUBSTITUTE(ADDRESS(1,COLUMN(Assy.Model!AT9),4),"1","")</f>
        <v>AT</v>
      </c>
      <c r="H7" s="953" t="str">
        <f>SUBSTITUTE(ADDRESS(1,COLUMN(Assy.Model!H9),4),"1","")</f>
        <v>H</v>
      </c>
      <c r="I7" s="953" t="str">
        <f>SUBSTITUTE(ADDRESS(1,COLUMN(Assy.Model!AN9),4),"1","")</f>
        <v>AN</v>
      </c>
      <c r="J7" s="953" t="str">
        <f>SUBSTITUTE(ADDRESS(1,COLUMN(Assy.Model!AO9),4),"1","")</f>
        <v>AO</v>
      </c>
      <c r="K7" s="962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30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8" t="s">
        <v>81</v>
      </c>
      <c r="C8" s="945"/>
      <c r="D8" s="934"/>
      <c r="E8" s="948"/>
      <c r="F8" s="951"/>
      <c r="G8" s="940"/>
      <c r="H8" s="954"/>
      <c r="I8" s="954"/>
      <c r="J8" s="954"/>
      <c r="K8" s="963"/>
      <c r="L8" s="153" t="s">
        <v>93</v>
      </c>
      <c r="M8" s="965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31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8"/>
      <c r="C9" s="945"/>
      <c r="D9" s="934"/>
      <c r="E9" s="948"/>
      <c r="F9" s="951"/>
      <c r="G9" s="940"/>
      <c r="H9" s="954"/>
      <c r="I9" s="954"/>
      <c r="J9" s="954"/>
      <c r="K9" s="963"/>
      <c r="L9" s="153" t="s">
        <v>92</v>
      </c>
      <c r="M9" s="965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31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8"/>
      <c r="C10" s="945"/>
      <c r="D10" s="934"/>
      <c r="E10" s="948"/>
      <c r="F10" s="951"/>
      <c r="G10" s="940"/>
      <c r="H10" s="954"/>
      <c r="I10" s="954"/>
      <c r="J10" s="954"/>
      <c r="K10" s="963"/>
      <c r="L10" s="153" t="s">
        <v>92</v>
      </c>
      <c r="M10" s="965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31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8"/>
      <c r="C11" s="945"/>
      <c r="D11" s="934"/>
      <c r="E11" s="948"/>
      <c r="F11" s="951"/>
      <c r="G11" s="940"/>
      <c r="H11" s="954"/>
      <c r="I11" s="954"/>
      <c r="J11" s="954"/>
      <c r="K11" s="963"/>
      <c r="L11" s="153" t="s">
        <v>92</v>
      </c>
      <c r="M11" s="965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31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8"/>
      <c r="C12" s="945"/>
      <c r="D12" s="934"/>
      <c r="E12" s="948"/>
      <c r="F12" s="951"/>
      <c r="G12" s="940"/>
      <c r="H12" s="954"/>
      <c r="I12" s="954"/>
      <c r="J12" s="954"/>
      <c r="K12" s="963"/>
      <c r="L12" s="153" t="s">
        <v>92</v>
      </c>
      <c r="M12" s="965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31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8"/>
      <c r="C13" s="945"/>
      <c r="D13" s="934"/>
      <c r="E13" s="948"/>
      <c r="F13" s="951"/>
      <c r="G13" s="940"/>
      <c r="H13" s="954"/>
      <c r="I13" s="954"/>
      <c r="J13" s="954"/>
      <c r="K13" s="963"/>
      <c r="L13" s="153" t="s">
        <v>92</v>
      </c>
      <c r="M13" s="965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31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9"/>
      <c r="C14" s="946"/>
      <c r="D14" s="935"/>
      <c r="E14" s="949"/>
      <c r="F14" s="952"/>
      <c r="G14" s="941"/>
      <c r="H14" s="955"/>
      <c r="I14" s="955"/>
      <c r="J14" s="955"/>
      <c r="K14" s="964"/>
      <c r="L14" s="154" t="s">
        <v>93</v>
      </c>
      <c r="M14" s="966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2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28515625" bestFit="1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4" t="str">
        <f>CONCATENATE(Settings!$C$19," ",Settings!$B$28)</f>
        <v>9.875  Job# --- Assy# --- Post Braze --- yy.mm.dd</v>
      </c>
      <c r="D1" s="994"/>
      <c r="E1" s="994"/>
      <c r="F1" s="994"/>
      <c r="G1" s="994"/>
      <c r="H1" s="994"/>
      <c r="I1" s="994"/>
      <c r="J1" s="994"/>
      <c r="K1" s="994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6" t="s">
        <v>315</v>
      </c>
      <c r="C2" s="1007"/>
      <c r="D2" s="1007"/>
      <c r="E2" s="1007"/>
      <c r="F2" s="1007"/>
      <c r="G2" s="1007"/>
      <c r="H2" s="1007"/>
      <c r="I2" s="1007"/>
      <c r="J2" s="1007"/>
      <c r="K2" s="1008"/>
      <c r="L2" s="993" t="str" cm="1">
        <f t="array" ref="L2">IF(OR($K$9:$K$150="Undefined"),"Undefined Element","")</f>
        <v/>
      </c>
      <c r="M2" s="1017" t="s">
        <v>0</v>
      </c>
      <c r="N2" s="1054" t="s">
        <v>1</v>
      </c>
      <c r="O2" s="1055"/>
      <c r="P2" s="1055"/>
      <c r="Q2" s="1055"/>
      <c r="R2" s="1055"/>
      <c r="S2" s="1055"/>
      <c r="T2" s="1055"/>
      <c r="U2" s="1055"/>
      <c r="V2" s="1055"/>
      <c r="W2" s="1055"/>
      <c r="X2" s="1055"/>
      <c r="Y2" s="1056"/>
      <c r="Z2" s="1054" t="s">
        <v>2</v>
      </c>
      <c r="AA2" s="1055"/>
      <c r="AB2" s="1055"/>
      <c r="AC2" s="1055"/>
      <c r="AD2" s="1055"/>
      <c r="AE2" s="1055"/>
      <c r="AF2" s="1055"/>
      <c r="AG2" s="1055"/>
      <c r="AH2" s="1055"/>
      <c r="AI2" s="1055"/>
      <c r="AJ2" s="1055"/>
      <c r="AK2" s="1055"/>
      <c r="AL2" s="1055"/>
      <c r="AM2" s="1055"/>
      <c r="AN2" s="1055"/>
      <c r="AO2" s="1055"/>
      <c r="AP2" s="1055"/>
      <c r="AQ2" s="1080"/>
      <c r="AS2" s="1062" t="s">
        <v>44</v>
      </c>
      <c r="AT2" s="1063"/>
      <c r="AV2" s="1052" t="s">
        <v>0</v>
      </c>
      <c r="AW2" s="1054" t="s">
        <v>109</v>
      </c>
      <c r="AX2" s="1055"/>
      <c r="AY2" s="1055"/>
      <c r="AZ2" s="1055"/>
      <c r="BA2" s="1055"/>
      <c r="BB2" s="1055"/>
      <c r="BC2" s="1055"/>
      <c r="BD2" s="1055"/>
      <c r="BE2" s="1080"/>
      <c r="BF2" s="1086" t="s">
        <v>115</v>
      </c>
      <c r="BG2" s="1055"/>
      <c r="BH2" s="1055"/>
      <c r="BI2" s="1055"/>
      <c r="BJ2" s="1055"/>
      <c r="BK2" s="1055"/>
      <c r="BL2" s="1055"/>
      <c r="BM2" s="1055"/>
      <c r="BN2" s="1055"/>
      <c r="BO2" s="1055"/>
      <c r="BP2" s="1055"/>
      <c r="BQ2" s="1055"/>
      <c r="BR2" s="1055"/>
      <c r="BS2" s="1055"/>
      <c r="BT2" s="1055"/>
      <c r="BU2" s="1055"/>
      <c r="BV2" s="1055"/>
      <c r="BW2" s="1055"/>
      <c r="BX2" s="1055"/>
      <c r="BY2" s="1055"/>
      <c r="BZ2" s="1055"/>
      <c r="CA2" s="1055"/>
      <c r="CB2" s="1055"/>
      <c r="CC2" s="1055"/>
      <c r="CD2" s="1055"/>
      <c r="CE2" s="1055"/>
      <c r="CF2" s="1055"/>
      <c r="CG2" s="1055"/>
      <c r="CH2" s="1055"/>
      <c r="CI2" s="1055"/>
      <c r="CJ2" s="1055"/>
      <c r="CK2" s="1055"/>
      <c r="CL2" s="1055"/>
      <c r="CM2" s="1055"/>
      <c r="CN2" s="1055"/>
      <c r="CO2" s="1055"/>
      <c r="CP2" s="1055"/>
      <c r="CQ2" s="1055"/>
      <c r="CR2" s="1055"/>
      <c r="CS2" s="1055"/>
      <c r="CT2" s="1055"/>
      <c r="CU2" s="1055"/>
      <c r="CV2" s="1055"/>
      <c r="CW2" s="1055"/>
      <c r="CX2" s="1055"/>
      <c r="CY2" s="1055"/>
      <c r="CZ2" s="1055"/>
      <c r="DA2" s="1055"/>
      <c r="DB2" s="1055"/>
      <c r="DC2" s="1055"/>
      <c r="DD2" s="1055"/>
      <c r="DE2" s="1055"/>
      <c r="DF2" s="1055"/>
      <c r="DG2" s="1055"/>
      <c r="DH2" s="1055"/>
      <c r="DI2" s="1055"/>
      <c r="DJ2" s="1055"/>
      <c r="DK2" s="1055"/>
      <c r="DL2" s="1055"/>
      <c r="DM2" s="1055"/>
      <c r="DN2" s="1055"/>
      <c r="DO2" s="1055"/>
      <c r="DP2" s="1055"/>
      <c r="DQ2" s="1055"/>
      <c r="DR2" s="1055"/>
      <c r="DS2" s="1055"/>
      <c r="DT2" s="1055"/>
      <c r="DU2" s="1055"/>
      <c r="DV2" s="1055"/>
      <c r="DW2" s="1055"/>
      <c r="DX2" s="1055"/>
      <c r="DY2" s="1055"/>
      <c r="DZ2" s="1055"/>
      <c r="EA2" s="1055"/>
      <c r="EB2" s="1055"/>
      <c r="EC2" s="1055"/>
      <c r="ED2" s="1055"/>
      <c r="EE2" s="1055"/>
      <c r="EF2" s="1055"/>
      <c r="EG2" s="1055"/>
      <c r="EH2" s="1055"/>
      <c r="EI2" s="1055"/>
      <c r="EJ2" s="1055"/>
      <c r="EK2" s="1055"/>
      <c r="EL2" s="1055"/>
      <c r="EM2" s="1055"/>
      <c r="EN2" s="1055"/>
      <c r="EO2" s="1055"/>
      <c r="EP2" s="1055"/>
      <c r="EQ2" s="1055"/>
      <c r="ER2" s="1056"/>
      <c r="ES2" s="1212" t="s">
        <v>197</v>
      </c>
      <c r="ET2" s="1213"/>
      <c r="EU2" s="1213"/>
      <c r="EV2" s="1213"/>
      <c r="EW2" s="1213"/>
      <c r="EX2" s="1213"/>
      <c r="EY2" s="1213"/>
      <c r="EZ2" s="1213"/>
      <c r="FA2" s="1213"/>
      <c r="FB2" s="1213"/>
      <c r="FC2" s="1213"/>
      <c r="FD2" s="1213"/>
      <c r="FE2" s="1213"/>
      <c r="FF2" s="1214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3" t="s">
        <v>266</v>
      </c>
      <c r="HQ2" s="1163" t="str">
        <f>IFERROR(CONCATENATE("Sum of Lateral Forces = ",ROUND(HE3,0)," lbs @ ",ROUND(HF3,1),"° Relative to Blade 1"),"")</f>
        <v/>
      </c>
      <c r="HR2" s="1164"/>
      <c r="HS2" s="1164"/>
      <c r="HT2" s="1164"/>
      <c r="HU2" s="1164"/>
      <c r="HV2" s="1165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9"/>
      <c r="C3" s="1010"/>
      <c r="D3" s="1010"/>
      <c r="E3" s="1010"/>
      <c r="F3" s="1010"/>
      <c r="G3" s="1010"/>
      <c r="H3" s="1010"/>
      <c r="I3" s="1010"/>
      <c r="J3" s="1010"/>
      <c r="K3" s="1011"/>
      <c r="L3" s="993"/>
      <c r="M3" s="1009"/>
      <c r="N3" s="1057"/>
      <c r="O3" s="1058"/>
      <c r="P3" s="1058"/>
      <c r="Q3" s="1058"/>
      <c r="R3" s="1058"/>
      <c r="S3" s="1058"/>
      <c r="T3" s="1058"/>
      <c r="U3" s="1058"/>
      <c r="V3" s="1058"/>
      <c r="W3" s="1058"/>
      <c r="X3" s="1058"/>
      <c r="Y3" s="1059"/>
      <c r="Z3" s="1057"/>
      <c r="AA3" s="1058"/>
      <c r="AB3" s="1058"/>
      <c r="AC3" s="1058"/>
      <c r="AD3" s="1058"/>
      <c r="AE3" s="1058"/>
      <c r="AF3" s="1058"/>
      <c r="AG3" s="1058"/>
      <c r="AH3" s="1058"/>
      <c r="AI3" s="1058"/>
      <c r="AJ3" s="1058"/>
      <c r="AK3" s="1058"/>
      <c r="AL3" s="1058"/>
      <c r="AM3" s="1058"/>
      <c r="AN3" s="1058"/>
      <c r="AO3" s="1058"/>
      <c r="AP3" s="1058"/>
      <c r="AQ3" s="1081"/>
      <c r="AS3" s="466">
        <v>100</v>
      </c>
      <c r="AT3" s="463" t="s">
        <v>45</v>
      </c>
      <c r="AV3" s="1053"/>
      <c r="AW3" s="1102"/>
      <c r="AX3" s="1088"/>
      <c r="AY3" s="1088"/>
      <c r="AZ3" s="1088"/>
      <c r="BA3" s="1088"/>
      <c r="BB3" s="1088"/>
      <c r="BC3" s="1088"/>
      <c r="BD3" s="1088"/>
      <c r="BE3" s="1103"/>
      <c r="BF3" s="1087"/>
      <c r="BG3" s="1088"/>
      <c r="BH3" s="1088"/>
      <c r="BI3" s="1088"/>
      <c r="BJ3" s="1088"/>
      <c r="BK3" s="1088"/>
      <c r="BL3" s="1088"/>
      <c r="BM3" s="1088"/>
      <c r="BN3" s="1088"/>
      <c r="BO3" s="1088"/>
      <c r="BP3" s="1088"/>
      <c r="BQ3" s="1088"/>
      <c r="BR3" s="1088"/>
      <c r="BS3" s="1088"/>
      <c r="BT3" s="1088"/>
      <c r="BU3" s="1088"/>
      <c r="BV3" s="1088"/>
      <c r="BW3" s="1088"/>
      <c r="BX3" s="1088"/>
      <c r="BY3" s="1088"/>
      <c r="BZ3" s="1088"/>
      <c r="CA3" s="1088"/>
      <c r="CB3" s="1088"/>
      <c r="CC3" s="1088"/>
      <c r="CD3" s="1088"/>
      <c r="CE3" s="1088"/>
      <c r="CF3" s="1088"/>
      <c r="CG3" s="1088"/>
      <c r="CH3" s="1088"/>
      <c r="CI3" s="1088"/>
      <c r="CJ3" s="1088"/>
      <c r="CK3" s="1088"/>
      <c r="CL3" s="1088"/>
      <c r="CM3" s="1088"/>
      <c r="CN3" s="1088"/>
      <c r="CO3" s="1088"/>
      <c r="CP3" s="1088"/>
      <c r="CQ3" s="1088"/>
      <c r="CR3" s="1088"/>
      <c r="CS3" s="1088"/>
      <c r="CT3" s="1088"/>
      <c r="CU3" s="1088"/>
      <c r="CV3" s="1088"/>
      <c r="CW3" s="1088"/>
      <c r="CX3" s="1088"/>
      <c r="CY3" s="1088"/>
      <c r="CZ3" s="1088"/>
      <c r="DA3" s="1088"/>
      <c r="DB3" s="1088"/>
      <c r="DC3" s="1088"/>
      <c r="DD3" s="1088"/>
      <c r="DE3" s="1088"/>
      <c r="DF3" s="1088"/>
      <c r="DG3" s="1088"/>
      <c r="DH3" s="1088"/>
      <c r="DI3" s="1088"/>
      <c r="DJ3" s="1088"/>
      <c r="DK3" s="1088"/>
      <c r="DL3" s="1088"/>
      <c r="DM3" s="1088"/>
      <c r="DN3" s="1088"/>
      <c r="DO3" s="1088"/>
      <c r="DP3" s="1088"/>
      <c r="DQ3" s="1088"/>
      <c r="DR3" s="1088"/>
      <c r="DS3" s="1088"/>
      <c r="DT3" s="1088"/>
      <c r="DU3" s="1088"/>
      <c r="DV3" s="1088"/>
      <c r="DW3" s="1088"/>
      <c r="DX3" s="1088"/>
      <c r="DY3" s="1088"/>
      <c r="DZ3" s="1088"/>
      <c r="EA3" s="1088"/>
      <c r="EB3" s="1088"/>
      <c r="EC3" s="1088"/>
      <c r="ED3" s="1088"/>
      <c r="EE3" s="1088"/>
      <c r="EF3" s="1088"/>
      <c r="EG3" s="1088"/>
      <c r="EH3" s="1088"/>
      <c r="EI3" s="1088"/>
      <c r="EJ3" s="1088"/>
      <c r="EK3" s="1088"/>
      <c r="EL3" s="1088"/>
      <c r="EM3" s="1088"/>
      <c r="EN3" s="1088"/>
      <c r="EO3" s="1088"/>
      <c r="EP3" s="1088"/>
      <c r="EQ3" s="1088"/>
      <c r="ER3" s="1089"/>
      <c r="ES3" s="1102"/>
      <c r="ET3" s="1088"/>
      <c r="EU3" s="1088"/>
      <c r="EV3" s="1088"/>
      <c r="EW3" s="1088"/>
      <c r="EX3" s="1088"/>
      <c r="EY3" s="1088"/>
      <c r="EZ3" s="1088"/>
      <c r="FA3" s="1088"/>
      <c r="FB3" s="1088"/>
      <c r="FC3" s="1088"/>
      <c r="FD3" s="1088"/>
      <c r="FE3" s="1088"/>
      <c r="FF3" s="1089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9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2"/>
      <c r="C4" s="1013"/>
      <c r="D4" s="1013"/>
      <c r="E4" s="1013"/>
      <c r="F4" s="1013"/>
      <c r="G4" s="1013"/>
      <c r="H4" s="1013"/>
      <c r="I4" s="1013"/>
      <c r="J4" s="1013"/>
      <c r="K4" s="1014"/>
      <c r="L4" s="993"/>
      <c r="M4" s="1009"/>
      <c r="N4" s="1021" t="s">
        <v>3</v>
      </c>
      <c r="O4" s="1016"/>
      <c r="P4" s="1016"/>
      <c r="Q4" s="1015" t="s">
        <v>4</v>
      </c>
      <c r="R4" s="1016"/>
      <c r="S4" s="1037"/>
      <c r="T4" s="1031" t="str">
        <f>N4</f>
        <v>Cartesian Coordinates</v>
      </c>
      <c r="U4" s="998"/>
      <c r="V4" s="1032"/>
      <c r="W4" s="998" t="str">
        <f>$Q$4</f>
        <v>Polar XY; Cartesian Z</v>
      </c>
      <c r="X4" s="998"/>
      <c r="Y4" s="999"/>
      <c r="Z4" s="1021" t="s">
        <v>3</v>
      </c>
      <c r="AA4" s="1016"/>
      <c r="AB4" s="1016"/>
      <c r="AC4" s="1016"/>
      <c r="AD4" s="1016"/>
      <c r="AE4" s="1016"/>
      <c r="AF4" s="1016"/>
      <c r="AG4" s="1049" t="s">
        <v>31</v>
      </c>
      <c r="AH4" s="1016"/>
      <c r="AI4" s="1016"/>
      <c r="AJ4" s="1037"/>
      <c r="AK4" s="1082" t="s">
        <v>32</v>
      </c>
      <c r="AL4" s="1083"/>
      <c r="AM4" s="1083"/>
      <c r="AN4" s="1083"/>
      <c r="AO4" s="1083"/>
      <c r="AP4" s="1083"/>
      <c r="AQ4" s="1084"/>
      <c r="AS4" s="467">
        <v>125</v>
      </c>
      <c r="AT4" s="464" t="s">
        <v>46</v>
      </c>
      <c r="AV4" s="1053"/>
      <c r="AW4" s="1113" t="s">
        <v>112</v>
      </c>
      <c r="AX4" s="1095"/>
      <c r="AY4" s="885"/>
      <c r="AZ4" s="1099"/>
      <c r="BA4" s="1100"/>
      <c r="BB4" s="1104" t="s">
        <v>113</v>
      </c>
      <c r="BC4" s="998" t="str">
        <f>$Q$4</f>
        <v>Polar XY; Cartesian Z</v>
      </c>
      <c r="BD4" s="998"/>
      <c r="BE4" s="1107"/>
      <c r="BF4" s="1122" t="s">
        <v>129</v>
      </c>
      <c r="BG4" s="1123"/>
      <c r="BH4" s="1123"/>
      <c r="BI4" s="1123"/>
      <c r="BJ4" s="1123"/>
      <c r="BK4" s="1123"/>
      <c r="BL4" s="1123"/>
      <c r="BM4" s="1123"/>
      <c r="BN4" s="1123"/>
      <c r="BO4" s="1123"/>
      <c r="BP4" s="1123"/>
      <c r="BQ4" s="1123"/>
      <c r="BR4" s="1123"/>
      <c r="BS4" s="1123"/>
      <c r="BT4" s="1123"/>
      <c r="BU4" s="1123"/>
      <c r="BV4" s="1123"/>
      <c r="BW4" s="1123"/>
      <c r="BX4" s="1123"/>
      <c r="BY4" s="1123"/>
      <c r="BZ4" s="1123"/>
      <c r="CA4" s="1123"/>
      <c r="CB4" s="1123"/>
      <c r="CC4" s="1123"/>
      <c r="CD4" s="1123"/>
      <c r="CE4" s="1123"/>
      <c r="CF4" s="1123"/>
      <c r="CG4" s="1123"/>
      <c r="CH4" s="1123"/>
      <c r="CI4" s="1123"/>
      <c r="CJ4" s="1123"/>
      <c r="CK4" s="1123"/>
      <c r="CL4" s="1123"/>
      <c r="CM4" s="1123"/>
      <c r="CN4" s="1124"/>
      <c r="CO4" s="1090" t="s">
        <v>193</v>
      </c>
      <c r="CP4" s="1091"/>
      <c r="CQ4" s="1091"/>
      <c r="CR4" s="1091"/>
      <c r="CS4" s="1091"/>
      <c r="CT4" s="1091"/>
      <c r="CU4" s="1091"/>
      <c r="CV4" s="1091"/>
      <c r="CW4" s="1091"/>
      <c r="CX4" s="1091"/>
      <c r="CY4" s="1091"/>
      <c r="CZ4" s="1091"/>
      <c r="DA4" s="1092"/>
      <c r="DB4" s="1209" t="s">
        <v>162</v>
      </c>
      <c r="DC4" s="1210"/>
      <c r="DD4" s="1210"/>
      <c r="DE4" s="1210"/>
      <c r="DF4" s="1210"/>
      <c r="DG4" s="1210"/>
      <c r="DH4" s="1210"/>
      <c r="DI4" s="1210"/>
      <c r="DJ4" s="1210"/>
      <c r="DK4" s="1210"/>
      <c r="DL4" s="1210"/>
      <c r="DM4" s="1210"/>
      <c r="DN4" s="1210"/>
      <c r="DO4" s="1210"/>
      <c r="DP4" s="1210"/>
      <c r="DQ4" s="1210"/>
      <c r="DR4" s="1210"/>
      <c r="DS4" s="1210"/>
      <c r="DT4" s="1210"/>
      <c r="DU4" s="1210"/>
      <c r="DV4" s="1210"/>
      <c r="DW4" s="1210"/>
      <c r="DX4" s="1210"/>
      <c r="DY4" s="1210"/>
      <c r="DZ4" s="1210"/>
      <c r="EA4" s="1210"/>
      <c r="EB4" s="1210"/>
      <c r="EC4" s="1210"/>
      <c r="ED4" s="1210"/>
      <c r="EE4" s="1210"/>
      <c r="EF4" s="1210"/>
      <c r="EG4" s="1210"/>
      <c r="EH4" s="1210"/>
      <c r="EI4" s="1210"/>
      <c r="EJ4" s="1210"/>
      <c r="EK4" s="1210"/>
      <c r="EL4" s="1210"/>
      <c r="EM4" s="1210"/>
      <c r="EN4" s="1210"/>
      <c r="EO4" s="1210"/>
      <c r="EP4" s="1210"/>
      <c r="EQ4" s="1210"/>
      <c r="ER4" s="1211"/>
      <c r="ES4" s="1225" t="s">
        <v>196</v>
      </c>
      <c r="ET4" s="1226"/>
      <c r="EU4" s="1226"/>
      <c r="EV4" s="1226"/>
      <c r="EW4" s="1226"/>
      <c r="EX4" s="1226"/>
      <c r="EY4" s="1227"/>
      <c r="EZ4" s="1146" t="s">
        <v>201</v>
      </c>
      <c r="FA4" s="1147"/>
      <c r="FB4" s="1147"/>
      <c r="FC4" s="1147"/>
      <c r="FD4" s="1147"/>
      <c r="FE4" s="1147"/>
      <c r="FF4" s="1148"/>
      <c r="FG4" s="343"/>
      <c r="FP4" s="1183" t="s">
        <v>229</v>
      </c>
      <c r="FZ4" s="1183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3" t="s">
        <v>236</v>
      </c>
      <c r="GK4" s="904"/>
      <c r="GL4" s="904"/>
      <c r="GM4" s="904"/>
      <c r="GN4" s="1175"/>
      <c r="GO4" s="1244" t="s">
        <v>229</v>
      </c>
      <c r="GP4" s="1248" t="s">
        <v>228</v>
      </c>
      <c r="GR4" s="1253" t="s">
        <v>261</v>
      </c>
      <c r="GS4" s="974" t="s">
        <v>259</v>
      </c>
      <c r="GT4" s="894"/>
      <c r="GU4" s="894"/>
      <c r="GV4" s="894"/>
      <c r="GW4" s="894"/>
      <c r="GX4" s="894"/>
      <c r="GY4" s="894"/>
      <c r="GZ4" s="894"/>
      <c r="HA4" s="1169" t="str">
        <f>IFERROR(CONCATENATE("Lateral Forces = ",ROUND(HE3,0)," lbs @ ",ROUND(HF3,1),"° Relative to Blade 1"),"")</f>
        <v/>
      </c>
      <c r="HB4" s="1170"/>
      <c r="HC4" s="1170"/>
      <c r="HD4" s="1170"/>
      <c r="HE4" s="1170"/>
      <c r="HF4" s="1170"/>
      <c r="HG4" s="1170"/>
      <c r="HH4" s="1171"/>
      <c r="HI4" s="1178" t="s">
        <v>0</v>
      </c>
      <c r="HO4" s="1200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900" t="s">
        <v>381</v>
      </c>
      <c r="IF4" s="900"/>
      <c r="IG4" s="767" cm="1">
        <f t="array" ref="IG4">MAX(MOD(IF($IG$9:$IG$150="",0,($IG$9:$IG$150*1000)),100))</f>
        <v>48</v>
      </c>
      <c r="IL4" s="31"/>
      <c r="IM4" s="767"/>
    </row>
    <row r="5" spans="1:283" ht="15" customHeight="1" x14ac:dyDescent="0.25">
      <c r="B5" s="1000" t="str">
        <f>CONCATENATE(B7," ; ",E7," ; ",H7)</f>
        <v>Absolute-Point ; Incremental-Vector Point ; Pocket Info.</v>
      </c>
      <c r="C5" s="1001"/>
      <c r="D5" s="1001"/>
      <c r="E5" s="1001"/>
      <c r="F5" s="1001"/>
      <c r="G5" s="1001"/>
      <c r="H5" s="1001"/>
      <c r="I5" s="1001"/>
      <c r="J5" s="1001"/>
      <c r="K5" s="1002"/>
      <c r="L5" s="872" t="str" cm="1">
        <f t="array" ref="L5">IF(OR(IF(LEFT($K$9:$K$150,4)="&lt;&gt;CS",TRUE,FALSE)),"Wrong CS","")</f>
        <v/>
      </c>
      <c r="M5" s="1009"/>
      <c r="N5" s="1042" t="s">
        <v>5</v>
      </c>
      <c r="O5" s="980"/>
      <c r="P5" s="980"/>
      <c r="Q5" s="979" t="s">
        <v>6</v>
      </c>
      <c r="R5" s="980"/>
      <c r="S5" s="981"/>
      <c r="T5" s="1047" t="str">
        <f>CONCATENATE("Relative to ",M8,"'s θ about Z Axis")</f>
        <v>Relative to 1.11's θ about Z Axis</v>
      </c>
      <c r="U5" s="1023"/>
      <c r="V5" s="1074"/>
      <c r="W5" s="1023" t="str">
        <f>CONCATENATE("Relative to ",M8,"'s θ about Z Axis")</f>
        <v>Relative to 1.11's θ about Z Axis</v>
      </c>
      <c r="X5" s="1023"/>
      <c r="Y5" s="1033"/>
      <c r="Z5" s="1022" t="str">
        <f>N5</f>
        <v>Relative to World_CS</v>
      </c>
      <c r="AA5" s="1023"/>
      <c r="AB5" s="1023"/>
      <c r="AC5" s="1023"/>
      <c r="AD5" s="1023"/>
      <c r="AE5" s="1023"/>
      <c r="AF5" s="1023"/>
      <c r="AG5" s="1047" t="str">
        <f>N5</f>
        <v>Relative to World_CS</v>
      </c>
      <c r="AH5" s="1023"/>
      <c r="AI5" s="1023"/>
      <c r="AJ5" s="1048"/>
      <c r="AK5" s="1085" t="s">
        <v>7</v>
      </c>
      <c r="AL5" s="980"/>
      <c r="AM5" s="980"/>
      <c r="AN5" s="980"/>
      <c r="AO5" s="980"/>
      <c r="AP5" s="980"/>
      <c r="AQ5" s="981"/>
      <c r="AS5" s="171">
        <f>(((AS4*12)/60)/AS3)</f>
        <v>0.25</v>
      </c>
      <c r="AT5" s="464" t="s">
        <v>47</v>
      </c>
      <c r="AV5" s="1053"/>
      <c r="AW5" s="1114"/>
      <c r="AX5" s="1115"/>
      <c r="AY5" s="1116"/>
      <c r="AZ5" s="1101"/>
      <c r="BA5" s="875"/>
      <c r="BB5" s="1105"/>
      <c r="BC5" s="1110" t="str">
        <f>$W$5</f>
        <v>Relative to 1.11's θ about Z Axis</v>
      </c>
      <c r="BD5" s="1023"/>
      <c r="BE5" s="1048"/>
      <c r="BF5" s="974" t="s">
        <v>128</v>
      </c>
      <c r="BG5" s="894"/>
      <c r="BH5" s="894"/>
      <c r="BI5" s="894"/>
      <c r="BJ5" s="894"/>
      <c r="BK5" s="894"/>
      <c r="BL5" s="894"/>
      <c r="BM5" s="894"/>
      <c r="BN5" s="894"/>
      <c r="BO5" s="894"/>
      <c r="BP5" s="894"/>
      <c r="BQ5" s="894"/>
      <c r="BR5" s="916"/>
      <c r="BS5" s="974" t="s">
        <v>130</v>
      </c>
      <c r="BT5" s="894"/>
      <c r="BU5" s="894"/>
      <c r="BV5" s="894"/>
      <c r="BW5" s="894"/>
      <c r="BX5" s="894"/>
      <c r="BY5" s="894"/>
      <c r="BZ5" s="894"/>
      <c r="CA5" s="894"/>
      <c r="CB5" s="894"/>
      <c r="CC5" s="894"/>
      <c r="CD5" s="894"/>
      <c r="CE5" s="916"/>
      <c r="CF5" s="974" t="s">
        <v>138</v>
      </c>
      <c r="CG5" s="894"/>
      <c r="CH5" s="916"/>
      <c r="CI5" s="974" t="s">
        <v>139</v>
      </c>
      <c r="CJ5" s="894"/>
      <c r="CK5" s="894"/>
      <c r="CL5" s="894"/>
      <c r="CM5" s="894"/>
      <c r="CN5" s="916"/>
      <c r="CO5" s="1093" t="s">
        <v>275</v>
      </c>
      <c r="CP5" s="1093" t="s">
        <v>149</v>
      </c>
      <c r="CQ5" s="1095"/>
      <c r="CR5" s="1095"/>
      <c r="CS5" s="975"/>
      <c r="CT5" s="1095" t="s">
        <v>150</v>
      </c>
      <c r="CU5" s="885"/>
      <c r="CV5" s="974" t="s">
        <v>161</v>
      </c>
      <c r="CW5" s="894"/>
      <c r="CX5" s="894"/>
      <c r="CY5" s="894"/>
      <c r="CZ5" s="894"/>
      <c r="DA5" s="916"/>
      <c r="DB5" s="974" t="s">
        <v>163</v>
      </c>
      <c r="DC5" s="894"/>
      <c r="DD5" s="894"/>
      <c r="DE5" s="894"/>
      <c r="DF5" s="894"/>
      <c r="DG5" s="894"/>
      <c r="DH5" s="916"/>
      <c r="DI5" s="1134" t="s">
        <v>173</v>
      </c>
      <c r="DJ5" s="1134"/>
      <c r="DK5" s="1135"/>
      <c r="DL5" s="1189" t="s">
        <v>174</v>
      </c>
      <c r="DM5" s="1134"/>
      <c r="DN5" s="1190"/>
      <c r="DO5" s="1138" t="s">
        <v>175</v>
      </c>
      <c r="DP5" s="1139"/>
      <c r="DQ5" s="1139"/>
      <c r="DR5" s="1075" t="s">
        <v>187</v>
      </c>
      <c r="DS5" s="1075"/>
      <c r="DT5" s="1075"/>
      <c r="DU5" s="1075"/>
      <c r="DV5" s="1075"/>
      <c r="DW5" s="1075"/>
      <c r="DX5" s="1093" t="s">
        <v>190</v>
      </c>
      <c r="DY5" s="936" t="s">
        <v>149</v>
      </c>
      <c r="DZ5" s="1075"/>
      <c r="EA5" s="1075"/>
      <c r="EB5" s="1075"/>
      <c r="EC5" s="1075" t="s">
        <v>150</v>
      </c>
      <c r="ED5" s="1075"/>
      <c r="EE5" s="1253" t="s">
        <v>194</v>
      </c>
      <c r="EF5" s="1253"/>
      <c r="EG5" s="1201"/>
      <c r="EH5" s="1193" t="s">
        <v>195</v>
      </c>
      <c r="EI5" s="1194"/>
      <c r="EJ5" s="1195"/>
      <c r="EK5" s="1075" t="s">
        <v>188</v>
      </c>
      <c r="EL5" s="1093"/>
      <c r="EM5" s="974" t="s">
        <v>189</v>
      </c>
      <c r="EN5" s="894"/>
      <c r="EO5" s="894"/>
      <c r="EP5" s="894"/>
      <c r="EQ5" s="894"/>
      <c r="ER5" s="1126"/>
      <c r="ES5" s="1113" t="s">
        <v>202</v>
      </c>
      <c r="ET5" s="1095"/>
      <c r="EU5" s="975"/>
      <c r="EV5" s="1228" t="s">
        <v>222</v>
      </c>
      <c r="EW5" s="1229"/>
      <c r="EX5" s="1229"/>
      <c r="EY5" s="1230"/>
      <c r="EZ5" s="1219" t="s">
        <v>200</v>
      </c>
      <c r="FA5" s="970" t="s">
        <v>202</v>
      </c>
      <c r="FB5" s="1155"/>
      <c r="FC5" s="971"/>
      <c r="FD5" s="1159" t="s">
        <v>222</v>
      </c>
      <c r="FE5" s="1160"/>
      <c r="FF5" s="1161"/>
      <c r="FP5" s="1200"/>
      <c r="FQ5" s="31"/>
      <c r="FR5" s="31"/>
      <c r="FS5" s="31"/>
      <c r="FT5" s="31"/>
      <c r="FZ5" s="1200"/>
      <c r="GJ5" s="1241" t="s">
        <v>269</v>
      </c>
      <c r="GK5" s="1203" t="s">
        <v>267</v>
      </c>
      <c r="GL5" s="1205" t="s">
        <v>110</v>
      </c>
      <c r="GM5" s="1205" t="s">
        <v>111</v>
      </c>
      <c r="GN5" s="1206"/>
      <c r="GO5" s="1245"/>
      <c r="GP5" s="1249"/>
      <c r="GQ5" s="31"/>
      <c r="GR5" s="993"/>
      <c r="GS5" s="1101" t="s">
        <v>248</v>
      </c>
      <c r="GT5" s="1259"/>
      <c r="GU5" s="1255" t="s">
        <v>249</v>
      </c>
      <c r="GV5" s="1256"/>
      <c r="GW5" s="1257"/>
      <c r="GX5" s="1258"/>
      <c r="GY5" s="1243" t="s">
        <v>107</v>
      </c>
      <c r="GZ5" s="877"/>
      <c r="HA5" s="1166" t="s">
        <v>248</v>
      </c>
      <c r="HB5" s="1167"/>
      <c r="HC5" s="1167"/>
      <c r="HD5" s="1168"/>
      <c r="HE5" s="1185" t="s">
        <v>249</v>
      </c>
      <c r="HF5" s="1167"/>
      <c r="HG5" s="1167"/>
      <c r="HH5" s="1186"/>
      <c r="HI5" s="1179"/>
      <c r="HN5" s="386" t="s">
        <v>263</v>
      </c>
      <c r="HO5" s="58" t="s">
        <v>264</v>
      </c>
      <c r="HS5" s="1172" t="s">
        <v>274</v>
      </c>
      <c r="HZ5" s="383"/>
    </row>
    <row r="6" spans="1:283" ht="15" customHeight="1" thickBot="1" x14ac:dyDescent="0.4">
      <c r="B6" s="1003"/>
      <c r="C6" s="1004"/>
      <c r="D6" s="1004"/>
      <c r="E6" s="1004"/>
      <c r="F6" s="1004"/>
      <c r="G6" s="1004"/>
      <c r="H6" s="1004"/>
      <c r="I6" s="1004"/>
      <c r="J6" s="1004"/>
      <c r="K6" s="1005"/>
      <c r="L6" s="993" t="str" cm="1">
        <f t="array" ref="L6">IF(OR($K$9:$K$150="Inactive"),"Inactive Element","")</f>
        <v/>
      </c>
      <c r="M6" s="1009"/>
      <c r="N6" s="1038" t="s">
        <v>8</v>
      </c>
      <c r="O6" s="1040" t="s">
        <v>9</v>
      </c>
      <c r="P6" s="977" t="s">
        <v>10</v>
      </c>
      <c r="Q6" s="1043" t="s">
        <v>11</v>
      </c>
      <c r="R6" s="1044"/>
      <c r="S6" s="1034" t="s">
        <v>10</v>
      </c>
      <c r="T6" s="1070" t="str">
        <f>N6</f>
        <v>X</v>
      </c>
      <c r="U6" s="1072" t="str">
        <f>O6</f>
        <v>Y</v>
      </c>
      <c r="V6" s="1029" t="str">
        <f>P6</f>
        <v>Z</v>
      </c>
      <c r="W6" s="1019" t="str">
        <f>$Q$6</f>
        <v>Projected XY</v>
      </c>
      <c r="X6" s="1020"/>
      <c r="Y6" s="1068" t="str">
        <f>$S$6</f>
        <v>Z</v>
      </c>
      <c r="Z6" s="1050" t="s">
        <v>12</v>
      </c>
      <c r="AA6" s="1010"/>
      <c r="AB6" s="1010"/>
      <c r="AC6" s="1051"/>
      <c r="AD6" s="1015" t="s">
        <v>13</v>
      </c>
      <c r="AE6" s="1016"/>
      <c r="AF6" s="1016"/>
      <c r="AG6" s="1049" t="s">
        <v>7</v>
      </c>
      <c r="AH6" s="1016"/>
      <c r="AI6" s="1015" t="s">
        <v>14</v>
      </c>
      <c r="AJ6" s="1037"/>
      <c r="AK6" s="1077" t="str">
        <f>AD6</f>
        <v>Unit Vector</v>
      </c>
      <c r="AL6" s="1078"/>
      <c r="AM6" s="1079"/>
      <c r="AN6" s="34" t="s">
        <v>15</v>
      </c>
      <c r="AO6" s="35" t="s">
        <v>16</v>
      </c>
      <c r="AP6" s="737" t="s">
        <v>17</v>
      </c>
      <c r="AQ6" s="1060" t="s">
        <v>108</v>
      </c>
      <c r="AS6" s="172">
        <f>(AS5/360)</f>
        <v>6.9444444444444447E-4</v>
      </c>
      <c r="AT6" s="465" t="s">
        <v>48</v>
      </c>
      <c r="AV6" s="1053"/>
      <c r="AW6" s="1045" t="s">
        <v>105</v>
      </c>
      <c r="AX6" s="1046"/>
      <c r="AY6" s="195" t="s">
        <v>110</v>
      </c>
      <c r="AZ6" s="1111" t="s">
        <v>111</v>
      </c>
      <c r="BA6" s="1112"/>
      <c r="BB6" s="1106"/>
      <c r="BC6" s="1019" t="str">
        <f>$Q$6</f>
        <v>Projected XY</v>
      </c>
      <c r="BD6" s="1020"/>
      <c r="BE6" s="1108" t="str">
        <f>$S$6</f>
        <v>Z</v>
      </c>
      <c r="BF6" s="920" t="s">
        <v>125</v>
      </c>
      <c r="BG6" s="918"/>
      <c r="BH6" s="1125"/>
      <c r="BI6" s="898" t="s">
        <v>126</v>
      </c>
      <c r="BJ6" s="918"/>
      <c r="BK6" s="899"/>
      <c r="BL6" s="921" t="s">
        <v>127</v>
      </c>
      <c r="BM6" s="918"/>
      <c r="BN6" s="922"/>
      <c r="BO6" s="920" t="s">
        <v>135</v>
      </c>
      <c r="BP6" s="918"/>
      <c r="BQ6" s="918"/>
      <c r="BR6" s="922"/>
      <c r="BS6" s="920" t="s">
        <v>125</v>
      </c>
      <c r="BT6" s="918"/>
      <c r="BU6" s="1125"/>
      <c r="BV6" s="898" t="s">
        <v>126</v>
      </c>
      <c r="BW6" s="918"/>
      <c r="BX6" s="899"/>
      <c r="BY6" s="921" t="s">
        <v>127</v>
      </c>
      <c r="BZ6" s="918"/>
      <c r="CA6" s="922"/>
      <c r="CB6" s="920" t="s">
        <v>135</v>
      </c>
      <c r="CC6" s="918"/>
      <c r="CD6" s="918"/>
      <c r="CE6" s="922"/>
      <c r="CF6" s="926" t="s">
        <v>136</v>
      </c>
      <c r="CG6" s="1098"/>
      <c r="CH6" s="1098"/>
      <c r="CI6" s="1129" t="s">
        <v>137</v>
      </c>
      <c r="CJ6" s="1098"/>
      <c r="CK6" s="927"/>
      <c r="CL6" s="1127" t="s">
        <v>140</v>
      </c>
      <c r="CM6" s="1098"/>
      <c r="CN6" s="1128"/>
      <c r="CO6" s="1094"/>
      <c r="CP6" s="1094"/>
      <c r="CQ6" s="990"/>
      <c r="CR6" s="990"/>
      <c r="CS6" s="1096"/>
      <c r="CT6" s="990"/>
      <c r="CU6" s="1097"/>
      <c r="CV6" s="1036" t="s">
        <v>147</v>
      </c>
      <c r="CW6" s="918"/>
      <c r="CX6" s="899"/>
      <c r="CY6" s="1117" t="s">
        <v>148</v>
      </c>
      <c r="CZ6" s="1118"/>
      <c r="DA6" s="1119"/>
      <c r="DB6" s="1130" t="s">
        <v>176</v>
      </c>
      <c r="DC6" s="1131"/>
      <c r="DD6" s="1132"/>
      <c r="DE6" s="1133" t="s">
        <v>177</v>
      </c>
      <c r="DF6" s="1131"/>
      <c r="DG6" s="1132"/>
      <c r="DH6" s="253" t="s">
        <v>29</v>
      </c>
      <c r="DI6" s="1136"/>
      <c r="DJ6" s="1136"/>
      <c r="DK6" s="1137"/>
      <c r="DL6" s="1191"/>
      <c r="DM6" s="1136"/>
      <c r="DN6" s="1192"/>
      <c r="DO6" s="1140"/>
      <c r="DP6" s="1141"/>
      <c r="DQ6" s="1141"/>
      <c r="DR6" s="1076"/>
      <c r="DS6" s="1076"/>
      <c r="DT6" s="1076"/>
      <c r="DU6" s="1076"/>
      <c r="DV6" s="1076"/>
      <c r="DW6" s="1076"/>
      <c r="DX6" s="1094"/>
      <c r="DY6" s="1142"/>
      <c r="DZ6" s="1076"/>
      <c r="EA6" s="1076"/>
      <c r="EB6" s="1076"/>
      <c r="EC6" s="1076"/>
      <c r="ED6" s="1076"/>
      <c r="EE6" s="1260"/>
      <c r="EF6" s="1260"/>
      <c r="EG6" s="1261"/>
      <c r="EH6" s="1196"/>
      <c r="EI6" s="1197"/>
      <c r="EJ6" s="1198"/>
      <c r="EK6" s="1076"/>
      <c r="EL6" s="1094"/>
      <c r="EM6" s="1150" t="s">
        <v>199</v>
      </c>
      <c r="EN6" s="1144"/>
      <c r="EO6" s="1188"/>
      <c r="EP6" s="1143" t="s">
        <v>198</v>
      </c>
      <c r="EQ6" s="1144"/>
      <c r="ER6" s="1145"/>
      <c r="ES6" s="989"/>
      <c r="ET6" s="990"/>
      <c r="EU6" s="1096"/>
      <c r="EV6" s="274" t="s">
        <v>221</v>
      </c>
      <c r="EW6" s="1143" t="s">
        <v>202</v>
      </c>
      <c r="EX6" s="1144"/>
      <c r="EY6" s="1149"/>
      <c r="EZ6" s="1220"/>
      <c r="FA6" s="1156"/>
      <c r="FB6" s="1157"/>
      <c r="FC6" s="1158"/>
      <c r="FD6" s="1150" t="s">
        <v>202</v>
      </c>
      <c r="FE6" s="1144"/>
      <c r="FF6" s="1145"/>
      <c r="FG6" s="1152" t="s">
        <v>224</v>
      </c>
      <c r="FH6" s="1153"/>
      <c r="FI6" s="1154"/>
      <c r="FJ6" s="1075" t="s">
        <v>203</v>
      </c>
      <c r="FK6" s="1093" t="s">
        <v>214</v>
      </c>
      <c r="FL6" s="1095"/>
      <c r="FM6" s="975"/>
      <c r="FN6" s="1120" t="s">
        <v>204</v>
      </c>
      <c r="FO6" s="1222" t="s">
        <v>227</v>
      </c>
      <c r="FP6" s="1215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3" t="s">
        <v>218</v>
      </c>
      <c r="FV6" s="1095"/>
      <c r="FW6" s="975"/>
      <c r="FX6" s="1120" t="s">
        <v>219</v>
      </c>
      <c r="FY6" s="1222" t="s">
        <v>227</v>
      </c>
      <c r="FZ6" s="1215" t="s">
        <v>225</v>
      </c>
      <c r="GA6" s="1217" t="s">
        <v>239</v>
      </c>
      <c r="GB6" s="336" t="s">
        <v>207</v>
      </c>
      <c r="GC6" s="337" t="s">
        <v>240</v>
      </c>
      <c r="GD6" s="338" t="s">
        <v>226</v>
      </c>
      <c r="GE6" s="1239"/>
      <c r="GF6" s="1201" t="s">
        <v>260</v>
      </c>
      <c r="GG6" s="336" t="s">
        <v>207</v>
      </c>
      <c r="GH6" s="337" t="s">
        <v>240</v>
      </c>
      <c r="GI6" s="338" t="s">
        <v>226</v>
      </c>
      <c r="GJ6" s="1242"/>
      <c r="GK6" s="1204"/>
      <c r="GL6" s="1207"/>
      <c r="GM6" s="1207"/>
      <c r="GN6" s="1208"/>
      <c r="GO6" s="1246" t="s">
        <v>238</v>
      </c>
      <c r="GP6" s="1250" t="s">
        <v>225</v>
      </c>
      <c r="GQ6" s="1095" t="s">
        <v>203</v>
      </c>
      <c r="GR6" s="993"/>
      <c r="GS6" s="1176" t="s">
        <v>252</v>
      </c>
      <c r="GT6" s="1177"/>
      <c r="GU6" s="1162" t="s">
        <v>251</v>
      </c>
      <c r="GV6" s="1118"/>
      <c r="GW6" s="1118"/>
      <c r="GX6" s="361" t="s">
        <v>106</v>
      </c>
      <c r="GY6" s="898" t="s">
        <v>250</v>
      </c>
      <c r="GZ6" s="1125"/>
      <c r="HA6" s="1224" t="s">
        <v>252</v>
      </c>
      <c r="HB6" s="1131"/>
      <c r="HC6" s="1131"/>
      <c r="HD6" s="1132"/>
      <c r="HE6" s="898" t="s">
        <v>251</v>
      </c>
      <c r="HF6" s="918"/>
      <c r="HG6" s="918"/>
      <c r="HH6" s="922"/>
      <c r="HI6" s="1179"/>
      <c r="HN6" s="957" t="s">
        <v>238</v>
      </c>
      <c r="HO6" s="960" t="s">
        <v>265</v>
      </c>
      <c r="HP6" s="936" t="s">
        <v>203</v>
      </c>
      <c r="HQ6" s="391"/>
      <c r="HS6" s="1173"/>
      <c r="HT6" s="891" t="s">
        <v>270</v>
      </c>
      <c r="HU6" s="904"/>
      <c r="HV6" s="1175"/>
      <c r="HW6" s="974" t="s">
        <v>258</v>
      </c>
      <c r="HX6" s="894"/>
      <c r="HY6" s="916"/>
      <c r="HZ6" s="974" t="s">
        <v>249</v>
      </c>
      <c r="IA6" s="891"/>
      <c r="IE6" s="853"/>
      <c r="IF6" s="853"/>
    </row>
    <row r="7" spans="1:283" ht="15" customHeight="1" thickBot="1" x14ac:dyDescent="0.4">
      <c r="A7" s="143"/>
      <c r="B7" s="1024" t="s">
        <v>40</v>
      </c>
      <c r="C7" s="1025"/>
      <c r="D7" s="1026"/>
      <c r="E7" s="1027" t="s">
        <v>41</v>
      </c>
      <c r="F7" s="1025"/>
      <c r="G7" s="1028"/>
      <c r="H7" s="995" t="s">
        <v>98</v>
      </c>
      <c r="I7" s="996"/>
      <c r="J7" s="997"/>
      <c r="K7" s="173"/>
      <c r="L7" s="993"/>
      <c r="M7" s="1018"/>
      <c r="N7" s="1039"/>
      <c r="O7" s="1041"/>
      <c r="P7" s="978"/>
      <c r="Q7" s="36" t="s">
        <v>18</v>
      </c>
      <c r="R7" s="2" t="s">
        <v>19</v>
      </c>
      <c r="S7" s="1035"/>
      <c r="T7" s="1071"/>
      <c r="U7" s="1073"/>
      <c r="V7" s="1030"/>
      <c r="W7" s="37" t="str">
        <f>$Q$7</f>
        <v>&lt; θ°</v>
      </c>
      <c r="X7" s="27" t="str">
        <f>$R$7</f>
        <v>r</v>
      </c>
      <c r="Y7" s="1069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61"/>
      <c r="AS7" s="1066" t="s">
        <v>54</v>
      </c>
      <c r="AT7" s="1064" t="s">
        <v>53</v>
      </c>
      <c r="AV7" s="1053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6"/>
      <c r="BC7" s="37" t="str">
        <f>$Q$7</f>
        <v>&lt; θ°</v>
      </c>
      <c r="BD7" s="27" t="str">
        <f>$R$7</f>
        <v>r</v>
      </c>
      <c r="BE7" s="1109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21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51"/>
      <c r="FK7" s="350" t="s">
        <v>211</v>
      </c>
      <c r="FL7" s="351" t="s">
        <v>212</v>
      </c>
      <c r="FM7" s="352" t="s">
        <v>213</v>
      </c>
      <c r="FN7" s="1121"/>
      <c r="FO7" s="1223"/>
      <c r="FP7" s="1216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21"/>
      <c r="FY7" s="1223"/>
      <c r="FZ7" s="1216"/>
      <c r="GA7" s="1218"/>
      <c r="GB7" s="223" t="s">
        <v>232</v>
      </c>
      <c r="GC7" s="131" t="s">
        <v>233</v>
      </c>
      <c r="GD7" s="224" t="s">
        <v>234</v>
      </c>
      <c r="GE7" s="1240"/>
      <c r="GF7" s="1202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7"/>
      <c r="GP7" s="1251"/>
      <c r="GQ7" s="1252"/>
      <c r="GR7" s="1254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80"/>
      <c r="HJ7" s="31"/>
      <c r="HK7" s="1183" t="s">
        <v>246</v>
      </c>
      <c r="HL7" s="1183" t="s">
        <v>237</v>
      </c>
      <c r="HM7" s="884" t="s">
        <v>245</v>
      </c>
      <c r="HN7" s="958"/>
      <c r="HO7" s="1187"/>
      <c r="HP7" s="1181"/>
      <c r="HQ7" s="392"/>
      <c r="HR7" s="412"/>
      <c r="HS7" s="1173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4" t="s">
        <v>33</v>
      </c>
      <c r="IH7" s="1231" t="s">
        <v>385</v>
      </c>
      <c r="II7" s="920" t="s">
        <v>333</v>
      </c>
      <c r="IJ7" s="921"/>
      <c r="IK7" s="921"/>
      <c r="IL7" s="918"/>
      <c r="IM7" s="918"/>
      <c r="IN7" s="918"/>
      <c r="IO7" s="899"/>
      <c r="IP7" s="898" t="s">
        <v>329</v>
      </c>
      <c r="IQ7" s="918"/>
      <c r="IR7" s="918"/>
      <c r="IS7" s="918"/>
      <c r="IT7" s="918"/>
      <c r="IU7" s="898" t="s">
        <v>328</v>
      </c>
      <c r="IV7" s="918"/>
      <c r="IW7" s="918"/>
      <c r="IX7" s="918"/>
      <c r="IY7" s="899"/>
      <c r="JA7" s="784"/>
      <c r="JB7" s="982" t="s">
        <v>364</v>
      </c>
      <c r="JC7" s="982"/>
      <c r="JD7" s="982"/>
      <c r="JE7" s="983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3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89.946000007796641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-0.13390040384361784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7"/>
      <c r="AT8" s="1065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4"/>
      <c r="HL8" s="1184"/>
      <c r="HM8" s="969"/>
      <c r="HN8" s="959"/>
      <c r="HO8" s="961"/>
      <c r="HP8" s="1182"/>
      <c r="HQ8" s="393" t="s">
        <v>49</v>
      </c>
      <c r="HR8" s="413" t="s">
        <v>51</v>
      </c>
      <c r="HS8" s="1174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3"/>
      <c r="IH8" s="1232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0.29430088761147705</v>
      </c>
      <c r="D9" s="704">
        <v>-0.65610197880356813</v>
      </c>
      <c r="E9" s="705">
        <v>-0.90630781366099944</v>
      </c>
      <c r="F9" s="703">
        <v>-0.109381624738768</v>
      </c>
      <c r="G9" s="706">
        <v>0.40821784266066352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$36,MATCH((((ROUND($H9,6)*2)*1000000)+ROUND($I9,6)),Settings!$AI$14:$AI$36,0)),"Undefined")="Undefined","Undefined",IFERROR(INDEX(_xlfn.ANCHORARRAY(Settings!$BC$14),MATCH(IFERROR(INDEX(Settings!$AK$14:$AK$36,MATCH((((ROUND($H9,6)*2)*1000000)+ROUND($I9,6)),Settings!$AI$14:$AI$36,0)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0.29430088761147705</v>
      </c>
      <c r="P9" s="625">
        <f t="shared" ref="P9:P40" si="4">IF(M9="","",D9)</f>
        <v>-0.65610197880356813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0.29430088761147705</v>
      </c>
      <c r="S9" s="626">
        <f>IF(M9="","",P9)</f>
        <v>-0.65610197880356813</v>
      </c>
      <c r="T9" s="627">
        <f>IF(M9="","",X9*COS(RADIANS(W9)))</f>
        <v>0.29430075690302437</v>
      </c>
      <c r="U9" s="624">
        <f>IF(M9="","",X9*SIN(RADIANS(W9)))</f>
        <v>2.7737197082868491E-4</v>
      </c>
      <c r="V9" s="628">
        <f>IF(M9="","",Y9)</f>
        <v>-0.65610197880356813</v>
      </c>
      <c r="W9" s="583">
        <f t="shared" ref="W9:W14" si="5">IF(M9="","",IF(Q9-$Q$8&lt;0,360+Q9-$Q$8,Q9-$Q$8))</f>
        <v>5.3999992203358715E-2</v>
      </c>
      <c r="X9" s="629">
        <f>IF(M9="","",R9)</f>
        <v>0.29430088761147705</v>
      </c>
      <c r="Y9" s="630">
        <f>IF(M9="","",S9)</f>
        <v>-0.65610197880356813</v>
      </c>
      <c r="Z9" s="623">
        <f t="shared" ref="Z9:Z40" si="6">IF(M9="","",-E9)</f>
        <v>0.90630781366099944</v>
      </c>
      <c r="AA9" s="624">
        <f t="shared" ref="AA9:AA40" si="7">IF(M9="","",-F9)</f>
        <v>0.109381624738768</v>
      </c>
      <c r="AB9" s="624">
        <f t="shared" ref="AB9:AB40" si="8">IF(M9="","",-G9)</f>
        <v>-0.40821784266066352</v>
      </c>
      <c r="AC9" s="628">
        <f>IF(M9="","",SQRT(Z9^2+AA9^2+AB9^2))</f>
        <v>0.99999999999999978</v>
      </c>
      <c r="AD9" s="631">
        <f>IF(M9="","",Z9*(1/SQRT(Z9^2+AA9^2+AB9^2)))</f>
        <v>0.90630781366099966</v>
      </c>
      <c r="AE9" s="624">
        <f>IF(M9="","",AA9*(1/SQRT(Z9^2+AA9^2+AB9^2)))</f>
        <v>0.10938162473876803</v>
      </c>
      <c r="AF9" s="625">
        <f>IF(M9="","",AB9*(1/SQRT(Z9^2+AA9^2+AB9^2)))</f>
        <v>-0.40821784266066363</v>
      </c>
      <c r="AG9" s="599">
        <f>IF(M9="","",DEGREES(ATAN2(-AF9,AE9)))</f>
        <v>14.999997834268262</v>
      </c>
      <c r="AH9" s="600">
        <f>IF(M9="","",DEGREES(ACOS(AD9)))</f>
        <v>24.999996390447087</v>
      </c>
      <c r="AI9" s="583">
        <f>IF(M9="","",DEGREES(-ACOS(-AF9)))</f>
        <v>-65.907068471181361</v>
      </c>
      <c r="AJ9" s="601">
        <f>IF(M9="","",DEGREES(ATAN2(-AE9,AD9)))</f>
        <v>96.881701648961752</v>
      </c>
      <c r="AK9" s="627">
        <f>IF(M9="","",(COS(RADIANS((90-$Q$8)-W9))*AD9)+(-SIN(RADIANS((90-$Q$8)-W9))*AE9))</f>
        <v>0.90630781366099966</v>
      </c>
      <c r="AL9" s="624">
        <f>IF(M9="","",(SIN(RADIANS((90-$Q$8)-W9))*AD9)+(COS(RADIANS((90-$Q$8)-W9))*AE9))</f>
        <v>0.10938162473876803</v>
      </c>
      <c r="AM9" s="626">
        <f>IF(M9="","",AF9)</f>
        <v>-0.40821784266066363</v>
      </c>
      <c r="AN9" s="581">
        <f>IF(M9="","",DEGREES(ATAN2(-AM9,AL9)))</f>
        <v>14.999997834268262</v>
      </c>
      <c r="AO9" s="582">
        <f>IF(ROUND(IF(M9="",0,DEGREES(ACOS(AK9))),4)=90,0,IF(M9="","",DEGREES(ACOS(AK9))))</f>
        <v>24.999996390447087</v>
      </c>
      <c r="AP9" s="781">
        <f>IF(M9="","",DEGREES(ATAN2(AK9,AL9)))</f>
        <v>6.8817016489617506</v>
      </c>
      <c r="AQ9" s="584">
        <f t="shared" ref="AQ9:AQ40" si="9">IF(M9="","",DEGREES(ATAN(($AS$5*SIN(RADIANS(90)))/(($X9*2*PI())-($AS$5*COS(RADIANS(90)))))))</f>
        <v>7.6995592326896514</v>
      </c>
      <c r="AS9" s="51">
        <f>IF(M9="","",W9)</f>
        <v>5.3999992203358715E-2</v>
      </c>
      <c r="AT9" s="71">
        <f t="shared" ref="AT9:AT40" si="10">IF(M9="","",Y9+(((AS9-$AS$9)*$AS$6)*-1))</f>
        <v>-0.65610197880356813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1313</v>
      </c>
      <c r="JB9" s="786" cm="1">
        <f t="array" ref="JB9">IF($JA9="","",COUNT(IF(IF($II$9:$II$150="",$IJ$9:$IJ$150,"")=$JA9,$IG$9:$IG$150,"")))</f>
        <v>48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-1.4939793715351438E-17</v>
      </c>
      <c r="C10" s="708">
        <v>0.94420284771578866</v>
      </c>
      <c r="D10" s="709">
        <v>-0.48200145371638442</v>
      </c>
      <c r="E10" s="710">
        <v>-0.93969263802333458</v>
      </c>
      <c r="F10" s="708">
        <v>-8.852130215629557E-2</v>
      </c>
      <c r="G10" s="711">
        <v>0.33036604714967344</v>
      </c>
      <c r="H10" s="710">
        <v>0.26600000000000001</v>
      </c>
      <c r="I10" s="708">
        <v>0.52</v>
      </c>
      <c r="J10" s="570">
        <v>1.1040000000000001</v>
      </c>
      <c r="K10" s="865">
        <f>IF($J10="","",IF(IFERROR(INDEX(Settings!$AK$14:$AK$36,MATCH((((ROUND($H10,6)*2)*1000000)+ROUND($I10,6)),Settings!$AI$14:$AI$36,0)),"Undefined")="Undefined","Undefined",IFERROR(INDEX(_xlfn.ANCHORARRAY(Settings!$BC$14),MATCH(IFERROR(INDEX(Settings!$AK$14:$AK$36,MATCH((((ROUND($H10,6)*2)*1000000)+ROUND($I10,6)),Settings!$AI$14:$AI$36,0)),"Undefined"),_xlfn.ANCHORARRAY(Settings!$BC$14),0)),"Inactive")))</f>
        <v>1313</v>
      </c>
      <c r="M10" s="168">
        <f t="shared" si="1"/>
        <v>1.1040000000000001</v>
      </c>
      <c r="N10" s="632">
        <f t="shared" si="2"/>
        <v>-1.4939793715351438E-17</v>
      </c>
      <c r="O10" s="629">
        <f t="shared" si="3"/>
        <v>0.94420284771578866</v>
      </c>
      <c r="P10" s="633">
        <f t="shared" si="4"/>
        <v>-0.48200145371638442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0.94420284771578866</v>
      </c>
      <c r="S10" s="634">
        <f t="shared" ref="S10:S105" si="80">IF(M10="","",P10)</f>
        <v>-0.48200145371638442</v>
      </c>
      <c r="T10" s="635">
        <f t="shared" ref="T10:T105" si="81">IF(M10="","",X10*COS(RADIANS(W10)))</f>
        <v>0.94420242836505464</v>
      </c>
      <c r="U10" s="629">
        <f t="shared" ref="U10:U105" si="82">IF(M10="","",X10*SIN(RADIANS(W10)))</f>
        <v>8.898899587374933E-4</v>
      </c>
      <c r="V10" s="636">
        <f>IF(M10="","",Y10)</f>
        <v>-0.48200145371638442</v>
      </c>
      <c r="W10" s="585">
        <f t="shared" si="5"/>
        <v>5.3999992203358715E-2</v>
      </c>
      <c r="X10" s="629">
        <f t="shared" ref="X10:X105" si="83">IF(M10="","",R10)</f>
        <v>0.94420284771578866</v>
      </c>
      <c r="Y10" s="630">
        <f>IF(M10="","",S10)</f>
        <v>-0.48200145371638442</v>
      </c>
      <c r="Z10" s="632">
        <f t="shared" si="6"/>
        <v>0.93969263802333458</v>
      </c>
      <c r="AA10" s="629">
        <f t="shared" si="7"/>
        <v>8.852130215629557E-2</v>
      </c>
      <c r="AB10" s="629">
        <f t="shared" si="8"/>
        <v>-0.33036604714967344</v>
      </c>
      <c r="AC10" s="636">
        <f t="shared" ref="AC10:AC105" si="84">IF(M10="","",SQRT(Z10^2+AA10^2+AB10^2))</f>
        <v>1</v>
      </c>
      <c r="AD10" s="637">
        <f>IF(M10="","",Z10*(1/SQRT(Z10^2+AA10^2+AB10^2)))</f>
        <v>0.93969263802333458</v>
      </c>
      <c r="AE10" s="629">
        <f t="shared" ref="AE10:AE105" si="85">IF(M10="","",AA10*(1/SQRT(Z10^2+AA10^2+AB10^2)))</f>
        <v>8.852130215629557E-2</v>
      </c>
      <c r="AF10" s="633">
        <f t="shared" ref="AF10:AF105" si="86">IF(M10="","",AB10*(1/SQRT(Z10^2+AA10^2+AB10^2)))</f>
        <v>-0.33036604714967344</v>
      </c>
      <c r="AG10" s="602">
        <f t="shared" ref="AG10:AG105" si="87">IF(M10="","",DEGREES(ATAN2(-AF10,AE10)))</f>
        <v>14.999997834268262</v>
      </c>
      <c r="AH10" s="603">
        <f t="shared" ref="AH10:AH105" si="88">IF(M10="","",DEGREES(ACOS(AD10)))</f>
        <v>19.999997112357679</v>
      </c>
      <c r="AI10" s="585">
        <f t="shared" ref="AI10:AI105" si="89">IF(M10="","",DEGREES(-ACOS(-AF10)))</f>
        <v>-70.709005437865216</v>
      </c>
      <c r="AJ10" s="586">
        <f t="shared" ref="AJ10:AJ105" si="90">IF(M10="","",DEGREES(ATAN2(-AE10,AD10)))</f>
        <v>95.38151876223948</v>
      </c>
      <c r="AK10" s="635">
        <f>IF(M10="","",(COS(RADIANS((90-$Q$8)-W10))*AD10)+(-SIN(RADIANS((90-$Q$8)-W10))*AE10))</f>
        <v>0.93969263802333458</v>
      </c>
      <c r="AL10" s="629">
        <f t="shared" ref="AL10:AL105" si="91">IF(M10="","",(SIN(RADIANS((90-$Q$8)-W10))*AD10)+(COS(RADIANS((90-$Q$8)-W10))*AE10))</f>
        <v>8.852130215629557E-2</v>
      </c>
      <c r="AM10" s="634">
        <f t="shared" ref="AM10:AM105" si="92">IF(M10="","",AF10)</f>
        <v>-0.33036604714967344</v>
      </c>
      <c r="AN10" s="581">
        <f t="shared" ref="AN10:AN105" si="93">IF(M10="","",DEGREES(ATAN2(-AM10,AL10)))</f>
        <v>14.999997834268262</v>
      </c>
      <c r="AO10" s="582">
        <f t="shared" ref="AO10:AO54" si="94">IF(ROUND(IF(M10="",0,DEGREES(ACOS(AK10))),4)=90,0,IF(M10="","",DEGREES(ACOS(AK10))))</f>
        <v>19.999997112357679</v>
      </c>
      <c r="AP10" s="585">
        <f t="shared" ref="AP10:AP105" si="95">IF(M10="","",DEGREES(ATAN2(AK10,AL10)))</f>
        <v>5.3815187622394784</v>
      </c>
      <c r="AQ10" s="586">
        <f t="shared" si="9"/>
        <v>2.4130181780920359</v>
      </c>
      <c r="AS10" s="52">
        <f>IF($M10="","",IF(AND($W10&lt;($AS$9+180),$W10&gt;($AS$9-180)),$W10,IF($W10&gt;($AS$9+180),$W10-360,IF($W10&lt;($AS$9-180),$W10+360,"Error"))))</f>
        <v>5.3999992203358715E-2</v>
      </c>
      <c r="AT10" s="72">
        <f t="shared" si="10"/>
        <v>-0.48200145371638442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>
        <f t="shared" ref="IJ10:IJ73" si="112">IF(ISNUMBER($II10),INDEX($K$9:$K$150,MATCH($II10,$M$9:$M$150,0)),$K10)</f>
        <v>1313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8.5370249802008226E-18</v>
      </c>
      <c r="C11" s="708">
        <v>1.5937048066136967</v>
      </c>
      <c r="D11" s="709">
        <v>-0.30800092893080144</v>
      </c>
      <c r="E11" s="710">
        <v>-0.93969263802333458</v>
      </c>
      <c r="F11" s="708">
        <v>-8.8521302156295556E-2</v>
      </c>
      <c r="G11" s="711">
        <v>0.33036604714967344</v>
      </c>
      <c r="H11" s="710">
        <v>0.26600000000000001</v>
      </c>
      <c r="I11" s="708">
        <v>0.52</v>
      </c>
      <c r="J11" s="570">
        <v>1.107</v>
      </c>
      <c r="K11" s="865">
        <f>IF($J11="","",IF(IFERROR(INDEX(Settings!$AK$14:$AK$36,MATCH((((ROUND($H11,6)*2)*1000000)+ROUND($I11,6)),Settings!$AI$14:$AI$36,0)),"Undefined")="Undefined","Undefined",IFERROR(INDEX(_xlfn.ANCHORARRAY(Settings!$BC$14),MATCH(IFERROR(INDEX(Settings!$AK$14:$AK$36,MATCH((((ROUND($H11,6)*2)*1000000)+ROUND($I11,6)),Settings!$AI$14:$AI$36,0)),"Undefined"),_xlfn.ANCHORARRAY(Settings!$BC$14),0)),"Inactive")))</f>
        <v>1313</v>
      </c>
      <c r="L11" s="779" t="s">
        <v>332</v>
      </c>
      <c r="M11" s="168">
        <f t="shared" si="1"/>
        <v>1.107</v>
      </c>
      <c r="N11" s="632">
        <f t="shared" si="2"/>
        <v>8.5370249802008226E-18</v>
      </c>
      <c r="O11" s="629">
        <f t="shared" si="3"/>
        <v>1.5937048066136967</v>
      </c>
      <c r="P11" s="633">
        <f t="shared" si="4"/>
        <v>-0.30800092893080144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1.5937048066136967</v>
      </c>
      <c r="S11" s="634">
        <f t="shared" si="80"/>
        <v>-0.30800092893080144</v>
      </c>
      <c r="T11" s="635">
        <f t="shared" si="81"/>
        <v>1.5937040987983346</v>
      </c>
      <c r="U11" s="629">
        <f t="shared" si="82"/>
        <v>1.5020309545011048E-3</v>
      </c>
      <c r="V11" s="636">
        <f t="shared" ref="V11:V105" si="114">IF(M11="","",Y11)</f>
        <v>-0.30800092893080144</v>
      </c>
      <c r="W11" s="585">
        <f t="shared" si="5"/>
        <v>5.3999992203358715E-2</v>
      </c>
      <c r="X11" s="629">
        <f>IF(M11="","",R11)</f>
        <v>1.5937048066136967</v>
      </c>
      <c r="Y11" s="630">
        <f>IF(M11="","",S11)</f>
        <v>-0.30800092893080144</v>
      </c>
      <c r="Z11" s="632">
        <f t="shared" si="6"/>
        <v>0.93969263802333458</v>
      </c>
      <c r="AA11" s="629">
        <f t="shared" si="7"/>
        <v>8.8521302156295556E-2</v>
      </c>
      <c r="AB11" s="629">
        <f t="shared" si="8"/>
        <v>-0.33036604714967344</v>
      </c>
      <c r="AC11" s="636">
        <f t="shared" si="84"/>
        <v>1</v>
      </c>
      <c r="AD11" s="637">
        <f t="shared" ref="AD11:AD105" si="115">IF(M11="","",Z11*(1/SQRT(Z11^2+AA11^2+AB11^2)))</f>
        <v>0.93969263802333458</v>
      </c>
      <c r="AE11" s="629">
        <f t="shared" si="85"/>
        <v>8.8521302156295556E-2</v>
      </c>
      <c r="AF11" s="633">
        <f t="shared" si="86"/>
        <v>-0.33036604714967344</v>
      </c>
      <c r="AG11" s="602">
        <f>IF(M11="","",DEGREES(ATAN2(-AF11,AE11)))</f>
        <v>14.999997834268262</v>
      </c>
      <c r="AH11" s="603">
        <f t="shared" si="88"/>
        <v>19.999997112357679</v>
      </c>
      <c r="AI11" s="585">
        <f t="shared" si="89"/>
        <v>-70.709005437865216</v>
      </c>
      <c r="AJ11" s="586">
        <f t="shared" si="90"/>
        <v>95.38151876223948</v>
      </c>
      <c r="AK11" s="635">
        <f>IF(M11="","",(COS(RADIANS((90-$Q$8)-W11))*AD11)+(-SIN(RADIANS((90-$Q$8)-W11))*AE11))</f>
        <v>0.93969263802333458</v>
      </c>
      <c r="AL11" s="629">
        <f t="shared" si="91"/>
        <v>8.8521302156295556E-2</v>
      </c>
      <c r="AM11" s="634">
        <f t="shared" si="92"/>
        <v>-0.33036604714967344</v>
      </c>
      <c r="AN11" s="581">
        <f>IF(M11="","",DEGREES(ATAN2(-AM11,AL11)))</f>
        <v>14.999997834268262</v>
      </c>
      <c r="AO11" s="582">
        <f>IF(ROUND(IF(M11="",0,DEGREES(ACOS(AK11))),4)=90,0,IF(M11="","",DEGREES(ACOS(AK11))))</f>
        <v>19.999997112357679</v>
      </c>
      <c r="AP11" s="585">
        <f t="shared" si="95"/>
        <v>5.3815187622394776</v>
      </c>
      <c r="AQ11" s="586">
        <f t="shared" si="9"/>
        <v>1.4301601779046857</v>
      </c>
      <c r="AS11" s="52">
        <f t="shared" ref="AS11:AS42" si="116">IF(G11="","",IF(AND(W11&lt;(AS10+180),W11&gt;(AS10-180)),W11,IF(W11&gt;(AS10+180),W11-360,IF(W11&lt;(AS10-180),W11+360,"Error"))))</f>
        <v>5.3999992203358715E-2</v>
      </c>
      <c r="AT11" s="72">
        <f t="shared" si="10"/>
        <v>-0.30800092893080144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>
        <f t="shared" si="112"/>
        <v>1313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2.114077702228186E-3</v>
      </c>
      <c r="C12" s="708">
        <v>2.2431057689744267</v>
      </c>
      <c r="D12" s="709">
        <v>-0.13390040384361784</v>
      </c>
      <c r="E12" s="710">
        <v>-0.939617474522219</v>
      </c>
      <c r="F12" s="708">
        <v>-7.0811827451624704E-2</v>
      </c>
      <c r="G12" s="711">
        <v>0.33482037970447454</v>
      </c>
      <c r="H12" s="710">
        <v>0.26600000000000001</v>
      </c>
      <c r="I12" s="708">
        <v>0.52</v>
      </c>
      <c r="J12" s="570">
        <v>1.1100000000000001</v>
      </c>
      <c r="K12" s="865">
        <f>IF($J12="","",IF(IFERROR(INDEX(Settings!$AK$14:$AK$36,MATCH((((ROUND($H12,6)*2)*1000000)+ROUND($I12,6)),Settings!$AI$14:$AI$36,0)),"Undefined")="Undefined","Undefined",IFERROR(INDEX(_xlfn.ANCHORARRAY(Settings!$BC$14),MATCH(IFERROR(INDEX(Settings!$AK$14:$AK$36,MATCH((((ROUND($H12,6)*2)*1000000)+ROUND($I12,6)),Settings!$AI$14:$AI$36,0)),"Undefined"),_xlfn.ANCHORARRAY(Settings!$BC$14),0)),"Inactive")))</f>
        <v>1313</v>
      </c>
      <c r="L12" s="773" t="s">
        <v>366</v>
      </c>
      <c r="M12" s="168">
        <f t="shared" si="1"/>
        <v>1.1100000000000001</v>
      </c>
      <c r="N12" s="632">
        <f t="shared" si="2"/>
        <v>2.114077702228186E-3</v>
      </c>
      <c r="O12" s="629">
        <f t="shared" si="3"/>
        <v>2.2431057689744267</v>
      </c>
      <c r="P12" s="633">
        <f t="shared" si="4"/>
        <v>-0.13390040384361784</v>
      </c>
      <c r="Q12" s="585">
        <f>IF(M12="","",IF(DEGREES(ATAN2(N12,O12))&lt;0,DEGREES(ATAN2(N12,O12))+360,IF(DEGREES(ATAN2(N12,O12))&gt;360,DEGREES(ATAN2(N12,O12))-360,DEGREES(ATAN2(N12,O12)))))</f>
        <v>89.946000007796641</v>
      </c>
      <c r="R12" s="629">
        <f t="shared" si="79"/>
        <v>2.2431067652100034</v>
      </c>
      <c r="S12" s="634">
        <f t="shared" si="80"/>
        <v>-0.13390040384361784</v>
      </c>
      <c r="T12" s="635">
        <f>IF(M12="","",X12*COS(RADIANS(W12)))</f>
        <v>2.2431067652100034</v>
      </c>
      <c r="U12" s="629">
        <f t="shared" si="82"/>
        <v>0</v>
      </c>
      <c r="V12" s="636">
        <f t="shared" si="114"/>
        <v>-0.13390040384361784</v>
      </c>
      <c r="W12" s="585">
        <f>IF(M12="","",IF(Q12-$Q$8&lt;0,360+Q12-$Q$8,Q12-$Q$8))</f>
        <v>0</v>
      </c>
      <c r="X12" s="629">
        <f t="shared" si="83"/>
        <v>2.2431067652100034</v>
      </c>
      <c r="Y12" s="630">
        <f>IF(M12="","",S12)</f>
        <v>-0.13390040384361784</v>
      </c>
      <c r="Z12" s="632">
        <f t="shared" si="6"/>
        <v>0.939617474522219</v>
      </c>
      <c r="AA12" s="629">
        <f t="shared" si="7"/>
        <v>7.0811827451624704E-2</v>
      </c>
      <c r="AB12" s="629">
        <f t="shared" si="8"/>
        <v>-0.33482037970447454</v>
      </c>
      <c r="AC12" s="636">
        <f t="shared" si="84"/>
        <v>1</v>
      </c>
      <c r="AD12" s="637">
        <f t="shared" si="115"/>
        <v>0.939617474522219</v>
      </c>
      <c r="AE12" s="629">
        <f t="shared" si="85"/>
        <v>7.0811827451624704E-2</v>
      </c>
      <c r="AF12" s="633">
        <f t="shared" si="86"/>
        <v>-0.33482037970447454</v>
      </c>
      <c r="AG12" s="602">
        <f t="shared" si="87"/>
        <v>11.941628431809937</v>
      </c>
      <c r="AH12" s="603">
        <f t="shared" si="88"/>
        <v>20.012584829044151</v>
      </c>
      <c r="AI12" s="585">
        <f t="shared" si="89"/>
        <v>-70.438384299431476</v>
      </c>
      <c r="AJ12" s="586">
        <f t="shared" si="90"/>
        <v>94.309800585289025</v>
      </c>
      <c r="AK12" s="635">
        <f t="shared" ref="AK12:AK105" si="211">IF(M12="","",(COS(RADIANS((90-$Q$8)-W12))*AD12)+(-SIN(RADIANS((90-$Q$8)-W12))*AE12))</f>
        <v>0.93955031865243943</v>
      </c>
      <c r="AL12" s="629">
        <f>IF(M12="","",(SIN(RADIANS((90-$Q$8)-W12))*AD12)+(COS(RADIANS((90-$Q$8)-W12))*AE12))</f>
        <v>7.1697364349403117E-2</v>
      </c>
      <c r="AM12" s="634">
        <f t="shared" si="92"/>
        <v>-0.33482037970447454</v>
      </c>
      <c r="AN12" s="581">
        <f>IF(M12="","",DEGREES(ATAN2(-AM12,AL12)))</f>
        <v>12.086599195873122</v>
      </c>
      <c r="AO12" s="582">
        <f t="shared" si="94"/>
        <v>20.023825079452138</v>
      </c>
      <c r="AP12" s="585">
        <f t="shared" si="95"/>
        <v>4.3638005774923947</v>
      </c>
      <c r="AQ12" s="586">
        <f t="shared" si="9"/>
        <v>1.0162189384615721</v>
      </c>
      <c r="AS12" s="52">
        <f t="shared" si="116"/>
        <v>0</v>
      </c>
      <c r="AT12" s="72">
        <f>IF(M12="","",Y12+(((AS12-$AS$9)*$AS$6)*-1))</f>
        <v>-0.13386290384903218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>
        <f t="shared" si="112"/>
        <v>1313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3.26353949387959E-2</v>
      </c>
      <c r="C13" s="708">
        <v>2.9543286606244652</v>
      </c>
      <c r="D13" s="709">
        <v>-5.9800180357344052E-2</v>
      </c>
      <c r="E13" s="710">
        <v>-0.91732812530830421</v>
      </c>
      <c r="F13" s="708">
        <v>9.7956866138756912E-2</v>
      </c>
      <c r="G13" s="711">
        <v>0.38589320141021666</v>
      </c>
      <c r="H13" s="710">
        <v>0.26600000000000001</v>
      </c>
      <c r="I13" s="708">
        <v>0.52</v>
      </c>
      <c r="J13" s="570">
        <v>1.1160000000000001</v>
      </c>
      <c r="K13" s="865">
        <f>IF($J13="","",IF(IFERROR(INDEX(Settings!$AK$14:$AK$36,MATCH((((ROUND($H13,6)*2)*1000000)+ROUND($I13,6)),Settings!$AI$14:$AI$36,0)),"Undefined")="Undefined","Undefined",IFERROR(INDEX(_xlfn.ANCHORARRAY(Settings!$BC$14),MATCH(IFERROR(INDEX(Settings!$AK$14:$AK$36,MATCH((((ROUND($H13,6)*2)*1000000)+ROUND($I13,6)),Settings!$AI$14:$AI$36,0)),"Undefined"),_xlfn.ANCHORARRAY(Settings!$BC$14),0)),"Inactive")))</f>
        <v>1313</v>
      </c>
      <c r="L13" s="774">
        <f>IF($L12=$JH$22,$JH$29,IF($L12=$JI$22,$JI$29,""))</f>
        <v>0</v>
      </c>
      <c r="M13" s="168">
        <f t="shared" si="1"/>
        <v>1.1160000000000001</v>
      </c>
      <c r="N13" s="632">
        <f t="shared" si="2"/>
        <v>3.26353949387959E-2</v>
      </c>
      <c r="O13" s="629">
        <f t="shared" si="3"/>
        <v>2.9543286606244652</v>
      </c>
      <c r="P13" s="633">
        <f t="shared" si="4"/>
        <v>-5.9800180357344052E-2</v>
      </c>
      <c r="Q13" s="585">
        <f t="shared" si="113"/>
        <v>89.367100091379442</v>
      </c>
      <c r="R13" s="629">
        <f t="shared" si="79"/>
        <v>2.9545089107988756</v>
      </c>
      <c r="S13" s="634">
        <f t="shared" si="80"/>
        <v>-5.9800180357344052E-2</v>
      </c>
      <c r="T13" s="635">
        <f>IF(M13="","",X13*COS(RADIANS(W13)))</f>
        <v>2.9543581066385611</v>
      </c>
      <c r="U13" s="629">
        <f t="shared" si="82"/>
        <v>-2.9850992093648224E-2</v>
      </c>
      <c r="V13" s="636">
        <f t="shared" si="114"/>
        <v>-5.9800180357344052E-2</v>
      </c>
      <c r="W13" s="585">
        <f t="shared" si="5"/>
        <v>359.42110008358281</v>
      </c>
      <c r="X13" s="629">
        <f t="shared" si="83"/>
        <v>2.9545089107988756</v>
      </c>
      <c r="Y13" s="630">
        <f>IF(M13="","",S13)</f>
        <v>-5.9800180357344052E-2</v>
      </c>
      <c r="Z13" s="632">
        <f t="shared" si="6"/>
        <v>0.91732812530830421</v>
      </c>
      <c r="AA13" s="629">
        <f t="shared" si="7"/>
        <v>-9.7956866138756912E-2</v>
      </c>
      <c r="AB13" s="629">
        <f t="shared" si="8"/>
        <v>-0.38589320141021666</v>
      </c>
      <c r="AC13" s="636">
        <f t="shared" si="84"/>
        <v>1</v>
      </c>
      <c r="AD13" s="637">
        <f>IF(M13="","",Z13*(1/SQRT(Z13^2+AA13^2+AB13^2)))</f>
        <v>0.91732812530830421</v>
      </c>
      <c r="AE13" s="629">
        <f t="shared" si="85"/>
        <v>-9.7956866138756912E-2</v>
      </c>
      <c r="AF13" s="633">
        <f t="shared" si="86"/>
        <v>-0.38589320141021666</v>
      </c>
      <c r="AG13" s="602">
        <f>IF(M13="","",DEGREES(ATAN2(-AF13,AE13)))</f>
        <v>-14.243371464091643</v>
      </c>
      <c r="AH13" s="603">
        <f t="shared" si="88"/>
        <v>23.461454259357165</v>
      </c>
      <c r="AI13" s="585">
        <f t="shared" si="89"/>
        <v>-67.300797504243661</v>
      </c>
      <c r="AJ13" s="586">
        <f t="shared" si="90"/>
        <v>83.904769296883387</v>
      </c>
      <c r="AK13" s="635">
        <f t="shared" si="211"/>
        <v>0.91835418837000149</v>
      </c>
      <c r="AL13" s="629">
        <f t="shared" si="91"/>
        <v>-8.7818117769909984E-2</v>
      </c>
      <c r="AM13" s="634">
        <f t="shared" si="92"/>
        <v>-0.38589320141021666</v>
      </c>
      <c r="AN13" s="581">
        <f t="shared" si="93"/>
        <v>-12.820517669378509</v>
      </c>
      <c r="AO13" s="582">
        <f t="shared" si="94"/>
        <v>23.313350776738211</v>
      </c>
      <c r="AP13" s="585">
        <f t="shared" si="95"/>
        <v>-5.4623307944961113</v>
      </c>
      <c r="AQ13" s="586">
        <f t="shared" si="9"/>
        <v>0.77156268473274481</v>
      </c>
      <c r="AS13" s="52">
        <f t="shared" si="116"/>
        <v>-0.57889991641718552</v>
      </c>
      <c r="AT13" s="72">
        <f t="shared" si="10"/>
        <v>-5.9360666531913117E-2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1.1160000000000001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>
        <f t="shared" si="112"/>
        <v>1313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9.5306514970160849E-2</v>
      </c>
      <c r="C14" s="708">
        <v>3.628959658136663</v>
      </c>
      <c r="D14" s="709">
        <v>-0.24890075068466422</v>
      </c>
      <c r="E14" s="710">
        <v>-0.90082694949283526</v>
      </c>
      <c r="F14" s="708">
        <v>0.25886829897127944</v>
      </c>
      <c r="G14" s="711">
        <v>0.34856564784147803</v>
      </c>
      <c r="H14" s="710">
        <v>0.26600000000000001</v>
      </c>
      <c r="I14" s="708">
        <v>0.52</v>
      </c>
      <c r="J14" s="570">
        <v>1.1220000000000001</v>
      </c>
      <c r="K14" s="865">
        <f>IF($J14="","",IF(IFERROR(INDEX(Settings!$AK$14:$AK$36,MATCH((((ROUND($H14,6)*2)*1000000)+ROUND($I14,6)),Settings!$AI$14:$AI$36,0)),"Undefined")="Undefined","Undefined",IFERROR(INDEX(_xlfn.ANCHORARRAY(Settings!$BC$14),MATCH(IFERROR(INDEX(Settings!$AK$14:$AK$36,MATCH((((ROUND($H14,6)*2)*1000000)+ROUND($I14,6)),Settings!$AI$14:$AI$36,0)),"Undefined"),_xlfn.ANCHORARRAY(Settings!$BC$14),0)),"Inactive")))</f>
        <v>1313</v>
      </c>
      <c r="L14" s="776" t="s">
        <v>367</v>
      </c>
      <c r="M14" s="168">
        <f t="shared" si="1"/>
        <v>1.1220000000000001</v>
      </c>
      <c r="N14" s="632">
        <f t="shared" si="2"/>
        <v>9.5306514970160849E-2</v>
      </c>
      <c r="O14" s="629">
        <f t="shared" si="3"/>
        <v>3.628959658136663</v>
      </c>
      <c r="P14" s="633">
        <f t="shared" si="4"/>
        <v>-0.24890075068466422</v>
      </c>
      <c r="Q14" s="585">
        <f t="shared" si="113"/>
        <v>88.495600217208462</v>
      </c>
      <c r="R14" s="629">
        <f t="shared" si="79"/>
        <v>3.6302109487162206</v>
      </c>
      <c r="S14" s="634">
        <f t="shared" si="80"/>
        <v>-0.24890075068466422</v>
      </c>
      <c r="T14" s="635">
        <f t="shared" si="81"/>
        <v>3.6290478706473319</v>
      </c>
      <c r="U14" s="629">
        <f t="shared" si="82"/>
        <v>-9.188625974099511E-2</v>
      </c>
      <c r="V14" s="636">
        <f t="shared" si="114"/>
        <v>-0.24890075068466422</v>
      </c>
      <c r="W14" s="585">
        <f t="shared" si="5"/>
        <v>358.54960020941178</v>
      </c>
      <c r="X14" s="629">
        <f t="shared" si="83"/>
        <v>3.6302109487162206</v>
      </c>
      <c r="Y14" s="630">
        <f t="shared" ref="Y14:Y75" si="223">IF(M14="","",S14)</f>
        <v>-0.24890075068466422</v>
      </c>
      <c r="Z14" s="632">
        <f t="shared" si="6"/>
        <v>0.90082694949283526</v>
      </c>
      <c r="AA14" s="629">
        <f t="shared" si="7"/>
        <v>-0.25886829897127944</v>
      </c>
      <c r="AB14" s="629">
        <f t="shared" si="8"/>
        <v>-0.34856564784147803</v>
      </c>
      <c r="AC14" s="636">
        <f t="shared" si="84"/>
        <v>1</v>
      </c>
      <c r="AD14" s="637">
        <f>IF(M14="","",Z14*(1/SQRT(Z14^2+AA14^2+AB14^2)))</f>
        <v>0.90082694949283526</v>
      </c>
      <c r="AE14" s="629">
        <f t="shared" si="85"/>
        <v>-0.25886829897127944</v>
      </c>
      <c r="AF14" s="633">
        <f t="shared" si="86"/>
        <v>-0.34856564784147803</v>
      </c>
      <c r="AG14" s="602">
        <f t="shared" si="87"/>
        <v>-36.600063921312291</v>
      </c>
      <c r="AH14" s="603">
        <f t="shared" si="88"/>
        <v>25.733020148803444</v>
      </c>
      <c r="AI14" s="585">
        <f t="shared" si="89"/>
        <v>-69.600391197903079</v>
      </c>
      <c r="AJ14" s="586">
        <f t="shared" si="90"/>
        <v>73.967074292371308</v>
      </c>
      <c r="AK14" s="635">
        <f>IF(M14="","",(COS(RADIANS((90-$Q$8)-W14))*AD14)+(-SIN(RADIANS((90-$Q$8)-W14))*AE14))</f>
        <v>0.90731269907271028</v>
      </c>
      <c r="AL14" s="629">
        <f t="shared" si="91"/>
        <v>-0.23512901829898467</v>
      </c>
      <c r="AM14" s="634">
        <f t="shared" si="92"/>
        <v>-0.34856564784147803</v>
      </c>
      <c r="AN14" s="581">
        <f t="shared" si="93"/>
        <v>-34.002092282421238</v>
      </c>
      <c r="AO14" s="582">
        <f t="shared" si="94"/>
        <v>24.863411422144001</v>
      </c>
      <c r="AP14" s="585">
        <f>IF(M14="","",DEGREES(ATAN2(AK14,AL14)))</f>
        <v>-14.528525924837153</v>
      </c>
      <c r="AQ14" s="586">
        <f t="shared" si="9"/>
        <v>0.62796222638719323</v>
      </c>
      <c r="AS14" s="52">
        <f t="shared" si="116"/>
        <v>-1.4503997905882215</v>
      </c>
      <c r="AT14" s="72">
        <f t="shared" si="10"/>
        <v>-0.24785602861328118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1.1220000000000001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>
        <f t="shared" si="112"/>
        <v>1313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0.17166354494049027</v>
      </c>
      <c r="C15" s="708">
        <v>4.1831918733747759</v>
      </c>
      <c r="D15" s="709">
        <v>-0.66320200021723286</v>
      </c>
      <c r="E15" s="710">
        <v>-0.87974035232324443</v>
      </c>
      <c r="F15" s="708">
        <v>0.3943624510976827</v>
      </c>
      <c r="G15" s="711">
        <v>0.26558458098768029</v>
      </c>
      <c r="H15" s="710">
        <v>0.26600000000000001</v>
      </c>
      <c r="I15" s="708">
        <v>0.52</v>
      </c>
      <c r="J15" s="570">
        <v>1.1279999999999999</v>
      </c>
      <c r="K15" s="865">
        <f>IF($J15="","",IF(IFERROR(INDEX(Settings!$AK$14:$AK$36,MATCH((((ROUND($H15,6)*2)*1000000)+ROUND($I15,6)),Settings!$AI$14:$AI$36,0)),"Undefined")="Undefined","Undefined",IFERROR(INDEX(_xlfn.ANCHORARRAY(Settings!$BC$14),MATCH(IFERROR(INDEX(Settings!$AK$14:$AK$36,MATCH((((ROUND($H15,6)*2)*1000000)+ROUND($I15,6)),Settings!$AI$14:$AI$36,0)),"Undefined"),_xlfn.ANCHORARRAY(Settings!$BC$14),0)),"Inactive")))</f>
        <v>1313</v>
      </c>
      <c r="L15" s="873">
        <f>IF($L14=$JH$22,$JH$29,IF($L14=$JI$22,$JI$29,""))</f>
        <v>0</v>
      </c>
      <c r="M15" s="168">
        <f t="shared" si="1"/>
        <v>1.1279999999999999</v>
      </c>
      <c r="N15" s="632">
        <f t="shared" si="2"/>
        <v>0.17166354494049027</v>
      </c>
      <c r="O15" s="629">
        <f t="shared" si="3"/>
        <v>4.1831918733747759</v>
      </c>
      <c r="P15" s="633">
        <f t="shared" si="4"/>
        <v>-0.66320200021723286</v>
      </c>
      <c r="Q15" s="585">
        <f t="shared" si="113"/>
        <v>87.65010033928354</v>
      </c>
      <c r="R15" s="629">
        <f t="shared" si="79"/>
        <v>4.186712627125285</v>
      </c>
      <c r="S15" s="634">
        <f t="shared" si="80"/>
        <v>-0.66320200021723286</v>
      </c>
      <c r="T15" s="635">
        <f t="shared" si="81"/>
        <v>4.1833518045174394</v>
      </c>
      <c r="U15" s="629">
        <f t="shared" si="82"/>
        <v>-0.16772090439473569</v>
      </c>
      <c r="V15" s="636">
        <f t="shared" si="114"/>
        <v>-0.66320200021723286</v>
      </c>
      <c r="W15" s="585">
        <f t="shared" ref="W15:W78" si="224">IF(M15="","",IF(Q15-$Q$8&lt;0,360+Q15-$Q$8,Q15-$Q$8))</f>
        <v>357.70410033148687</v>
      </c>
      <c r="X15" s="629">
        <f>IF(M15="","",R15)</f>
        <v>4.186712627125285</v>
      </c>
      <c r="Y15" s="630">
        <f>IF(M15="","",S15)</f>
        <v>-0.66320200021723286</v>
      </c>
      <c r="Z15" s="632">
        <f t="shared" si="6"/>
        <v>0.87974035232324443</v>
      </c>
      <c r="AA15" s="629">
        <f t="shared" si="7"/>
        <v>-0.3943624510976827</v>
      </c>
      <c r="AB15" s="629">
        <f t="shared" si="8"/>
        <v>-0.26558458098768029</v>
      </c>
      <c r="AC15" s="636">
        <f t="shared" si="84"/>
        <v>1</v>
      </c>
      <c r="AD15" s="637">
        <f t="shared" si="115"/>
        <v>0.87974035232324443</v>
      </c>
      <c r="AE15" s="629">
        <f t="shared" si="85"/>
        <v>-0.3943624510976827</v>
      </c>
      <c r="AF15" s="633">
        <f t="shared" si="86"/>
        <v>-0.26558458098768029</v>
      </c>
      <c r="AG15" s="602">
        <f t="shared" si="87"/>
        <v>-56.041585629375426</v>
      </c>
      <c r="AH15" s="603">
        <f t="shared" si="88"/>
        <v>28.388941870223871</v>
      </c>
      <c r="AI15" s="585">
        <f t="shared" si="89"/>
        <v>-74.598308419380146</v>
      </c>
      <c r="AJ15" s="586">
        <f t="shared" si="90"/>
        <v>65.854670283414677</v>
      </c>
      <c r="AK15" s="635">
        <f t="shared" si="211"/>
        <v>0.89517019261927866</v>
      </c>
      <c r="AL15" s="629">
        <f t="shared" si="91"/>
        <v>-0.35795971363766887</v>
      </c>
      <c r="AM15" s="634">
        <f t="shared" si="92"/>
        <v>-0.26558458098768029</v>
      </c>
      <c r="AN15" s="581">
        <f>IF(M15="","",DEGREES(ATAN2(-AM15,AL15)))</f>
        <v>-53.426807186640126</v>
      </c>
      <c r="AO15" s="582">
        <f t="shared" si="94"/>
        <v>26.469701124155048</v>
      </c>
      <c r="AP15" s="585">
        <f t="shared" si="95"/>
        <v>-21.795430055868849</v>
      </c>
      <c r="AQ15" s="586">
        <f t="shared" si="9"/>
        <v>0.5444983225036959</v>
      </c>
      <c r="AS15" s="52">
        <f t="shared" si="116"/>
        <v>-2.2958996685131297</v>
      </c>
      <c r="AT15" s="72">
        <f t="shared" si="10"/>
        <v>-0.66157012545284644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1.1279999999999999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>
        <f t="shared" si="112"/>
        <v>1313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48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0.2343801521348175</v>
      </c>
      <c r="C16" s="708">
        <v>4.5481786126954917</v>
      </c>
      <c r="D16" s="709">
        <v>-1.2376037326128575</v>
      </c>
      <c r="E16" s="710">
        <v>-0.85980365584138874</v>
      </c>
      <c r="F16" s="708">
        <v>0.48672627528010526</v>
      </c>
      <c r="G16" s="711">
        <v>0.15438654848702982</v>
      </c>
      <c r="H16" s="710">
        <v>0.26600000000000001</v>
      </c>
      <c r="I16" s="708">
        <v>0.52</v>
      </c>
      <c r="J16" s="570">
        <v>1.1339999999999999</v>
      </c>
      <c r="K16" s="865">
        <f>IF($J16="","",IF(IFERROR(INDEX(Settings!$AK$14:$AK$36,MATCH((((ROUND($H16,6)*2)*1000000)+ROUND($I16,6)),Settings!$AI$14:$AI$36,0)),"Undefined")="Undefined","Undefined",IFERROR(INDEX(_xlfn.ANCHORARRAY(Settings!$BC$14),MATCH(IFERROR(INDEX(Settings!$AK$14:$AK$36,MATCH((((ROUND($H16,6)*2)*1000000)+ROUND($I16,6)),Settings!$AI$14:$AI$36,0)),"Undefined"),_xlfn.ANCHORARRAY(Settings!$BC$14),0)),"Inactive")))</f>
        <v>1313</v>
      </c>
      <c r="L16" s="320"/>
      <c r="M16" s="168">
        <f t="shared" si="1"/>
        <v>1.1339999999999999</v>
      </c>
      <c r="N16" s="632">
        <f t="shared" si="2"/>
        <v>0.2343801521348175</v>
      </c>
      <c r="O16" s="629">
        <f t="shared" si="3"/>
        <v>4.5481786126954917</v>
      </c>
      <c r="P16" s="633">
        <f t="shared" si="4"/>
        <v>-1.2376037326128575</v>
      </c>
      <c r="Q16" s="585">
        <f>IF(M16="","",IF(DEGREES(ATAN2(N16,O16))&lt;0,DEGREES(ATAN2(N16,O16))+360,IF(DEGREES(ATAN2(N16,O16))&gt;360,DEGREES(ATAN2(N16,O16))-360,DEGREES(ATAN2(N16,O16)))))</f>
        <v>87.050000425927237</v>
      </c>
      <c r="R16" s="629">
        <f t="shared" si="79"/>
        <v>4.5542137355086254</v>
      </c>
      <c r="S16" s="634">
        <f t="shared" si="80"/>
        <v>-1.2376037326128575</v>
      </c>
      <c r="T16" s="635">
        <f t="shared" si="81"/>
        <v>4.5483974907282922</v>
      </c>
      <c r="U16" s="629">
        <f t="shared" si="82"/>
        <v>-0.23009349193752898</v>
      </c>
      <c r="V16" s="636">
        <f t="shared" si="114"/>
        <v>-1.2376037326128575</v>
      </c>
      <c r="W16" s="585">
        <f>IF(M16="","",IF(Q16-$Q$8&lt;0,360+Q16-$Q$8,Q16-$Q$8))</f>
        <v>357.10400041813057</v>
      </c>
      <c r="X16" s="629">
        <f t="shared" si="83"/>
        <v>4.5542137355086254</v>
      </c>
      <c r="Y16" s="630">
        <f t="shared" si="223"/>
        <v>-1.2376037326128575</v>
      </c>
      <c r="Z16" s="632">
        <f t="shared" si="6"/>
        <v>0.85980365584138874</v>
      </c>
      <c r="AA16" s="629">
        <f t="shared" si="7"/>
        <v>-0.48672627528010526</v>
      </c>
      <c r="AB16" s="629">
        <f t="shared" si="8"/>
        <v>-0.15438654848702982</v>
      </c>
      <c r="AC16" s="636">
        <f t="shared" si="84"/>
        <v>1</v>
      </c>
      <c r="AD16" s="637">
        <f t="shared" si="115"/>
        <v>0.85980365584138874</v>
      </c>
      <c r="AE16" s="629">
        <f t="shared" si="85"/>
        <v>-0.48672627528010526</v>
      </c>
      <c r="AF16" s="633">
        <f t="shared" si="86"/>
        <v>-0.15438654848702982</v>
      </c>
      <c r="AG16" s="602">
        <f t="shared" si="87"/>
        <v>-72.401296378209793</v>
      </c>
      <c r="AH16" s="603">
        <f t="shared" si="88"/>
        <v>30.705455475316739</v>
      </c>
      <c r="AI16" s="585">
        <f t="shared" si="89"/>
        <v>-81.11878017994438</v>
      </c>
      <c r="AJ16" s="586">
        <f t="shared" si="90"/>
        <v>60.486232408277374</v>
      </c>
      <c r="AK16" s="635">
        <f t="shared" si="211"/>
        <v>0.88371337201061007</v>
      </c>
      <c r="AL16" s="629">
        <f t="shared" si="91"/>
        <v>-0.44183194743691767</v>
      </c>
      <c r="AM16" s="634">
        <f t="shared" si="92"/>
        <v>-0.15438654848702982</v>
      </c>
      <c r="AN16" s="581">
        <f t="shared" si="93"/>
        <v>-70.739375772068243</v>
      </c>
      <c r="AO16" s="582">
        <f t="shared" si="94"/>
        <v>27.906398078361491</v>
      </c>
      <c r="AP16" s="585">
        <f t="shared" si="95"/>
        <v>-26.563768017649863</v>
      </c>
      <c r="AQ16" s="586">
        <f t="shared" si="9"/>
        <v>0.50056250395766855</v>
      </c>
      <c r="AS16" s="52">
        <f t="shared" si="116"/>
        <v>-2.8959995818694324</v>
      </c>
      <c r="AT16" s="72">
        <f t="shared" si="10"/>
        <v>-1.2355551217975291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1.1339999999999999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>
        <f t="shared" si="112"/>
        <v>1313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0.25855873070679047</v>
      </c>
      <c r="C17" s="708">
        <v>4.6751698277751554</v>
      </c>
      <c r="D17" s="709">
        <v>-1.8996057292108797</v>
      </c>
      <c r="E17" s="710">
        <v>-0.83781763814624977</v>
      </c>
      <c r="F17" s="708">
        <v>0.54446156053019046</v>
      </c>
      <c r="G17" s="711">
        <v>4.0289133970211367E-2</v>
      </c>
      <c r="H17" s="710">
        <v>0.26600000000000001</v>
      </c>
      <c r="I17" s="708">
        <v>0.52</v>
      </c>
      <c r="J17" s="570">
        <v>1.1399999999999999</v>
      </c>
      <c r="K17" s="865">
        <f>IF($J17="","",IF(IFERROR(INDEX(Settings!$AK$14:$AK$36,MATCH((((ROUND($H17,6)*2)*1000000)+ROUND($I17,6)),Settings!$AI$14:$AI$36,0)),"Undefined")="Undefined","Undefined",IFERROR(INDEX(_xlfn.ANCHORARRAY(Settings!$BC$14),MATCH(IFERROR(INDEX(Settings!$AK$14:$AK$36,MATCH((((ROUND($H17,6)*2)*1000000)+ROUND($I17,6)),Settings!$AI$14:$AI$36,0)),"Undefined"),_xlfn.ANCHORARRAY(Settings!$BC$14),0)),"Inactive")))</f>
        <v>1313</v>
      </c>
      <c r="M17" s="168">
        <f t="shared" si="1"/>
        <v>1.1399999999999999</v>
      </c>
      <c r="N17" s="632">
        <f t="shared" si="2"/>
        <v>0.25855873070679047</v>
      </c>
      <c r="O17" s="629">
        <f t="shared" si="3"/>
        <v>4.6751698277751554</v>
      </c>
      <c r="P17" s="633">
        <f t="shared" si="4"/>
        <v>-1.8996057292108797</v>
      </c>
      <c r="Q17" s="585">
        <f>IF(M17="","",IF(DEGREES(ATAN2(N17,O17))&lt;0,DEGREES(ATAN2(N17,O17))+360,IF(DEGREES(ATAN2(N17,O17))&gt;360,DEGREES(ATAN2(N17,O17))-360,DEGREES(ATAN2(N17,O17)))))</f>
        <v>86.834500457041585</v>
      </c>
      <c r="R17" s="629">
        <f>IF(M17="","",SQRT(N17^2+O17^2))</f>
        <v>4.6823141218593918</v>
      </c>
      <c r="S17" s="634">
        <f>IF(M17="","",P17)</f>
        <v>-1.8996057292108797</v>
      </c>
      <c r="T17" s="635">
        <f>IF(M17="","",X17*COS(RADIANS(W17)))</f>
        <v>4.67541143717387</v>
      </c>
      <c r="U17" s="629">
        <f>IF(M17="","",X17*SIN(RADIANS(W17)))</f>
        <v>-0.25415237340551217</v>
      </c>
      <c r="V17" s="636">
        <f>IF(M17="","",Y17)</f>
        <v>-1.8996057292108797</v>
      </c>
      <c r="W17" s="585">
        <f t="shared" si="224"/>
        <v>356.88850044924493</v>
      </c>
      <c r="X17" s="629">
        <f>IF(M17="","",R17)</f>
        <v>4.6823141218593918</v>
      </c>
      <c r="Y17" s="630">
        <f t="shared" si="223"/>
        <v>-1.8996057292108797</v>
      </c>
      <c r="Z17" s="632">
        <f t="shared" si="6"/>
        <v>0.83781763814624977</v>
      </c>
      <c r="AA17" s="629">
        <f t="shared" si="7"/>
        <v>-0.54446156053019046</v>
      </c>
      <c r="AB17" s="629">
        <f t="shared" si="8"/>
        <v>-4.0289133970211367E-2</v>
      </c>
      <c r="AC17" s="636">
        <f>IF(M17="","",SQRT(Z17^2+AA17^2+AB17^2))</f>
        <v>1</v>
      </c>
      <c r="AD17" s="637">
        <f>IF(M17="","",Z17*(1/SQRT(Z17^2+AA17^2+AB17^2)))</f>
        <v>0.83781763814624977</v>
      </c>
      <c r="AE17" s="629">
        <f>IF(M17="","",AA17*(1/SQRT(Z17^2+AA17^2+AB17^2)))</f>
        <v>-0.54446156053019046</v>
      </c>
      <c r="AF17" s="633">
        <f>IF(M17="","",AB17*(1/SQRT(Z17^2+AA17^2+AB17^2)))</f>
        <v>-4.0289133970211367E-2</v>
      </c>
      <c r="AG17" s="602">
        <f>IF(M17="","",DEGREES(ATAN2(-AF17,AE17)))</f>
        <v>-85.767933107326186</v>
      </c>
      <c r="AH17" s="603">
        <f>IF(M17="","",DEGREES(ACOS(AD17)))</f>
        <v>33.08961993539635</v>
      </c>
      <c r="AI17" s="585">
        <f>IF(M17="","",DEGREES(-ACOS(-AF17)))</f>
        <v>-87.690977702727793</v>
      </c>
      <c r="AJ17" s="586">
        <f>IF(M17="","",DEGREES(ATAN2(-AE17,AD17)))</f>
        <v>56.981897239484553</v>
      </c>
      <c r="AK17" s="635">
        <f>IF(M17="","",(COS(RADIANS((90-$Q$8)-W17))*AD17)+(-SIN(RADIANS((90-$Q$8)-W17))*AE17))</f>
        <v>0.86660461631676189</v>
      </c>
      <c r="AL17" s="629">
        <f>IF(M17="","",(SIN(RADIANS((90-$Q$8)-W17))*AD17)+(COS(RADIANS((90-$Q$8)-W17))*AE17))</f>
        <v>-0.49736628822469309</v>
      </c>
      <c r="AM17" s="634">
        <f>IF(M17="","",AF17)</f>
        <v>-4.0289133970211367E-2</v>
      </c>
      <c r="AN17" s="581">
        <f>IF(M17="","",DEGREES(ATAN2(-AM17,AL17)))</f>
        <v>-85.368869795721835</v>
      </c>
      <c r="AO17" s="582">
        <f t="shared" si="94"/>
        <v>29.933560397106909</v>
      </c>
      <c r="AP17" s="585">
        <f>IF(M17="","",DEGREES(ATAN2(AK17,AL17)))</f>
        <v>-29.852603217557053</v>
      </c>
      <c r="AQ17" s="586">
        <f t="shared" si="9"/>
        <v>0.48686860850156333</v>
      </c>
      <c r="AS17" s="52">
        <f t="shared" si="116"/>
        <v>-3.1114995507550702</v>
      </c>
      <c r="AT17" s="72">
        <f t="shared" si="10"/>
        <v>-1.8974074656393807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1.1399999999999999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>
        <f t="shared" si="112"/>
        <v>1313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0.29089102140987355</v>
      </c>
      <c r="C18" s="708">
        <v>4.7560268477429206</v>
      </c>
      <c r="D18" s="709">
        <v>-2.5324076377414357</v>
      </c>
      <c r="E18" s="710">
        <v>-0.72537444646801497</v>
      </c>
      <c r="F18" s="708">
        <v>0.68835449617998401</v>
      </c>
      <c r="G18" s="711">
        <v>1.4578093189365334E-7</v>
      </c>
      <c r="H18" s="710">
        <v>0.26600000000000001</v>
      </c>
      <c r="I18" s="708">
        <v>0.52</v>
      </c>
      <c r="J18" s="570">
        <v>1.1459999999999999</v>
      </c>
      <c r="K18" s="865">
        <f>IF($J18="","",IF(IFERROR(INDEX(Settings!$AK$14:$AK$36,MATCH((((ROUND($H18,6)*2)*1000000)+ROUND($I18,6)),Settings!$AI$14:$AI$36,0)),"Undefined")="Undefined","Undefined",IFERROR(INDEX(_xlfn.ANCHORARRAY(Settings!$BC$14),MATCH(IFERROR(INDEX(Settings!$AK$14:$AK$36,MATCH((((ROUND($H18,6)*2)*1000000)+ROUND($I18,6)),Settings!$AI$14:$AI$36,0)),"Undefined"),_xlfn.ANCHORARRAY(Settings!$BC$14),0)),"Inactive")))</f>
        <v>1313</v>
      </c>
      <c r="L18" s="779" t="s">
        <v>331</v>
      </c>
      <c r="M18" s="168">
        <f t="shared" si="1"/>
        <v>1.1459999999999999</v>
      </c>
      <c r="N18" s="632">
        <f t="shared" si="2"/>
        <v>0.29089102140987355</v>
      </c>
      <c r="O18" s="629">
        <f t="shared" si="3"/>
        <v>4.7560268477429206</v>
      </c>
      <c r="P18" s="633">
        <f t="shared" si="4"/>
        <v>-2.5324076377414357</v>
      </c>
      <c r="Q18" s="585">
        <f t="shared" si="113"/>
        <v>86.500000505337411</v>
      </c>
      <c r="R18" s="629">
        <f>IF(M18="","",SQRT(N18^2+O18^2))</f>
        <v>4.7649143709817432</v>
      </c>
      <c r="S18" s="634">
        <f>IF(M18="","",P18)</f>
        <v>-2.5324076377414357</v>
      </c>
      <c r="T18" s="635">
        <f>IF(M18="","",X18*COS(RADIANS(W18)))</f>
        <v>4.7562988936876147</v>
      </c>
      <c r="U18" s="629">
        <f>IF(M18="","",X18*SIN(RADIANS(W18)))</f>
        <v>-0.28640844382509362</v>
      </c>
      <c r="V18" s="636">
        <f>IF(M18="","",Y18)</f>
        <v>-2.5324076377414357</v>
      </c>
      <c r="W18" s="585">
        <f t="shared" si="224"/>
        <v>356.55400049754076</v>
      </c>
      <c r="X18" s="629">
        <f>IF(M18="","",R18)</f>
        <v>4.7649143709817432</v>
      </c>
      <c r="Y18" s="630">
        <f t="shared" si="223"/>
        <v>-2.5324076377414357</v>
      </c>
      <c r="Z18" s="632">
        <f t="shared" si="6"/>
        <v>0.72537444646801497</v>
      </c>
      <c r="AA18" s="629">
        <f t="shared" si="7"/>
        <v>-0.68835449617998401</v>
      </c>
      <c r="AB18" s="629">
        <f t="shared" si="8"/>
        <v>-1.4578093189365334E-7</v>
      </c>
      <c r="AC18" s="636">
        <f>IF(M18="","",SQRT(Z18^2+AA18^2+AB18^2))</f>
        <v>1</v>
      </c>
      <c r="AD18" s="637">
        <f>IF(M18="","",Z18*(1/SQRT(Z18^2+AA18^2+AB18^2)))</f>
        <v>0.72537444646801497</v>
      </c>
      <c r="AE18" s="629">
        <f>IF(M18="","",AA18*(1/SQRT(Z18^2+AA18^2+AB18^2)))</f>
        <v>-0.68835449617998401</v>
      </c>
      <c r="AF18" s="633">
        <f>IF(M18="","",AB18*(1/SQRT(Z18^2+AA18^2+AB18^2)))</f>
        <v>-1.4578093189365334E-7</v>
      </c>
      <c r="AG18" s="602">
        <f>IF(M18="","",DEGREES(ATAN2(-AF18,AE18)))</f>
        <v>-89.999987865798545</v>
      </c>
      <c r="AH18" s="603">
        <f>IF(M18="","",DEGREES(ACOS(AD18)))</f>
        <v>43.49999371937789</v>
      </c>
      <c r="AI18" s="585">
        <f>IF(M18="","",DEGREES(-ACOS(-AF18)))</f>
        <v>-89.999991647367864</v>
      </c>
      <c r="AJ18" s="586">
        <f>IF(M18="","",DEGREES(ATAN2(-AE18,AD18)))</f>
        <v>46.500006280622749</v>
      </c>
      <c r="AK18" s="635">
        <f>IF(M18="","",(COS(RADIANS((90-$Q$8)-W18))*AD18)+(-SIN(RADIANS((90-$Q$8)-W18))*AE18))</f>
        <v>0.76604450791050716</v>
      </c>
      <c r="AL18" s="629">
        <f>IF(M18="","",(SIN(RADIANS((90-$Q$8)-W18))*AD18)+(COS(RADIANS((90-$Q$8)-W18))*AE18))</f>
        <v>-0.64278753247097731</v>
      </c>
      <c r="AM18" s="634">
        <f>IF(M18="","",AF18)</f>
        <v>-1.4578093189365334E-7</v>
      </c>
      <c r="AN18" s="581">
        <f>IF(M18="","",DEGREES(ATAN2(-AM18,AL18)))</f>
        <v>-89.999987005609626</v>
      </c>
      <c r="AO18" s="582">
        <f t="shared" si="94"/>
        <v>39.999994224715394</v>
      </c>
      <c r="AP18" s="585">
        <f>IF(M18="","",DEGREES(ATAN2(AK18,AL18)))</f>
        <v>-39.999994224714669</v>
      </c>
      <c r="AQ18" s="586">
        <f t="shared" si="9"/>
        <v>0.47842909009572149</v>
      </c>
      <c r="AS18" s="52">
        <f t="shared" si="116"/>
        <v>-3.4459995024592445</v>
      </c>
      <c r="AT18" s="72">
        <f t="shared" si="10"/>
        <v>-2.5299770825368091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1.1459999999999999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>
        <f t="shared" si="112"/>
        <v>1313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0.93695006057063568</v>
      </c>
      <c r="C19" s="708">
        <v>2.4219939870534035</v>
      </c>
      <c r="D19" s="709">
        <v>-7.6400230423094961E-2</v>
      </c>
      <c r="E19" s="710">
        <v>-0.90264080466962859</v>
      </c>
      <c r="F19" s="708">
        <v>0.37532222737343285</v>
      </c>
      <c r="G19" s="711">
        <v>0.21064853045965098</v>
      </c>
      <c r="H19" s="710">
        <v>0.26600000000000001</v>
      </c>
      <c r="I19" s="708">
        <v>0.52</v>
      </c>
      <c r="J19" s="570">
        <v>1.2130000000000001</v>
      </c>
      <c r="K19" s="865">
        <f>IF($J19="","",IF(IFERROR(INDEX(Settings!$AK$14:$AK$36,MATCH((((ROUND($H19,6)*2)*1000000)+ROUND($I19,6)),Settings!$AI$14:$AI$36,0)),"Undefined")="Undefined","Undefined",IFERROR(INDEX(_xlfn.ANCHORARRAY(Settings!$BC$14),MATCH(IFERROR(INDEX(Settings!$AK$14:$AK$36,MATCH((((ROUND($H19,6)*2)*1000000)+ROUND($I19,6)),Settings!$AI$14:$AI$36,0)),"Undefined"),_xlfn.ANCHORARRAY(Settings!$BC$14),0)),"Inactive")))</f>
        <v>1313</v>
      </c>
      <c r="L19" s="775" t="s">
        <v>366</v>
      </c>
      <c r="M19" s="168">
        <f t="shared" si="1"/>
        <v>1.2130000000000001</v>
      </c>
      <c r="N19" s="632">
        <f t="shared" si="2"/>
        <v>0.93695006057063568</v>
      </c>
      <c r="O19" s="629">
        <f t="shared" si="3"/>
        <v>2.4219939870534035</v>
      </c>
      <c r="P19" s="633">
        <f t="shared" si="4"/>
        <v>-7.6400230423094961E-2</v>
      </c>
      <c r="Q19" s="585">
        <f t="shared" si="113"/>
        <v>68.851003053537369</v>
      </c>
      <c r="R19" s="629">
        <f>IF(M19="","",SQRT(N19^2+O19^2))</f>
        <v>2.596907832274022</v>
      </c>
      <c r="S19" s="634">
        <f>IF(M19="","",P19)</f>
        <v>-7.6400230423094961E-2</v>
      </c>
      <c r="T19" s="635">
        <f>IF(M19="","",X19*COS(RADIANS(W19)))</f>
        <v>2.4228759657381733</v>
      </c>
      <c r="U19" s="629">
        <f>IF(M19="","",X19*SIN(RADIANS(W19)))</f>
        <v>-0.93466696955358042</v>
      </c>
      <c r="V19" s="636">
        <f>IF(M19="","",Y19)</f>
        <v>-7.6400230423094961E-2</v>
      </c>
      <c r="W19" s="585">
        <f t="shared" si="224"/>
        <v>338.90500304574073</v>
      </c>
      <c r="X19" s="629">
        <f>IF(M19="","",R19)</f>
        <v>2.596907832274022</v>
      </c>
      <c r="Y19" s="630">
        <f t="shared" si="223"/>
        <v>-7.6400230423094961E-2</v>
      </c>
      <c r="Z19" s="632">
        <f t="shared" si="6"/>
        <v>0.90264080466962859</v>
      </c>
      <c r="AA19" s="629">
        <f t="shared" si="7"/>
        <v>-0.37532222737343285</v>
      </c>
      <c r="AB19" s="629">
        <f t="shared" si="8"/>
        <v>-0.21064853045965098</v>
      </c>
      <c r="AC19" s="636">
        <f>IF(M19="","",SQRT(Z19^2+AA19^2+AB19^2))</f>
        <v>1</v>
      </c>
      <c r="AD19" s="637">
        <f>IF(M19="","",Z19*(1/SQRT(Z19^2+AA19^2+AB19^2)))</f>
        <v>0.90264080466962859</v>
      </c>
      <c r="AE19" s="629">
        <f>IF(M19="","",AA19*(1/SQRT(Z19^2+AA19^2+AB19^2)))</f>
        <v>-0.37532222737343285</v>
      </c>
      <c r="AF19" s="633">
        <f>IF(M19="","",AB19*(1/SQRT(Z19^2+AA19^2+AB19^2)))</f>
        <v>-0.21064853045965098</v>
      </c>
      <c r="AG19" s="602">
        <f>IF(M19="","",DEGREES(ATAN2(-AF19,AE19)))</f>
        <v>-60.696805179102839</v>
      </c>
      <c r="AH19" s="603">
        <f>IF(M19="","",DEGREES(ACOS(AD19)))</f>
        <v>25.492609922959417</v>
      </c>
      <c r="AI19" s="585">
        <f>IF(M19="","",DEGREES(-ACOS(-AF19)))</f>
        <v>-77.839639515782466</v>
      </c>
      <c r="AJ19" s="586">
        <f>IF(M19="","",DEGREES(ATAN2(-AE19,AD19)))</f>
        <v>67.422232536146808</v>
      </c>
      <c r="AK19" s="635">
        <f>IF(M19="","",(COS(RADIANS((90-$Q$8)-W19))*AD19)+(-SIN(RADIANS((90-$Q$8)-W19))*AE19))</f>
        <v>0.97725793480611278</v>
      </c>
      <c r="AL19" s="629">
        <f>IF(M19="","",(SIN(RADIANS((90-$Q$8)-W19))*AD19)+(COS(RADIANS((90-$Q$8)-W19))*AE19))</f>
        <v>-2.4374689201727084E-2</v>
      </c>
      <c r="AM19" s="634">
        <f>IF(M19="","",AF19)</f>
        <v>-0.21064853045965098</v>
      </c>
      <c r="AN19" s="581">
        <f>IF(M19="","",DEGREES(ATAN2(-AM19,AL19)))</f>
        <v>-6.600489207245575</v>
      </c>
      <c r="AO19" s="582">
        <f t="shared" si="94"/>
        <v>12.242753249259241</v>
      </c>
      <c r="AP19" s="585">
        <f>IF(M19="","",DEGREES(ATAN2(AK19,AL19)))</f>
        <v>-1.4287705173905934</v>
      </c>
      <c r="AQ19" s="586">
        <f t="shared" si="9"/>
        <v>0.87779328918629496</v>
      </c>
      <c r="AS19" s="52">
        <f t="shared" si="116"/>
        <v>-21.094996954259273</v>
      </c>
      <c r="AT19" s="72">
        <f t="shared" si="10"/>
        <v>-6.1713426988051469E-2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>Nose</v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1.2130000000000001</v>
      </c>
      <c r="IH19" s="731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4.1130000000000004</v>
      </c>
      <c r="II19" s="734" cm="1">
        <f t="array" ref="II19">IFERROR(IF($IH19&lt;1,$IH19+LARGE((IF($M$9:$M$150="",0,$M$9:$M$150)-MOD(IF($M$9:$M$150="",0,$M$9:$M$150),1)),1),$IH19),"")</f>
        <v>4.1130000000000004</v>
      </c>
      <c r="IJ19" s="533">
        <f t="shared" si="112"/>
        <v>1313</v>
      </c>
      <c r="IK19" s="533">
        <f t="shared" si="66"/>
        <v>1313</v>
      </c>
      <c r="IL19" s="727">
        <f t="shared" si="225"/>
        <v>190.89817243771404</v>
      </c>
      <c r="IM19" s="759">
        <v>7.3197650405991096E-4</v>
      </c>
      <c r="IN19" s="5">
        <f t="shared" si="226"/>
        <v>0</v>
      </c>
      <c r="IO19" s="771">
        <v>0</v>
      </c>
      <c r="IP19" s="9">
        <f t="shared" si="227"/>
        <v>-2.5957078286548114</v>
      </c>
      <c r="IQ19" s="5">
        <f t="shared" si="228"/>
        <v>-6.3000190008573168E-2</v>
      </c>
      <c r="IR19" s="5">
        <f t="shared" si="71"/>
        <v>0.26600000000000001</v>
      </c>
      <c r="IS19" s="5">
        <f t="shared" si="229"/>
        <v>0.24640658818347258</v>
      </c>
      <c r="IT19" s="727">
        <f t="shared" si="230"/>
        <v>1.4998433789008141</v>
      </c>
      <c r="IU19" s="9">
        <f t="shared" si="231"/>
        <v>-2.596907832274022</v>
      </c>
      <c r="IV19" s="5">
        <f t="shared" si="232"/>
        <v>-7.6400230423094961E-2</v>
      </c>
      <c r="IW19" s="5">
        <f t="shared" si="76"/>
        <v>0.26600000000000001</v>
      </c>
      <c r="IX19" s="5">
        <f t="shared" si="233"/>
        <v>0.25995061065842601</v>
      </c>
      <c r="IY19" s="762">
        <f t="shared" si="234"/>
        <v>6.600489207245575</v>
      </c>
      <c r="JB19" s="984" t="s">
        <v>365</v>
      </c>
      <c r="JC19" s="985"/>
      <c r="JD19" s="985"/>
      <c r="JE19" s="985"/>
      <c r="JF19" s="985"/>
      <c r="JG19" s="985"/>
      <c r="JH19" s="985"/>
      <c r="JI19" s="986"/>
    </row>
    <row r="20" spans="1:269" ht="15" customHeight="1" x14ac:dyDescent="0.25">
      <c r="A20" s="79"/>
      <c r="B20" s="707">
        <v>0.953652276224082</v>
      </c>
      <c r="C20" s="708">
        <v>3.1582706975502344</v>
      </c>
      <c r="D20" s="709">
        <v>-0.13810041651085625</v>
      </c>
      <c r="E20" s="710">
        <v>-0.8906542789174936</v>
      </c>
      <c r="F20" s="708">
        <v>0.40649354024959111</v>
      </c>
      <c r="G20" s="711">
        <v>0.20371047391166122</v>
      </c>
      <c r="H20" s="710">
        <v>0.26600000000000001</v>
      </c>
      <c r="I20" s="708">
        <v>0.52</v>
      </c>
      <c r="J20" s="570">
        <v>1.2190000000000001</v>
      </c>
      <c r="K20" s="865">
        <f>IF($J20="","",IF(IFERROR(INDEX(Settings!$AK$14:$AK$36,MATCH((((ROUND($H20,6)*2)*1000000)+ROUND($I20,6)),Settings!$AI$14:$AI$36,0)),"Undefined")="Undefined","Undefined",IFERROR(INDEX(_xlfn.ANCHORARRAY(Settings!$BC$14),MATCH(IFERROR(INDEX(Settings!$AK$14:$AK$36,MATCH((((ROUND($H20,6)*2)*1000000)+ROUND($I20,6)),Settings!$AI$14:$AI$36,0)),"Undefined"),_xlfn.ANCHORARRAY(Settings!$BC$14),0)),"Inactive")))</f>
        <v>1313</v>
      </c>
      <c r="L20" s="774" t="str">
        <f>IF($L19=$JH$22,$JH$30,IF($L19=$JI$22,$JI$30,""))</f>
        <v/>
      </c>
      <c r="M20" s="168">
        <f t="shared" si="1"/>
        <v>1.2190000000000001</v>
      </c>
      <c r="N20" s="632">
        <f t="shared" si="2"/>
        <v>0.953652276224082</v>
      </c>
      <c r="O20" s="629">
        <f t="shared" si="3"/>
        <v>3.1582706975502344</v>
      </c>
      <c r="P20" s="633">
        <f t="shared" si="4"/>
        <v>-0.13810041651085625</v>
      </c>
      <c r="Q20" s="585">
        <f t="shared" si="113"/>
        <v>73.198102425893865</v>
      </c>
      <c r="R20" s="629">
        <f>IF(M20="","",SQRT(N20^2+O20^2))</f>
        <v>3.2991099501156094</v>
      </c>
      <c r="S20" s="634">
        <f>IF(M20="","",P20)</f>
        <v>-0.13810041651085625</v>
      </c>
      <c r="T20" s="635">
        <f>IF(M20="","",X20*COS(RADIANS(W20)))</f>
        <v>3.1591680906937243</v>
      </c>
      <c r="U20" s="629">
        <f>IF(M20="","",X20*SIN(RADIANS(W20)))</f>
        <v>-0.95067525354054871</v>
      </c>
      <c r="V20" s="636">
        <f>IF(M20="","",Y20)</f>
        <v>-0.13810041651085625</v>
      </c>
      <c r="W20" s="585">
        <f t="shared" si="224"/>
        <v>343.25210241809725</v>
      </c>
      <c r="X20" s="629">
        <f>IF(M20="","",R20)</f>
        <v>3.2991099501156094</v>
      </c>
      <c r="Y20" s="630">
        <f t="shared" si="223"/>
        <v>-0.13810041651085625</v>
      </c>
      <c r="Z20" s="632">
        <f t="shared" si="6"/>
        <v>0.8906542789174936</v>
      </c>
      <c r="AA20" s="629">
        <f t="shared" si="7"/>
        <v>-0.40649354024959111</v>
      </c>
      <c r="AB20" s="629">
        <f t="shared" si="8"/>
        <v>-0.20371047391166122</v>
      </c>
      <c r="AC20" s="636">
        <f>IF(M20="","",SQRT(Z20^2+AA20^2+AB20^2))</f>
        <v>1</v>
      </c>
      <c r="AD20" s="637">
        <f>IF(M20="","",Z20*(1/SQRT(Z20^2+AA20^2+AB20^2)))</f>
        <v>0.8906542789174936</v>
      </c>
      <c r="AE20" s="629">
        <f>IF(M20="","",AA20*(1/SQRT(Z20^2+AA20^2+AB20^2)))</f>
        <v>-0.40649354024959111</v>
      </c>
      <c r="AF20" s="633">
        <f>IF(M20="","",AB20*(1/SQRT(Z20^2+AA20^2+AB20^2)))</f>
        <v>-0.20371047391166122</v>
      </c>
      <c r="AG20" s="602">
        <f>IF(M20="","",DEGREES(ATAN2(-AF20,AE20)))</f>
        <v>-63.382684976220453</v>
      </c>
      <c r="AH20" s="603">
        <f>IF(M20="","",DEGREES(ACOS(AD20)))</f>
        <v>27.044421252036553</v>
      </c>
      <c r="AI20" s="585">
        <f>IF(M20="","",DEGREES(-ACOS(-AF20)))</f>
        <v>-78.245978170962132</v>
      </c>
      <c r="AJ20" s="586">
        <f>IF(M20="","",DEGREES(ATAN2(-AE20,AD20)))</f>
        <v>65.468101048802993</v>
      </c>
      <c r="AK20" s="635">
        <f>IF(M20="","",(COS(RADIANS((90-$Q$8)-W20))*AD20)+(-SIN(RADIANS((90-$Q$8)-W20))*AE20))</f>
        <v>0.97013462693782149</v>
      </c>
      <c r="AL20" s="629">
        <f>IF(M20="","",(SIN(RADIANS((90-$Q$8)-W20))*AD20)+(COS(RADIANS((90-$Q$8)-W20))*AE20))</f>
        <v>-0.13168465527501844</v>
      </c>
      <c r="AM20" s="634">
        <f>IF(M20="","",AF20)</f>
        <v>-0.20371047391166122</v>
      </c>
      <c r="AN20" s="581">
        <f>IF(M20="","",DEGREES(ATAN2(-AM20,AL20)))</f>
        <v>-32.879858206052411</v>
      </c>
      <c r="AO20" s="582">
        <f t="shared" si="94"/>
        <v>14.038103286573788</v>
      </c>
      <c r="AP20" s="585">
        <f>IF(M20="","",DEGREES(ATAN2(AK20,AL20)))</f>
        <v>-7.7300013770909315</v>
      </c>
      <c r="AQ20" s="586">
        <f t="shared" si="9"/>
        <v>0.69097912589106247</v>
      </c>
      <c r="AS20" s="52">
        <f t="shared" si="116"/>
        <v>-16.747897581902748</v>
      </c>
      <c r="AT20" s="72">
        <f t="shared" si="10"/>
        <v>-0.12643243208439367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>Nose</v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1.2190000000000001</v>
      </c>
      <c r="IH20" s="731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4.1189999999999998</v>
      </c>
      <c r="II20" s="734" cm="1">
        <f t="array" ref="II20">IFERROR(IF($IH20&lt;1,$IH20+LARGE((IF($M$9:$M$150="",0,$M$9:$M$150)-MOD(IF($M$9:$M$150="",0,$M$9:$M$150),1)),1),$IH20),"")</f>
        <v>4.1189999999999998</v>
      </c>
      <c r="IJ20" s="533">
        <f t="shared" si="112"/>
        <v>1313</v>
      </c>
      <c r="IK20" s="533">
        <f t="shared" si="66"/>
        <v>1313</v>
      </c>
      <c r="IL20" s="727">
        <f t="shared" si="225"/>
        <v>185.74807318129638</v>
      </c>
      <c r="IM20" s="759">
        <v>4.2129005667315797E-4</v>
      </c>
      <c r="IN20" s="5">
        <f t="shared" si="226"/>
        <v>0</v>
      </c>
      <c r="IO20" s="771">
        <v>0</v>
      </c>
      <c r="IP20" s="9">
        <f t="shared" si="227"/>
        <v>-3.3016099576556321</v>
      </c>
      <c r="IQ20" s="5">
        <f t="shared" si="228"/>
        <v>-0.12410037428672908</v>
      </c>
      <c r="IR20" s="5">
        <f t="shared" si="71"/>
        <v>0.26600000000000001</v>
      </c>
      <c r="IS20" s="5">
        <f t="shared" si="229"/>
        <v>0.24378995096798714</v>
      </c>
      <c r="IT20" s="727">
        <f t="shared" si="230"/>
        <v>23.763817504981091</v>
      </c>
      <c r="IU20" s="9">
        <f t="shared" si="231"/>
        <v>-3.2991099501156094</v>
      </c>
      <c r="IV20" s="5">
        <f t="shared" si="232"/>
        <v>-0.13810041651085625</v>
      </c>
      <c r="IW20" s="5">
        <f t="shared" si="76"/>
        <v>0.26600000000000001</v>
      </c>
      <c r="IX20" s="5">
        <f t="shared" si="233"/>
        <v>0.25805581076546052</v>
      </c>
      <c r="IY20" s="762">
        <f t="shared" si="234"/>
        <v>32.879858206052411</v>
      </c>
      <c r="JA20" s="31"/>
      <c r="JB20" s="987" t="s">
        <v>369</v>
      </c>
      <c r="JC20" s="988"/>
      <c r="JD20" s="988"/>
      <c r="JE20" s="988"/>
      <c r="JF20" s="1234" t="s">
        <v>370</v>
      </c>
      <c r="JG20" s="1235"/>
      <c r="JH20" s="1235"/>
      <c r="JI20" s="1236"/>
    </row>
    <row r="21" spans="1:269" ht="15" customHeight="1" x14ac:dyDescent="0.25">
      <c r="A21" s="79"/>
      <c r="B21" s="707">
        <v>1.0003796959688507</v>
      </c>
      <c r="C21" s="708">
        <v>3.7914565342616546</v>
      </c>
      <c r="D21" s="709">
        <v>-0.44540134333045123</v>
      </c>
      <c r="E21" s="710">
        <v>-0.87124952120818011</v>
      </c>
      <c r="F21" s="708">
        <v>0.46494201282338243</v>
      </c>
      <c r="G21" s="711">
        <v>0.15733148606130559</v>
      </c>
      <c r="H21" s="710">
        <v>0.26600000000000001</v>
      </c>
      <c r="I21" s="708">
        <v>0.52</v>
      </c>
      <c r="J21" s="570">
        <v>1.2250000000000001</v>
      </c>
      <c r="K21" s="865">
        <f>IF($J21="","",IF(IFERROR(INDEX(Settings!$AK$14:$AK$36,MATCH((((ROUND($H21,6)*2)*1000000)+ROUND($I21,6)),Settings!$AI$14:$AI$36,0)),"Undefined")="Undefined","Undefined",IFERROR(INDEX(_xlfn.ANCHORARRAY(Settings!$BC$14),MATCH(IFERROR(INDEX(Settings!$AK$14:$AK$36,MATCH((((ROUND($H21,6)*2)*1000000)+ROUND($I21,6)),Settings!$AI$14:$AI$36,0)),"Undefined"),_xlfn.ANCHORARRAY(Settings!$BC$14),0)),"Inactive")))</f>
        <v>1313</v>
      </c>
      <c r="L21" s="776" t="s">
        <v>367</v>
      </c>
      <c r="M21" s="168">
        <f t="shared" si="1"/>
        <v>1.2250000000000001</v>
      </c>
      <c r="N21" s="632">
        <f t="shared" si="2"/>
        <v>1.0003796959688507</v>
      </c>
      <c r="O21" s="629">
        <f t="shared" si="3"/>
        <v>3.7914565342616546</v>
      </c>
      <c r="P21" s="633">
        <f t="shared" si="4"/>
        <v>-0.44540134333045123</v>
      </c>
      <c r="Q21" s="585">
        <f t="shared" si="113"/>
        <v>75.219302134068727</v>
      </c>
      <c r="R21" s="629">
        <f>IF(M21="","",SQRT(N21^2+O21^2))</f>
        <v>3.9212118263748681</v>
      </c>
      <c r="S21" s="634">
        <f>IF(M21="","",P21)</f>
        <v>-0.44540134333045123</v>
      </c>
      <c r="T21" s="635">
        <f>IF(M21="","",X21*COS(RADIANS(W21)))</f>
        <v>3.7923976857297266</v>
      </c>
      <c r="U21" s="629">
        <f>IF(M21="","",X21*SIN(RADIANS(W21)))</f>
        <v>-0.99680588911479684</v>
      </c>
      <c r="V21" s="636">
        <f>IF(M21="","",Y21)</f>
        <v>-0.44540134333045123</v>
      </c>
      <c r="W21" s="585">
        <f t="shared" si="224"/>
        <v>345.27330212627203</v>
      </c>
      <c r="X21" s="629">
        <f>IF(M21="","",R21)</f>
        <v>3.9212118263748681</v>
      </c>
      <c r="Y21" s="630">
        <f t="shared" si="223"/>
        <v>-0.44540134333045123</v>
      </c>
      <c r="Z21" s="632">
        <f t="shared" si="6"/>
        <v>0.87124952120818011</v>
      </c>
      <c r="AA21" s="629">
        <f t="shared" si="7"/>
        <v>-0.46494201282338243</v>
      </c>
      <c r="AB21" s="629">
        <f t="shared" si="8"/>
        <v>-0.15733148606130559</v>
      </c>
      <c r="AC21" s="636">
        <f>IF(M21="","",SQRT(Z21^2+AA21^2+AB21^2))</f>
        <v>1</v>
      </c>
      <c r="AD21" s="637">
        <f>IF(M21="","",Z21*(1/SQRT(Z21^2+AA21^2+AB21^2)))</f>
        <v>0.87124952120818011</v>
      </c>
      <c r="AE21" s="629">
        <f>IF(M21="","",AA21*(1/SQRT(Z21^2+AA21^2+AB21^2)))</f>
        <v>-0.46494201282338243</v>
      </c>
      <c r="AF21" s="633">
        <f>IF(M21="","",AB21*(1/SQRT(Z21^2+AA21^2+AB21^2)))</f>
        <v>-0.15733148606130559</v>
      </c>
      <c r="AG21" s="602">
        <f>IF(M21="","",DEGREES(ATAN2(-AF21,AE21)))</f>
        <v>-71.304721560150298</v>
      </c>
      <c r="AH21" s="603">
        <f>IF(M21="","",DEGREES(ACOS(AD21)))</f>
        <v>29.395831831795117</v>
      </c>
      <c r="AI21" s="585">
        <f>IF(M21="","",DEGREES(-ACOS(-AF21)))</f>
        <v>-80.947960079483593</v>
      </c>
      <c r="AJ21" s="586">
        <f>IF(M21="","",DEGREES(ATAN2(-AE21,AD21)))</f>
        <v>61.913404289292281</v>
      </c>
      <c r="AK21" s="635">
        <f>IF(M21="","",(COS(RADIANS((90-$Q$8)-W21))*AD21)+(-SIN(RADIANS((90-$Q$8)-W21))*AE21))</f>
        <v>0.96103536520044974</v>
      </c>
      <c r="AL21" s="629">
        <f>IF(M21="","",(SIN(RADIANS((90-$Q$8)-W21))*AD21)+(COS(RADIANS((90-$Q$8)-W21))*AE21))</f>
        <v>-0.22728359009787666</v>
      </c>
      <c r="AM21" s="634">
        <f>IF(M21="","",AF21)</f>
        <v>-0.15733148606130559</v>
      </c>
      <c r="AN21" s="581">
        <f>IF(M21="","",DEGREES(ATAN2(-AM21,AL21)))</f>
        <v>-55.308031889011268</v>
      </c>
      <c r="AO21" s="582">
        <f>IF(ROUND(IF(M21="",0,DEGREES(ACOS(AK21))),4)=90,0,IF(M21="","",DEGREES(ACOS(AK21))))</f>
        <v>16.046979420820101</v>
      </c>
      <c r="AP21" s="585">
        <f>IF(M21="","",DEGREES(ATAN2(AK21,AL21)))</f>
        <v>-13.305897844776426</v>
      </c>
      <c r="AQ21" s="586">
        <f t="shared" si="9"/>
        <v>0.58136323552522207</v>
      </c>
      <c r="AS21" s="52">
        <f t="shared" si="116"/>
        <v>-14.726697873727971</v>
      </c>
      <c r="AT21" s="72">
        <f t="shared" si="10"/>
        <v>-0.43513696981244337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Taper</v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1.2250000000000001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4.125</v>
      </c>
      <c r="II21" s="734" cm="1">
        <f t="array" ref="II21">IFERROR(IF($IH21&lt;1,$IH21+LARGE((IF($M$9:$M$150="",0,$M$9:$M$150)-MOD(IF($M$9:$M$150="",0,$M$9:$M$150),1)),1),$IH21),"")</f>
        <v>4.125</v>
      </c>
      <c r="IJ21" s="533">
        <f t="shared" si="112"/>
        <v>1313</v>
      </c>
      <c r="IK21" s="533">
        <f t="shared" si="66"/>
        <v>1313</v>
      </c>
      <c r="IL21" s="727">
        <f t="shared" si="225"/>
        <v>182.83547360182376</v>
      </c>
      <c r="IM21" s="759">
        <v>7.0080538995221005E-4</v>
      </c>
      <c r="IN21" s="5">
        <f t="shared" si="226"/>
        <v>0</v>
      </c>
      <c r="IO21" s="771">
        <v>0</v>
      </c>
      <c r="IP21" s="9">
        <f t="shared" si="227"/>
        <v>-3.9276118456773252</v>
      </c>
      <c r="IQ21" s="5">
        <f t="shared" si="228"/>
        <v>-0.43180130231272768</v>
      </c>
      <c r="IR21" s="5">
        <f t="shared" si="71"/>
        <v>0.26600000000000001</v>
      </c>
      <c r="IS21" s="5">
        <f t="shared" si="229"/>
        <v>0.24068390998572811</v>
      </c>
      <c r="IT21" s="727">
        <f t="shared" si="230"/>
        <v>44.287302390729792</v>
      </c>
      <c r="IU21" s="9">
        <f t="shared" si="231"/>
        <v>-3.9212118263748681</v>
      </c>
      <c r="IV21" s="5">
        <f t="shared" si="232"/>
        <v>-0.44540134333045123</v>
      </c>
      <c r="IW21" s="5">
        <f t="shared" si="76"/>
        <v>0.26600000000000001</v>
      </c>
      <c r="IX21" s="5">
        <f t="shared" si="233"/>
        <v>0.25563540714331967</v>
      </c>
      <c r="IY21" s="762">
        <f t="shared" si="234"/>
        <v>55.308031889011268</v>
      </c>
      <c r="JA21" s="765"/>
      <c r="JB21" s="989"/>
      <c r="JC21" s="990"/>
      <c r="JD21" s="990"/>
      <c r="JE21" s="990"/>
      <c r="JF21" s="1237" t="s">
        <v>358</v>
      </c>
      <c r="JG21" s="1238"/>
      <c r="JH21" s="991" t="s">
        <v>371</v>
      </c>
      <c r="JI21" s="992"/>
    </row>
    <row r="22" spans="1:269" ht="15" customHeight="1" thickBot="1" x14ac:dyDescent="0.3">
      <c r="A22" s="79"/>
      <c r="B22" s="707">
        <v>1.059499559027002</v>
      </c>
      <c r="C22" s="708">
        <v>4.255812636457704</v>
      </c>
      <c r="D22" s="709">
        <v>-0.94710285646221504</v>
      </c>
      <c r="E22" s="710">
        <v>-0.85206480358801429</v>
      </c>
      <c r="F22" s="708">
        <v>0.51677363013549815</v>
      </c>
      <c r="G22" s="711">
        <v>8.3250139237708604E-2</v>
      </c>
      <c r="H22" s="710">
        <v>0.26600000000000001</v>
      </c>
      <c r="I22" s="708">
        <v>0.52</v>
      </c>
      <c r="J22" s="570">
        <v>1.2310000000000001</v>
      </c>
      <c r="K22" s="865">
        <f>IF($J22="","",IF(IFERROR(INDEX(Settings!$AK$14:$AK$36,MATCH((((ROUND($H22,6)*2)*1000000)+ROUND($I22,6)),Settings!$AI$14:$AI$36,0)),"Undefined")="Undefined","Undefined",IFERROR(INDEX(_xlfn.ANCHORARRAY(Settings!$BC$14),MATCH(IFERROR(INDEX(Settings!$AK$14:$AK$36,MATCH((((ROUND($H22,6)*2)*1000000)+ROUND($I22,6)),Settings!$AI$14:$AI$36,0)),"Undefined"),_xlfn.ANCHORARRAY(Settings!$BC$14),0)),"Inactive")))</f>
        <v>1313</v>
      </c>
      <c r="L22" s="873" t="str">
        <f>IF($L21=$JH$22,$JH$30,IF($L21=$JI$22,$JI$30,""))</f>
        <v/>
      </c>
      <c r="M22" s="168">
        <f t="shared" si="1"/>
        <v>1.2310000000000001</v>
      </c>
      <c r="N22" s="632">
        <f t="shared" si="2"/>
        <v>1.059499559027002</v>
      </c>
      <c r="O22" s="629">
        <f t="shared" si="3"/>
        <v>4.255812636457704</v>
      </c>
      <c r="P22" s="633">
        <f t="shared" si="4"/>
        <v>-0.94710285646221504</v>
      </c>
      <c r="Q22" s="585">
        <f t="shared" si="113"/>
        <v>76.020202018433096</v>
      </c>
      <c r="R22" s="629">
        <f t="shared" si="79"/>
        <v>4.3857132273110935</v>
      </c>
      <c r="S22" s="634">
        <f t="shared" si="80"/>
        <v>-0.94710285646221504</v>
      </c>
      <c r="T22" s="635">
        <f t="shared" si="81"/>
        <v>4.2568093008323018</v>
      </c>
      <c r="U22" s="629">
        <f t="shared" si="82"/>
        <v>-1.0554880807281044</v>
      </c>
      <c r="V22" s="636">
        <f t="shared" si="114"/>
        <v>-0.94710285646221504</v>
      </c>
      <c r="W22" s="585">
        <f t="shared" si="224"/>
        <v>346.07420201063644</v>
      </c>
      <c r="X22" s="629">
        <f t="shared" si="83"/>
        <v>4.3857132273110935</v>
      </c>
      <c r="Y22" s="630">
        <f t="shared" si="223"/>
        <v>-0.94710285646221504</v>
      </c>
      <c r="Z22" s="632">
        <f t="shared" si="6"/>
        <v>0.85206480358801429</v>
      </c>
      <c r="AA22" s="629">
        <f t="shared" si="7"/>
        <v>-0.51677363013549815</v>
      </c>
      <c r="AB22" s="629">
        <f t="shared" si="8"/>
        <v>-8.3250139237708604E-2</v>
      </c>
      <c r="AC22" s="636">
        <f t="shared" si="84"/>
        <v>1</v>
      </c>
      <c r="AD22" s="637">
        <f t="shared" si="115"/>
        <v>0.85206480358801429</v>
      </c>
      <c r="AE22" s="629">
        <f t="shared" si="85"/>
        <v>-0.51677363013549815</v>
      </c>
      <c r="AF22" s="633">
        <f t="shared" si="86"/>
        <v>-8.3250139237708604E-2</v>
      </c>
      <c r="AG22" s="602">
        <f t="shared" si="87"/>
        <v>-80.848507604449424</v>
      </c>
      <c r="AH22" s="603">
        <f t="shared" si="88"/>
        <v>31.563035932866622</v>
      </c>
      <c r="AI22" s="585">
        <f t="shared" si="89"/>
        <v>-85.224591444313461</v>
      </c>
      <c r="AJ22" s="586">
        <f t="shared" si="90"/>
        <v>58.763369021579628</v>
      </c>
      <c r="AK22" s="635">
        <f t="shared" si="211"/>
        <v>0.95166951761572816</v>
      </c>
      <c r="AL22" s="629">
        <f t="shared" si="91"/>
        <v>-0.29562568149257507</v>
      </c>
      <c r="AM22" s="634">
        <f t="shared" si="92"/>
        <v>-8.3250139237708604E-2</v>
      </c>
      <c r="AN22" s="581">
        <f t="shared" si="93"/>
        <v>-74.272430645175049</v>
      </c>
      <c r="AO22" s="582">
        <f t="shared" si="94"/>
        <v>17.88599239689858</v>
      </c>
      <c r="AP22" s="585">
        <f t="shared" si="95"/>
        <v>-17.256832996853468</v>
      </c>
      <c r="AQ22" s="586">
        <f t="shared" si="9"/>
        <v>0.5197932401476556</v>
      </c>
      <c r="AS22" s="52">
        <f t="shared" si="116"/>
        <v>-13.925797989363559</v>
      </c>
      <c r="AT22" s="72">
        <f t="shared" si="10"/>
        <v>-0.93739466341946021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Taper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1.2310000000000001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4.1310000000000002</v>
      </c>
      <c r="II22" s="734" cm="1">
        <f t="array" ref="II22">IFERROR(IF($IH22&lt;1,$IH22+LARGE((IF($M$9:$M$150="",0,$M$9:$M$150)-MOD(IF($M$9:$M$150="",0,$M$9:$M$150),1)),1),$IH22),"")</f>
        <v>4.1310000000000002</v>
      </c>
      <c r="IJ22" s="533">
        <f t="shared" si="112"/>
        <v>1313</v>
      </c>
      <c r="IK22" s="533">
        <f t="shared" si="66"/>
        <v>1313</v>
      </c>
      <c r="IL22" s="727">
        <f t="shared" si="225"/>
        <v>181.29157382473522</v>
      </c>
      <c r="IM22" s="759">
        <v>2.2408434635502801E-4</v>
      </c>
      <c r="IN22" s="5">
        <f t="shared" si="226"/>
        <v>0</v>
      </c>
      <c r="IO22" s="771">
        <v>0</v>
      </c>
      <c r="IP22" s="9">
        <f t="shared" si="227"/>
        <v>-4.395913258074386</v>
      </c>
      <c r="IQ22" s="5">
        <f t="shared" si="228"/>
        <v>-0.93510282027010605</v>
      </c>
      <c r="IR22" s="5">
        <f t="shared" si="71"/>
        <v>0.26600000000000001</v>
      </c>
      <c r="IS22" s="5">
        <f t="shared" si="229"/>
        <v>0.23751975535706826</v>
      </c>
      <c r="IT22" s="727">
        <f t="shared" si="230"/>
        <v>62.747573799751592</v>
      </c>
      <c r="IU22" s="9">
        <f t="shared" si="231"/>
        <v>-4.3857132273110935</v>
      </c>
      <c r="IV22" s="5">
        <f t="shared" si="232"/>
        <v>-0.94710285646221504</v>
      </c>
      <c r="IW22" s="5">
        <f t="shared" si="76"/>
        <v>0.26600000000000001</v>
      </c>
      <c r="IX22" s="5">
        <f t="shared" si="233"/>
        <v>0.25314409168578372</v>
      </c>
      <c r="IY22" s="762">
        <f t="shared" si="234"/>
        <v>74.272430645175049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2.5797522356401372</v>
      </c>
      <c r="C23" s="708">
        <v>1.175408392878891</v>
      </c>
      <c r="D23" s="709">
        <v>-5.2700158943679534E-2</v>
      </c>
      <c r="E23" s="710">
        <v>-0.32659323553948227</v>
      </c>
      <c r="F23" s="708">
        <v>0.86093632965685873</v>
      </c>
      <c r="G23" s="711">
        <v>0.3900326842417558</v>
      </c>
      <c r="H23" s="710">
        <v>0.26600000000000001</v>
      </c>
      <c r="I23" s="708">
        <v>0.52</v>
      </c>
      <c r="J23" s="570">
        <v>2.1150000000000002</v>
      </c>
      <c r="K23" s="865">
        <f>IF($J23="","",IF(IFERROR(INDEX(Settings!$AK$14:$AK$36,MATCH((((ROUND($H23,6)*2)*1000000)+ROUND($I23,6)),Settings!$AI$14:$AI$36,0)),"Undefined")="Undefined","Undefined",IFERROR(INDEX(_xlfn.ANCHORARRAY(Settings!$BC$14),MATCH(IFERROR(INDEX(Settings!$AK$14:$AK$36,MATCH((((ROUND($H23,6)*2)*1000000)+ROUND($I23,6)),Settings!$AI$14:$AI$36,0)),"Undefined"),_xlfn.ANCHORARRAY(Settings!$BC$14),0)),"Inactive")))</f>
        <v>1313</v>
      </c>
      <c r="M23" s="168">
        <f t="shared" si="1"/>
        <v>2.1150000000000002</v>
      </c>
      <c r="N23" s="632">
        <f t="shared" si="2"/>
        <v>2.5797522356401372</v>
      </c>
      <c r="O23" s="629">
        <f t="shared" si="3"/>
        <v>1.175408392878891</v>
      </c>
      <c r="P23" s="633">
        <f t="shared" si="4"/>
        <v>-5.2700158943679534E-2</v>
      </c>
      <c r="Q23" s="585">
        <f t="shared" si="113"/>
        <v>24.495357480131158</v>
      </c>
      <c r="R23" s="629">
        <f t="shared" si="79"/>
        <v>2.8349085500841862</v>
      </c>
      <c r="S23" s="634">
        <f t="shared" si="80"/>
        <v>-5.2700158943679534E-2</v>
      </c>
      <c r="T23" s="635">
        <f t="shared" si="81"/>
        <v>1.1778392293328424</v>
      </c>
      <c r="U23" s="629">
        <f t="shared" si="82"/>
        <v>-2.5786432939018606</v>
      </c>
      <c r="V23" s="636">
        <f t="shared" si="114"/>
        <v>-5.2700158943679534E-2</v>
      </c>
      <c r="W23" s="585">
        <f t="shared" si="224"/>
        <v>294.54935747233446</v>
      </c>
      <c r="X23" s="629">
        <f t="shared" si="83"/>
        <v>2.8349085500841862</v>
      </c>
      <c r="Y23" s="630">
        <f t="shared" si="223"/>
        <v>-5.2700158943679534E-2</v>
      </c>
      <c r="Z23" s="632">
        <f t="shared" si="6"/>
        <v>0.32659323553948227</v>
      </c>
      <c r="AA23" s="629">
        <f t="shared" si="7"/>
        <v>-0.86093632965685873</v>
      </c>
      <c r="AB23" s="629">
        <f t="shared" si="8"/>
        <v>-0.3900326842417558</v>
      </c>
      <c r="AC23" s="636">
        <f t="shared" si="84"/>
        <v>1</v>
      </c>
      <c r="AD23" s="637">
        <f t="shared" si="115"/>
        <v>0.32659323553948227</v>
      </c>
      <c r="AE23" s="629">
        <f t="shared" si="85"/>
        <v>-0.86093632965685873</v>
      </c>
      <c r="AF23" s="633">
        <f t="shared" si="86"/>
        <v>-0.3900326842417558</v>
      </c>
      <c r="AG23" s="602">
        <f t="shared" si="87"/>
        <v>-65.627898408827264</v>
      </c>
      <c r="AH23" s="603">
        <f t="shared" si="88"/>
        <v>70.937871344537214</v>
      </c>
      <c r="AI23" s="585">
        <f t="shared" si="89"/>
        <v>-67.043466874701835</v>
      </c>
      <c r="AJ23" s="586">
        <f t="shared" si="90"/>
        <v>20.774068676410597</v>
      </c>
      <c r="AK23" s="635">
        <f t="shared" si="211"/>
        <v>0.91885956998835827</v>
      </c>
      <c r="AL23" s="629">
        <f t="shared" si="91"/>
        <v>-5.9762830120238253E-2</v>
      </c>
      <c r="AM23" s="634">
        <f t="shared" si="92"/>
        <v>-0.3900326842417558</v>
      </c>
      <c r="AN23" s="581">
        <f t="shared" si="93"/>
        <v>-8.711402750888368</v>
      </c>
      <c r="AO23" s="582">
        <f t="shared" si="94"/>
        <v>23.240075792354677</v>
      </c>
      <c r="AP23" s="585">
        <f t="shared" si="95"/>
        <v>-3.7212888037205207</v>
      </c>
      <c r="AQ23" s="586">
        <f t="shared" si="9"/>
        <v>0.80410952085819787</v>
      </c>
      <c r="AS23" s="52">
        <f t="shared" si="116"/>
        <v>-65.450642527665536</v>
      </c>
      <c r="AT23" s="72">
        <f t="shared" si="10"/>
        <v>-7.2108238604372474E-3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2.1150000000000002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>
        <f t="shared" si="112"/>
        <v>1313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22</v>
      </c>
      <c r="JC23" s="199"/>
      <c r="JD23" s="199"/>
      <c r="JE23" s="871"/>
      <c r="JF23" s="796" cm="1">
        <f t="array" ref="JF23:JG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10</v>
      </c>
      <c r="JG23" s="801">
        <v>12</v>
      </c>
      <c r="JH23" s="800" cm="1">
        <f t="array" ref="JH23:JI23">IF(_xlfn.ANCHORARRAY($JF$23)="","",_xlfn.MINIFS($IO$9:$IO$150,$IK$9:$IK$150,_xlfn.ANCHORARRAY($JA$23),$IE$9:$IE$150,_xlfn.ANCHORARRAY($JH$22),$II$9:$II$150,"&lt;&gt;"&amp;"",$IF$9:$IF$150,"&lt;&gt;"&amp;"Gage"))</f>
        <v>0</v>
      </c>
      <c r="JI23" s="801">
        <v>0</v>
      </c>
    </row>
    <row r="24" spans="1:269" ht="15" customHeight="1" x14ac:dyDescent="0.25">
      <c r="A24" s="79"/>
      <c r="B24" s="707">
        <v>3.2273818143532598</v>
      </c>
      <c r="C24" s="708">
        <v>1.4131594883678429</v>
      </c>
      <c r="D24" s="709">
        <v>-0.19990060290021835</v>
      </c>
      <c r="E24" s="710">
        <v>-0.16964934503274481</v>
      </c>
      <c r="F24" s="708">
        <v>0.91706035202082226</v>
      </c>
      <c r="G24" s="711">
        <v>0.3608592668636989</v>
      </c>
      <c r="H24" s="710">
        <v>0.26600000000000001</v>
      </c>
      <c r="I24" s="708">
        <v>0.52</v>
      </c>
      <c r="J24" s="570">
        <v>2.121</v>
      </c>
      <c r="K24" s="865">
        <f>IF($J24="","",IF(IFERROR(INDEX(Settings!$AK$14:$AK$36,MATCH((((ROUND($H24,6)*2)*1000000)+ROUND($I24,6)),Settings!$AI$14:$AI$36,0)),"Undefined")="Undefined","Undefined",IFERROR(INDEX(_xlfn.ANCHORARRAY(Settings!$BC$14),MATCH(IFERROR(INDEX(Settings!$AK$14:$AK$36,MATCH((((ROUND($H24,6)*2)*1000000)+ROUND($I24,6)),Settings!$AI$14:$AI$36,0)),"Undefined"),_xlfn.ANCHORARRAY(Settings!$BC$14),0)),"Inactive")))</f>
        <v>1313</v>
      </c>
      <c r="L24" s="86"/>
      <c r="M24" s="168">
        <f t="shared" si="1"/>
        <v>2.121</v>
      </c>
      <c r="N24" s="632">
        <f t="shared" si="2"/>
        <v>3.2273818143532598</v>
      </c>
      <c r="O24" s="629">
        <f t="shared" si="3"/>
        <v>1.4131594883678429</v>
      </c>
      <c r="P24" s="633">
        <f t="shared" si="4"/>
        <v>-0.19990060290021835</v>
      </c>
      <c r="Q24" s="585">
        <f t="shared" si="113"/>
        <v>23.646957602624951</v>
      </c>
      <c r="R24" s="629">
        <f t="shared" si="79"/>
        <v>3.5232106260032485</v>
      </c>
      <c r="S24" s="634">
        <f t="shared" si="80"/>
        <v>-0.19990060290021835</v>
      </c>
      <c r="T24" s="635">
        <f t="shared" si="81"/>
        <v>1.4162005955484467</v>
      </c>
      <c r="U24" s="629">
        <f t="shared" si="82"/>
        <v>-3.2260485099189733</v>
      </c>
      <c r="V24" s="636">
        <f t="shared" si="114"/>
        <v>-0.19990060290021835</v>
      </c>
      <c r="W24" s="585">
        <f t="shared" si="224"/>
        <v>293.70095759482831</v>
      </c>
      <c r="X24" s="629">
        <f t="shared" si="83"/>
        <v>3.5232106260032485</v>
      </c>
      <c r="Y24" s="630">
        <f t="shared" si="223"/>
        <v>-0.19990060290021835</v>
      </c>
      <c r="Z24" s="632">
        <f t="shared" si="6"/>
        <v>0.16964934503274481</v>
      </c>
      <c r="AA24" s="629">
        <f t="shared" si="7"/>
        <v>-0.91706035202082226</v>
      </c>
      <c r="AB24" s="629">
        <f t="shared" si="8"/>
        <v>-0.3608592668636989</v>
      </c>
      <c r="AC24" s="636">
        <f t="shared" si="84"/>
        <v>1</v>
      </c>
      <c r="AD24" s="637">
        <f t="shared" si="115"/>
        <v>0.16964934503274481</v>
      </c>
      <c r="AE24" s="629">
        <f t="shared" si="85"/>
        <v>-0.91706035202082226</v>
      </c>
      <c r="AF24" s="633">
        <f t="shared" si="86"/>
        <v>-0.3608592668636989</v>
      </c>
      <c r="AG24" s="602">
        <f t="shared" si="87"/>
        <v>-68.520577698212847</v>
      </c>
      <c r="AH24" s="603">
        <f t="shared" si="88"/>
        <v>80.23256813142811</v>
      </c>
      <c r="AI24" s="585">
        <f t="shared" si="89"/>
        <v>-68.84702408228334</v>
      </c>
      <c r="AJ24" s="586">
        <f t="shared" si="90"/>
        <v>10.480806141075155</v>
      </c>
      <c r="AK24" s="635">
        <f>IF(M24="","",(COS(RADIANS((90-$Q$8)-W24))*AD24)+(-SIN(RADIANS((90-$Q$8)-W24))*AE24))</f>
        <v>0.90810508483118524</v>
      </c>
      <c r="AL24" s="629">
        <f t="shared" si="91"/>
        <v>-0.21242821004362764</v>
      </c>
      <c r="AM24" s="634">
        <f t="shared" si="92"/>
        <v>-0.3608592668636989</v>
      </c>
      <c r="AN24" s="581">
        <f t="shared" si="93"/>
        <v>-30.484185215177082</v>
      </c>
      <c r="AO24" s="582">
        <f t="shared" si="94"/>
        <v>24.755212164214875</v>
      </c>
      <c r="AP24" s="585">
        <f t="shared" si="95"/>
        <v>-13.166151461549831</v>
      </c>
      <c r="AQ24" s="586">
        <f t="shared" si="9"/>
        <v>0.64703191586447961</v>
      </c>
      <c r="AS24" s="52">
        <f t="shared" si="116"/>
        <v>-66.29904240517169</v>
      </c>
      <c r="AT24" s="72">
        <f t="shared" si="10"/>
        <v>-0.15382210123537457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2.121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>
        <f t="shared" si="112"/>
        <v>1313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3.7854079139568593</v>
      </c>
      <c r="C25" s="708">
        <v>1.5895722570903674</v>
      </c>
      <c r="D25" s="709">
        <v>-0.58050175079328081</v>
      </c>
      <c r="E25" s="710">
        <v>-3.2268137482991052E-2</v>
      </c>
      <c r="F25" s="708">
        <v>0.95822321034494107</v>
      </c>
      <c r="G25" s="711">
        <v>0.28419543708443629</v>
      </c>
      <c r="H25" s="710">
        <v>0.26600000000000001</v>
      </c>
      <c r="I25" s="708">
        <v>0.52</v>
      </c>
      <c r="J25" s="570">
        <v>2.1269999999999998</v>
      </c>
      <c r="K25" s="865">
        <f>IF($J25="","",IF(IFERROR(INDEX(Settings!$AK$14:$AK$36,MATCH((((ROUND($H25,6)*2)*1000000)+ROUND($I25,6)),Settings!$AI$14:$AI$36,0)),"Undefined")="Undefined","Undefined",IFERROR(INDEX(_xlfn.ANCHORARRAY(Settings!$BC$14),MATCH(IFERROR(INDEX(Settings!$AK$14:$AK$36,MATCH((((ROUND($H25,6)*2)*1000000)+ROUND($I25,6)),Settings!$AI$14:$AI$36,0)),"Undefined"),_xlfn.ANCHORARRAY(Settings!$BC$14),0)),"Inactive")))</f>
        <v>1313</v>
      </c>
      <c r="L25" s="86"/>
      <c r="M25" s="168">
        <f t="shared" si="1"/>
        <v>2.1269999999999998</v>
      </c>
      <c r="N25" s="632">
        <f t="shared" si="2"/>
        <v>3.7854079139568593</v>
      </c>
      <c r="O25" s="629">
        <f t="shared" si="3"/>
        <v>1.5895722570903674</v>
      </c>
      <c r="P25" s="633">
        <f t="shared" si="4"/>
        <v>-0.58050175079328081</v>
      </c>
      <c r="Q25" s="585">
        <f t="shared" si="113"/>
        <v>22.778557728006376</v>
      </c>
      <c r="R25" s="629">
        <f>IF(M25="","",SQRT(N25^2+O25^2))</f>
        <v>4.1056123825269459</v>
      </c>
      <c r="S25" s="634">
        <f>IF(M25="","",P25)</f>
        <v>-0.58050175079328081</v>
      </c>
      <c r="T25" s="635">
        <f>IF(M25="","",X25*COS(RADIANS(W25)))</f>
        <v>1.5931392129751201</v>
      </c>
      <c r="U25" s="629">
        <f>IF(M25="","",X25*SIN(RADIANS(W25)))</f>
        <v>-3.78390809661646</v>
      </c>
      <c r="V25" s="636">
        <f>IF(M25="","",Y25)</f>
        <v>-0.58050175079328081</v>
      </c>
      <c r="W25" s="585">
        <f t="shared" si="224"/>
        <v>292.83255772020971</v>
      </c>
      <c r="X25" s="629">
        <f>IF(M25="","",R25)</f>
        <v>4.1056123825269459</v>
      </c>
      <c r="Y25" s="630">
        <f t="shared" si="223"/>
        <v>-0.58050175079328081</v>
      </c>
      <c r="Z25" s="632">
        <f t="shared" si="6"/>
        <v>3.2268137482991052E-2</v>
      </c>
      <c r="AA25" s="629">
        <f t="shared" si="7"/>
        <v>-0.95822321034494107</v>
      </c>
      <c r="AB25" s="629">
        <f t="shared" si="8"/>
        <v>-0.28419543708443629</v>
      </c>
      <c r="AC25" s="636">
        <f>IF(M25="","",SQRT(Z25^2+AA25^2+AB25^2))</f>
        <v>1</v>
      </c>
      <c r="AD25" s="637">
        <f>IF(M25="","",Z25*(1/SQRT(Z25^2+AA25^2+AB25^2)))</f>
        <v>3.2268137482991052E-2</v>
      </c>
      <c r="AE25" s="629">
        <f>IF(M25="","",AA25*(1/SQRT(Z25^2+AA25^2+AB25^2)))</f>
        <v>-0.95822321034494107</v>
      </c>
      <c r="AF25" s="633">
        <f>IF(M25="","",AB25*(1/SQRT(Z25^2+AA25^2+AB25^2)))</f>
        <v>-0.28419543708443629</v>
      </c>
      <c r="AG25" s="602">
        <f>IF(M25="","",DEGREES(ATAN2(-AF25,AE25)))</f>
        <v>-73.480389001440926</v>
      </c>
      <c r="AH25" s="603">
        <f>IF(M25="","",DEGREES(ACOS(AD25)))</f>
        <v>88.150850915674411</v>
      </c>
      <c r="AI25" s="585">
        <f>IF(M25="","",DEGREES(-ACOS(-AF25)))</f>
        <v>-73.489237997432582</v>
      </c>
      <c r="AJ25" s="586">
        <f>IF(M25="","",DEGREES(ATAN2(-AE25,AD25)))</f>
        <v>1.9287048012073356</v>
      </c>
      <c r="AK25" s="635">
        <f>IF(M25="","",(COS(RADIANS((90-$Q$8)-W25))*AD25)+(-SIN(RADIANS((90-$Q$8)-W25))*AE25))</f>
        <v>0.89598284425567909</v>
      </c>
      <c r="AL25" s="629">
        <f>IF(M25="","",(SIN(RADIANS((90-$Q$8)-W25))*AD25)+(COS(RADIANS((90-$Q$8)-W25))*AE25))</f>
        <v>-0.34124433524952458</v>
      </c>
      <c r="AM25" s="634">
        <f>IF(M25="","",AF25)</f>
        <v>-0.28419543708443629</v>
      </c>
      <c r="AN25" s="581">
        <f>IF(M25="","",DEGREES(ATAN2(-AM25,AL25)))</f>
        <v>-50.211758397248303</v>
      </c>
      <c r="AO25" s="582">
        <f>IF(ROUND(IF(M25="",0,DEGREES(ACOS(AK25))),4)=90,0,IF(M25="","",DEGREES(ACOS(AK25))))</f>
        <v>26.365046578558207</v>
      </c>
      <c r="AP25" s="585">
        <f>IF(M25="","",DEGREES(ATAN2(AK25,AL25)))</f>
        <v>-20.849852926799056</v>
      </c>
      <c r="AQ25" s="586">
        <f t="shared" si="9"/>
        <v>0.55525340726220296</v>
      </c>
      <c r="AS25" s="52">
        <f t="shared" si="116"/>
        <v>-67.167442279790293</v>
      </c>
      <c r="AT25" s="72">
        <f t="shared" si="10"/>
        <v>-0.53382019365995192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2.1269999999999998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>
        <f t="shared" si="112"/>
        <v>1313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4.1761067451359404</v>
      </c>
      <c r="C26" s="708">
        <v>1.6980049033831626</v>
      </c>
      <c r="D26" s="709">
        <v>-1.1335034186463107</v>
      </c>
      <c r="E26" s="710">
        <v>6.7647515131610422E-2</v>
      </c>
      <c r="F26" s="708">
        <v>0.98205890631837778</v>
      </c>
      <c r="G26" s="711">
        <v>0.17602306160634282</v>
      </c>
      <c r="H26" s="710">
        <v>0.26600000000000001</v>
      </c>
      <c r="I26" s="708">
        <v>0.52</v>
      </c>
      <c r="J26" s="570">
        <v>2.133</v>
      </c>
      <c r="K26" s="865">
        <f>IF($J26="","",IF(IFERROR(INDEX(Settings!$AK$14:$AK$36,MATCH((((ROUND($H26,6)*2)*1000000)+ROUND($I26,6)),Settings!$AI$14:$AI$36,0)),"Undefined")="Undefined","Undefined",IFERROR(INDEX(_xlfn.ANCHORARRAY(Settings!$BC$14),MATCH(IFERROR(INDEX(Settings!$AK$14:$AK$36,MATCH((((ROUND($H26,6)*2)*1000000)+ROUND($I26,6)),Settings!$AI$14:$AI$36,0)),"Undefined"),_xlfn.ANCHORARRAY(Settings!$BC$14),0)),"Inactive")))</f>
        <v>1313</v>
      </c>
      <c r="L26" s="320"/>
      <c r="M26" s="168">
        <f t="shared" si="1"/>
        <v>2.133</v>
      </c>
      <c r="N26" s="632">
        <f t="shared" si="2"/>
        <v>4.1761067451359404</v>
      </c>
      <c r="O26" s="629">
        <f t="shared" si="3"/>
        <v>1.6980049033831626</v>
      </c>
      <c r="P26" s="633">
        <f t="shared" si="4"/>
        <v>-1.1335034186463107</v>
      </c>
      <c r="Q26" s="585">
        <f t="shared" si="113"/>
        <v>22.126657822129083</v>
      </c>
      <c r="R26" s="629">
        <f>IF(M26="","",SQRT(N26^2+O26^2))</f>
        <v>4.5081135964706078</v>
      </c>
      <c r="S26" s="634">
        <f>IF(M26="","",P26)</f>
        <v>-1.1335034186463107</v>
      </c>
      <c r="T26" s="635">
        <f>IF(M26="","",X26*COS(RADIANS(W26)))</f>
        <v>1.7019400359751669</v>
      </c>
      <c r="U26" s="629">
        <f>IF(M26="","",X26*SIN(RADIANS(W26)))</f>
        <v>-4.174504558942056</v>
      </c>
      <c r="V26" s="636">
        <f>IF(M26="","",Y26)</f>
        <v>-1.1335034186463107</v>
      </c>
      <c r="W26" s="585">
        <f t="shared" si="224"/>
        <v>292.18065781433245</v>
      </c>
      <c r="X26" s="629">
        <f>IF(M26="","",R26)</f>
        <v>4.5081135964706078</v>
      </c>
      <c r="Y26" s="630">
        <f t="shared" si="223"/>
        <v>-1.1335034186463107</v>
      </c>
      <c r="Z26" s="632">
        <f t="shared" si="6"/>
        <v>-6.7647515131610422E-2</v>
      </c>
      <c r="AA26" s="629">
        <f t="shared" si="7"/>
        <v>-0.98205890631837778</v>
      </c>
      <c r="AB26" s="629">
        <f t="shared" si="8"/>
        <v>-0.17602306160634282</v>
      </c>
      <c r="AC26" s="636">
        <f>IF(M26="","",SQRT(Z26^2+AA26^2+AB26^2))</f>
        <v>1</v>
      </c>
      <c r="AD26" s="637">
        <f>IF(M26="","",Z26*(1/SQRT(Z26^2+AA26^2+AB26^2)))</f>
        <v>-6.7647515131610422E-2</v>
      </c>
      <c r="AE26" s="629">
        <f>IF(M26="","",AA26*(1/SQRT(Z26^2+AA26^2+AB26^2)))</f>
        <v>-0.98205890631837778</v>
      </c>
      <c r="AF26" s="633">
        <f>IF(M26="","",AB26*(1/SQRT(Z26^2+AA26^2+AB26^2)))</f>
        <v>-0.17602306160634282</v>
      </c>
      <c r="AG26" s="602">
        <f>IF(M26="","",DEGREES(ATAN2(-AF26,AE26)))</f>
        <v>-79.838276596688445</v>
      </c>
      <c r="AH26" s="603">
        <f>IF(M26="","",DEGREES(ACOS(AD26)))</f>
        <v>93.878879368914113</v>
      </c>
      <c r="AI26" s="585">
        <f>IF(M26="","",DEGREES(-ACOS(-AF26)))</f>
        <v>-79.861800539020564</v>
      </c>
      <c r="AJ26" s="586">
        <f>IF(M26="","",DEGREES(ATAN2(-AE26,AD26)))</f>
        <v>-3.9405011031015422</v>
      </c>
      <c r="AK26" s="635">
        <f>IF(M26="","",(COS(RADIANS((90-$Q$8)-W26))*AD26)+(-SIN(RADIANS((90-$Q$8)-W26))*AE26))</f>
        <v>0.88425389580305114</v>
      </c>
      <c r="AL26" s="629">
        <f>IF(M26="","",(SIN(RADIANS((90-$Q$8)-W26))*AD26)+(COS(RADIANS((90-$Q$8)-W26))*AE26))</f>
        <v>-0.43256320872198162</v>
      </c>
      <c r="AM26" s="634">
        <f>IF(M26="","",AF26)</f>
        <v>-0.17602306160634282</v>
      </c>
      <c r="AN26" s="581">
        <f>IF(M26="","",DEGREES(ATAN2(-AM26,AL26)))</f>
        <v>-67.857104601325702</v>
      </c>
      <c r="AO26" s="582">
        <f t="shared" si="94"/>
        <v>27.840155147490691</v>
      </c>
      <c r="AP26" s="585">
        <f>IF(M26="","",DEGREES(ATAN2(AK26,AL26)))</f>
        <v>-26.067158925230675</v>
      </c>
      <c r="AQ26" s="586">
        <f t="shared" si="9"/>
        <v>0.50568101046523362</v>
      </c>
      <c r="AS26" s="52">
        <f t="shared" si="116"/>
        <v>-67.819342185667551</v>
      </c>
      <c r="AT26" s="72">
        <f t="shared" si="10"/>
        <v>-1.0863691532450115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2.133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>
        <f t="shared" si="112"/>
        <v>1313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4.3450402177893261</v>
      </c>
      <c r="C27" s="708">
        <v>1.7411440154353888</v>
      </c>
      <c r="D27" s="709">
        <v>-1.7871053899098561</v>
      </c>
      <c r="E27" s="710">
        <v>0.13721408428733278</v>
      </c>
      <c r="F27" s="708">
        <v>0.9885967755837517</v>
      </c>
      <c r="G27" s="711">
        <v>6.2037975294153336E-2</v>
      </c>
      <c r="H27" s="710">
        <v>0.26600000000000001</v>
      </c>
      <c r="I27" s="708">
        <v>0.52</v>
      </c>
      <c r="J27" s="570">
        <v>2.1389999999999998</v>
      </c>
      <c r="K27" s="865">
        <f>IF($J27="","",IF(IFERROR(INDEX(Settings!$AK$14:$AK$36,MATCH((((ROUND($H27,6)*2)*1000000)+ROUND($I27,6)),Settings!$AI$14:$AI$36,0)),"Undefined")="Undefined","Undefined",IFERROR(INDEX(_xlfn.ANCHORARRAY(Settings!$BC$14),MATCH(IFERROR(INDEX(Settings!$AK$14:$AK$36,MATCH((((ROUND($H27,6)*2)*1000000)+ROUND($I27,6)),Settings!$AI$14:$AI$36,0)),"Undefined"),_xlfn.ANCHORARRAY(Settings!$BC$14),0)),"Inactive")))</f>
        <v>1313</v>
      </c>
      <c r="L27" s="320"/>
      <c r="M27" s="168">
        <f t="shared" si="1"/>
        <v>2.1389999999999998</v>
      </c>
      <c r="N27" s="632">
        <f t="shared" si="2"/>
        <v>4.3450402177893261</v>
      </c>
      <c r="O27" s="629">
        <f t="shared" si="3"/>
        <v>1.7411440154353888</v>
      </c>
      <c r="P27" s="633">
        <f t="shared" si="4"/>
        <v>-1.7871053899098561</v>
      </c>
      <c r="Q27" s="585">
        <f t="shared" si="113"/>
        <v>21.836957863956581</v>
      </c>
      <c r="R27" s="629">
        <f t="shared" si="79"/>
        <v>4.6809141176369797</v>
      </c>
      <c r="S27" s="634">
        <f t="shared" si="80"/>
        <v>-1.7871053899098561</v>
      </c>
      <c r="T27" s="635">
        <f t="shared" si="81"/>
        <v>1.7452383448683653</v>
      </c>
      <c r="U27" s="629">
        <f t="shared" si="82"/>
        <v>-4.3433972989233105</v>
      </c>
      <c r="V27" s="636">
        <f t="shared" si="114"/>
        <v>-1.7871053899098561</v>
      </c>
      <c r="W27" s="585">
        <f t="shared" si="224"/>
        <v>291.89095785615996</v>
      </c>
      <c r="X27" s="629">
        <f t="shared" si="83"/>
        <v>4.6809141176369797</v>
      </c>
      <c r="Y27" s="630">
        <f t="shared" si="223"/>
        <v>-1.7871053899098561</v>
      </c>
      <c r="Z27" s="632">
        <f t="shared" si="6"/>
        <v>-0.13721408428733278</v>
      </c>
      <c r="AA27" s="629">
        <f t="shared" si="7"/>
        <v>-0.9885967755837517</v>
      </c>
      <c r="AB27" s="629">
        <f t="shared" si="8"/>
        <v>-6.2037975294153336E-2</v>
      </c>
      <c r="AC27" s="636">
        <f t="shared" si="84"/>
        <v>1</v>
      </c>
      <c r="AD27" s="637">
        <f t="shared" si="115"/>
        <v>-0.13721408428733278</v>
      </c>
      <c r="AE27" s="629">
        <f t="shared" si="85"/>
        <v>-0.9885967755837517</v>
      </c>
      <c r="AF27" s="633">
        <f t="shared" si="86"/>
        <v>-6.2037975294153336E-2</v>
      </c>
      <c r="AG27" s="602">
        <f t="shared" si="87"/>
        <v>-86.409193990123384</v>
      </c>
      <c r="AH27" s="603">
        <f t="shared" si="88"/>
        <v>97.886669211085689</v>
      </c>
      <c r="AI27" s="585">
        <f t="shared" si="89"/>
        <v>-86.443201838923301</v>
      </c>
      <c r="AJ27" s="586">
        <f t="shared" si="90"/>
        <v>-7.9019870603017983</v>
      </c>
      <c r="AK27" s="635">
        <f t="shared" si="211"/>
        <v>0.86662202412843192</v>
      </c>
      <c r="AL27" s="629">
        <f t="shared" si="91"/>
        <v>-0.49509348300794842</v>
      </c>
      <c r="AM27" s="634">
        <f t="shared" si="92"/>
        <v>-6.2037975294153336E-2</v>
      </c>
      <c r="AN27" s="581">
        <f t="shared" si="93"/>
        <v>-82.857745301600062</v>
      </c>
      <c r="AO27" s="582">
        <f t="shared" si="94"/>
        <v>29.931561532396479</v>
      </c>
      <c r="AP27" s="585">
        <f t="shared" si="95"/>
        <v>-29.738944924258419</v>
      </c>
      <c r="AQ27" s="586">
        <f t="shared" si="9"/>
        <v>0.48701421794122207</v>
      </c>
      <c r="AS27" s="52">
        <f t="shared" si="116"/>
        <v>-68.109042143840043</v>
      </c>
      <c r="AT27" s="72">
        <f t="shared" si="10"/>
        <v>-1.7397699439820482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2.1389999999999998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>
        <f t="shared" si="112"/>
        <v>1313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4.433361323492921</v>
      </c>
      <c r="C28" s="708">
        <v>1.7463437056162336</v>
      </c>
      <c r="D28" s="709">
        <v>-2.4345073424741455</v>
      </c>
      <c r="E28" s="710">
        <v>0.31730525742005494</v>
      </c>
      <c r="F28" s="708">
        <v>0.94832345410918284</v>
      </c>
      <c r="G28" s="711">
        <v>1.4578093186922316E-7</v>
      </c>
      <c r="H28" s="710">
        <v>0.26600000000000001</v>
      </c>
      <c r="I28" s="708">
        <v>0.52</v>
      </c>
      <c r="J28" s="570">
        <v>2.145</v>
      </c>
      <c r="K28" s="865">
        <f>IF($J28="","",IF(IFERROR(INDEX(Settings!$AK$14:$AK$36,MATCH((((ROUND($H28,6)*2)*1000000)+ROUND($I28,6)),Settings!$AI$14:$AI$36,0)),"Undefined")="Undefined","Undefined",IFERROR(INDEX(_xlfn.ANCHORARRAY(Settings!$BC$14),MATCH(IFERROR(INDEX(Settings!$AK$14:$AK$36,MATCH((((ROUND($H28,6)*2)*1000000)+ROUND($I28,6)),Settings!$AI$14:$AI$36,0)),"Undefined"),_xlfn.ANCHORARRAY(Settings!$BC$14),0)),"Inactive")))</f>
        <v>1313</v>
      </c>
      <c r="L28" s="320"/>
      <c r="M28" s="168">
        <f t="shared" si="1"/>
        <v>2.145</v>
      </c>
      <c r="N28" s="632">
        <f t="shared" si="2"/>
        <v>4.433361323492921</v>
      </c>
      <c r="O28" s="629">
        <f t="shared" si="3"/>
        <v>1.7463437056162336</v>
      </c>
      <c r="P28" s="633">
        <f t="shared" si="4"/>
        <v>-2.4345073424741455</v>
      </c>
      <c r="Q28" s="585">
        <f t="shared" si="113"/>
        <v>21.499957912613354</v>
      </c>
      <c r="R28" s="629">
        <f t="shared" si="79"/>
        <v>4.7649143709817432</v>
      </c>
      <c r="S28" s="634">
        <f t="shared" si="80"/>
        <v>-2.4345073424741455</v>
      </c>
      <c r="T28" s="635">
        <f t="shared" si="81"/>
        <v>1.7505212733965647</v>
      </c>
      <c r="U28" s="629">
        <f t="shared" si="82"/>
        <v>-4.4317134648095662</v>
      </c>
      <c r="V28" s="636">
        <f t="shared" si="114"/>
        <v>-2.4345073424741455</v>
      </c>
      <c r="W28" s="585">
        <f t="shared" si="224"/>
        <v>291.55395790481668</v>
      </c>
      <c r="X28" s="629">
        <f t="shared" si="83"/>
        <v>4.7649143709817432</v>
      </c>
      <c r="Y28" s="630">
        <f t="shared" si="223"/>
        <v>-2.4345073424741455</v>
      </c>
      <c r="Z28" s="632">
        <f t="shared" si="6"/>
        <v>-0.31730525742005494</v>
      </c>
      <c r="AA28" s="629">
        <f t="shared" si="7"/>
        <v>-0.94832345410918284</v>
      </c>
      <c r="AB28" s="629">
        <f t="shared" si="8"/>
        <v>-1.4578093186922316E-7</v>
      </c>
      <c r="AC28" s="636">
        <f t="shared" si="84"/>
        <v>1</v>
      </c>
      <c r="AD28" s="637">
        <f t="shared" si="115"/>
        <v>-0.31730525742005494</v>
      </c>
      <c r="AE28" s="629">
        <f t="shared" si="85"/>
        <v>-0.94832345410918284</v>
      </c>
      <c r="AF28" s="633">
        <f t="shared" si="86"/>
        <v>-1.4578093186922316E-7</v>
      </c>
      <c r="AG28" s="602">
        <f t="shared" si="87"/>
        <v>-89.999991192211795</v>
      </c>
      <c r="AH28" s="603">
        <f t="shared" si="88"/>
        <v>108.5000363121011</v>
      </c>
      <c r="AI28" s="585">
        <f t="shared" si="89"/>
        <v>-89.999991647367878</v>
      </c>
      <c r="AJ28" s="586">
        <f t="shared" si="90"/>
        <v>-18.500036312101308</v>
      </c>
      <c r="AK28" s="635">
        <f t="shared" si="211"/>
        <v>0.76604450791050738</v>
      </c>
      <c r="AL28" s="629">
        <f t="shared" si="91"/>
        <v>-0.64278753247097686</v>
      </c>
      <c r="AM28" s="634">
        <f t="shared" si="92"/>
        <v>-1.4578093186922316E-7</v>
      </c>
      <c r="AN28" s="581">
        <f t="shared" si="93"/>
        <v>-89.999987005609626</v>
      </c>
      <c r="AO28" s="582">
        <f t="shared" si="94"/>
        <v>39.999994224715365</v>
      </c>
      <c r="AP28" s="585">
        <f t="shared" si="95"/>
        <v>-39.999994224714641</v>
      </c>
      <c r="AQ28" s="586">
        <f t="shared" si="9"/>
        <v>0.47842909009572149</v>
      </c>
      <c r="AS28" s="52">
        <f t="shared" si="116"/>
        <v>-68.446042095183316</v>
      </c>
      <c r="AT28" s="72">
        <f t="shared" si="10"/>
        <v>-2.3869378688023493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2.145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>
        <f t="shared" si="112"/>
        <v>1313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3.1572038590228759</v>
      </c>
      <c r="C29" s="708">
        <v>0.42446715523072426</v>
      </c>
      <c r="D29" s="709">
        <v>-0.10970033085619792</v>
      </c>
      <c r="E29" s="710">
        <v>-1.5771105197666647E-2</v>
      </c>
      <c r="F29" s="708">
        <v>0.97746003605361831</v>
      </c>
      <c r="G29" s="711">
        <v>0.21053063947773376</v>
      </c>
      <c r="H29" s="710">
        <v>0.26600000000000001</v>
      </c>
      <c r="I29" s="708">
        <v>0.52</v>
      </c>
      <c r="J29" s="570">
        <v>2.218</v>
      </c>
      <c r="K29" s="865">
        <f>IF($J29="","",IF(IFERROR(INDEX(Settings!$AK$14:$AK$36,MATCH((((ROUND($H29,6)*2)*1000000)+ROUND($I29,6)),Settings!$AI$14:$AI$36,0)),"Undefined")="Undefined","Undefined",IFERROR(INDEX(_xlfn.ANCHORARRAY(Settings!$BC$14),MATCH(IFERROR(INDEX(Settings!$AK$14:$AK$36,MATCH((((ROUND($H29,6)*2)*1000000)+ROUND($I29,6)),Settings!$AI$14:$AI$36,0)),"Undefined"),_xlfn.ANCHORARRAY(Settings!$BC$14),0)),"Inactive")))</f>
        <v>1313</v>
      </c>
      <c r="L29" s="86"/>
      <c r="M29" s="168">
        <f t="shared" si="1"/>
        <v>2.218</v>
      </c>
      <c r="N29" s="632">
        <f t="shared" si="2"/>
        <v>3.1572038590228759</v>
      </c>
      <c r="O29" s="629">
        <f t="shared" si="3"/>
        <v>0.42446715523072426</v>
      </c>
      <c r="P29" s="633">
        <f t="shared" si="4"/>
        <v>-0.10970033085619792</v>
      </c>
      <c r="Q29" s="585">
        <f t="shared" si="113"/>
        <v>7.6571599112660929</v>
      </c>
      <c r="R29" s="629">
        <f>IF(M29="","",SQRT(N29^2+O29^2))</f>
        <v>3.1856096077985772</v>
      </c>
      <c r="S29" s="634">
        <f>IF(M29="","",P29)</f>
        <v>-0.10970033085619792</v>
      </c>
      <c r="T29" s="635">
        <f>IF(M29="","",X29*COS(RADIANS(W29)))</f>
        <v>0.42744256037593903</v>
      </c>
      <c r="U29" s="629">
        <f>IF(M29="","",X29*SIN(RADIANS(W29)))</f>
        <v>-3.1568024060555113</v>
      </c>
      <c r="V29" s="636">
        <f>IF(M29="","",Y29)</f>
        <v>-0.10970033085619792</v>
      </c>
      <c r="W29" s="585">
        <f t="shared" si="224"/>
        <v>277.71115990346948</v>
      </c>
      <c r="X29" s="629">
        <f>IF(M29="","",R29)</f>
        <v>3.1856096077985772</v>
      </c>
      <c r="Y29" s="630">
        <f t="shared" si="223"/>
        <v>-0.10970033085619792</v>
      </c>
      <c r="Z29" s="632">
        <f t="shared" si="6"/>
        <v>1.5771105197666647E-2</v>
      </c>
      <c r="AA29" s="629">
        <f t="shared" si="7"/>
        <v>-0.97746003605361831</v>
      </c>
      <c r="AB29" s="629">
        <f t="shared" si="8"/>
        <v>-0.21053063947773376</v>
      </c>
      <c r="AC29" s="636">
        <f>IF(M29="","",SQRT(Z29^2+AA29^2+AB29^2))</f>
        <v>1</v>
      </c>
      <c r="AD29" s="637">
        <f>IF(M29="","",Z29*(1/SQRT(Z29^2+AA29^2+AB29^2)))</f>
        <v>1.5771105197666647E-2</v>
      </c>
      <c r="AE29" s="629">
        <f>IF(M29="","",AA29*(1/SQRT(Z29^2+AA29^2+AB29^2)))</f>
        <v>-0.97746003605361831</v>
      </c>
      <c r="AF29" s="633">
        <f>IF(M29="","",AB29*(1/SQRT(Z29^2+AA29^2+AB29^2)))</f>
        <v>-0.21053063947773376</v>
      </c>
      <c r="AG29" s="602">
        <f>IF(M29="","",DEGREES(ATAN2(-AF29,AE29)))</f>
        <v>-77.845014297144303</v>
      </c>
      <c r="AH29" s="603">
        <f>IF(M29="","",DEGREES(ACOS(AD29)))</f>
        <v>89.096344770586526</v>
      </c>
      <c r="AI29" s="585">
        <f>IF(M29="","",DEGREES(-ACOS(-AF29)))</f>
        <v>-77.846549122440749</v>
      </c>
      <c r="AJ29" s="586">
        <f>IF(M29="","",DEGREES(ATAN2(-AE29,AD29)))</f>
        <v>0.92437473830100481</v>
      </c>
      <c r="AK29" s="635">
        <f>IF(M29="","",(COS(RADIANS((90-$Q$8)-W29))*AD29)+(-SIN(RADIANS((90-$Q$8)-W29))*AE29))</f>
        <v>0.97084555070904088</v>
      </c>
      <c r="AL29" s="629">
        <f>IF(M29="","",(SIN(RADIANS((90-$Q$8)-W29))*AD29)+(COS(RADIANS((90-$Q$8)-W29))*AE29))</f>
        <v>-0.1146113716415432</v>
      </c>
      <c r="AM29" s="634">
        <f>IF(M29="","",AF29)</f>
        <v>-0.21053063947773376</v>
      </c>
      <c r="AN29" s="581">
        <f>IF(M29="","",DEGREES(ATAN2(-AM29,AL29)))</f>
        <v>-28.563555836670371</v>
      </c>
      <c r="AO29" s="582">
        <f t="shared" si="94"/>
        <v>13.869182774173535</v>
      </c>
      <c r="AP29" s="585">
        <f>IF(M29="","",DEGREES(ATAN2(AK29,AL29)))</f>
        <v>-6.7327851729651202</v>
      </c>
      <c r="AQ29" s="586">
        <f t="shared" si="9"/>
        <v>0.71559556098621879</v>
      </c>
      <c r="AS29" s="52">
        <f t="shared" si="116"/>
        <v>-82.288840096530521</v>
      </c>
      <c r="AT29" s="72">
        <f t="shared" si="10"/>
        <v>-5.251780301679939E-2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>Nose</v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2.218</v>
      </c>
      <c r="IH29" s="731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5.1180000000000003</v>
      </c>
      <c r="II29" s="734" cm="1">
        <f t="array" ref="II29">IFERROR(IF($IH29&lt;1,$IH29+LARGE((IF($M$9:$M$150="",0,$M$9:$M$150)-MOD(IF($M$9:$M$150="",0,$M$9:$M$150),1)),1),$IH29),"")</f>
        <v>5.1180000000000003</v>
      </c>
      <c r="IJ29" s="533">
        <f t="shared" si="112"/>
        <v>1313</v>
      </c>
      <c r="IK29" s="533">
        <f t="shared" si="66"/>
        <v>1313</v>
      </c>
      <c r="IL29" s="727">
        <f t="shared" si="225"/>
        <v>196.4345236159329</v>
      </c>
      <c r="IM29" s="759">
        <v>3.9900565843372802E-4</v>
      </c>
      <c r="IN29" s="5">
        <f t="shared" si="226"/>
        <v>0</v>
      </c>
      <c r="IO29" s="771">
        <v>0</v>
      </c>
      <c r="IP29" s="9">
        <f t="shared" si="227"/>
        <v>-3.1875096135289946</v>
      </c>
      <c r="IQ29" s="5">
        <f t="shared" si="228"/>
        <v>-9.5600288330469588E-2</v>
      </c>
      <c r="IR29" s="5">
        <f t="shared" si="71"/>
        <v>0.26600000000000001</v>
      </c>
      <c r="IS29" s="5">
        <f t="shared" si="229"/>
        <v>0.24396860253501199</v>
      </c>
      <c r="IT29" s="727">
        <f t="shared" si="230"/>
        <v>20.113162022016112</v>
      </c>
      <c r="IU29" s="9">
        <f t="shared" si="231"/>
        <v>-3.1856096077985772</v>
      </c>
      <c r="IV29" s="5">
        <f t="shared" si="232"/>
        <v>-0.10970033085619792</v>
      </c>
      <c r="IW29" s="5">
        <f t="shared" si="76"/>
        <v>0.26600000000000001</v>
      </c>
      <c r="IX29" s="5">
        <f t="shared" si="233"/>
        <v>0.25824491648860487</v>
      </c>
      <c r="IY29" s="762">
        <f t="shared" si="234"/>
        <v>28.563555836670371</v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22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0</v>
      </c>
    </row>
    <row r="30" spans="1:269" ht="15" customHeight="1" x14ac:dyDescent="0.25">
      <c r="A30" s="79"/>
      <c r="B30" s="707">
        <v>3.7686822761893604</v>
      </c>
      <c r="C30" s="708">
        <v>0.66331725992385515</v>
      </c>
      <c r="D30" s="709">
        <v>-0.37870114216264505</v>
      </c>
      <c r="E30" s="710">
        <v>4.4055533692598021E-2</v>
      </c>
      <c r="F30" s="708">
        <v>0.98446885967935061</v>
      </c>
      <c r="G30" s="711">
        <v>0.16994167903342455</v>
      </c>
      <c r="H30" s="710">
        <v>0.26600000000000001</v>
      </c>
      <c r="I30" s="708">
        <v>0.52</v>
      </c>
      <c r="J30" s="570">
        <v>2.2240000000000002</v>
      </c>
      <c r="K30" s="865">
        <f>IF($J30="","",IF(IFERROR(INDEX(Settings!$AK$14:$AK$36,MATCH((((ROUND($H30,6)*2)*1000000)+ROUND($I30,6)),Settings!$AI$14:$AI$36,0)),"Undefined")="Undefined","Undefined",IFERROR(INDEX(_xlfn.ANCHORARRAY(Settings!$BC$14),MATCH(IFERROR(INDEX(Settings!$AK$14:$AK$36,MATCH((((ROUND($H30,6)*2)*1000000)+ROUND($I30,6)),Settings!$AI$14:$AI$36,0)),"Undefined"),_xlfn.ANCHORARRAY(Settings!$BC$14),0)),"Inactive")))</f>
        <v>1313</v>
      </c>
      <c r="L30" s="86"/>
      <c r="M30" s="168">
        <f t="shared" si="1"/>
        <v>2.2240000000000002</v>
      </c>
      <c r="N30" s="632">
        <f t="shared" si="2"/>
        <v>3.7686822761893604</v>
      </c>
      <c r="O30" s="629">
        <f t="shared" si="3"/>
        <v>0.66331725992385515</v>
      </c>
      <c r="P30" s="633">
        <f t="shared" si="4"/>
        <v>-0.37870114216264505</v>
      </c>
      <c r="Q30" s="585">
        <f t="shared" si="113"/>
        <v>9.9822595755632424</v>
      </c>
      <c r="R30" s="629">
        <f>IF(M30="","",SQRT(N30^2+O30^2))</f>
        <v>3.8266115410604078</v>
      </c>
      <c r="S30" s="634">
        <f>IF(M30="","",P30)</f>
        <v>-0.37870114216264505</v>
      </c>
      <c r="T30" s="635">
        <f>IF(M30="","",X30*COS(RADIANS(W30)))</f>
        <v>0.66686886365051679</v>
      </c>
      <c r="U30" s="629">
        <f>IF(M30="","",X30*SIN(RADIANS(W30)))</f>
        <v>-3.7680554407904054</v>
      </c>
      <c r="V30" s="636">
        <f>IF(M30="","",Y30)</f>
        <v>-0.37870114216264505</v>
      </c>
      <c r="W30" s="585">
        <f t="shared" si="224"/>
        <v>280.03625956776659</v>
      </c>
      <c r="X30" s="629">
        <f>IF(M30="","",R30)</f>
        <v>3.8266115410604078</v>
      </c>
      <c r="Y30" s="630">
        <f t="shared" si="223"/>
        <v>-0.37870114216264505</v>
      </c>
      <c r="Z30" s="632">
        <f t="shared" si="6"/>
        <v>-4.4055533692598021E-2</v>
      </c>
      <c r="AA30" s="629">
        <f t="shared" si="7"/>
        <v>-0.98446885967935061</v>
      </c>
      <c r="AB30" s="629">
        <f t="shared" si="8"/>
        <v>-0.16994167903342455</v>
      </c>
      <c r="AC30" s="636">
        <f>IF(M30="","",SQRT(Z30^2+AA30^2+AB30^2))</f>
        <v>1</v>
      </c>
      <c r="AD30" s="637">
        <f>IF(M30="","",Z30*(1/SQRT(Z30^2+AA30^2+AB30^2)))</f>
        <v>-4.4055533692598021E-2</v>
      </c>
      <c r="AE30" s="629">
        <f>IF(M30="","",AA30*(1/SQRT(Z30^2+AA30^2+AB30^2)))</f>
        <v>-0.98446885967935061</v>
      </c>
      <c r="AF30" s="633">
        <f>IF(M30="","",AB30*(1/SQRT(Z30^2+AA30^2+AB30^2)))</f>
        <v>-0.16994167903342455</v>
      </c>
      <c r="AG30" s="602">
        <f>IF(M30="","",DEGREES(ATAN2(-AF30,AE30)))</f>
        <v>-80.205969068560179</v>
      </c>
      <c r="AH30" s="603">
        <f>IF(M30="","",DEGREES(ACOS(AD30)))</f>
        <v>92.525013389962524</v>
      </c>
      <c r="AI30" s="585">
        <f>IF(M30="","",DEGREES(-ACOS(-AF30)))</f>
        <v>-80.215571828993049</v>
      </c>
      <c r="AJ30" s="586">
        <f>IF(M30="","",DEGREES(ATAN2(-AE30,AD30)))</f>
        <v>-2.5623087474732746</v>
      </c>
      <c r="AK30" s="635">
        <f>IF(M30="","",(COS(RADIANS((90-$Q$8)-W30))*AD30)+(-SIN(RADIANS((90-$Q$8)-W30))*AE30))</f>
        <v>0.96192872141404351</v>
      </c>
      <c r="AL30" s="629">
        <f>IF(M30="","",(SIN(RADIANS((90-$Q$8)-W30))*AD30)+(COS(RADIANS((90-$Q$8)-W30))*AE30))</f>
        <v>-0.21403962400930293</v>
      </c>
      <c r="AM30" s="634">
        <f>IF(M30="","",AF30)</f>
        <v>-0.16994167903342455</v>
      </c>
      <c r="AN30" s="581">
        <f>IF(M30="","",DEGREES(ATAN2(-AM30,AL30)))</f>
        <v>-51.551374208608046</v>
      </c>
      <c r="AO30" s="582">
        <f>IF(ROUND(IF(M30="",0,DEGREES(ACOS(AK30))),4)=90,0,IF(M30="","",DEGREES(ACOS(AK30))))</f>
        <v>15.860757537535353</v>
      </c>
      <c r="AP30" s="585">
        <f>IF(M30="","",DEGREES(ATAN2(AK30,AL30)))</f>
        <v>-12.544568323036557</v>
      </c>
      <c r="AQ30" s="586">
        <f t="shared" si="9"/>
        <v>0.5957344910028024</v>
      </c>
      <c r="AS30" s="52">
        <f t="shared" si="116"/>
        <v>-79.963740432233408</v>
      </c>
      <c r="AT30" s="72">
        <f t="shared" si="10"/>
        <v>-0.32313326686789728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>Taper</v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2.2240000000000002</v>
      </c>
      <c r="IH30" s="731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5.1239999999999997</v>
      </c>
      <c r="II30" s="734" cm="1">
        <f t="array" ref="II30">IFERROR(IF($IH30&lt;1,$IH30+LARGE((IF($M$9:$M$150="",0,$M$9:$M$150)-MOD(IF($M$9:$M$150="",0,$M$9:$M$150),1)),1),$IH30),"")</f>
        <v>5.1239999999999997</v>
      </c>
      <c r="IJ30" s="533">
        <f t="shared" si="112"/>
        <v>1313</v>
      </c>
      <c r="IK30" s="533">
        <f t="shared" si="66"/>
        <v>1313</v>
      </c>
      <c r="IL30" s="727">
        <f t="shared" si="225"/>
        <v>193.21652408055456</v>
      </c>
      <c r="IM30" s="759">
        <v>5.1047166526942405E-4</v>
      </c>
      <c r="IN30" s="5">
        <f t="shared" si="226"/>
        <v>0</v>
      </c>
      <c r="IO30" s="771">
        <v>0</v>
      </c>
      <c r="IP30" s="9">
        <f t="shared" si="227"/>
        <v>-3.832411558553261</v>
      </c>
      <c r="IQ30" s="5">
        <f t="shared" si="228"/>
        <v>-0.36490110054171959</v>
      </c>
      <c r="IR30" s="5">
        <f t="shared" si="71"/>
        <v>0.26600000000000001</v>
      </c>
      <c r="IS30" s="5">
        <f t="shared" si="229"/>
        <v>0.24090764417313032</v>
      </c>
      <c r="IT30" s="727">
        <f t="shared" si="230"/>
        <v>40.903170405666863</v>
      </c>
      <c r="IU30" s="9">
        <f t="shared" si="231"/>
        <v>-3.8266115410604078</v>
      </c>
      <c r="IV30" s="5">
        <f t="shared" si="232"/>
        <v>-0.37870114216264505</v>
      </c>
      <c r="IW30" s="5">
        <f t="shared" si="76"/>
        <v>0.26600000000000001</v>
      </c>
      <c r="IX30" s="5">
        <f t="shared" si="233"/>
        <v>0.25587303989613558</v>
      </c>
      <c r="IY30" s="762">
        <f t="shared" si="234"/>
        <v>51.551374208608046</v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4.2436957444618306</v>
      </c>
      <c r="C31" s="708">
        <v>0.81957764733692617</v>
      </c>
      <c r="D31" s="709">
        <v>-0.85290257235415856</v>
      </c>
      <c r="E31" s="710">
        <v>0.10240630814754208</v>
      </c>
      <c r="F31" s="708">
        <v>0.98980130476415107</v>
      </c>
      <c r="G31" s="711">
        <v>9.9026890988128766E-2</v>
      </c>
      <c r="H31" s="710">
        <v>0.26600000000000001</v>
      </c>
      <c r="I31" s="708">
        <v>0.52</v>
      </c>
      <c r="J31" s="570">
        <v>2.23</v>
      </c>
      <c r="K31" s="865">
        <f>IF($J31="","",IF(IFERROR(INDEX(Settings!$AK$14:$AK$36,MATCH((((ROUND($H31,6)*2)*1000000)+ROUND($I31,6)),Settings!$AI$14:$AI$36,0)),"Undefined")="Undefined","Undefined",IFERROR(INDEX(_xlfn.ANCHORARRAY(Settings!$BC$14),MATCH(IFERROR(INDEX(Settings!$AK$14:$AK$36,MATCH((((ROUND($H31,6)*2)*1000000)+ROUND($I31,6)),Settings!$AI$14:$AI$36,0)),"Undefined"),_xlfn.ANCHORARRAY(Settings!$BC$14),0)),"Inactive")))</f>
        <v>1313</v>
      </c>
      <c r="L31" s="320"/>
      <c r="M31" s="168">
        <f t="shared" si="1"/>
        <v>2.23</v>
      </c>
      <c r="N31" s="632">
        <f t="shared" si="2"/>
        <v>4.2436957444618306</v>
      </c>
      <c r="O31" s="629">
        <f t="shared" si="3"/>
        <v>0.81957764733692617</v>
      </c>
      <c r="P31" s="633">
        <f t="shared" si="4"/>
        <v>-0.85290257235415856</v>
      </c>
      <c r="Q31" s="585">
        <f t="shared" si="113"/>
        <v>10.93085943860237</v>
      </c>
      <c r="R31" s="629">
        <f>IF(M31="","",SQRT(N31^2+O31^2))</f>
        <v>4.3221130354929151</v>
      </c>
      <c r="S31" s="634">
        <f>IF(M31="","",P31)</f>
        <v>-0.85290257235415856</v>
      </c>
      <c r="T31" s="635">
        <f>IF(M31="","",X31*COS(RADIANS(W31)))</f>
        <v>0.82357687117911416</v>
      </c>
      <c r="U31" s="629">
        <f>IF(M31="","",X31*SIN(RADIANS(W31)))</f>
        <v>-4.2429214261916988</v>
      </c>
      <c r="V31" s="636">
        <f>IF(M31="","",Y31)</f>
        <v>-0.85290257235415856</v>
      </c>
      <c r="W31" s="585">
        <f t="shared" si="224"/>
        <v>280.98485943080573</v>
      </c>
      <c r="X31" s="629">
        <f>IF(M31="","",R31)</f>
        <v>4.3221130354929151</v>
      </c>
      <c r="Y31" s="630">
        <f t="shared" si="223"/>
        <v>-0.85290257235415856</v>
      </c>
      <c r="Z31" s="632">
        <f t="shared" si="6"/>
        <v>-0.10240630814754208</v>
      </c>
      <c r="AA31" s="629">
        <f t="shared" si="7"/>
        <v>-0.98980130476415107</v>
      </c>
      <c r="AB31" s="629">
        <f t="shared" si="8"/>
        <v>-9.9026890988128766E-2</v>
      </c>
      <c r="AC31" s="636">
        <f>IF(M31="","",SQRT(Z31^2+AA31^2+AB31^2))</f>
        <v>1</v>
      </c>
      <c r="AD31" s="637">
        <f>IF(M31="","",Z31*(1/SQRT(Z31^2+AA31^2+AB31^2)))</f>
        <v>-0.10240630814754208</v>
      </c>
      <c r="AE31" s="629">
        <f>IF(M31="","",AA31*(1/SQRT(Z31^2+AA31^2+AB31^2)))</f>
        <v>-0.98980130476415107</v>
      </c>
      <c r="AF31" s="633">
        <f>IF(M31="","",AB31*(1/SQRT(Z31^2+AA31^2+AB31^2)))</f>
        <v>-9.9026890988128766E-2</v>
      </c>
      <c r="AG31" s="602">
        <f>IF(M31="","",DEGREES(ATAN2(-AF31,AE31)))</f>
        <v>-84.286726889244719</v>
      </c>
      <c r="AH31" s="603">
        <f>IF(M31="","",DEGREES(ACOS(AD31)))</f>
        <v>95.877753327725358</v>
      </c>
      <c r="AI31" s="585">
        <f>IF(M31="","",DEGREES(-ACOS(-AF31)))</f>
        <v>-84.316862700916573</v>
      </c>
      <c r="AJ31" s="586">
        <f>IF(M31="","",DEGREES(ATAN2(-AE31,AD31)))</f>
        <v>-5.9068896580553396</v>
      </c>
      <c r="AK31" s="635">
        <f>IF(M31="","",(COS(RADIANS((90-$Q$8)-W31))*AD31)+(-SIN(RADIANS((90-$Q$8)-W31))*AE31))</f>
        <v>0.95242434197857762</v>
      </c>
      <c r="AL31" s="629">
        <f>IF(M31="","",(SIN(RADIANS((90-$Q$8)-W31))*AD31)+(COS(RADIANS((90-$Q$8)-W31))*AE31))</f>
        <v>-0.28823869911567879</v>
      </c>
      <c r="AM31" s="634">
        <f>IF(M31="","",AF31)</f>
        <v>-9.9026890988128766E-2</v>
      </c>
      <c r="AN31" s="581">
        <f>IF(M31="","",DEGREES(ATAN2(-AM31,AL31)))</f>
        <v>-71.03939903059397</v>
      </c>
      <c r="AO31" s="582">
        <f t="shared" si="94"/>
        <v>17.744635007835445</v>
      </c>
      <c r="AP31" s="585">
        <f>IF(M31="","",DEGREES(ATAN2(AK31,AL31)))</f>
        <v>-16.837749096657731</v>
      </c>
      <c r="AQ31" s="586">
        <f t="shared" si="9"/>
        <v>0.52744160459467149</v>
      </c>
      <c r="AS31" s="52">
        <f t="shared" si="116"/>
        <v>-79.015140569194273</v>
      </c>
      <c r="AT31" s="72">
        <f t="shared" si="10"/>
        <v>-0.79799344696429908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>Taper</v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2.23</v>
      </c>
      <c r="IH31" s="731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5.13</v>
      </c>
      <c r="II31" s="734" cm="1">
        <f t="array" ref="II31">IFERROR(IF($IH31&lt;1,$IH31+LARGE((IF($M$9:$M$150="",0,$M$9:$M$150)-MOD(IF($M$9:$M$150="",0,$M$9:$M$150),1)),1),$IH31),"")</f>
        <v>5.13</v>
      </c>
      <c r="IJ31" s="533">
        <f t="shared" si="112"/>
        <v>1313</v>
      </c>
      <c r="IK31" s="533">
        <f t="shared" si="66"/>
        <v>1313</v>
      </c>
      <c r="IL31" s="727">
        <f t="shared" si="225"/>
        <v>191.48572433045109</v>
      </c>
      <c r="IM31" s="759">
        <v>6.5403629258490995E-4</v>
      </c>
      <c r="IN31" s="5">
        <f t="shared" si="226"/>
        <v>0</v>
      </c>
      <c r="IO31" s="771">
        <v>0</v>
      </c>
      <c r="IP31" s="9">
        <f t="shared" si="227"/>
        <v>-4.3318130647482027</v>
      </c>
      <c r="IQ31" s="5">
        <f t="shared" si="228"/>
        <v>-0.84050253495564509</v>
      </c>
      <c r="IR31" s="5">
        <f t="shared" si="71"/>
        <v>0.26600000000000001</v>
      </c>
      <c r="IS31" s="5">
        <f t="shared" si="229"/>
        <v>0.23770814606905696</v>
      </c>
      <c r="IT31" s="727">
        <f t="shared" si="230"/>
        <v>59.69304286162825</v>
      </c>
      <c r="IU31" s="9">
        <f t="shared" si="231"/>
        <v>-4.3221130354929151</v>
      </c>
      <c r="IV31" s="5">
        <f t="shared" si="232"/>
        <v>-0.85290257235415856</v>
      </c>
      <c r="IW31" s="5">
        <f t="shared" si="76"/>
        <v>0.26600000000000001</v>
      </c>
      <c r="IX31" s="5">
        <f t="shared" si="233"/>
        <v>0.25334487496630165</v>
      </c>
      <c r="IY31" s="762">
        <f t="shared" si="234"/>
        <v>71.03939903059397</v>
      </c>
    </row>
    <row r="32" spans="1:269" ht="15" customHeight="1" x14ac:dyDescent="0.25">
      <c r="A32" s="79"/>
      <c r="B32" s="707">
        <v>0.59618040870584266</v>
      </c>
      <c r="C32" s="708">
        <v>-0.41745054245622931</v>
      </c>
      <c r="D32" s="709">
        <v>-0.54000162864491219</v>
      </c>
      <c r="E32" s="710">
        <v>0.46647363486210192</v>
      </c>
      <c r="F32" s="708">
        <v>0.82052460223276569</v>
      </c>
      <c r="G32" s="711">
        <v>0.33036604714967338</v>
      </c>
      <c r="H32" s="710">
        <v>0.26600000000000001</v>
      </c>
      <c r="I32" s="708">
        <v>0.52</v>
      </c>
      <c r="J32" s="570">
        <v>3.1030000000000002</v>
      </c>
      <c r="K32" s="865">
        <f>IF($J32="","",IF(IFERROR(INDEX(Settings!$AK$14:$AK$36,MATCH((((ROUND($H32,6)*2)*1000000)+ROUND($I32,6)),Settings!$AI$14:$AI$36,0)),"Undefined")="Undefined","Undefined",IFERROR(INDEX(_xlfn.ANCHORARRAY(Settings!$BC$14),MATCH(IFERROR(INDEX(Settings!$AK$14:$AK$36,MATCH((((ROUND($H32,6)*2)*1000000)+ROUND($I32,6)),Settings!$AI$14:$AI$36,0)),"Undefined"),_xlfn.ANCHORARRAY(Settings!$BC$14),0)),"Inactive")))</f>
        <v>1313</v>
      </c>
      <c r="L32" s="320"/>
      <c r="M32" s="168">
        <f t="shared" si="1"/>
        <v>3.1030000000000002</v>
      </c>
      <c r="N32" s="632">
        <f t="shared" si="2"/>
        <v>0.59618040870584266</v>
      </c>
      <c r="O32" s="629">
        <f t="shared" si="3"/>
        <v>-0.41745054245622931</v>
      </c>
      <c r="P32" s="633">
        <f t="shared" si="4"/>
        <v>-0.54000162864491219</v>
      </c>
      <c r="Q32" s="585">
        <f t="shared" si="113"/>
        <v>324.9999660702029</v>
      </c>
      <c r="R32" s="629">
        <f t="shared" si="79"/>
        <v>0.72780219505142041</v>
      </c>
      <c r="S32" s="634">
        <f t="shared" si="80"/>
        <v>-0.54000162864491219</v>
      </c>
      <c r="T32" s="635">
        <f t="shared" si="81"/>
        <v>-0.41688847041971883</v>
      </c>
      <c r="U32" s="629">
        <f t="shared" si="82"/>
        <v>-0.59657358167519703</v>
      </c>
      <c r="V32" s="636">
        <f t="shared" si="114"/>
        <v>-0.54000162864491219</v>
      </c>
      <c r="W32" s="585">
        <f t="shared" si="224"/>
        <v>235.05396606240626</v>
      </c>
      <c r="X32" s="629">
        <f t="shared" si="83"/>
        <v>0.72780219505142041</v>
      </c>
      <c r="Y32" s="630">
        <f t="shared" si="223"/>
        <v>-0.54000162864491219</v>
      </c>
      <c r="Z32" s="632">
        <f t="shared" si="6"/>
        <v>-0.46647363486210192</v>
      </c>
      <c r="AA32" s="629">
        <f t="shared" si="7"/>
        <v>-0.82052460223276569</v>
      </c>
      <c r="AB32" s="629">
        <f t="shared" si="8"/>
        <v>-0.33036604714967338</v>
      </c>
      <c r="AC32" s="636">
        <f t="shared" si="84"/>
        <v>1</v>
      </c>
      <c r="AD32" s="637">
        <f t="shared" si="115"/>
        <v>-0.46647363486210192</v>
      </c>
      <c r="AE32" s="629">
        <f t="shared" si="85"/>
        <v>-0.82052460223276569</v>
      </c>
      <c r="AF32" s="633">
        <f t="shared" si="86"/>
        <v>-0.33036604714967338</v>
      </c>
      <c r="AG32" s="602">
        <f t="shared" si="87"/>
        <v>-68.068911637548197</v>
      </c>
      <c r="AH32" s="603">
        <f t="shared" si="88"/>
        <v>117.80563492584972</v>
      </c>
      <c r="AI32" s="585">
        <f t="shared" si="89"/>
        <v>-70.709005437865216</v>
      </c>
      <c r="AJ32" s="586">
        <f t="shared" si="90"/>
        <v>-29.618515167557646</v>
      </c>
      <c r="AK32" s="635">
        <f t="shared" si="211"/>
        <v>0.93969263802333458</v>
      </c>
      <c r="AL32" s="629">
        <f t="shared" si="91"/>
        <v>8.85213021562955E-2</v>
      </c>
      <c r="AM32" s="634">
        <f t="shared" si="92"/>
        <v>-0.33036604714967338</v>
      </c>
      <c r="AN32" s="581">
        <f t="shared" si="93"/>
        <v>14.999997834268255</v>
      </c>
      <c r="AO32" s="582">
        <f t="shared" si="94"/>
        <v>19.999997112357679</v>
      </c>
      <c r="AP32" s="585">
        <f t="shared" si="95"/>
        <v>5.3815187622394749</v>
      </c>
      <c r="AQ32" s="586">
        <f t="shared" si="9"/>
        <v>3.1292286739607724</v>
      </c>
      <c r="AS32" s="52">
        <f t="shared" si="116"/>
        <v>-124.94603393759374</v>
      </c>
      <c r="AT32" s="72">
        <f t="shared" si="10"/>
        <v>-0.45319604952699755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3.1030000000000002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>
        <f t="shared" si="112"/>
        <v>1313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1.1281391300765136</v>
      </c>
      <c r="C33" s="708">
        <v>-0.78993251864622038</v>
      </c>
      <c r="D33" s="709">
        <v>-0.36600110385932932</v>
      </c>
      <c r="E33" s="710">
        <v>0.46647363486210192</v>
      </c>
      <c r="F33" s="708">
        <v>0.82052460223276569</v>
      </c>
      <c r="G33" s="711">
        <v>0.33036604714967333</v>
      </c>
      <c r="H33" s="710">
        <v>0.26600000000000001</v>
      </c>
      <c r="I33" s="708">
        <v>0.52</v>
      </c>
      <c r="J33" s="570">
        <v>3.1059999999999999</v>
      </c>
      <c r="K33" s="865">
        <f>IF($J33="","",IF(IFERROR(INDEX(Settings!$AK$14:$AK$36,MATCH((((ROUND($H33,6)*2)*1000000)+ROUND($I33,6)),Settings!$AI$14:$AI$36,0)),"Undefined")="Undefined","Undefined",IFERROR(INDEX(_xlfn.ANCHORARRAY(Settings!$BC$14),MATCH(IFERROR(INDEX(Settings!$AK$14:$AK$36,MATCH((((ROUND($H33,6)*2)*1000000)+ROUND($I33,6)),Settings!$AI$14:$AI$36,0)),"Undefined"),_xlfn.ANCHORARRAY(Settings!$BC$14),0)),"Inactive")))</f>
        <v>1313</v>
      </c>
      <c r="L33" s="320"/>
      <c r="M33" s="168">
        <f t="shared" si="1"/>
        <v>3.1059999999999999</v>
      </c>
      <c r="N33" s="632">
        <f t="shared" si="2"/>
        <v>1.1281391300765136</v>
      </c>
      <c r="O33" s="629">
        <f t="shared" si="3"/>
        <v>-0.78993251864622038</v>
      </c>
      <c r="P33" s="633">
        <f t="shared" si="4"/>
        <v>-0.36600110385932932</v>
      </c>
      <c r="Q33" s="585">
        <f t="shared" si="113"/>
        <v>324.99996607020285</v>
      </c>
      <c r="R33" s="629">
        <f t="shared" si="79"/>
        <v>1.3772041536477277</v>
      </c>
      <c r="S33" s="634">
        <f t="shared" si="80"/>
        <v>-0.36600110385932932</v>
      </c>
      <c r="T33" s="635">
        <f t="shared" si="81"/>
        <v>-0.78886892204182124</v>
      </c>
      <c r="U33" s="629">
        <f t="shared" si="82"/>
        <v>-1.1288831226752967</v>
      </c>
      <c r="V33" s="636">
        <f t="shared" si="114"/>
        <v>-0.36600110385932932</v>
      </c>
      <c r="W33" s="585">
        <f t="shared" si="224"/>
        <v>235.0539660624062</v>
      </c>
      <c r="X33" s="629">
        <f t="shared" si="83"/>
        <v>1.3772041536477277</v>
      </c>
      <c r="Y33" s="630">
        <f t="shared" si="223"/>
        <v>-0.36600110385932932</v>
      </c>
      <c r="Z33" s="632">
        <f t="shared" si="6"/>
        <v>-0.46647363486210192</v>
      </c>
      <c r="AA33" s="629">
        <f t="shared" si="7"/>
        <v>-0.82052460223276569</v>
      </c>
      <c r="AB33" s="629">
        <f t="shared" si="8"/>
        <v>-0.33036604714967333</v>
      </c>
      <c r="AC33" s="636">
        <f t="shared" si="84"/>
        <v>1</v>
      </c>
      <c r="AD33" s="637">
        <f t="shared" si="115"/>
        <v>-0.46647363486210192</v>
      </c>
      <c r="AE33" s="629">
        <f t="shared" si="85"/>
        <v>-0.82052460223276569</v>
      </c>
      <c r="AF33" s="633">
        <f t="shared" si="86"/>
        <v>-0.33036604714967333</v>
      </c>
      <c r="AG33" s="602">
        <f t="shared" si="87"/>
        <v>-68.068911637548197</v>
      </c>
      <c r="AH33" s="603">
        <f t="shared" si="88"/>
        <v>117.80563492584972</v>
      </c>
      <c r="AI33" s="585">
        <f t="shared" si="89"/>
        <v>-70.709005437865216</v>
      </c>
      <c r="AJ33" s="586">
        <f t="shared" si="90"/>
        <v>-29.618515167557646</v>
      </c>
      <c r="AK33" s="635">
        <f t="shared" si="211"/>
        <v>0.93969263802333458</v>
      </c>
      <c r="AL33" s="629">
        <f t="shared" si="91"/>
        <v>8.8521302156296389E-2</v>
      </c>
      <c r="AM33" s="634">
        <f t="shared" si="92"/>
        <v>-0.33036604714967333</v>
      </c>
      <c r="AN33" s="581">
        <f t="shared" si="93"/>
        <v>14.999997834268399</v>
      </c>
      <c r="AO33" s="582">
        <f t="shared" si="94"/>
        <v>19.999997112357679</v>
      </c>
      <c r="AP33" s="585">
        <f t="shared" si="95"/>
        <v>5.3815187622395282</v>
      </c>
      <c r="AQ33" s="586">
        <f t="shared" si="9"/>
        <v>1.6548691472852699</v>
      </c>
      <c r="AS33" s="52">
        <f t="shared" si="116"/>
        <v>-124.9460339375938</v>
      </c>
      <c r="AT33" s="72">
        <f t="shared" si="10"/>
        <v>-0.27919552474141462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3.1059999999999999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>
        <f t="shared" si="112"/>
        <v>1313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1.660097851447184</v>
      </c>
      <c r="C34" s="708">
        <v>-1.1624144948362114</v>
      </c>
      <c r="D34" s="709">
        <v>-0.19190057877214595</v>
      </c>
      <c r="E34" s="710">
        <v>0.46647363486210192</v>
      </c>
      <c r="F34" s="708">
        <v>0.82052460223276569</v>
      </c>
      <c r="G34" s="711">
        <v>0.33036604714967338</v>
      </c>
      <c r="H34" s="710">
        <v>0.26600000000000001</v>
      </c>
      <c r="I34" s="708">
        <v>0.52</v>
      </c>
      <c r="J34" s="570">
        <v>3.109</v>
      </c>
      <c r="K34" s="865">
        <f>IF($J34="","",IF(IFERROR(INDEX(Settings!$AK$14:$AK$36,MATCH((((ROUND($H34,6)*2)*1000000)+ROUND($I34,6)),Settings!$AI$14:$AI$36,0)),"Undefined")="Undefined","Undefined",IFERROR(INDEX(_xlfn.ANCHORARRAY(Settings!$BC$14),MATCH(IFERROR(INDEX(Settings!$AK$14:$AK$36,MATCH((((ROUND($H34,6)*2)*1000000)+ROUND($I34,6)),Settings!$AI$14:$AI$36,0)),"Undefined"),_xlfn.ANCHORARRAY(Settings!$BC$14),0)),"Inactive")))</f>
        <v>1313</v>
      </c>
      <c r="L34" s="320"/>
      <c r="M34" s="168">
        <f t="shared" si="1"/>
        <v>3.109</v>
      </c>
      <c r="N34" s="632">
        <f t="shared" si="2"/>
        <v>1.660097851447184</v>
      </c>
      <c r="O34" s="629">
        <f t="shared" si="3"/>
        <v>-1.1624144948362114</v>
      </c>
      <c r="P34" s="633">
        <f t="shared" si="4"/>
        <v>-0.19190057877214595</v>
      </c>
      <c r="Q34" s="585">
        <f t="shared" si="113"/>
        <v>324.99996607020285</v>
      </c>
      <c r="R34" s="629">
        <f>IF(M34="","",SQRT(N34^2+O34^2))</f>
        <v>2.0266061122440346</v>
      </c>
      <c r="S34" s="634">
        <f>IF(M34="","",P34)</f>
        <v>-0.19190057877214595</v>
      </c>
      <c r="T34" s="635">
        <f>IF(M34="","",X34*COS(RADIANS(W34)))</f>
        <v>-1.1608493736639229</v>
      </c>
      <c r="U34" s="629">
        <f>IF(M34="","",X34*SIN(RADIANS(W34)))</f>
        <v>-1.6611926636753964</v>
      </c>
      <c r="V34" s="636">
        <f>IF(M34="","",Y34)</f>
        <v>-0.19190057877214595</v>
      </c>
      <c r="W34" s="585">
        <f t="shared" si="224"/>
        <v>235.0539660624062</v>
      </c>
      <c r="X34" s="629">
        <f>IF(M34="","",R34)</f>
        <v>2.0266061122440346</v>
      </c>
      <c r="Y34" s="630">
        <f t="shared" si="223"/>
        <v>-0.19190057877214595</v>
      </c>
      <c r="Z34" s="632">
        <f t="shared" si="6"/>
        <v>-0.46647363486210192</v>
      </c>
      <c r="AA34" s="629">
        <f t="shared" si="7"/>
        <v>-0.82052460223276569</v>
      </c>
      <c r="AB34" s="629">
        <f t="shared" si="8"/>
        <v>-0.33036604714967338</v>
      </c>
      <c r="AC34" s="636">
        <f>IF(M34="","",SQRT(Z34^2+AA34^2+AB34^2))</f>
        <v>1</v>
      </c>
      <c r="AD34" s="637">
        <f>IF(M34="","",Z34*(1/SQRT(Z34^2+AA34^2+AB34^2)))</f>
        <v>-0.46647363486210192</v>
      </c>
      <c r="AE34" s="629">
        <f>IF(M34="","",AA34*(1/SQRT(Z34^2+AA34^2+AB34^2)))</f>
        <v>-0.82052460223276569</v>
      </c>
      <c r="AF34" s="633">
        <f>IF(M34="","",AB34*(1/SQRT(Z34^2+AA34^2+AB34^2)))</f>
        <v>-0.33036604714967338</v>
      </c>
      <c r="AG34" s="602">
        <f>IF(M34="","",DEGREES(ATAN2(-AF34,AE34)))</f>
        <v>-68.068911637548197</v>
      </c>
      <c r="AH34" s="603">
        <f>IF(M34="","",DEGREES(ACOS(AD34)))</f>
        <v>117.80563492584972</v>
      </c>
      <c r="AI34" s="585">
        <f>IF(M34="","",DEGREES(-ACOS(-AF34)))</f>
        <v>-70.709005437865216</v>
      </c>
      <c r="AJ34" s="586">
        <f>IF(M34="","",DEGREES(ATAN2(-AE34,AD34)))</f>
        <v>-29.618515167557646</v>
      </c>
      <c r="AK34" s="635">
        <f>IF(M34="","",(COS(RADIANS((90-$Q$8)-W34))*AD34)+(-SIN(RADIANS((90-$Q$8)-W34))*AE34))</f>
        <v>0.93969263802333458</v>
      </c>
      <c r="AL34" s="629">
        <f>IF(M34="","",(SIN(RADIANS((90-$Q$8)-W34))*AD34)+(COS(RADIANS((90-$Q$8)-W34))*AE34))</f>
        <v>8.8521302156296389E-2</v>
      </c>
      <c r="AM34" s="634">
        <f>IF(M34="","",AF34)</f>
        <v>-0.33036604714967338</v>
      </c>
      <c r="AN34" s="581">
        <f>IF(M34="","",DEGREES(ATAN2(-AM34,AL34)))</f>
        <v>14.999997834268399</v>
      </c>
      <c r="AO34" s="582">
        <f t="shared" si="94"/>
        <v>19.999997112357679</v>
      </c>
      <c r="AP34" s="585">
        <f>IF(M34="","",DEGREES(ATAN2(AK34,AL34)))</f>
        <v>5.3815187622395282</v>
      </c>
      <c r="AQ34" s="586">
        <f t="shared" si="9"/>
        <v>1.1247542232810739</v>
      </c>
      <c r="AS34" s="52">
        <f t="shared" si="116"/>
        <v>-124.9460339375938</v>
      </c>
      <c r="AT34" s="72">
        <f t="shared" si="10"/>
        <v>-0.10509499965423125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3.109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>
        <f t="shared" si="112"/>
        <v>1313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2.2136900558584096</v>
      </c>
      <c r="C35" s="708">
        <v>-1.5724105379482358</v>
      </c>
      <c r="D35" s="709">
        <v>-5.4900165578899415E-2</v>
      </c>
      <c r="E35" s="710">
        <v>0.56461833751574342</v>
      </c>
      <c r="F35" s="708">
        <v>0.73473518012373562</v>
      </c>
      <c r="G35" s="711">
        <v>0.37599248400666219</v>
      </c>
      <c r="H35" s="710">
        <v>0.26600000000000001</v>
      </c>
      <c r="I35" s="708">
        <v>0.52</v>
      </c>
      <c r="J35" s="570">
        <v>3.1139999999999999</v>
      </c>
      <c r="K35" s="865">
        <f>IF($J35="","",IF(IFERROR(INDEX(Settings!$AK$14:$AK$36,MATCH((((ROUND($H35,6)*2)*1000000)+ROUND($I35,6)),Settings!$AI$14:$AI$36,0)),"Undefined")="Undefined","Undefined",IFERROR(INDEX(_xlfn.ANCHORARRAY(Settings!$BC$14),MATCH(IFERROR(INDEX(Settings!$AK$14:$AK$36,MATCH((((ROUND($H35,6)*2)*1000000)+ROUND($I35,6)),Settings!$AI$14:$AI$36,0)),"Undefined"),_xlfn.ANCHORARRAY(Settings!$BC$14),0)),"Inactive")))</f>
        <v>1313</v>
      </c>
      <c r="L35" s="320"/>
      <c r="M35" s="168">
        <f t="shared" si="1"/>
        <v>3.1139999999999999</v>
      </c>
      <c r="N35" s="632">
        <f t="shared" si="2"/>
        <v>2.2136900558584096</v>
      </c>
      <c r="O35" s="629">
        <f t="shared" si="3"/>
        <v>-1.5724105379482358</v>
      </c>
      <c r="P35" s="633">
        <f t="shared" si="4"/>
        <v>-5.4900165578899415E-2</v>
      </c>
      <c r="Q35" s="585">
        <f t="shared" si="113"/>
        <v>324.61336612602099</v>
      </c>
      <c r="R35" s="629">
        <f>IF(M35="","",SQRT(N35^2+O35^2))</f>
        <v>2.7153081893694995</v>
      </c>
      <c r="S35" s="634">
        <f>IF(M35="","",P35)</f>
        <v>-5.4900165578899415E-2</v>
      </c>
      <c r="T35" s="635">
        <f>IF(M35="","",X35*COS(RADIANS(W35)))</f>
        <v>-1.570323486475403</v>
      </c>
      <c r="U35" s="629">
        <f>IF(M35="","",X35*SIN(RADIANS(W35)))</f>
        <v>-2.2151710342727049</v>
      </c>
      <c r="V35" s="636">
        <f>IF(M35="","",Y35)</f>
        <v>-5.4900165578899415E-2</v>
      </c>
      <c r="W35" s="585">
        <f t="shared" si="224"/>
        <v>234.66736611822435</v>
      </c>
      <c r="X35" s="629">
        <f>IF(M35="","",R35)</f>
        <v>2.7153081893694995</v>
      </c>
      <c r="Y35" s="630">
        <f t="shared" si="223"/>
        <v>-5.4900165578899415E-2</v>
      </c>
      <c r="Z35" s="632">
        <f t="shared" si="6"/>
        <v>-0.56461833751574342</v>
      </c>
      <c r="AA35" s="629">
        <f t="shared" si="7"/>
        <v>-0.73473518012373562</v>
      </c>
      <c r="AB35" s="629">
        <f t="shared" si="8"/>
        <v>-0.37599248400666219</v>
      </c>
      <c r="AC35" s="636">
        <f>IF(M35="","",SQRT(Z35^2+AA35^2+AB35^2))</f>
        <v>1</v>
      </c>
      <c r="AD35" s="637">
        <f>IF(M35="","",Z35*(1/SQRT(Z35^2+AA35^2+AB35^2)))</f>
        <v>-0.56461833751574342</v>
      </c>
      <c r="AE35" s="629">
        <f>IF(M35="","",AA35*(1/SQRT(Z35^2+AA35^2+AB35^2)))</f>
        <v>-0.73473518012373562</v>
      </c>
      <c r="AF35" s="633">
        <f>IF(M35="","",AB35*(1/SQRT(Z35^2+AA35^2+AB35^2)))</f>
        <v>-0.37599248400666219</v>
      </c>
      <c r="AG35" s="602">
        <f>IF(M35="","",DEGREES(ATAN2(-AF35,AE35)))</f>
        <v>-62.899413109071986</v>
      </c>
      <c r="AH35" s="603">
        <f>IF(M35="","",DEGREES(ACOS(AD35)))</f>
        <v>124.37579218317764</v>
      </c>
      <c r="AI35" s="585">
        <f>IF(M35="","",DEGREES(-ACOS(-AF35)))</f>
        <v>-67.914332305948832</v>
      </c>
      <c r="AJ35" s="586">
        <f>IF(M35="","",DEGREES(ATAN2(-AE35,AD35)))</f>
        <v>-37.541020319010777</v>
      </c>
      <c r="AK35" s="635">
        <f>IF(M35="","",(COS(RADIANS((90-$Q$8)-W35))*AD35)+(-SIN(RADIANS((90-$Q$8)-W35))*AE35))</f>
        <v>0.92596773935324184</v>
      </c>
      <c r="AL35" s="629">
        <f>IF(M35="","",(SIN(RADIANS((90-$Q$8)-W35))*AD35)+(COS(RADIANS((90-$Q$8)-W35))*AE35))</f>
        <v>-3.4833857775832644E-2</v>
      </c>
      <c r="AM35" s="634">
        <f>IF(M35="","",AF35)</f>
        <v>-0.37599248400666219</v>
      </c>
      <c r="AN35" s="581">
        <f>IF(M35="","",DEGREES(ATAN2(-AM35,AL35)))</f>
        <v>-5.2930635409971325</v>
      </c>
      <c r="AO35" s="582">
        <f t="shared" si="94"/>
        <v>22.185262839972125</v>
      </c>
      <c r="AP35" s="585">
        <f>IF(M35="","",DEGREES(ATAN2(AK35,AL35)))</f>
        <v>-2.1543864450317609</v>
      </c>
      <c r="AQ35" s="586">
        <f t="shared" si="9"/>
        <v>0.83952292807274365</v>
      </c>
      <c r="AS35" s="52">
        <f t="shared" si="116"/>
        <v>-125.33263388177565</v>
      </c>
      <c r="AT35" s="72">
        <f t="shared" si="10"/>
        <v>3.2173885722474899E-2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3.1139999999999999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>
        <f t="shared" si="112"/>
        <v>1313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2.7549377019463495</v>
      </c>
      <c r="C36" s="708">
        <v>-2.0165483823057726</v>
      </c>
      <c r="D36" s="709">
        <v>-0.15780047592623522</v>
      </c>
      <c r="E36" s="710">
        <v>0.68929901216626976</v>
      </c>
      <c r="F36" s="708">
        <v>0.62176862040860659</v>
      </c>
      <c r="G36" s="711">
        <v>0.37184762269212218</v>
      </c>
      <c r="H36" s="710">
        <v>0.26600000000000001</v>
      </c>
      <c r="I36" s="708">
        <v>0.52</v>
      </c>
      <c r="J36" s="570">
        <v>3.12</v>
      </c>
      <c r="K36" s="865">
        <f>IF($J36="","",IF(IFERROR(INDEX(Settings!$AK$14:$AK$36,MATCH((((ROUND($H36,6)*2)*1000000)+ROUND($I36,6)),Settings!$AI$14:$AI$36,0)),"Undefined")="Undefined","Undefined",IFERROR(INDEX(_xlfn.ANCHORARRAY(Settings!$BC$14),MATCH(IFERROR(INDEX(Settings!$AK$14:$AK$36,MATCH((((ROUND($H36,6)*2)*1000000)+ROUND($I36,6)),Settings!$AI$14:$AI$36,0)),"Undefined"),_xlfn.ANCHORARRAY(Settings!$BC$14),0)),"Inactive")))</f>
        <v>1313</v>
      </c>
      <c r="L36" s="320"/>
      <c r="M36" s="168">
        <f t="shared" si="1"/>
        <v>3.12</v>
      </c>
      <c r="N36" s="632">
        <f t="shared" si="2"/>
        <v>2.7549377019463495</v>
      </c>
      <c r="O36" s="629">
        <f t="shared" si="3"/>
        <v>-2.0165483823057726</v>
      </c>
      <c r="P36" s="633">
        <f t="shared" si="4"/>
        <v>-0.15780047592623522</v>
      </c>
      <c r="Q36" s="585">
        <f t="shared" si="113"/>
        <v>323.79676624392346</v>
      </c>
      <c r="R36" s="629">
        <f>IF(M36="","",SQRT(N36^2+O36^2))</f>
        <v>3.4141102969566552</v>
      </c>
      <c r="S36" s="634">
        <f>IF(M36="","",P36)</f>
        <v>-0.15780047592623522</v>
      </c>
      <c r="T36" s="635">
        <f>IF(M36="","",X36*COS(RADIANS(W36)))</f>
        <v>-2.0139510198376476</v>
      </c>
      <c r="U36" s="629">
        <f>IF(M36="","",X36*SIN(RADIANS(W36)))</f>
        <v>-2.7568370299095228</v>
      </c>
      <c r="V36" s="636">
        <f>IF(M36="","",Y36)</f>
        <v>-0.15780047592623522</v>
      </c>
      <c r="W36" s="585">
        <f t="shared" si="224"/>
        <v>233.85076623612682</v>
      </c>
      <c r="X36" s="629">
        <f>IF(M36="","",R36)</f>
        <v>3.4141102969566552</v>
      </c>
      <c r="Y36" s="630">
        <f t="shared" si="223"/>
        <v>-0.15780047592623522</v>
      </c>
      <c r="Z36" s="632">
        <f t="shared" si="6"/>
        <v>-0.68929901216626976</v>
      </c>
      <c r="AA36" s="629">
        <f t="shared" si="7"/>
        <v>-0.62176862040860659</v>
      </c>
      <c r="AB36" s="629">
        <f t="shared" si="8"/>
        <v>-0.37184762269212218</v>
      </c>
      <c r="AC36" s="636">
        <f>IF(M36="","",SQRT(Z36^2+AA36^2+AB36^2))</f>
        <v>1</v>
      </c>
      <c r="AD36" s="637">
        <f>IF(M36="","",Z36*(1/SQRT(Z36^2+AA36^2+AB36^2)))</f>
        <v>-0.68929901216626976</v>
      </c>
      <c r="AE36" s="629">
        <f>IF(M36="","",AA36*(1/SQRT(Z36^2+AA36^2+AB36^2)))</f>
        <v>-0.62176862040860659</v>
      </c>
      <c r="AF36" s="633">
        <f>IF(M36="","",AB36*(1/SQRT(Z36^2+AA36^2+AB36^2)))</f>
        <v>-0.37184762269212218</v>
      </c>
      <c r="AG36" s="602">
        <f>IF(M36="","",DEGREES(ATAN2(-AF36,AE36)))</f>
        <v>-59.118540895639846</v>
      </c>
      <c r="AH36" s="603">
        <f>IF(M36="","",DEGREES(ACOS(AD36)))</f>
        <v>133.57464519281538</v>
      </c>
      <c r="AI36" s="585">
        <f>IF(M36="","",DEGREES(-ACOS(-AF36)))</f>
        <v>-68.170389832424817</v>
      </c>
      <c r="AJ36" s="586">
        <f>IF(M36="","",DEGREES(ATAN2(-AE36,AD36)))</f>
        <v>-47.948581767609184</v>
      </c>
      <c r="AK36" s="635">
        <f>IF(M36="","",(COS(RADIANS((90-$Q$8)-W36))*AD36)+(-SIN(RADIANS((90-$Q$8)-W36))*AE36))</f>
        <v>0.90885716988278387</v>
      </c>
      <c r="AL36" s="629">
        <f>IF(M36="","",(SIN(RADIANS((90-$Q$8)-W36))*AD36)+(COS(RADIANS((90-$Q$8)-W36))*AE36))</f>
        <v>-0.18896557953996163</v>
      </c>
      <c r="AM36" s="634">
        <f>IF(M36="","",AF36)</f>
        <v>-0.37184762269212218</v>
      </c>
      <c r="AN36" s="581">
        <f>IF(M36="","",DEGREES(ATAN2(-AM36,AL36)))</f>
        <v>-26.93877333521602</v>
      </c>
      <c r="AO36" s="582">
        <f t="shared" si="94"/>
        <v>24.652104437252092</v>
      </c>
      <c r="AP36" s="585">
        <f>IF(M36="","",DEGREES(ATAN2(AK36,AL36)))</f>
        <v>-11.745348011532627</v>
      </c>
      <c r="AQ36" s="586">
        <f t="shared" si="9"/>
        <v>0.66770643913412719</v>
      </c>
      <c r="AS36" s="52">
        <f t="shared" si="116"/>
        <v>-126.14923376387318</v>
      </c>
      <c r="AT36" s="72">
        <f t="shared" si="10"/>
        <v>-7.0159341373404294E-2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3.12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>
        <f t="shared" si="112"/>
        <v>1313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3.2064553513437315</v>
      </c>
      <c r="C37" s="708">
        <v>-2.4238650510219637</v>
      </c>
      <c r="D37" s="709">
        <v>-0.50280151644937321</v>
      </c>
      <c r="E37" s="710">
        <v>0.79868896942100409</v>
      </c>
      <c r="F37" s="708">
        <v>0.52045990953051935</v>
      </c>
      <c r="G37" s="711">
        <v>0.30202220563511256</v>
      </c>
      <c r="H37" s="710">
        <v>0.26600000000000001</v>
      </c>
      <c r="I37" s="708">
        <v>0.52</v>
      </c>
      <c r="J37" s="570">
        <v>3.1259999999999999</v>
      </c>
      <c r="K37" s="865">
        <f>IF($J37="","",IF(IFERROR(INDEX(Settings!$AK$14:$AK$36,MATCH((((ROUND($H37,6)*2)*1000000)+ROUND($I37,6)),Settings!$AI$14:$AI$36,0)),"Undefined")="Undefined","Undefined",IFERROR(INDEX(_xlfn.ANCHORARRAY(Settings!$BC$14),MATCH(IFERROR(INDEX(Settings!$AK$14:$AK$36,MATCH((((ROUND($H37,6)*2)*1000000)+ROUND($I37,6)),Settings!$AI$14:$AI$36,0)),"Undefined"),_xlfn.ANCHORARRAY(Settings!$BC$14),0)),"Inactive")))</f>
        <v>1313</v>
      </c>
      <c r="L37" s="320"/>
      <c r="M37" s="168">
        <f t="shared" si="1"/>
        <v>3.1259999999999999</v>
      </c>
      <c r="N37" s="632">
        <f t="shared" si="2"/>
        <v>3.2064553513437315</v>
      </c>
      <c r="O37" s="629">
        <f t="shared" si="3"/>
        <v>-2.4238650510219637</v>
      </c>
      <c r="P37" s="633">
        <f t="shared" si="4"/>
        <v>-0.50280151644937321</v>
      </c>
      <c r="Q37" s="585">
        <f t="shared" si="113"/>
        <v>322.91316637149947</v>
      </c>
      <c r="R37" s="629">
        <f t="shared" si="79"/>
        <v>4.0195121228485631</v>
      </c>
      <c r="S37" s="634">
        <f t="shared" si="80"/>
        <v>-0.50280151644937321</v>
      </c>
      <c r="T37" s="635">
        <f t="shared" si="81"/>
        <v>-2.4208419624168047</v>
      </c>
      <c r="U37" s="629">
        <f t="shared" si="82"/>
        <v>-3.20873836557743</v>
      </c>
      <c r="V37" s="636">
        <f t="shared" si="114"/>
        <v>-0.50280151644937321</v>
      </c>
      <c r="W37" s="585">
        <f t="shared" si="224"/>
        <v>232.96716636370283</v>
      </c>
      <c r="X37" s="629">
        <f t="shared" si="83"/>
        <v>4.0195121228485631</v>
      </c>
      <c r="Y37" s="630">
        <f t="shared" si="223"/>
        <v>-0.50280151644937321</v>
      </c>
      <c r="Z37" s="632">
        <f t="shared" si="6"/>
        <v>-0.79868896942100409</v>
      </c>
      <c r="AA37" s="629">
        <f t="shared" si="7"/>
        <v>-0.52045990953051935</v>
      </c>
      <c r="AB37" s="629">
        <f t="shared" si="8"/>
        <v>-0.30202220563511256</v>
      </c>
      <c r="AC37" s="636">
        <f t="shared" si="84"/>
        <v>1</v>
      </c>
      <c r="AD37" s="637">
        <f t="shared" si="115"/>
        <v>-0.79868896942100409</v>
      </c>
      <c r="AE37" s="629">
        <f t="shared" si="85"/>
        <v>-0.52045990953051935</v>
      </c>
      <c r="AF37" s="633">
        <f t="shared" si="86"/>
        <v>-0.30202220563511256</v>
      </c>
      <c r="AG37" s="602">
        <f t="shared" si="87"/>
        <v>-59.873462545596411</v>
      </c>
      <c r="AH37" s="603">
        <f t="shared" si="88"/>
        <v>143.00508989794568</v>
      </c>
      <c r="AI37" s="585">
        <f t="shared" si="89"/>
        <v>-72.420897957196203</v>
      </c>
      <c r="AJ37" s="586">
        <f t="shared" si="90"/>
        <v>-56.910013377917302</v>
      </c>
      <c r="AK37" s="635">
        <f t="shared" si="211"/>
        <v>0.89681176011373864</v>
      </c>
      <c r="AL37" s="629">
        <f t="shared" si="91"/>
        <v>-0.32328200417746716</v>
      </c>
      <c r="AM37" s="634">
        <f t="shared" si="92"/>
        <v>-0.30202220563511256</v>
      </c>
      <c r="AN37" s="581">
        <f t="shared" si="93"/>
        <v>-46.947256530015174</v>
      </c>
      <c r="AO37" s="582">
        <f t="shared" si="94"/>
        <v>26.2578986637558</v>
      </c>
      <c r="AP37" s="585">
        <f t="shared" si="95"/>
        <v>-19.823179749416784</v>
      </c>
      <c r="AQ37" s="586">
        <f t="shared" si="9"/>
        <v>0.56714648558971026</v>
      </c>
      <c r="AS37" s="52">
        <f t="shared" si="116"/>
        <v>-127.03283363629717</v>
      </c>
      <c r="AT37" s="72">
        <f t="shared" si="10"/>
        <v>-0.41454677087402558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3.1259999999999999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>
        <f t="shared" si="112"/>
        <v>1313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3.5214155739656738</v>
      </c>
      <c r="C38" s="708">
        <v>-2.7301841982233643</v>
      </c>
      <c r="D38" s="709">
        <v>-1.0322031131245888</v>
      </c>
      <c r="E38" s="710">
        <v>0.87590808614083515</v>
      </c>
      <c r="F38" s="708">
        <v>0.44054986540045044</v>
      </c>
      <c r="G38" s="711">
        <v>0.1967252925496478</v>
      </c>
      <c r="H38" s="710">
        <v>0.26600000000000001</v>
      </c>
      <c r="I38" s="708">
        <v>0.52</v>
      </c>
      <c r="J38" s="570">
        <v>3.1320000000000001</v>
      </c>
      <c r="K38" s="865">
        <f>IF($J38="","",IF(IFERROR(INDEX(Settings!$AK$14:$AK$36,MATCH((((ROUND($H38,6)*2)*1000000)+ROUND($I38,6)),Settings!$AI$14:$AI$36,0)),"Undefined")="Undefined","Undefined",IFERROR(INDEX(_xlfn.ANCHORARRAY(Settings!$BC$14),MATCH(IFERROR(INDEX(Settings!$AK$14:$AK$36,MATCH((((ROUND($H38,6)*2)*1000000)+ROUND($I38,6)),Settings!$AI$14:$AI$36,0)),"Undefined"),_xlfn.ANCHORARRAY(Settings!$BC$14),0)),"Inactive")))</f>
        <v>1313</v>
      </c>
      <c r="L38" s="320"/>
      <c r="M38" s="168">
        <f t="shared" si="1"/>
        <v>3.1320000000000001</v>
      </c>
      <c r="N38" s="632">
        <f t="shared" si="2"/>
        <v>3.5214155739656738</v>
      </c>
      <c r="O38" s="629">
        <f t="shared" si="3"/>
        <v>-2.7301841982233643</v>
      </c>
      <c r="P38" s="633">
        <f t="shared" si="4"/>
        <v>-1.0322031131245888</v>
      </c>
      <c r="Q38" s="585">
        <f t="shared" si="113"/>
        <v>322.2132664725525</v>
      </c>
      <c r="R38" s="629">
        <f t="shared" si="79"/>
        <v>4.4558134387333306</v>
      </c>
      <c r="S38" s="634">
        <f t="shared" si="80"/>
        <v>-1.0322031131245888</v>
      </c>
      <c r="T38" s="635">
        <f t="shared" si="81"/>
        <v>-2.7268641306423951</v>
      </c>
      <c r="U38" s="629">
        <f t="shared" si="82"/>
        <v>-3.5239871472257729</v>
      </c>
      <c r="V38" s="636">
        <f t="shared" si="114"/>
        <v>-1.0322031131245888</v>
      </c>
      <c r="W38" s="585">
        <f t="shared" si="224"/>
        <v>232.26726646475586</v>
      </c>
      <c r="X38" s="629">
        <f t="shared" si="83"/>
        <v>4.4558134387333306</v>
      </c>
      <c r="Y38" s="630">
        <f t="shared" si="223"/>
        <v>-1.0322031131245888</v>
      </c>
      <c r="Z38" s="632">
        <f t="shared" si="6"/>
        <v>-0.87590808614083515</v>
      </c>
      <c r="AA38" s="629">
        <f t="shared" si="7"/>
        <v>-0.44054986540045044</v>
      </c>
      <c r="AB38" s="629">
        <f t="shared" si="8"/>
        <v>-0.1967252925496478</v>
      </c>
      <c r="AC38" s="636">
        <f t="shared" si="84"/>
        <v>1</v>
      </c>
      <c r="AD38" s="637">
        <f t="shared" si="115"/>
        <v>-0.87590808614083515</v>
      </c>
      <c r="AE38" s="629">
        <f t="shared" si="85"/>
        <v>-0.44054986540045044</v>
      </c>
      <c r="AF38" s="633">
        <f t="shared" si="86"/>
        <v>-0.1967252925496478</v>
      </c>
      <c r="AG38" s="602">
        <f t="shared" si="87"/>
        <v>-65.937093591222109</v>
      </c>
      <c r="AH38" s="603">
        <f t="shared" si="88"/>
        <v>151.15263016639287</v>
      </c>
      <c r="AI38" s="585">
        <f t="shared" si="89"/>
        <v>-78.65447196478695</v>
      </c>
      <c r="AJ38" s="586">
        <f t="shared" si="90"/>
        <v>-63.299269485337433</v>
      </c>
      <c r="AK38" s="635">
        <f t="shared" si="211"/>
        <v>0.88485517340874686</v>
      </c>
      <c r="AL38" s="629">
        <f t="shared" si="91"/>
        <v>-0.42229193854847891</v>
      </c>
      <c r="AM38" s="634">
        <f t="shared" si="92"/>
        <v>-0.1967252925496478</v>
      </c>
      <c r="AN38" s="581">
        <f t="shared" si="93"/>
        <v>-65.021476158054639</v>
      </c>
      <c r="AO38" s="582">
        <f t="shared" si="94"/>
        <v>27.766295841622689</v>
      </c>
      <c r="AP38" s="585">
        <f t="shared" si="95"/>
        <v>-25.512535957889934</v>
      </c>
      <c r="AQ38" s="586">
        <f t="shared" si="9"/>
        <v>0.51161613304745213</v>
      </c>
      <c r="AS38" s="52">
        <f t="shared" si="116"/>
        <v>-127.73273353524414</v>
      </c>
      <c r="AT38" s="72">
        <f t="shared" si="10"/>
        <v>-0.94346232595275026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3.1320000000000001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>
        <f t="shared" si="112"/>
        <v>1313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3.677024853584574</v>
      </c>
      <c r="C39" s="708">
        <v>-2.8888633286977181</v>
      </c>
      <c r="D39" s="709">
        <v>-1.6738050481960254</v>
      </c>
      <c r="E39" s="710">
        <v>0.91689635018297333</v>
      </c>
      <c r="F39" s="708">
        <v>0.3918652516549605</v>
      </c>
      <c r="G39" s="711">
        <v>7.5780654302644634E-2</v>
      </c>
      <c r="H39" s="710">
        <v>0.26600000000000001</v>
      </c>
      <c r="I39" s="708">
        <v>0.52</v>
      </c>
      <c r="J39" s="570">
        <v>3.1379999999999999</v>
      </c>
      <c r="K39" s="865">
        <f>IF($J39="","",IF(IFERROR(INDEX(Settings!$AK$14:$AK$36,MATCH((((ROUND($H39,6)*2)*1000000)+ROUND($I39,6)),Settings!$AI$14:$AI$36,0)),"Undefined")="Undefined","Undefined",IFERROR(INDEX(_xlfn.ANCHORARRAY(Settings!$BC$14),MATCH(IFERROR(INDEX(Settings!$AK$14:$AK$36,MATCH((((ROUND($H39,6)*2)*1000000)+ROUND($I39,6)),Settings!$AI$14:$AI$36,0)),"Undefined"),_xlfn.ANCHORARRAY(Settings!$BC$14),0)),"Inactive")))</f>
        <v>1313</v>
      </c>
      <c r="L39" s="320"/>
      <c r="M39" s="168">
        <f t="shared" si="1"/>
        <v>3.1379999999999999</v>
      </c>
      <c r="N39" s="632">
        <f t="shared" si="2"/>
        <v>3.677024853584574</v>
      </c>
      <c r="O39" s="629">
        <f t="shared" si="3"/>
        <v>-2.8888633286977181</v>
      </c>
      <c r="P39" s="633">
        <f t="shared" si="4"/>
        <v>-1.6738050481960254</v>
      </c>
      <c r="Q39" s="585">
        <f t="shared" si="113"/>
        <v>321.84496652572847</v>
      </c>
      <c r="R39" s="629">
        <f t="shared" si="79"/>
        <v>4.6761141031601356</v>
      </c>
      <c r="S39" s="634">
        <f t="shared" si="80"/>
        <v>-1.6738050481960254</v>
      </c>
      <c r="T39" s="635">
        <f t="shared" si="81"/>
        <v>-2.8853965323942457</v>
      </c>
      <c r="U39" s="629">
        <f t="shared" si="82"/>
        <v>-3.6797459092470479</v>
      </c>
      <c r="V39" s="636">
        <f t="shared" si="114"/>
        <v>-1.6738050481960254</v>
      </c>
      <c r="W39" s="585">
        <f t="shared" si="224"/>
        <v>231.89896651793183</v>
      </c>
      <c r="X39" s="629">
        <f t="shared" si="83"/>
        <v>4.6761141031601356</v>
      </c>
      <c r="Y39" s="630">
        <f t="shared" si="223"/>
        <v>-1.6738050481960254</v>
      </c>
      <c r="Z39" s="632">
        <f t="shared" si="6"/>
        <v>-0.91689635018297333</v>
      </c>
      <c r="AA39" s="629">
        <f t="shared" si="7"/>
        <v>-0.3918652516549605</v>
      </c>
      <c r="AB39" s="629">
        <f t="shared" si="8"/>
        <v>-7.5780654302644634E-2</v>
      </c>
      <c r="AC39" s="636">
        <f t="shared" si="84"/>
        <v>1</v>
      </c>
      <c r="AD39" s="637">
        <f t="shared" si="115"/>
        <v>-0.91689635018297333</v>
      </c>
      <c r="AE39" s="629">
        <f t="shared" si="85"/>
        <v>-0.3918652516549605</v>
      </c>
      <c r="AF39" s="633">
        <f t="shared" si="86"/>
        <v>-7.5780654302644634E-2</v>
      </c>
      <c r="AG39" s="602">
        <f t="shared" si="87"/>
        <v>-79.054990228285305</v>
      </c>
      <c r="AH39" s="603">
        <f t="shared" si="88"/>
        <v>156.47648576048209</v>
      </c>
      <c r="AI39" s="585">
        <f t="shared" si="89"/>
        <v>-85.653921842081843</v>
      </c>
      <c r="AJ39" s="586">
        <f t="shared" si="90"/>
        <v>-66.858995116149458</v>
      </c>
      <c r="AK39" s="635">
        <f t="shared" si="211"/>
        <v>0.874590829399995</v>
      </c>
      <c r="AL39" s="629">
        <f t="shared" si="91"/>
        <v>-0.47890309412541066</v>
      </c>
      <c r="AM39" s="634">
        <f t="shared" si="92"/>
        <v>-7.5780654302644634E-2</v>
      </c>
      <c r="AN39" s="581">
        <f t="shared" si="93"/>
        <v>-81.008186846014283</v>
      </c>
      <c r="AO39" s="582">
        <f t="shared" si="94"/>
        <v>29.00341264618563</v>
      </c>
      <c r="AP39" s="585">
        <f t="shared" si="95"/>
        <v>-28.703961641877903</v>
      </c>
      <c r="AQ39" s="586">
        <f t="shared" si="9"/>
        <v>0.48751411218569851</v>
      </c>
      <c r="AS39" s="52">
        <f t="shared" si="116"/>
        <v>-128.10103348206817</v>
      </c>
      <c r="AT39" s="72">
        <f t="shared" si="10"/>
        <v>-1.5848084971722256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3.1379999999999999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>
        <f t="shared" si="112"/>
        <v>1313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3.7290591230332666</v>
      </c>
      <c r="C40" s="708">
        <v>-2.9662311136711348</v>
      </c>
      <c r="D40" s="709">
        <v>-2.3376070502228643</v>
      </c>
      <c r="E40" s="710">
        <v>0.97992480082951539</v>
      </c>
      <c r="F40" s="708">
        <v>0.19936746153576149</v>
      </c>
      <c r="G40" s="711">
        <v>1.4578093088601773E-7</v>
      </c>
      <c r="H40" s="710">
        <v>0.26600000000000001</v>
      </c>
      <c r="I40" s="708">
        <v>0.52</v>
      </c>
      <c r="J40" s="570">
        <v>3.1440000000000001</v>
      </c>
      <c r="K40" s="865">
        <f>IF($J40="","",IF(IFERROR(INDEX(Settings!$AK$14:$AK$36,MATCH((((ROUND($H40,6)*2)*1000000)+ROUND($I40,6)),Settings!$AI$14:$AI$36,0)),"Undefined")="Undefined","Undefined",IFERROR(INDEX(_xlfn.ANCHORARRAY(Settings!$BC$14),MATCH(IFERROR(INDEX(Settings!$AK$14:$AK$36,MATCH((((ROUND($H40,6)*2)*1000000)+ROUND($I40,6)),Settings!$AI$14:$AI$36,0)),"Undefined"),_xlfn.ANCHORARRAY(Settings!$BC$14),0)),"Inactive")))</f>
        <v>1313</v>
      </c>
      <c r="L40" s="320"/>
      <c r="M40" s="168">
        <f t="shared" si="1"/>
        <v>3.1440000000000001</v>
      </c>
      <c r="N40" s="632">
        <f t="shared" si="2"/>
        <v>3.7290591230332666</v>
      </c>
      <c r="O40" s="629">
        <f t="shared" si="3"/>
        <v>-2.9662311136711348</v>
      </c>
      <c r="P40" s="633">
        <f t="shared" si="4"/>
        <v>-2.3376070502228643</v>
      </c>
      <c r="Q40" s="585">
        <f t="shared" si="113"/>
        <v>321.49996657554027</v>
      </c>
      <c r="R40" s="629">
        <f t="shared" si="79"/>
        <v>4.7649143709817423</v>
      </c>
      <c r="S40" s="634">
        <f t="shared" si="80"/>
        <v>-2.3376070502228643</v>
      </c>
      <c r="T40" s="635">
        <f t="shared" si="81"/>
        <v>-2.9627152418769009</v>
      </c>
      <c r="U40" s="629">
        <f t="shared" si="82"/>
        <v>-3.7318530729838</v>
      </c>
      <c r="V40" s="636">
        <f t="shared" si="114"/>
        <v>-2.3376070502228643</v>
      </c>
      <c r="W40" s="585">
        <f t="shared" si="224"/>
        <v>231.55396656774363</v>
      </c>
      <c r="X40" s="629">
        <f t="shared" si="83"/>
        <v>4.7649143709817423</v>
      </c>
      <c r="Y40" s="630">
        <f t="shared" si="223"/>
        <v>-2.3376070502228643</v>
      </c>
      <c r="Z40" s="632">
        <f t="shared" si="6"/>
        <v>-0.97992480082951539</v>
      </c>
      <c r="AA40" s="629">
        <f t="shared" si="7"/>
        <v>-0.19936746153576149</v>
      </c>
      <c r="AB40" s="629">
        <f t="shared" si="8"/>
        <v>-1.4578093088601773E-7</v>
      </c>
      <c r="AC40" s="636">
        <f t="shared" si="84"/>
        <v>1</v>
      </c>
      <c r="AD40" s="637">
        <f t="shared" si="115"/>
        <v>-0.97992480082951539</v>
      </c>
      <c r="AE40" s="629">
        <f t="shared" si="85"/>
        <v>-0.19936746153576149</v>
      </c>
      <c r="AF40" s="633">
        <f t="shared" si="86"/>
        <v>-1.4578093088601773E-7</v>
      </c>
      <c r="AG40" s="602">
        <f t="shared" si="87"/>
        <v>-89.999958104336542</v>
      </c>
      <c r="AH40" s="603">
        <f t="shared" si="88"/>
        <v>168.50002764917136</v>
      </c>
      <c r="AI40" s="585">
        <f t="shared" si="89"/>
        <v>-89.999991647367921</v>
      </c>
      <c r="AJ40" s="586">
        <f t="shared" si="90"/>
        <v>-78.50002764917437</v>
      </c>
      <c r="AK40" s="635">
        <f t="shared" si="211"/>
        <v>0.7660445079105076</v>
      </c>
      <c r="AL40" s="629">
        <f t="shared" si="91"/>
        <v>-0.64278753247097675</v>
      </c>
      <c r="AM40" s="634">
        <f t="shared" si="92"/>
        <v>-1.4578093088601773E-7</v>
      </c>
      <c r="AN40" s="581">
        <f t="shared" si="93"/>
        <v>-89.999987005609711</v>
      </c>
      <c r="AO40" s="582">
        <f t="shared" si="94"/>
        <v>39.999994224715351</v>
      </c>
      <c r="AP40" s="585">
        <f t="shared" si="95"/>
        <v>-39.999994224714627</v>
      </c>
      <c r="AQ40" s="586">
        <f t="shared" si="9"/>
        <v>0.4784290900957216</v>
      </c>
      <c r="AS40" s="52">
        <f t="shared" si="116"/>
        <v>-128.44603343225637</v>
      </c>
      <c r="AT40" s="72">
        <f t="shared" si="10"/>
        <v>-2.2483709159003227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3.1440000000000001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>
        <f t="shared" si="112"/>
        <v>1313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1.2389113813987078</v>
      </c>
      <c r="C41" s="708">
        <v>-2.0105439041685327</v>
      </c>
      <c r="D41" s="709">
        <v>-0.11580034925385332</v>
      </c>
      <c r="E41" s="710">
        <v>0.82957714758218626</v>
      </c>
      <c r="F41" s="708">
        <v>0.5242907711709659</v>
      </c>
      <c r="G41" s="711">
        <v>0.19214823307633438</v>
      </c>
      <c r="H41" s="710">
        <v>0.26600000000000001</v>
      </c>
      <c r="I41" s="708">
        <v>0.52</v>
      </c>
      <c r="J41" s="570">
        <v>3.2109999999999999</v>
      </c>
      <c r="K41" s="865">
        <f>IF($J41="","",IF(IFERROR(INDEX(Settings!$AK$14:$AK$36,MATCH((((ROUND($H41,6)*2)*1000000)+ROUND($I41,6)),Settings!$AI$14:$AI$36,0)),"Undefined")="Undefined","Undefined",IFERROR(INDEX(_xlfn.ANCHORARRAY(Settings!$BC$14),MATCH(IFERROR(INDEX(Settings!$AK$14:$AK$36,MATCH((((ROUND($H41,6)*2)*1000000)+ROUND($I41,6)),Settings!$AI$14:$AI$36,0)),"Undefined"),_xlfn.ANCHORARRAY(Settings!$BC$14),0)),"Inactive")))</f>
        <v>1313</v>
      </c>
      <c r="L41" s="320"/>
      <c r="M41" s="168">
        <f t="shared" ref="M41:M72" si="239">IF(J41="","",VALUE(J41))</f>
        <v>3.2109999999999999</v>
      </c>
      <c r="N41" s="632">
        <f t="shared" ref="N41:N72" si="240">IF(M41="","",B41)</f>
        <v>1.2389113813987078</v>
      </c>
      <c r="O41" s="629">
        <f t="shared" ref="O41:O72" si="241">IF(M41="","",C41)</f>
        <v>-2.0105439041685327</v>
      </c>
      <c r="P41" s="633">
        <f t="shared" ref="P41:P72" si="242">IF(M41="","",D41)</f>
        <v>-0.11580034925385332</v>
      </c>
      <c r="Q41" s="585">
        <f t="shared" si="113"/>
        <v>301.6416694427237</v>
      </c>
      <c r="R41" s="629">
        <f t="shared" si="79"/>
        <v>2.3616071226070821</v>
      </c>
      <c r="S41" s="634">
        <f t="shared" si="80"/>
        <v>-0.11580034925385332</v>
      </c>
      <c r="T41" s="635">
        <f t="shared" si="81"/>
        <v>-2.0093753650947486</v>
      </c>
      <c r="U41" s="629">
        <f t="shared" si="82"/>
        <v>-1.2408057235920731</v>
      </c>
      <c r="V41" s="636">
        <f t="shared" si="114"/>
        <v>-0.11580034925385332</v>
      </c>
      <c r="W41" s="585">
        <f t="shared" si="224"/>
        <v>211.69566943492705</v>
      </c>
      <c r="X41" s="629">
        <f t="shared" si="83"/>
        <v>2.3616071226070821</v>
      </c>
      <c r="Y41" s="630">
        <f t="shared" si="223"/>
        <v>-0.11580034925385332</v>
      </c>
      <c r="Z41" s="632">
        <f t="shared" ref="Z41:Z72" si="243">IF(M41="","",-E41)</f>
        <v>-0.82957714758218626</v>
      </c>
      <c r="AA41" s="629">
        <f t="shared" ref="AA41:AA72" si="244">IF(M41="","",-F41)</f>
        <v>-0.5242907711709659</v>
      </c>
      <c r="AB41" s="629">
        <f t="shared" ref="AB41:AB72" si="245">IF(M41="","",-G41)</f>
        <v>-0.19214823307633438</v>
      </c>
      <c r="AC41" s="636">
        <f t="shared" si="84"/>
        <v>1</v>
      </c>
      <c r="AD41" s="637">
        <f t="shared" si="115"/>
        <v>-0.82957714758218626</v>
      </c>
      <c r="AE41" s="629">
        <f t="shared" si="85"/>
        <v>-0.5242907711709659</v>
      </c>
      <c r="AF41" s="633">
        <f t="shared" si="86"/>
        <v>-0.19214823307633438</v>
      </c>
      <c r="AG41" s="602">
        <f t="shared" si="87"/>
        <v>-69.872532222004139</v>
      </c>
      <c r="AH41" s="603">
        <f t="shared" si="88"/>
        <v>146.05532531095275</v>
      </c>
      <c r="AI41" s="585">
        <f t="shared" si="89"/>
        <v>-78.921820758137173</v>
      </c>
      <c r="AJ41" s="586">
        <f t="shared" si="90"/>
        <v>-57.707211522136063</v>
      </c>
      <c r="AK41" s="635">
        <f t="shared" si="211"/>
        <v>0.98130254541092454</v>
      </c>
      <c r="AL41" s="629">
        <f t="shared" si="91"/>
        <v>1.1152169998828287E-2</v>
      </c>
      <c r="AM41" s="634">
        <f t="shared" si="92"/>
        <v>-0.19214823307633438</v>
      </c>
      <c r="AN41" s="581">
        <f t="shared" si="93"/>
        <v>3.3216867771152967</v>
      </c>
      <c r="AO41" s="582">
        <f t="shared" si="94"/>
        <v>11.097058841267277</v>
      </c>
      <c r="AP41" s="585">
        <f t="shared" si="95"/>
        <v>0.6511190351402445</v>
      </c>
      <c r="AQ41" s="586">
        <f t="shared" ref="AQ41:AQ72" si="246">IF(M41="","",DEGREES(ATAN(($AS$5*SIN(RADIANS(90)))/(($X41*2*PI())-($AS$5*COS(RADIANS(90)))))))</f>
        <v>0.96523716359936595</v>
      </c>
      <c r="AS41" s="52">
        <f t="shared" si="116"/>
        <v>-148.30433056507295</v>
      </c>
      <c r="AT41" s="72">
        <f t="shared" ref="AT41:AT72" si="247">IF(M41="","",Y41+(((AS41-$AS$9)*$AS$6)*-1))</f>
        <v>-1.277373081130033E-2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Nose</v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3.2109999999999999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0.111</v>
      </c>
      <c r="II41" s="734" cm="1">
        <f t="array" ref="II41">IFERROR(IF($IH41&lt;1,$IH41+LARGE((IF($M$9:$M$150="",0,$M$9:$M$150)-MOD(IF($M$9:$M$150="",0,$M$9:$M$150),1)),1),$IH41),"")</f>
        <v>6.1109999999999998</v>
      </c>
      <c r="IJ41" s="533">
        <f t="shared" si="112"/>
        <v>1313</v>
      </c>
      <c r="IK41" s="533">
        <f t="shared" ref="IK41:IK72" si="382">IF(ISNUMBER($II41),INDEX($K$9:$K$150,MATCH($IG41,$M$9:$M$150,0)),"")</f>
        <v>1313</v>
      </c>
      <c r="IL41" s="727">
        <f t="shared" si="225"/>
        <v>203.24612263245965</v>
      </c>
      <c r="IM41" s="759">
        <v>9.0759416955826897E-4</v>
      </c>
      <c r="IN41" s="5">
        <f t="shared" si="226"/>
        <v>0</v>
      </c>
      <c r="IO41" s="771">
        <v>0</v>
      </c>
      <c r="IP41" s="9">
        <f t="shared" si="227"/>
        <v>-2.3592071153686605</v>
      </c>
      <c r="IQ41" s="5">
        <f t="shared" si="228"/>
        <v>-0.10330031155373973</v>
      </c>
      <c r="IR41" s="5">
        <f t="shared" ref="IR41:IR72" si="383">IF(ISNUMBER($II41),INDEX($H$9:$H$150,MATCH($II41,$M$9:$M$150,0)),"")</f>
        <v>0.26600000000000001</v>
      </c>
      <c r="IS41" s="5">
        <f t="shared" si="229"/>
        <v>0.24825027010770681</v>
      </c>
      <c r="IT41" s="727">
        <f t="shared" si="230"/>
        <v>-6.8941592674344845</v>
      </c>
      <c r="IU41" s="9">
        <f t="shared" si="231"/>
        <v>-2.3616071226070821</v>
      </c>
      <c r="IV41" s="5">
        <f t="shared" si="232"/>
        <v>-0.11580034925385332</v>
      </c>
      <c r="IW41" s="5">
        <f t="shared" ref="IW41:IW72" si="384">IF(ISNUMBER($II41),$H41,"")</f>
        <v>0.26600000000000001</v>
      </c>
      <c r="IX41" s="5">
        <f t="shared" si="233"/>
        <v>0.26102647707930593</v>
      </c>
      <c r="IY41" s="762">
        <f t="shared" si="234"/>
        <v>-3.3216867771152967</v>
      </c>
    </row>
    <row r="42" spans="1:267" ht="15" customHeight="1" x14ac:dyDescent="0.25">
      <c r="A42" s="79"/>
      <c r="B42" s="707">
        <v>1.8521961392885142</v>
      </c>
      <c r="C42" s="708">
        <v>-2.4487074986552106</v>
      </c>
      <c r="D42" s="709">
        <v>-8.8300266313603076E-2</v>
      </c>
      <c r="E42" s="710">
        <v>0.83338157850689787</v>
      </c>
      <c r="F42" s="708">
        <v>0.50863852191131131</v>
      </c>
      <c r="G42" s="711">
        <v>0.21624522800105361</v>
      </c>
      <c r="H42" s="710">
        <v>0.26600000000000001</v>
      </c>
      <c r="I42" s="708">
        <v>0.52</v>
      </c>
      <c r="J42" s="570">
        <v>3.2170000000000001</v>
      </c>
      <c r="K42" s="865">
        <f>IF($J42="","",IF(IFERROR(INDEX(Settings!$AK$14:$AK$36,MATCH((((ROUND($H42,6)*2)*1000000)+ROUND($I42,6)),Settings!$AI$14:$AI$36,0)),"Undefined")="Undefined","Undefined",IFERROR(INDEX(_xlfn.ANCHORARRAY(Settings!$BC$14),MATCH(IFERROR(INDEX(Settings!$AK$14:$AK$36,MATCH((((ROUND($H42,6)*2)*1000000)+ROUND($I42,6)),Settings!$AI$14:$AI$36,0)),"Undefined"),_xlfn.ANCHORARRAY(Settings!$BC$14),0)),"Inactive")))</f>
        <v>1313</v>
      </c>
      <c r="L42" s="320"/>
      <c r="M42" s="168">
        <f t="shared" si="239"/>
        <v>3.2170000000000001</v>
      </c>
      <c r="N42" s="632">
        <f t="shared" si="240"/>
        <v>1.8521961392885142</v>
      </c>
      <c r="O42" s="629">
        <f t="shared" si="241"/>
        <v>-2.4487074986552106</v>
      </c>
      <c r="P42" s="633">
        <f t="shared" si="242"/>
        <v>-8.8300266313603076E-2</v>
      </c>
      <c r="Q42" s="585">
        <f t="shared" si="113"/>
        <v>307.1037686540941</v>
      </c>
      <c r="R42" s="629">
        <f t="shared" ref="R42:R47" si="385">IF(M42="","",SQRT(N42^2+O42^2))</f>
        <v>3.0703092600527291</v>
      </c>
      <c r="S42" s="634">
        <f t="shared" ref="S42:S47" si="386">IF(M42="","",P42)</f>
        <v>-8.8300266313603076E-2</v>
      </c>
      <c r="T42" s="635">
        <f t="shared" ref="T42:T47" si="387">IF(M42="","",X42*COS(RADIANS(W42)))</f>
        <v>-2.4469607578809782</v>
      </c>
      <c r="U42" s="629">
        <f t="shared" ref="U42:U47" si="388">IF(M42="","",X42*SIN(RADIANS(W42)))</f>
        <v>-1.8545031684405631</v>
      </c>
      <c r="V42" s="636">
        <f t="shared" ref="V42:V47" si="389">IF(M42="","",Y42)</f>
        <v>-8.8300266313603076E-2</v>
      </c>
      <c r="W42" s="585">
        <f t="shared" si="224"/>
        <v>217.15776864629746</v>
      </c>
      <c r="X42" s="629">
        <f t="shared" ref="X42:X47" si="390">IF(M42="","",R42)</f>
        <v>3.0703092600527291</v>
      </c>
      <c r="Y42" s="630">
        <f t="shared" si="223"/>
        <v>-8.8300266313603076E-2</v>
      </c>
      <c r="Z42" s="632">
        <f t="shared" si="243"/>
        <v>-0.83338157850689787</v>
      </c>
      <c r="AA42" s="629">
        <f t="shared" si="244"/>
        <v>-0.50863852191131131</v>
      </c>
      <c r="AB42" s="629">
        <f t="shared" si="245"/>
        <v>-0.21624522800105361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-0.83338157850689787</v>
      </c>
      <c r="AE42" s="629">
        <f t="shared" ref="AE42:AE47" si="393">IF(M42="","",AA42*(1/SQRT(Z42^2+AA42^2+AB42^2)))</f>
        <v>-0.50863852191131131</v>
      </c>
      <c r="AF42" s="633">
        <f t="shared" ref="AF42:AF47" si="394">IF(M42="","",AB42*(1/SQRT(Z42^2+AA42^2+AB42^2)))</f>
        <v>-0.21624522800105361</v>
      </c>
      <c r="AG42" s="602">
        <f t="shared" ref="AG42:AG47" si="395">IF(M42="","",DEGREES(ATAN2(-AF42,AE42)))</f>
        <v>-66.967461618955838</v>
      </c>
      <c r="AH42" s="603">
        <f t="shared" ref="AH42:AH47" si="396">IF(M42="","",DEGREES(ACOS(AD42)))</f>
        <v>146.44769127416723</v>
      </c>
      <c r="AI42" s="585">
        <f t="shared" ref="AI42:AI47" si="397">IF(M42="","",DEGREES(-ACOS(-AF42)))</f>
        <v>-77.511407655039875</v>
      </c>
      <c r="AJ42" s="586">
        <f t="shared" ref="AJ42:AJ47" si="398">IF(M42="","",DEGREES(ATAN2(-AE42,AD42)))</f>
        <v>-58.602993691644535</v>
      </c>
      <c r="AK42" s="635">
        <f t="shared" ref="AK42:AK47" si="399">IF(M42="","",(COS(RADIANS((90-$Q$8)-W42))*AD42)+(-SIN(RADIANS((90-$Q$8)-W42))*AE42))</f>
        <v>0.97150018922109438</v>
      </c>
      <c r="AL42" s="629">
        <f t="shared" ref="AL42:AL47" si="400">IF(M42="","",(SIN(RADIANS((90-$Q$8)-W42))*AD42)+(COS(RADIANS((90-$Q$8)-W42))*AE42))</f>
        <v>-9.7084415382440337E-2</v>
      </c>
      <c r="AM42" s="634">
        <f t="shared" ref="AM42:AM47" si="401">IF(M42="","",AF42)</f>
        <v>-0.21624522800105361</v>
      </c>
      <c r="AN42" s="581">
        <f t="shared" ref="AN42:AN47" si="402">IF(M42="","",DEGREES(ATAN2(-AM42,AL42)))</f>
        <v>-24.177943118678041</v>
      </c>
      <c r="AO42" s="582">
        <f t="shared" si="94"/>
        <v>13.711832300040506</v>
      </c>
      <c r="AP42" s="585">
        <f t="shared" ref="AP42:AP47" si="403">IF(M42="","",DEGREES(ATAN2(AK42,AL42)))</f>
        <v>-5.7067623457386194</v>
      </c>
      <c r="AQ42" s="586">
        <f t="shared" si="246"/>
        <v>0.74246560593055677</v>
      </c>
      <c r="AS42" s="52">
        <f t="shared" si="116"/>
        <v>-142.84223135370254</v>
      </c>
      <c r="AT42" s="72">
        <f t="shared" si="247"/>
        <v>1.0933227676609356E-2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Nose</v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3.2170000000000001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0.11700000000000001</v>
      </c>
      <c r="II42" s="734" cm="1">
        <f t="array" ref="II42">IFERROR(IF($IH42&lt;1,$IH42+LARGE((IF($M$9:$M$150="",0,$M$9:$M$150)-MOD(IF($M$9:$M$150="",0,$M$9:$M$150),1)),1),$IH42),"")</f>
        <v>6.117</v>
      </c>
      <c r="IJ42" s="533">
        <f t="shared" si="112"/>
        <v>1313</v>
      </c>
      <c r="IK42" s="533">
        <f t="shared" si="382"/>
        <v>1313</v>
      </c>
      <c r="IL42" s="727">
        <f t="shared" si="225"/>
        <v>197.12872351570283</v>
      </c>
      <c r="IM42" s="759">
        <v>5.8917581994156001E-4</v>
      </c>
      <c r="IN42" s="5">
        <f t="shared" si="226"/>
        <v>0</v>
      </c>
      <c r="IO42" s="771">
        <v>0</v>
      </c>
      <c r="IP42" s="9">
        <f t="shared" si="227"/>
        <v>-3.0716092639735399</v>
      </c>
      <c r="IQ42" s="5">
        <f t="shared" si="228"/>
        <v>-7.4100223486274153E-2</v>
      </c>
      <c r="IR42" s="5">
        <f t="shared" si="383"/>
        <v>0.26600000000000001</v>
      </c>
      <c r="IS42" s="5">
        <f t="shared" si="229"/>
        <v>0.24413310989958167</v>
      </c>
      <c r="IT42" s="727">
        <f t="shared" si="230"/>
        <v>16.437106276383631</v>
      </c>
      <c r="IU42" s="9">
        <f t="shared" si="231"/>
        <v>-3.0703092600527291</v>
      </c>
      <c r="IV42" s="5">
        <f t="shared" si="232"/>
        <v>-8.8300266313603076E-2</v>
      </c>
      <c r="IW42" s="5">
        <f t="shared" si="384"/>
        <v>0.26600000000000001</v>
      </c>
      <c r="IX42" s="5">
        <f t="shared" si="233"/>
        <v>0.2584190503328111</v>
      </c>
      <c r="IY42" s="762">
        <f t="shared" si="234"/>
        <v>24.177943118678041</v>
      </c>
    </row>
    <row r="43" spans="1:267" ht="15" customHeight="1" x14ac:dyDescent="0.25">
      <c r="A43" s="79"/>
      <c r="B43" s="707">
        <v>2.3817525115104465</v>
      </c>
      <c r="C43" s="708">
        <v>-2.8679823581975596</v>
      </c>
      <c r="D43" s="709">
        <v>-0.3180009590908926</v>
      </c>
      <c r="E43" s="710">
        <v>0.86838622004611576</v>
      </c>
      <c r="F43" s="708">
        <v>0.4613649103932958</v>
      </c>
      <c r="G43" s="711">
        <v>0.1817905176069568</v>
      </c>
      <c r="H43" s="710">
        <v>0.26600000000000001</v>
      </c>
      <c r="I43" s="708">
        <v>0.52</v>
      </c>
      <c r="J43" s="570">
        <v>3.2229999999999999</v>
      </c>
      <c r="K43" s="865">
        <f>IF($J43="","",IF(IFERROR(INDEX(Settings!$AK$14:$AK$36,MATCH((((ROUND($H43,6)*2)*1000000)+ROUND($I43,6)),Settings!$AI$14:$AI$36,0)),"Undefined")="Undefined","Undefined",IFERROR(INDEX(_xlfn.ANCHORARRAY(Settings!$BC$14),MATCH(IFERROR(INDEX(Settings!$AK$14:$AK$36,MATCH((((ROUND($H43,6)*2)*1000000)+ROUND($I43,6)),Settings!$AI$14:$AI$36,0)),"Undefined"),_xlfn.ANCHORARRAY(Settings!$BC$14),0)),"Inactive")))</f>
        <v>1313</v>
      </c>
      <c r="L43" s="320"/>
      <c r="M43" s="168">
        <f t="shared" si="239"/>
        <v>3.2229999999999999</v>
      </c>
      <c r="N43" s="632">
        <f t="shared" si="240"/>
        <v>2.3817525115104465</v>
      </c>
      <c r="O43" s="629">
        <f t="shared" si="241"/>
        <v>-2.8679823581975596</v>
      </c>
      <c r="P43" s="633">
        <f t="shared" si="242"/>
        <v>-0.3180009590908926</v>
      </c>
      <c r="Q43" s="585">
        <f t="shared" si="113"/>
        <v>309.70836827803646</v>
      </c>
      <c r="R43" s="629">
        <f t="shared" si="385"/>
        <v>3.7280112436819119</v>
      </c>
      <c r="S43" s="634">
        <f t="shared" si="386"/>
        <v>-0.3180009590908926</v>
      </c>
      <c r="T43" s="635">
        <f t="shared" si="387"/>
        <v>-2.8657363362332875</v>
      </c>
      <c r="U43" s="629">
        <f t="shared" si="388"/>
        <v>-2.3844544625995625</v>
      </c>
      <c r="V43" s="636">
        <f t="shared" si="389"/>
        <v>-0.3180009590908926</v>
      </c>
      <c r="W43" s="585">
        <f t="shared" si="224"/>
        <v>219.76236827023982</v>
      </c>
      <c r="X43" s="629">
        <f t="shared" si="390"/>
        <v>3.7280112436819119</v>
      </c>
      <c r="Y43" s="630">
        <f t="shared" si="223"/>
        <v>-0.3180009590908926</v>
      </c>
      <c r="Z43" s="632">
        <f t="shared" si="243"/>
        <v>-0.86838622004611576</v>
      </c>
      <c r="AA43" s="629">
        <f t="shared" si="244"/>
        <v>-0.4613649103932958</v>
      </c>
      <c r="AB43" s="629">
        <f t="shared" si="245"/>
        <v>-0.1817905176069568</v>
      </c>
      <c r="AC43" s="636">
        <f t="shared" si="391"/>
        <v>1</v>
      </c>
      <c r="AD43" s="637">
        <f t="shared" si="392"/>
        <v>-0.86838622004611576</v>
      </c>
      <c r="AE43" s="629">
        <f t="shared" si="393"/>
        <v>-0.4613649103932958</v>
      </c>
      <c r="AF43" s="633">
        <f t="shared" si="394"/>
        <v>-0.1817905176069568</v>
      </c>
      <c r="AG43" s="602">
        <f t="shared" si="395"/>
        <v>-68.494189912541998</v>
      </c>
      <c r="AH43" s="603">
        <f t="shared" si="396"/>
        <v>150.27164599039259</v>
      </c>
      <c r="AI43" s="585">
        <f t="shared" si="397"/>
        <v>-79.525930209006034</v>
      </c>
      <c r="AJ43" s="586">
        <f t="shared" si="398"/>
        <v>-62.018738486423722</v>
      </c>
      <c r="AK43" s="635">
        <f t="shared" si="399"/>
        <v>0.96281184755793814</v>
      </c>
      <c r="AL43" s="629">
        <f t="shared" si="400"/>
        <v>-0.19986383842572547</v>
      </c>
      <c r="AM43" s="634">
        <f t="shared" si="401"/>
        <v>-0.1817905176069568</v>
      </c>
      <c r="AN43" s="581">
        <f t="shared" si="402"/>
        <v>-47.711228020504947</v>
      </c>
      <c r="AO43" s="582">
        <f t="shared" si="94"/>
        <v>15.674550191662853</v>
      </c>
      <c r="AP43" s="585">
        <f t="shared" si="403"/>
        <v>-11.727106764460183</v>
      </c>
      <c r="AQ43" s="586">
        <f t="shared" si="246"/>
        <v>0.61148959239700873</v>
      </c>
      <c r="AS43" s="52">
        <f t="shared" ref="AS43:AS74" si="406">IF(G43="","",IF(AND(W43&lt;(AS42+180),W43&gt;(AS42-180)),W43,IF(W43&gt;(AS42+180),W43-360,IF(W43&lt;(AS42-180),W43+360,"Error"))))</f>
        <v>-140.23763172976018</v>
      </c>
      <c r="AT43" s="72">
        <f t="shared" si="247"/>
        <v>-0.22057621483952902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>Taper</v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3.2229999999999999</v>
      </c>
      <c r="IH43" s="731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0.123</v>
      </c>
      <c r="II43" s="734" cm="1">
        <f t="array" ref="II43">IFERROR(IF($IH43&lt;1,$IH43+LARGE((IF($M$9:$M$150="",0,$M$9:$M$150)-MOD(IF($M$9:$M$150="",0,$M$9:$M$150),1)),1),$IH43),"")</f>
        <v>6.1230000000000002</v>
      </c>
      <c r="IJ43" s="533">
        <f t="shared" si="112"/>
        <v>1313</v>
      </c>
      <c r="IK43" s="533">
        <f t="shared" si="382"/>
        <v>1313</v>
      </c>
      <c r="IL43" s="727">
        <f t="shared" si="225"/>
        <v>193.63782401972637</v>
      </c>
      <c r="IM43" s="759">
        <v>3.6535193679390903E-4</v>
      </c>
      <c r="IN43" s="5">
        <f t="shared" si="226"/>
        <v>0</v>
      </c>
      <c r="IO43" s="771">
        <v>0</v>
      </c>
      <c r="IP43" s="9">
        <f t="shared" si="227"/>
        <v>-3.733211259365159</v>
      </c>
      <c r="IQ43" s="5">
        <f t="shared" si="228"/>
        <v>-0.30390091656516444</v>
      </c>
      <c r="IR43" s="5">
        <f t="shared" si="383"/>
        <v>0.26600000000000001</v>
      </c>
      <c r="IS43" s="5">
        <f t="shared" si="229"/>
        <v>0.24112881631831845</v>
      </c>
      <c r="IT43" s="727">
        <f t="shared" si="230"/>
        <v>37.473835103838091</v>
      </c>
      <c r="IU43" s="9">
        <f t="shared" si="231"/>
        <v>-3.7280112436819119</v>
      </c>
      <c r="IV43" s="5">
        <f t="shared" si="232"/>
        <v>-0.3180009590908926</v>
      </c>
      <c r="IW43" s="5">
        <f t="shared" si="384"/>
        <v>0.26600000000000001</v>
      </c>
      <c r="IX43" s="5">
        <f t="shared" si="233"/>
        <v>0.25610795145041154</v>
      </c>
      <c r="IY43" s="762">
        <f t="shared" si="234"/>
        <v>47.711228020504947</v>
      </c>
    </row>
    <row r="44" spans="1:267" ht="15" customHeight="1" x14ac:dyDescent="0.25">
      <c r="A44" s="79"/>
      <c r="B44" s="707">
        <v>2.7803098543616551</v>
      </c>
      <c r="C44" s="708">
        <v>-3.2182517965461588</v>
      </c>
      <c r="D44" s="709">
        <v>-0.76260230000853713</v>
      </c>
      <c r="E44" s="710">
        <v>0.90418472955719598</v>
      </c>
      <c r="F44" s="708">
        <v>0.41149319927905836</v>
      </c>
      <c r="G44" s="711">
        <v>0.11455706779882915</v>
      </c>
      <c r="H44" s="710">
        <v>0.26600000000000001</v>
      </c>
      <c r="I44" s="708">
        <v>0.52</v>
      </c>
      <c r="J44" s="570">
        <v>3.2290000000000001</v>
      </c>
      <c r="K44" s="865">
        <f>IF($J44="","",IF(IFERROR(INDEX(Settings!$AK$14:$AK$36,MATCH((((ROUND($H44,6)*2)*1000000)+ROUND($I44,6)),Settings!$AI$14:$AI$36,0)),"Undefined")="Undefined","Undefined",IFERROR(INDEX(_xlfn.ANCHORARRAY(Settings!$BC$14),MATCH(IFERROR(INDEX(Settings!$AK$14:$AK$36,MATCH((((ROUND($H44,6)*2)*1000000)+ROUND($I44,6)),Settings!$AI$14:$AI$36,0)),"Undefined"),_xlfn.ANCHORARRAY(Settings!$BC$14),0)),"Inactive")))</f>
        <v>1313</v>
      </c>
      <c r="L44" s="320"/>
      <c r="M44" s="168">
        <f t="shared" si="239"/>
        <v>3.2290000000000001</v>
      </c>
      <c r="N44" s="632">
        <f t="shared" si="240"/>
        <v>2.7803098543616551</v>
      </c>
      <c r="O44" s="629">
        <f t="shared" si="241"/>
        <v>-3.2182517965461588</v>
      </c>
      <c r="P44" s="633">
        <f t="shared" si="242"/>
        <v>-0.76260230000853713</v>
      </c>
      <c r="Q44" s="585">
        <f t="shared" si="113"/>
        <v>310.82436811690599</v>
      </c>
      <c r="R44" s="629">
        <f t="shared" si="385"/>
        <v>4.2529128267850851</v>
      </c>
      <c r="S44" s="634">
        <f t="shared" si="386"/>
        <v>-0.76260230000853713</v>
      </c>
      <c r="T44" s="635">
        <f t="shared" si="387"/>
        <v>-3.2156299876797525</v>
      </c>
      <c r="U44" s="629">
        <f t="shared" si="388"/>
        <v>-2.7833417495104369</v>
      </c>
      <c r="V44" s="636">
        <f t="shared" si="389"/>
        <v>-0.76260230000853713</v>
      </c>
      <c r="W44" s="585">
        <f t="shared" si="224"/>
        <v>220.87836810910935</v>
      </c>
      <c r="X44" s="629">
        <f t="shared" si="390"/>
        <v>4.2529128267850851</v>
      </c>
      <c r="Y44" s="630">
        <f t="shared" si="223"/>
        <v>-0.76260230000853713</v>
      </c>
      <c r="Z44" s="632">
        <f t="shared" si="243"/>
        <v>-0.90418472955719598</v>
      </c>
      <c r="AA44" s="629">
        <f t="shared" si="244"/>
        <v>-0.41149319927905836</v>
      </c>
      <c r="AB44" s="629">
        <f t="shared" si="245"/>
        <v>-0.11455706779882915</v>
      </c>
      <c r="AC44" s="636">
        <f t="shared" si="391"/>
        <v>1</v>
      </c>
      <c r="AD44" s="637">
        <f t="shared" si="392"/>
        <v>-0.90418472955719598</v>
      </c>
      <c r="AE44" s="629">
        <f t="shared" si="393"/>
        <v>-0.41149319927905836</v>
      </c>
      <c r="AF44" s="633">
        <f t="shared" si="394"/>
        <v>-0.11455706779882915</v>
      </c>
      <c r="AG44" s="602">
        <f t="shared" si="395"/>
        <v>-74.443138389888219</v>
      </c>
      <c r="AH44" s="603">
        <f t="shared" si="396"/>
        <v>154.71370270388948</v>
      </c>
      <c r="AI44" s="585">
        <f t="shared" si="397"/>
        <v>-83.421921934543803</v>
      </c>
      <c r="AJ44" s="586">
        <f t="shared" si="398"/>
        <v>-65.52978493732067</v>
      </c>
      <c r="AK44" s="635">
        <f t="shared" si="399"/>
        <v>0.95322262467579155</v>
      </c>
      <c r="AL44" s="629">
        <f t="shared" si="400"/>
        <v>-0.27972004937710387</v>
      </c>
      <c r="AM44" s="634">
        <f t="shared" si="401"/>
        <v>-0.11455706779882915</v>
      </c>
      <c r="AN44" s="581">
        <f t="shared" si="402"/>
        <v>-67.728846669997921</v>
      </c>
      <c r="AO44" s="582">
        <f t="shared" si="94"/>
        <v>17.59394351193172</v>
      </c>
      <c r="AP44" s="585">
        <f t="shared" si="403"/>
        <v>-16.354153054226646</v>
      </c>
      <c r="AQ44" s="586">
        <f t="shared" si="246"/>
        <v>0.53602324217316755</v>
      </c>
      <c r="AS44" s="52">
        <f t="shared" si="406"/>
        <v>-139.12163189089065</v>
      </c>
      <c r="AT44" s="72">
        <f t="shared" si="247"/>
        <v>-0.66595255564527744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>Taper</v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3.2290000000000001</v>
      </c>
      <c r="IH44" s="731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0.129</v>
      </c>
      <c r="II44" s="734" cm="1">
        <f t="array" ref="II44">IFERROR(IF($IH44&lt;1,$IH44+LARGE((IF($M$9:$M$150="",0,$M$9:$M$150)-MOD(IF($M$9:$M$150="",0,$M$9:$M$150),1)),1),$IH44),"")</f>
        <v>6.1289999999999996</v>
      </c>
      <c r="IJ44" s="533">
        <f t="shared" si="112"/>
        <v>1313</v>
      </c>
      <c r="IK44" s="533">
        <f t="shared" si="382"/>
        <v>1313</v>
      </c>
      <c r="IL44" s="727">
        <f t="shared" si="225"/>
        <v>191.70512429877365</v>
      </c>
      <c r="IM44" s="759">
        <v>2.09997244366312E-5</v>
      </c>
      <c r="IN44" s="5">
        <f t="shared" si="226"/>
        <v>0</v>
      </c>
      <c r="IO44" s="771">
        <v>0</v>
      </c>
      <c r="IP44" s="9">
        <f t="shared" si="227"/>
        <v>-4.2620128542307674</v>
      </c>
      <c r="IQ44" s="5">
        <f t="shared" si="228"/>
        <v>-0.74970226110201954</v>
      </c>
      <c r="IR44" s="5">
        <f t="shared" si="383"/>
        <v>0.26600000000000001</v>
      </c>
      <c r="IS44" s="5">
        <f t="shared" si="229"/>
        <v>0.23790738320699004</v>
      </c>
      <c r="IT44" s="727">
        <f t="shared" si="230"/>
        <v>56.585647290520264</v>
      </c>
      <c r="IU44" s="9">
        <f t="shared" si="231"/>
        <v>-4.2529128267850851</v>
      </c>
      <c r="IV44" s="5">
        <f t="shared" si="232"/>
        <v>-0.76260230000853713</v>
      </c>
      <c r="IW44" s="5">
        <f t="shared" si="384"/>
        <v>0.26600000000000001</v>
      </c>
      <c r="IX44" s="5">
        <f t="shared" si="233"/>
        <v>0.25355721816376059</v>
      </c>
      <c r="IY44" s="762">
        <f t="shared" si="234"/>
        <v>67.728846669997921</v>
      </c>
    </row>
    <row r="45" spans="1:267" ht="15" customHeight="1" x14ac:dyDescent="0.25">
      <c r="A45" s="79"/>
      <c r="B45" s="707">
        <v>-0.46192621111948595</v>
      </c>
      <c r="C45" s="708">
        <v>-2.5542754955604674</v>
      </c>
      <c r="D45" s="709">
        <v>-6.3000190008573168E-2</v>
      </c>
      <c r="E45" s="710">
        <v>0.90979986376944577</v>
      </c>
      <c r="F45" s="708">
        <v>-0.1745515543033147</v>
      </c>
      <c r="G45" s="711">
        <v>0.37655804701983842</v>
      </c>
      <c r="H45" s="710">
        <v>0.26600000000000001</v>
      </c>
      <c r="I45" s="708">
        <v>0.52</v>
      </c>
      <c r="J45" s="570">
        <v>4.1130000000000004</v>
      </c>
      <c r="K45" s="865">
        <f>IF($J45="","",IF(IFERROR(INDEX(Settings!$AK$14:$AK$36,MATCH((((ROUND($H45,6)*2)*1000000)+ROUND($I45,6)),Settings!$AI$14:$AI$36,0)),"Undefined")="Undefined","Undefined",IFERROR(INDEX(_xlfn.ANCHORARRAY(Settings!$BC$14),MATCH(IFERROR(INDEX(Settings!$AK$14:$AK$36,MATCH((((ROUND($H45,6)*2)*1000000)+ROUND($I45,6)),Settings!$AI$14:$AI$36,0)),"Undefined"),_xlfn.ANCHORARRAY(Settings!$BC$14),0)),"Inactive")))</f>
        <v>1313</v>
      </c>
      <c r="L45" s="320"/>
      <c r="M45" s="168">
        <f t="shared" si="239"/>
        <v>4.1130000000000004</v>
      </c>
      <c r="N45" s="632">
        <f t="shared" si="240"/>
        <v>-0.46192621111948595</v>
      </c>
      <c r="O45" s="629">
        <f t="shared" si="241"/>
        <v>-2.5542754955604674</v>
      </c>
      <c r="P45" s="633">
        <f t="shared" si="242"/>
        <v>-6.3000190008573168E-2</v>
      </c>
      <c r="Q45" s="585">
        <f t="shared" si="113"/>
        <v>259.74917549125138</v>
      </c>
      <c r="R45" s="629">
        <f t="shared" si="385"/>
        <v>2.5957078286548114</v>
      </c>
      <c r="S45" s="634">
        <f t="shared" si="386"/>
        <v>-6.3000190008573168E-2</v>
      </c>
      <c r="T45" s="635">
        <f t="shared" si="387"/>
        <v>-2.5547097161949854</v>
      </c>
      <c r="U45" s="629">
        <f t="shared" si="388"/>
        <v>0.45951865872759978</v>
      </c>
      <c r="V45" s="636">
        <f t="shared" si="389"/>
        <v>-6.3000190008573168E-2</v>
      </c>
      <c r="W45" s="585">
        <f t="shared" si="224"/>
        <v>169.80317548345474</v>
      </c>
      <c r="X45" s="629">
        <f t="shared" si="390"/>
        <v>2.5957078286548114</v>
      </c>
      <c r="Y45" s="630">
        <f t="shared" si="223"/>
        <v>-6.3000190008573168E-2</v>
      </c>
      <c r="Z45" s="632">
        <f t="shared" si="243"/>
        <v>-0.90979986376944577</v>
      </c>
      <c r="AA45" s="629">
        <f t="shared" si="244"/>
        <v>0.1745515543033147</v>
      </c>
      <c r="AB45" s="629">
        <f t="shared" si="245"/>
        <v>-0.37655804701983842</v>
      </c>
      <c r="AC45" s="636">
        <f t="shared" si="391"/>
        <v>1</v>
      </c>
      <c r="AD45" s="637">
        <f t="shared" si="392"/>
        <v>-0.90979986376944577</v>
      </c>
      <c r="AE45" s="629">
        <f t="shared" si="393"/>
        <v>0.1745515543033147</v>
      </c>
      <c r="AF45" s="633">
        <f t="shared" si="394"/>
        <v>-0.37655804701983842</v>
      </c>
      <c r="AG45" s="602">
        <f t="shared" si="395"/>
        <v>24.86983946906031</v>
      </c>
      <c r="AH45" s="603">
        <f t="shared" si="396"/>
        <v>155.4777088230733</v>
      </c>
      <c r="AI45" s="585">
        <f t="shared" si="397"/>
        <v>-67.879357565010281</v>
      </c>
      <c r="AJ45" s="586">
        <f t="shared" si="398"/>
        <v>-100.86062810472954</v>
      </c>
      <c r="AK45" s="635">
        <f t="shared" si="399"/>
        <v>0.92634055708072394</v>
      </c>
      <c r="AL45" s="629">
        <f t="shared" si="400"/>
        <v>-9.8594894380567288E-3</v>
      </c>
      <c r="AM45" s="634">
        <f t="shared" si="401"/>
        <v>-0.37655804701983842</v>
      </c>
      <c r="AN45" s="581">
        <f t="shared" si="402"/>
        <v>-1.4998433789008141</v>
      </c>
      <c r="AO45" s="582">
        <f t="shared" si="94"/>
        <v>22.128624443067896</v>
      </c>
      <c r="AP45" s="585">
        <f t="shared" si="403"/>
        <v>-0.60980359598091383</v>
      </c>
      <c r="AQ45" s="586">
        <f t="shared" si="246"/>
        <v>0.87819903215199835</v>
      </c>
      <c r="AS45" s="52">
        <f t="shared" si="406"/>
        <v>-190.19682451654526</v>
      </c>
      <c r="AT45" s="72">
        <f t="shared" si="247"/>
        <v>6.9118438122502276E-2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4.1130000000000004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>
        <f t="shared" si="112"/>
        <v>1313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-0.63302119094884568</v>
      </c>
      <c r="C46" s="708">
        <v>-3.2403568452101892</v>
      </c>
      <c r="D46" s="709">
        <v>-0.12410037428672908</v>
      </c>
      <c r="E46" s="710">
        <v>0.86859354860332472</v>
      </c>
      <c r="F46" s="708">
        <v>-0.33392922981172785</v>
      </c>
      <c r="G46" s="711">
        <v>0.36610997910741272</v>
      </c>
      <c r="H46" s="710">
        <v>0.26600000000000001</v>
      </c>
      <c r="I46" s="708">
        <v>0.52</v>
      </c>
      <c r="J46" s="570">
        <v>4.1189999999999998</v>
      </c>
      <c r="K46" s="865">
        <f>IF($J46="","",IF(IFERROR(INDEX(Settings!$AK$14:$AK$36,MATCH((((ROUND($H46,6)*2)*1000000)+ROUND($I46,6)),Settings!$AI$14:$AI$36,0)),"Undefined")="Undefined","Undefined",IFERROR(INDEX(_xlfn.ANCHORARRAY(Settings!$BC$14),MATCH(IFERROR(INDEX(Settings!$AK$14:$AK$36,MATCH((((ROUND($H46,6)*2)*1000000)+ROUND($I46,6)),Settings!$AI$14:$AI$36,0)),"Undefined"),_xlfn.ANCHORARRAY(Settings!$BC$14),0)),"Inactive")))</f>
        <v>1313</v>
      </c>
      <c r="L46" s="320"/>
      <c r="M46" s="168">
        <f t="shared" si="239"/>
        <v>4.1189999999999998</v>
      </c>
      <c r="N46" s="632">
        <f t="shared" si="240"/>
        <v>-0.63302119094884568</v>
      </c>
      <c r="O46" s="629">
        <f t="shared" si="241"/>
        <v>-3.2403568452101892</v>
      </c>
      <c r="P46" s="633">
        <f t="shared" si="242"/>
        <v>-0.12410037428672908</v>
      </c>
      <c r="Q46" s="585">
        <f t="shared" si="113"/>
        <v>258.94617560719024</v>
      </c>
      <c r="R46" s="629">
        <f t="shared" si="385"/>
        <v>3.3016099576556321</v>
      </c>
      <c r="S46" s="634">
        <f t="shared" si="386"/>
        <v>-0.12410037428672908</v>
      </c>
      <c r="T46" s="635">
        <f t="shared" si="387"/>
        <v>-3.2409520143063548</v>
      </c>
      <c r="U46" s="629">
        <f t="shared" si="388"/>
        <v>0.62996694631893702</v>
      </c>
      <c r="V46" s="636">
        <f t="shared" si="389"/>
        <v>-0.12410037428672908</v>
      </c>
      <c r="W46" s="585">
        <f t="shared" si="224"/>
        <v>169.0001755993936</v>
      </c>
      <c r="X46" s="629">
        <f t="shared" si="390"/>
        <v>3.3016099576556321</v>
      </c>
      <c r="Y46" s="630">
        <f t="shared" si="223"/>
        <v>-0.12410037428672908</v>
      </c>
      <c r="Z46" s="632">
        <f t="shared" si="243"/>
        <v>-0.86859354860332472</v>
      </c>
      <c r="AA46" s="629">
        <f t="shared" si="244"/>
        <v>0.33392922981172785</v>
      </c>
      <c r="AB46" s="629">
        <f t="shared" si="245"/>
        <v>-0.36610997910741272</v>
      </c>
      <c r="AC46" s="636">
        <f t="shared" si="391"/>
        <v>1</v>
      </c>
      <c r="AD46" s="637">
        <f t="shared" si="392"/>
        <v>-0.86859354860332472</v>
      </c>
      <c r="AE46" s="629">
        <f t="shared" si="393"/>
        <v>0.33392922981172785</v>
      </c>
      <c r="AF46" s="633">
        <f t="shared" si="394"/>
        <v>-0.36610997910741272</v>
      </c>
      <c r="AG46" s="602">
        <f t="shared" si="395"/>
        <v>42.367970352769603</v>
      </c>
      <c r="AH46" s="603">
        <f t="shared" si="396"/>
        <v>150.29560985376304</v>
      </c>
      <c r="AI46" s="585">
        <f t="shared" si="397"/>
        <v>-68.52409131377425</v>
      </c>
      <c r="AJ46" s="586">
        <f t="shared" si="398"/>
        <v>-111.02916619115668</v>
      </c>
      <c r="AK46" s="635">
        <f t="shared" si="399"/>
        <v>0.91650357506762081</v>
      </c>
      <c r="AL46" s="629">
        <f t="shared" si="400"/>
        <v>-0.1611976429301617</v>
      </c>
      <c r="AM46" s="634">
        <f t="shared" si="401"/>
        <v>-0.36610997910741272</v>
      </c>
      <c r="AN46" s="581">
        <f t="shared" si="402"/>
        <v>-23.763817504981091</v>
      </c>
      <c r="AO46" s="582">
        <f t="shared" si="94"/>
        <v>23.579834833379486</v>
      </c>
      <c r="AP46" s="585">
        <f t="shared" si="403"/>
        <v>-9.9753417983469248</v>
      </c>
      <c r="AQ46" s="586">
        <f t="shared" si="246"/>
        <v>0.69045596120844022</v>
      </c>
      <c r="AS46" s="52">
        <f t="shared" si="406"/>
        <v>-190.9998244006064</v>
      </c>
      <c r="AT46" s="72">
        <f t="shared" si="247"/>
        <v>8.5758926527221419E-3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4.1189999999999998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>
        <f t="shared" si="112"/>
        <v>1313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-0.81292323640987973</v>
      </c>
      <c r="C47" s="708">
        <v>-3.8425630277211762</v>
      </c>
      <c r="D47" s="709">
        <v>-0.43180130231272768</v>
      </c>
      <c r="E47" s="710">
        <v>0.82369866803336911</v>
      </c>
      <c r="F47" s="708">
        <v>-0.47814371023930341</v>
      </c>
      <c r="G47" s="711">
        <v>0.30479353116273139</v>
      </c>
      <c r="H47" s="710">
        <v>0.26600000000000001</v>
      </c>
      <c r="I47" s="708">
        <v>0.52</v>
      </c>
      <c r="J47" s="570">
        <v>4.125</v>
      </c>
      <c r="K47" s="865">
        <f>IF($J47="","",IF(IFERROR(INDEX(Settings!$AK$14:$AK$36,MATCH((((ROUND($H47,6)*2)*1000000)+ROUND($I47,6)),Settings!$AI$14:$AI$36,0)),"Undefined")="Undefined","Undefined",IFERROR(INDEX(_xlfn.ANCHORARRAY(Settings!$BC$14),MATCH(IFERROR(INDEX(Settings!$AK$14:$AK$36,MATCH((((ROUND($H47,6)*2)*1000000)+ROUND($I47,6)),Settings!$AI$14:$AI$36,0)),"Undefined"),_xlfn.ANCHORARRAY(Settings!$BC$14),0)),"Inactive")))</f>
        <v>1313</v>
      </c>
      <c r="L47" s="320"/>
      <c r="M47" s="168">
        <f t="shared" si="239"/>
        <v>4.125</v>
      </c>
      <c r="N47" s="632">
        <f t="shared" si="240"/>
        <v>-0.81292323640987973</v>
      </c>
      <c r="O47" s="629">
        <f t="shared" si="241"/>
        <v>-3.8425630277211762</v>
      </c>
      <c r="P47" s="633">
        <f t="shared" si="242"/>
        <v>-0.43180130231272768</v>
      </c>
      <c r="Q47" s="585">
        <f t="shared" si="113"/>
        <v>258.05477573589246</v>
      </c>
      <c r="R47" s="629">
        <f t="shared" si="385"/>
        <v>3.9276118456773252</v>
      </c>
      <c r="S47" s="634">
        <f t="shared" si="386"/>
        <v>-0.43180130231272768</v>
      </c>
      <c r="T47" s="635">
        <f t="shared" si="387"/>
        <v>-3.8433274829920174</v>
      </c>
      <c r="U47" s="629">
        <f t="shared" si="388"/>
        <v>0.80930134609000248</v>
      </c>
      <c r="V47" s="636">
        <f t="shared" si="389"/>
        <v>-0.43180130231272768</v>
      </c>
      <c r="W47" s="585">
        <f t="shared" si="224"/>
        <v>168.10877572809582</v>
      </c>
      <c r="X47" s="629">
        <f t="shared" si="390"/>
        <v>3.9276118456773252</v>
      </c>
      <c r="Y47" s="630">
        <f t="shared" si="223"/>
        <v>-0.43180130231272768</v>
      </c>
      <c r="Z47" s="632">
        <f t="shared" si="243"/>
        <v>-0.82369866803336911</v>
      </c>
      <c r="AA47" s="629">
        <f t="shared" si="244"/>
        <v>0.47814371023930341</v>
      </c>
      <c r="AB47" s="629">
        <f t="shared" si="245"/>
        <v>-0.30479353116273139</v>
      </c>
      <c r="AC47" s="636">
        <f t="shared" si="391"/>
        <v>1</v>
      </c>
      <c r="AD47" s="637">
        <f t="shared" si="392"/>
        <v>-0.82369866803336911</v>
      </c>
      <c r="AE47" s="629">
        <f t="shared" si="393"/>
        <v>0.47814371023930341</v>
      </c>
      <c r="AF47" s="633">
        <f t="shared" si="394"/>
        <v>-0.30479353116273139</v>
      </c>
      <c r="AG47" s="602">
        <f t="shared" si="395"/>
        <v>57.484456257088191</v>
      </c>
      <c r="AH47" s="603">
        <f t="shared" si="396"/>
        <v>145.45677715007994</v>
      </c>
      <c r="AI47" s="585">
        <f t="shared" si="397"/>
        <v>-72.254257318008996</v>
      </c>
      <c r="AJ47" s="586">
        <f t="shared" si="398"/>
        <v>-120.1344696849379</v>
      </c>
      <c r="AK47" s="635">
        <f t="shared" si="399"/>
        <v>0.90482672926965435</v>
      </c>
      <c r="AL47" s="629">
        <f t="shared" si="400"/>
        <v>-0.29730370559502461</v>
      </c>
      <c r="AM47" s="634">
        <f t="shared" si="401"/>
        <v>-0.30479353116273139</v>
      </c>
      <c r="AN47" s="581">
        <f t="shared" si="402"/>
        <v>-44.287302390729792</v>
      </c>
      <c r="AO47" s="582">
        <f t="shared" si="94"/>
        <v>25.200043491482809</v>
      </c>
      <c r="AP47" s="585">
        <f t="shared" si="403"/>
        <v>-18.189245420830371</v>
      </c>
      <c r="AQ47" s="586">
        <f t="shared" si="246"/>
        <v>0.58041597257663757</v>
      </c>
      <c r="AS47" s="52">
        <f t="shared" si="406"/>
        <v>-191.89122427190418</v>
      </c>
      <c r="AT47" s="72">
        <f t="shared" si="247"/>
        <v>-0.29850600768487523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4.125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>
        <f t="shared" si="112"/>
        <v>1313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-0.96554344819498783</v>
      </c>
      <c r="C48" s="708">
        <v>-4.2885637714929574</v>
      </c>
      <c r="D48" s="709">
        <v>-0.93510282027010605</v>
      </c>
      <c r="E48" s="710">
        <v>0.78321909114488819</v>
      </c>
      <c r="F48" s="708">
        <v>-0.58657537401612436</v>
      </c>
      <c r="G48" s="711">
        <v>0.20614845588560521</v>
      </c>
      <c r="H48" s="710">
        <v>0.26600000000000001</v>
      </c>
      <c r="I48" s="708">
        <v>0.52</v>
      </c>
      <c r="J48" s="570">
        <v>4.1310000000000002</v>
      </c>
      <c r="K48" s="865">
        <f>IF($J48="","",IF(IFERROR(INDEX(Settings!$AK$14:$AK$36,MATCH((((ROUND($H48,6)*2)*1000000)+ROUND($I48,6)),Settings!$AI$14:$AI$36,0)),"Undefined")="Undefined","Undefined",IFERROR(INDEX(_xlfn.ANCHORARRAY(Settings!$BC$14),MATCH(IFERROR(INDEX(Settings!$AK$14:$AK$36,MATCH((((ROUND($H48,6)*2)*1000000)+ROUND($I48,6)),Settings!$AI$14:$AI$36,0)),"Undefined"),_xlfn.ANCHORARRAY(Settings!$BC$14),0)),"Inactive")))</f>
        <v>1313</v>
      </c>
      <c r="L48" s="320"/>
      <c r="M48" s="168">
        <f t="shared" si="239"/>
        <v>4.1310000000000002</v>
      </c>
      <c r="N48" s="632">
        <f t="shared" si="240"/>
        <v>-0.96554344819498783</v>
      </c>
      <c r="O48" s="629">
        <f t="shared" si="241"/>
        <v>-4.2885637714929574</v>
      </c>
      <c r="P48" s="633">
        <f t="shared" si="242"/>
        <v>-0.93510282027010605</v>
      </c>
      <c r="Q48" s="585">
        <f t="shared" si="113"/>
        <v>257.31177584316833</v>
      </c>
      <c r="R48" s="629">
        <f t="shared" si="79"/>
        <v>4.395913258074386</v>
      </c>
      <c r="S48" s="634">
        <f t="shared" si="80"/>
        <v>-0.93510282027010605</v>
      </c>
      <c r="T48" s="635">
        <f t="shared" si="81"/>
        <v>-4.2894718697993559</v>
      </c>
      <c r="U48" s="629">
        <f t="shared" si="82"/>
        <v>0.9615011444164695</v>
      </c>
      <c r="V48" s="636">
        <f t="shared" si="114"/>
        <v>-0.93510282027010605</v>
      </c>
      <c r="W48" s="585">
        <f t="shared" si="224"/>
        <v>167.36577583537169</v>
      </c>
      <c r="X48" s="629">
        <f t="shared" si="83"/>
        <v>4.395913258074386</v>
      </c>
      <c r="Y48" s="630">
        <f t="shared" si="223"/>
        <v>-0.93510282027010605</v>
      </c>
      <c r="Z48" s="632">
        <f t="shared" si="243"/>
        <v>-0.78321909114488819</v>
      </c>
      <c r="AA48" s="629">
        <f t="shared" si="244"/>
        <v>0.58657537401612436</v>
      </c>
      <c r="AB48" s="629">
        <f t="shared" si="245"/>
        <v>-0.20614845588560521</v>
      </c>
      <c r="AC48" s="636">
        <f t="shared" si="84"/>
        <v>1</v>
      </c>
      <c r="AD48" s="637">
        <f t="shared" si="115"/>
        <v>-0.78321909114488819</v>
      </c>
      <c r="AE48" s="629">
        <f t="shared" si="85"/>
        <v>0.58657537401612436</v>
      </c>
      <c r="AF48" s="633">
        <f t="shared" si="86"/>
        <v>-0.20614845588560521</v>
      </c>
      <c r="AG48" s="602">
        <f t="shared" si="87"/>
        <v>70.636275656256274</v>
      </c>
      <c r="AH48" s="603">
        <f t="shared" si="88"/>
        <v>141.55626467309483</v>
      </c>
      <c r="AI48" s="585">
        <f t="shared" si="89"/>
        <v>-78.103263175571243</v>
      </c>
      <c r="AJ48" s="586">
        <f t="shared" si="90"/>
        <v>-126.83059916396843</v>
      </c>
      <c r="AK48" s="635">
        <f t="shared" si="211"/>
        <v>0.89293141111679786</v>
      </c>
      <c r="AL48" s="629">
        <f t="shared" si="91"/>
        <v>-0.40022032579186323</v>
      </c>
      <c r="AM48" s="634">
        <f t="shared" si="92"/>
        <v>-0.20614845588560521</v>
      </c>
      <c r="AN48" s="581">
        <f t="shared" si="93"/>
        <v>-62.747573799751592</v>
      </c>
      <c r="AO48" s="582">
        <f t="shared" si="94"/>
        <v>26.756050042338025</v>
      </c>
      <c r="AP48" s="585">
        <f t="shared" si="95"/>
        <v>-24.142375007136792</v>
      </c>
      <c r="AQ48" s="586">
        <f t="shared" si="246"/>
        <v>0.51858720698993399</v>
      </c>
      <c r="AS48" s="52">
        <f t="shared" si="406"/>
        <v>-192.63422416462831</v>
      </c>
      <c r="AT48" s="72">
        <f t="shared" si="247"/>
        <v>-0.80129155349452852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4.1310000000000002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>
        <f t="shared" si="112"/>
        <v>1313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-1.0569170850650906</v>
      </c>
      <c r="C49" s="708">
        <v>-4.5343645468791856</v>
      </c>
      <c r="D49" s="709">
        <v>-1.5623047119110114</v>
      </c>
      <c r="E49" s="710">
        <v>0.74430124327641134</v>
      </c>
      <c r="F49" s="708">
        <v>-0.66063722404821601</v>
      </c>
      <c r="G49" s="711">
        <v>9.7847419276422154E-2</v>
      </c>
      <c r="H49" s="710">
        <v>0.26600000000000001</v>
      </c>
      <c r="I49" s="708">
        <v>0.52</v>
      </c>
      <c r="J49" s="570">
        <v>4.1369999999999996</v>
      </c>
      <c r="K49" s="865">
        <f>IF($J49="","",IF(IFERROR(INDEX(Settings!$AK$14:$AK$36,MATCH((((ROUND($H49,6)*2)*1000000)+ROUND($I49,6)),Settings!$AI$14:$AI$36,0)),"Undefined")="Undefined","Undefined",IFERROR(INDEX(_xlfn.ANCHORARRAY(Settings!$BC$14),MATCH(IFERROR(INDEX(Settings!$AK$14:$AK$36,MATCH((((ROUND($H49,6)*2)*1000000)+ROUND($I49,6)),Settings!$AI$14:$AI$36,0)),"Undefined"),_xlfn.ANCHORARRAY(Settings!$BC$14),0)),"Inactive")))</f>
        <v>1313</v>
      </c>
      <c r="L49" s="320"/>
      <c r="M49" s="168">
        <f t="shared" si="239"/>
        <v>4.1369999999999996</v>
      </c>
      <c r="N49" s="632">
        <f t="shared" si="240"/>
        <v>-1.0569170850650906</v>
      </c>
      <c r="O49" s="629">
        <f t="shared" si="241"/>
        <v>-4.5343645468791856</v>
      </c>
      <c r="P49" s="633">
        <f t="shared" si="242"/>
        <v>-1.5623047119110114</v>
      </c>
      <c r="Q49" s="585">
        <f t="shared" si="113"/>
        <v>256.87917590562807</v>
      </c>
      <c r="R49" s="629">
        <f t="shared" si="79"/>
        <v>4.655914042236752</v>
      </c>
      <c r="S49" s="634">
        <f t="shared" si="80"/>
        <v>-1.5623047119110114</v>
      </c>
      <c r="T49" s="635">
        <f t="shared" si="81"/>
        <v>-4.5353586536162993</v>
      </c>
      <c r="U49" s="629">
        <f t="shared" si="82"/>
        <v>1.0526430789992958</v>
      </c>
      <c r="V49" s="636">
        <f t="shared" si="114"/>
        <v>-1.5623047119110114</v>
      </c>
      <c r="W49" s="585">
        <f t="shared" si="224"/>
        <v>166.93317589783143</v>
      </c>
      <c r="X49" s="629">
        <f t="shared" si="83"/>
        <v>4.655914042236752</v>
      </c>
      <c r="Y49" s="630">
        <f t="shared" si="223"/>
        <v>-1.5623047119110114</v>
      </c>
      <c r="Z49" s="632">
        <f t="shared" si="243"/>
        <v>-0.74430124327641134</v>
      </c>
      <c r="AA49" s="629">
        <f t="shared" si="244"/>
        <v>0.66063722404821601</v>
      </c>
      <c r="AB49" s="629">
        <f t="shared" si="245"/>
        <v>-9.7847419276422154E-2</v>
      </c>
      <c r="AC49" s="636">
        <f t="shared" si="84"/>
        <v>1.0000000000000002</v>
      </c>
      <c r="AD49" s="637">
        <f t="shared" si="115"/>
        <v>-0.74430124327641123</v>
      </c>
      <c r="AE49" s="629">
        <f t="shared" si="85"/>
        <v>0.6606372240482159</v>
      </c>
      <c r="AF49" s="633">
        <f t="shared" si="86"/>
        <v>-9.7847419276422126E-2</v>
      </c>
      <c r="AG49" s="602">
        <f t="shared" si="87"/>
        <v>81.575132433301846</v>
      </c>
      <c r="AH49" s="603">
        <f t="shared" si="88"/>
        <v>138.09911607970656</v>
      </c>
      <c r="AI49" s="585">
        <f t="shared" si="89"/>
        <v>-84.384771269753202</v>
      </c>
      <c r="AJ49" s="586">
        <f t="shared" si="90"/>
        <v>-131.592063644013</v>
      </c>
      <c r="AK49" s="635">
        <f t="shared" si="211"/>
        <v>0.87483830283095099</v>
      </c>
      <c r="AL49" s="629">
        <f t="shared" si="91"/>
        <v>-0.47443000162384918</v>
      </c>
      <c r="AM49" s="634">
        <f t="shared" si="92"/>
        <v>-9.7847419276422126E-2</v>
      </c>
      <c r="AN49" s="581">
        <f t="shared" si="93"/>
        <v>-78.346595964268289</v>
      </c>
      <c r="AO49" s="582">
        <f t="shared" si="94"/>
        <v>28.97415540343771</v>
      </c>
      <c r="AP49" s="585">
        <f t="shared" si="95"/>
        <v>-28.471239549641076</v>
      </c>
      <c r="AQ49" s="586">
        <f t="shared" si="246"/>
        <v>0.48962912897431371</v>
      </c>
      <c r="AS49" s="52">
        <f t="shared" si="406"/>
        <v>-193.06682410216857</v>
      </c>
      <c r="AT49" s="72">
        <f t="shared" si="247"/>
        <v>-1.428193028512142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4.1369999999999996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>
        <f t="shared" si="112"/>
        <v>1313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-1.1123491130552075</v>
      </c>
      <c r="C50" s="708">
        <v>-4.6332589409047316</v>
      </c>
      <c r="D50" s="709">
        <v>-2.2291067229858772</v>
      </c>
      <c r="E50" s="710">
        <v>0.59482253050359091</v>
      </c>
      <c r="F50" s="708">
        <v>-0.80385705023050191</v>
      </c>
      <c r="G50" s="711">
        <v>1.4578093252482251E-7</v>
      </c>
      <c r="H50" s="710">
        <v>0.26600000000000001</v>
      </c>
      <c r="I50" s="708">
        <v>0.52</v>
      </c>
      <c r="J50" s="570">
        <v>4.1429999999999998</v>
      </c>
      <c r="K50" s="865">
        <f>IF($J50="","",IF(IFERROR(INDEX(Settings!$AK$14:$AK$36,MATCH((((ROUND($H50,6)*2)*1000000)+ROUND($I50,6)),Settings!$AI$14:$AI$36,0)),"Undefined")="Undefined","Undefined",IFERROR(INDEX(_xlfn.ANCHORARRAY(Settings!$BC$14),MATCH(IFERROR(INDEX(Settings!$AK$14:$AK$36,MATCH((((ROUND($H50,6)*2)*1000000)+ROUND($I50,6)),Settings!$AI$14:$AI$36,0)),"Undefined"),_xlfn.ANCHORARRAY(Settings!$BC$14),0)),"Inactive")))</f>
        <v>1313</v>
      </c>
      <c r="L50" s="320"/>
      <c r="M50" s="168">
        <f t="shared" si="239"/>
        <v>4.1429999999999998</v>
      </c>
      <c r="N50" s="632">
        <f t="shared" si="240"/>
        <v>-1.1123491130552075</v>
      </c>
      <c r="O50" s="629">
        <f t="shared" si="241"/>
        <v>-4.6332589409047316</v>
      </c>
      <c r="P50" s="633">
        <f t="shared" si="242"/>
        <v>-2.2291067229858772</v>
      </c>
      <c r="Q50" s="585">
        <f t="shared" si="113"/>
        <v>256.49997596037775</v>
      </c>
      <c r="R50" s="629">
        <f t="shared" si="79"/>
        <v>4.7649143709817432</v>
      </c>
      <c r="S50" s="634">
        <f t="shared" si="80"/>
        <v>-2.2291067229858772</v>
      </c>
      <c r="T50" s="635">
        <f t="shared" si="81"/>
        <v>-4.6343052471599711</v>
      </c>
      <c r="U50" s="629">
        <f t="shared" si="82"/>
        <v>1.1079818766270046</v>
      </c>
      <c r="V50" s="636">
        <f t="shared" si="114"/>
        <v>-2.2291067229858772</v>
      </c>
      <c r="W50" s="585">
        <f t="shared" si="224"/>
        <v>166.55397595258111</v>
      </c>
      <c r="X50" s="629">
        <f t="shared" si="83"/>
        <v>4.7649143709817432</v>
      </c>
      <c r="Y50" s="630">
        <f t="shared" si="223"/>
        <v>-2.2291067229858772</v>
      </c>
      <c r="Z50" s="632">
        <f t="shared" si="243"/>
        <v>-0.59482253050359091</v>
      </c>
      <c r="AA50" s="629">
        <f t="shared" si="244"/>
        <v>0.80385705023050191</v>
      </c>
      <c r="AB50" s="629">
        <f t="shared" si="245"/>
        <v>-1.4578093252482251E-7</v>
      </c>
      <c r="AC50" s="636">
        <f t="shared" si="84"/>
        <v>1.0000000000000002</v>
      </c>
      <c r="AD50" s="637">
        <f t="shared" si="115"/>
        <v>-0.5948225305035908</v>
      </c>
      <c r="AE50" s="629">
        <f t="shared" si="85"/>
        <v>0.80385705023050169</v>
      </c>
      <c r="AF50" s="633">
        <f t="shared" si="86"/>
        <v>-1.4578093252482248E-7</v>
      </c>
      <c r="AG50" s="602">
        <f t="shared" si="87"/>
        <v>89.999989609306581</v>
      </c>
      <c r="AH50" s="603">
        <f t="shared" si="88"/>
        <v>126.49998173566264</v>
      </c>
      <c r="AI50" s="585">
        <f t="shared" si="89"/>
        <v>-89.999991647367835</v>
      </c>
      <c r="AJ50" s="586">
        <f t="shared" si="90"/>
        <v>-143.50001826433689</v>
      </c>
      <c r="AK50" s="635">
        <f t="shared" si="211"/>
        <v>0.76604450791050738</v>
      </c>
      <c r="AL50" s="629">
        <f t="shared" si="91"/>
        <v>-0.64278753247097686</v>
      </c>
      <c r="AM50" s="634">
        <f t="shared" si="92"/>
        <v>-1.4578093252482248E-7</v>
      </c>
      <c r="AN50" s="581">
        <f t="shared" si="93"/>
        <v>-89.999987005609569</v>
      </c>
      <c r="AO50" s="582">
        <f t="shared" si="94"/>
        <v>39.999994224715365</v>
      </c>
      <c r="AP50" s="585">
        <f t="shared" si="95"/>
        <v>-39.999994224714641</v>
      </c>
      <c r="AQ50" s="586">
        <f t="shared" si="246"/>
        <v>0.47842909009572149</v>
      </c>
      <c r="AS50" s="52">
        <f t="shared" si="406"/>
        <v>-193.44602404741889</v>
      </c>
      <c r="AT50" s="72">
        <f t="shared" si="247"/>
        <v>-2.0947317062916953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4.1429999999999998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>
        <f t="shared" si="112"/>
        <v>1313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-1.4123264522833305</v>
      </c>
      <c r="C51" s="708">
        <v>-2.594286233479917</v>
      </c>
      <c r="D51" s="709">
        <v>-7.40002231846731E-2</v>
      </c>
      <c r="E51" s="710">
        <v>0.81575944382389687</v>
      </c>
      <c r="F51" s="708">
        <v>-0.53462500862832185</v>
      </c>
      <c r="G51" s="711">
        <v>0.22070937896087089</v>
      </c>
      <c r="H51" s="710">
        <v>0.26600000000000001</v>
      </c>
      <c r="I51" s="708">
        <v>0.52</v>
      </c>
      <c r="J51" s="570">
        <v>4.2160000000000002</v>
      </c>
      <c r="K51" s="865">
        <f>IF($J51="","",IF(IFERROR(INDEX(Settings!$AK$14:$AK$36,MATCH((((ROUND($H51,6)*2)*1000000)+ROUND($I51,6)),Settings!$AI$14:$AI$36,0)),"Undefined")="Undefined","Undefined",IFERROR(INDEX(_xlfn.ANCHORARRAY(Settings!$BC$14),MATCH(IFERROR(INDEX(Settings!$AK$14:$AK$36,MATCH((((ROUND($H51,6)*2)*1000000)+ROUND($I51,6)),Settings!$AI$14:$AI$36,0)),"Undefined"),_xlfn.ANCHORARRAY(Settings!$BC$14),0)),"Inactive")))</f>
        <v>1313</v>
      </c>
      <c r="L51" s="320"/>
      <c r="M51" s="168">
        <f t="shared" si="239"/>
        <v>4.2160000000000002</v>
      </c>
      <c r="N51" s="632">
        <f t="shared" si="240"/>
        <v>-1.4123264522833305</v>
      </c>
      <c r="O51" s="629">
        <f t="shared" si="241"/>
        <v>-2.594286233479917</v>
      </c>
      <c r="P51" s="633">
        <f t="shared" si="242"/>
        <v>-7.40002231846731E-2</v>
      </c>
      <c r="Q51" s="585">
        <f t="shared" si="113"/>
        <v>241.43617813532109</v>
      </c>
      <c r="R51" s="629">
        <f t="shared" si="79"/>
        <v>2.9538089086876682</v>
      </c>
      <c r="S51" s="634">
        <f t="shared" si="80"/>
        <v>-7.40002231846731E-2</v>
      </c>
      <c r="T51" s="635">
        <f t="shared" si="81"/>
        <v>-2.5956161672071327</v>
      </c>
      <c r="U51" s="629">
        <f t="shared" si="82"/>
        <v>1.4098807685671821</v>
      </c>
      <c r="V51" s="636">
        <f t="shared" si="114"/>
        <v>-7.40002231846731E-2</v>
      </c>
      <c r="W51" s="585">
        <f t="shared" si="224"/>
        <v>151.49017812752444</v>
      </c>
      <c r="X51" s="629">
        <f t="shared" si="83"/>
        <v>2.9538089086876682</v>
      </c>
      <c r="Y51" s="630">
        <f t="shared" si="223"/>
        <v>-7.40002231846731E-2</v>
      </c>
      <c r="Z51" s="632">
        <f t="shared" si="243"/>
        <v>-0.81575944382389687</v>
      </c>
      <c r="AA51" s="629">
        <f t="shared" si="244"/>
        <v>0.53462500862832185</v>
      </c>
      <c r="AB51" s="629">
        <f t="shared" si="245"/>
        <v>-0.22070937896087089</v>
      </c>
      <c r="AC51" s="636">
        <f t="shared" si="84"/>
        <v>1</v>
      </c>
      <c r="AD51" s="637">
        <f t="shared" si="115"/>
        <v>-0.81575944382389687</v>
      </c>
      <c r="AE51" s="629">
        <f t="shared" si="85"/>
        <v>0.53462500862832185</v>
      </c>
      <c r="AF51" s="633">
        <f t="shared" si="86"/>
        <v>-0.22070937896087089</v>
      </c>
      <c r="AG51" s="602">
        <f t="shared" si="87"/>
        <v>67.567683698149096</v>
      </c>
      <c r="AH51" s="603">
        <f t="shared" si="88"/>
        <v>144.66252332392426</v>
      </c>
      <c r="AI51" s="585">
        <f t="shared" si="89"/>
        <v>-77.249298360944238</v>
      </c>
      <c r="AJ51" s="586">
        <f t="shared" si="90"/>
        <v>-123.23966763546643</v>
      </c>
      <c r="AK51" s="635">
        <f t="shared" si="211"/>
        <v>0.97209353260338749</v>
      </c>
      <c r="AL51" s="629">
        <f t="shared" si="91"/>
        <v>-7.9508074491674463E-2</v>
      </c>
      <c r="AM51" s="634">
        <f t="shared" si="92"/>
        <v>-0.22070937896087089</v>
      </c>
      <c r="AN51" s="581">
        <f t="shared" si="93"/>
        <v>-19.8109862050492</v>
      </c>
      <c r="AO51" s="582">
        <f t="shared" si="94"/>
        <v>13.567668946476726</v>
      </c>
      <c r="AP51" s="585">
        <f t="shared" si="95"/>
        <v>-4.6758457707875403</v>
      </c>
      <c r="AQ51" s="586">
        <f t="shared" si="246"/>
        <v>0.77174550975955447</v>
      </c>
      <c r="AS51" s="52">
        <f t="shared" si="406"/>
        <v>-208.50982187247556</v>
      </c>
      <c r="AT51" s="72">
        <f t="shared" si="247"/>
        <v>7.0835764221353917E-2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>Nose</v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4.2160000000000002</v>
      </c>
      <c r="IH51" s="731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1.1160000000000001</v>
      </c>
      <c r="II51" s="734" cm="1">
        <f t="array" ref="II51">IFERROR(IF($IH51&lt;1,$IH51+LARGE((IF($M$9:$M$150="",0,$M$9:$M$150)-MOD(IF($M$9:$M$150="",0,$M$9:$M$150),1)),1),$IH51),"")</f>
        <v>1.1160000000000001</v>
      </c>
      <c r="IJ51" s="533">
        <f t="shared" si="112"/>
        <v>1313</v>
      </c>
      <c r="IK51" s="533">
        <f t="shared" si="382"/>
        <v>1313</v>
      </c>
      <c r="IL51" s="727">
        <f t="shared" si="225"/>
        <v>207.93092195605837</v>
      </c>
      <c r="IM51" s="759">
        <v>6.1439672596233605E-4</v>
      </c>
      <c r="IN51" s="5">
        <f t="shared" si="226"/>
        <v>0</v>
      </c>
      <c r="IO51" s="771">
        <v>0</v>
      </c>
      <c r="IP51" s="9">
        <f t="shared" si="227"/>
        <v>-2.9545089107988756</v>
      </c>
      <c r="IQ51" s="5">
        <f t="shared" si="228"/>
        <v>-5.9800180357344052E-2</v>
      </c>
      <c r="IR51" s="5">
        <f t="shared" si="383"/>
        <v>0.26600000000000001</v>
      </c>
      <c r="IS51" s="5">
        <f t="shared" si="229"/>
        <v>0.2442822141064204</v>
      </c>
      <c r="IT51" s="727">
        <f t="shared" si="230"/>
        <v>12.820517669378509</v>
      </c>
      <c r="IU51" s="9">
        <f t="shared" si="231"/>
        <v>-2.9538089086876682</v>
      </c>
      <c r="IV51" s="5">
        <f t="shared" si="232"/>
        <v>-7.40002231846731E-2</v>
      </c>
      <c r="IW51" s="5">
        <f t="shared" si="384"/>
        <v>0.26600000000000001</v>
      </c>
      <c r="IX51" s="5">
        <f t="shared" si="233"/>
        <v>0.25857687967250109</v>
      </c>
      <c r="IY51" s="762">
        <f t="shared" si="234"/>
        <v>19.8109862050492</v>
      </c>
    </row>
    <row r="52" spans="1:259" ht="15" customHeight="1" x14ac:dyDescent="0.25">
      <c r="A52" s="79"/>
      <c r="B52" s="707">
        <v>-1.5637792369419528</v>
      </c>
      <c r="C52" s="708">
        <v>-3.2710318171731876</v>
      </c>
      <c r="D52" s="709">
        <v>-0.26320079381359385</v>
      </c>
      <c r="E52" s="710">
        <v>0.78971516668337349</v>
      </c>
      <c r="F52" s="708">
        <v>-0.58239036260524069</v>
      </c>
      <c r="G52" s="711">
        <v>0.19279891352076636</v>
      </c>
      <c r="H52" s="710">
        <v>0.26600000000000001</v>
      </c>
      <c r="I52" s="708">
        <v>0.52</v>
      </c>
      <c r="J52" s="570">
        <v>4.2220000000000004</v>
      </c>
      <c r="K52" s="865">
        <f>IF($J52="","",IF(IFERROR(INDEX(Settings!$AK$14:$AK$36,MATCH((((ROUND($H52,6)*2)*1000000)+ROUND($I52,6)),Settings!$AI$14:$AI$36,0)),"Undefined")="Undefined","Undefined",IFERROR(INDEX(_xlfn.ANCHORARRAY(Settings!$BC$14),MATCH(IFERROR(INDEX(Settings!$AK$14:$AK$36,MATCH((((ROUND($H52,6)*2)*1000000)+ROUND($I52,6)),Settings!$AI$14:$AI$36,0)),"Undefined"),_xlfn.ANCHORARRAY(Settings!$BC$14),0)),"Inactive")))</f>
        <v>1313</v>
      </c>
      <c r="L52" s="320"/>
      <c r="M52" s="168">
        <f t="shared" si="239"/>
        <v>4.2220000000000004</v>
      </c>
      <c r="N52" s="632">
        <f t="shared" si="240"/>
        <v>-1.5637792369419528</v>
      </c>
      <c r="O52" s="629">
        <f t="shared" si="241"/>
        <v>-3.2710318171731876</v>
      </c>
      <c r="P52" s="633">
        <f t="shared" si="242"/>
        <v>-0.26320079381359385</v>
      </c>
      <c r="Q52" s="585">
        <f t="shared" si="113"/>
        <v>244.44897770032665</v>
      </c>
      <c r="R52" s="629">
        <f t="shared" si="79"/>
        <v>3.6256109348425793</v>
      </c>
      <c r="S52" s="634">
        <f t="shared" si="80"/>
        <v>-0.26320079381359385</v>
      </c>
      <c r="T52" s="635">
        <f t="shared" si="81"/>
        <v>-3.2725041911809618</v>
      </c>
      <c r="U52" s="629">
        <f t="shared" si="82"/>
        <v>1.5606956684610622</v>
      </c>
      <c r="V52" s="636">
        <f t="shared" si="114"/>
        <v>-0.26320079381359385</v>
      </c>
      <c r="W52" s="585">
        <f t="shared" si="224"/>
        <v>154.50297769253001</v>
      </c>
      <c r="X52" s="629">
        <f t="shared" si="83"/>
        <v>3.6256109348425793</v>
      </c>
      <c r="Y52" s="630">
        <f t="shared" si="223"/>
        <v>-0.26320079381359385</v>
      </c>
      <c r="Z52" s="632">
        <f t="shared" si="243"/>
        <v>-0.78971516668337349</v>
      </c>
      <c r="AA52" s="629">
        <f t="shared" si="244"/>
        <v>0.58239036260524069</v>
      </c>
      <c r="AB52" s="629">
        <f t="shared" si="245"/>
        <v>-0.19279891352076636</v>
      </c>
      <c r="AC52" s="636">
        <f t="shared" si="84"/>
        <v>1</v>
      </c>
      <c r="AD52" s="637">
        <f t="shared" si="115"/>
        <v>-0.78971516668337349</v>
      </c>
      <c r="AE52" s="629">
        <f t="shared" si="85"/>
        <v>0.58239036260524069</v>
      </c>
      <c r="AF52" s="633">
        <f t="shared" si="86"/>
        <v>-0.19279891352076636</v>
      </c>
      <c r="AG52" s="602">
        <f t="shared" si="87"/>
        <v>71.683000096207536</v>
      </c>
      <c r="AH52" s="603">
        <f t="shared" si="88"/>
        <v>142.15890134271726</v>
      </c>
      <c r="AI52" s="585">
        <f t="shared" si="89"/>
        <v>-78.883829153035009</v>
      </c>
      <c r="AJ52" s="586">
        <f t="shared" si="90"/>
        <v>-126.4076198050676</v>
      </c>
      <c r="AK52" s="635">
        <f t="shared" si="211"/>
        <v>0.96367576564428448</v>
      </c>
      <c r="AL52" s="629">
        <f t="shared" si="91"/>
        <v>-0.18481774172171428</v>
      </c>
      <c r="AM52" s="634">
        <f t="shared" si="92"/>
        <v>-0.19279891352076636</v>
      </c>
      <c r="AN52" s="581">
        <f t="shared" si="93"/>
        <v>-43.789196983013937</v>
      </c>
      <c r="AO52" s="582">
        <f t="shared" si="94"/>
        <v>15.490282063789993</v>
      </c>
      <c r="AP52" s="585">
        <f t="shared" si="95"/>
        <v>-10.856597505394246</v>
      </c>
      <c r="AQ52" s="586">
        <f t="shared" si="246"/>
        <v>0.62875889300290844</v>
      </c>
      <c r="AS52" s="52">
        <f t="shared" si="406"/>
        <v>-205.49702230746999</v>
      </c>
      <c r="AT52" s="72">
        <f t="shared" si="247"/>
        <v>-0.12045702832770958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Nose</v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4.2220000000000004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1.1220000000000001</v>
      </c>
      <c r="II52" s="734" cm="1">
        <f t="array" ref="II52">IFERROR(IF($IH52&lt;1,$IH52+LARGE((IF($M$9:$M$150="",0,$M$9:$M$150)-MOD(IF($M$9:$M$150="",0,$M$9:$M$150),1)),1),$IH52),"")</f>
        <v>1.1220000000000001</v>
      </c>
      <c r="IJ52" s="533">
        <f t="shared" si="112"/>
        <v>1313</v>
      </c>
      <c r="IK52" s="533">
        <f t="shared" si="382"/>
        <v>1313</v>
      </c>
      <c r="IL52" s="727">
        <f t="shared" si="225"/>
        <v>204.04662251688177</v>
      </c>
      <c r="IM52" s="759">
        <v>3.6508201471061199E-4</v>
      </c>
      <c r="IN52" s="5">
        <f t="shared" si="226"/>
        <v>0</v>
      </c>
      <c r="IO52" s="771">
        <v>0</v>
      </c>
      <c r="IP52" s="9">
        <f t="shared" si="227"/>
        <v>-3.6302109487162206</v>
      </c>
      <c r="IQ52" s="5">
        <f t="shared" si="228"/>
        <v>-0.24890075068466422</v>
      </c>
      <c r="IR52" s="5">
        <f t="shared" si="383"/>
        <v>0.26600000000000001</v>
      </c>
      <c r="IS52" s="5">
        <f t="shared" si="229"/>
        <v>0.24134517795334096</v>
      </c>
      <c r="IT52" s="727">
        <f t="shared" si="230"/>
        <v>34.002092282421238</v>
      </c>
      <c r="IU52" s="9">
        <f t="shared" si="231"/>
        <v>-3.6256109348425793</v>
      </c>
      <c r="IV52" s="5">
        <f t="shared" si="232"/>
        <v>-0.26320079381359385</v>
      </c>
      <c r="IW52" s="5">
        <f t="shared" si="384"/>
        <v>0.26600000000000001</v>
      </c>
      <c r="IX52" s="5">
        <f t="shared" si="233"/>
        <v>0.25633775366137967</v>
      </c>
      <c r="IY52" s="762">
        <f t="shared" si="234"/>
        <v>43.789196983013937</v>
      </c>
    </row>
    <row r="53" spans="1:259" ht="15" customHeight="1" x14ac:dyDescent="0.25">
      <c r="A53" s="79"/>
      <c r="B53" s="707">
        <v>-1.7162438655564485</v>
      </c>
      <c r="C53" s="708">
        <v>-3.8093479628595892</v>
      </c>
      <c r="D53" s="709">
        <v>-0.67640204002855242</v>
      </c>
      <c r="E53" s="710">
        <v>0.75890817761267437</v>
      </c>
      <c r="F53" s="708">
        <v>-0.63814140642713502</v>
      </c>
      <c r="G53" s="711">
        <v>0.12974561016006592</v>
      </c>
      <c r="H53" s="710">
        <v>0.26600000000000001</v>
      </c>
      <c r="I53" s="708">
        <v>0.52</v>
      </c>
      <c r="J53" s="570">
        <v>4.2279999999999998</v>
      </c>
      <c r="K53" s="865">
        <f>IF($J53="","",IF(IFERROR(INDEX(Settings!$AK$14:$AK$36,MATCH((((ROUND($H53,6)*2)*1000000)+ROUND($I53,6)),Settings!$AI$14:$AI$36,0)),"Undefined")="Undefined","Undefined",IFERROR(INDEX(_xlfn.ANCHORARRAY(Settings!$BC$14),MATCH(IFERROR(INDEX(Settings!$AK$14:$AK$36,MATCH((((ROUND($H53,6)*2)*1000000)+ROUND($I53,6)),Settings!$AI$14:$AI$36,0)),"Undefined"),_xlfn.ANCHORARRAY(Settings!$BC$14),0)),"Inactive")))</f>
        <v>1313</v>
      </c>
      <c r="L53" s="320"/>
      <c r="M53" s="168">
        <f t="shared" si="239"/>
        <v>4.2279999999999998</v>
      </c>
      <c r="N53" s="632">
        <f t="shared" si="240"/>
        <v>-1.7162438655564485</v>
      </c>
      <c r="O53" s="629">
        <f t="shared" si="241"/>
        <v>-3.8093479628595892</v>
      </c>
      <c r="P53" s="633">
        <f t="shared" si="242"/>
        <v>-0.67640204002855242</v>
      </c>
      <c r="Q53" s="585">
        <f t="shared" si="113"/>
        <v>245.74677751294752</v>
      </c>
      <c r="R53" s="629">
        <f t="shared" ref="R53:R58" si="410">IF(M53="","",SQRT(N53^2+O53^2))</f>
        <v>4.1781126011876033</v>
      </c>
      <c r="S53" s="634">
        <f t="shared" ref="S53:S58" si="411">IF(M53="","",P53)</f>
        <v>-0.67640204002855242</v>
      </c>
      <c r="T53" s="635">
        <f t="shared" ref="T53:T58" si="412">IF(M53="","",X53*COS(RADIANS(W53)))</f>
        <v>-3.8109637922690527</v>
      </c>
      <c r="U53" s="629">
        <f t="shared" ref="U53:U58" si="413">IF(M53="","",X53*SIN(RADIANS(W53)))</f>
        <v>1.7126528784949151</v>
      </c>
      <c r="V53" s="636">
        <f t="shared" ref="V53:V58" si="414">IF(M53="","",Y53)</f>
        <v>-0.67640204002855242</v>
      </c>
      <c r="W53" s="585">
        <f t="shared" si="224"/>
        <v>155.80077750515088</v>
      </c>
      <c r="X53" s="629">
        <f t="shared" ref="X53:X58" si="415">IF(M53="","",R53)</f>
        <v>4.1781126011876033</v>
      </c>
      <c r="Y53" s="630">
        <f t="shared" si="223"/>
        <v>-0.67640204002855242</v>
      </c>
      <c r="Z53" s="632">
        <f t="shared" si="243"/>
        <v>-0.75890817761267437</v>
      </c>
      <c r="AA53" s="629">
        <f t="shared" si="244"/>
        <v>0.63814140642713502</v>
      </c>
      <c r="AB53" s="629">
        <f t="shared" si="245"/>
        <v>-0.12974561016006592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-0.75890817761267437</v>
      </c>
      <c r="AE53" s="629">
        <f t="shared" ref="AE53:AE58" si="418">IF(M53="","",AA53*(1/SQRT(Z53^2+AA53^2+AB53^2)))</f>
        <v>0.63814140642713502</v>
      </c>
      <c r="AF53" s="633">
        <f t="shared" ref="AF53:AF58" si="419">IF(M53="","",AB53*(1/SQRT(Z53^2+AA53^2+AB53^2)))</f>
        <v>-0.12974561016006592</v>
      </c>
      <c r="AG53" s="602">
        <f t="shared" ref="AG53:AG58" si="420">IF(M53="","",DEGREES(ATAN2(-AF53,AE53)))</f>
        <v>78.507391230963535</v>
      </c>
      <c r="AH53" s="603">
        <f t="shared" ref="AH53:AH58" si="421">IF(M53="","",DEGREES(ACOS(AD53)))</f>
        <v>139.36803955523291</v>
      </c>
      <c r="AI53" s="585">
        <f t="shared" ref="AI53:AI58" si="422">IF(M53="","",DEGREES(-ACOS(-AF53)))</f>
        <v>-82.545107646754985</v>
      </c>
      <c r="AJ53" s="586">
        <f t="shared" ref="AJ53:AJ58" si="423">IF(M53="","",DEGREES(ATAN2(-AE53,AD53)))</f>
        <v>-130.05939668215859</v>
      </c>
      <c r="AK53" s="635">
        <f t="shared" ref="AK53:AK58" si="424">IF(M53="","",(COS(RADIANS((90-$Q$8)-W53))*AD53)+(-SIN(RADIANS((90-$Q$8)-W53))*AE53))</f>
        <v>0.95405556886892406</v>
      </c>
      <c r="AL53" s="629">
        <f t="shared" ref="AL53:AL58" si="425">IF(M53="","",(SIN(RADIANS((90-$Q$8)-W53))*AD53)+(COS(RADIANS((90-$Q$8)-W53))*AE53))</f>
        <v>-0.2700815583381917</v>
      </c>
      <c r="AM53" s="634">
        <f t="shared" ref="AM53:AM58" si="426">IF(M53="","",AF53)</f>
        <v>-0.12974561016006592</v>
      </c>
      <c r="AN53" s="581">
        <f t="shared" ref="AN53:AN58" si="427">IF(M53="","",DEGREES(ATAN2(-AM53,AL53)))</f>
        <v>-64.340641058053322</v>
      </c>
      <c r="AO53" s="582">
        <f t="shared" si="94"/>
        <v>17.435364853935305</v>
      </c>
      <c r="AP53" s="585">
        <f t="shared" ref="AP53:AP58" si="428">IF(M53="","",DEGREES(ATAN2(AK53,AL53)))</f>
        <v>-15.806174195106102</v>
      </c>
      <c r="AQ53" s="586">
        <f t="shared" si="246"/>
        <v>0.54561902396391715</v>
      </c>
      <c r="AS53" s="52">
        <f t="shared" si="406"/>
        <v>-204.19922249484912</v>
      </c>
      <c r="AT53" s="72">
        <f t="shared" si="247"/>
        <v>-0.53455952441254373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>Taper</v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4.2279999999999998</v>
      </c>
      <c r="IH53" s="731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1.1279999999999999</v>
      </c>
      <c r="II53" s="734" cm="1">
        <f t="array" ref="II53">IFERROR(IF($IH53&lt;1,$IH53+LARGE((IF($M$9:$M$150="",0,$M$9:$M$150)-MOD(IF($M$9:$M$150="",0,$M$9:$M$150),1)),1),$IH53),"")</f>
        <v>1.1279999999999999</v>
      </c>
      <c r="IJ53" s="533">
        <f t="shared" si="112"/>
        <v>1313</v>
      </c>
      <c r="IK53" s="533">
        <f t="shared" si="382"/>
        <v>1313</v>
      </c>
      <c r="IL53" s="727">
        <f t="shared" si="225"/>
        <v>201.90332282633599</v>
      </c>
      <c r="IM53" s="759">
        <v>7.2345829769112702E-4</v>
      </c>
      <c r="IN53" s="5">
        <f t="shared" si="226"/>
        <v>0</v>
      </c>
      <c r="IO53" s="771">
        <v>0</v>
      </c>
      <c r="IP53" s="9">
        <f t="shared" si="227"/>
        <v>-4.186712627125285</v>
      </c>
      <c r="IQ53" s="5">
        <f t="shared" si="228"/>
        <v>-0.66320200021723286</v>
      </c>
      <c r="IR53" s="5">
        <f t="shared" si="383"/>
        <v>0.26600000000000001</v>
      </c>
      <c r="IS53" s="5">
        <f t="shared" si="229"/>
        <v>0.23811527123672813</v>
      </c>
      <c r="IT53" s="727">
        <f t="shared" si="230"/>
        <v>53.426807186640126</v>
      </c>
      <c r="IU53" s="9">
        <f t="shared" si="231"/>
        <v>-4.1781126011876033</v>
      </c>
      <c r="IV53" s="5">
        <f t="shared" si="232"/>
        <v>-0.67640204002855242</v>
      </c>
      <c r="IW53" s="5">
        <f t="shared" si="384"/>
        <v>0.26600000000000001</v>
      </c>
      <c r="IX53" s="5">
        <f t="shared" si="233"/>
        <v>0.25377878131913384</v>
      </c>
      <c r="IY53" s="762">
        <f t="shared" si="234"/>
        <v>64.340641058053322</v>
      </c>
    </row>
    <row r="54" spans="1:259" ht="15" customHeight="1" x14ac:dyDescent="0.25">
      <c r="A54" s="79"/>
      <c r="B54" s="707">
        <v>-1.8315534602053238</v>
      </c>
      <c r="C54" s="708">
        <v>-4.1563566210936855</v>
      </c>
      <c r="D54" s="709">
        <v>-1.2487037660905587</v>
      </c>
      <c r="E54" s="710">
        <v>0.7345126658274862</v>
      </c>
      <c r="F54" s="708">
        <v>-0.67697170300607346</v>
      </c>
      <c r="G54" s="711">
        <v>4.6909029707044893E-2</v>
      </c>
      <c r="H54" s="710">
        <v>0.26600000000000001</v>
      </c>
      <c r="I54" s="708">
        <v>0.52</v>
      </c>
      <c r="J54" s="570">
        <v>4.234</v>
      </c>
      <c r="K54" s="865">
        <f>IF($J54="","",IF(IFERROR(INDEX(Settings!$AK$14:$AK$36,MATCH((((ROUND($H54,6)*2)*1000000)+ROUND($I54,6)),Settings!$AI$14:$AI$36,0)),"Undefined")="Undefined","Undefined",IFERROR(INDEX(_xlfn.ANCHORARRAY(Settings!$BC$14),MATCH(IFERROR(INDEX(Settings!$AK$14:$AK$36,MATCH((((ROUND($H54,6)*2)*1000000)+ROUND($I54,6)),Settings!$AI$14:$AI$36,0)),"Undefined"),_xlfn.ANCHORARRAY(Settings!$BC$14),0)),"Inactive")))</f>
        <v>1313</v>
      </c>
      <c r="L54" s="320"/>
      <c r="M54" s="168">
        <f t="shared" si="239"/>
        <v>4.234</v>
      </c>
      <c r="N54" s="632">
        <f t="shared" si="240"/>
        <v>-1.8315534602053238</v>
      </c>
      <c r="O54" s="629">
        <f t="shared" si="241"/>
        <v>-4.1563566210936855</v>
      </c>
      <c r="P54" s="633">
        <f t="shared" si="242"/>
        <v>-1.2487037660905587</v>
      </c>
      <c r="Q54" s="585">
        <f t="shared" si="113"/>
        <v>246.21867744481361</v>
      </c>
      <c r="R54" s="629">
        <f t="shared" si="410"/>
        <v>4.5420136987133155</v>
      </c>
      <c r="S54" s="634">
        <f t="shared" si="411"/>
        <v>-1.2487037660905587</v>
      </c>
      <c r="T54" s="635">
        <f t="shared" si="412"/>
        <v>-4.1580809730863386</v>
      </c>
      <c r="U54" s="629">
        <f t="shared" si="413"/>
        <v>1.8276353740713105</v>
      </c>
      <c r="V54" s="636">
        <f t="shared" si="414"/>
        <v>-1.2487037660905587</v>
      </c>
      <c r="W54" s="585">
        <f t="shared" si="224"/>
        <v>156.27267743701697</v>
      </c>
      <c r="X54" s="629">
        <f t="shared" si="415"/>
        <v>4.5420136987133155</v>
      </c>
      <c r="Y54" s="630">
        <f t="shared" si="223"/>
        <v>-1.2487037660905587</v>
      </c>
      <c r="Z54" s="632">
        <f t="shared" si="243"/>
        <v>-0.7345126658274862</v>
      </c>
      <c r="AA54" s="629">
        <f t="shared" si="244"/>
        <v>0.67697170300607346</v>
      </c>
      <c r="AB54" s="629">
        <f t="shared" si="245"/>
        <v>-4.6909029707044893E-2</v>
      </c>
      <c r="AC54" s="636">
        <f t="shared" si="416"/>
        <v>1</v>
      </c>
      <c r="AD54" s="637">
        <f t="shared" si="417"/>
        <v>-0.7345126658274862</v>
      </c>
      <c r="AE54" s="629">
        <f t="shared" si="418"/>
        <v>0.67697170300607346</v>
      </c>
      <c r="AF54" s="633">
        <f t="shared" si="419"/>
        <v>-4.6909029707044893E-2</v>
      </c>
      <c r="AG54" s="602">
        <f t="shared" si="420"/>
        <v>86.036170840549886</v>
      </c>
      <c r="AH54" s="603">
        <f t="shared" si="421"/>
        <v>137.26605303219978</v>
      </c>
      <c r="AI54" s="585">
        <f t="shared" si="422"/>
        <v>-87.311323908550818</v>
      </c>
      <c r="AJ54" s="586">
        <f t="shared" si="423"/>
        <v>-132.66555700169468</v>
      </c>
      <c r="AK54" s="635">
        <f t="shared" si="424"/>
        <v>0.94513287095703791</v>
      </c>
      <c r="AL54" s="629">
        <f t="shared" si="425"/>
        <v>-0.32330078745411506</v>
      </c>
      <c r="AM54" s="634">
        <f t="shared" si="426"/>
        <v>-4.6909029707044893E-2</v>
      </c>
      <c r="AN54" s="581">
        <f t="shared" si="427"/>
        <v>-81.744333560040147</v>
      </c>
      <c r="AO54" s="582">
        <f t="shared" si="94"/>
        <v>19.067762664358057</v>
      </c>
      <c r="AP54" s="585">
        <f t="shared" si="428"/>
        <v>-18.884234446508295</v>
      </c>
      <c r="AQ54" s="586">
        <f t="shared" si="246"/>
        <v>0.50190696687251413</v>
      </c>
      <c r="AS54" s="52">
        <f t="shared" si="406"/>
        <v>-203.72732256298303</v>
      </c>
      <c r="AT54" s="72">
        <f t="shared" si="247"/>
        <v>-1.1071889587605681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>Taper</v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4.234</v>
      </c>
      <c r="IH54" s="731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1.1339999999999999</v>
      </c>
      <c r="II54" s="734" cm="1">
        <f t="array" ref="II54">IFERROR(IF($IH54&lt;1,$IH54+LARGE((IF($M$9:$M$150="",0,$M$9:$M$150)-MOD(IF($M$9:$M$150="",0,$M$9:$M$150),1)),1),$IH54),"")</f>
        <v>1.1339999999999999</v>
      </c>
      <c r="IJ54" s="533">
        <f t="shared" si="112"/>
        <v>1313</v>
      </c>
      <c r="IK54" s="533">
        <f t="shared" si="382"/>
        <v>1313</v>
      </c>
      <c r="IL54" s="727">
        <f t="shared" si="225"/>
        <v>200.8313229811136</v>
      </c>
      <c r="IM54" s="759">
        <v>9.5271313204069901E-5</v>
      </c>
      <c r="IN54" s="5">
        <f t="shared" si="226"/>
        <v>0</v>
      </c>
      <c r="IO54" s="771">
        <v>0</v>
      </c>
      <c r="IP54" s="9">
        <f t="shared" si="227"/>
        <v>-4.5542137355086254</v>
      </c>
      <c r="IQ54" s="5">
        <f t="shared" si="228"/>
        <v>-1.2376037326128575</v>
      </c>
      <c r="IR54" s="5">
        <f t="shared" si="383"/>
        <v>0.26600000000000001</v>
      </c>
      <c r="IS54" s="5">
        <f t="shared" si="229"/>
        <v>0.23506775695482229</v>
      </c>
      <c r="IT54" s="727">
        <f t="shared" si="230"/>
        <v>70.739375772068243</v>
      </c>
      <c r="IU54" s="9">
        <f t="shared" si="231"/>
        <v>-4.5420136987133155</v>
      </c>
      <c r="IV54" s="5">
        <f t="shared" si="232"/>
        <v>-1.2487037660905587</v>
      </c>
      <c r="IW54" s="5">
        <f t="shared" si="384"/>
        <v>0.26600000000000001</v>
      </c>
      <c r="IX54" s="5">
        <f t="shared" si="233"/>
        <v>0.25140534367457212</v>
      </c>
      <c r="IY54" s="762">
        <f t="shared" si="234"/>
        <v>81.744333560040147</v>
      </c>
    </row>
    <row r="55" spans="1:259" ht="15" customHeight="1" x14ac:dyDescent="0.25">
      <c r="A55" s="79"/>
      <c r="B55" s="707">
        <v>-0.46339663173600321</v>
      </c>
      <c r="C55" s="708">
        <v>-0.21608523465217916</v>
      </c>
      <c r="D55" s="709">
        <v>-0.59800180357343968</v>
      </c>
      <c r="E55" s="710">
        <v>0.47735857875335574</v>
      </c>
      <c r="F55" s="708">
        <v>-0.81424017475268085</v>
      </c>
      <c r="G55" s="711">
        <v>0.33036604714967338</v>
      </c>
      <c r="H55" s="710">
        <v>0.26600000000000001</v>
      </c>
      <c r="I55" s="708">
        <v>0.52</v>
      </c>
      <c r="J55" s="570">
        <v>5.1020000000000003</v>
      </c>
      <c r="K55" s="865">
        <f>IF($J55="","",IF(IFERROR(INDEX(Settings!$AK$14:$AK$36,MATCH((((ROUND($H55,6)*2)*1000000)+ROUND($I55,6)),Settings!$AI$14:$AI$36,0)),"Undefined")="Undefined","Undefined",IFERROR(INDEX(_xlfn.ANCHORARRAY(Settings!$BC$14),MATCH(IFERROR(INDEX(Settings!$AK$14:$AK$36,MATCH((((ROUND($H55,6)*2)*1000000)+ROUND($I55,6)),Settings!$AI$14:$AI$36,0)),"Undefined"),_xlfn.ANCHORARRAY(Settings!$BC$14),0)),"Inactive")))</f>
        <v>1313</v>
      </c>
      <c r="L55" s="320"/>
      <c r="M55" s="168">
        <f t="shared" si="239"/>
        <v>5.1020000000000003</v>
      </c>
      <c r="N55" s="632">
        <f t="shared" si="240"/>
        <v>-0.46339663173600321</v>
      </c>
      <c r="O55" s="629">
        <f t="shared" si="241"/>
        <v>-0.21608523465217916</v>
      </c>
      <c r="P55" s="633">
        <f t="shared" si="242"/>
        <v>-0.59800180357343968</v>
      </c>
      <c r="Q55" s="585">
        <f t="shared" si="113"/>
        <v>204.99998339605671</v>
      </c>
      <c r="R55" s="629">
        <f t="shared" si="410"/>
        <v>0.51130154208545109</v>
      </c>
      <c r="S55" s="634">
        <f t="shared" si="411"/>
        <v>-0.59800180357343968</v>
      </c>
      <c r="T55" s="635">
        <f t="shared" si="412"/>
        <v>-0.21652187959027738</v>
      </c>
      <c r="U55" s="629">
        <f t="shared" si="413"/>
        <v>0.46319277045054769</v>
      </c>
      <c r="V55" s="636">
        <f t="shared" si="414"/>
        <v>-0.59800180357343968</v>
      </c>
      <c r="W55" s="585">
        <f t="shared" si="224"/>
        <v>115.05398338826006</v>
      </c>
      <c r="X55" s="629">
        <f t="shared" si="415"/>
        <v>0.51130154208545109</v>
      </c>
      <c r="Y55" s="630">
        <f t="shared" si="223"/>
        <v>-0.59800180357343968</v>
      </c>
      <c r="Z55" s="632">
        <f t="shared" si="243"/>
        <v>-0.47735857875335574</v>
      </c>
      <c r="AA55" s="629">
        <f t="shared" si="244"/>
        <v>0.81424017475268085</v>
      </c>
      <c r="AB55" s="629">
        <f t="shared" si="245"/>
        <v>-0.33036604714967338</v>
      </c>
      <c r="AC55" s="636">
        <f t="shared" si="416"/>
        <v>1</v>
      </c>
      <c r="AD55" s="637">
        <f t="shared" si="417"/>
        <v>-0.47735857875335574</v>
      </c>
      <c r="AE55" s="629">
        <f t="shared" si="418"/>
        <v>0.81424017475268085</v>
      </c>
      <c r="AF55" s="633">
        <f t="shared" si="419"/>
        <v>-0.33036604714967338</v>
      </c>
      <c r="AG55" s="602">
        <f t="shared" si="420"/>
        <v>67.915864810578043</v>
      </c>
      <c r="AH55" s="603">
        <f t="shared" si="421"/>
        <v>118.51302826614649</v>
      </c>
      <c r="AI55" s="585">
        <f t="shared" si="422"/>
        <v>-70.709005437865216</v>
      </c>
      <c r="AJ55" s="586">
        <f t="shared" si="423"/>
        <v>-149.61849784170383</v>
      </c>
      <c r="AK55" s="635">
        <f t="shared" si="424"/>
        <v>0.93969263802333458</v>
      </c>
      <c r="AL55" s="629">
        <f t="shared" si="425"/>
        <v>8.85213021562955E-2</v>
      </c>
      <c r="AM55" s="634">
        <f t="shared" si="426"/>
        <v>-0.33036604714967338</v>
      </c>
      <c r="AN55" s="581">
        <f t="shared" si="427"/>
        <v>14.999997834268255</v>
      </c>
      <c r="AO55" s="582">
        <f>IF(ROUND(IF(M55="",0,DEGREES(ACOS(AK55))),4)=90,0,IF(M55="","",DEGREES(ACOS(AK55))))</f>
        <v>19.999997112357679</v>
      </c>
      <c r="AP55" s="585">
        <f t="shared" si="428"/>
        <v>5.3815187622394749</v>
      </c>
      <c r="AQ55" s="586">
        <f t="shared" si="246"/>
        <v>4.4497058870004285</v>
      </c>
      <c r="AS55" s="52">
        <f t="shared" si="406"/>
        <v>-244.94601661173994</v>
      </c>
      <c r="AT55" s="72">
        <f t="shared" si="247"/>
        <v>-0.42786290315403464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5.1020000000000003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>
        <f t="shared" si="112"/>
        <v>1313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-1.0519547632622308</v>
      </c>
      <c r="C56" s="708">
        <v>-0.49053419100485912</v>
      </c>
      <c r="D56" s="709">
        <v>-0.42400127878785687</v>
      </c>
      <c r="E56" s="710">
        <v>0.47735857875335563</v>
      </c>
      <c r="F56" s="708">
        <v>-0.81424017475268085</v>
      </c>
      <c r="G56" s="711">
        <v>0.33036604714967338</v>
      </c>
      <c r="H56" s="710">
        <v>0.26600000000000001</v>
      </c>
      <c r="I56" s="708">
        <v>0.52</v>
      </c>
      <c r="J56" s="570">
        <v>5.1050000000000004</v>
      </c>
      <c r="K56" s="865">
        <f>IF($J56="","",IF(IFERROR(INDEX(Settings!$AK$14:$AK$36,MATCH((((ROUND($H56,6)*2)*1000000)+ROUND($I56,6)),Settings!$AI$14:$AI$36,0)),"Undefined")="Undefined","Undefined",IFERROR(INDEX(_xlfn.ANCHORARRAY(Settings!$BC$14),MATCH(IFERROR(INDEX(Settings!$AK$14:$AK$36,MATCH((((ROUND($H56,6)*2)*1000000)+ROUND($I56,6)),Settings!$AI$14:$AI$36,0)),"Undefined"),_xlfn.ANCHORARRAY(Settings!$BC$14),0)),"Inactive")))</f>
        <v>1313</v>
      </c>
      <c r="L56" s="320"/>
      <c r="M56" s="168">
        <f t="shared" si="239"/>
        <v>5.1050000000000004</v>
      </c>
      <c r="N56" s="632">
        <f t="shared" si="240"/>
        <v>-1.0519547632622308</v>
      </c>
      <c r="O56" s="629">
        <f t="shared" si="241"/>
        <v>-0.49053419100485912</v>
      </c>
      <c r="P56" s="633">
        <f t="shared" si="242"/>
        <v>-0.42400127878785687</v>
      </c>
      <c r="Q56" s="585">
        <f t="shared" si="113"/>
        <v>204.99998339605673</v>
      </c>
      <c r="R56" s="629">
        <f t="shared" si="410"/>
        <v>1.1607035006817579</v>
      </c>
      <c r="S56" s="634">
        <f t="shared" si="411"/>
        <v>-0.42400127878785687</v>
      </c>
      <c r="T56" s="635">
        <f t="shared" si="412"/>
        <v>-0.49152541685983786</v>
      </c>
      <c r="U56" s="629">
        <f t="shared" si="413"/>
        <v>1.051491978607374</v>
      </c>
      <c r="V56" s="636">
        <f t="shared" si="414"/>
        <v>-0.42400127878785687</v>
      </c>
      <c r="W56" s="585">
        <f t="shared" si="224"/>
        <v>115.05398338826009</v>
      </c>
      <c r="X56" s="629">
        <f t="shared" si="415"/>
        <v>1.1607035006817579</v>
      </c>
      <c r="Y56" s="630">
        <f t="shared" si="223"/>
        <v>-0.42400127878785687</v>
      </c>
      <c r="Z56" s="632">
        <f t="shared" si="243"/>
        <v>-0.47735857875335563</v>
      </c>
      <c r="AA56" s="629">
        <f t="shared" si="244"/>
        <v>0.81424017475268085</v>
      </c>
      <c r="AB56" s="629">
        <f t="shared" si="245"/>
        <v>-0.33036604714967338</v>
      </c>
      <c r="AC56" s="636">
        <f t="shared" si="416"/>
        <v>1</v>
      </c>
      <c r="AD56" s="637">
        <f t="shared" si="417"/>
        <v>-0.47735857875335563</v>
      </c>
      <c r="AE56" s="629">
        <f t="shared" si="418"/>
        <v>0.81424017475268085</v>
      </c>
      <c r="AF56" s="633">
        <f t="shared" si="419"/>
        <v>-0.33036604714967338</v>
      </c>
      <c r="AG56" s="602">
        <f t="shared" si="420"/>
        <v>67.915864810578043</v>
      </c>
      <c r="AH56" s="603">
        <f t="shared" si="421"/>
        <v>118.51302826614649</v>
      </c>
      <c r="AI56" s="585">
        <f t="shared" si="422"/>
        <v>-70.709005437865216</v>
      </c>
      <c r="AJ56" s="586">
        <f t="shared" si="423"/>
        <v>-149.61849784170383</v>
      </c>
      <c r="AK56" s="635">
        <f t="shared" si="424"/>
        <v>0.93969263802333458</v>
      </c>
      <c r="AL56" s="629">
        <f t="shared" si="425"/>
        <v>8.8521302156295001E-2</v>
      </c>
      <c r="AM56" s="634">
        <f t="shared" si="426"/>
        <v>-0.33036604714967338</v>
      </c>
      <c r="AN56" s="581">
        <f t="shared" si="427"/>
        <v>14.999997834268173</v>
      </c>
      <c r="AO56" s="582">
        <f t="shared" ref="AO56:AO119" si="461">IF(ROUND(IF(M56="",0,DEGREES(ACOS(AK56))),4)=90,0,IF(M56="","",DEGREES(ACOS(AK56))))</f>
        <v>19.999997112357679</v>
      </c>
      <c r="AP56" s="585">
        <f t="shared" si="428"/>
        <v>5.3815187622394447</v>
      </c>
      <c r="AQ56" s="586">
        <f t="shared" si="246"/>
        <v>1.9633216276825471</v>
      </c>
      <c r="AS56" s="52">
        <f t="shared" si="406"/>
        <v>-244.94601661173991</v>
      </c>
      <c r="AT56" s="72">
        <f t="shared" si="247"/>
        <v>-0.25386237836845182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5.1050000000000004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>
        <f t="shared" si="112"/>
        <v>1313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-1.6406035258527534</v>
      </c>
      <c r="C57" s="708">
        <v>-0.7650254092849107</v>
      </c>
      <c r="D57" s="709">
        <v>-0.25000075400227423</v>
      </c>
      <c r="E57" s="710">
        <v>0.47735857875335597</v>
      </c>
      <c r="F57" s="708">
        <v>-0.81424017475268073</v>
      </c>
      <c r="G57" s="711">
        <v>0.33036604714967333</v>
      </c>
      <c r="H57" s="710">
        <v>0.26600000000000001</v>
      </c>
      <c r="I57" s="708">
        <v>0.52</v>
      </c>
      <c r="J57" s="570">
        <v>5.1079999999999997</v>
      </c>
      <c r="K57" s="865">
        <f>IF($J57="","",IF(IFERROR(INDEX(Settings!$AK$14:$AK$36,MATCH((((ROUND($H57,6)*2)*1000000)+ROUND($I57,6)),Settings!$AI$14:$AI$36,0)),"Undefined")="Undefined","Undefined",IFERROR(INDEX(_xlfn.ANCHORARRAY(Settings!$BC$14),MATCH(IFERROR(INDEX(Settings!$AK$14:$AK$36,MATCH((((ROUND($H57,6)*2)*1000000)+ROUND($I57,6)),Settings!$AI$14:$AI$36,0)),"Undefined"),_xlfn.ANCHORARRAY(Settings!$BC$14),0)),"Inactive")))</f>
        <v>1313</v>
      </c>
      <c r="L57" s="320"/>
      <c r="M57" s="168">
        <f t="shared" si="239"/>
        <v>5.1079999999999997</v>
      </c>
      <c r="N57" s="632">
        <f t="shared" si="240"/>
        <v>-1.6406035258527534</v>
      </c>
      <c r="O57" s="629">
        <f t="shared" si="241"/>
        <v>-0.7650254092849107</v>
      </c>
      <c r="P57" s="633">
        <f t="shared" si="242"/>
        <v>-0.25000075400227423</v>
      </c>
      <c r="Q57" s="585">
        <f t="shared" si="113"/>
        <v>204.99998339605671</v>
      </c>
      <c r="R57" s="629">
        <f t="shared" si="410"/>
        <v>1.8102054595796664</v>
      </c>
      <c r="S57" s="634">
        <f t="shared" si="411"/>
        <v>-0.25000075400227423</v>
      </c>
      <c r="T57" s="635">
        <f t="shared" si="412"/>
        <v>-0.76657130145574048</v>
      </c>
      <c r="U57" s="629">
        <f t="shared" si="413"/>
        <v>1.6398817779573269</v>
      </c>
      <c r="V57" s="636">
        <f t="shared" si="414"/>
        <v>-0.25000075400227423</v>
      </c>
      <c r="W57" s="585">
        <f t="shared" si="224"/>
        <v>115.05398338826006</v>
      </c>
      <c r="X57" s="629">
        <f t="shared" si="415"/>
        <v>1.8102054595796664</v>
      </c>
      <c r="Y57" s="630">
        <f t="shared" si="223"/>
        <v>-0.25000075400227423</v>
      </c>
      <c r="Z57" s="632">
        <f t="shared" si="243"/>
        <v>-0.47735857875335597</v>
      </c>
      <c r="AA57" s="629">
        <f t="shared" si="244"/>
        <v>0.81424017475268073</v>
      </c>
      <c r="AB57" s="629">
        <f t="shared" si="245"/>
        <v>-0.33036604714967333</v>
      </c>
      <c r="AC57" s="636">
        <f t="shared" si="416"/>
        <v>1</v>
      </c>
      <c r="AD57" s="637">
        <f t="shared" si="417"/>
        <v>-0.47735857875335597</v>
      </c>
      <c r="AE57" s="629">
        <f t="shared" si="418"/>
        <v>0.81424017475268073</v>
      </c>
      <c r="AF57" s="633">
        <f t="shared" si="419"/>
        <v>-0.33036604714967333</v>
      </c>
      <c r="AG57" s="602">
        <f t="shared" si="420"/>
        <v>67.915864810578043</v>
      </c>
      <c r="AH57" s="603">
        <f t="shared" si="421"/>
        <v>118.51302826614649</v>
      </c>
      <c r="AI57" s="585">
        <f t="shared" si="422"/>
        <v>-70.709005437865216</v>
      </c>
      <c r="AJ57" s="586">
        <f t="shared" si="423"/>
        <v>-149.6184978417038</v>
      </c>
      <c r="AK57" s="635">
        <f t="shared" si="424"/>
        <v>0.93969263802333458</v>
      </c>
      <c r="AL57" s="629">
        <f t="shared" si="425"/>
        <v>8.8521302156295723E-2</v>
      </c>
      <c r="AM57" s="634">
        <f t="shared" si="426"/>
        <v>-0.33036604714967333</v>
      </c>
      <c r="AN57" s="581">
        <f t="shared" si="427"/>
        <v>14.999997834268294</v>
      </c>
      <c r="AO57" s="582">
        <f t="shared" si="461"/>
        <v>19.999997112357679</v>
      </c>
      <c r="AP57" s="585">
        <f t="shared" si="428"/>
        <v>5.3815187622394873</v>
      </c>
      <c r="AQ57" s="586">
        <f t="shared" si="246"/>
        <v>1.2591717647578113</v>
      </c>
      <c r="AS57" s="52">
        <f t="shared" si="406"/>
        <v>-244.94601661173994</v>
      </c>
      <c r="AT57" s="72">
        <f t="shared" si="247"/>
        <v>-7.9861853582869152E-2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5.1079999999999997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>
        <f t="shared" si="112"/>
        <v>1313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-2.2483614994487997</v>
      </c>
      <c r="C58" s="708">
        <v>-1.0394405117536569</v>
      </c>
      <c r="D58" s="709">
        <v>-8.0300242185530599E-2</v>
      </c>
      <c r="E58" s="710">
        <v>0.40039002693492087</v>
      </c>
      <c r="F58" s="708">
        <v>-0.84281619102696392</v>
      </c>
      <c r="G58" s="711">
        <v>0.35965079518034371</v>
      </c>
      <c r="H58" s="710">
        <v>0.26600000000000001</v>
      </c>
      <c r="I58" s="708">
        <v>0.52</v>
      </c>
      <c r="J58" s="570">
        <v>5.1120000000000001</v>
      </c>
      <c r="K58" s="865">
        <f>IF($J58="","",IF(IFERROR(INDEX(Settings!$AK$14:$AK$36,MATCH((((ROUND($H58,6)*2)*1000000)+ROUND($I58,6)),Settings!$AI$14:$AI$36,0)),"Undefined")="Undefined","Undefined",IFERROR(INDEX(_xlfn.ANCHORARRAY(Settings!$BC$14),MATCH(IFERROR(INDEX(Settings!$AK$14:$AK$36,MATCH((((ROUND($H58,6)*2)*1000000)+ROUND($I58,6)),Settings!$AI$14:$AI$36,0)),"Undefined"),_xlfn.ANCHORARRAY(Settings!$BC$14),0)),"Inactive")))</f>
        <v>1313</v>
      </c>
      <c r="L58" s="320"/>
      <c r="M58" s="168">
        <f t="shared" si="239"/>
        <v>5.1120000000000001</v>
      </c>
      <c r="N58" s="632">
        <f t="shared" si="240"/>
        <v>-2.2483614994487997</v>
      </c>
      <c r="O58" s="629">
        <f t="shared" si="241"/>
        <v>-1.0394405117536569</v>
      </c>
      <c r="P58" s="633">
        <f t="shared" si="242"/>
        <v>-8.0300242185530599E-2</v>
      </c>
      <c r="Q58" s="585">
        <f t="shared" si="113"/>
        <v>204.8115834232583</v>
      </c>
      <c r="R58" s="629">
        <f t="shared" si="410"/>
        <v>2.4770074706545313</v>
      </c>
      <c r="S58" s="634">
        <f t="shared" si="411"/>
        <v>-8.0300242185530599E-2</v>
      </c>
      <c r="T58" s="635">
        <f t="shared" si="412"/>
        <v>-1.0415590802759491</v>
      </c>
      <c r="U58" s="629">
        <f t="shared" si="413"/>
        <v>2.2473808515632321</v>
      </c>
      <c r="V58" s="636">
        <f t="shared" si="414"/>
        <v>-8.0300242185530599E-2</v>
      </c>
      <c r="W58" s="585">
        <f t="shared" si="224"/>
        <v>114.86558341546166</v>
      </c>
      <c r="X58" s="629">
        <f t="shared" si="415"/>
        <v>2.4770074706545313</v>
      </c>
      <c r="Y58" s="630">
        <f t="shared" si="223"/>
        <v>-8.0300242185530599E-2</v>
      </c>
      <c r="Z58" s="632">
        <f t="shared" si="243"/>
        <v>-0.40039002693492087</v>
      </c>
      <c r="AA58" s="629">
        <f t="shared" si="244"/>
        <v>0.84281619102696392</v>
      </c>
      <c r="AB58" s="629">
        <f t="shared" si="245"/>
        <v>-0.35965079518034371</v>
      </c>
      <c r="AC58" s="636">
        <f t="shared" si="416"/>
        <v>1</v>
      </c>
      <c r="AD58" s="637">
        <f t="shared" si="417"/>
        <v>-0.40039002693492087</v>
      </c>
      <c r="AE58" s="629">
        <f t="shared" si="418"/>
        <v>0.84281619102696392</v>
      </c>
      <c r="AF58" s="633">
        <f t="shared" si="419"/>
        <v>-0.35965079518034371</v>
      </c>
      <c r="AG58" s="602">
        <f t="shared" si="420"/>
        <v>66.890842457471294</v>
      </c>
      <c r="AH58" s="603">
        <f t="shared" si="421"/>
        <v>113.60256320747604</v>
      </c>
      <c r="AI58" s="585">
        <f t="shared" si="422"/>
        <v>-68.921248285614041</v>
      </c>
      <c r="AJ58" s="586">
        <f t="shared" si="423"/>
        <v>-154.58937904595223</v>
      </c>
      <c r="AK58" s="635">
        <f t="shared" si="424"/>
        <v>0.93303597865399412</v>
      </c>
      <c r="AL58" s="629">
        <f t="shared" si="425"/>
        <v>9.7554120020573731E-3</v>
      </c>
      <c r="AM58" s="634">
        <f t="shared" si="426"/>
        <v>-0.35965079518034371</v>
      </c>
      <c r="AN58" s="581">
        <f t="shared" si="427"/>
        <v>1.5537485873620829</v>
      </c>
      <c r="AO58" s="582">
        <f t="shared" si="461"/>
        <v>21.086874644604954</v>
      </c>
      <c r="AP58" s="585">
        <f t="shared" si="428"/>
        <v>0.59903753078945454</v>
      </c>
      <c r="AQ58" s="586">
        <f t="shared" si="246"/>
        <v>0.92027602341843162</v>
      </c>
      <c r="AS58" s="52">
        <f t="shared" si="406"/>
        <v>-245.13441658453834</v>
      </c>
      <c r="AT58" s="72">
        <f t="shared" si="247"/>
        <v>8.9969491548317806E-2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5.1120000000000001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>
        <f t="shared" si="112"/>
        <v>1313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-2.9098566056558348</v>
      </c>
      <c r="C59" s="708">
        <v>-1.3011349164713339</v>
      </c>
      <c r="D59" s="709">
        <v>-9.5600288330469588E-2</v>
      </c>
      <c r="E59" s="710">
        <v>0.24929624196803768</v>
      </c>
      <c r="F59" s="708">
        <v>-0.89321814322401782</v>
      </c>
      <c r="G59" s="711">
        <v>0.37418275261702211</v>
      </c>
      <c r="H59" s="710">
        <v>0.26600000000000001</v>
      </c>
      <c r="I59" s="708">
        <v>0.52</v>
      </c>
      <c r="J59" s="570">
        <v>5.1180000000000003</v>
      </c>
      <c r="K59" s="865">
        <f>IF($J59="","",IF(IFERROR(INDEX(Settings!$AK$14:$AK$36,MATCH((((ROUND($H59,6)*2)*1000000)+ROUND($I59,6)),Settings!$AI$14:$AI$36,0)),"Undefined")="Undefined","Undefined",IFERROR(INDEX(_xlfn.ANCHORARRAY(Settings!$BC$14),MATCH(IFERROR(INDEX(Settings!$AK$14:$AK$36,MATCH((((ROUND($H59,6)*2)*1000000)+ROUND($I59,6)),Settings!$AI$14:$AI$36,0)),"Undefined"),_xlfn.ANCHORARRAY(Settings!$BC$14),0)),"Inactive")))</f>
        <v>1313</v>
      </c>
      <c r="L59" s="320"/>
      <c r="M59" s="168">
        <f t="shared" si="239"/>
        <v>5.1180000000000003</v>
      </c>
      <c r="N59" s="632">
        <f t="shared" si="240"/>
        <v>-2.9098566056558348</v>
      </c>
      <c r="O59" s="629">
        <f t="shared" si="241"/>
        <v>-1.3011349164713339</v>
      </c>
      <c r="P59" s="633">
        <f t="shared" si="242"/>
        <v>-9.5600288330469588E-2</v>
      </c>
      <c r="Q59" s="585">
        <f t="shared" si="113"/>
        <v>204.091683527199</v>
      </c>
      <c r="R59" s="629">
        <f t="shared" si="79"/>
        <v>3.1875096135289946</v>
      </c>
      <c r="S59" s="634">
        <f t="shared" si="80"/>
        <v>-9.5600288330469588E-2</v>
      </c>
      <c r="T59" s="635">
        <f t="shared" si="81"/>
        <v>-1.3038768130342595</v>
      </c>
      <c r="U59" s="629">
        <f t="shared" si="82"/>
        <v>2.9086290228854184</v>
      </c>
      <c r="V59" s="636">
        <f t="shared" si="114"/>
        <v>-9.5600288330469588E-2</v>
      </c>
      <c r="W59" s="585">
        <f t="shared" si="224"/>
        <v>114.14568351940235</v>
      </c>
      <c r="X59" s="629">
        <f t="shared" si="83"/>
        <v>3.1875096135289946</v>
      </c>
      <c r="Y59" s="630">
        <f t="shared" si="223"/>
        <v>-9.5600288330469588E-2</v>
      </c>
      <c r="Z59" s="632">
        <f t="shared" si="243"/>
        <v>-0.24929624196803768</v>
      </c>
      <c r="AA59" s="629">
        <f t="shared" si="244"/>
        <v>0.89321814322401782</v>
      </c>
      <c r="AB59" s="629">
        <f t="shared" si="245"/>
        <v>-0.37418275261702211</v>
      </c>
      <c r="AC59" s="636">
        <f t="shared" si="84"/>
        <v>1</v>
      </c>
      <c r="AD59" s="637">
        <f t="shared" si="115"/>
        <v>-0.24929624196803768</v>
      </c>
      <c r="AE59" s="629">
        <f t="shared" si="85"/>
        <v>0.89321814322401782</v>
      </c>
      <c r="AF59" s="633">
        <f t="shared" si="86"/>
        <v>-0.37418275261702211</v>
      </c>
      <c r="AG59" s="602">
        <f t="shared" si="87"/>
        <v>67.270443975916663</v>
      </c>
      <c r="AH59" s="603">
        <f t="shared" si="88"/>
        <v>104.43587132971193</v>
      </c>
      <c r="AI59" s="585">
        <f t="shared" si="89"/>
        <v>-68.026189032038459</v>
      </c>
      <c r="AJ59" s="586">
        <f t="shared" si="90"/>
        <v>-164.40563807824392</v>
      </c>
      <c r="AK59" s="635">
        <f t="shared" si="211"/>
        <v>0.91717519750004506</v>
      </c>
      <c r="AL59" s="629">
        <f t="shared" si="91"/>
        <v>-0.13702891933713049</v>
      </c>
      <c r="AM59" s="634">
        <f t="shared" si="92"/>
        <v>-0.37418275261702211</v>
      </c>
      <c r="AN59" s="581">
        <f t="shared" si="93"/>
        <v>-20.113162022016112</v>
      </c>
      <c r="AO59" s="582">
        <f t="shared" si="461"/>
        <v>23.483452600822289</v>
      </c>
      <c r="AP59" s="585">
        <f t="shared" si="95"/>
        <v>-8.4973216054429237</v>
      </c>
      <c r="AQ59" s="586">
        <f t="shared" si="246"/>
        <v>0.71516905422347754</v>
      </c>
      <c r="AS59" s="52">
        <f t="shared" si="406"/>
        <v>-245.85431648059765</v>
      </c>
      <c r="AT59" s="72">
        <f t="shared" si="247"/>
        <v>7.5169375886753334E-2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5.1180000000000003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>
        <f t="shared" si="112"/>
        <v>1313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-3.5225369479834128</v>
      </c>
      <c r="C60" s="708">
        <v>-1.5096727473940634</v>
      </c>
      <c r="D60" s="709">
        <v>-0.36490110054171959</v>
      </c>
      <c r="E60" s="710">
        <v>0.10159022449883662</v>
      </c>
      <c r="F60" s="708">
        <v>-0.94179959944640002</v>
      </c>
      <c r="G60" s="711">
        <v>0.3204573930632223</v>
      </c>
      <c r="H60" s="710">
        <v>0.26600000000000001</v>
      </c>
      <c r="I60" s="708">
        <v>0.52</v>
      </c>
      <c r="J60" s="570">
        <v>5.1239999999999997</v>
      </c>
      <c r="K60" s="865">
        <f>IF($J60="","",IF(IFERROR(INDEX(Settings!$AK$14:$AK$36,MATCH((((ROUND($H60,6)*2)*1000000)+ROUND($I60,6)),Settings!$AI$14:$AI$36,0)),"Undefined")="Undefined","Undefined",IFERROR(INDEX(_xlfn.ANCHORARRAY(Settings!$BC$14),MATCH(IFERROR(INDEX(Settings!$AK$14:$AK$36,MATCH((((ROUND($H60,6)*2)*1000000)+ROUND($I60,6)),Settings!$AI$14:$AI$36,0)),"Undefined"),_xlfn.ANCHORARRAY(Settings!$BC$14),0)),"Inactive")))</f>
        <v>1313</v>
      </c>
      <c r="L60" s="320"/>
      <c r="M60" s="168">
        <f t="shared" si="239"/>
        <v>5.1239999999999997</v>
      </c>
      <c r="N60" s="632">
        <f t="shared" si="240"/>
        <v>-3.5225369479834128</v>
      </c>
      <c r="O60" s="629">
        <f t="shared" si="241"/>
        <v>-1.5096727473940634</v>
      </c>
      <c r="P60" s="633">
        <f t="shared" si="242"/>
        <v>-0.36490110054171959</v>
      </c>
      <c r="Q60" s="585">
        <f t="shared" si="113"/>
        <v>203.19878365611777</v>
      </c>
      <c r="R60" s="629">
        <f t="shared" si="79"/>
        <v>3.832411558553261</v>
      </c>
      <c r="S60" s="634">
        <f t="shared" si="80"/>
        <v>-0.36490110054171959</v>
      </c>
      <c r="T60" s="635">
        <f t="shared" si="81"/>
        <v>-1.5129919887885352</v>
      </c>
      <c r="U60" s="629">
        <f t="shared" si="82"/>
        <v>3.5211125508842156</v>
      </c>
      <c r="V60" s="636">
        <f t="shared" si="114"/>
        <v>-0.36490110054171959</v>
      </c>
      <c r="W60" s="585">
        <f t="shared" si="224"/>
        <v>113.25278364832113</v>
      </c>
      <c r="X60" s="629">
        <f t="shared" si="83"/>
        <v>3.832411558553261</v>
      </c>
      <c r="Y60" s="630">
        <f t="shared" si="223"/>
        <v>-0.36490110054171959</v>
      </c>
      <c r="Z60" s="632">
        <f t="shared" si="243"/>
        <v>-0.10159022449883662</v>
      </c>
      <c r="AA60" s="629">
        <f t="shared" si="244"/>
        <v>0.94179959944640002</v>
      </c>
      <c r="AB60" s="629">
        <f t="shared" si="245"/>
        <v>-0.3204573930632223</v>
      </c>
      <c r="AC60" s="636">
        <f t="shared" si="84"/>
        <v>1</v>
      </c>
      <c r="AD60" s="637">
        <f t="shared" si="115"/>
        <v>-0.10159022449883662</v>
      </c>
      <c r="AE60" s="629">
        <f t="shared" si="85"/>
        <v>0.94179959944640002</v>
      </c>
      <c r="AF60" s="633">
        <f t="shared" si="86"/>
        <v>-0.3204573930632223</v>
      </c>
      <c r="AG60" s="602">
        <f t="shared" si="87"/>
        <v>71.208578510941607</v>
      </c>
      <c r="AH60" s="603">
        <f t="shared" si="88"/>
        <v>95.830750035498099</v>
      </c>
      <c r="AI60" s="585">
        <f t="shared" si="89"/>
        <v>-71.309411673156546</v>
      </c>
      <c r="AJ60" s="586">
        <f t="shared" si="90"/>
        <v>-173.84341236343252</v>
      </c>
      <c r="AK60" s="635">
        <f t="shared" si="211"/>
        <v>0.90566783523733196</v>
      </c>
      <c r="AL60" s="629">
        <f t="shared" si="91"/>
        <v>-0.27761994065205159</v>
      </c>
      <c r="AM60" s="634">
        <f t="shared" si="92"/>
        <v>-0.3204573930632223</v>
      </c>
      <c r="AN60" s="581">
        <f t="shared" si="93"/>
        <v>-40.903170405666863</v>
      </c>
      <c r="AO60" s="582">
        <f t="shared" si="461"/>
        <v>25.086620037007279</v>
      </c>
      <c r="AP60" s="585">
        <f t="shared" si="95"/>
        <v>-17.042196019550293</v>
      </c>
      <c r="AQ60" s="586">
        <f t="shared" si="246"/>
        <v>0.59483296412948383</v>
      </c>
      <c r="AS60" s="52">
        <f t="shared" si="406"/>
        <v>-246.74721635167887</v>
      </c>
      <c r="AT60" s="72">
        <f t="shared" si="247"/>
        <v>-0.19351136696957916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5.1239999999999997</v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>
        <f t="shared" si="112"/>
        <v>1313</v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>
        <v>-4.0044826313160486</v>
      </c>
      <c r="C61" s="708">
        <v>-1.6518847669893055</v>
      </c>
      <c r="D61" s="709">
        <v>-0.84050253495564509</v>
      </c>
      <c r="E61" s="710">
        <v>-1.7395435790197939E-2</v>
      </c>
      <c r="F61" s="708">
        <v>-0.97386242168077808</v>
      </c>
      <c r="G61" s="711">
        <v>0.22647159303479911</v>
      </c>
      <c r="H61" s="710">
        <v>0.26600000000000001</v>
      </c>
      <c r="I61" s="708">
        <v>0.52</v>
      </c>
      <c r="J61" s="570">
        <v>5.13</v>
      </c>
      <c r="K61" s="865">
        <f>IF($J61="","",IF(IFERROR(INDEX(Settings!$AK$14:$AK$36,MATCH((((ROUND($H61,6)*2)*1000000)+ROUND($I61,6)),Settings!$AI$14:$AI$36,0)),"Undefined")="Undefined","Undefined",IFERROR(INDEX(_xlfn.ANCHORARRAY(Settings!$BC$14),MATCH(IFERROR(INDEX(Settings!$AK$14:$AK$36,MATCH((((ROUND($H61,6)*2)*1000000)+ROUND($I61,6)),Settings!$AI$14:$AI$36,0)),"Undefined"),_xlfn.ANCHORARRAY(Settings!$BC$14),0)),"Inactive")))</f>
        <v>1313</v>
      </c>
      <c r="L61" s="320"/>
      <c r="M61" s="168">
        <f t="shared" si="239"/>
        <v>5.13</v>
      </c>
      <c r="N61" s="632">
        <f t="shared" si="240"/>
        <v>-4.0044826313160486</v>
      </c>
      <c r="O61" s="629">
        <f t="shared" si="241"/>
        <v>-1.6518847669893055</v>
      </c>
      <c r="P61" s="633">
        <f t="shared" si="242"/>
        <v>-0.84050253495564509</v>
      </c>
      <c r="Q61" s="585">
        <f t="shared" si="113"/>
        <v>202.41658376905346</v>
      </c>
      <c r="R61" s="629">
        <f t="shared" si="79"/>
        <v>4.3318130647482027</v>
      </c>
      <c r="S61" s="634">
        <f t="shared" si="80"/>
        <v>-0.84050253495564509</v>
      </c>
      <c r="T61" s="635">
        <f t="shared" si="81"/>
        <v>-1.6556581681954925</v>
      </c>
      <c r="U61" s="629">
        <f t="shared" si="82"/>
        <v>4.0029239885377246</v>
      </c>
      <c r="V61" s="636">
        <f t="shared" si="114"/>
        <v>-0.84050253495564509</v>
      </c>
      <c r="W61" s="585">
        <f t="shared" si="224"/>
        <v>112.47058376125682</v>
      </c>
      <c r="X61" s="629">
        <f t="shared" si="83"/>
        <v>4.3318130647482027</v>
      </c>
      <c r="Y61" s="630">
        <f t="shared" si="223"/>
        <v>-0.84050253495564509</v>
      </c>
      <c r="Z61" s="632">
        <f t="shared" si="243"/>
        <v>1.7395435790197939E-2</v>
      </c>
      <c r="AA61" s="629">
        <f t="shared" si="244"/>
        <v>0.97386242168077808</v>
      </c>
      <c r="AB61" s="629">
        <f t="shared" si="245"/>
        <v>-0.22647159303479911</v>
      </c>
      <c r="AC61" s="636">
        <f t="shared" si="84"/>
        <v>1</v>
      </c>
      <c r="AD61" s="637">
        <f t="shared" si="115"/>
        <v>1.7395435790197939E-2</v>
      </c>
      <c r="AE61" s="629">
        <f t="shared" si="85"/>
        <v>0.97386242168077808</v>
      </c>
      <c r="AF61" s="633">
        <f t="shared" si="86"/>
        <v>-0.22647159303479911</v>
      </c>
      <c r="AG61" s="602">
        <f t="shared" si="87"/>
        <v>76.908555683422222</v>
      </c>
      <c r="AH61" s="603">
        <f t="shared" si="88"/>
        <v>89.003264673238206</v>
      </c>
      <c r="AI61" s="585">
        <f t="shared" si="89"/>
        <v>-76.910571776002968</v>
      </c>
      <c r="AJ61" s="586">
        <f t="shared" si="90"/>
        <v>178.97667365518097</v>
      </c>
      <c r="AK61" s="635">
        <f t="shared" si="211"/>
        <v>0.89363964687615394</v>
      </c>
      <c r="AL61" s="629">
        <f t="shared" si="91"/>
        <v>-0.3874516732178912</v>
      </c>
      <c r="AM61" s="634">
        <f t="shared" si="92"/>
        <v>-0.22647159303479911</v>
      </c>
      <c r="AN61" s="581">
        <f t="shared" si="93"/>
        <v>-59.69304286162825</v>
      </c>
      <c r="AO61" s="582">
        <f t="shared" si="461"/>
        <v>26.665772163827643</v>
      </c>
      <c r="AP61" s="585">
        <f t="shared" si="95"/>
        <v>-23.439910113872482</v>
      </c>
      <c r="AQ61" s="586">
        <f t="shared" si="246"/>
        <v>0.52626059543006631</v>
      </c>
      <c r="AS61" s="52">
        <f t="shared" si="406"/>
        <v>-247.52941623874318</v>
      </c>
      <c r="AT61" s="72">
        <f t="shared" si="247"/>
        <v>-0.6685696070174878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5.13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>
        <f t="shared" si="112"/>
        <v>1313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-4.2925642676353597</v>
      </c>
      <c r="C62" s="708">
        <v>-1.7279833492881613</v>
      </c>
      <c r="D62" s="709">
        <v>-1.4526043810548133</v>
      </c>
      <c r="E62" s="710">
        <v>-9.3707766446150531E-2</v>
      </c>
      <c r="F62" s="708">
        <v>-0.98940413389964554</v>
      </c>
      <c r="G62" s="711">
        <v>0.11089776521628342</v>
      </c>
      <c r="H62" s="710">
        <v>0.26600000000000001</v>
      </c>
      <c r="I62" s="708">
        <v>0.52</v>
      </c>
      <c r="J62" s="570">
        <v>5.1360000000000001</v>
      </c>
      <c r="K62" s="865">
        <f>IF($J62="","",IF(IFERROR(INDEX(Settings!$AK$14:$AK$36,MATCH((((ROUND($H62,6)*2)*1000000)+ROUND($I62,6)),Settings!$AI$14:$AI$36,0)),"Undefined")="Undefined","Undefined",IFERROR(INDEX(_xlfn.ANCHORARRAY(Settings!$BC$14),MATCH(IFERROR(INDEX(Settings!$AK$14:$AK$36,MATCH((((ROUND($H62,6)*2)*1000000)+ROUND($I62,6)),Settings!$AI$14:$AI$36,0)),"Undefined"),_xlfn.ANCHORARRAY(Settings!$BC$14),0)),"Inactive")))</f>
        <v>1313</v>
      </c>
      <c r="L62" s="320"/>
      <c r="M62" s="168">
        <f t="shared" si="239"/>
        <v>5.1360000000000001</v>
      </c>
      <c r="N62" s="632">
        <f t="shared" si="240"/>
        <v>-4.2925642676353597</v>
      </c>
      <c r="O62" s="629">
        <f t="shared" si="241"/>
        <v>-1.7279833492881613</v>
      </c>
      <c r="P62" s="633">
        <f t="shared" si="242"/>
        <v>-1.4526043810548133</v>
      </c>
      <c r="Q62" s="585">
        <f t="shared" si="113"/>
        <v>201.92738383968521</v>
      </c>
      <c r="R62" s="629">
        <f t="shared" si="79"/>
        <v>4.6273139559788916</v>
      </c>
      <c r="S62" s="634">
        <f t="shared" si="80"/>
        <v>-1.4526043810548133</v>
      </c>
      <c r="T62" s="635">
        <f t="shared" si="81"/>
        <v>-1.7320282271628233</v>
      </c>
      <c r="U62" s="629">
        <f t="shared" si="82"/>
        <v>4.290933775707594</v>
      </c>
      <c r="V62" s="636">
        <f t="shared" si="114"/>
        <v>-1.4526043810548133</v>
      </c>
      <c r="W62" s="585">
        <f t="shared" si="224"/>
        <v>111.98138383188856</v>
      </c>
      <c r="X62" s="629">
        <f t="shared" si="83"/>
        <v>4.6273139559788916</v>
      </c>
      <c r="Y62" s="630">
        <f t="shared" si="223"/>
        <v>-1.4526043810548133</v>
      </c>
      <c r="Z62" s="632">
        <f t="shared" si="243"/>
        <v>9.3707766446150531E-2</v>
      </c>
      <c r="AA62" s="629">
        <f t="shared" si="244"/>
        <v>0.98940413389964554</v>
      </c>
      <c r="AB62" s="629">
        <f t="shared" si="245"/>
        <v>-0.11089776521628342</v>
      </c>
      <c r="AC62" s="636">
        <f t="shared" si="84"/>
        <v>1</v>
      </c>
      <c r="AD62" s="637">
        <f t="shared" si="115"/>
        <v>9.3707766446150531E-2</v>
      </c>
      <c r="AE62" s="629">
        <f t="shared" si="85"/>
        <v>0.98940413389964554</v>
      </c>
      <c r="AF62" s="633">
        <f t="shared" si="86"/>
        <v>-0.11089776521628342</v>
      </c>
      <c r="AG62" s="602">
        <f t="shared" si="87"/>
        <v>83.604671883161259</v>
      </c>
      <c r="AH62" s="603">
        <f t="shared" si="88"/>
        <v>84.62305151294369</v>
      </c>
      <c r="AI62" s="585">
        <f t="shared" si="89"/>
        <v>-83.632929625001893</v>
      </c>
      <c r="AJ62" s="586">
        <f t="shared" si="90"/>
        <v>174.58958044456921</v>
      </c>
      <c r="AK62" s="635">
        <f t="shared" si="211"/>
        <v>0.8828351415472947</v>
      </c>
      <c r="AL62" s="629">
        <f t="shared" si="91"/>
        <v>-0.45640310967301934</v>
      </c>
      <c r="AM62" s="634">
        <f t="shared" si="92"/>
        <v>-0.11089776521628342</v>
      </c>
      <c r="AN62" s="581">
        <f t="shared" si="93"/>
        <v>-76.34282275734553</v>
      </c>
      <c r="AO62" s="582">
        <f t="shared" si="461"/>
        <v>28.013720820485887</v>
      </c>
      <c r="AP62" s="585">
        <f t="shared" si="95"/>
        <v>-27.337803395115998</v>
      </c>
      <c r="AQ62" s="586">
        <f t="shared" si="246"/>
        <v>0.49265523599262873</v>
      </c>
      <c r="AS62" s="52">
        <f t="shared" si="406"/>
        <v>-248.01861616811144</v>
      </c>
      <c r="AT62" s="72">
        <f t="shared" si="247"/>
        <v>-1.2803317309434836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5.1360000000000001</v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>
        <f t="shared" si="112"/>
        <v>1313</v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>
        <v>-4.3507244268097089</v>
      </c>
      <c r="C63" s="708">
        <v>-1.7425516768196856</v>
      </c>
      <c r="D63" s="709">
        <v>-2.1097063628743902</v>
      </c>
      <c r="E63" s="710">
        <v>-0.17209769040539113</v>
      </c>
      <c r="F63" s="708">
        <v>-0.98450898680948129</v>
      </c>
      <c r="G63" s="711">
        <v>3.3532668377253563E-2</v>
      </c>
      <c r="H63" s="710">
        <v>0.26600000000000001</v>
      </c>
      <c r="I63" s="708">
        <v>0.52</v>
      </c>
      <c r="J63" s="570">
        <v>5.1420000000000003</v>
      </c>
      <c r="K63" s="865">
        <f>IF($J63="","",IF(IFERROR(INDEX(Settings!$AK$14:$AK$36,MATCH((((ROUND($H63,6)*2)*1000000)+ROUND($I63,6)),Settings!$AI$14:$AI$36,0)),"Undefined")="Undefined","Undefined",IFERROR(INDEX(_xlfn.ANCHORARRAY(Settings!$BC$14),MATCH(IFERROR(INDEX(Settings!$AK$14:$AK$36,MATCH((((ROUND($H63,6)*2)*1000000)+ROUND($I63,6)),Settings!$AI$14:$AI$36,0)),"Undefined"),_xlfn.ANCHORARRAY(Settings!$BC$14),0)),"Inactive")))</f>
        <v>1313</v>
      </c>
      <c r="L63" s="320"/>
      <c r="M63" s="168">
        <f t="shared" si="239"/>
        <v>5.1420000000000003</v>
      </c>
      <c r="N63" s="632">
        <f t="shared" si="240"/>
        <v>-4.3507244268097089</v>
      </c>
      <c r="O63" s="629">
        <f t="shared" si="241"/>
        <v>-1.7425516768196856</v>
      </c>
      <c r="P63" s="633">
        <f t="shared" si="242"/>
        <v>-2.1097063628743902</v>
      </c>
      <c r="Q63" s="585">
        <f t="shared" si="113"/>
        <v>201.82708385416674</v>
      </c>
      <c r="R63" s="629">
        <f t="shared" si="79"/>
        <v>4.686714135129832</v>
      </c>
      <c r="S63" s="634">
        <f t="shared" si="80"/>
        <v>-2.1097063628743902</v>
      </c>
      <c r="T63" s="635">
        <f t="shared" si="81"/>
        <v>-1.7466513628666962</v>
      </c>
      <c r="U63" s="629">
        <f t="shared" si="82"/>
        <v>4.3490801787299436</v>
      </c>
      <c r="V63" s="636">
        <f t="shared" si="114"/>
        <v>-2.1097063628743902</v>
      </c>
      <c r="W63" s="585">
        <f t="shared" si="224"/>
        <v>111.8810838463701</v>
      </c>
      <c r="X63" s="629">
        <f t="shared" si="83"/>
        <v>4.686714135129832</v>
      </c>
      <c r="Y63" s="630">
        <f t="shared" si="223"/>
        <v>-2.1097063628743902</v>
      </c>
      <c r="Z63" s="632">
        <f t="shared" si="243"/>
        <v>0.17209769040539113</v>
      </c>
      <c r="AA63" s="629">
        <f t="shared" si="244"/>
        <v>0.98450898680948129</v>
      </c>
      <c r="AB63" s="629">
        <f t="shared" si="245"/>
        <v>-3.3532668377253563E-2</v>
      </c>
      <c r="AC63" s="636">
        <f t="shared" si="84"/>
        <v>1</v>
      </c>
      <c r="AD63" s="637">
        <f t="shared" si="115"/>
        <v>0.17209769040539113</v>
      </c>
      <c r="AE63" s="629">
        <f t="shared" si="85"/>
        <v>0.98450898680948129</v>
      </c>
      <c r="AF63" s="633">
        <f t="shared" si="86"/>
        <v>-3.3532668377253563E-2</v>
      </c>
      <c r="AG63" s="602">
        <f t="shared" si="87"/>
        <v>88.049242866535693</v>
      </c>
      <c r="AH63" s="603">
        <f t="shared" si="88"/>
        <v>80.090194340121954</v>
      </c>
      <c r="AI63" s="585">
        <f t="shared" si="89"/>
        <v>-88.078359383157476</v>
      </c>
      <c r="AJ63" s="586">
        <f t="shared" si="90"/>
        <v>170.08456182161868</v>
      </c>
      <c r="AK63" s="635">
        <f t="shared" si="211"/>
        <v>0.849942638590785</v>
      </c>
      <c r="AL63" s="629">
        <f t="shared" si="91"/>
        <v>-0.52580706657179443</v>
      </c>
      <c r="AM63" s="634">
        <f t="shared" si="92"/>
        <v>-3.3532668377253563E-2</v>
      </c>
      <c r="AN63" s="581">
        <f t="shared" si="93"/>
        <v>-86.350977074277324</v>
      </c>
      <c r="AO63" s="582">
        <f t="shared" si="461"/>
        <v>31.794569011102357</v>
      </c>
      <c r="AP63" s="585">
        <f t="shared" si="95"/>
        <v>-31.742522032548056</v>
      </c>
      <c r="AQ63" s="586">
        <f t="shared" si="246"/>
        <v>0.48641154513031581</v>
      </c>
      <c r="AS63" s="52">
        <f t="shared" si="406"/>
        <v>-248.1189161536299</v>
      </c>
      <c r="AT63" s="72">
        <f t="shared" si="247"/>
        <v>-1.9373640599953392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5.1420000000000003</v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>
        <f t="shared" si="112"/>
        <v>1313</v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>
        <v>-4.4333605313687841</v>
      </c>
      <c r="C64" s="708">
        <v>-1.7463457165434988</v>
      </c>
      <c r="D64" s="709">
        <v>-2.746308282865781</v>
      </c>
      <c r="E64" s="710">
        <v>-0.31730482727018311</v>
      </c>
      <c r="F64" s="708">
        <v>-0.94832359803551136</v>
      </c>
      <c r="G64" s="711">
        <v>1.4578093266760275E-7</v>
      </c>
      <c r="H64" s="710">
        <v>0.26600000000000001</v>
      </c>
      <c r="I64" s="708">
        <v>0.52</v>
      </c>
      <c r="J64" s="570">
        <v>5.1479999999999997</v>
      </c>
      <c r="K64" s="865">
        <f>IF($J64="","",IF(IFERROR(INDEX(Settings!$AK$14:$AK$36,MATCH((((ROUND($H64,6)*2)*1000000)+ROUND($I64,6)),Settings!$AI$14:$AI$36,0)),"Undefined")="Undefined","Undefined",IFERROR(INDEX(_xlfn.ANCHORARRAY(Settings!$BC$14),MATCH(IFERROR(INDEX(Settings!$AK$14:$AK$36,MATCH((((ROUND($H64,6)*2)*1000000)+ROUND($I64,6)),Settings!$AI$14:$AI$36,0)),"Undefined"),_xlfn.ANCHORARRAY(Settings!$BC$14),0)),"Inactive")))</f>
        <v>1313</v>
      </c>
      <c r="L64" s="320"/>
      <c r="M64" s="168">
        <f t="shared" si="239"/>
        <v>5.1479999999999997</v>
      </c>
      <c r="N64" s="632">
        <f t="shared" si="240"/>
        <v>-4.4333605313687841</v>
      </c>
      <c r="O64" s="629">
        <f t="shared" si="241"/>
        <v>-1.7463457165434988</v>
      </c>
      <c r="P64" s="633">
        <f t="shared" si="242"/>
        <v>-2.746308282865781</v>
      </c>
      <c r="Q64" s="585">
        <f t="shared" si="113"/>
        <v>201.49998390139413</v>
      </c>
      <c r="R64" s="629">
        <f t="shared" si="79"/>
        <v>4.7649143709817423</v>
      </c>
      <c r="S64" s="634">
        <f t="shared" si="80"/>
        <v>-2.746308282865781</v>
      </c>
      <c r="T64" s="635">
        <f t="shared" si="81"/>
        <v>-1.7505232835763804</v>
      </c>
      <c r="U64" s="629">
        <f t="shared" si="82"/>
        <v>4.4317126707905263</v>
      </c>
      <c r="V64" s="636">
        <f t="shared" si="114"/>
        <v>-2.746308282865781</v>
      </c>
      <c r="W64" s="585">
        <f t="shared" si="224"/>
        <v>111.55398389359749</v>
      </c>
      <c r="X64" s="629">
        <f t="shared" si="83"/>
        <v>4.7649143709817423</v>
      </c>
      <c r="Y64" s="630">
        <f t="shared" si="223"/>
        <v>-2.746308282865781</v>
      </c>
      <c r="Z64" s="632">
        <f t="shared" si="243"/>
        <v>0.31730482727018311</v>
      </c>
      <c r="AA64" s="629">
        <f t="shared" si="244"/>
        <v>0.94832359803551136</v>
      </c>
      <c r="AB64" s="629">
        <f t="shared" si="245"/>
        <v>-1.4578093266760275E-7</v>
      </c>
      <c r="AC64" s="636">
        <f t="shared" si="84"/>
        <v>1</v>
      </c>
      <c r="AD64" s="637">
        <f t="shared" si="115"/>
        <v>0.31730482727018311</v>
      </c>
      <c r="AE64" s="629">
        <f t="shared" si="85"/>
        <v>0.94832359803551136</v>
      </c>
      <c r="AF64" s="633">
        <f t="shared" si="86"/>
        <v>-1.4578093266760275E-7</v>
      </c>
      <c r="AG64" s="602">
        <f t="shared" si="87"/>
        <v>89.999991192213102</v>
      </c>
      <c r="AH64" s="603">
        <f t="shared" si="88"/>
        <v>71.499989676679661</v>
      </c>
      <c r="AI64" s="585">
        <f t="shared" si="89"/>
        <v>-89.999991647367821</v>
      </c>
      <c r="AJ64" s="586">
        <f t="shared" si="90"/>
        <v>161.49998967667946</v>
      </c>
      <c r="AK64" s="635">
        <f t="shared" si="211"/>
        <v>0.76604450791050716</v>
      </c>
      <c r="AL64" s="629">
        <f t="shared" si="91"/>
        <v>-0.64278753247097753</v>
      </c>
      <c r="AM64" s="634">
        <f t="shared" si="92"/>
        <v>-1.4578093266760275E-7</v>
      </c>
      <c r="AN64" s="581">
        <f t="shared" si="93"/>
        <v>-89.999987005609555</v>
      </c>
      <c r="AO64" s="582">
        <f t="shared" si="461"/>
        <v>39.999994224715394</v>
      </c>
      <c r="AP64" s="585">
        <f t="shared" si="95"/>
        <v>-39.999994224714676</v>
      </c>
      <c r="AQ64" s="586">
        <f t="shared" si="246"/>
        <v>0.4784290900957216</v>
      </c>
      <c r="AS64" s="52">
        <f t="shared" si="406"/>
        <v>-248.44601610640251</v>
      </c>
      <c r="AT64" s="72">
        <f t="shared" si="247"/>
        <v>-2.573738827241749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5.1479999999999997</v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>
        <f t="shared" si="112"/>
        <v>1313</v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>
        <v>-2.8209647368658799</v>
      </c>
      <c r="C65" s="708">
        <v>-0.28082813373955884</v>
      </c>
      <c r="D65" s="709">
        <v>-6.6900201771008486E-2</v>
      </c>
      <c r="E65" s="710">
        <v>3.6880416004798862E-2</v>
      </c>
      <c r="F65" s="708">
        <v>-0.97376465624767083</v>
      </c>
      <c r="G65" s="711">
        <v>0.2245489460188323</v>
      </c>
      <c r="H65" s="710">
        <v>0.26600000000000001</v>
      </c>
      <c r="I65" s="708">
        <v>0.52</v>
      </c>
      <c r="J65" s="570">
        <v>5.2149999999999999</v>
      </c>
      <c r="K65" s="865">
        <f>IF($J65="","",IF(IFERROR(INDEX(Settings!$AK$14:$AK$36,MATCH((((ROUND($H65,6)*2)*1000000)+ROUND($I65,6)),Settings!$AI$14:$AI$36,0)),"Undefined")="Undefined","Undefined",IFERROR(INDEX(_xlfn.ANCHORARRAY(Settings!$BC$14),MATCH(IFERROR(INDEX(Settings!$AK$14:$AK$36,MATCH((((ROUND($H65,6)*2)*1000000)+ROUND($I65,6)),Settings!$AI$14:$AI$36,0)),"Undefined"),_xlfn.ANCHORARRAY(Settings!$BC$14),0)),"Inactive")))</f>
        <v>1313</v>
      </c>
      <c r="L65" s="320"/>
      <c r="M65" s="168">
        <f t="shared" si="239"/>
        <v>5.2149999999999999</v>
      </c>
      <c r="N65" s="632">
        <f t="shared" si="240"/>
        <v>-2.8209647368658799</v>
      </c>
      <c r="O65" s="629">
        <f t="shared" si="241"/>
        <v>-0.28082813373955884</v>
      </c>
      <c r="P65" s="633">
        <f t="shared" si="242"/>
        <v>-6.6900201771008486E-2</v>
      </c>
      <c r="Q65" s="585">
        <f t="shared" si="113"/>
        <v>185.68508618478285</v>
      </c>
      <c r="R65" s="629">
        <f t="shared" si="79"/>
        <v>2.8349085500841866</v>
      </c>
      <c r="S65" s="634">
        <f t="shared" si="80"/>
        <v>-6.6900201771008486E-2</v>
      </c>
      <c r="T65" s="635">
        <f t="shared" si="81"/>
        <v>-0.28348670486532734</v>
      </c>
      <c r="U65" s="629">
        <f t="shared" si="82"/>
        <v>2.8206988097818995</v>
      </c>
      <c r="V65" s="636">
        <f t="shared" si="114"/>
        <v>-6.6900201771008486E-2</v>
      </c>
      <c r="W65" s="585">
        <f t="shared" si="224"/>
        <v>95.739086176986206</v>
      </c>
      <c r="X65" s="629">
        <f t="shared" si="83"/>
        <v>2.8349085500841866</v>
      </c>
      <c r="Y65" s="630">
        <f t="shared" si="223"/>
        <v>-6.6900201771008486E-2</v>
      </c>
      <c r="Z65" s="632">
        <f t="shared" si="243"/>
        <v>-3.6880416004798862E-2</v>
      </c>
      <c r="AA65" s="629">
        <f t="shared" si="244"/>
        <v>0.97376465624767083</v>
      </c>
      <c r="AB65" s="629">
        <f t="shared" si="245"/>
        <v>-0.2245489460188323</v>
      </c>
      <c r="AC65" s="636">
        <f t="shared" si="84"/>
        <v>1</v>
      </c>
      <c r="AD65" s="637">
        <f t="shared" si="115"/>
        <v>-3.6880416004798862E-2</v>
      </c>
      <c r="AE65" s="629">
        <f t="shared" si="85"/>
        <v>0.97376465624767083</v>
      </c>
      <c r="AF65" s="633">
        <f t="shared" si="86"/>
        <v>-0.2245489460188323</v>
      </c>
      <c r="AG65" s="602">
        <f t="shared" si="87"/>
        <v>77.014655632754199</v>
      </c>
      <c r="AH65" s="603">
        <f t="shared" si="88"/>
        <v>92.113571502900143</v>
      </c>
      <c r="AI65" s="585">
        <f t="shared" si="89"/>
        <v>-77.023644007534756</v>
      </c>
      <c r="AJ65" s="586">
        <f t="shared" si="90"/>
        <v>-177.83101320417668</v>
      </c>
      <c r="AK65" s="635">
        <f t="shared" si="211"/>
        <v>0.97262848764461496</v>
      </c>
      <c r="AL65" s="629">
        <f t="shared" si="91"/>
        <v>-5.976283012023912E-2</v>
      </c>
      <c r="AM65" s="634">
        <f t="shared" si="92"/>
        <v>-0.2245489460188323</v>
      </c>
      <c r="AN65" s="581">
        <f t="shared" si="93"/>
        <v>-14.90356838961107</v>
      </c>
      <c r="AO65" s="582">
        <f t="shared" si="461"/>
        <v>13.436391334796593</v>
      </c>
      <c r="AP65" s="585">
        <f t="shared" si="95"/>
        <v>-3.5160993889595353</v>
      </c>
      <c r="AQ65" s="586">
        <f t="shared" si="246"/>
        <v>0.80410952085819765</v>
      </c>
      <c r="AS65" s="52">
        <f t="shared" si="406"/>
        <v>-264.26091382301377</v>
      </c>
      <c r="AT65" s="72">
        <f t="shared" si="247"/>
        <v>0.11665182171178116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>Nose</v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5.2149999999999999</v>
      </c>
      <c r="IH65" s="731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2.1150000000000002</v>
      </c>
      <c r="II65" s="734" cm="1">
        <f t="array" ref="II65">IFERROR(IF($IH65&lt;1,$IH65+LARGE((IF($M$9:$M$150="",0,$M$9:$M$150)-MOD(IF($M$9:$M$150="",0,$M$9:$M$150),1)),1),$IH65),"")</f>
        <v>2.1150000000000002</v>
      </c>
      <c r="IJ65" s="533">
        <f t="shared" si="112"/>
        <v>1313</v>
      </c>
      <c r="IK65" s="533">
        <f t="shared" si="382"/>
        <v>1313</v>
      </c>
      <c r="IL65" s="727">
        <f t="shared" si="225"/>
        <v>198.81027129534826</v>
      </c>
      <c r="IM65" s="759">
        <v>4.8553140720867304E-6</v>
      </c>
      <c r="IN65" s="5">
        <f t="shared" si="226"/>
        <v>0</v>
      </c>
      <c r="IO65" s="771">
        <v>0</v>
      </c>
      <c r="IP65" s="9">
        <f t="shared" si="227"/>
        <v>-2.8349085500841862</v>
      </c>
      <c r="IQ65" s="5">
        <f t="shared" si="228"/>
        <v>-5.2700158943679534E-2</v>
      </c>
      <c r="IR65" s="5">
        <f t="shared" si="383"/>
        <v>0.26600000000000001</v>
      </c>
      <c r="IS65" s="5">
        <f t="shared" si="229"/>
        <v>0.24441664561690332</v>
      </c>
      <c r="IT65" s="727">
        <f t="shared" si="230"/>
        <v>8.711402750888368</v>
      </c>
      <c r="IU65" s="9">
        <f t="shared" si="231"/>
        <v>-2.8349085500841866</v>
      </c>
      <c r="IV65" s="5">
        <f t="shared" si="232"/>
        <v>-6.6900201771008486E-2</v>
      </c>
      <c r="IW65" s="5">
        <f t="shared" si="384"/>
        <v>0.26600000000000001</v>
      </c>
      <c r="IX65" s="5">
        <f t="shared" si="233"/>
        <v>0.25871917771346759</v>
      </c>
      <c r="IY65" s="762">
        <f t="shared" si="234"/>
        <v>14.90356838961107</v>
      </c>
    </row>
    <row r="66" spans="1:259" ht="15" customHeight="1" x14ac:dyDescent="0.25">
      <c r="A66" s="79"/>
      <c r="B66" s="707">
        <v>-3.4750813092209141</v>
      </c>
      <c r="C66" s="708">
        <v>-0.55556569329455674</v>
      </c>
      <c r="D66" s="709">
        <v>-0.2144006466323502</v>
      </c>
      <c r="E66" s="710">
        <v>-1.4538062324029372E-2</v>
      </c>
      <c r="F66" s="708">
        <v>-0.97908979092050108</v>
      </c>
      <c r="G66" s="711">
        <v>0.20290841791091888</v>
      </c>
      <c r="H66" s="710">
        <v>0.26600000000000001</v>
      </c>
      <c r="I66" s="708">
        <v>0.52</v>
      </c>
      <c r="J66" s="570">
        <v>5.2210000000000001</v>
      </c>
      <c r="K66" s="865">
        <f>IF($J66="","",IF(IFERROR(INDEX(Settings!$AK$14:$AK$36,MATCH((((ROUND($H66,6)*2)*1000000)+ROUND($I66,6)),Settings!$AI$14:$AI$36,0)),"Undefined")="Undefined","Undefined",IFERROR(INDEX(_xlfn.ANCHORARRAY(Settings!$BC$14),MATCH(IFERROR(INDEX(Settings!$AK$14:$AK$36,MATCH((((ROUND($H66,6)*2)*1000000)+ROUND($I66,6)),Settings!$AI$14:$AI$36,0)),"Undefined"),_xlfn.ANCHORARRAY(Settings!$BC$14),0)),"Inactive")))</f>
        <v>1313</v>
      </c>
      <c r="L66" s="320"/>
      <c r="M66" s="168">
        <f t="shared" si="239"/>
        <v>5.2210000000000001</v>
      </c>
      <c r="N66" s="632">
        <f t="shared" si="240"/>
        <v>-3.4750813092209141</v>
      </c>
      <c r="O66" s="629">
        <f t="shared" si="241"/>
        <v>-0.55556569329455674</v>
      </c>
      <c r="P66" s="633">
        <f t="shared" si="242"/>
        <v>-0.2144006466323502</v>
      </c>
      <c r="Q66" s="585">
        <f t="shared" si="113"/>
        <v>189.08308569417244</v>
      </c>
      <c r="R66" s="629">
        <f t="shared" si="79"/>
        <v>3.5192106139392116</v>
      </c>
      <c r="S66" s="634">
        <f t="shared" si="80"/>
        <v>-0.2144006466323502</v>
      </c>
      <c r="T66" s="635">
        <f t="shared" si="81"/>
        <v>-0.55884063256578742</v>
      </c>
      <c r="U66" s="629">
        <f t="shared" si="82"/>
        <v>3.4745561576488981</v>
      </c>
      <c r="V66" s="636">
        <f t="shared" si="114"/>
        <v>-0.2144006466323502</v>
      </c>
      <c r="W66" s="585">
        <f t="shared" si="224"/>
        <v>99.137085686375798</v>
      </c>
      <c r="X66" s="629">
        <f t="shared" si="83"/>
        <v>3.5192106139392116</v>
      </c>
      <c r="Y66" s="630">
        <f t="shared" si="223"/>
        <v>-0.2144006466323502</v>
      </c>
      <c r="Z66" s="632">
        <f t="shared" si="243"/>
        <v>1.4538062324029372E-2</v>
      </c>
      <c r="AA66" s="629">
        <f t="shared" si="244"/>
        <v>0.97908979092050108</v>
      </c>
      <c r="AB66" s="629">
        <f t="shared" si="245"/>
        <v>-0.20290841791091888</v>
      </c>
      <c r="AC66" s="636">
        <f t="shared" si="84"/>
        <v>1</v>
      </c>
      <c r="AD66" s="637">
        <f t="shared" si="115"/>
        <v>1.4538062324029372E-2</v>
      </c>
      <c r="AE66" s="629">
        <f t="shared" si="85"/>
        <v>0.97908979092050108</v>
      </c>
      <c r="AF66" s="633">
        <f t="shared" si="86"/>
        <v>-0.20290841791091888</v>
      </c>
      <c r="AG66" s="602">
        <f t="shared" si="87"/>
        <v>78.291657960180771</v>
      </c>
      <c r="AH66" s="603">
        <f t="shared" si="88"/>
        <v>89.16700104165956</v>
      </c>
      <c r="AI66" s="585">
        <f t="shared" si="89"/>
        <v>-78.292912848843628</v>
      </c>
      <c r="AJ66" s="586">
        <f t="shared" si="90"/>
        <v>179.14930335119359</v>
      </c>
      <c r="AK66" s="635">
        <f t="shared" si="211"/>
        <v>0.96451737510623115</v>
      </c>
      <c r="AL66" s="629">
        <f t="shared" si="91"/>
        <v>-0.16892130433747427</v>
      </c>
      <c r="AM66" s="634">
        <f t="shared" si="92"/>
        <v>-0.20290841791091888</v>
      </c>
      <c r="AN66" s="581">
        <f t="shared" si="93"/>
        <v>-39.777389032283097</v>
      </c>
      <c r="AO66" s="582">
        <f t="shared" si="461"/>
        <v>15.308692358165654</v>
      </c>
      <c r="AP66" s="585">
        <f t="shared" si="95"/>
        <v>-9.933782342978839</v>
      </c>
      <c r="AQ66" s="586">
        <f t="shared" si="246"/>
        <v>0.64776728391811655</v>
      </c>
      <c r="AS66" s="52">
        <f t="shared" si="406"/>
        <v>-260.86291431362417</v>
      </c>
      <c r="AT66" s="72">
        <f t="shared" si="247"/>
        <v>-3.3208345031081082E-2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>Nose</v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5.2210000000000001</v>
      </c>
      <c r="IH66" s="731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2.121</v>
      </c>
      <c r="II66" s="734" cm="1">
        <f t="array" ref="II66">IFERROR(IF($IH66&lt;1,$IH66+LARGE((IF($M$9:$M$150="",0,$M$9:$M$150)-MOD(IF($M$9:$M$150="",0,$M$9:$M$150),1)),1),$IH66),"")</f>
        <v>2.121</v>
      </c>
      <c r="IJ66" s="533">
        <f t="shared" si="112"/>
        <v>1313</v>
      </c>
      <c r="IK66" s="533">
        <f t="shared" si="382"/>
        <v>1313</v>
      </c>
      <c r="IL66" s="727">
        <f t="shared" si="225"/>
        <v>194.56387190845251</v>
      </c>
      <c r="IM66" s="759">
        <v>5.1447957667728002E-4</v>
      </c>
      <c r="IN66" s="5">
        <f t="shared" si="226"/>
        <v>0</v>
      </c>
      <c r="IO66" s="771">
        <v>0</v>
      </c>
      <c r="IP66" s="9">
        <f t="shared" si="227"/>
        <v>-3.5232106260032485</v>
      </c>
      <c r="IQ66" s="5">
        <f t="shared" si="228"/>
        <v>-0.19990060290021835</v>
      </c>
      <c r="IR66" s="5">
        <f t="shared" si="383"/>
        <v>0.26600000000000001</v>
      </c>
      <c r="IS66" s="5">
        <f t="shared" si="229"/>
        <v>0.24155595256509529</v>
      </c>
      <c r="IT66" s="727">
        <f t="shared" si="230"/>
        <v>30.484185215177082</v>
      </c>
      <c r="IU66" s="9">
        <f t="shared" si="231"/>
        <v>-3.5192106139392116</v>
      </c>
      <c r="IV66" s="5">
        <f t="shared" si="232"/>
        <v>-0.2144006466323502</v>
      </c>
      <c r="IW66" s="5">
        <f t="shared" si="384"/>
        <v>0.26600000000000001</v>
      </c>
      <c r="IX66" s="5">
        <f t="shared" si="233"/>
        <v>0.25656162177825748</v>
      </c>
      <c r="IY66" s="762">
        <f t="shared" si="234"/>
        <v>39.777389032283097</v>
      </c>
    </row>
    <row r="67" spans="1:259" ht="15" customHeight="1" x14ac:dyDescent="0.25">
      <c r="A67" s="79"/>
      <c r="B67" s="707">
        <v>-4.0277197951652743</v>
      </c>
      <c r="C67" s="708">
        <v>-0.75359159452382551</v>
      </c>
      <c r="D67" s="709">
        <v>-0.59410179181100453</v>
      </c>
      <c r="E67" s="710">
        <v>-7.9258266485860582E-2</v>
      </c>
      <c r="F67" s="708">
        <v>-0.98632164930680422</v>
      </c>
      <c r="G67" s="711">
        <v>0.14452588454101159</v>
      </c>
      <c r="H67" s="710">
        <v>0.26600000000000001</v>
      </c>
      <c r="I67" s="708">
        <v>0.52</v>
      </c>
      <c r="J67" s="570">
        <v>5.2270000000000003</v>
      </c>
      <c r="K67" s="865">
        <f>IF($J67="","",IF(IFERROR(INDEX(Settings!$AK$14:$AK$36,MATCH((((ROUND($H67,6)*2)*1000000)+ROUND($I67,6)),Settings!$AI$14:$AI$36,0)),"Undefined")="Undefined","Undefined",IFERROR(INDEX(_xlfn.ANCHORARRAY(Settings!$BC$14),MATCH(IFERROR(INDEX(Settings!$AK$14:$AK$36,MATCH((((ROUND($H67,6)*2)*1000000)+ROUND($I67,6)),Settings!$AI$14:$AI$36,0)),"Undefined"),_xlfn.ANCHORARRAY(Settings!$BC$14),0)),"Inactive")))</f>
        <v>1313</v>
      </c>
      <c r="L67" s="320"/>
      <c r="M67" s="168">
        <f t="shared" si="239"/>
        <v>5.2270000000000003</v>
      </c>
      <c r="N67" s="632">
        <f t="shared" si="240"/>
        <v>-4.0277197951652743</v>
      </c>
      <c r="O67" s="629">
        <f t="shared" si="241"/>
        <v>-0.75359159452382551</v>
      </c>
      <c r="P67" s="633">
        <f t="shared" si="242"/>
        <v>-0.59410179181100453</v>
      </c>
      <c r="Q67" s="585">
        <f t="shared" si="113"/>
        <v>190.59758547550572</v>
      </c>
      <c r="R67" s="629">
        <f>IF(M67="","",SQRT(N67^2+O67^2))</f>
        <v>4.0976123583988713</v>
      </c>
      <c r="S67" s="634">
        <f>IF(M67="","",P67)</f>
        <v>-0.59410179181100453</v>
      </c>
      <c r="T67" s="635">
        <f>IF(M67="","",X67*COS(RADIANS(W67)))</f>
        <v>-0.75738729519535886</v>
      </c>
      <c r="U67" s="629">
        <f>IF(M67="","",X67*SIN(RADIANS(W67)))</f>
        <v>4.027007763188422</v>
      </c>
      <c r="V67" s="636">
        <f>IF(M67="","",Y67)</f>
        <v>-0.59410179181100453</v>
      </c>
      <c r="W67" s="585">
        <f t="shared" si="224"/>
        <v>100.65158546770908</v>
      </c>
      <c r="X67" s="629">
        <f>IF(M67="","",R67)</f>
        <v>4.0976123583988713</v>
      </c>
      <c r="Y67" s="630">
        <f t="shared" si="223"/>
        <v>-0.59410179181100453</v>
      </c>
      <c r="Z67" s="632">
        <f t="shared" si="243"/>
        <v>7.9258266485860582E-2</v>
      </c>
      <c r="AA67" s="629">
        <f t="shared" si="244"/>
        <v>0.98632164930680422</v>
      </c>
      <c r="AB67" s="629">
        <f t="shared" si="245"/>
        <v>-0.14452588454101159</v>
      </c>
      <c r="AC67" s="636">
        <f>IF(M67="","",SQRT(Z67^2+AA67^2+AB67^2))</f>
        <v>1</v>
      </c>
      <c r="AD67" s="637">
        <f>IF(M67="","",Z67*(1/SQRT(Z67^2+AA67^2+AB67^2)))</f>
        <v>7.9258266485860582E-2</v>
      </c>
      <c r="AE67" s="629">
        <f>IF(M67="","",AA67*(1/SQRT(Z67^2+AA67^2+AB67^2)))</f>
        <v>0.98632164930680422</v>
      </c>
      <c r="AF67" s="633">
        <f>IF(M67="","",AB67*(1/SQRT(Z67^2+AA67^2+AB67^2)))</f>
        <v>-0.14452588454101159</v>
      </c>
      <c r="AG67" s="602">
        <f>IF(M67="","",DEGREES(ATAN2(-AF67,AE67)))</f>
        <v>81.663764241853272</v>
      </c>
      <c r="AH67" s="603">
        <f>IF(M67="","",DEGREES(ACOS(AD67)))</f>
        <v>85.454067845525159</v>
      </c>
      <c r="AI67" s="585">
        <f>IF(M67="","",DEGREES(-ACOS(-AF67)))</f>
        <v>-81.690174816603417</v>
      </c>
      <c r="AJ67" s="586">
        <f>IF(M67="","",DEGREES(ATAN2(-AE67,AD67)))</f>
        <v>175.40573069194156</v>
      </c>
      <c r="AK67" s="635">
        <f>IF(M67="","",(COS(RADIANS((90-$Q$8)-W67))*AD67)+(-SIN(RADIANS((90-$Q$8)-W67))*AE67))</f>
        <v>0.95492167771129888</v>
      </c>
      <c r="AL67" s="629">
        <f>IF(M67="","",(SIN(RADIANS((90-$Q$8)-W67))*AD67)+(COS(RADIANS((90-$Q$8)-W67))*AE67))</f>
        <v>-0.25930070986149706</v>
      </c>
      <c r="AM67" s="634">
        <f>IF(M67="","",AF67)</f>
        <v>-0.14452588454101159</v>
      </c>
      <c r="AN67" s="581">
        <f>IF(M67="","",DEGREES(ATAN2(-AM67,AL67)))</f>
        <v>-60.866109038296528</v>
      </c>
      <c r="AO67" s="582">
        <f t="shared" si="461"/>
        <v>17.268976323252932</v>
      </c>
      <c r="AP67" s="585">
        <f>IF(M67="","",DEGREES(ATAN2(AK67,AL67)))</f>
        <v>-15.191854783564157</v>
      </c>
      <c r="AQ67" s="586">
        <f t="shared" si="246"/>
        <v>0.55633739504325352</v>
      </c>
      <c r="AS67" s="52">
        <f t="shared" si="406"/>
        <v>-259.34841453229092</v>
      </c>
      <c r="AT67" s="72">
        <f t="shared" si="247"/>
        <v>-0.41396122616899467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>Taper</v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5.2270000000000003</v>
      </c>
      <c r="IH67" s="731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2.1269999999999998</v>
      </c>
      <c r="II67" s="734" cm="1">
        <f t="array" ref="II67">IFERROR(IF($IH67&lt;1,$IH67+LARGE((IF($M$9:$M$150="",0,$M$9:$M$150)-MOD(IF($M$9:$M$150="",0,$M$9:$M$150),1)),1),$IH67),"")</f>
        <v>2.1269999999999998</v>
      </c>
      <c r="IJ67" s="533">
        <f t="shared" si="112"/>
        <v>1313</v>
      </c>
      <c r="IK67" s="533">
        <f t="shared" si="382"/>
        <v>1313</v>
      </c>
      <c r="IL67" s="727">
        <f t="shared" si="225"/>
        <v>192.18097225250062</v>
      </c>
      <c r="IM67" s="759">
        <v>2.1970483622395901E-4</v>
      </c>
      <c r="IN67" s="5">
        <f t="shared" si="226"/>
        <v>0</v>
      </c>
      <c r="IO67" s="771">
        <v>0</v>
      </c>
      <c r="IP67" s="9">
        <f t="shared" si="227"/>
        <v>-4.1056123825269459</v>
      </c>
      <c r="IQ67" s="5">
        <f t="shared" si="228"/>
        <v>-0.58050175079328081</v>
      </c>
      <c r="IR67" s="5">
        <f t="shared" si="383"/>
        <v>0.26600000000000001</v>
      </c>
      <c r="IS67" s="5">
        <f t="shared" si="229"/>
        <v>0.23833143657201064</v>
      </c>
      <c r="IT67" s="727">
        <f t="shared" si="230"/>
        <v>50.211758397248303</v>
      </c>
      <c r="IU67" s="9">
        <f t="shared" si="231"/>
        <v>-4.0976123583988713</v>
      </c>
      <c r="IV67" s="5">
        <f t="shared" si="232"/>
        <v>-0.59410179181100453</v>
      </c>
      <c r="IW67" s="5">
        <f t="shared" si="384"/>
        <v>0.26600000000000001</v>
      </c>
      <c r="IX67" s="5">
        <f t="shared" si="233"/>
        <v>0.25400916627120551</v>
      </c>
      <c r="IY67" s="762">
        <f t="shared" si="234"/>
        <v>60.866109038296528</v>
      </c>
    </row>
    <row r="68" spans="1:259" ht="15" customHeight="1" x14ac:dyDescent="0.25">
      <c r="A68" s="79"/>
      <c r="B68" s="707">
        <v>-4.4113190446804813</v>
      </c>
      <c r="C68" s="708">
        <v>-0.87063149450980715</v>
      </c>
      <c r="D68" s="709">
        <v>-1.1451034536320162</v>
      </c>
      <c r="E68" s="710">
        <v>-0.12961470685551074</v>
      </c>
      <c r="F68" s="708">
        <v>-0.98953492058036663</v>
      </c>
      <c r="G68" s="711">
        <v>6.3408743235988094E-2</v>
      </c>
      <c r="H68" s="710">
        <v>0.26600000000000001</v>
      </c>
      <c r="I68" s="708">
        <v>0.52</v>
      </c>
      <c r="J68" s="570">
        <v>5.2329999999999997</v>
      </c>
      <c r="K68" s="865">
        <f>IF($J68="","",IF(IFERROR(INDEX(Settings!$AK$14:$AK$36,MATCH((((ROUND($H68,6)*2)*1000000)+ROUND($I68,6)),Settings!$AI$14:$AI$36,0)),"Undefined")="Undefined","Undefined",IFERROR(INDEX(_xlfn.ANCHORARRAY(Settings!$BC$14),MATCH(IFERROR(INDEX(Settings!$AK$14:$AK$36,MATCH((((ROUND($H68,6)*2)*1000000)+ROUND($I68,6)),Settings!$AI$14:$AI$36,0)),"Undefined"),_xlfn.ANCHORARRAY(Settings!$BC$14),0)),"Inactive")))</f>
        <v>1313</v>
      </c>
      <c r="L68" s="320"/>
      <c r="M68" s="168">
        <f t="shared" si="239"/>
        <v>5.2329999999999997</v>
      </c>
      <c r="N68" s="632">
        <f t="shared" si="240"/>
        <v>-4.4113190446804813</v>
      </c>
      <c r="O68" s="629">
        <f t="shared" si="241"/>
        <v>-0.87063149450980715</v>
      </c>
      <c r="P68" s="633">
        <f t="shared" si="242"/>
        <v>-1.1451034536320162</v>
      </c>
      <c r="Q68" s="585">
        <f t="shared" si="113"/>
        <v>191.16458539364106</v>
      </c>
      <c r="R68" s="629">
        <f>IF(M68="","",SQRT(N68^2+O68^2))</f>
        <v>4.4964135611833012</v>
      </c>
      <c r="S68" s="634">
        <f>IF(M68="","",P68)</f>
        <v>-1.1451034536320162</v>
      </c>
      <c r="T68" s="635">
        <f>IF(M68="","",X68*COS(RADIANS(W68)))</f>
        <v>-0.87478867686970996</v>
      </c>
      <c r="U68" s="629">
        <f>IF(M68="","",X68*SIN(RADIANS(W68)))</f>
        <v>4.4104965348601777</v>
      </c>
      <c r="V68" s="636">
        <f>IF(M68="","",Y68)</f>
        <v>-1.1451034536320162</v>
      </c>
      <c r="W68" s="585">
        <f t="shared" si="224"/>
        <v>101.21858538584442</v>
      </c>
      <c r="X68" s="629">
        <f>IF(M68="","",R68)</f>
        <v>4.4964135611833012</v>
      </c>
      <c r="Y68" s="630">
        <f t="shared" si="223"/>
        <v>-1.1451034536320162</v>
      </c>
      <c r="Z68" s="632">
        <f t="shared" si="243"/>
        <v>0.12961470685551074</v>
      </c>
      <c r="AA68" s="629">
        <f t="shared" si="244"/>
        <v>0.98953492058036663</v>
      </c>
      <c r="AB68" s="629">
        <f t="shared" si="245"/>
        <v>-6.3408743235988094E-2</v>
      </c>
      <c r="AC68" s="636">
        <f>IF(M68="","",SQRT(Z68^2+AA68^2+AB68^2))</f>
        <v>1</v>
      </c>
      <c r="AD68" s="637">
        <f>IF(M68="","",Z68*(1/SQRT(Z68^2+AA68^2+AB68^2)))</f>
        <v>0.12961470685551074</v>
      </c>
      <c r="AE68" s="629">
        <f>IF(M68="","",AA68*(1/SQRT(Z68^2+AA68^2+AB68^2)))</f>
        <v>0.98953492058036663</v>
      </c>
      <c r="AF68" s="633">
        <f>IF(M68="","",AB68*(1/SQRT(Z68^2+AA68^2+AB68^2)))</f>
        <v>-6.3408743235988094E-2</v>
      </c>
      <c r="AG68" s="602">
        <f>IF(M68="","",DEGREES(ATAN2(-AF68,AE68)))</f>
        <v>86.333537223750866</v>
      </c>
      <c r="AH68" s="603">
        <f>IF(M68="","",DEGREES(ACOS(AD68)))</f>
        <v>82.552671725651379</v>
      </c>
      <c r="AI68" s="585">
        <f>IF(M68="","",DEGREES(-ACOS(-AF68)))</f>
        <v>-86.364507662269403</v>
      </c>
      <c r="AJ68" s="586">
        <f>IF(M68="","",DEGREES(ATAN2(-AE68,AD68)))</f>
        <v>172.53756940138507</v>
      </c>
      <c r="AK68" s="635">
        <f>IF(M68="","",(COS(RADIANS((90-$Q$8)-W68))*AD68)+(-SIN(RADIANS((90-$Q$8)-W68))*AE68))</f>
        <v>0.94571096202134797</v>
      </c>
      <c r="AL68" s="629">
        <f>IF(M68="","",(SIN(RADIANS((90-$Q$8)-W68))*AD68)+(COS(RADIANS((90-$Q$8)-W68))*AE68))</f>
        <v>-0.31876340378702361</v>
      </c>
      <c r="AM68" s="634">
        <f>IF(M68="","",AF68)</f>
        <v>-6.3408743235988094E-2</v>
      </c>
      <c r="AN68" s="581">
        <f>IF(M68="","",DEGREES(ATAN2(-AM68,AL68)))</f>
        <v>-78.749522796860745</v>
      </c>
      <c r="AO68" s="582">
        <f t="shared" si="461"/>
        <v>18.966113376272077</v>
      </c>
      <c r="AP68" s="585">
        <f>IF(M68="","",DEGREES(ATAN2(AK68,AL68)))</f>
        <v>-18.627015992255991</v>
      </c>
      <c r="AQ68" s="586">
        <f t="shared" si="246"/>
        <v>0.50699676515476544</v>
      </c>
      <c r="AS68" s="52">
        <f t="shared" si="406"/>
        <v>-258.78141461415555</v>
      </c>
      <c r="AT68" s="72">
        <f t="shared" si="247"/>
        <v>-0.96535663793315585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>Taper</v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5.2329999999999997</v>
      </c>
      <c r="IH68" s="731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2.133</v>
      </c>
      <c r="II68" s="734" cm="1">
        <f t="array" ref="II68">IFERROR(IF($IH68&lt;1,$IH68+LARGE((IF($M$9:$M$150="",0,$M$9:$M$150)-MOD(IF($M$9:$M$150="",0,$M$9:$M$150),1)),1),$IH68),"")</f>
        <v>2.133</v>
      </c>
      <c r="IJ68" s="533">
        <f t="shared" si="112"/>
        <v>1313</v>
      </c>
      <c r="IK68" s="533">
        <f t="shared" si="382"/>
        <v>1313</v>
      </c>
      <c r="IL68" s="727">
        <f t="shared" si="225"/>
        <v>190.96207242848803</v>
      </c>
      <c r="IM68" s="759">
        <v>4.3337347349605099E-4</v>
      </c>
      <c r="IN68" s="5">
        <f t="shared" si="226"/>
        <v>0</v>
      </c>
      <c r="IO68" s="771">
        <v>0</v>
      </c>
      <c r="IP68" s="9">
        <f t="shared" si="227"/>
        <v>-4.5081135964706078</v>
      </c>
      <c r="IQ68" s="5">
        <f t="shared" si="228"/>
        <v>-1.1335034186463107</v>
      </c>
      <c r="IR68" s="5">
        <f t="shared" si="383"/>
        <v>0.26600000000000001</v>
      </c>
      <c r="IS68" s="5">
        <f t="shared" si="229"/>
        <v>0.23521153628361161</v>
      </c>
      <c r="IT68" s="727">
        <f t="shared" si="230"/>
        <v>67.857104601325702</v>
      </c>
      <c r="IU68" s="9">
        <f t="shared" si="231"/>
        <v>-4.4964135611833012</v>
      </c>
      <c r="IV68" s="5">
        <f t="shared" si="232"/>
        <v>-1.1451034536320162</v>
      </c>
      <c r="IW68" s="5">
        <f t="shared" si="384"/>
        <v>0.26600000000000001</v>
      </c>
      <c r="IX68" s="5">
        <f t="shared" si="233"/>
        <v>0.2515591158976786</v>
      </c>
      <c r="IY68" s="762">
        <f t="shared" si="234"/>
        <v>78.749522796860745</v>
      </c>
    </row>
    <row r="69" spans="1:259" ht="15" customHeight="1" x14ac:dyDescent="0.25">
      <c r="A69" s="79"/>
      <c r="B69" s="707">
        <v>-1.9298955515431588</v>
      </c>
      <c r="C69" s="708">
        <v>1.3569677127109701</v>
      </c>
      <c r="D69" s="709">
        <v>-0.10330031155373973</v>
      </c>
      <c r="E69" s="710">
        <v>-0.50153091536005545</v>
      </c>
      <c r="F69" s="708">
        <v>-0.78823952745467885</v>
      </c>
      <c r="G69" s="711">
        <v>0.35657423952962397</v>
      </c>
      <c r="H69" s="710">
        <v>0.26600000000000001</v>
      </c>
      <c r="I69" s="708">
        <v>0.52</v>
      </c>
      <c r="J69" s="570">
        <v>6.1109999999999998</v>
      </c>
      <c r="K69" s="865">
        <f>IF($J69="","",IF(IFERROR(INDEX(Settings!$AK$14:$AK$36,MATCH((((ROUND($H69,6)*2)*1000000)+ROUND($I69,6)),Settings!$AI$14:$AI$36,0)),"Undefined")="Undefined","Undefined",IFERROR(INDEX(_xlfn.ANCHORARRAY(Settings!$BC$14),MATCH(IFERROR(INDEX(Settings!$AK$14:$AK$36,MATCH((((ROUND($H69,6)*2)*1000000)+ROUND($I69,6)),Settings!$AI$14:$AI$36,0)),"Undefined"),_xlfn.ANCHORARRAY(Settings!$BC$14),0)),"Inactive")))</f>
        <v>1313</v>
      </c>
      <c r="L69" s="320"/>
      <c r="M69" s="168">
        <f t="shared" si="239"/>
        <v>6.1109999999999998</v>
      </c>
      <c r="N69" s="632">
        <f t="shared" si="240"/>
        <v>-1.9298955515431588</v>
      </c>
      <c r="O69" s="629">
        <f t="shared" si="241"/>
        <v>1.3569677127109701</v>
      </c>
      <c r="P69" s="633">
        <f t="shared" si="242"/>
        <v>-0.10330031155373973</v>
      </c>
      <c r="Q69" s="585">
        <f t="shared" si="113"/>
        <v>144.88779207518331</v>
      </c>
      <c r="R69" s="629">
        <f t="shared" si="79"/>
        <v>2.3592071153686605</v>
      </c>
      <c r="S69" s="634">
        <f t="shared" si="80"/>
        <v>-0.10330031155373973</v>
      </c>
      <c r="T69" s="635">
        <f t="shared" si="81"/>
        <v>1.3551482268639483</v>
      </c>
      <c r="U69" s="629">
        <f t="shared" si="82"/>
        <v>1.9311736059799525</v>
      </c>
      <c r="V69" s="636">
        <f t="shared" si="114"/>
        <v>-0.10330031155373973</v>
      </c>
      <c r="W69" s="585">
        <f t="shared" si="224"/>
        <v>54.941792067386672</v>
      </c>
      <c r="X69" s="629">
        <f t="shared" si="83"/>
        <v>2.3592071153686605</v>
      </c>
      <c r="Y69" s="630">
        <f t="shared" si="223"/>
        <v>-0.10330031155373973</v>
      </c>
      <c r="Z69" s="632">
        <f t="shared" si="243"/>
        <v>0.50153091536005545</v>
      </c>
      <c r="AA69" s="629">
        <f t="shared" si="244"/>
        <v>0.78823952745467885</v>
      </c>
      <c r="AB69" s="629">
        <f t="shared" si="245"/>
        <v>-0.35657423952962397</v>
      </c>
      <c r="AC69" s="636">
        <f t="shared" si="84"/>
        <v>1</v>
      </c>
      <c r="AD69" s="637">
        <f t="shared" si="115"/>
        <v>0.50153091536005545</v>
      </c>
      <c r="AE69" s="629">
        <f t="shared" si="85"/>
        <v>0.78823952745467885</v>
      </c>
      <c r="AF69" s="633">
        <f t="shared" si="86"/>
        <v>-0.35657423952962397</v>
      </c>
      <c r="AG69" s="602">
        <f t="shared" si="87"/>
        <v>65.659532085795135</v>
      </c>
      <c r="AH69" s="603">
        <f t="shared" si="88"/>
        <v>59.898663663353489</v>
      </c>
      <c r="AI69" s="585">
        <f t="shared" si="89"/>
        <v>-69.110043230488486</v>
      </c>
      <c r="AJ69" s="586">
        <f t="shared" si="90"/>
        <v>147.53274282100989</v>
      </c>
      <c r="AK69" s="635">
        <f t="shared" si="211"/>
        <v>0.93327169213423611</v>
      </c>
      <c r="AL69" s="629">
        <f t="shared" si="91"/>
        <v>4.3113343233503298E-2</v>
      </c>
      <c r="AM69" s="634">
        <f t="shared" si="92"/>
        <v>-0.35657423952962397</v>
      </c>
      <c r="AN69" s="581">
        <f t="shared" si="93"/>
        <v>6.8941592674344845</v>
      </c>
      <c r="AO69" s="582">
        <f t="shared" si="461"/>
        <v>21.049305114530299</v>
      </c>
      <c r="AP69" s="585">
        <f t="shared" si="95"/>
        <v>2.6449507458266064</v>
      </c>
      <c r="AQ69" s="586">
        <f t="shared" si="246"/>
        <v>0.96621890751393458</v>
      </c>
      <c r="AS69" s="52">
        <f t="shared" si="406"/>
        <v>-305.0582079326133</v>
      </c>
      <c r="AT69" s="72">
        <f t="shared" si="247"/>
        <v>0.10858316617182739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6.1109999999999998</v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>
        <f t="shared" si="112"/>
        <v>1313</v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>
        <v>-2.4922896744659662</v>
      </c>
      <c r="C70" s="708">
        <v>1.7953483364178666</v>
      </c>
      <c r="D70" s="709">
        <v>-7.4100223486274153E-2</v>
      </c>
      <c r="E70" s="710">
        <v>-0.62761052374768844</v>
      </c>
      <c r="F70" s="708">
        <v>-0.67902378034676814</v>
      </c>
      <c r="G70" s="711">
        <v>0.38083032469163541</v>
      </c>
      <c r="H70" s="710">
        <v>0.26600000000000001</v>
      </c>
      <c r="I70" s="708">
        <v>0.52</v>
      </c>
      <c r="J70" s="570">
        <v>6.117</v>
      </c>
      <c r="K70" s="865">
        <f>IF($J70="","",IF(IFERROR(INDEX(Settings!$AK$14:$AK$36,MATCH((((ROUND($H70,6)*2)*1000000)+ROUND($I70,6)),Settings!$AI$14:$AI$36,0)),"Undefined")="Undefined","Undefined",IFERROR(INDEX(_xlfn.ANCHORARRAY(Settings!$BC$14),MATCH(IFERROR(INDEX(Settings!$AK$14:$AK$36,MATCH((((ROUND($H70,6)*2)*1000000)+ROUND($I70,6)),Settings!$AI$14:$AI$36,0)),"Undefined"),_xlfn.ANCHORARRAY(Settings!$BC$14),0)),"Inactive")))</f>
        <v>1313</v>
      </c>
      <c r="L70" s="320"/>
      <c r="M70" s="168">
        <f t="shared" si="239"/>
        <v>6.117</v>
      </c>
      <c r="N70" s="632">
        <f t="shared" si="240"/>
        <v>-2.4922896744659662</v>
      </c>
      <c r="O70" s="629">
        <f t="shared" si="241"/>
        <v>1.7953483364178666</v>
      </c>
      <c r="P70" s="633">
        <f t="shared" si="242"/>
        <v>-7.4100223486274153E-2</v>
      </c>
      <c r="Q70" s="585">
        <f t="shared" si="113"/>
        <v>144.2324921697969</v>
      </c>
      <c r="R70" s="629">
        <f t="shared" si="79"/>
        <v>3.0716092639735399</v>
      </c>
      <c r="S70" s="634">
        <f t="shared" si="80"/>
        <v>-7.4100223486274153E-2</v>
      </c>
      <c r="T70" s="635">
        <f t="shared" si="81"/>
        <v>1.7929986120534653</v>
      </c>
      <c r="U70" s="629">
        <f t="shared" si="82"/>
        <v>2.4939806430087663</v>
      </c>
      <c r="V70" s="636">
        <f t="shared" si="114"/>
        <v>-7.4100223486274153E-2</v>
      </c>
      <c r="W70" s="585">
        <f t="shared" si="224"/>
        <v>54.286492162000258</v>
      </c>
      <c r="X70" s="629">
        <f t="shared" si="83"/>
        <v>3.0716092639735399</v>
      </c>
      <c r="Y70" s="630">
        <f t="shared" si="223"/>
        <v>-7.4100223486274153E-2</v>
      </c>
      <c r="Z70" s="632">
        <f t="shared" si="243"/>
        <v>0.62761052374768844</v>
      </c>
      <c r="AA70" s="629">
        <f t="shared" si="244"/>
        <v>0.67902378034676814</v>
      </c>
      <c r="AB70" s="629">
        <f t="shared" si="245"/>
        <v>-0.38083032469163541</v>
      </c>
      <c r="AC70" s="636">
        <f t="shared" si="84"/>
        <v>1</v>
      </c>
      <c r="AD70" s="637">
        <f t="shared" si="115"/>
        <v>0.62761052374768844</v>
      </c>
      <c r="AE70" s="629">
        <f t="shared" si="85"/>
        <v>0.67902378034676814</v>
      </c>
      <c r="AF70" s="633">
        <f t="shared" si="86"/>
        <v>-0.38083032469163541</v>
      </c>
      <c r="AG70" s="602">
        <f t="shared" si="87"/>
        <v>60.714122764009467</v>
      </c>
      <c r="AH70" s="603">
        <f t="shared" si="88"/>
        <v>51.125949493187619</v>
      </c>
      <c r="AI70" s="585">
        <f t="shared" si="89"/>
        <v>-67.614875636999344</v>
      </c>
      <c r="AJ70" s="586">
        <f t="shared" si="90"/>
        <v>137.25330358542703</v>
      </c>
      <c r="AK70" s="635">
        <f t="shared" si="211"/>
        <v>0.91779364623902882</v>
      </c>
      <c r="AL70" s="629">
        <f t="shared" si="91"/>
        <v>-0.1123525109578431</v>
      </c>
      <c r="AM70" s="634">
        <f t="shared" si="92"/>
        <v>-0.38083032469163541</v>
      </c>
      <c r="AN70" s="581">
        <f t="shared" si="93"/>
        <v>-16.437106276383631</v>
      </c>
      <c r="AO70" s="582">
        <f t="shared" si="461"/>
        <v>23.394369938659427</v>
      </c>
      <c r="AP70" s="585">
        <f t="shared" si="95"/>
        <v>-6.9791885843698536</v>
      </c>
      <c r="AQ70" s="586">
        <f t="shared" si="246"/>
        <v>0.74215140573939964</v>
      </c>
      <c r="AS70" s="52">
        <f t="shared" si="406"/>
        <v>-305.71350783799971</v>
      </c>
      <c r="AT70" s="72">
        <f t="shared" si="247"/>
        <v>0.13823832361803354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6.117</v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>
        <f t="shared" si="112"/>
        <v>1313</v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>
        <v>-2.9949955881006458</v>
      </c>
      <c r="C71" s="708">
        <v>2.2286470636483608</v>
      </c>
      <c r="D71" s="709">
        <v>-0.30390091656516444</v>
      </c>
      <c r="E71" s="710">
        <v>-0.74723687614555379</v>
      </c>
      <c r="F71" s="708">
        <v>-0.57389939593492878</v>
      </c>
      <c r="G71" s="711">
        <v>0.33507690799838519</v>
      </c>
      <c r="H71" s="710">
        <v>0.26600000000000001</v>
      </c>
      <c r="I71" s="708">
        <v>0.52</v>
      </c>
      <c r="J71" s="570">
        <v>6.1230000000000002</v>
      </c>
      <c r="K71" s="865">
        <f>IF($J71="","",IF(IFERROR(INDEX(Settings!$AK$14:$AK$36,MATCH((((ROUND($H71,6)*2)*1000000)+ROUND($I71,6)),Settings!$AI$14:$AI$36,0)),"Undefined")="Undefined","Undefined",IFERROR(INDEX(_xlfn.ANCHORARRAY(Settings!$BC$14),MATCH(IFERROR(INDEX(Settings!$AK$14:$AK$36,MATCH((((ROUND($H71,6)*2)*1000000)+ROUND($I71,6)),Settings!$AI$14:$AI$36,0)),"Undefined"),_xlfn.ANCHORARRAY(Settings!$BC$14),0)),"Inactive")))</f>
        <v>1313</v>
      </c>
      <c r="L71" s="320"/>
      <c r="M71" s="168">
        <f t="shared" si="239"/>
        <v>6.1230000000000002</v>
      </c>
      <c r="N71" s="632">
        <f t="shared" si="240"/>
        <v>-2.9949955881006458</v>
      </c>
      <c r="O71" s="629">
        <f t="shared" si="241"/>
        <v>2.2286470636483608</v>
      </c>
      <c r="P71" s="633">
        <f t="shared" si="242"/>
        <v>-0.30390091656516444</v>
      </c>
      <c r="Q71" s="585">
        <f t="shared" si="113"/>
        <v>143.3461922977628</v>
      </c>
      <c r="R71" s="629">
        <f t="shared" si="79"/>
        <v>3.733211259365159</v>
      </c>
      <c r="S71" s="634">
        <f t="shared" si="80"/>
        <v>-0.30390091656516444</v>
      </c>
      <c r="T71" s="635">
        <f t="shared" si="81"/>
        <v>2.2258233578191033</v>
      </c>
      <c r="U71" s="629">
        <f t="shared" si="82"/>
        <v>2.9970947076857093</v>
      </c>
      <c r="V71" s="636">
        <f t="shared" si="114"/>
        <v>-0.30390091656516444</v>
      </c>
      <c r="W71" s="585">
        <f t="shared" si="224"/>
        <v>53.400192289966157</v>
      </c>
      <c r="X71" s="629">
        <f t="shared" si="83"/>
        <v>3.733211259365159</v>
      </c>
      <c r="Y71" s="630">
        <f t="shared" si="223"/>
        <v>-0.30390091656516444</v>
      </c>
      <c r="Z71" s="632">
        <f t="shared" si="243"/>
        <v>0.74723687614555379</v>
      </c>
      <c r="AA71" s="629">
        <f t="shared" si="244"/>
        <v>0.57389939593492878</v>
      </c>
      <c r="AB71" s="629">
        <f t="shared" si="245"/>
        <v>-0.33507690799838519</v>
      </c>
      <c r="AC71" s="636">
        <f t="shared" si="84"/>
        <v>1</v>
      </c>
      <c r="AD71" s="637">
        <f t="shared" si="115"/>
        <v>0.74723687614555379</v>
      </c>
      <c r="AE71" s="629">
        <f t="shared" si="85"/>
        <v>0.57389939593492878</v>
      </c>
      <c r="AF71" s="633">
        <f t="shared" si="86"/>
        <v>-0.33507690799838519</v>
      </c>
      <c r="AG71" s="602">
        <f t="shared" si="87"/>
        <v>59.721052929833611</v>
      </c>
      <c r="AH71" s="603">
        <f t="shared" si="88"/>
        <v>41.648408881021822</v>
      </c>
      <c r="AI71" s="585">
        <f t="shared" si="89"/>
        <v>-70.422785253526399</v>
      </c>
      <c r="AJ71" s="586">
        <f t="shared" si="90"/>
        <v>127.52529833727316</v>
      </c>
      <c r="AK71" s="635">
        <f t="shared" si="211"/>
        <v>0.90649930946736257</v>
      </c>
      <c r="AL71" s="629">
        <f t="shared" si="91"/>
        <v>-0.25687052703927826</v>
      </c>
      <c r="AM71" s="634">
        <f t="shared" si="92"/>
        <v>-0.33507690799838519</v>
      </c>
      <c r="AN71" s="581">
        <f t="shared" si="93"/>
        <v>-37.473835103838091</v>
      </c>
      <c r="AO71" s="582">
        <f t="shared" si="461"/>
        <v>24.974022029386163</v>
      </c>
      <c r="AP71" s="585">
        <f t="shared" si="95"/>
        <v>-15.820893960489633</v>
      </c>
      <c r="AQ71" s="586">
        <f t="shared" si="246"/>
        <v>0.61063790887178471</v>
      </c>
      <c r="AS71" s="52">
        <f t="shared" si="406"/>
        <v>-306.59980771003382</v>
      </c>
      <c r="AT71" s="72">
        <f t="shared" si="247"/>
        <v>-9.0946883438610848E-2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6.1230000000000002</v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>
        <f t="shared" si="112"/>
        <v>1313</v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>
        <v>-3.3826172038046192</v>
      </c>
      <c r="C72" s="708">
        <v>2.5928082116024918</v>
      </c>
      <c r="D72" s="709">
        <v>-0.74970226110201954</v>
      </c>
      <c r="E72" s="710">
        <v>-0.84042573719328861</v>
      </c>
      <c r="F72" s="708">
        <v>-0.48271297309926675</v>
      </c>
      <c r="G72" s="711">
        <v>0.24631842372178359</v>
      </c>
      <c r="H72" s="710">
        <v>0.26600000000000001</v>
      </c>
      <c r="I72" s="708">
        <v>0.52</v>
      </c>
      <c r="J72" s="570">
        <v>6.1289999999999996</v>
      </c>
      <c r="K72" s="865">
        <f>IF($J72="","",IF(IFERROR(INDEX(Settings!$AK$14:$AK$36,MATCH((((ROUND($H72,6)*2)*1000000)+ROUND($I72,6)),Settings!$AI$14:$AI$36,0)),"Undefined")="Undefined","Undefined",IFERROR(INDEX(_xlfn.ANCHORARRAY(Settings!$BC$14),MATCH(IFERROR(INDEX(Settings!$AK$14:$AK$36,MATCH((((ROUND($H72,6)*2)*1000000)+ROUND($I72,6)),Settings!$AI$14:$AI$36,0)),"Undefined"),_xlfn.ANCHORARRAY(Settings!$BC$14),0)),"Inactive")))</f>
        <v>1313</v>
      </c>
      <c r="L72" s="320"/>
      <c r="M72" s="168">
        <f t="shared" si="239"/>
        <v>6.1289999999999996</v>
      </c>
      <c r="N72" s="632">
        <f t="shared" si="240"/>
        <v>-3.3826172038046192</v>
      </c>
      <c r="O72" s="629">
        <f t="shared" si="241"/>
        <v>2.5928082116024918</v>
      </c>
      <c r="P72" s="633">
        <f t="shared" si="242"/>
        <v>-0.74970226110201954</v>
      </c>
      <c r="Q72" s="585">
        <f t="shared" si="113"/>
        <v>142.52949241567967</v>
      </c>
      <c r="R72" s="629">
        <f t="shared" si="79"/>
        <v>4.2620128542307674</v>
      </c>
      <c r="S72" s="634">
        <f t="shared" si="80"/>
        <v>-0.74970226110201954</v>
      </c>
      <c r="T72" s="635">
        <f t="shared" si="81"/>
        <v>2.5896190193783517</v>
      </c>
      <c r="U72" s="629">
        <f t="shared" si="82"/>
        <v>3.3850593649302807</v>
      </c>
      <c r="V72" s="636">
        <f t="shared" si="114"/>
        <v>-0.74970226110201954</v>
      </c>
      <c r="W72" s="585">
        <f t="shared" si="224"/>
        <v>52.583492407883028</v>
      </c>
      <c r="X72" s="629">
        <f t="shared" si="83"/>
        <v>4.2620128542307674</v>
      </c>
      <c r="Y72" s="630">
        <f t="shared" si="223"/>
        <v>-0.74970226110201954</v>
      </c>
      <c r="Z72" s="632">
        <f t="shared" si="243"/>
        <v>0.84042573719328861</v>
      </c>
      <c r="AA72" s="629">
        <f t="shared" si="244"/>
        <v>0.48271297309926675</v>
      </c>
      <c r="AB72" s="629">
        <f t="shared" si="245"/>
        <v>-0.24631842372178359</v>
      </c>
      <c r="AC72" s="636">
        <f t="shared" si="84"/>
        <v>1</v>
      </c>
      <c r="AD72" s="637">
        <f t="shared" si="115"/>
        <v>0.84042573719328861</v>
      </c>
      <c r="AE72" s="629">
        <f t="shared" si="85"/>
        <v>0.48271297309926675</v>
      </c>
      <c r="AF72" s="633">
        <f t="shared" si="86"/>
        <v>-0.24631842372178359</v>
      </c>
      <c r="AG72" s="602">
        <f t="shared" si="87"/>
        <v>62.96572163383675</v>
      </c>
      <c r="AH72" s="603">
        <f t="shared" si="88"/>
        <v>32.814896242748013</v>
      </c>
      <c r="AI72" s="585">
        <f t="shared" si="89"/>
        <v>-75.740238139935329</v>
      </c>
      <c r="AJ72" s="586">
        <f t="shared" si="90"/>
        <v>119.87164623882029</v>
      </c>
      <c r="AK72" s="635">
        <f t="shared" si="211"/>
        <v>0.89438865867289474</v>
      </c>
      <c r="AL72" s="629">
        <f t="shared" si="91"/>
        <v>-0.37335795340733813</v>
      </c>
      <c r="AM72" s="634">
        <f t="shared" si="92"/>
        <v>-0.24631842372178359</v>
      </c>
      <c r="AN72" s="581">
        <f t="shared" si="93"/>
        <v>-56.585647290520264</v>
      </c>
      <c r="AO72" s="582">
        <f t="shared" si="461"/>
        <v>26.569987407885808</v>
      </c>
      <c r="AP72" s="585">
        <f t="shared" si="95"/>
        <v>-22.657846176859369</v>
      </c>
      <c r="AQ72" s="586">
        <f t="shared" si="246"/>
        <v>0.53487881988177555</v>
      </c>
      <c r="AS72" s="52">
        <f t="shared" si="406"/>
        <v>-307.416507592117</v>
      </c>
      <c r="AT72" s="72">
        <f t="shared" si="247"/>
        <v>-0.53618107527957481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6.1289999999999996</v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>
        <f t="shared" si="112"/>
        <v>1313</v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>
        <v>-3.6193123529642786</v>
      </c>
      <c r="C73" s="708">
        <v>2.8294065449537049</v>
      </c>
      <c r="D73" s="709">
        <v>-1.3441040538178262</v>
      </c>
      <c r="E73" s="710">
        <v>-0.89832273251346262</v>
      </c>
      <c r="F73" s="708">
        <v>-0.41883351865364427</v>
      </c>
      <c r="G73" s="711">
        <v>0.132645210625011</v>
      </c>
      <c r="H73" s="710">
        <v>0.26600000000000001</v>
      </c>
      <c r="I73" s="708">
        <v>0.52</v>
      </c>
      <c r="J73" s="570">
        <v>6.1349999999999998</v>
      </c>
      <c r="K73" s="865">
        <f>IF($J73="","",IF(IFERROR(INDEX(Settings!$AK$14:$AK$36,MATCH((((ROUND($H73,6)*2)*1000000)+ROUND($I73,6)),Settings!$AI$14:$AI$36,0)),"Undefined")="Undefined","Undefined",IFERROR(INDEX(_xlfn.ANCHORARRAY(Settings!$BC$14),MATCH(IFERROR(INDEX(Settings!$AK$14:$AK$36,MATCH((((ROUND($H73,6)*2)*1000000)+ROUND($I73,6)),Settings!$AI$14:$AI$36,0)),"Undefined"),_xlfn.ANCHORARRAY(Settings!$BC$14),0)),"Inactive")))</f>
        <v>1313</v>
      </c>
      <c r="L73" s="320"/>
      <c r="M73" s="168">
        <f t="shared" ref="M73:M104" si="464">IF(J73="","",VALUE(J73))</f>
        <v>6.1349999999999998</v>
      </c>
      <c r="N73" s="632">
        <f t="shared" ref="N73:N104" si="465">IF(M73="","",B73)</f>
        <v>-3.6193123529642786</v>
      </c>
      <c r="O73" s="629">
        <f t="shared" ref="O73:O104" si="466">IF(M73="","",C73)</f>
        <v>2.8294065449537049</v>
      </c>
      <c r="P73" s="633">
        <f t="shared" ref="P73:P104" si="467">IF(M73="","",D73)</f>
        <v>-1.3441040538178262</v>
      </c>
      <c r="Q73" s="585">
        <f t="shared" si="113"/>
        <v>141.98339249452673</v>
      </c>
      <c r="R73" s="629">
        <f>IF(M73="","",SQRT(N73^2+O73^2))</f>
        <v>4.5940138555457892</v>
      </c>
      <c r="S73" s="634">
        <f>IF(M73="","",P73)</f>
        <v>-1.3441040538178262</v>
      </c>
      <c r="T73" s="635">
        <f>IF(M73="","",X73*COS(RADIANS(W73)))</f>
        <v>2.8259941677913791</v>
      </c>
      <c r="U73" s="629">
        <f>IF(M73="","",X73*SIN(RADIANS(W73)))</f>
        <v>3.6219773975766056</v>
      </c>
      <c r="V73" s="636">
        <f>IF(M73="","",Y73)</f>
        <v>-1.3441040538178262</v>
      </c>
      <c r="W73" s="585">
        <f t="shared" si="224"/>
        <v>52.037392486730084</v>
      </c>
      <c r="X73" s="629">
        <f>IF(M73="","",R73)</f>
        <v>4.5940138555457892</v>
      </c>
      <c r="Y73" s="630">
        <f t="shared" si="223"/>
        <v>-1.3441040538178262</v>
      </c>
      <c r="Z73" s="632">
        <f t="shared" ref="Z73:Z104" si="468">IF(M73="","",-E73)</f>
        <v>0.89832273251346262</v>
      </c>
      <c r="AA73" s="629">
        <f t="shared" ref="AA73:AA104" si="469">IF(M73="","",-F73)</f>
        <v>0.41883351865364427</v>
      </c>
      <c r="AB73" s="629">
        <f t="shared" ref="AB73:AB104" si="470">IF(M73="","",-G73)</f>
        <v>-0.132645210625011</v>
      </c>
      <c r="AC73" s="636">
        <f>IF(M73="","",SQRT(Z73^2+AA73^2+AB73^2))</f>
        <v>1</v>
      </c>
      <c r="AD73" s="637">
        <f>IF(M73="","",Z73*(1/SQRT(Z73^2+AA73^2+AB73^2)))</f>
        <v>0.89832273251346262</v>
      </c>
      <c r="AE73" s="629">
        <f>IF(M73="","",AA73*(1/SQRT(Z73^2+AA73^2+AB73^2)))</f>
        <v>0.41883351865364427</v>
      </c>
      <c r="AF73" s="633">
        <f>IF(M73="","",AB73*(1/SQRT(Z73^2+AA73^2+AB73^2)))</f>
        <v>-0.132645210625011</v>
      </c>
      <c r="AG73" s="602">
        <f>IF(M73="","",DEGREES(ATAN2(-AF73,AE73)))</f>
        <v>72.426926459141896</v>
      </c>
      <c r="AH73" s="603">
        <f>IF(M73="","",DEGREES(ACOS(AD73)))</f>
        <v>26.061533697408773</v>
      </c>
      <c r="AI73" s="585">
        <f>IF(M73="","",DEGREES(-ACOS(-AF73)))</f>
        <v>-82.377524212676875</v>
      </c>
      <c r="AJ73" s="586">
        <f>IF(M73="","",DEGREES(ATAN2(-AE73,AD73)))</f>
        <v>114.99679102542207</v>
      </c>
      <c r="AK73" s="635">
        <f>IF(M73="","",(COS(RADIANS((90-$Q$8)-W73))*AD73)+(-SIN(RADIANS((90-$Q$8)-W73))*AE73))</f>
        <v>0.88323842163746702</v>
      </c>
      <c r="AL73" s="629">
        <f>IF(M73="","",(SIN(RADIANS((90-$Q$8)-W73))*AD73)+(COS(RADIANS((90-$Q$8)-W73))*AE73))</f>
        <v>-0.44977231866979395</v>
      </c>
      <c r="AM73" s="634">
        <f>IF(M73="","",AF73)</f>
        <v>-0.132645210625011</v>
      </c>
      <c r="AN73" s="581">
        <f>IF(M73="","",DEGREES(ATAN2(-AM73,AL73)))</f>
        <v>-73.568349957852703</v>
      </c>
      <c r="AO73" s="582">
        <f t="shared" si="461"/>
        <v>27.96448564245734</v>
      </c>
      <c r="AP73" s="585">
        <f>IF(M73="","",DEGREES(ATAN2(AK73,AL73)))</f>
        <v>-26.986601469104649</v>
      </c>
      <c r="AQ73" s="586">
        <f t="shared" ref="AQ73:AQ104" si="471">IF(M73="","",DEGREES(ATAN(($AS$5*SIN(RADIANS(90)))/(($X73*2*PI())-($AS$5*COS(RADIANS(90)))))))</f>
        <v>0.49622611147193663</v>
      </c>
      <c r="AS73" s="52">
        <f t="shared" si="406"/>
        <v>-307.96260751326992</v>
      </c>
      <c r="AT73" s="72">
        <f t="shared" ref="AT73:AT104" si="472">IF(M73="","",Y73+(((AS73-$AS$9)*$AS$6)*-1))</f>
        <v>-1.1302036319390252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6.1349999999999998</v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>
        <f t="shared" si="112"/>
        <v>1313</v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>
        <v>-3.6831931983060042</v>
      </c>
      <c r="C74" s="708">
        <v>2.8952561659764431</v>
      </c>
      <c r="D74" s="709">
        <v>-2.0263061113392316</v>
      </c>
      <c r="E74" s="710">
        <v>-0.93321028945174922</v>
      </c>
      <c r="F74" s="708">
        <v>-0.35828805316829715</v>
      </c>
      <c r="G74" s="711">
        <v>2.7353731340605699E-2</v>
      </c>
      <c r="H74" s="710">
        <v>0.26600000000000001</v>
      </c>
      <c r="I74" s="708">
        <v>0.52</v>
      </c>
      <c r="J74" s="570">
        <v>6.141</v>
      </c>
      <c r="K74" s="865">
        <f>IF($J74="","",IF(IFERROR(INDEX(Settings!$AK$14:$AK$36,MATCH((((ROUND($H74,6)*2)*1000000)+ROUND($I74,6)),Settings!$AI$14:$AI$36,0)),"Undefined")="Undefined","Undefined",IFERROR(INDEX(_xlfn.ANCHORARRAY(Settings!$BC$14),MATCH(IFERROR(INDEX(Settings!$AK$14:$AK$36,MATCH((((ROUND($H74,6)*2)*1000000)+ROUND($I74,6)),Settings!$AI$14:$AI$36,0)),"Undefined"),_xlfn.ANCHORARRAY(Settings!$BC$14),0)),"Inactive")))</f>
        <v>1313</v>
      </c>
      <c r="L74" s="320"/>
      <c r="M74" s="168">
        <f t="shared" si="464"/>
        <v>6.141</v>
      </c>
      <c r="N74" s="632">
        <f t="shared" si="465"/>
        <v>-3.6831931983060042</v>
      </c>
      <c r="O74" s="629">
        <f t="shared" si="466"/>
        <v>2.8952561659764431</v>
      </c>
      <c r="P74" s="633">
        <f t="shared" si="467"/>
        <v>-2.0263061113392316</v>
      </c>
      <c r="Q74" s="585">
        <f t="shared" ref="Q74:Q129" si="520">IF(M74="","",IF(DEGREES(ATAN2(N74,O74))&lt;0,DEGREES(ATAN2(N74,O74))+360,IF(DEGREES(ATAN2(N74,O74))&gt;360,DEGREES(ATAN2(N74,O74))-360,DEGREES(ATAN2(N74,O74)))))</f>
        <v>141.8300925166605</v>
      </c>
      <c r="R74" s="629">
        <f>IF(M74="","",SQRT(N74^2+O74^2))</f>
        <v>4.6849141297010162</v>
      </c>
      <c r="S74" s="634">
        <f>IF(M74="","",P74)</f>
        <v>-2.0263061113392316</v>
      </c>
      <c r="T74" s="635">
        <f>IF(M74="","",X74*COS(RADIANS(W74)))</f>
        <v>2.8917835533074676</v>
      </c>
      <c r="U74" s="629">
        <f>IF(M74="","",X74*SIN(RADIANS(W74)))</f>
        <v>3.6859202763343464</v>
      </c>
      <c r="V74" s="636">
        <f>IF(M74="","",Y74)</f>
        <v>-2.0263061113392316</v>
      </c>
      <c r="W74" s="585">
        <f t="shared" si="224"/>
        <v>51.884092508863858</v>
      </c>
      <c r="X74" s="629">
        <f>IF(M74="","",R74)</f>
        <v>4.6849141297010162</v>
      </c>
      <c r="Y74" s="630">
        <f t="shared" si="223"/>
        <v>-2.0263061113392316</v>
      </c>
      <c r="Z74" s="632">
        <f t="shared" si="468"/>
        <v>0.93321028945174922</v>
      </c>
      <c r="AA74" s="629">
        <f t="shared" si="469"/>
        <v>0.35828805316829715</v>
      </c>
      <c r="AB74" s="629">
        <f t="shared" si="470"/>
        <v>-2.7353731340605699E-2</v>
      </c>
      <c r="AC74" s="636">
        <f>IF(M74="","",SQRT(Z74^2+AA74^2+AB74^2))</f>
        <v>1</v>
      </c>
      <c r="AD74" s="637">
        <f>IF(M74="","",Z74*(1/SQRT(Z74^2+AA74^2+AB74^2)))</f>
        <v>0.93321028945174922</v>
      </c>
      <c r="AE74" s="629">
        <f>IF(M74="","",AA74*(1/SQRT(Z74^2+AA74^2+AB74^2)))</f>
        <v>0.35828805316829715</v>
      </c>
      <c r="AF74" s="633">
        <f>IF(M74="","",AB74*(1/SQRT(Z74^2+AA74^2+AB74^2)))</f>
        <v>-2.7353731340605699E-2</v>
      </c>
      <c r="AG74" s="602">
        <f>IF(M74="","",DEGREES(ATAN2(-AF74,AE74)))</f>
        <v>85.634186078419148</v>
      </c>
      <c r="AH74" s="603">
        <f>IF(M74="","",DEGREES(ACOS(AD74)))</f>
        <v>21.059098030982824</v>
      </c>
      <c r="AI74" s="585">
        <f>IF(M74="","",DEGREES(-ACOS(-AF74)))</f>
        <v>-88.432551130966161</v>
      </c>
      <c r="AJ74" s="586">
        <f>IF(M74="","",DEGREES(ATAN2(-AE74,AD74)))</f>
        <v>111.00332758371128</v>
      </c>
      <c r="AK74" s="635">
        <f>IF(M74="","",(COS(RADIANS((90-$Q$8)-W74))*AD74)+(-SIN(RADIANS((90-$Q$8)-W74))*AE74))</f>
        <v>0.85839929053475705</v>
      </c>
      <c r="AL74" s="629">
        <f>IF(M74="","",(SIN(RADIANS((90-$Q$8)-W74))*AD74)+(COS(RADIANS((90-$Q$8)-W74))*AE74))</f>
        <v>-0.5122523122360424</v>
      </c>
      <c r="AM74" s="634">
        <f>IF(M74="","",AF74)</f>
        <v>-2.7353731340605699E-2</v>
      </c>
      <c r="AN74" s="581">
        <f>IF(M74="","",DEGREES(ATAN2(-AM74,AL74)))</f>
        <v>-86.943369079758725</v>
      </c>
      <c r="AO74" s="582">
        <f t="shared" si="461"/>
        <v>30.862672379008337</v>
      </c>
      <c r="AP74" s="585">
        <f>IF(M74="","",DEGREES(ATAN2(AK74,AL74)))</f>
        <v>-30.82676493294921</v>
      </c>
      <c r="AQ74" s="586">
        <f t="shared" si="471"/>
        <v>0.4865984218384648</v>
      </c>
      <c r="AS74" s="52">
        <f t="shared" si="406"/>
        <v>-308.11590749113611</v>
      </c>
      <c r="AT74" s="72">
        <f t="shared" si="472"/>
        <v>-1.8122992311424682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6.141</v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>
        <f t="shared" ref="IJ74:IJ137" si="542">IF(ISNUMBER($II74),INDEX($K$9:$K$150,MATCH($II74,$M$9:$M$150,0)),$K74)</f>
        <v>1313</v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>
        <v>-3.7290604684850392</v>
      </c>
      <c r="C75" s="708">
        <v>2.9662294222076735</v>
      </c>
      <c r="D75" s="709">
        <v>-2.6682080473154706</v>
      </c>
      <c r="E75" s="710">
        <v>-0.97992471039836904</v>
      </c>
      <c r="F75" s="708">
        <v>-0.19936790601962845</v>
      </c>
      <c r="G75" s="711">
        <v>1.4578093278810634E-7</v>
      </c>
      <c r="H75" s="710">
        <v>0.26600000000000001</v>
      </c>
      <c r="I75" s="708">
        <v>0.52</v>
      </c>
      <c r="J75" s="570">
        <v>6.1470000000000002</v>
      </c>
      <c r="K75" s="865">
        <f>IF($J75="","",IF(IFERROR(INDEX(Settings!$AK$14:$AK$36,MATCH((((ROUND($H75,6)*2)*1000000)+ROUND($I75,6)),Settings!$AI$14:$AI$36,0)),"Undefined")="Undefined","Undefined",IFERROR(INDEX(_xlfn.ANCHORARRAY(Settings!$BC$14),MATCH(IFERROR(INDEX(Settings!$AK$14:$AK$36,MATCH((((ROUND($H75,6)*2)*1000000)+ROUND($I75,6)),Settings!$AI$14:$AI$36,0)),"Undefined"),_xlfn.ANCHORARRAY(Settings!$BC$14),0)),"Inactive")))</f>
        <v>1313</v>
      </c>
      <c r="L75" s="320"/>
      <c r="M75" s="168">
        <f t="shared" si="464"/>
        <v>6.1470000000000002</v>
      </c>
      <c r="N75" s="632">
        <f t="shared" si="465"/>
        <v>-3.7290604684850392</v>
      </c>
      <c r="O75" s="629">
        <f t="shared" si="466"/>
        <v>2.9662294222076735</v>
      </c>
      <c r="P75" s="633">
        <f t="shared" si="467"/>
        <v>-2.6682080473154706</v>
      </c>
      <c r="Q75" s="585">
        <f t="shared" si="520"/>
        <v>141.49999256432105</v>
      </c>
      <c r="R75" s="629">
        <f>IF(M75="","",SQRT(N75^2+O75^2))</f>
        <v>4.7649143709817414</v>
      </c>
      <c r="S75" s="634">
        <f>IF(M75="","",P75)</f>
        <v>-2.6682080473154706</v>
      </c>
      <c r="T75" s="635">
        <f>IF(M75="","",X75*COS(RADIANS(W75)))</f>
        <v>2.9627135491461312</v>
      </c>
      <c r="U75" s="629">
        <f>IF(M75="","",X75*SIN(RADIANS(W75)))</f>
        <v>3.7318544168408097</v>
      </c>
      <c r="V75" s="636">
        <f>IF(M75="","",Y75)</f>
        <v>-2.6682080473154706</v>
      </c>
      <c r="W75" s="585">
        <f t="shared" si="224"/>
        <v>51.553992556524406</v>
      </c>
      <c r="X75" s="629">
        <f>IF(M75="","",R75)</f>
        <v>4.7649143709817414</v>
      </c>
      <c r="Y75" s="630">
        <f t="shared" si="223"/>
        <v>-2.6682080473154706</v>
      </c>
      <c r="Z75" s="632">
        <f t="shared" si="468"/>
        <v>0.97992471039836904</v>
      </c>
      <c r="AA75" s="629">
        <f t="shared" si="469"/>
        <v>0.19936790601962845</v>
      </c>
      <c r="AB75" s="629">
        <f t="shared" si="470"/>
        <v>-1.4578093278810634E-7</v>
      </c>
      <c r="AC75" s="636">
        <f>IF(M75="","",SQRT(Z75^2+AA75^2+AB75^2))</f>
        <v>1</v>
      </c>
      <c r="AD75" s="637">
        <f>IF(M75="","",Z75*(1/SQRT(Z75^2+AA75^2+AB75^2)))</f>
        <v>0.97992471039836904</v>
      </c>
      <c r="AE75" s="629">
        <f>IF(M75="","",AA75*(1/SQRT(Z75^2+AA75^2+AB75^2)))</f>
        <v>0.19936790601962845</v>
      </c>
      <c r="AF75" s="633">
        <f>IF(M75="","",AB75*(1/SQRT(Z75^2+AA75^2+AB75^2)))</f>
        <v>-1.4578093278810634E-7</v>
      </c>
      <c r="AG75" s="602">
        <f>IF(M75="","",DEGREES(ATAN2(-AF75,AE75)))</f>
        <v>89.999958104429396</v>
      </c>
      <c r="AH75" s="603">
        <f>IF(M75="","",DEGREES(ACOS(AD75)))</f>
        <v>11.499998339609377</v>
      </c>
      <c r="AI75" s="585">
        <f>IF(M75="","",DEGREES(-ACOS(-AF75)))</f>
        <v>-89.999991647367807</v>
      </c>
      <c r="AJ75" s="586">
        <f>IF(M75="","",DEGREES(ATAN2(-AE75,AD75)))</f>
        <v>101.49999833960639</v>
      </c>
      <c r="AK75" s="635">
        <f>IF(M75="","",(COS(RADIANS((90-$Q$8)-W75))*AD75)+(-SIN(RADIANS((90-$Q$8)-W75))*AE75))</f>
        <v>0.76604450791050738</v>
      </c>
      <c r="AL75" s="629">
        <f>IF(M75="","",(SIN(RADIANS((90-$Q$8)-W75))*AD75)+(COS(RADIANS((90-$Q$8)-W75))*AE75))</f>
        <v>-0.64278753247097709</v>
      </c>
      <c r="AM75" s="634">
        <f>IF(M75="","",AF75)</f>
        <v>-1.4578093278810634E-7</v>
      </c>
      <c r="AN75" s="581">
        <f>IF(M75="","",DEGREES(ATAN2(-AM75,AL75)))</f>
        <v>-89.99998700560954</v>
      </c>
      <c r="AO75" s="582">
        <f t="shared" si="461"/>
        <v>39.999994224715365</v>
      </c>
      <c r="AP75" s="585">
        <f>IF(M75="","",DEGREES(ATAN2(AK75,AL75)))</f>
        <v>-39.999994224714648</v>
      </c>
      <c r="AQ75" s="586">
        <f t="shared" si="471"/>
        <v>0.47842909009572171</v>
      </c>
      <c r="AS75" s="52">
        <f t="shared" ref="AS75:AS106" si="543">IF(G75="","",IF(AND(W75&lt;(AS74+180),W75&gt;(AS74-180)),W75,IF(W75&gt;(AS74+180),W75-360,IF(W75&lt;(AS74-180),W75+360,"Error"))))</f>
        <v>-308.44600744347559</v>
      </c>
      <c r="AT75" s="72">
        <f t="shared" si="472"/>
        <v>-2.4539719310406936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6.1470000000000002</v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>
        <f t="shared" si="542"/>
        <v>1313</v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>
        <v>-2.1309460157675182</v>
      </c>
      <c r="C76" s="708">
        <v>2.6630835018265784</v>
      </c>
      <c r="D76" s="709">
        <v>-0.17240051995996825</v>
      </c>
      <c r="E76" s="710">
        <v>-0.84891041448516402</v>
      </c>
      <c r="F76" s="708">
        <v>-0.48414858905266933</v>
      </c>
      <c r="G76" s="711">
        <v>0.2120171028406358</v>
      </c>
      <c r="H76" s="710">
        <v>0.26600000000000001</v>
      </c>
      <c r="I76" s="708">
        <v>0.52</v>
      </c>
      <c r="J76" s="570">
        <v>6.22</v>
      </c>
      <c r="K76" s="865">
        <f>IF($J76="","",IF(IFERROR(INDEX(Settings!$AK$14:$AK$36,MATCH((((ROUND($H76,6)*2)*1000000)+ROUND($I76,6)),Settings!$AI$14:$AI$36,0)),"Undefined")="Undefined","Undefined",IFERROR(INDEX(_xlfn.ANCHORARRAY(Settings!$BC$14),MATCH(IFERROR(INDEX(Settings!$AK$14:$AK$36,MATCH((((ROUND($H76,6)*2)*1000000)+ROUND($I76,6)),Settings!$AI$14:$AI$36,0)),"Undefined"),_xlfn.ANCHORARRAY(Settings!$BC$14),0)),"Inactive")))</f>
        <v>1313</v>
      </c>
      <c r="L76" s="320"/>
      <c r="M76" s="168">
        <f t="shared" si="464"/>
        <v>6.22</v>
      </c>
      <c r="N76" s="632">
        <f t="shared" si="465"/>
        <v>-2.1309460157675182</v>
      </c>
      <c r="O76" s="629">
        <f t="shared" si="466"/>
        <v>2.6630835018265784</v>
      </c>
      <c r="P76" s="633">
        <f t="shared" si="467"/>
        <v>-0.17240051995996825</v>
      </c>
      <c r="Q76" s="585">
        <f t="shared" si="520"/>
        <v>128.66609441730668</v>
      </c>
      <c r="R76" s="629">
        <f t="shared" si="79"/>
        <v>3.4107102867022245</v>
      </c>
      <c r="S76" s="634">
        <f t="shared" si="80"/>
        <v>-0.17240051995996825</v>
      </c>
      <c r="T76" s="635">
        <f t="shared" si="81"/>
        <v>2.6610739503486784</v>
      </c>
      <c r="U76" s="629">
        <f t="shared" si="82"/>
        <v>2.1334549656817341</v>
      </c>
      <c r="V76" s="636">
        <f t="shared" si="114"/>
        <v>-0.17240051995996825</v>
      </c>
      <c r="W76" s="585">
        <f t="shared" si="224"/>
        <v>38.72009440951004</v>
      </c>
      <c r="X76" s="629">
        <f t="shared" si="83"/>
        <v>3.4107102867022245</v>
      </c>
      <c r="Y76" s="630">
        <f t="shared" ref="Y76:Y129" si="644">IF(M76="","",S76)</f>
        <v>-0.17240051995996825</v>
      </c>
      <c r="Z76" s="632">
        <f t="shared" si="468"/>
        <v>0.84891041448516402</v>
      </c>
      <c r="AA76" s="629">
        <f t="shared" si="469"/>
        <v>0.48414858905266933</v>
      </c>
      <c r="AB76" s="629">
        <f t="shared" si="470"/>
        <v>-0.2120171028406358</v>
      </c>
      <c r="AC76" s="636">
        <f t="shared" si="84"/>
        <v>1</v>
      </c>
      <c r="AD76" s="637">
        <f t="shared" si="115"/>
        <v>0.84891041448516402</v>
      </c>
      <c r="AE76" s="629">
        <f t="shared" si="85"/>
        <v>0.48414858905266933</v>
      </c>
      <c r="AF76" s="633">
        <f t="shared" si="86"/>
        <v>-0.2120171028406358</v>
      </c>
      <c r="AG76" s="602">
        <f t="shared" si="87"/>
        <v>66.350551068653957</v>
      </c>
      <c r="AH76" s="603">
        <f t="shared" si="88"/>
        <v>31.906642904939321</v>
      </c>
      <c r="AI76" s="585">
        <f t="shared" si="89"/>
        <v>-77.759414129366391</v>
      </c>
      <c r="AJ76" s="586">
        <f t="shared" si="90"/>
        <v>119.69687500774138</v>
      </c>
      <c r="AK76" s="635">
        <f t="shared" si="211"/>
        <v>0.96531618034578059</v>
      </c>
      <c r="AL76" s="629">
        <f t="shared" si="91"/>
        <v>-0.15235950927229891</v>
      </c>
      <c r="AM76" s="634">
        <f t="shared" si="92"/>
        <v>-0.2120171028406358</v>
      </c>
      <c r="AN76" s="581">
        <f t="shared" si="93"/>
        <v>-35.70174040531473</v>
      </c>
      <c r="AO76" s="582">
        <f t="shared" si="461"/>
        <v>15.134371773448427</v>
      </c>
      <c r="AP76" s="585">
        <f t="shared" si="95"/>
        <v>-8.9692194095652891</v>
      </c>
      <c r="AQ76" s="586">
        <f t="shared" si="471"/>
        <v>0.66837199050186402</v>
      </c>
      <c r="AS76" s="52">
        <f t="shared" si="543"/>
        <v>-321.27990559048999</v>
      </c>
      <c r="AT76" s="72">
        <f t="shared" si="472"/>
        <v>5.0748025583568779E-2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>Nose</v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6.22</v>
      </c>
      <c r="IH76" s="731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>3.12</v>
      </c>
      <c r="II76" s="734" cm="1">
        <f t="array" ref="II76">IFERROR(IF($IH76&lt;1,$IH76+LARGE((IF($M$9:$M$150="",0,$M$9:$M$150)-MOD(IF($M$9:$M$150="",0,$M$9:$M$150),1)),1),$IH76),"")</f>
        <v>3.12</v>
      </c>
      <c r="IJ76" s="533">
        <f t="shared" si="542"/>
        <v>1313</v>
      </c>
      <c r="IK76" s="533">
        <f t="shared" si="517"/>
        <v>1313</v>
      </c>
      <c r="IL76" s="727">
        <f t="shared" si="225"/>
        <v>195.13067182661678</v>
      </c>
      <c r="IM76" s="759">
        <v>8.0565964171740395E-4</v>
      </c>
      <c r="IN76" s="5">
        <f t="shared" si="226"/>
        <v>0</v>
      </c>
      <c r="IO76" s="771">
        <v>0</v>
      </c>
      <c r="IP76" s="9">
        <f t="shared" si="227"/>
        <v>-3.4141102969566552</v>
      </c>
      <c r="IQ76" s="5">
        <f t="shared" si="228"/>
        <v>-0.15780047592623522</v>
      </c>
      <c r="IR76" s="5">
        <f t="shared" si="518"/>
        <v>0.26600000000000001</v>
      </c>
      <c r="IS76" s="5">
        <f t="shared" si="229"/>
        <v>0.24175600718882051</v>
      </c>
      <c r="IT76" s="727">
        <f t="shared" si="230"/>
        <v>26.93877333521602</v>
      </c>
      <c r="IU76" s="9">
        <f t="shared" si="231"/>
        <v>-3.4107102867022245</v>
      </c>
      <c r="IV76" s="5">
        <f t="shared" si="232"/>
        <v>-0.17240051995996825</v>
      </c>
      <c r="IW76" s="5">
        <f t="shared" si="519"/>
        <v>0.26600000000000001</v>
      </c>
      <c r="IX76" s="5">
        <f t="shared" si="233"/>
        <v>0.25677410397197764</v>
      </c>
      <c r="IY76" s="762">
        <f t="shared" si="234"/>
        <v>35.70174040531473</v>
      </c>
    </row>
    <row r="77" spans="1:259" ht="15" customHeight="1" x14ac:dyDescent="0.25">
      <c r="A77" s="79"/>
      <c r="B77" s="707">
        <v>-2.6015236988983479</v>
      </c>
      <c r="C77" s="708">
        <v>3.0543604815558809</v>
      </c>
      <c r="D77" s="709">
        <v>-0.51670155837190035</v>
      </c>
      <c r="E77" s="710">
        <v>-0.88808353314761257</v>
      </c>
      <c r="F77" s="708">
        <v>-0.4313895133221764</v>
      </c>
      <c r="G77" s="711">
        <v>0.15877885862957081</v>
      </c>
      <c r="H77" s="710">
        <v>0.26600000000000001</v>
      </c>
      <c r="I77" s="708">
        <v>0.52</v>
      </c>
      <c r="J77" s="570">
        <v>6.226</v>
      </c>
      <c r="K77" s="865">
        <f>IF($J77="","",IF(IFERROR(INDEX(Settings!$AK$14:$AK$36,MATCH((((ROUND($H77,6)*2)*1000000)+ROUND($I77,6)),Settings!$AI$14:$AI$36,0)),"Undefined")="Undefined","Undefined",IFERROR(INDEX(_xlfn.ANCHORARRAY(Settings!$BC$14),MATCH(IFERROR(INDEX(Settings!$AK$14:$AK$36,MATCH((((ROUND($H77,6)*2)*1000000)+ROUND($I77,6)),Settings!$AI$14:$AI$36,0)),"Undefined"),_xlfn.ANCHORARRAY(Settings!$BC$14),0)),"Inactive")))</f>
        <v>1313</v>
      </c>
      <c r="L77" s="320"/>
      <c r="M77" s="168">
        <f t="shared" si="464"/>
        <v>6.226</v>
      </c>
      <c r="N77" s="632">
        <f t="shared" si="465"/>
        <v>-2.6015236988983479</v>
      </c>
      <c r="O77" s="629">
        <f t="shared" si="466"/>
        <v>3.0543604815558809</v>
      </c>
      <c r="P77" s="633">
        <f t="shared" si="467"/>
        <v>-0.51670155837190035</v>
      </c>
      <c r="Q77" s="585">
        <f t="shared" si="520"/>
        <v>130.42239416372837</v>
      </c>
      <c r="R77" s="629">
        <f t="shared" si="79"/>
        <v>4.0121121005300955</v>
      </c>
      <c r="S77" s="634">
        <f t="shared" si="80"/>
        <v>-0.51670155837190035</v>
      </c>
      <c r="T77" s="635">
        <f t="shared" si="81"/>
        <v>3.0519072474113531</v>
      </c>
      <c r="U77" s="629">
        <f t="shared" si="82"/>
        <v>2.6044012095716114</v>
      </c>
      <c r="V77" s="636">
        <f t="shared" si="114"/>
        <v>-0.51670155837190035</v>
      </c>
      <c r="W77" s="585">
        <f t="shared" si="224"/>
        <v>40.476394155931729</v>
      </c>
      <c r="X77" s="629">
        <f t="shared" si="83"/>
        <v>4.0121121005300955</v>
      </c>
      <c r="Y77" s="630">
        <f t="shared" si="644"/>
        <v>-0.51670155837190035</v>
      </c>
      <c r="Z77" s="632">
        <f t="shared" si="468"/>
        <v>0.88808353314761257</v>
      </c>
      <c r="AA77" s="629">
        <f t="shared" si="469"/>
        <v>0.4313895133221764</v>
      </c>
      <c r="AB77" s="629">
        <f t="shared" si="470"/>
        <v>-0.15877885862957081</v>
      </c>
      <c r="AC77" s="636">
        <f t="shared" si="84"/>
        <v>1</v>
      </c>
      <c r="AD77" s="637">
        <f t="shared" si="115"/>
        <v>0.88808353314761257</v>
      </c>
      <c r="AE77" s="629">
        <f t="shared" si="85"/>
        <v>0.4313895133221764</v>
      </c>
      <c r="AF77" s="633">
        <f t="shared" si="86"/>
        <v>-0.15877885862957081</v>
      </c>
      <c r="AG77" s="602">
        <f t="shared" si="87"/>
        <v>69.793165997840532</v>
      </c>
      <c r="AH77" s="603">
        <f t="shared" si="88"/>
        <v>27.366596257511539</v>
      </c>
      <c r="AI77" s="585">
        <f t="shared" si="89"/>
        <v>-80.863976076742432</v>
      </c>
      <c r="AJ77" s="586">
        <f t="shared" si="90"/>
        <v>115.90831696512471</v>
      </c>
      <c r="AK77" s="635">
        <f t="shared" si="211"/>
        <v>0.95580512065547429</v>
      </c>
      <c r="AL77" s="629">
        <f t="shared" si="91"/>
        <v>-0.24743856890360671</v>
      </c>
      <c r="AM77" s="634">
        <f t="shared" si="92"/>
        <v>-0.15877885862957081</v>
      </c>
      <c r="AN77" s="581">
        <f t="shared" si="93"/>
        <v>-57.312115928509165</v>
      </c>
      <c r="AO77" s="582">
        <f t="shared" si="461"/>
        <v>17.09764093261704</v>
      </c>
      <c r="AP77" s="585">
        <f t="shared" si="95"/>
        <v>-14.514077198603655</v>
      </c>
      <c r="AQ77" s="586">
        <f t="shared" si="471"/>
        <v>0.56819247374915416</v>
      </c>
      <c r="AS77" s="52">
        <f t="shared" si="543"/>
        <v>-319.52360584406824</v>
      </c>
      <c r="AT77" s="72">
        <f t="shared" si="472"/>
        <v>-0.2947726654300451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>Taper</v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6.226</v>
      </c>
      <c r="IH77" s="731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>3.1259999999999999</v>
      </c>
      <c r="II77" s="734" cm="1">
        <f t="array" ref="II77">IFERROR(IF($IH77&lt;1,$IH77+LARGE((IF($M$9:$M$150="",0,$M$9:$M$150)-MOD(IF($M$9:$M$150="",0,$M$9:$M$150),1)),1),$IH77),"")</f>
        <v>3.1259999999999999</v>
      </c>
      <c r="IJ77" s="533">
        <f t="shared" si="542"/>
        <v>1313</v>
      </c>
      <c r="IK77" s="533">
        <f t="shared" si="517"/>
        <v>1313</v>
      </c>
      <c r="IL77" s="727">
        <f t="shared" si="225"/>
        <v>192.4907722077711</v>
      </c>
      <c r="IM77" s="759">
        <v>3.5707365748768503E-4</v>
      </c>
      <c r="IN77" s="5">
        <f t="shared" si="226"/>
        <v>0</v>
      </c>
      <c r="IO77" s="771">
        <v>0</v>
      </c>
      <c r="IP77" s="9">
        <f t="shared" si="227"/>
        <v>-4.0195121228485631</v>
      </c>
      <c r="IQ77" s="5">
        <f t="shared" si="228"/>
        <v>-0.50280151644937321</v>
      </c>
      <c r="IR77" s="5">
        <f t="shared" si="518"/>
        <v>0.26600000000000001</v>
      </c>
      <c r="IS77" s="5">
        <f t="shared" si="229"/>
        <v>0.2385519281902545</v>
      </c>
      <c r="IT77" s="727">
        <f t="shared" si="230"/>
        <v>46.947256530015174</v>
      </c>
      <c r="IU77" s="9">
        <f t="shared" si="231"/>
        <v>-4.0121121005300955</v>
      </c>
      <c r="IV77" s="5">
        <f t="shared" si="232"/>
        <v>-0.51670155837190035</v>
      </c>
      <c r="IW77" s="5">
        <f t="shared" si="519"/>
        <v>0.26600000000000001</v>
      </c>
      <c r="IX77" s="5">
        <f t="shared" si="233"/>
        <v>0.25424416209435619</v>
      </c>
      <c r="IY77" s="762">
        <f t="shared" si="234"/>
        <v>57.312115928509165</v>
      </c>
    </row>
    <row r="78" spans="1:259" ht="15" customHeight="1" x14ac:dyDescent="0.25">
      <c r="A78" s="79"/>
      <c r="B78" s="707">
        <v>-2.921679105704186</v>
      </c>
      <c r="C78" s="708">
        <v>3.3493849469400576</v>
      </c>
      <c r="D78" s="709">
        <v>-1.0443031496182993</v>
      </c>
      <c r="E78" s="710">
        <v>-0.91906129184220564</v>
      </c>
      <c r="F78" s="708">
        <v>-0.38604094009845413</v>
      </c>
      <c r="G78" s="711">
        <v>7.9364566433881012E-2</v>
      </c>
      <c r="H78" s="710">
        <v>0.26600000000000001</v>
      </c>
      <c r="I78" s="708">
        <v>0.52</v>
      </c>
      <c r="J78" s="570">
        <v>6.2320000000000002</v>
      </c>
      <c r="K78" s="865">
        <f>IF($J78="","",IF(IFERROR(INDEX(Settings!$AK$14:$AK$36,MATCH((((ROUND($H78,6)*2)*1000000)+ROUND($I78,6)),Settings!$AI$14:$AI$36,0)),"Undefined")="Undefined","Undefined",IFERROR(INDEX(_xlfn.ANCHORARRAY(Settings!$BC$14),MATCH(IFERROR(INDEX(Settings!$AK$14:$AK$36,MATCH((((ROUND($H78,6)*2)*1000000)+ROUND($I78,6)),Settings!$AI$14:$AI$36,0)),"Undefined"),_xlfn.ANCHORARRAY(Settings!$BC$14),0)),"Inactive")))</f>
        <v>1313</v>
      </c>
      <c r="L78" s="320"/>
      <c r="M78" s="168">
        <f t="shared" si="464"/>
        <v>6.2320000000000002</v>
      </c>
      <c r="N78" s="632">
        <f t="shared" si="465"/>
        <v>-2.921679105704186</v>
      </c>
      <c r="O78" s="629">
        <f t="shared" si="466"/>
        <v>3.3493849469400576</v>
      </c>
      <c r="P78" s="633">
        <f t="shared" si="467"/>
        <v>-1.0443031496182993</v>
      </c>
      <c r="Q78" s="585">
        <f t="shared" si="520"/>
        <v>131.09829406614048</v>
      </c>
      <c r="R78" s="629">
        <f>IF(M78="","",SQRT(N78^2+O78^2))</f>
        <v>4.4446134049540307</v>
      </c>
      <c r="S78" s="634">
        <f>IF(M78="","",P78)</f>
        <v>-1.0443031496182993</v>
      </c>
      <c r="T78" s="635">
        <f>IF(M78="","",X78*COS(RADIANS(W78)))</f>
        <v>3.3466298424917413</v>
      </c>
      <c r="U78" s="629">
        <f>IF(M78="","",X78*SIN(RADIANS(W78)))</f>
        <v>2.9248345281127897</v>
      </c>
      <c r="V78" s="636">
        <f>IF(M78="","",Y78)</f>
        <v>-1.0443031496182993</v>
      </c>
      <c r="W78" s="585">
        <f t="shared" si="224"/>
        <v>41.152294058343841</v>
      </c>
      <c r="X78" s="629">
        <f>IF(M78="","",R78)</f>
        <v>4.4446134049540307</v>
      </c>
      <c r="Y78" s="630">
        <f t="shared" si="644"/>
        <v>-1.0443031496182993</v>
      </c>
      <c r="Z78" s="632">
        <f t="shared" si="468"/>
        <v>0.91906129184220564</v>
      </c>
      <c r="AA78" s="629">
        <f t="shared" si="469"/>
        <v>0.38604094009845413</v>
      </c>
      <c r="AB78" s="629">
        <f t="shared" si="470"/>
        <v>-7.9364566433881012E-2</v>
      </c>
      <c r="AC78" s="636">
        <f>IF(M78="","",SQRT(Z78^2+AA78^2+AB78^2))</f>
        <v>1</v>
      </c>
      <c r="AD78" s="637">
        <f>IF(M78="","",Z78*(1/SQRT(Z78^2+AA78^2+AB78^2)))</f>
        <v>0.91906129184220564</v>
      </c>
      <c r="AE78" s="629">
        <f>IF(M78="","",AA78*(1/SQRT(Z78^2+AA78^2+AB78^2)))</f>
        <v>0.38604094009845413</v>
      </c>
      <c r="AF78" s="633">
        <f>IF(M78="","",AB78*(1/SQRT(Z78^2+AA78^2+AB78^2)))</f>
        <v>-7.9364566433881012E-2</v>
      </c>
      <c r="AG78" s="602">
        <f>IF(M78="","",DEGREES(ATAN2(-AF78,AE78)))</f>
        <v>78.3826628530081</v>
      </c>
      <c r="AH78" s="603">
        <f>IF(M78="","",DEGREES(ACOS(AD78)))</f>
        <v>23.210767258497391</v>
      </c>
      <c r="AI78" s="585">
        <f>IF(M78="","",DEGREES(-ACOS(-AF78)))</f>
        <v>-85.447958060631521</v>
      </c>
      <c r="AJ78" s="586">
        <f>IF(M78="","",DEGREES(ATAN2(-AE78,AD78)))</f>
        <v>112.78427094731313</v>
      </c>
      <c r="AK78" s="635">
        <f>IF(M78="","",(COS(RADIANS((90-$Q$8)-W78))*AD78)+(-SIN(RADIANS((90-$Q$8)-W78))*AE78))</f>
        <v>0.94635402938652757</v>
      </c>
      <c r="AL78" s="629">
        <f>IF(M78="","",(SIN(RADIANS((90-$Q$8)-W78))*AD78)+(COS(RADIANS((90-$Q$8)-W78))*AE78))</f>
        <v>-0.31323364547673554</v>
      </c>
      <c r="AM78" s="634">
        <f>IF(M78="","",AF78)</f>
        <v>-7.9364566433881012E-2</v>
      </c>
      <c r="AN78" s="581">
        <f>IF(M78="","",DEGREES(ATAN2(-AM78,AL78)))</f>
        <v>-75.78207653931905</v>
      </c>
      <c r="AO78" s="582">
        <f t="shared" si="461"/>
        <v>18.852418790385652</v>
      </c>
      <c r="AP78" s="585">
        <f>IF(M78="","",DEGREES(ATAN2(AK78,AL78)))</f>
        <v>-18.314023118827354</v>
      </c>
      <c r="AQ78" s="586">
        <f t="shared" si="471"/>
        <v>0.51290529179150635</v>
      </c>
      <c r="AS78" s="52">
        <f t="shared" si="543"/>
        <v>-318.84770594165616</v>
      </c>
      <c r="AT78" s="72">
        <f t="shared" si="472"/>
        <v>-0.82284363160867469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>Taper</v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6.2320000000000002</v>
      </c>
      <c r="IH78" s="731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>3.1320000000000001</v>
      </c>
      <c r="II78" s="734" cm="1">
        <f t="array" ref="II78">IFERROR(IF($IH78&lt;1,$IH78+LARGE((IF($M$9:$M$150="",0,$M$9:$M$150)-MOD(IF($M$9:$M$150="",0,$M$9:$M$150),1)),1),$IH78),"")</f>
        <v>3.1320000000000001</v>
      </c>
      <c r="IJ78" s="533">
        <f t="shared" si="542"/>
        <v>1313</v>
      </c>
      <c r="IK78" s="533">
        <f t="shared" si="517"/>
        <v>1313</v>
      </c>
      <c r="IL78" s="727">
        <f t="shared" si="225"/>
        <v>191.11497240641202</v>
      </c>
      <c r="IM78" s="759">
        <v>5.9217159675489003E-4</v>
      </c>
      <c r="IN78" s="5">
        <f t="shared" si="226"/>
        <v>0</v>
      </c>
      <c r="IO78" s="771">
        <v>0</v>
      </c>
      <c r="IP78" s="9">
        <f t="shared" si="227"/>
        <v>-4.4558134387333306</v>
      </c>
      <c r="IQ78" s="5">
        <f t="shared" si="228"/>
        <v>-1.0322031131245888</v>
      </c>
      <c r="IR78" s="5">
        <f t="shared" si="518"/>
        <v>0.26600000000000001</v>
      </c>
      <c r="IS78" s="5">
        <f t="shared" si="229"/>
        <v>0.23537147612672668</v>
      </c>
      <c r="IT78" s="727">
        <f t="shared" si="230"/>
        <v>65.021476158054639</v>
      </c>
      <c r="IU78" s="9">
        <f t="shared" si="231"/>
        <v>-4.4446134049540307</v>
      </c>
      <c r="IV78" s="5">
        <f t="shared" si="232"/>
        <v>-1.0443031496182993</v>
      </c>
      <c r="IW78" s="5">
        <f t="shared" si="519"/>
        <v>0.26600000000000001</v>
      </c>
      <c r="IX78" s="5">
        <f t="shared" si="233"/>
        <v>0.25173017181681634</v>
      </c>
      <c r="IY78" s="762">
        <f t="shared" si="234"/>
        <v>75.78207653931905</v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$36,MATCH((((ROUND($H79,6)*2)*1000000)+ROUND($I79,6)),Settings!$AI$14:$AI$36,0)),"Undefined")="Undefined","Undefined",IFERROR(INDEX(_xlfn.ANCHORARRAY(Settings!$BC$14),MATCH(IFERROR(INDEX(Settings!$AK$14:$AK$36,MATCH((((ROUND($H79,6)*2)*1000000)+ROUND($I79,6)),Settings!$AI$14:$AI$36,0)),"Undefined"),_xlfn.ANCHORARRAY(Settings!$BC$14),0)),"Inactive")))</f>
        <v/>
      </c>
      <c r="L79" s="320"/>
      <c r="M79" s="168" t="str">
        <f t="shared" si="464"/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$36,MATCH((((ROUND($H80,6)*2)*1000000)+ROUND($I80,6)),Settings!$AI$14:$AI$36,0)),"Undefined")="Undefined","Undefined",IFERROR(INDEX(_xlfn.ANCHORARRAY(Settings!$BC$14),MATCH(IFERROR(INDEX(Settings!$AK$14:$AK$36,MATCH((((ROUND($H80,6)*2)*1000000)+ROUND($I80,6)),Settings!$AI$14:$AI$36,0)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$36,MATCH((((ROUND($H81,6)*2)*1000000)+ROUND($I81,6)),Settings!$AI$14:$AI$36,0)),"Undefined")="Undefined","Undefined",IFERROR(INDEX(_xlfn.ANCHORARRAY(Settings!$BC$14),MATCH(IFERROR(INDEX(Settings!$AK$14:$AK$36,MATCH((((ROUND($H81,6)*2)*1000000)+ROUND($I81,6)),Settings!$AI$14:$AI$36,0)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$36,MATCH((((ROUND($H82,6)*2)*1000000)+ROUND($I82,6)),Settings!$AI$14:$AI$36,0)),"Undefined")="Undefined","Undefined",IFERROR(INDEX(_xlfn.ANCHORARRAY(Settings!$BC$14),MATCH(IFERROR(INDEX(Settings!$AK$14:$AK$36,MATCH((((ROUND($H82,6)*2)*1000000)+ROUND($I82,6)),Settings!$AI$14:$AI$36,0)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$36,MATCH((((ROUND($H83,6)*2)*1000000)+ROUND($I83,6)),Settings!$AI$14:$AI$36,0)),"Undefined")="Undefined","Undefined",IFERROR(INDEX(_xlfn.ANCHORARRAY(Settings!$BC$14),MATCH(IFERROR(INDEX(Settings!$AK$14:$AK$36,MATCH((((ROUND($H83,6)*2)*1000000)+ROUND($I83,6)),Settings!$AI$14:$AI$36,0)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542"/>
        <v/>
      </c>
      <c r="IK83" s="533" t="str">
        <f t="shared" si="517"/>
        <v/>
      </c>
      <c r="IL83" s="727" t="str">
        <f t="shared" si="647"/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$36,MATCH((((ROUND($H84,6)*2)*1000000)+ROUND($I84,6)),Settings!$AI$14:$AI$36,0)),"Undefined")="Undefined","Undefined",IFERROR(INDEX(_xlfn.ANCHORARRAY(Settings!$BC$14),MATCH(IFERROR(INDEX(Settings!$AK$14:$AK$36,MATCH((((ROUND($H84,6)*2)*1000000)+ROUND($I84,6)),Settings!$AI$14:$AI$36,0)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$36,MATCH((((ROUND($H85,6)*2)*1000000)+ROUND($I85,6)),Settings!$AI$14:$AI$36,0)),"Undefined")="Undefined","Undefined",IFERROR(INDEX(_xlfn.ANCHORARRAY(Settings!$BC$14),MATCH(IFERROR(INDEX(Settings!$AK$14:$AK$36,MATCH((((ROUND($H85,6)*2)*1000000)+ROUND($I85,6)),Settings!$AI$14:$AI$36,0)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$36,MATCH((((ROUND($H86,6)*2)*1000000)+ROUND($I86,6)),Settings!$AI$14:$AI$36,0)),"Undefined")="Undefined","Undefined",IFERROR(INDEX(_xlfn.ANCHORARRAY(Settings!$BC$14),MATCH(IFERROR(INDEX(Settings!$AK$14:$AK$36,MATCH((((ROUND($H86,6)*2)*1000000)+ROUND($I86,6)),Settings!$AI$14:$AI$36,0)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$36,MATCH((((ROUND($H87,6)*2)*1000000)+ROUND($I87,6)),Settings!$AI$14:$AI$36,0)),"Undefined")="Undefined","Undefined",IFERROR(INDEX(_xlfn.ANCHORARRAY(Settings!$BC$14),MATCH(IFERROR(INDEX(Settings!$AK$14:$AK$36,MATCH((((ROUND($H87,6)*2)*1000000)+ROUND($I87,6)),Settings!$AI$14:$AI$36,0)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$36,MATCH((((ROUND($H88,6)*2)*1000000)+ROUND($I88,6)),Settings!$AI$14:$AI$36,0)),"Undefined")="Undefined","Undefined",IFERROR(INDEX(_xlfn.ANCHORARRAY(Settings!$BC$14),MATCH(IFERROR(INDEX(Settings!$AK$14:$AK$36,MATCH((((ROUND($H88,6)*2)*1000000)+ROUND($I88,6)),Settings!$AI$14:$AI$36,0)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$36,MATCH((((ROUND($H89,6)*2)*1000000)+ROUND($I89,6)),Settings!$AI$14:$AI$36,0)),"Undefined")="Undefined","Undefined",IFERROR(INDEX(_xlfn.ANCHORARRAY(Settings!$BC$14),MATCH(IFERROR(INDEX(Settings!$AK$14:$AK$36,MATCH((((ROUND($H89,6)*2)*1000000)+ROUND($I89,6)),Settings!$AI$14:$AI$36,0)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$36,MATCH((((ROUND($H90,6)*2)*1000000)+ROUND($I90,6)),Settings!$AI$14:$AI$36,0)),"Undefined")="Undefined","Undefined",IFERROR(INDEX(_xlfn.ANCHORARRAY(Settings!$BC$14),MATCH(IFERROR(INDEX(Settings!$AK$14:$AK$36,MATCH((((ROUND($H90,6)*2)*1000000)+ROUND($I90,6)),Settings!$AI$14:$AI$36,0)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$36,MATCH((((ROUND($H91,6)*2)*1000000)+ROUND($I91,6)),Settings!$AI$14:$AI$36,0)),"Undefined")="Undefined","Undefined",IFERROR(INDEX(_xlfn.ANCHORARRAY(Settings!$BC$14),MATCH(IFERROR(INDEX(Settings!$AK$14:$AK$36,MATCH((((ROUND($H91,6)*2)*1000000)+ROUND($I91,6)),Settings!$AI$14:$AI$36,0)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$36,MATCH((((ROUND($H92,6)*2)*1000000)+ROUND($I92,6)),Settings!$AI$14:$AI$36,0)),"Undefined")="Undefined","Undefined",IFERROR(INDEX(_xlfn.ANCHORARRAY(Settings!$BC$14),MATCH(IFERROR(INDEX(Settings!$AK$14:$AK$36,MATCH((((ROUND($H92,6)*2)*1000000)+ROUND($I92,6)),Settings!$AI$14:$AI$36,0)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$36,MATCH((((ROUND($H93,6)*2)*1000000)+ROUND($I93,6)),Settings!$AI$14:$AI$36,0)),"Undefined")="Undefined","Undefined",IFERROR(INDEX(_xlfn.ANCHORARRAY(Settings!$BC$14),MATCH(IFERROR(INDEX(Settings!$AK$14:$AK$36,MATCH((((ROUND($H93,6)*2)*1000000)+ROUND($I93,6)),Settings!$AI$14:$AI$36,0)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$36,MATCH((((ROUND($H94,6)*2)*1000000)+ROUND($I94,6)),Settings!$AI$14:$AI$36,0)),"Undefined")="Undefined","Undefined",IFERROR(INDEX(_xlfn.ANCHORARRAY(Settings!$BC$14),MATCH(IFERROR(INDEX(Settings!$AK$14:$AK$36,MATCH((((ROUND($H94,6)*2)*1000000)+ROUND($I94,6)),Settings!$AI$14:$AI$36,0)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$36,MATCH((((ROUND($H95,6)*2)*1000000)+ROUND($I95,6)),Settings!$AI$14:$AI$36,0)),"Undefined")="Undefined","Undefined",IFERROR(INDEX(_xlfn.ANCHORARRAY(Settings!$BC$14),MATCH(IFERROR(INDEX(Settings!$AK$14:$AK$36,MATCH((((ROUND($H95,6)*2)*1000000)+ROUND($I95,6)),Settings!$AI$14:$AI$36,0)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$36,MATCH((((ROUND($H96,6)*2)*1000000)+ROUND($I96,6)),Settings!$AI$14:$AI$36,0)),"Undefined")="Undefined","Undefined",IFERROR(INDEX(_xlfn.ANCHORARRAY(Settings!$BC$14),MATCH(IFERROR(INDEX(Settings!$AK$14:$AK$36,MATCH((((ROUND($H96,6)*2)*1000000)+ROUND($I96,6)),Settings!$AI$14:$AI$36,0)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$36,MATCH((((ROUND($H97,6)*2)*1000000)+ROUND($I97,6)),Settings!$AI$14:$AI$36,0)),"Undefined")="Undefined","Undefined",IFERROR(INDEX(_xlfn.ANCHORARRAY(Settings!$BC$14),MATCH(IFERROR(INDEX(Settings!$AK$14:$AK$36,MATCH((((ROUND($H97,6)*2)*1000000)+ROUND($I97,6)),Settings!$AI$14:$AI$36,0)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$36,MATCH((((ROUND($H98,6)*2)*1000000)+ROUND($I98,6)),Settings!$AI$14:$AI$36,0)),"Undefined")="Undefined","Undefined",IFERROR(INDEX(_xlfn.ANCHORARRAY(Settings!$BC$14),MATCH(IFERROR(INDEX(Settings!$AK$14:$AK$36,MATCH((((ROUND($H98,6)*2)*1000000)+ROUND($I98,6)),Settings!$AI$14:$AI$36,0)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$36,MATCH((((ROUND($H99,6)*2)*1000000)+ROUND($I99,6)),Settings!$AI$14:$AI$36,0)),"Undefined")="Undefined","Undefined",IFERROR(INDEX(_xlfn.ANCHORARRAY(Settings!$BC$14),MATCH(IFERROR(INDEX(Settings!$AK$14:$AK$36,MATCH((((ROUND($H99,6)*2)*1000000)+ROUND($I99,6)),Settings!$AI$14:$AI$36,0)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$36,MATCH((((ROUND($H100,6)*2)*1000000)+ROUND($I100,6)),Settings!$AI$14:$AI$36,0)),"Undefined")="Undefined","Undefined",IFERROR(INDEX(_xlfn.ANCHORARRAY(Settings!$BC$14),MATCH(IFERROR(INDEX(Settings!$AK$14:$AK$36,MATCH((((ROUND($H100,6)*2)*1000000)+ROUND($I100,6)),Settings!$AI$14:$AI$36,0)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$36,MATCH((((ROUND($H101,6)*2)*1000000)+ROUND($I101,6)),Settings!$AI$14:$AI$36,0)),"Undefined")="Undefined","Undefined",IFERROR(INDEX(_xlfn.ANCHORARRAY(Settings!$BC$14),MATCH(IFERROR(INDEX(Settings!$AK$14:$AK$36,MATCH((((ROUND($H101,6)*2)*1000000)+ROUND($I101,6)),Settings!$AI$14:$AI$36,0)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$36,MATCH((((ROUND($H102,6)*2)*1000000)+ROUND($I102,6)),Settings!$AI$14:$AI$36,0)),"Undefined")="Undefined","Undefined",IFERROR(INDEX(_xlfn.ANCHORARRAY(Settings!$BC$14),MATCH(IFERROR(INDEX(Settings!$AK$14:$AK$36,MATCH((((ROUND($H102,6)*2)*1000000)+ROUND($I102,6)),Settings!$AI$14:$AI$36,0)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$36,MATCH((((ROUND($H103,6)*2)*1000000)+ROUND($I103,6)),Settings!$AI$14:$AI$36,0)),"Undefined")="Undefined","Undefined",IFERROR(INDEX(_xlfn.ANCHORARRAY(Settings!$BC$14),MATCH(IFERROR(INDEX(Settings!$AK$14:$AK$36,MATCH((((ROUND($H103,6)*2)*1000000)+ROUND($I103,6)),Settings!$AI$14:$AI$36,0)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$36,MATCH((((ROUND($H104,6)*2)*1000000)+ROUND($I104,6)),Settings!$AI$14:$AI$36,0)),"Undefined")="Undefined","Undefined",IFERROR(INDEX(_xlfn.ANCHORARRAY(Settings!$BC$14),MATCH(IFERROR(INDEX(Settings!$AK$14:$AK$36,MATCH((((ROUND($H104,6)*2)*1000000)+ROUND($I104,6)),Settings!$AI$14:$AI$36,0)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$36,MATCH((((ROUND($H105,6)*2)*1000000)+ROUND($I105,6)),Settings!$AI$14:$AI$36,0)),"Undefined")="Undefined","Undefined",IFERROR(INDEX(_xlfn.ANCHORARRAY(Settings!$BC$14),MATCH(IFERROR(INDEX(Settings!$AK$14:$AK$36,MATCH((((ROUND($H105,6)*2)*1000000)+ROUND($I105,6)),Settings!$AI$14:$AI$36,0)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$36,MATCH((((ROUND($H106,6)*2)*1000000)+ROUND($I106,6)),Settings!$AI$14:$AI$36,0)),"Undefined")="Undefined","Undefined",IFERROR(INDEX(_xlfn.ANCHORARRAY(Settings!$BC$14),MATCH(IFERROR(INDEX(Settings!$AK$14:$AK$36,MATCH((((ROUND($H106,6)*2)*1000000)+ROUND($I106,6)),Settings!$AI$14:$AI$36,0)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$36,MATCH((((ROUND($H107,6)*2)*1000000)+ROUND($I107,6)),Settings!$AI$14:$AI$36,0)),"Undefined")="Undefined","Undefined",IFERROR(INDEX(_xlfn.ANCHORARRAY(Settings!$BC$14),MATCH(IFERROR(INDEX(Settings!$AK$14:$AK$36,MATCH((((ROUND($H107,6)*2)*1000000)+ROUND($I107,6)),Settings!$AI$14:$AI$36,0)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$36,MATCH((((ROUND($H108,6)*2)*1000000)+ROUND($I108,6)),Settings!$AI$14:$AI$36,0)),"Undefined")="Undefined","Undefined",IFERROR(INDEX(_xlfn.ANCHORARRAY(Settings!$BC$14),MATCH(IFERROR(INDEX(Settings!$AK$14:$AK$36,MATCH((((ROUND($H108,6)*2)*1000000)+ROUND($I108,6)),Settings!$AI$14:$AI$36,0)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$36,MATCH((((ROUND($H109,6)*2)*1000000)+ROUND($I109,6)),Settings!$AI$14:$AI$36,0)),"Undefined")="Undefined","Undefined",IFERROR(INDEX(_xlfn.ANCHORARRAY(Settings!$BC$14),MATCH(IFERROR(INDEX(Settings!$AK$14:$AK$36,MATCH((((ROUND($H109,6)*2)*1000000)+ROUND($I109,6)),Settings!$AI$14:$AI$36,0)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$36,MATCH((((ROUND($H110,6)*2)*1000000)+ROUND($I110,6)),Settings!$AI$14:$AI$36,0)),"Undefined")="Undefined","Undefined",IFERROR(INDEX(_xlfn.ANCHORARRAY(Settings!$BC$14),MATCH(IFERROR(INDEX(Settings!$AK$14:$AK$36,MATCH((((ROUND($H110,6)*2)*1000000)+ROUND($I110,6)),Settings!$AI$14:$AI$36,0)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$36,MATCH((((ROUND($H111,6)*2)*1000000)+ROUND($I111,6)),Settings!$AI$14:$AI$36,0)),"Undefined")="Undefined","Undefined",IFERROR(INDEX(_xlfn.ANCHORARRAY(Settings!$BC$14),MATCH(IFERROR(INDEX(Settings!$AK$14:$AK$36,MATCH((((ROUND($H111,6)*2)*1000000)+ROUND($I111,6)),Settings!$AI$14:$AI$36,0)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$36,MATCH((((ROUND($H112,6)*2)*1000000)+ROUND($I112,6)),Settings!$AI$14:$AI$36,0)),"Undefined")="Undefined","Undefined",IFERROR(INDEX(_xlfn.ANCHORARRAY(Settings!$BC$14),MATCH(IFERROR(INDEX(Settings!$AK$14:$AK$36,MATCH((((ROUND($H112,6)*2)*1000000)+ROUND($I112,6)),Settings!$AI$14:$AI$36,0)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$36,MATCH((((ROUND($H113,6)*2)*1000000)+ROUND($I113,6)),Settings!$AI$14:$AI$36,0)),"Undefined")="Undefined","Undefined",IFERROR(INDEX(_xlfn.ANCHORARRAY(Settings!$BC$14),MATCH(IFERROR(INDEX(Settings!$AK$14:$AK$36,MATCH((((ROUND($H113,6)*2)*1000000)+ROUND($I113,6)),Settings!$AI$14:$AI$36,0)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$36,MATCH((((ROUND($H114,6)*2)*1000000)+ROUND($I114,6)),Settings!$AI$14:$AI$36,0)),"Undefined")="Undefined","Undefined",IFERROR(INDEX(_xlfn.ANCHORARRAY(Settings!$BC$14),MATCH(IFERROR(INDEX(Settings!$AK$14:$AK$36,MATCH((((ROUND($H114,6)*2)*1000000)+ROUND($I114,6)),Settings!$AI$14:$AI$36,0)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$36,MATCH((((ROUND($H115,6)*2)*1000000)+ROUND($I115,6)),Settings!$AI$14:$AI$36,0)),"Undefined")="Undefined","Undefined",IFERROR(INDEX(_xlfn.ANCHORARRAY(Settings!$BC$14),MATCH(IFERROR(INDEX(Settings!$AK$14:$AK$36,MATCH((((ROUND($H115,6)*2)*1000000)+ROUND($I115,6)),Settings!$AI$14:$AI$36,0)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$36,MATCH((((ROUND($H116,6)*2)*1000000)+ROUND($I116,6)),Settings!$AI$14:$AI$36,0)),"Undefined")="Undefined","Undefined",IFERROR(INDEX(_xlfn.ANCHORARRAY(Settings!$BC$14),MATCH(IFERROR(INDEX(Settings!$AK$14:$AK$36,MATCH((((ROUND($H116,6)*2)*1000000)+ROUND($I116,6)),Settings!$AI$14:$AI$36,0)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$36,MATCH((((ROUND($H117,6)*2)*1000000)+ROUND($I117,6)),Settings!$AI$14:$AI$36,0)),"Undefined")="Undefined","Undefined",IFERROR(INDEX(_xlfn.ANCHORARRAY(Settings!$BC$14),MATCH(IFERROR(INDEX(Settings!$AK$14:$AK$36,MATCH((((ROUND($H117,6)*2)*1000000)+ROUND($I117,6)),Settings!$AI$14:$AI$36,0)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$36,MATCH((((ROUND($H118,6)*2)*1000000)+ROUND($I118,6)),Settings!$AI$14:$AI$36,0)),"Undefined")="Undefined","Undefined",IFERROR(INDEX(_xlfn.ANCHORARRAY(Settings!$BC$14),MATCH(IFERROR(INDEX(Settings!$AK$14:$AK$36,MATCH((((ROUND($H118,6)*2)*1000000)+ROUND($I118,6)),Settings!$AI$14:$AI$36,0)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$36,MATCH((((ROUND($H119,6)*2)*1000000)+ROUND($I119,6)),Settings!$AI$14:$AI$36,0)),"Undefined")="Undefined","Undefined",IFERROR(INDEX(_xlfn.ANCHORARRAY(Settings!$BC$14),MATCH(IFERROR(INDEX(Settings!$AK$14:$AK$36,MATCH((((ROUND($H119,6)*2)*1000000)+ROUND($I119,6)),Settings!$AI$14:$AI$36,0)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$36,MATCH((((ROUND($H120,6)*2)*1000000)+ROUND($I120,6)),Settings!$AI$14:$AI$36,0)),"Undefined")="Undefined","Undefined",IFERROR(INDEX(_xlfn.ANCHORARRAY(Settings!$BC$14),MATCH(IFERROR(INDEX(Settings!$AK$14:$AK$36,MATCH((((ROUND($H120,6)*2)*1000000)+ROUND($I120,6)),Settings!$AI$14:$AI$36,0)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$36,MATCH((((ROUND($H121,6)*2)*1000000)+ROUND($I121,6)),Settings!$AI$14:$AI$36,0)),"Undefined")="Undefined","Undefined",IFERROR(INDEX(_xlfn.ANCHORARRAY(Settings!$BC$14),MATCH(IFERROR(INDEX(Settings!$AK$14:$AK$36,MATCH((((ROUND($H121,6)*2)*1000000)+ROUND($I121,6)),Settings!$AI$14:$AI$36,0)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$36,MATCH((((ROUND($H122,6)*2)*1000000)+ROUND($I122,6)),Settings!$AI$14:$AI$36,0)),"Undefined")="Undefined","Undefined",IFERROR(INDEX(_xlfn.ANCHORARRAY(Settings!$BC$14),MATCH(IFERROR(INDEX(Settings!$AK$14:$AK$36,MATCH((((ROUND($H122,6)*2)*1000000)+ROUND($I122,6)),Settings!$AI$14:$AI$36,0)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$36,MATCH((((ROUND($H123,6)*2)*1000000)+ROUND($I123,6)),Settings!$AI$14:$AI$36,0)),"Undefined")="Undefined","Undefined",IFERROR(INDEX(_xlfn.ANCHORARRAY(Settings!$BC$14),MATCH(IFERROR(INDEX(Settings!$AK$14:$AK$36,MATCH((((ROUND($H123,6)*2)*1000000)+ROUND($I123,6)),Settings!$AI$14:$AI$36,0)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$36,MATCH((((ROUND($H124,6)*2)*1000000)+ROUND($I124,6)),Settings!$AI$14:$AI$36,0)),"Undefined")="Undefined","Undefined",IFERROR(INDEX(_xlfn.ANCHORARRAY(Settings!$BC$14),MATCH(IFERROR(INDEX(Settings!$AK$14:$AK$36,MATCH((((ROUND($H124,6)*2)*1000000)+ROUND($I124,6)),Settings!$AI$14:$AI$36,0)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$36,MATCH((((ROUND($H125,6)*2)*1000000)+ROUND($I125,6)),Settings!$AI$14:$AI$36,0)),"Undefined")="Undefined","Undefined",IFERROR(INDEX(_xlfn.ANCHORARRAY(Settings!$BC$14),MATCH(IFERROR(INDEX(Settings!$AK$14:$AK$36,MATCH((((ROUND($H125,6)*2)*1000000)+ROUND($I125,6)),Settings!$AI$14:$AI$36,0)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$36,MATCH((((ROUND($H126,6)*2)*1000000)+ROUND($I126,6)),Settings!$AI$14:$AI$36,0)),"Undefined")="Undefined","Undefined",IFERROR(INDEX(_xlfn.ANCHORARRAY(Settings!$BC$14),MATCH(IFERROR(INDEX(Settings!$AK$14:$AK$36,MATCH((((ROUND($H126,6)*2)*1000000)+ROUND($I126,6)),Settings!$AI$14:$AI$36,0)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$36,MATCH((((ROUND($H127,6)*2)*1000000)+ROUND($I127,6)),Settings!$AI$14:$AI$36,0)),"Undefined")="Undefined","Undefined",IFERROR(INDEX(_xlfn.ANCHORARRAY(Settings!$BC$14),MATCH(IFERROR(INDEX(Settings!$AK$14:$AK$36,MATCH((((ROUND($H127,6)*2)*1000000)+ROUND($I127,6)),Settings!$AI$14:$AI$36,0)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$36,MATCH((((ROUND($H128,6)*2)*1000000)+ROUND($I128,6)),Settings!$AI$14:$AI$36,0)),"Undefined")="Undefined","Undefined",IFERROR(INDEX(_xlfn.ANCHORARRAY(Settings!$BC$14),MATCH(IFERROR(INDEX(Settings!$AK$14:$AK$36,MATCH((((ROUND($H128,6)*2)*1000000)+ROUND($I128,6)),Settings!$AI$14:$AI$36,0)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$36,MATCH((((ROUND($H129,6)*2)*1000000)+ROUND($I129,6)),Settings!$AI$14:$AI$36,0)),"Undefined")="Undefined","Undefined",IFERROR(INDEX(_xlfn.ANCHORARRAY(Settings!$BC$14),MATCH(IFERROR(INDEX(Settings!$AK$14:$AK$36,MATCH((((ROUND($H129,6)*2)*1000000)+ROUND($I129,6)),Settings!$AI$14:$AI$36,0)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$36,MATCH((((ROUND($H130,6)*2)*1000000)+ROUND($I130,6)),Settings!$AI$14:$AI$36,0)),"Undefined")="Undefined","Undefined",IFERROR(INDEX(_xlfn.ANCHORARRAY(Settings!$BC$14),MATCH(IFERROR(INDEX(Settings!$AK$14:$AK$36,MATCH((((ROUND($H130,6)*2)*1000000)+ROUND($I130,6)),Settings!$AI$14:$AI$36,0)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$36,MATCH((((ROUND($H131,6)*2)*1000000)+ROUND($I131,6)),Settings!$AI$14:$AI$36,0)),"Undefined")="Undefined","Undefined",IFERROR(INDEX(_xlfn.ANCHORARRAY(Settings!$BC$14),MATCH(IFERROR(INDEX(Settings!$AK$14:$AK$36,MATCH((((ROUND($H131,6)*2)*1000000)+ROUND($I131,6)),Settings!$AI$14:$AI$36,0)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$36,MATCH((((ROUND($H132,6)*2)*1000000)+ROUND($I132,6)),Settings!$AI$14:$AI$36,0)),"Undefined")="Undefined","Undefined",IFERROR(INDEX(_xlfn.ANCHORARRAY(Settings!$BC$14),MATCH(IFERROR(INDEX(Settings!$AK$14:$AK$36,MATCH((((ROUND($H132,6)*2)*1000000)+ROUND($I132,6)),Settings!$AI$14:$AI$36,0)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$36,MATCH((((ROUND($H133,6)*2)*1000000)+ROUND($I133,6)),Settings!$AI$14:$AI$36,0)),"Undefined")="Undefined","Undefined",IFERROR(INDEX(_xlfn.ANCHORARRAY(Settings!$BC$14),MATCH(IFERROR(INDEX(Settings!$AK$14:$AK$36,MATCH((((ROUND($H133,6)*2)*1000000)+ROUND($I133,6)),Settings!$AI$14:$AI$36,0)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$36,MATCH((((ROUND($H134,6)*2)*1000000)+ROUND($I134,6)),Settings!$AI$14:$AI$36,0)),"Undefined")="Undefined","Undefined",IFERROR(INDEX(_xlfn.ANCHORARRAY(Settings!$BC$14),MATCH(IFERROR(INDEX(Settings!$AK$14:$AK$36,MATCH((((ROUND($H134,6)*2)*1000000)+ROUND($I134,6)),Settings!$AI$14:$AI$36,0)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$36,MATCH((((ROUND($H135,6)*2)*1000000)+ROUND($I135,6)),Settings!$AI$14:$AI$36,0)),"Undefined")="Undefined","Undefined",IFERROR(INDEX(_xlfn.ANCHORARRAY(Settings!$BC$14),MATCH(IFERROR(INDEX(Settings!$AK$14:$AK$36,MATCH((((ROUND($H135,6)*2)*1000000)+ROUND($I135,6)),Settings!$AI$14:$AI$36,0)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$36,MATCH((((ROUND($H136,6)*2)*1000000)+ROUND($I136,6)),Settings!$AI$14:$AI$36,0)),"Undefined")="Undefined","Undefined",IFERROR(INDEX(_xlfn.ANCHORARRAY(Settings!$BC$14),MATCH(IFERROR(INDEX(Settings!$AK$14:$AK$36,MATCH((((ROUND($H136,6)*2)*1000000)+ROUND($I136,6)),Settings!$AI$14:$AI$36,0)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$36,MATCH((((ROUND($H137,6)*2)*1000000)+ROUND($I137,6)),Settings!$AI$14:$AI$36,0)),"Undefined")="Undefined","Undefined",IFERROR(INDEX(_xlfn.ANCHORARRAY(Settings!$BC$14),MATCH(IFERROR(INDEX(Settings!$AK$14:$AK$36,MATCH((((ROUND($H137,6)*2)*1000000)+ROUND($I137,6)),Settings!$AI$14:$AI$36,0)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$36,MATCH((((ROUND($H138,6)*2)*1000000)+ROUND($I138,6)),Settings!$AI$14:$AI$36,0)),"Undefined")="Undefined","Undefined",IFERROR(INDEX(_xlfn.ANCHORARRAY(Settings!$BC$14),MATCH(IFERROR(INDEX(Settings!$AK$14:$AK$36,MATCH((((ROUND($H138,6)*2)*1000000)+ROUND($I138,6)),Settings!$AI$14:$AI$36,0)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$36,MATCH((((ROUND($H139,6)*2)*1000000)+ROUND($I139,6)),Settings!$AI$14:$AI$36,0)),"Undefined")="Undefined","Undefined",IFERROR(INDEX(_xlfn.ANCHORARRAY(Settings!$BC$14),MATCH(IFERROR(INDEX(Settings!$AK$14:$AK$36,MATCH((((ROUND($H139,6)*2)*1000000)+ROUND($I139,6)),Settings!$AI$14:$AI$36,0)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$36,MATCH((((ROUND($H140,6)*2)*1000000)+ROUND($I140,6)),Settings!$AI$14:$AI$36,0)),"Undefined")="Undefined","Undefined",IFERROR(INDEX(_xlfn.ANCHORARRAY(Settings!$BC$14),MATCH(IFERROR(INDEX(Settings!$AK$14:$AK$36,MATCH((((ROUND($H140,6)*2)*1000000)+ROUND($I140,6)),Settings!$AI$14:$AI$36,0)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$36,MATCH((((ROUND($H141,6)*2)*1000000)+ROUND($I141,6)),Settings!$AI$14:$AI$36,0)),"Undefined")="Undefined","Undefined",IFERROR(INDEX(_xlfn.ANCHORARRAY(Settings!$BC$14),MATCH(IFERROR(INDEX(Settings!$AK$14:$AK$36,MATCH((((ROUND($H141,6)*2)*1000000)+ROUND($I141,6)),Settings!$AI$14:$AI$36,0)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$36,MATCH((((ROUND($H142,6)*2)*1000000)+ROUND($I142,6)),Settings!$AI$14:$AI$36,0)),"Undefined")="Undefined","Undefined",IFERROR(INDEX(_xlfn.ANCHORARRAY(Settings!$BC$14),MATCH(IFERROR(INDEX(Settings!$AK$14:$AK$36,MATCH((((ROUND($H142,6)*2)*1000000)+ROUND($I142,6)),Settings!$AI$14:$AI$36,0)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$36,MATCH((((ROUND($H143,6)*2)*1000000)+ROUND($I143,6)),Settings!$AI$14:$AI$36,0)),"Undefined")="Undefined","Undefined",IFERROR(INDEX(_xlfn.ANCHORARRAY(Settings!$BC$14),MATCH(IFERROR(INDEX(Settings!$AK$14:$AK$36,MATCH((((ROUND($H143,6)*2)*1000000)+ROUND($I143,6)),Settings!$AI$14:$AI$36,0)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$36,MATCH((((ROUND($H144,6)*2)*1000000)+ROUND($I144,6)),Settings!$AI$14:$AI$36,0)),"Undefined")="Undefined","Undefined",IFERROR(INDEX(_xlfn.ANCHORARRAY(Settings!$BC$14),MATCH(IFERROR(INDEX(Settings!$AK$14:$AK$36,MATCH((((ROUND($H144,6)*2)*1000000)+ROUND($I144,6)),Settings!$AI$14:$AI$36,0)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$36,MATCH((((ROUND($H145,6)*2)*1000000)+ROUND($I145,6)),Settings!$AI$14:$AI$36,0)),"Undefined")="Undefined","Undefined",IFERROR(INDEX(_xlfn.ANCHORARRAY(Settings!$BC$14),MATCH(IFERROR(INDEX(Settings!$AK$14:$AK$36,MATCH((((ROUND($H145,6)*2)*1000000)+ROUND($I145,6)),Settings!$AI$14:$AI$36,0)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$36,MATCH((((ROUND($H146,6)*2)*1000000)+ROUND($I146,6)),Settings!$AI$14:$AI$36,0)),"Undefined")="Undefined","Undefined",IFERROR(INDEX(_xlfn.ANCHORARRAY(Settings!$BC$14),MATCH(IFERROR(INDEX(Settings!$AK$14:$AK$36,MATCH((((ROUND($H146,6)*2)*1000000)+ROUND($I146,6)),Settings!$AI$14:$AI$36,0)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$36,MATCH((((ROUND($H147,6)*2)*1000000)+ROUND($I147,6)),Settings!$AI$14:$AI$36,0)),"Undefined")="Undefined","Undefined",IFERROR(INDEX(_xlfn.ANCHORARRAY(Settings!$BC$14),MATCH(IFERROR(INDEX(Settings!$AK$14:$AK$36,MATCH((((ROUND($H147,6)*2)*1000000)+ROUND($I147,6)),Settings!$AI$14:$AI$36,0)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$36,MATCH((((ROUND($H148,6)*2)*1000000)+ROUND($I148,6)),Settings!$AI$14:$AI$36,0)),"Undefined")="Undefined","Undefined",IFERROR(INDEX(_xlfn.ANCHORARRAY(Settings!$BC$14),MATCH(IFERROR(INDEX(Settings!$AK$14:$AK$36,MATCH((((ROUND($H148,6)*2)*1000000)+ROUND($I148,6)),Settings!$AI$14:$AI$36,0)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$36,MATCH((((ROUND($H149,6)*2)*1000000)+ROUND($I149,6)),Settings!$AI$14:$AI$36,0)),"Undefined")="Undefined","Undefined",IFERROR(INDEX(_xlfn.ANCHORARRAY(Settings!$BC$14),MATCH(IFERROR(INDEX(Settings!$AK$14:$AK$36,MATCH((((ROUND($H149,6)*2)*1000000)+ROUND($I149,6)),Settings!$AI$14:$AI$36,0)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$36,MATCH((((ROUND($H150,6)*2)*1000000)+ROUND($I150,6)),Settings!$AI$14:$AI$36,0)),"Undefined")="Undefined","Undefined",IFERROR(INDEX(_xlfn.ANCHORARRAY(Settings!$BC$14),MATCH(IFERROR(INDEX(Settings!$AK$14:$AK$36,MATCH((((ROUND($H150,6)*2)*1000000)+ROUND($I150,6)),Settings!$AI$14:$AI$36,0)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0.90630781366099944</v>
      </c>
      <c r="F154" s="170">
        <f t="shared" si="929"/>
        <v>0.109381624738768</v>
      </c>
      <c r="G154" s="170">
        <f t="shared" si="929"/>
        <v>-0.40821784266066352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0.93969263802333458</v>
      </c>
      <c r="F155" s="170">
        <f t="shared" si="929"/>
        <v>8.852130215629557E-2</v>
      </c>
      <c r="G155" s="170">
        <f t="shared" si="929"/>
        <v>-0.33036604714967344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0.93969263802333458</v>
      </c>
      <c r="F156" s="170">
        <f t="shared" si="929"/>
        <v>8.8521302156295556E-2</v>
      </c>
      <c r="G156" s="170">
        <f t="shared" si="929"/>
        <v>-0.33036604714967344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0.939617474522219</v>
      </c>
      <c r="F157" s="170">
        <f t="shared" si="929"/>
        <v>7.0811827451624704E-2</v>
      </c>
      <c r="G157" s="170">
        <f t="shared" si="929"/>
        <v>-0.33482037970447454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0.91732812530830421</v>
      </c>
      <c r="F158" s="170">
        <f t="shared" si="929"/>
        <v>-9.7956866138756912E-2</v>
      </c>
      <c r="G158" s="170">
        <f t="shared" si="929"/>
        <v>-0.38589320141021666</v>
      </c>
      <c r="H158" s="139"/>
      <c r="I158" s="86"/>
      <c r="J158" s="79">
        <f t="shared" si="930"/>
        <v>1.1160000000000001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0.90082694949283526</v>
      </c>
      <c r="F159" s="170">
        <f t="shared" si="929"/>
        <v>-0.25886829897127944</v>
      </c>
      <c r="G159" s="170">
        <f t="shared" si="929"/>
        <v>-0.34856564784147803</v>
      </c>
      <c r="H159" s="139"/>
      <c r="I159" s="86"/>
      <c r="J159" s="79">
        <f t="shared" si="930"/>
        <v>1.1220000000000001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0.87974035232324443</v>
      </c>
      <c r="F160" s="170">
        <f t="shared" si="929"/>
        <v>-0.3943624510976827</v>
      </c>
      <c r="G160" s="170">
        <f t="shared" si="929"/>
        <v>-0.26558458098768029</v>
      </c>
      <c r="H160" s="139"/>
      <c r="I160" s="86"/>
      <c r="J160" s="79">
        <f t="shared" si="930"/>
        <v>1.1279999999999999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0.85980365584138874</v>
      </c>
      <c r="F161" s="170">
        <f t="shared" si="929"/>
        <v>-0.48672627528010526</v>
      </c>
      <c r="G161" s="170">
        <f t="shared" si="929"/>
        <v>-0.15438654848702982</v>
      </c>
      <c r="H161" s="139"/>
      <c r="I161" s="86"/>
      <c r="J161" s="79">
        <f t="shared" si="930"/>
        <v>1.1339999999999999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0.83781763814624977</v>
      </c>
      <c r="F162" s="170">
        <f t="shared" si="929"/>
        <v>-0.54446156053019046</v>
      </c>
      <c r="G162" s="170">
        <f t="shared" si="929"/>
        <v>-4.0289133970211367E-2</v>
      </c>
      <c r="H162" s="139"/>
      <c r="I162" s="86"/>
      <c r="J162" s="79">
        <f t="shared" si="930"/>
        <v>1.1399999999999999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0.72537444646801497</v>
      </c>
      <c r="F163" s="170">
        <f t="shared" si="929"/>
        <v>-0.68835449617998401</v>
      </c>
      <c r="G163" s="170">
        <f t="shared" si="929"/>
        <v>-1.4578093189365334E-7</v>
      </c>
      <c r="H163" s="139"/>
      <c r="I163" s="86"/>
      <c r="J163" s="79">
        <f t="shared" si="930"/>
        <v>1.1459999999999999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0.90264080466962859</v>
      </c>
      <c r="F164" s="170">
        <f t="shared" si="929"/>
        <v>-0.37532222737343285</v>
      </c>
      <c r="G164" s="170">
        <f t="shared" si="929"/>
        <v>-0.21064853045965098</v>
      </c>
      <c r="H164" s="139"/>
      <c r="I164" s="86"/>
      <c r="J164" s="79">
        <f t="shared" si="930"/>
        <v>1.2130000000000001</v>
      </c>
    </row>
    <row r="165" spans="5:16" x14ac:dyDescent="0.25">
      <c r="E165" s="170">
        <f t="shared" si="929"/>
        <v>0.8906542789174936</v>
      </c>
      <c r="F165" s="170">
        <f t="shared" si="929"/>
        <v>-0.40649354024959111</v>
      </c>
      <c r="G165" s="170">
        <f t="shared" si="929"/>
        <v>-0.20371047391166122</v>
      </c>
      <c r="H165" s="139"/>
      <c r="I165" s="86"/>
      <c r="J165" s="79">
        <f t="shared" si="930"/>
        <v>1.2190000000000001</v>
      </c>
    </row>
    <row r="166" spans="5:16" x14ac:dyDescent="0.25">
      <c r="E166" s="170">
        <f t="shared" si="929"/>
        <v>0.87124952120818011</v>
      </c>
      <c r="F166" s="170">
        <f t="shared" si="929"/>
        <v>-0.46494201282338243</v>
      </c>
      <c r="G166" s="170">
        <f t="shared" si="929"/>
        <v>-0.15733148606130559</v>
      </c>
      <c r="H166" s="139"/>
      <c r="I166" s="86"/>
      <c r="J166" s="79">
        <f t="shared" si="930"/>
        <v>1.2250000000000001</v>
      </c>
    </row>
    <row r="167" spans="5:16" x14ac:dyDescent="0.25">
      <c r="E167" s="170">
        <f t="shared" si="929"/>
        <v>0.85206480358801429</v>
      </c>
      <c r="F167" s="170">
        <f t="shared" si="929"/>
        <v>-0.51677363013549815</v>
      </c>
      <c r="G167" s="170">
        <f t="shared" si="929"/>
        <v>-8.3250139237708604E-2</v>
      </c>
      <c r="H167" s="139"/>
      <c r="I167" s="86"/>
      <c r="J167" s="79">
        <f t="shared" si="930"/>
        <v>1.2310000000000001</v>
      </c>
    </row>
    <row r="168" spans="5:16" x14ac:dyDescent="0.25">
      <c r="E168" s="170">
        <f t="shared" si="929"/>
        <v>0.32659323553948227</v>
      </c>
      <c r="F168" s="170">
        <f t="shared" si="929"/>
        <v>-0.86093632965685873</v>
      </c>
      <c r="G168" s="170">
        <f t="shared" si="929"/>
        <v>-0.3900326842417558</v>
      </c>
      <c r="H168" s="139"/>
      <c r="I168" s="86"/>
      <c r="J168" s="79">
        <f t="shared" si="930"/>
        <v>2.1150000000000002</v>
      </c>
    </row>
    <row r="169" spans="5:16" x14ac:dyDescent="0.25">
      <c r="E169" s="170">
        <f t="shared" si="929"/>
        <v>0.16964934503274481</v>
      </c>
      <c r="F169" s="170">
        <f t="shared" si="929"/>
        <v>-0.91706035202082226</v>
      </c>
      <c r="G169" s="170">
        <f t="shared" si="929"/>
        <v>-0.3608592668636989</v>
      </c>
      <c r="H169" s="139"/>
      <c r="I169" s="86"/>
      <c r="J169" s="79">
        <f t="shared" si="930"/>
        <v>2.121</v>
      </c>
    </row>
    <row r="170" spans="5:16" x14ac:dyDescent="0.25">
      <c r="E170" s="170">
        <f t="shared" si="929"/>
        <v>3.2268137482991052E-2</v>
      </c>
      <c r="F170" s="170">
        <f t="shared" si="929"/>
        <v>-0.95822321034494107</v>
      </c>
      <c r="G170" s="170">
        <f t="shared" si="929"/>
        <v>-0.28419543708443629</v>
      </c>
      <c r="H170" s="139"/>
      <c r="I170" s="86"/>
      <c r="J170" s="79">
        <f t="shared" si="930"/>
        <v>2.1269999999999998</v>
      </c>
    </row>
    <row r="171" spans="5:16" x14ac:dyDescent="0.25">
      <c r="E171" s="170">
        <f t="shared" si="929"/>
        <v>-6.7647515131610422E-2</v>
      </c>
      <c r="F171" s="170">
        <f t="shared" si="929"/>
        <v>-0.98205890631837778</v>
      </c>
      <c r="G171" s="170">
        <f t="shared" si="929"/>
        <v>-0.17602306160634282</v>
      </c>
      <c r="H171" s="139"/>
      <c r="I171" s="86"/>
      <c r="J171" s="79">
        <f t="shared" si="930"/>
        <v>2.133</v>
      </c>
    </row>
    <row r="172" spans="5:16" x14ac:dyDescent="0.25">
      <c r="E172" s="170">
        <f t="shared" si="929"/>
        <v>-0.13721408428733278</v>
      </c>
      <c r="F172" s="170">
        <f t="shared" si="929"/>
        <v>-0.9885967755837517</v>
      </c>
      <c r="G172" s="170">
        <f t="shared" si="929"/>
        <v>-6.2037975294153336E-2</v>
      </c>
      <c r="H172" s="139"/>
      <c r="I172" s="86"/>
      <c r="J172" s="79">
        <f t="shared" si="930"/>
        <v>2.1389999999999998</v>
      </c>
    </row>
    <row r="173" spans="5:16" x14ac:dyDescent="0.25">
      <c r="E173" s="170">
        <f t="shared" si="929"/>
        <v>-0.31730525742005494</v>
      </c>
      <c r="F173" s="170">
        <f t="shared" si="929"/>
        <v>-0.94832345410918284</v>
      </c>
      <c r="G173" s="170">
        <f t="shared" si="929"/>
        <v>-1.4578093186922316E-7</v>
      </c>
      <c r="H173" s="139"/>
      <c r="I173" s="86"/>
      <c r="J173" s="79">
        <f t="shared" si="930"/>
        <v>2.145</v>
      </c>
    </row>
    <row r="174" spans="5:16" x14ac:dyDescent="0.25">
      <c r="E174" s="170">
        <f t="shared" ref="E174:G193" si="933">E29*-1</f>
        <v>1.5771105197666647E-2</v>
      </c>
      <c r="F174" s="170">
        <f t="shared" si="933"/>
        <v>-0.97746003605361831</v>
      </c>
      <c r="G174" s="170">
        <f t="shared" si="933"/>
        <v>-0.21053063947773376</v>
      </c>
      <c r="H174" s="139"/>
      <c r="I174" s="86"/>
      <c r="J174" s="79">
        <f t="shared" si="930"/>
        <v>2.218</v>
      </c>
    </row>
    <row r="175" spans="5:16" x14ac:dyDescent="0.25">
      <c r="E175" s="170">
        <f t="shared" si="933"/>
        <v>-4.4055533692598021E-2</v>
      </c>
      <c r="F175" s="170">
        <f t="shared" si="933"/>
        <v>-0.98446885967935061</v>
      </c>
      <c r="G175" s="170">
        <f t="shared" si="933"/>
        <v>-0.16994167903342455</v>
      </c>
      <c r="H175" s="139"/>
      <c r="I175" s="86"/>
      <c r="J175" s="79">
        <f t="shared" si="930"/>
        <v>2.2240000000000002</v>
      </c>
    </row>
    <row r="176" spans="5:16" x14ac:dyDescent="0.25">
      <c r="E176" s="170">
        <f t="shared" si="933"/>
        <v>-0.10240630814754208</v>
      </c>
      <c r="F176" s="170">
        <f t="shared" si="933"/>
        <v>-0.98980130476415107</v>
      </c>
      <c r="G176" s="170">
        <f t="shared" si="933"/>
        <v>-9.9026890988128766E-2</v>
      </c>
      <c r="H176" s="139"/>
      <c r="I176" s="86"/>
      <c r="J176" s="79">
        <f t="shared" si="930"/>
        <v>2.23</v>
      </c>
    </row>
    <row r="177" spans="5:10" x14ac:dyDescent="0.25">
      <c r="E177" s="170">
        <f t="shared" si="933"/>
        <v>-0.46647363486210192</v>
      </c>
      <c r="F177" s="170">
        <f t="shared" si="933"/>
        <v>-0.82052460223276569</v>
      </c>
      <c r="G177" s="170">
        <f t="shared" si="933"/>
        <v>-0.33036604714967338</v>
      </c>
      <c r="H177" s="139"/>
      <c r="I177" s="86"/>
      <c r="J177" s="79">
        <f t="shared" si="930"/>
        <v>3.1030000000000002</v>
      </c>
    </row>
    <row r="178" spans="5:10" x14ac:dyDescent="0.25">
      <c r="E178" s="170">
        <f t="shared" si="933"/>
        <v>-0.46647363486210192</v>
      </c>
      <c r="F178" s="170">
        <f t="shared" si="933"/>
        <v>-0.82052460223276569</v>
      </c>
      <c r="G178" s="170">
        <f t="shared" si="933"/>
        <v>-0.33036604714967333</v>
      </c>
      <c r="H178" s="139"/>
      <c r="I178" s="86"/>
      <c r="J178" s="79">
        <f t="shared" si="930"/>
        <v>3.1059999999999999</v>
      </c>
    </row>
    <row r="179" spans="5:10" x14ac:dyDescent="0.25">
      <c r="E179" s="170">
        <f t="shared" si="933"/>
        <v>-0.46647363486210192</v>
      </c>
      <c r="F179" s="170">
        <f t="shared" si="933"/>
        <v>-0.82052460223276569</v>
      </c>
      <c r="G179" s="170">
        <f t="shared" si="933"/>
        <v>-0.33036604714967338</v>
      </c>
      <c r="H179" s="139"/>
      <c r="I179" s="86"/>
      <c r="J179" s="79">
        <f t="shared" si="930"/>
        <v>3.109</v>
      </c>
    </row>
    <row r="180" spans="5:10" x14ac:dyDescent="0.25">
      <c r="E180" s="170">
        <f t="shared" si="933"/>
        <v>-0.56461833751574342</v>
      </c>
      <c r="F180" s="170">
        <f t="shared" si="933"/>
        <v>-0.73473518012373562</v>
      </c>
      <c r="G180" s="170">
        <f t="shared" si="933"/>
        <v>-0.37599248400666219</v>
      </c>
      <c r="H180" s="139"/>
      <c r="I180" s="86"/>
      <c r="J180" s="79">
        <f t="shared" si="930"/>
        <v>3.1139999999999999</v>
      </c>
    </row>
    <row r="181" spans="5:10" x14ac:dyDescent="0.25">
      <c r="E181" s="170">
        <f t="shared" si="933"/>
        <v>-0.68929901216626976</v>
      </c>
      <c r="F181" s="170">
        <f t="shared" si="933"/>
        <v>-0.62176862040860659</v>
      </c>
      <c r="G181" s="170">
        <f t="shared" si="933"/>
        <v>-0.37184762269212218</v>
      </c>
      <c r="H181" s="139"/>
      <c r="I181" s="86"/>
      <c r="J181" s="79">
        <f t="shared" si="930"/>
        <v>3.12</v>
      </c>
    </row>
    <row r="182" spans="5:10" x14ac:dyDescent="0.25">
      <c r="E182" s="170">
        <f t="shared" si="933"/>
        <v>-0.79868896942100409</v>
      </c>
      <c r="F182" s="170">
        <f t="shared" si="933"/>
        <v>-0.52045990953051935</v>
      </c>
      <c r="G182" s="170">
        <f t="shared" si="933"/>
        <v>-0.30202220563511256</v>
      </c>
      <c r="H182" s="139"/>
      <c r="I182" s="86"/>
      <c r="J182" s="79">
        <f t="shared" si="930"/>
        <v>3.1259999999999999</v>
      </c>
    </row>
    <row r="183" spans="5:10" x14ac:dyDescent="0.25">
      <c r="E183" s="170">
        <f t="shared" si="933"/>
        <v>-0.87590808614083515</v>
      </c>
      <c r="F183" s="170">
        <f t="shared" si="933"/>
        <v>-0.44054986540045044</v>
      </c>
      <c r="G183" s="170">
        <f t="shared" si="933"/>
        <v>-0.1967252925496478</v>
      </c>
      <c r="H183" s="139"/>
      <c r="I183" s="86"/>
      <c r="J183" s="79">
        <f t="shared" si="930"/>
        <v>3.1320000000000001</v>
      </c>
    </row>
    <row r="184" spans="5:10" x14ac:dyDescent="0.25">
      <c r="E184" s="170">
        <f t="shared" si="933"/>
        <v>-0.91689635018297333</v>
      </c>
      <c r="F184" s="170">
        <f t="shared" si="933"/>
        <v>-0.3918652516549605</v>
      </c>
      <c r="G184" s="170">
        <f t="shared" si="933"/>
        <v>-7.5780654302644634E-2</v>
      </c>
      <c r="H184" s="139"/>
      <c r="I184" s="86"/>
      <c r="J184" s="79">
        <f t="shared" si="930"/>
        <v>3.1379999999999999</v>
      </c>
    </row>
    <row r="185" spans="5:10" x14ac:dyDescent="0.25">
      <c r="E185" s="170">
        <f t="shared" si="933"/>
        <v>-0.97992480082951539</v>
      </c>
      <c r="F185" s="170">
        <f t="shared" si="933"/>
        <v>-0.19936746153576149</v>
      </c>
      <c r="G185" s="170">
        <f t="shared" si="933"/>
        <v>-1.4578093088601773E-7</v>
      </c>
      <c r="H185" s="139"/>
      <c r="I185" s="86"/>
      <c r="J185" s="79">
        <f t="shared" si="930"/>
        <v>3.1440000000000001</v>
      </c>
    </row>
    <row r="186" spans="5:10" x14ac:dyDescent="0.25">
      <c r="E186" s="170">
        <f t="shared" si="933"/>
        <v>-0.82957714758218626</v>
      </c>
      <c r="F186" s="170">
        <f t="shared" si="933"/>
        <v>-0.5242907711709659</v>
      </c>
      <c r="G186" s="170">
        <f t="shared" si="933"/>
        <v>-0.19214823307633438</v>
      </c>
      <c r="H186" s="139"/>
      <c r="I186" s="86"/>
      <c r="J186" s="79">
        <f t="shared" si="930"/>
        <v>3.2109999999999999</v>
      </c>
    </row>
    <row r="187" spans="5:10" x14ac:dyDescent="0.25">
      <c r="E187" s="170">
        <f t="shared" si="933"/>
        <v>-0.83338157850689787</v>
      </c>
      <c r="F187" s="170">
        <f t="shared" si="933"/>
        <v>-0.50863852191131131</v>
      </c>
      <c r="G187" s="170">
        <f t="shared" si="933"/>
        <v>-0.21624522800105361</v>
      </c>
      <c r="H187" s="139"/>
      <c r="I187" s="86"/>
      <c r="J187" s="79">
        <f t="shared" si="930"/>
        <v>3.2170000000000001</v>
      </c>
    </row>
    <row r="188" spans="5:10" x14ac:dyDescent="0.25">
      <c r="E188" s="170">
        <f t="shared" si="933"/>
        <v>-0.86838622004611576</v>
      </c>
      <c r="F188" s="170">
        <f t="shared" si="933"/>
        <v>-0.4613649103932958</v>
      </c>
      <c r="G188" s="170">
        <f t="shared" si="933"/>
        <v>-0.1817905176069568</v>
      </c>
      <c r="H188" s="139"/>
      <c r="I188" s="86"/>
      <c r="J188" s="79">
        <f t="shared" si="930"/>
        <v>3.2229999999999999</v>
      </c>
    </row>
    <row r="189" spans="5:10" x14ac:dyDescent="0.25">
      <c r="E189" s="170">
        <f t="shared" si="933"/>
        <v>-0.90418472955719598</v>
      </c>
      <c r="F189" s="170">
        <f t="shared" si="933"/>
        <v>-0.41149319927905836</v>
      </c>
      <c r="G189" s="170">
        <f t="shared" si="933"/>
        <v>-0.11455706779882915</v>
      </c>
      <c r="H189" s="139"/>
      <c r="I189" s="86"/>
      <c r="J189" s="79">
        <f t="shared" si="930"/>
        <v>3.2290000000000001</v>
      </c>
    </row>
    <row r="190" spans="5:10" x14ac:dyDescent="0.25">
      <c r="E190" s="170">
        <f t="shared" si="933"/>
        <v>-0.90979986376944577</v>
      </c>
      <c r="F190" s="170">
        <f t="shared" si="933"/>
        <v>0.1745515543033147</v>
      </c>
      <c r="G190" s="170">
        <f t="shared" si="933"/>
        <v>-0.37655804701983842</v>
      </c>
      <c r="H190" s="139"/>
      <c r="I190" s="86"/>
      <c r="J190" s="79">
        <f t="shared" si="930"/>
        <v>4.1130000000000004</v>
      </c>
    </row>
    <row r="191" spans="5:10" x14ac:dyDescent="0.25">
      <c r="E191" s="170">
        <f t="shared" si="933"/>
        <v>-0.86859354860332472</v>
      </c>
      <c r="F191" s="170">
        <f t="shared" si="933"/>
        <v>0.33392922981172785</v>
      </c>
      <c r="G191" s="170">
        <f t="shared" si="933"/>
        <v>-0.36610997910741272</v>
      </c>
      <c r="H191" s="139"/>
      <c r="I191" s="86"/>
      <c r="J191" s="79">
        <f t="shared" si="930"/>
        <v>4.1189999999999998</v>
      </c>
    </row>
    <row r="192" spans="5:10" x14ac:dyDescent="0.25">
      <c r="E192" s="170">
        <f t="shared" si="933"/>
        <v>-0.82369866803336911</v>
      </c>
      <c r="F192" s="170">
        <f t="shared" si="933"/>
        <v>0.47814371023930341</v>
      </c>
      <c r="G192" s="170">
        <f t="shared" si="933"/>
        <v>-0.30479353116273139</v>
      </c>
      <c r="H192" s="139"/>
      <c r="I192" s="86"/>
      <c r="J192" s="79">
        <f t="shared" si="930"/>
        <v>4.125</v>
      </c>
    </row>
    <row r="193" spans="5:10" x14ac:dyDescent="0.25">
      <c r="E193" s="170">
        <f t="shared" si="933"/>
        <v>-0.78321909114488819</v>
      </c>
      <c r="F193" s="170">
        <f t="shared" si="933"/>
        <v>0.58657537401612436</v>
      </c>
      <c r="G193" s="170">
        <f t="shared" si="933"/>
        <v>-0.20614845588560521</v>
      </c>
      <c r="H193" s="139"/>
      <c r="I193" s="86"/>
      <c r="J193" s="79">
        <f t="shared" si="930"/>
        <v>4.1310000000000002</v>
      </c>
    </row>
    <row r="194" spans="5:10" x14ac:dyDescent="0.25">
      <c r="E194" s="170">
        <f t="shared" ref="E194:G213" si="934">E49*-1</f>
        <v>-0.74430124327641134</v>
      </c>
      <c r="F194" s="170">
        <f t="shared" si="934"/>
        <v>0.66063722404821601</v>
      </c>
      <c r="G194" s="170">
        <f t="shared" si="934"/>
        <v>-9.7847419276422154E-2</v>
      </c>
      <c r="H194" s="139"/>
      <c r="I194" s="86"/>
      <c r="J194" s="79">
        <f t="shared" si="930"/>
        <v>4.1369999999999996</v>
      </c>
    </row>
    <row r="195" spans="5:10" x14ac:dyDescent="0.25">
      <c r="E195" s="170">
        <f t="shared" si="934"/>
        <v>-0.59482253050359091</v>
      </c>
      <c r="F195" s="170">
        <f t="shared" si="934"/>
        <v>0.80385705023050191</v>
      </c>
      <c r="G195" s="170">
        <f t="shared" si="934"/>
        <v>-1.4578093252482251E-7</v>
      </c>
      <c r="H195" s="139"/>
      <c r="I195" s="86"/>
      <c r="J195" s="79">
        <f t="shared" si="930"/>
        <v>4.1429999999999998</v>
      </c>
    </row>
    <row r="196" spans="5:10" x14ac:dyDescent="0.25">
      <c r="E196" s="170">
        <f t="shared" si="934"/>
        <v>-0.81575944382389687</v>
      </c>
      <c r="F196" s="170">
        <f t="shared" si="934"/>
        <v>0.53462500862832185</v>
      </c>
      <c r="G196" s="170">
        <f t="shared" si="934"/>
        <v>-0.22070937896087089</v>
      </c>
      <c r="H196" s="139"/>
      <c r="I196" s="86"/>
      <c r="J196" s="79">
        <f t="shared" si="930"/>
        <v>4.2160000000000002</v>
      </c>
    </row>
    <row r="197" spans="5:10" x14ac:dyDescent="0.25">
      <c r="E197" s="170">
        <f t="shared" si="934"/>
        <v>-0.78971516668337349</v>
      </c>
      <c r="F197" s="170">
        <f t="shared" si="934"/>
        <v>0.58239036260524069</v>
      </c>
      <c r="G197" s="170">
        <f t="shared" si="934"/>
        <v>-0.19279891352076636</v>
      </c>
      <c r="H197" s="139"/>
      <c r="I197" s="86"/>
      <c r="J197" s="79">
        <f t="shared" si="930"/>
        <v>4.2220000000000004</v>
      </c>
    </row>
    <row r="198" spans="5:10" x14ac:dyDescent="0.25">
      <c r="E198" s="170">
        <f t="shared" si="934"/>
        <v>-0.75890817761267437</v>
      </c>
      <c r="F198" s="170">
        <f t="shared" si="934"/>
        <v>0.63814140642713502</v>
      </c>
      <c r="G198" s="170">
        <f t="shared" si="934"/>
        <v>-0.12974561016006592</v>
      </c>
      <c r="H198" s="139"/>
      <c r="I198" s="86"/>
      <c r="J198" s="79">
        <f t="shared" si="930"/>
        <v>4.2279999999999998</v>
      </c>
    </row>
    <row r="199" spans="5:10" x14ac:dyDescent="0.25">
      <c r="E199" s="170">
        <f t="shared" si="934"/>
        <v>-0.7345126658274862</v>
      </c>
      <c r="F199" s="170">
        <f t="shared" si="934"/>
        <v>0.67697170300607346</v>
      </c>
      <c r="G199" s="170">
        <f t="shared" si="934"/>
        <v>-4.6909029707044893E-2</v>
      </c>
      <c r="H199" s="139"/>
      <c r="I199" s="86"/>
      <c r="J199" s="79">
        <f t="shared" si="930"/>
        <v>4.234</v>
      </c>
    </row>
    <row r="200" spans="5:10" x14ac:dyDescent="0.25">
      <c r="E200" s="170">
        <f t="shared" si="934"/>
        <v>-0.47735857875335574</v>
      </c>
      <c r="F200" s="170">
        <f t="shared" si="934"/>
        <v>0.81424017475268085</v>
      </c>
      <c r="G200" s="170">
        <f t="shared" si="934"/>
        <v>-0.33036604714967338</v>
      </c>
      <c r="H200" s="139"/>
      <c r="I200" s="86"/>
      <c r="J200" s="79">
        <f t="shared" si="930"/>
        <v>5.1020000000000003</v>
      </c>
    </row>
    <row r="201" spans="5:10" x14ac:dyDescent="0.25">
      <c r="E201" s="170">
        <f t="shared" si="934"/>
        <v>-0.47735857875335563</v>
      </c>
      <c r="F201" s="170">
        <f t="shared" si="934"/>
        <v>0.81424017475268085</v>
      </c>
      <c r="G201" s="170">
        <f t="shared" si="934"/>
        <v>-0.33036604714967338</v>
      </c>
      <c r="H201" s="139"/>
      <c r="I201" s="86"/>
      <c r="J201" s="79">
        <f t="shared" si="930"/>
        <v>5.1050000000000004</v>
      </c>
    </row>
    <row r="202" spans="5:10" x14ac:dyDescent="0.25">
      <c r="E202" s="170">
        <f t="shared" si="934"/>
        <v>-0.47735857875335597</v>
      </c>
      <c r="F202" s="170">
        <f t="shared" si="934"/>
        <v>0.81424017475268073</v>
      </c>
      <c r="G202" s="170">
        <f t="shared" si="934"/>
        <v>-0.33036604714967333</v>
      </c>
      <c r="H202" s="139"/>
      <c r="I202" s="86"/>
      <c r="J202" s="79">
        <f t="shared" si="930"/>
        <v>5.1079999999999997</v>
      </c>
    </row>
    <row r="203" spans="5:10" x14ac:dyDescent="0.25">
      <c r="E203" s="170">
        <f t="shared" si="934"/>
        <v>-0.40039002693492087</v>
      </c>
      <c r="F203" s="170">
        <f t="shared" si="934"/>
        <v>0.84281619102696392</v>
      </c>
      <c r="G203" s="170">
        <f t="shared" si="934"/>
        <v>-0.35965079518034371</v>
      </c>
      <c r="H203" s="139"/>
      <c r="I203" s="86"/>
      <c r="J203" s="79">
        <f t="shared" si="930"/>
        <v>5.1120000000000001</v>
      </c>
    </row>
    <row r="204" spans="5:10" x14ac:dyDescent="0.25">
      <c r="E204" s="170">
        <f t="shared" si="934"/>
        <v>-0.24929624196803768</v>
      </c>
      <c r="F204" s="170">
        <f t="shared" si="934"/>
        <v>0.89321814322401782</v>
      </c>
      <c r="G204" s="170">
        <f t="shared" si="934"/>
        <v>-0.37418275261702211</v>
      </c>
      <c r="H204" s="139"/>
      <c r="I204" s="86"/>
      <c r="J204" s="79">
        <f t="shared" si="930"/>
        <v>5.1180000000000003</v>
      </c>
    </row>
    <row r="205" spans="5:10" x14ac:dyDescent="0.25">
      <c r="E205" s="170">
        <f t="shared" si="934"/>
        <v>-0.10159022449883662</v>
      </c>
      <c r="F205" s="170">
        <f t="shared" si="934"/>
        <v>0.94179959944640002</v>
      </c>
      <c r="G205" s="170">
        <f t="shared" si="934"/>
        <v>-0.3204573930632223</v>
      </c>
      <c r="H205" s="139"/>
      <c r="I205" s="86"/>
      <c r="J205" s="79">
        <f t="shared" si="930"/>
        <v>5.1239999999999997</v>
      </c>
    </row>
    <row r="206" spans="5:10" x14ac:dyDescent="0.25">
      <c r="E206" s="170">
        <f t="shared" si="934"/>
        <v>1.7395435790197939E-2</v>
      </c>
      <c r="F206" s="170">
        <f t="shared" si="934"/>
        <v>0.97386242168077808</v>
      </c>
      <c r="G206" s="170">
        <f t="shared" si="934"/>
        <v>-0.22647159303479911</v>
      </c>
      <c r="H206" s="139"/>
      <c r="I206" s="86"/>
      <c r="J206" s="79">
        <f t="shared" si="930"/>
        <v>5.13</v>
      </c>
    </row>
    <row r="207" spans="5:10" x14ac:dyDescent="0.25">
      <c r="E207" s="170">
        <f t="shared" si="934"/>
        <v>9.3707766446150531E-2</v>
      </c>
      <c r="F207" s="170">
        <f t="shared" si="934"/>
        <v>0.98940413389964554</v>
      </c>
      <c r="G207" s="170">
        <f t="shared" si="934"/>
        <v>-0.11089776521628342</v>
      </c>
      <c r="H207" s="139"/>
      <c r="I207" s="86"/>
      <c r="J207" s="79">
        <f t="shared" si="930"/>
        <v>5.1360000000000001</v>
      </c>
    </row>
    <row r="208" spans="5:10" x14ac:dyDescent="0.25">
      <c r="E208" s="170">
        <f t="shared" si="934"/>
        <v>0.17209769040539113</v>
      </c>
      <c r="F208" s="170">
        <f t="shared" si="934"/>
        <v>0.98450898680948129</v>
      </c>
      <c r="G208" s="170">
        <f t="shared" si="934"/>
        <v>-3.3532668377253563E-2</v>
      </c>
      <c r="H208" s="139"/>
      <c r="I208" s="86"/>
      <c r="J208" s="79">
        <f t="shared" si="930"/>
        <v>5.1420000000000003</v>
      </c>
    </row>
    <row r="209" spans="5:10" x14ac:dyDescent="0.25">
      <c r="E209" s="170">
        <f t="shared" si="934"/>
        <v>0.31730482727018311</v>
      </c>
      <c r="F209" s="170">
        <f t="shared" si="934"/>
        <v>0.94832359803551136</v>
      </c>
      <c r="G209" s="170">
        <f t="shared" si="934"/>
        <v>-1.4578093266760275E-7</v>
      </c>
      <c r="H209" s="139"/>
      <c r="I209" s="86"/>
      <c r="J209" s="79">
        <f t="shared" si="930"/>
        <v>5.1479999999999997</v>
      </c>
    </row>
    <row r="210" spans="5:10" x14ac:dyDescent="0.25">
      <c r="E210" s="170">
        <f t="shared" si="934"/>
        <v>-3.6880416004798862E-2</v>
      </c>
      <c r="F210" s="170">
        <f t="shared" si="934"/>
        <v>0.97376465624767083</v>
      </c>
      <c r="G210" s="170">
        <f t="shared" si="934"/>
        <v>-0.2245489460188323</v>
      </c>
      <c r="H210" s="139"/>
      <c r="I210" s="86"/>
      <c r="J210" s="79">
        <f t="shared" si="930"/>
        <v>5.2149999999999999</v>
      </c>
    </row>
    <row r="211" spans="5:10" x14ac:dyDescent="0.25">
      <c r="E211" s="170">
        <f t="shared" si="934"/>
        <v>1.4538062324029372E-2</v>
      </c>
      <c r="F211" s="170">
        <f t="shared" si="934"/>
        <v>0.97908979092050108</v>
      </c>
      <c r="G211" s="170">
        <f t="shared" si="934"/>
        <v>-0.20290841791091888</v>
      </c>
      <c r="H211" s="139"/>
      <c r="I211" s="86"/>
      <c r="J211" s="79">
        <f t="shared" si="930"/>
        <v>5.2210000000000001</v>
      </c>
    </row>
    <row r="212" spans="5:10" x14ac:dyDescent="0.25">
      <c r="E212" s="170">
        <f t="shared" si="934"/>
        <v>7.9258266485860582E-2</v>
      </c>
      <c r="F212" s="170">
        <f t="shared" si="934"/>
        <v>0.98632164930680422</v>
      </c>
      <c r="G212" s="170">
        <f t="shared" si="934"/>
        <v>-0.14452588454101159</v>
      </c>
      <c r="H212" s="139"/>
      <c r="I212" s="86"/>
      <c r="J212" s="79">
        <f t="shared" si="930"/>
        <v>5.2270000000000003</v>
      </c>
    </row>
    <row r="213" spans="5:10" x14ac:dyDescent="0.25">
      <c r="E213" s="170">
        <f t="shared" si="934"/>
        <v>0.12961470685551074</v>
      </c>
      <c r="F213" s="170">
        <f t="shared" si="934"/>
        <v>0.98953492058036663</v>
      </c>
      <c r="G213" s="170">
        <f t="shared" si="934"/>
        <v>-6.3408743235988094E-2</v>
      </c>
      <c r="H213" s="139"/>
      <c r="I213" s="86"/>
      <c r="J213" s="79">
        <f t="shared" si="930"/>
        <v>5.2329999999999997</v>
      </c>
    </row>
    <row r="214" spans="5:10" x14ac:dyDescent="0.25">
      <c r="E214" s="170">
        <f t="shared" ref="E214:G233" si="935">E69*-1</f>
        <v>0.50153091536005545</v>
      </c>
      <c r="F214" s="170">
        <f t="shared" si="935"/>
        <v>0.78823952745467885</v>
      </c>
      <c r="G214" s="170">
        <f t="shared" si="935"/>
        <v>-0.35657423952962397</v>
      </c>
      <c r="H214" s="139"/>
      <c r="I214" s="86"/>
      <c r="J214" s="79">
        <f t="shared" si="930"/>
        <v>6.1109999999999998</v>
      </c>
    </row>
    <row r="215" spans="5:10" x14ac:dyDescent="0.25">
      <c r="E215" s="170">
        <f t="shared" si="935"/>
        <v>0.62761052374768844</v>
      </c>
      <c r="F215" s="170">
        <f t="shared" si="935"/>
        <v>0.67902378034676814</v>
      </c>
      <c r="G215" s="170">
        <f t="shared" si="935"/>
        <v>-0.38083032469163541</v>
      </c>
      <c r="H215" s="139"/>
      <c r="I215" s="86"/>
      <c r="J215" s="79">
        <f t="shared" si="930"/>
        <v>6.117</v>
      </c>
    </row>
    <row r="216" spans="5:10" x14ac:dyDescent="0.25">
      <c r="E216" s="170">
        <f t="shared" si="935"/>
        <v>0.74723687614555379</v>
      </c>
      <c r="F216" s="170">
        <f t="shared" si="935"/>
        <v>0.57389939593492878</v>
      </c>
      <c r="G216" s="170">
        <f t="shared" si="935"/>
        <v>-0.33507690799838519</v>
      </c>
      <c r="H216" s="139"/>
      <c r="I216" s="86"/>
      <c r="J216" s="79">
        <f t="shared" si="930"/>
        <v>6.1230000000000002</v>
      </c>
    </row>
    <row r="217" spans="5:10" x14ac:dyDescent="0.25">
      <c r="E217" s="170">
        <f t="shared" si="935"/>
        <v>0.84042573719328861</v>
      </c>
      <c r="F217" s="170">
        <f t="shared" si="935"/>
        <v>0.48271297309926675</v>
      </c>
      <c r="G217" s="170">
        <f t="shared" si="935"/>
        <v>-0.24631842372178359</v>
      </c>
      <c r="H217" s="139"/>
      <c r="I217" s="86"/>
      <c r="J217" s="79">
        <f t="shared" si="930"/>
        <v>6.1289999999999996</v>
      </c>
    </row>
    <row r="218" spans="5:10" x14ac:dyDescent="0.25">
      <c r="E218" s="170">
        <f t="shared" si="935"/>
        <v>0.89832273251346262</v>
      </c>
      <c r="F218" s="170">
        <f t="shared" si="935"/>
        <v>0.41883351865364427</v>
      </c>
      <c r="G218" s="170">
        <f t="shared" si="935"/>
        <v>-0.132645210625011</v>
      </c>
      <c r="H218" s="139"/>
      <c r="I218" s="86"/>
      <c r="J218" s="79">
        <f t="shared" si="930"/>
        <v>6.1349999999999998</v>
      </c>
    </row>
    <row r="219" spans="5:10" x14ac:dyDescent="0.25">
      <c r="E219" s="170">
        <f t="shared" si="935"/>
        <v>0.93321028945174922</v>
      </c>
      <c r="F219" s="170">
        <f t="shared" si="935"/>
        <v>0.35828805316829715</v>
      </c>
      <c r="G219" s="170">
        <f t="shared" si="935"/>
        <v>-2.7353731340605699E-2</v>
      </c>
      <c r="H219" s="139"/>
      <c r="I219" s="86"/>
      <c r="J219" s="79">
        <f t="shared" ref="J219:J282" si="936">J74</f>
        <v>6.141</v>
      </c>
    </row>
    <row r="220" spans="5:10" x14ac:dyDescent="0.25">
      <c r="E220" s="170">
        <f t="shared" si="935"/>
        <v>0.97992471039836904</v>
      </c>
      <c r="F220" s="170">
        <f t="shared" si="935"/>
        <v>0.19936790601962845</v>
      </c>
      <c r="G220" s="170">
        <f t="shared" si="935"/>
        <v>-1.4578093278810634E-7</v>
      </c>
      <c r="H220" s="139"/>
      <c r="I220" s="86"/>
      <c r="J220" s="79">
        <f t="shared" si="936"/>
        <v>6.1470000000000002</v>
      </c>
    </row>
    <row r="221" spans="5:10" x14ac:dyDescent="0.25">
      <c r="E221" s="170">
        <f t="shared" si="935"/>
        <v>0.84891041448516402</v>
      </c>
      <c r="F221" s="170">
        <f t="shared" si="935"/>
        <v>0.48414858905266933</v>
      </c>
      <c r="G221" s="170">
        <f t="shared" si="935"/>
        <v>-0.2120171028406358</v>
      </c>
      <c r="H221" s="139"/>
      <c r="I221" s="86"/>
      <c r="J221" s="79">
        <f t="shared" si="936"/>
        <v>6.22</v>
      </c>
    </row>
    <row r="222" spans="5:10" x14ac:dyDescent="0.25">
      <c r="E222" s="170">
        <f t="shared" si="935"/>
        <v>0.88808353314761257</v>
      </c>
      <c r="F222" s="170">
        <f t="shared" si="935"/>
        <v>0.4313895133221764</v>
      </c>
      <c r="G222" s="170">
        <f t="shared" si="935"/>
        <v>-0.15877885862957081</v>
      </c>
      <c r="H222" s="139"/>
      <c r="I222" s="86"/>
      <c r="J222" s="79">
        <f t="shared" si="936"/>
        <v>6.226</v>
      </c>
    </row>
    <row r="223" spans="5:10" x14ac:dyDescent="0.25">
      <c r="E223" s="170">
        <f t="shared" si="935"/>
        <v>0.91906129184220564</v>
      </c>
      <c r="F223" s="170">
        <f t="shared" si="935"/>
        <v>0.38604094009845413</v>
      </c>
      <c r="G223" s="170">
        <f t="shared" si="935"/>
        <v>-7.9364566433881012E-2</v>
      </c>
      <c r="H223" s="139"/>
      <c r="I223" s="86"/>
      <c r="J223" s="79">
        <f t="shared" si="936"/>
        <v>6.2320000000000002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0" priority="135" stopIfTrue="1" operator="between">
      <formula>9</formula>
      <formula>9.99</formula>
    </cfRule>
    <cfRule type="cellIs" dxfId="39" priority="136" stopIfTrue="1" operator="between">
      <formula>8</formula>
      <formula>8.99</formula>
    </cfRule>
    <cfRule type="cellIs" dxfId="38" priority="137" stopIfTrue="1" operator="between">
      <formula>7</formula>
      <formula>7.99</formula>
    </cfRule>
    <cfRule type="cellIs" dxfId="37" priority="138" stopIfTrue="1" operator="between">
      <formula>6</formula>
      <formula>6.99</formula>
    </cfRule>
    <cfRule type="cellIs" dxfId="36" priority="139" stopIfTrue="1" operator="between">
      <formula>5</formula>
      <formula>5.99</formula>
    </cfRule>
    <cfRule type="cellIs" dxfId="35" priority="140" stopIfTrue="1" operator="between">
      <formula>4</formula>
      <formula>4.99</formula>
    </cfRule>
    <cfRule type="cellIs" dxfId="34" priority="141" stopIfTrue="1" operator="between">
      <formula>3</formula>
      <formula>3.99</formula>
    </cfRule>
    <cfRule type="cellIs" dxfId="33" priority="142" stopIfTrue="1" operator="between">
      <formula>2</formula>
      <formula>2.99</formula>
    </cfRule>
    <cfRule type="cellIs" dxfId="32" priority="143" stopIfTrue="1" operator="between">
      <formula>1</formula>
      <formula>1.99</formula>
    </cfRule>
  </conditionalFormatting>
  <conditionalFormatting sqref="HN9:HN40 HN54:HN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1" priority="21" stopIfTrue="1" operator="between">
      <formula>9</formula>
      <formula>9.99</formula>
    </cfRule>
    <cfRule type="cellIs" dxfId="30" priority="22" stopIfTrue="1" operator="between">
      <formula>8</formula>
      <formula>8.99</formula>
    </cfRule>
    <cfRule type="cellIs" dxfId="29" priority="23" stopIfTrue="1" operator="between">
      <formula>7</formula>
      <formula>7.99</formula>
    </cfRule>
    <cfRule type="cellIs" dxfId="28" priority="24" stopIfTrue="1" operator="between">
      <formula>6</formula>
      <formula>6.99</formula>
    </cfRule>
    <cfRule type="cellIs" dxfId="27" priority="25" stopIfTrue="1" operator="between">
      <formula>5</formula>
      <formula>5.99</formula>
    </cfRule>
    <cfRule type="cellIs" dxfId="26" priority="26" stopIfTrue="1" operator="between">
      <formula>4</formula>
      <formula>4.99</formula>
    </cfRule>
    <cfRule type="cellIs" dxfId="25" priority="27" stopIfTrue="1" operator="between">
      <formula>3</formula>
      <formula>3.99</formula>
    </cfRule>
    <cfRule type="cellIs" dxfId="24" priority="28" stopIfTrue="1" operator="between">
      <formula>2</formula>
      <formula>2.99</formula>
    </cfRule>
    <cfRule type="cellIs" dxfId="23" priority="29" stopIfTrue="1" operator="between">
      <formula>1</formula>
      <formula>1.99</formula>
    </cfRule>
  </conditionalFormatting>
  <conditionalFormatting sqref="HN41:HN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22" priority="1" operator="equal">
      <formula>"Wrong CS"</formula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4" t="str">
        <f>CONCATENATE(Settings!$C$19," ",Settings!$B$28)</f>
        <v>9.875  Job# --- Assy# --- Post Braze --- yy.mm.dd</v>
      </c>
      <c r="D1" s="994"/>
      <c r="E1" s="994"/>
      <c r="F1" s="994"/>
      <c r="G1" s="994"/>
      <c r="H1" s="994"/>
      <c r="I1" s="994"/>
      <c r="J1" s="994"/>
      <c r="K1" s="994"/>
      <c r="M1" s="107" t="s">
        <v>319</v>
      </c>
      <c r="N1" s="1311" t="s">
        <v>321</v>
      </c>
      <c r="O1" s="1311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7" t="str">
        <f>Settings!B28</f>
        <v xml:space="preserve"> Job# --- Assy# --- Post Braze --- yy.mm.dd</v>
      </c>
      <c r="C2" s="1308"/>
      <c r="D2" s="1308"/>
      <c r="E2" s="1308"/>
      <c r="F2" s="1308"/>
      <c r="G2" s="1308"/>
      <c r="H2" s="1308"/>
      <c r="I2" s="1308"/>
      <c r="J2" s="1308"/>
      <c r="K2" s="1309"/>
      <c r="L2" s="993" t="str" cm="1">
        <f t="array" ref="L2">IF(OR($K$9:$K$150="Undefined"),"Undefined Element","")</f>
        <v/>
      </c>
      <c r="M2" s="1304" t="s">
        <v>0</v>
      </c>
      <c r="N2" s="1054" t="s">
        <v>1</v>
      </c>
      <c r="O2" s="1055"/>
      <c r="P2" s="1055"/>
      <c r="Q2" s="1055"/>
      <c r="R2" s="1055"/>
      <c r="S2" s="1055"/>
      <c r="T2" s="1055"/>
      <c r="U2" s="1055"/>
      <c r="V2" s="1055"/>
      <c r="W2" s="1055"/>
      <c r="X2" s="1055"/>
      <c r="Y2" s="1056"/>
      <c r="Z2" s="1054" t="s">
        <v>2</v>
      </c>
      <c r="AA2" s="1055"/>
      <c r="AB2" s="1055"/>
      <c r="AC2" s="1055"/>
      <c r="AD2" s="1055"/>
      <c r="AE2" s="1055"/>
      <c r="AF2" s="1055"/>
      <c r="AG2" s="1055"/>
      <c r="AH2" s="1055"/>
      <c r="AI2" s="1055"/>
      <c r="AJ2" s="1055"/>
      <c r="AK2" s="1055"/>
      <c r="AL2" s="1055"/>
      <c r="AM2" s="1055"/>
      <c r="AN2" s="1055"/>
      <c r="AO2" s="1055"/>
      <c r="AP2" s="1055"/>
      <c r="AQ2" s="1080"/>
      <c r="AS2" s="1062" t="s">
        <v>44</v>
      </c>
      <c r="AT2" s="1063"/>
      <c r="AV2" s="1301" t="str">
        <f>M2</f>
        <v>CS-Name</v>
      </c>
      <c r="AW2" s="1280"/>
      <c r="AX2" s="1280"/>
      <c r="AY2" s="1280"/>
      <c r="AZ2" s="1280"/>
      <c r="BA2" s="1280"/>
      <c r="BB2" s="1280"/>
      <c r="BC2" s="1281"/>
      <c r="BF2" s="1273" t="s">
        <v>322</v>
      </c>
      <c r="BG2" s="1274"/>
      <c r="BH2" s="1274"/>
      <c r="BI2" s="1274"/>
      <c r="BJ2" s="1274"/>
      <c r="BK2" s="1275"/>
      <c r="BM2" s="1263" t="s">
        <v>279</v>
      </c>
      <c r="BN2" s="985"/>
      <c r="BO2" s="985"/>
      <c r="BP2" s="986"/>
      <c r="BR2" s="1263" t="s">
        <v>279</v>
      </c>
      <c r="BS2" s="985"/>
      <c r="BT2" s="985"/>
      <c r="BU2" s="986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000"/>
      <c r="C3" s="1001"/>
      <c r="D3" s="1001"/>
      <c r="E3" s="1001"/>
      <c r="F3" s="1001"/>
      <c r="G3" s="1001"/>
      <c r="H3" s="1001"/>
      <c r="I3" s="1001"/>
      <c r="J3" s="1001"/>
      <c r="K3" s="1002"/>
      <c r="L3" s="993"/>
      <c r="M3" s="1305"/>
      <c r="N3" s="1057"/>
      <c r="O3" s="1058"/>
      <c r="P3" s="1058"/>
      <c r="Q3" s="1058"/>
      <c r="R3" s="1058"/>
      <c r="S3" s="1058"/>
      <c r="T3" s="1058"/>
      <c r="U3" s="1058"/>
      <c r="V3" s="1058"/>
      <c r="W3" s="1058"/>
      <c r="X3" s="1058"/>
      <c r="Y3" s="1059"/>
      <c r="Z3" s="1102"/>
      <c r="AA3" s="1088"/>
      <c r="AB3" s="1088"/>
      <c r="AC3" s="1088"/>
      <c r="AD3" s="1088"/>
      <c r="AE3" s="1088"/>
      <c r="AF3" s="1088"/>
      <c r="AG3" s="1088"/>
      <c r="AH3" s="1088"/>
      <c r="AI3" s="1088"/>
      <c r="AJ3" s="1088"/>
      <c r="AK3" s="1088"/>
      <c r="AL3" s="1088"/>
      <c r="AM3" s="1088"/>
      <c r="AN3" s="1088"/>
      <c r="AO3" s="1088"/>
      <c r="AP3" s="1088"/>
      <c r="AQ3" s="1103"/>
      <c r="AS3" s="466">
        <v>100</v>
      </c>
      <c r="AT3" s="463" t="s">
        <v>45</v>
      </c>
      <c r="AV3" s="1302"/>
      <c r="AW3" s="1282"/>
      <c r="AX3" s="1282"/>
      <c r="AY3" s="1282"/>
      <c r="AZ3" s="1282"/>
      <c r="BA3" s="1282"/>
      <c r="BB3" s="1282"/>
      <c r="BC3" s="1283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101" t="s">
        <v>316</v>
      </c>
      <c r="C4" s="875"/>
      <c r="D4" s="875"/>
      <c r="E4" s="875"/>
      <c r="F4" s="875"/>
      <c r="G4" s="875"/>
      <c r="H4" s="875"/>
      <c r="I4" s="875"/>
      <c r="J4" s="875"/>
      <c r="K4" s="1310"/>
      <c r="L4" s="993"/>
      <c r="M4" s="1305"/>
      <c r="N4" s="1021" t="s">
        <v>3</v>
      </c>
      <c r="O4" s="1016"/>
      <c r="P4" s="1016"/>
      <c r="Q4" s="1015" t="s">
        <v>4</v>
      </c>
      <c r="R4" s="1016"/>
      <c r="S4" s="1037"/>
      <c r="T4" s="1031" t="str">
        <f>N4</f>
        <v>Cartesian Coordinates</v>
      </c>
      <c r="U4" s="998"/>
      <c r="V4" s="1032"/>
      <c r="W4" s="998" t="str">
        <f>Q4</f>
        <v>Polar XY; Cartesian Z</v>
      </c>
      <c r="X4" s="998"/>
      <c r="Y4" s="999"/>
      <c r="Z4" s="1312" t="s">
        <v>3</v>
      </c>
      <c r="AA4" s="1287"/>
      <c r="AB4" s="1287"/>
      <c r="AC4" s="1287"/>
      <c r="AD4" s="1287"/>
      <c r="AE4" s="1287"/>
      <c r="AF4" s="1287"/>
      <c r="AG4" s="1286" t="s">
        <v>31</v>
      </c>
      <c r="AH4" s="1287"/>
      <c r="AI4" s="1287"/>
      <c r="AJ4" s="1288"/>
      <c r="AK4" s="1266" t="s">
        <v>32</v>
      </c>
      <c r="AL4" s="1267"/>
      <c r="AM4" s="1267"/>
      <c r="AN4" s="1267"/>
      <c r="AO4" s="1267"/>
      <c r="AP4" s="1267"/>
      <c r="AQ4" s="1268"/>
      <c r="AS4" s="467">
        <v>125</v>
      </c>
      <c r="AT4" s="464" t="s">
        <v>46</v>
      </c>
      <c r="AV4" s="1302"/>
      <c r="AW4" s="1284"/>
      <c r="AX4" s="1284"/>
      <c r="AY4" s="1284"/>
      <c r="AZ4" s="1285"/>
      <c r="BA4" s="1284" t="str">
        <f>Z2</f>
        <v>PDC Orientation</v>
      </c>
      <c r="BB4" s="1284"/>
      <c r="BC4" s="1285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900" t="s">
        <v>381</v>
      </c>
      <c r="IF4" s="900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000" t="str">
        <f>CONCATENATE(B7," ; ",E7," ; ",H8)</f>
        <v>Absolute-Point ; Incremental-Vector Point ; Radius</v>
      </c>
      <c r="C5" s="1001"/>
      <c r="D5" s="1001"/>
      <c r="E5" s="1001"/>
      <c r="F5" s="1001"/>
      <c r="G5" s="1001"/>
      <c r="H5" s="1001"/>
      <c r="I5" s="1001"/>
      <c r="J5" s="1001"/>
      <c r="K5" s="1002"/>
      <c r="L5" s="843"/>
      <c r="M5" s="1305"/>
      <c r="N5" s="1042" t="s">
        <v>5</v>
      </c>
      <c r="O5" s="980"/>
      <c r="P5" s="980"/>
      <c r="Q5" s="979" t="s">
        <v>6</v>
      </c>
      <c r="R5" s="980"/>
      <c r="S5" s="981"/>
      <c r="T5" s="1047" t="str">
        <f>CONCATENATE("Relative to ",M8,"'s θ &amp; Z; Z Axis")</f>
        <v>Relative to 's θ &amp; Z; Z Axis</v>
      </c>
      <c r="U5" s="1023"/>
      <c r="V5" s="1074"/>
      <c r="W5" s="1023" t="str">
        <f>CONCATENATE("Relative to ",M8,"'s θ &amp; Z; Z Axis")</f>
        <v>Relative to 's θ &amp; Z; Z Axis</v>
      </c>
      <c r="X5" s="1023"/>
      <c r="Y5" s="1033"/>
      <c r="Z5" s="1022" t="str">
        <f>N5</f>
        <v>Relative to World_CS</v>
      </c>
      <c r="AA5" s="1023"/>
      <c r="AB5" s="1023"/>
      <c r="AC5" s="1023"/>
      <c r="AD5" s="1023"/>
      <c r="AE5" s="1023"/>
      <c r="AF5" s="1023"/>
      <c r="AG5" s="1047" t="str">
        <f>N5</f>
        <v>Relative to World_CS</v>
      </c>
      <c r="AH5" s="1023"/>
      <c r="AI5" s="1023"/>
      <c r="AJ5" s="1048"/>
      <c r="AK5" s="1085" t="s">
        <v>7</v>
      </c>
      <c r="AL5" s="980"/>
      <c r="AM5" s="980"/>
      <c r="AN5" s="980"/>
      <c r="AO5" s="980"/>
      <c r="AP5" s="980"/>
      <c r="AQ5" s="981"/>
      <c r="AS5" s="171">
        <f>(((AS4*12)/60)/AS3)</f>
        <v>0.25</v>
      </c>
      <c r="AT5" s="464" t="s">
        <v>47</v>
      </c>
      <c r="AV5" s="1302"/>
      <c r="AW5" s="1031" t="str">
        <f>W4</f>
        <v>Polar XY; Cartesian Z</v>
      </c>
      <c r="AX5" s="998"/>
      <c r="AY5" s="998"/>
      <c r="AZ5" s="1239" t="s">
        <v>104</v>
      </c>
      <c r="BA5" s="998" t="str">
        <f>AK4</f>
        <v>Polar Z Projection → XZ Plane</v>
      </c>
      <c r="BB5" s="998"/>
      <c r="BC5" s="110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3"/>
      <c r="C6" s="1004"/>
      <c r="D6" s="1004"/>
      <c r="E6" s="1004"/>
      <c r="F6" s="1004"/>
      <c r="G6" s="1004"/>
      <c r="H6" s="1004"/>
      <c r="I6" s="1004"/>
      <c r="J6" s="1004"/>
      <c r="K6" s="1005"/>
      <c r="L6" s="993" t="str" cm="1">
        <f t="array" ref="L6">IF(OR($K$9:$K$150="Inactive"),"Inactive Element","")</f>
        <v/>
      </c>
      <c r="M6" s="1305"/>
      <c r="N6" s="1038" t="s">
        <v>8</v>
      </c>
      <c r="O6" s="1040" t="s">
        <v>9</v>
      </c>
      <c r="P6" s="977" t="s">
        <v>10</v>
      </c>
      <c r="Q6" s="1043" t="s">
        <v>11</v>
      </c>
      <c r="R6" s="1044"/>
      <c r="S6" s="1034" t="s">
        <v>10</v>
      </c>
      <c r="T6" s="1070" t="str">
        <f>N6</f>
        <v>X</v>
      </c>
      <c r="U6" s="1072" t="str">
        <f>O6</f>
        <v>Y</v>
      </c>
      <c r="V6" s="1029" t="str">
        <f>P6</f>
        <v>Z</v>
      </c>
      <c r="W6" s="1019" t="str">
        <f>Q6</f>
        <v>Projected XY</v>
      </c>
      <c r="X6" s="1020"/>
      <c r="Y6" s="1068" t="str">
        <f>S6</f>
        <v>Z</v>
      </c>
      <c r="Z6" s="1050" t="s">
        <v>12</v>
      </c>
      <c r="AA6" s="1010"/>
      <c r="AB6" s="1010"/>
      <c r="AC6" s="1051"/>
      <c r="AD6" s="1015" t="s">
        <v>13</v>
      </c>
      <c r="AE6" s="1016"/>
      <c r="AF6" s="1016"/>
      <c r="AG6" s="1049" t="s">
        <v>7</v>
      </c>
      <c r="AH6" s="1016"/>
      <c r="AI6" s="1015" t="s">
        <v>14</v>
      </c>
      <c r="AJ6" s="1037"/>
      <c r="AK6" s="1031" t="str">
        <f>AD6</f>
        <v>Unit Vector</v>
      </c>
      <c r="AL6" s="998"/>
      <c r="AM6" s="1107"/>
      <c r="AN6" s="34" t="s">
        <v>15</v>
      </c>
      <c r="AO6" s="35" t="s">
        <v>16</v>
      </c>
      <c r="AP6" s="737" t="s">
        <v>17</v>
      </c>
      <c r="AQ6" s="1313" t="s">
        <v>108</v>
      </c>
      <c r="AS6" s="172">
        <f>(AS5/360)</f>
        <v>6.9444444444444447E-4</v>
      </c>
      <c r="AT6" s="465" t="s">
        <v>48</v>
      </c>
      <c r="AV6" s="1302"/>
      <c r="AW6" s="1047" t="str">
        <f>W5</f>
        <v>Relative to 's θ &amp; Z; Z Axis</v>
      </c>
      <c r="AX6" s="1023"/>
      <c r="AY6" s="1023"/>
      <c r="AZ6" s="1298"/>
      <c r="BA6" s="1023" t="str">
        <f>AK5</f>
        <v>Vector Along X Axis</v>
      </c>
      <c r="BB6" s="1023"/>
      <c r="BC6" s="1048"/>
      <c r="BD6" s="468"/>
      <c r="BF6" s="461">
        <f>SUM(AZ9:AZ150)</f>
        <v>0</v>
      </c>
      <c r="BG6" s="1291" t="s">
        <v>318</v>
      </c>
      <c r="BH6" s="1291"/>
      <c r="BI6" s="1291"/>
      <c r="BJ6" s="1291"/>
      <c r="BK6" s="1291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4" t="s">
        <v>40</v>
      </c>
      <c r="C7" s="1025"/>
      <c r="D7" s="1026"/>
      <c r="E7" s="1027" t="s">
        <v>41</v>
      </c>
      <c r="F7" s="1025"/>
      <c r="G7" s="1028"/>
      <c r="H7" s="898" t="s">
        <v>314</v>
      </c>
      <c r="I7" s="918"/>
      <c r="J7" s="899"/>
      <c r="K7" s="539"/>
      <c r="L7" s="993"/>
      <c r="M7" s="1306"/>
      <c r="N7" s="1039"/>
      <c r="O7" s="1041"/>
      <c r="P7" s="978"/>
      <c r="Q7" s="36" t="s">
        <v>18</v>
      </c>
      <c r="R7" s="2" t="s">
        <v>19</v>
      </c>
      <c r="S7" s="1035"/>
      <c r="T7" s="1071"/>
      <c r="U7" s="1073"/>
      <c r="V7" s="1030"/>
      <c r="W7" s="37" t="str">
        <f>Q7</f>
        <v>&lt; θ°</v>
      </c>
      <c r="X7" s="27" t="str">
        <f>R7</f>
        <v>r</v>
      </c>
      <c r="Y7" s="1069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4"/>
      <c r="AS7" s="1289" t="s">
        <v>54</v>
      </c>
      <c r="AT7" s="1264" t="s">
        <v>53</v>
      </c>
      <c r="AV7" s="1302"/>
      <c r="AW7" s="1297" t="str">
        <f>$W$6</f>
        <v>Projected XY</v>
      </c>
      <c r="AX7" s="1020"/>
      <c r="AY7" s="1299" t="str">
        <f>$Y$6</f>
        <v>Z</v>
      </c>
      <c r="AZ7" s="1298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91"/>
      <c r="BH7" s="1291"/>
      <c r="BI7" s="1291"/>
      <c r="BJ7" s="1291"/>
      <c r="BK7" s="1291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4" t="s">
        <v>33</v>
      </c>
      <c r="IH7" s="1231" t="s">
        <v>385</v>
      </c>
      <c r="II7" s="920" t="s">
        <v>333</v>
      </c>
      <c r="IJ7" s="921"/>
      <c r="IK7" s="921"/>
      <c r="IL7" s="918"/>
      <c r="IM7" s="918"/>
      <c r="IN7" s="918"/>
      <c r="IO7" s="899"/>
      <c r="IP7" s="898" t="s">
        <v>329</v>
      </c>
      <c r="IQ7" s="918"/>
      <c r="IR7" s="918"/>
      <c r="IS7" s="918"/>
      <c r="IT7" s="918"/>
      <c r="IU7" s="898" t="s">
        <v>328</v>
      </c>
      <c r="IV7" s="918"/>
      <c r="IW7" s="918"/>
      <c r="IX7" s="918"/>
      <c r="IY7" s="899"/>
      <c r="JA7" s="784"/>
      <c r="JB7" s="1262" t="s">
        <v>364</v>
      </c>
      <c r="JC7" s="982"/>
      <c r="JD7" s="982"/>
      <c r="JE7" s="983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3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90"/>
      <c r="AT8" s="1265"/>
      <c r="AV8" s="1303"/>
      <c r="AW8" s="46" t="str">
        <f>$W$7</f>
        <v>&lt; θ°</v>
      </c>
      <c r="AX8" s="27" t="str">
        <f>$X$7</f>
        <v>r</v>
      </c>
      <c r="AY8" s="1300"/>
      <c r="AZ8" s="1240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3"/>
      <c r="IH8" s="1232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4" t="s">
        <v>365</v>
      </c>
      <c r="JC19" s="985"/>
      <c r="JD19" s="985"/>
      <c r="JE19" s="985"/>
      <c r="JF19" s="985"/>
      <c r="JG19" s="985"/>
      <c r="JH19" s="985"/>
      <c r="JI19" s="986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7" t="s">
        <v>369</v>
      </c>
      <c r="JC20" s="988"/>
      <c r="JD20" s="988"/>
      <c r="JE20" s="988"/>
      <c r="JF20" s="1234" t="s">
        <v>370</v>
      </c>
      <c r="JG20" s="1235"/>
      <c r="JH20" s="1235"/>
      <c r="JI20" s="1236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9"/>
      <c r="JC21" s="990"/>
      <c r="JD21" s="990"/>
      <c r="JE21" s="990"/>
      <c r="JF21" s="1237" t="s">
        <v>358</v>
      </c>
      <c r="JG21" s="1238"/>
      <c r="JH21" s="991" t="s">
        <v>371</v>
      </c>
      <c r="JI21" s="992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5" t="str">
        <f>$W$6</f>
        <v>Projected XY</v>
      </c>
      <c r="AX152" s="1296"/>
      <c r="AY152" s="1278" t="str">
        <f>$Y$6</f>
        <v>Z</v>
      </c>
      <c r="AZ152" s="1276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9"/>
      <c r="AZ153" s="1277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6" t="s">
        <v>42</v>
      </c>
      <c r="C157" s="1007"/>
      <c r="D157" s="1007"/>
      <c r="E157" s="1007"/>
      <c r="F157" s="1007"/>
      <c r="G157" s="1007"/>
      <c r="H157" s="1007"/>
      <c r="I157" s="1007"/>
      <c r="J157" s="1007"/>
      <c r="K157" s="1008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9"/>
      <c r="C158" s="1010"/>
      <c r="D158" s="1010"/>
      <c r="E158" s="1010"/>
      <c r="F158" s="1010"/>
      <c r="G158" s="1010"/>
      <c r="H158" s="1010"/>
      <c r="I158" s="1010"/>
      <c r="J158" s="1010"/>
      <c r="K158" s="1011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2"/>
      <c r="C159" s="1013"/>
      <c r="D159" s="1013"/>
      <c r="E159" s="1013"/>
      <c r="F159" s="1013"/>
      <c r="G159" s="1013"/>
      <c r="H159" s="1013"/>
      <c r="I159" s="1013"/>
      <c r="J159" s="1013"/>
      <c r="K159" s="1014"/>
      <c r="AQ159" s="166"/>
      <c r="BD159" s="468"/>
    </row>
    <row r="160" spans="1:259" ht="15" customHeight="1" x14ac:dyDescent="0.25">
      <c r="B160" s="1000" t="str">
        <f>CONCATENATE(B162," ; ",E162," ; ",H163)</f>
        <v>Absolute-Point ; Incremental-Vector Point ; Radius</v>
      </c>
      <c r="C160" s="1001"/>
      <c r="D160" s="1001"/>
      <c r="E160" s="1001"/>
      <c r="F160" s="1001"/>
      <c r="G160" s="1001"/>
      <c r="H160" s="1001"/>
      <c r="I160" s="1001"/>
      <c r="J160" s="1001"/>
      <c r="K160" s="1002"/>
      <c r="AQ160" s="166"/>
      <c r="BD160" s="468"/>
    </row>
    <row r="161" spans="2:56" ht="15" customHeight="1" x14ac:dyDescent="0.25">
      <c r="B161" s="1003"/>
      <c r="C161" s="1004"/>
      <c r="D161" s="1004"/>
      <c r="E161" s="1004"/>
      <c r="F161" s="1004"/>
      <c r="G161" s="1004"/>
      <c r="H161" s="1004"/>
      <c r="I161" s="1004"/>
      <c r="J161" s="1004"/>
      <c r="K161" s="1005"/>
      <c r="AQ161" s="166"/>
      <c r="BD161" s="468"/>
    </row>
    <row r="162" spans="2:56" ht="15" customHeight="1" x14ac:dyDescent="0.25">
      <c r="B162" s="1024" t="s">
        <v>40</v>
      </c>
      <c r="C162" s="1025"/>
      <c r="D162" s="1026"/>
      <c r="E162" s="1027" t="s">
        <v>41</v>
      </c>
      <c r="F162" s="1025"/>
      <c r="G162" s="1028"/>
      <c r="H162" s="898" t="s">
        <v>314</v>
      </c>
      <c r="I162" s="918"/>
      <c r="J162" s="899"/>
      <c r="K162" s="539"/>
      <c r="M162" s="1193" t="s">
        <v>313</v>
      </c>
      <c r="N162" s="1292"/>
      <c r="O162" s="1269" t="s">
        <v>292</v>
      </c>
      <c r="P162" s="1270"/>
      <c r="Q162" s="1271"/>
      <c r="R162" s="1272" t="s">
        <v>41</v>
      </c>
      <c r="S162" s="1270"/>
      <c r="T162" s="1271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3"/>
      <c r="N163" s="1294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1313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1313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1313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1.1160000000000001</v>
      </c>
      <c r="N168" s="869">
        <f>Assy.Model!K13</f>
        <v>1313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1.1220000000000001</v>
      </c>
      <c r="N169" s="869">
        <f>Assy.Model!K14</f>
        <v>1313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1.1279999999999999</v>
      </c>
      <c r="N170" s="869">
        <f>Assy.Model!K15</f>
        <v>1313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1.1339999999999999</v>
      </c>
      <c r="N171" s="869">
        <f>Assy.Model!K16</f>
        <v>1313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1.1399999999999999</v>
      </c>
      <c r="N172" s="869">
        <f>Assy.Model!K17</f>
        <v>1313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1.1459999999999999</v>
      </c>
      <c r="N173" s="869">
        <f>Assy.Model!K18</f>
        <v>1313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1.2130000000000001</v>
      </c>
      <c r="N174" s="869">
        <f>Assy.Model!K19</f>
        <v>1313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1.2190000000000001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1.2250000000000001</v>
      </c>
      <c r="N176" s="869">
        <f>Assy.Model!K21</f>
        <v>1313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1.2310000000000001</v>
      </c>
      <c r="N177" s="869">
        <f>Assy.Model!K22</f>
        <v>1313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2.1150000000000002</v>
      </c>
      <c r="N178" s="869">
        <f>Assy.Model!K23</f>
        <v>1313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2.121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2.1269999999999998</v>
      </c>
      <c r="N180" s="869">
        <f>Assy.Model!K25</f>
        <v>1313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2.133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2.1389999999999998</v>
      </c>
      <c r="N182" s="869">
        <f>Assy.Model!K27</f>
        <v>1313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2.145</v>
      </c>
      <c r="N183" s="869">
        <f>Assy.Model!K28</f>
        <v>1313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2.218</v>
      </c>
      <c r="N184" s="869">
        <f>Assy.Model!K29</f>
        <v>1313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2.2240000000000002</v>
      </c>
      <c r="N185" s="869">
        <f>Assy.Model!K30</f>
        <v>1313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2.23</v>
      </c>
      <c r="N186" s="869">
        <f>Assy.Model!K31</f>
        <v>1313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3.1030000000000002</v>
      </c>
      <c r="N187" s="869">
        <f>Assy.Model!K32</f>
        <v>1313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3.1059999999999999</v>
      </c>
      <c r="N188" s="869">
        <f>Assy.Model!K33</f>
        <v>1313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3.109</v>
      </c>
      <c r="N189" s="869">
        <f>Assy.Model!K34</f>
        <v>1313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3.1139999999999999</v>
      </c>
      <c r="N190" s="869">
        <f>Assy.Model!K35</f>
        <v>1313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3.12</v>
      </c>
      <c r="N191" s="869">
        <f>Assy.Model!K36</f>
        <v>1313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3.1259999999999999</v>
      </c>
      <c r="N192" s="869">
        <f>Assy.Model!K37</f>
        <v>1313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3.1320000000000001</v>
      </c>
      <c r="N193" s="869">
        <f>Assy.Model!K38</f>
        <v>1313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3.1379999999999999</v>
      </c>
      <c r="N194" s="869">
        <f>Assy.Model!K39</f>
        <v>1313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3.1440000000000001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3.2109999999999999</v>
      </c>
      <c r="N196" s="869">
        <f>Assy.Model!K41</f>
        <v>1313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3.2170000000000001</v>
      </c>
      <c r="N197" s="869">
        <f>Assy.Model!K42</f>
        <v>1313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3.2229999999999999</v>
      </c>
      <c r="N198" s="869">
        <f>Assy.Model!K43</f>
        <v>1313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3.2290000000000001</v>
      </c>
      <c r="N199" s="869">
        <f>Assy.Model!K44</f>
        <v>1313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4.1130000000000004</v>
      </c>
      <c r="N200" s="869">
        <f>Assy.Model!K45</f>
        <v>1313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4.1189999999999998</v>
      </c>
      <c r="N201" s="869">
        <f>Assy.Model!K46</f>
        <v>1313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4.125</v>
      </c>
      <c r="N202" s="869">
        <f>Assy.Model!K47</f>
        <v>1313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4.1310000000000002</v>
      </c>
      <c r="N203" s="869">
        <f>Assy.Model!K48</f>
        <v>1313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4.1369999999999996</v>
      </c>
      <c r="N204" s="869">
        <f>Assy.Model!K49</f>
        <v>1313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4.1429999999999998</v>
      </c>
      <c r="N205" s="869">
        <f>Assy.Model!K50</f>
        <v>1313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4.2160000000000002</v>
      </c>
      <c r="N206" s="869">
        <f>Assy.Model!K51</f>
        <v>1313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4.2220000000000004</v>
      </c>
      <c r="N207" s="869">
        <f>Assy.Model!K52</f>
        <v>1313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4.2279999999999998</v>
      </c>
      <c r="N208" s="869">
        <f>Assy.Model!K53</f>
        <v>1313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4.234</v>
      </c>
      <c r="N209" s="869">
        <f>Assy.Model!K54</f>
        <v>1313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5.1020000000000003</v>
      </c>
      <c r="N210" s="869">
        <f>Assy.Model!K55</f>
        <v>1313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5.1050000000000004</v>
      </c>
      <c r="N211" s="869">
        <f>Assy.Model!K56</f>
        <v>1313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5.1079999999999997</v>
      </c>
      <c r="N212" s="869">
        <f>Assy.Model!K57</f>
        <v>1313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5.1120000000000001</v>
      </c>
      <c r="N213" s="869">
        <f>Assy.Model!K58</f>
        <v>1313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5.1180000000000003</v>
      </c>
      <c r="N214" s="869">
        <f>Assy.Model!K59</f>
        <v>1313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5.1239999999999997</v>
      </c>
      <c r="N215" s="869">
        <f>Assy.Model!K60</f>
        <v>1313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5.13</v>
      </c>
      <c r="N216" s="869">
        <f>Assy.Model!K61</f>
        <v>1313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5.1360000000000001</v>
      </c>
      <c r="N217" s="869">
        <f>Assy.Model!K62</f>
        <v>1313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5.1420000000000003</v>
      </c>
      <c r="N218" s="869">
        <f>Assy.Model!K63</f>
        <v>1313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5.1479999999999997</v>
      </c>
      <c r="N219" s="869">
        <f>Assy.Model!K64</f>
        <v>1313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5.2149999999999999</v>
      </c>
      <c r="N220" s="869">
        <f>Assy.Model!K65</f>
        <v>1313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5.2210000000000001</v>
      </c>
      <c r="N221" s="869">
        <f>Assy.Model!K66</f>
        <v>1313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5.2270000000000003</v>
      </c>
      <c r="N222" s="869">
        <f>Assy.Model!K67</f>
        <v>1313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5.2329999999999997</v>
      </c>
      <c r="N223" s="869">
        <f>Assy.Model!K68</f>
        <v>1313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6.1109999999999998</v>
      </c>
      <c r="N224" s="869">
        <f>Assy.Model!K69</f>
        <v>1313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6.117</v>
      </c>
      <c r="N225" s="869">
        <f>Assy.Model!K70</f>
        <v>1313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6.1230000000000002</v>
      </c>
      <c r="N226" s="869">
        <f>Assy.Model!K71</f>
        <v>1313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6.1289999999999996</v>
      </c>
      <c r="N227" s="869">
        <f>Assy.Model!K72</f>
        <v>1313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6.1349999999999998</v>
      </c>
      <c r="N228" s="869">
        <f>Assy.Model!K73</f>
        <v>1313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6.141</v>
      </c>
      <c r="N229" s="869">
        <f>Assy.Model!K74</f>
        <v>1313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6.1470000000000002</v>
      </c>
      <c r="N230" s="869">
        <f>Assy.Model!K75</f>
        <v>1313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6.22</v>
      </c>
      <c r="N231" s="869">
        <f>Assy.Model!K76</f>
        <v>1313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6.226</v>
      </c>
      <c r="N232" s="869">
        <f>Assy.Model!K77</f>
        <v>1313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6.2320000000000002</v>
      </c>
      <c r="N233" s="869">
        <f>Assy.Model!K78</f>
        <v>1313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2023-03-30T18:32:10Z</dcterms:modified>
</cp:coreProperties>
</file>