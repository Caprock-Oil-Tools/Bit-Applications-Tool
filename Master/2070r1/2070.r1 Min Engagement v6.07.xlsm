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70\"/>
    </mc:Choice>
  </mc:AlternateContent>
  <xr:revisionPtr revIDLastSave="0" documentId="13_ncr:1_{3088F63B-6F9D-4247-8DDC-C8A92AF4FD1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27" i="1"/>
  <c r="K99" i="1"/>
  <c r="K61" i="1"/>
  <c r="K98" i="1"/>
  <c r="K97" i="1"/>
  <c r="K96" i="1"/>
  <c r="K41" i="1"/>
  <c r="K38" i="1"/>
  <c r="K92" i="1"/>
  <c r="K78" i="1"/>
  <c r="K77" i="1"/>
  <c r="K115" i="1"/>
  <c r="K114" i="1"/>
  <c r="K74" i="1"/>
  <c r="K26" i="1"/>
  <c r="K20" i="1"/>
  <c r="K110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I31" i="4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42" i="1" l="1"/>
  <c r="K43" i="1"/>
  <c r="K57" i="1"/>
  <c r="K56" i="1"/>
  <c r="K60" i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X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T10" i="1"/>
  <c r="IX10" i="1"/>
  <c r="IW10" i="1"/>
  <c r="IP10" i="1"/>
  <c r="IV10" i="1"/>
  <c r="IY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L11" i="1" l="1"/>
  <c r="IR11" i="1"/>
  <c r="IS11" i="1"/>
  <c r="IU11" i="1"/>
  <c r="IE11" i="1" s="1"/>
  <c r="IW11" i="1"/>
  <c r="IT11" i="1"/>
  <c r="IP11" i="1"/>
  <c r="IY11" i="1"/>
  <c r="IQ11" i="1"/>
  <c r="IN11" i="1"/>
  <c r="IK11" i="1"/>
  <c r="IN10" i="1"/>
  <c r="IL10" i="1"/>
  <c r="IQ10" i="1"/>
  <c r="IS10" i="1"/>
  <c r="IK10" i="1"/>
  <c r="IU10" i="1"/>
  <c r="IE10" i="1" s="1"/>
  <c r="IR10" i="1"/>
  <c r="JA9" i="1" a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133" i="1"/>
  <c r="IF149" i="1"/>
  <c r="IF87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A9" i="1"/>
  <c r="JB16" i="1" s="1" a="1"/>
  <c r="JB16" i="1" s="1"/>
  <c r="JB11" i="1" a="1"/>
  <c r="JB11" i="1" s="1"/>
  <c r="JA23" i="1" a="1"/>
  <c r="JA23" i="1" s="1"/>
  <c r="JB10" i="1" a="1"/>
  <c r="JB10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57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25" i="1" l="1" a="1"/>
  <c r="JB25" i="1" s="1"/>
  <c r="JB15" i="1" a="1"/>
  <c r="JB15" i="1" s="1"/>
  <c r="JB24" i="1" a="1"/>
  <c r="JB24" i="1" s="1"/>
  <c r="IQ52" i="1"/>
  <c r="IV60" i="1"/>
  <c r="IQ20" i="1"/>
  <c r="IQ59" i="1"/>
  <c r="IV56" i="1"/>
  <c r="IQ64" i="1"/>
  <c r="IV55" i="1"/>
  <c r="IV37" i="1"/>
  <c r="IQ55" i="1"/>
  <c r="IQ19" i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P55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IP28" i="1"/>
  <c r="AQ10" i="1"/>
  <c r="IP56" i="1"/>
  <c r="AQ11" i="1"/>
  <c r="IP57" i="1"/>
  <c r="IU60" i="1"/>
  <c r="IE60" i="1" s="1"/>
  <c r="IP20" i="1"/>
  <c r="AJ62" i="1"/>
  <c r="IP52" i="1"/>
  <c r="V10" i="1"/>
  <c r="IQ56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IL55" i="1" s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IL56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7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IS57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IT57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37" i="1" l="1"/>
  <c r="IT55" i="1"/>
  <c r="IY78" i="1"/>
  <c r="IT82" i="1"/>
  <c r="IT75" i="1"/>
  <c r="IT76" i="1"/>
  <c r="IT74" i="1"/>
  <c r="IY61" i="1"/>
  <c r="IT68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IS56" i="1" s="1"/>
  <c r="AP10" i="1"/>
  <c r="AN10" i="1"/>
  <c r="IT56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37" i="1" l="1"/>
  <c r="IF37" i="1" s="1"/>
  <c r="IS55" i="1"/>
  <c r="IT17" i="1"/>
  <c r="IS52" i="1"/>
  <c r="IS64" i="1"/>
  <c r="IT60" i="1"/>
  <c r="IY57" i="1"/>
  <c r="IF57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<sst xmlns="http://schemas.openxmlformats.org/spreadsheetml/2006/main" count="734" uniqueCount="391">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</sst>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0" fontId="26" fillId="0" borderId="0" xfId="0" applyNumberFormat="1" applyFont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topLeftCell="O1" zoomScaleNormal="100" workbookViewId="0">
      <selection activeCell="AJ7" sqref="AJ7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8.5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-0.21090063607631834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-0.65900198754999462</v>
      </c>
      <c r="E9" s="705">
        <v>-0.86602544158358563</v>
      </c>
      <c r="F9" s="703">
        <v>-0.12940948735077989</v>
      </c>
      <c r="G9" s="706">
        <v>0.4829628547968921</v>
      </c>
      <c r="H9" s="705">
        <v>0.26600000000000001</v>
      </c>
      <c r="I9" s="703">
        <v>0.315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1308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-0.65900198754999462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-0.65900198754999462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-0.65900198754999462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-0.65900198754999462</v>
      </c>
      <c r="Z9" s="623">
        <f t="shared" ref="Z9:Z40" si="6">IF(M9="","",-E9)</f>
        <v>0.86602544158358563</v>
      </c>
      <c r="AA9" s="624">
        <f t="shared" ref="AA9:AA40" si="7">IF(M9="","",-F9)</f>
        <v>0.12940948735077989</v>
      </c>
      <c r="AB9" s="624">
        <f t="shared" ref="AB9:AB40" si="8">IF(M9="","",-G9)</f>
        <v>-0.4829628547968921</v>
      </c>
      <c r="AC9" s="628">
        <f>IF(M9="","",SQRT(Z9^2+AA9^2+AB9^2))</f>
        <v>1</v>
      </c>
      <c r="AD9" s="631">
        <f>IF(M9="","",Z9*(1/SQRT(Z9^2+AA9^2+AB9^2)))</f>
        <v>0.86602544158358563</v>
      </c>
      <c r="AE9" s="624">
        <f>IF(M9="","",AA9*(1/SQRT(Z9^2+AA9^2+AB9^2)))</f>
        <v>0.12940948735077989</v>
      </c>
      <c r="AF9" s="625">
        <f>IF(M9="","",AB9*(1/SQRT(Z9^2+AA9^2+AB9^2)))</f>
        <v>-0.4829628547968921</v>
      </c>
      <c r="AG9" s="599">
        <f>IF(M9="","",DEGREES(ATAN2(-AF9,AE9)))</f>
        <v>14.999997834268271</v>
      </c>
      <c r="AH9" s="600">
        <f>IF(M9="","",DEGREES(ACOS(AD9)))</f>
        <v>29.999995668536535</v>
      </c>
      <c r="AI9" s="583">
        <f>IF(M9="","",DEGREES(-ACOS(-AF9)))</f>
        <v>-61.120909800431896</v>
      </c>
      <c r="AJ9" s="601">
        <f>IF(M9="","",DEGREES(ATAN2(-AE9,AD9)))</f>
        <v>98.498778059971826</v>
      </c>
      <c r="AK9" s="627">
        <f>IF(M9="","",(COS(RADIANS((90-$Q$8)-W9))*AD9)+(-SIN(RADIANS((90-$Q$8)-W9))*AE9))</f>
        <v>0.86602544158358563</v>
      </c>
      <c r="AL9" s="624">
        <f>IF(M9="","",(SIN(RADIANS((90-$Q$8)-W9))*AD9)+(COS(RADIANS((90-$Q$8)-W9))*AE9))</f>
        <v>0.12940948735077989</v>
      </c>
      <c r="AM9" s="626">
        <f>IF(M9="","",AF9)</f>
        <v>-0.4829628547968921</v>
      </c>
      <c r="AN9" s="581">
        <f>IF(M9="","",DEGREES(ATAN2(-AM9,AL9)))</f>
        <v>14.999997834268271</v>
      </c>
      <c r="AO9" s="582">
        <f>IF(ROUND(IF(M9="",0,DEGREES(ACOS(AK9))),4)=90,0,IF(M9="","",DEGREES(ACOS(AK9))))</f>
        <v>29.999995668536535</v>
      </c>
      <c r="AP9" s="781">
        <f>IF(M9="","",DEGREES(ATAN2(AK9,AL9)))</f>
        <v>8.4987780599718299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-0.65900198754999462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1308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1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16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-9.6041531027259255E-17</v>
      </c>
      <c r="C10" s="708">
        <v>0.89030268515289857</v>
      </c>
      <c r="D10" s="709">
        <v>-0.52620158702398656</v>
      </c>
      <c r="E10" s="710">
        <v>-0.9659258360722075</v>
      </c>
      <c r="F10" s="708">
        <v>-6.6987279208207198E-2</v>
      </c>
      <c r="G10" s="711">
        <v>0.24999996726497564</v>
      </c>
      <c r="H10" s="710">
        <v>0.26600000000000001</v>
      </c>
      <c r="I10" s="708">
        <v>0.315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1308</v>
      </c>
      <c r="M10" s="168">
        <f t="shared" si="1"/>
        <v>1.1040000000000001</v>
      </c>
      <c r="N10" s="632">
        <f t="shared" si="2"/>
        <v>-9.6041531027259255E-17</v>
      </c>
      <c r="O10" s="629">
        <f t="shared" si="3"/>
        <v>0.89030268515289857</v>
      </c>
      <c r="P10" s="633">
        <f t="shared" si="4"/>
        <v>-0.52620158702398656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0.89030268515289857</v>
      </c>
      <c r="S10" s="634">
        <f t="shared" ref="S10:S105" si="80">IF(M10="","",P10)</f>
        <v>-0.52620158702398656</v>
      </c>
      <c r="T10" s="635">
        <f t="shared" ref="T10:T105" si="81">IF(M10="","",X10*COS(RADIANS(W10)))</f>
        <v>0.89030268515289857</v>
      </c>
      <c r="U10" s="629">
        <f t="shared" ref="U10:U105" si="82">IF(M10="","",X10*SIN(RADIANS(W10)))</f>
        <v>0</v>
      </c>
      <c r="V10" s="636">
        <f>IF(M10="","",Y10)</f>
        <v>-0.52620158702398656</v>
      </c>
      <c r="W10" s="585">
        <f t="shared" si="5"/>
        <v>0</v>
      </c>
      <c r="X10" s="629">
        <f t="shared" ref="X10:X105" si="83">IF(M10="","",R10)</f>
        <v>0.89030268515289857</v>
      </c>
      <c r="Y10" s="630">
        <f>IF(M10="","",S10)</f>
        <v>-0.52620158702398656</v>
      </c>
      <c r="Z10" s="632">
        <f t="shared" si="6"/>
        <v>0.9659258360722075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0.9659258360722075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14.99999783426823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0.9659258360722075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14.99999783426823</v>
      </c>
      <c r="AP10" s="585">
        <f t="shared" ref="AP10:AP105" si="95">IF(M10="","",DEGREES(ATAN2(AK10,AL10)))</f>
        <v>3.9671296450865712</v>
      </c>
      <c r="AQ10" s="586">
        <f t="shared" si="9"/>
        <v>2.5589170004686963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-0.52620158702398656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1308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8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-8.1101737311907811E-17</v>
      </c>
      <c r="C11" s="708">
        <v>1.4786044594710497</v>
      </c>
      <c r="D11" s="709">
        <v>-0.36850111139935204</v>
      </c>
      <c r="E11" s="710">
        <v>-0.9659258360722075</v>
      </c>
      <c r="F11" s="708">
        <v>-6.6987279208207184E-2</v>
      </c>
      <c r="G11" s="711">
        <v>0.24999996726497567</v>
      </c>
      <c r="H11" s="710">
        <v>0.26600000000000001</v>
      </c>
      <c r="I11" s="708">
        <v>0.315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1308</v>
      </c>
      <c r="L11" s="779" t="s">
        <v>332</v>
      </c>
      <c r="M11" s="168">
        <f t="shared" si="1"/>
        <v>1.107</v>
      </c>
      <c r="N11" s="632">
        <f t="shared" si="2"/>
        <v>-8.1101737311907811E-17</v>
      </c>
      <c r="O11" s="629">
        <f t="shared" si="3"/>
        <v>1.4786044594710497</v>
      </c>
      <c r="P11" s="633">
        <f t="shared" si="4"/>
        <v>-0.36850111139935204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1.4786044594710497</v>
      </c>
      <c r="S11" s="634">
        <f t="shared" si="80"/>
        <v>-0.36850111139935204</v>
      </c>
      <c r="T11" s="635">
        <f t="shared" si="81"/>
        <v>1.4786044594710497</v>
      </c>
      <c r="U11" s="629">
        <f t="shared" si="82"/>
        <v>0</v>
      </c>
      <c r="V11" s="636">
        <f t="shared" ref="V11:V105" si="114">IF(M11="","",Y11)</f>
        <v>-0.36850111139935204</v>
      </c>
      <c r="W11" s="585">
        <f t="shared" si="5"/>
        <v>0</v>
      </c>
      <c r="X11" s="629">
        <f>IF(M11="","",R11)</f>
        <v>1.4786044594710497</v>
      </c>
      <c r="Y11" s="630">
        <f>IF(M11="","",S11)</f>
        <v>-0.36850111139935204</v>
      </c>
      <c r="Z11" s="632">
        <f t="shared" si="6"/>
        <v>0.9659258360722075</v>
      </c>
      <c r="AA11" s="629">
        <f t="shared" si="7"/>
        <v>6.6987279208207184E-2</v>
      </c>
      <c r="AB11" s="629">
        <f t="shared" si="8"/>
        <v>-0.24999996726497567</v>
      </c>
      <c r="AC11" s="636">
        <f t="shared" si="84"/>
        <v>1</v>
      </c>
      <c r="AD11" s="637">
        <f t="shared" ref="AD11:AD105" si="115">IF(M11="","",Z11*(1/SQRT(Z11^2+AA11^2+AB11^2)))</f>
        <v>0.9659258360722075</v>
      </c>
      <c r="AE11" s="629">
        <f t="shared" si="85"/>
        <v>6.6987279208207184E-2</v>
      </c>
      <c r="AF11" s="633">
        <f t="shared" si="86"/>
        <v>-0.24999996726497567</v>
      </c>
      <c r="AG11" s="602">
        <f>IF(M11="","",DEGREES(ATAN2(-AF11,AE11)))</f>
        <v>14.999997834268262</v>
      </c>
      <c r="AH11" s="603">
        <f t="shared" si="88"/>
        <v>14.99999783426823</v>
      </c>
      <c r="AI11" s="585">
        <f t="shared" si="89"/>
        <v>-75.522489751159455</v>
      </c>
      <c r="AJ11" s="586">
        <f t="shared" si="90"/>
        <v>93.967129645086573</v>
      </c>
      <c r="AK11" s="635">
        <f>IF(M11="","",(COS(RADIANS((90-$Q$8)-W11))*AD11)+(-SIN(RADIANS((90-$Q$8)-W11))*AE11))</f>
        <v>0.9659258360722075</v>
      </c>
      <c r="AL11" s="629">
        <f t="shared" si="91"/>
        <v>6.6987279208207184E-2</v>
      </c>
      <c r="AM11" s="634">
        <f t="shared" si="92"/>
        <v>-0.24999996726497567</v>
      </c>
      <c r="AN11" s="581">
        <f>IF(M11="","",DEGREES(ATAN2(-AM11,AL11)))</f>
        <v>14.999997834268262</v>
      </c>
      <c r="AO11" s="582">
        <f>IF(ROUND(IF(M11="",0,DEGREES(ACOS(AK11))),4)=90,0,IF(M11="","",DEGREES(ACOS(AK11))))</f>
        <v>14.99999783426823</v>
      </c>
      <c r="AP11" s="585">
        <f t="shared" si="95"/>
        <v>3.9671296450865703</v>
      </c>
      <c r="AQ11" s="586">
        <f t="shared" si="9"/>
        <v>1.5414376602575197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-0.36850111139935204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1308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1308</v>
      </c>
      <c r="JB11" s="787" cm="1">
        <f t="array" ref="JB11">IF($JA11="","",COUNT(IF(IF($II$9:$II$150="",$IJ$9:$IJ$150,"")=$JA11,$IG$9:$IG$150,"")))</f>
        <v>9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-2.7745331185652675E-17</v>
      </c>
      <c r="C12" s="708">
        <v>2.0668062334876005</v>
      </c>
      <c r="D12" s="709">
        <v>-0.21090063607631834</v>
      </c>
      <c r="E12" s="710">
        <v>-0.9659258360722075</v>
      </c>
      <c r="F12" s="708">
        <v>-6.6987279208207184E-2</v>
      </c>
      <c r="G12" s="711">
        <v>0.24999996726497564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-2.7745331185652675E-17</v>
      </c>
      <c r="O12" s="629">
        <f t="shared" si="3"/>
        <v>2.0668062334876005</v>
      </c>
      <c r="P12" s="633">
        <f t="shared" si="4"/>
        <v>-0.21090063607631834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2.0668062334876005</v>
      </c>
      <c r="S12" s="634">
        <f t="shared" si="80"/>
        <v>-0.21090063607631834</v>
      </c>
      <c r="T12" s="635">
        <f>IF(M12="","",X12*COS(RADIANS(W12)))</f>
        <v>2.0668062334876005</v>
      </c>
      <c r="U12" s="629">
        <f t="shared" si="82"/>
        <v>0</v>
      </c>
      <c r="V12" s="636">
        <f t="shared" si="114"/>
        <v>-0.21090063607631834</v>
      </c>
      <c r="W12" s="585">
        <f>IF(M12="","",IF(Q12-$Q$8&lt;0,360+Q12-$Q$8,Q12-$Q$8))</f>
        <v>0</v>
      </c>
      <c r="X12" s="629">
        <f t="shared" si="83"/>
        <v>2.0668062334876005</v>
      </c>
      <c r="Y12" s="630">
        <f>IF(M12="","",S12)</f>
        <v>-0.21090063607631834</v>
      </c>
      <c r="Z12" s="632">
        <f t="shared" si="6"/>
        <v>0.9659258360722075</v>
      </c>
      <c r="AA12" s="629">
        <f t="shared" si="7"/>
        <v>6.6987279208207184E-2</v>
      </c>
      <c r="AB12" s="629">
        <f t="shared" si="8"/>
        <v>-0.24999996726497564</v>
      </c>
      <c r="AC12" s="636">
        <f t="shared" si="84"/>
        <v>1</v>
      </c>
      <c r="AD12" s="637">
        <f t="shared" si="115"/>
        <v>0.9659258360722075</v>
      </c>
      <c r="AE12" s="629">
        <f t="shared" si="85"/>
        <v>6.6987279208207184E-2</v>
      </c>
      <c r="AF12" s="633">
        <f t="shared" si="86"/>
        <v>-0.24999996726497564</v>
      </c>
      <c r="AG12" s="602">
        <f t="shared" si="87"/>
        <v>14.999997834268264</v>
      </c>
      <c r="AH12" s="603">
        <f t="shared" si="88"/>
        <v>14.99999783426823</v>
      </c>
      <c r="AI12" s="585">
        <f t="shared" si="89"/>
        <v>-75.522489751159469</v>
      </c>
      <c r="AJ12" s="586">
        <f t="shared" si="90"/>
        <v>93.967129645086573</v>
      </c>
      <c r="AK12" s="635">
        <f t="shared" ref="AK12:AK105" si="211">IF(M12="","",(COS(RADIANS((90-$Q$8)-W12))*AD12)+(-SIN(RADIANS((90-$Q$8)-W12))*AE12))</f>
        <v>0.9659258360722075</v>
      </c>
      <c r="AL12" s="629">
        <f>IF(M12="","",(SIN(RADIANS((90-$Q$8)-W12))*AD12)+(COS(RADIANS((90-$Q$8)-W12))*AE12))</f>
        <v>6.6987279208207184E-2</v>
      </c>
      <c r="AM12" s="634">
        <f t="shared" si="92"/>
        <v>-0.24999996726497564</v>
      </c>
      <c r="AN12" s="581">
        <f>IF(M12="","",DEGREES(ATAN2(-AM12,AL12)))</f>
        <v>14.999997834268264</v>
      </c>
      <c r="AO12" s="582">
        <f t="shared" si="94"/>
        <v>14.99999783426823</v>
      </c>
      <c r="AP12" s="585">
        <f t="shared" si="95"/>
        <v>3.9671296450865703</v>
      </c>
      <c r="AQ12" s="586">
        <f t="shared" si="9"/>
        <v>1.1028828080017608</v>
      </c>
      <c r="AS12" s="52">
        <f t="shared" si="116"/>
        <v>0</v>
      </c>
      <c r="AT12" s="72">
        <f>IF(M12="","",Y12+(((AS12-$AS$9)*$AS$6)*-1))</f>
        <v>-0.21090063607631834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4.6236996585043204E-2</v>
      </c>
      <c r="C13" s="708">
        <v>2.8180292075887077</v>
      </c>
      <c r="D13" s="709">
        <v>-0.13110039539879251</v>
      </c>
      <c r="E13" s="710">
        <v>-0.9604394436418352</v>
      </c>
      <c r="F13" s="708">
        <v>0.12359613947801412</v>
      </c>
      <c r="G13" s="711">
        <v>0.24955975116811915</v>
      </c>
      <c r="H13" s="710">
        <v>0.314</v>
      </c>
      <c r="I13" s="708">
        <v>0.52</v>
      </c>
      <c r="J13" s="570">
        <v>1.1140000000000001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50</v>
      </c>
      <c r="M13" s="168">
        <f t="shared" si="1"/>
        <v>1.1140000000000001</v>
      </c>
      <c r="N13" s="632">
        <f t="shared" si="2"/>
        <v>4.6236996585043204E-2</v>
      </c>
      <c r="O13" s="629">
        <f t="shared" si="3"/>
        <v>2.8180292075887077</v>
      </c>
      <c r="P13" s="633">
        <f t="shared" si="4"/>
        <v>-0.13110039539879251</v>
      </c>
      <c r="Q13" s="585">
        <f t="shared" si="113"/>
        <v>89.060000135719193</v>
      </c>
      <c r="R13" s="629">
        <f t="shared" si="79"/>
        <v>2.8184085003200376</v>
      </c>
      <c r="S13" s="634">
        <f t="shared" si="80"/>
        <v>-0.13110039539879251</v>
      </c>
      <c r="T13" s="635">
        <f>IF(M13="","",X13*COS(RADIANS(W13)))</f>
        <v>2.8180292075887072</v>
      </c>
      <c r="U13" s="629">
        <f t="shared" si="82"/>
        <v>-4.6236996585045244E-2</v>
      </c>
      <c r="V13" s="636">
        <f t="shared" si="114"/>
        <v>-0.13110039539879251</v>
      </c>
      <c r="W13" s="585">
        <f t="shared" si="5"/>
        <v>359.06000013571918</v>
      </c>
      <c r="X13" s="629">
        <f t="shared" si="83"/>
        <v>2.8184085003200376</v>
      </c>
      <c r="Y13" s="630">
        <f>IF(M13="","",S13)</f>
        <v>-0.13110039539879251</v>
      </c>
      <c r="Z13" s="632">
        <f t="shared" si="6"/>
        <v>0.9604394436418352</v>
      </c>
      <c r="AA13" s="629">
        <f t="shared" si="7"/>
        <v>-0.12359613947801412</v>
      </c>
      <c r="AB13" s="629">
        <f t="shared" si="8"/>
        <v>-0.24955975116811915</v>
      </c>
      <c r="AC13" s="636">
        <f t="shared" si="84"/>
        <v>1</v>
      </c>
      <c r="AD13" s="637">
        <f>IF(M13="","",Z13*(1/SQRT(Z13^2+AA13^2+AB13^2)))</f>
        <v>0.9604394436418352</v>
      </c>
      <c r="AE13" s="629">
        <f t="shared" si="85"/>
        <v>-0.12359613947801412</v>
      </c>
      <c r="AF13" s="633">
        <f t="shared" si="86"/>
        <v>-0.24955975116811915</v>
      </c>
      <c r="AG13" s="602">
        <f>IF(M13="","",DEGREES(ATAN2(-AF13,AE13)))</f>
        <v>-26.347222198298407</v>
      </c>
      <c r="AH13" s="603">
        <f t="shared" si="88"/>
        <v>16.170039048103714</v>
      </c>
      <c r="AI13" s="585">
        <f t="shared" si="89"/>
        <v>-75.54853793421988</v>
      </c>
      <c r="AJ13" s="586">
        <f t="shared" si="90"/>
        <v>82.667075324500587</v>
      </c>
      <c r="AK13" s="635">
        <f t="shared" si="211"/>
        <v>0.96233782940759827</v>
      </c>
      <c r="AL13" s="629">
        <f t="shared" si="91"/>
        <v>-0.10782315469313045</v>
      </c>
      <c r="AM13" s="634">
        <f t="shared" si="92"/>
        <v>-0.24955975116811915</v>
      </c>
      <c r="AN13" s="581">
        <f t="shared" si="93"/>
        <v>-23.366925865800152</v>
      </c>
      <c r="AO13" s="582">
        <f t="shared" si="94"/>
        <v>15.77476336140591</v>
      </c>
      <c r="AP13" s="585">
        <f t="shared" si="95"/>
        <v>-6.3929248112185535</v>
      </c>
      <c r="AQ13" s="586">
        <f t="shared" si="9"/>
        <v>0.80881646439241783</v>
      </c>
      <c r="AS13" s="52">
        <f t="shared" si="116"/>
        <v>-0.93999986428082138</v>
      </c>
      <c r="AT13" s="72">
        <f t="shared" si="10"/>
        <v>-0.13044761771526417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1.1140000000000001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0.13064212403880232</v>
      </c>
      <c r="C14" s="708">
        <v>3.5459048875091672</v>
      </c>
      <c r="D14" s="709">
        <v>-0.44890135388648339</v>
      </c>
      <c r="E14" s="710">
        <v>-0.9459008091065555</v>
      </c>
      <c r="F14" s="708">
        <v>0.2858566652391003</v>
      </c>
      <c r="G14" s="711">
        <v>0.15348493825110299</v>
      </c>
      <c r="H14" s="710">
        <v>0.314</v>
      </c>
      <c r="I14" s="708">
        <v>0.52</v>
      </c>
      <c r="J14" s="570">
        <v>1.119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1.119</v>
      </c>
      <c r="N14" s="632">
        <f t="shared" si="2"/>
        <v>0.13064212403880232</v>
      </c>
      <c r="O14" s="629">
        <f t="shared" si="3"/>
        <v>3.5459048875091672</v>
      </c>
      <c r="P14" s="633">
        <f t="shared" si="4"/>
        <v>-0.44890135388648339</v>
      </c>
      <c r="Q14" s="585">
        <f t="shared" si="113"/>
        <v>87.890000304646264</v>
      </c>
      <c r="R14" s="629">
        <f t="shared" si="79"/>
        <v>3.5483107017050761</v>
      </c>
      <c r="S14" s="634">
        <f t="shared" si="80"/>
        <v>-0.44890135388648339</v>
      </c>
      <c r="T14" s="635">
        <f t="shared" si="81"/>
        <v>3.5459048875091672</v>
      </c>
      <c r="U14" s="629">
        <f t="shared" si="82"/>
        <v>-0.1306421240388021</v>
      </c>
      <c r="V14" s="636">
        <f t="shared" si="114"/>
        <v>-0.44890135388648339</v>
      </c>
      <c r="W14" s="585">
        <f t="shared" si="5"/>
        <v>357.89000030464626</v>
      </c>
      <c r="X14" s="629">
        <f t="shared" si="83"/>
        <v>3.5483107017050761</v>
      </c>
      <c r="Y14" s="630">
        <f t="shared" ref="Y14:Y75" si="223">IF(M14="","",S14)</f>
        <v>-0.44890135388648339</v>
      </c>
      <c r="Z14" s="632">
        <f t="shared" si="6"/>
        <v>0.9459008091065555</v>
      </c>
      <c r="AA14" s="629">
        <f t="shared" si="7"/>
        <v>-0.2858566652391003</v>
      </c>
      <c r="AB14" s="629">
        <f t="shared" si="8"/>
        <v>-0.15348493825110299</v>
      </c>
      <c r="AC14" s="636">
        <f t="shared" si="84"/>
        <v>1</v>
      </c>
      <c r="AD14" s="637">
        <f>IF(M14="","",Z14*(1/SQRT(Z14^2+AA14^2+AB14^2)))</f>
        <v>0.9459008091065555</v>
      </c>
      <c r="AE14" s="629">
        <f t="shared" si="85"/>
        <v>-0.2858566652391003</v>
      </c>
      <c r="AF14" s="633">
        <f t="shared" si="86"/>
        <v>-0.15348493825110299</v>
      </c>
      <c r="AG14" s="602">
        <f t="shared" si="87"/>
        <v>-61.767327235857167</v>
      </c>
      <c r="AH14" s="603">
        <f t="shared" si="88"/>
        <v>18.932616762071468</v>
      </c>
      <c r="AI14" s="585">
        <f t="shared" si="89"/>
        <v>-81.171061795014054</v>
      </c>
      <c r="AJ14" s="586">
        <f t="shared" si="90"/>
        <v>73.184881064187877</v>
      </c>
      <c r="AK14" s="635">
        <f>IF(M14="","",(COS(RADIANS((90-$Q$8)-W14))*AD14)+(-SIN(RADIANS((90-$Q$8)-W14))*AE14))</f>
        <v>0.95578417707265906</v>
      </c>
      <c r="AL14" s="629">
        <f t="shared" si="91"/>
        <v>-0.25083656150488748</v>
      </c>
      <c r="AM14" s="634">
        <f t="shared" si="92"/>
        <v>-0.15348493825110299</v>
      </c>
      <c r="AN14" s="581">
        <f t="shared" si="93"/>
        <v>-58.537860967987612</v>
      </c>
      <c r="AO14" s="582">
        <f t="shared" si="94"/>
        <v>17.101722007509906</v>
      </c>
      <c r="AP14" s="585">
        <f>IF(M14="","",DEGREES(ATAN2(AK14,AL14)))</f>
        <v>-14.705119240458389</v>
      </c>
      <c r="AQ14" s="586">
        <f t="shared" si="9"/>
        <v>0.6424553200326425</v>
      </c>
      <c r="AS14" s="52">
        <f t="shared" si="116"/>
        <v>-2.1099996953537357</v>
      </c>
      <c r="AT14" s="72">
        <f t="shared" si="10"/>
        <v>-0.4474360763202655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0.1927191678188846</v>
      </c>
      <c r="C15" s="708">
        <v>3.9263850739036892</v>
      </c>
      <c r="D15" s="709">
        <v>-1.1231033872798162</v>
      </c>
      <c r="E15" s="710">
        <v>-0.90565538491665287</v>
      </c>
      <c r="F15" s="708">
        <v>0.41946671918221712</v>
      </c>
      <c r="G15" s="711">
        <v>6.1935412083691382E-2</v>
      </c>
      <c r="H15" s="710">
        <v>0.314</v>
      </c>
      <c r="I15" s="708">
        <v>0.52</v>
      </c>
      <c r="J15" s="570">
        <v>1.1240000000000001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60</v>
      </c>
      <c r="M15" s="168">
        <f t="shared" si="1"/>
        <v>1.1240000000000001</v>
      </c>
      <c r="N15" s="632">
        <f t="shared" si="2"/>
        <v>0.1927191678188846</v>
      </c>
      <c r="O15" s="629">
        <f t="shared" si="3"/>
        <v>3.9263850739036892</v>
      </c>
      <c r="P15" s="633">
        <f t="shared" si="4"/>
        <v>-1.1231033872798162</v>
      </c>
      <c r="Q15" s="585">
        <f t="shared" si="113"/>
        <v>87.190000405713747</v>
      </c>
      <c r="R15" s="629">
        <f t="shared" si="79"/>
        <v>3.9311118562333585</v>
      </c>
      <c r="S15" s="634">
        <f t="shared" si="80"/>
        <v>-1.1231033872798162</v>
      </c>
      <c r="T15" s="635">
        <f t="shared" si="81"/>
        <v>3.9263850739036887</v>
      </c>
      <c r="U15" s="629">
        <f t="shared" si="82"/>
        <v>-0.19271916781888435</v>
      </c>
      <c r="V15" s="636">
        <f t="shared" si="114"/>
        <v>-1.1231033872798162</v>
      </c>
      <c r="W15" s="585">
        <f t="shared" ref="W15:W78" si="224">IF(M15="","",IF(Q15-$Q$8&lt;0,360+Q15-$Q$8,Q15-$Q$8))</f>
        <v>357.19000040571376</v>
      </c>
      <c r="X15" s="629">
        <f>IF(M15="","",R15)</f>
        <v>3.9311118562333585</v>
      </c>
      <c r="Y15" s="630">
        <f>IF(M15="","",S15)</f>
        <v>-1.1231033872798162</v>
      </c>
      <c r="Z15" s="632">
        <f t="shared" si="6"/>
        <v>0.90565538491665287</v>
      </c>
      <c r="AA15" s="629">
        <f t="shared" si="7"/>
        <v>-0.41946671918221712</v>
      </c>
      <c r="AB15" s="629">
        <f t="shared" si="8"/>
        <v>-6.1935412083691382E-2</v>
      </c>
      <c r="AC15" s="636">
        <f t="shared" si="84"/>
        <v>1</v>
      </c>
      <c r="AD15" s="637">
        <f t="shared" si="115"/>
        <v>0.90565538491665287</v>
      </c>
      <c r="AE15" s="629">
        <f t="shared" si="85"/>
        <v>-0.41946671918221712</v>
      </c>
      <c r="AF15" s="633">
        <f t="shared" si="86"/>
        <v>-6.1935412083691382E-2</v>
      </c>
      <c r="AG15" s="602">
        <f t="shared" si="87"/>
        <v>-81.600807939312816</v>
      </c>
      <c r="AH15" s="603">
        <f t="shared" si="88"/>
        <v>25.088302463303471</v>
      </c>
      <c r="AI15" s="585">
        <f t="shared" si="89"/>
        <v>-86.449089600325806</v>
      </c>
      <c r="AJ15" s="586">
        <f t="shared" si="90"/>
        <v>65.148139221572961</v>
      </c>
      <c r="AK15" s="635">
        <f t="shared" si="211"/>
        <v>0.92513039452670143</v>
      </c>
      <c r="AL15" s="629">
        <f t="shared" si="91"/>
        <v>-0.37456342300456058</v>
      </c>
      <c r="AM15" s="634">
        <f t="shared" si="92"/>
        <v>-6.1935412083691382E-2</v>
      </c>
      <c r="AN15" s="581">
        <f>IF(M15="","",DEGREES(ATAN2(-AM15,AL15)))</f>
        <v>-80.610892943545167</v>
      </c>
      <c r="AO15" s="582">
        <f t="shared" si="94"/>
        <v>22.311974412745879</v>
      </c>
      <c r="AP15" s="585">
        <f t="shared" si="95"/>
        <v>-22.041861184140785</v>
      </c>
      <c r="AQ15" s="586">
        <f t="shared" si="9"/>
        <v>0.57989924262490011</v>
      </c>
      <c r="AS15" s="52">
        <f t="shared" si="116"/>
        <v>-2.8099995942862392</v>
      </c>
      <c r="AT15" s="72">
        <f t="shared" si="10"/>
        <v>-1.121151998672673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1.1240000000000001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0.21316226307349326</v>
      </c>
      <c r="C16" s="708">
        <v>4.0403931237675161</v>
      </c>
      <c r="D16" s="709">
        <v>-1.7909054013706913</v>
      </c>
      <c r="E16" s="710">
        <v>-0.82237878986454216</v>
      </c>
      <c r="F16" s="708">
        <v>0.56750858776398272</v>
      </c>
      <c r="G16" s="711">
        <v>4.0337684552552537E-2</v>
      </c>
      <c r="H16" s="710">
        <v>0.26600000000000001</v>
      </c>
      <c r="I16" s="708">
        <v>0.52</v>
      </c>
      <c r="J16" s="570">
        <v>1.129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1.129</v>
      </c>
      <c r="N16" s="632">
        <f t="shared" si="2"/>
        <v>0.21316226307349326</v>
      </c>
      <c r="O16" s="629">
        <f t="shared" si="3"/>
        <v>4.0403931237675161</v>
      </c>
      <c r="P16" s="633">
        <f t="shared" si="4"/>
        <v>-1.7909054013706913</v>
      </c>
      <c r="Q16" s="585">
        <f>IF(M16="","",IF(DEGREES(ATAN2(N16,O16))&lt;0,DEGREES(ATAN2(N16,O16))+360,IF(DEGREES(ATAN2(N16,O16))&gt;360,DEGREES(ATAN2(N16,O16))-360,DEGREES(ATAN2(N16,O16)))))</f>
        <v>86.98000043603399</v>
      </c>
      <c r="R16" s="629">
        <f t="shared" si="79"/>
        <v>4.046012202772804</v>
      </c>
      <c r="S16" s="634">
        <f t="shared" si="80"/>
        <v>-1.7909054013706913</v>
      </c>
      <c r="T16" s="635">
        <f t="shared" si="81"/>
        <v>4.0403931237675161</v>
      </c>
      <c r="U16" s="629">
        <f t="shared" si="82"/>
        <v>-0.2131622630734917</v>
      </c>
      <c r="V16" s="636">
        <f t="shared" si="114"/>
        <v>-1.7909054013706913</v>
      </c>
      <c r="W16" s="585">
        <f>IF(M16="","",IF(Q16-$Q$8&lt;0,360+Q16-$Q$8,Q16-$Q$8))</f>
        <v>356.980000436034</v>
      </c>
      <c r="X16" s="629">
        <f t="shared" si="83"/>
        <v>4.046012202772804</v>
      </c>
      <c r="Y16" s="630">
        <f t="shared" si="223"/>
        <v>-1.7909054013706913</v>
      </c>
      <c r="Z16" s="632">
        <f t="shared" si="6"/>
        <v>0.82237878986454216</v>
      </c>
      <c r="AA16" s="629">
        <f t="shared" si="7"/>
        <v>-0.56750858776398272</v>
      </c>
      <c r="AB16" s="629">
        <f t="shared" si="8"/>
        <v>-4.0337684552552537E-2</v>
      </c>
      <c r="AC16" s="636">
        <f t="shared" si="84"/>
        <v>1</v>
      </c>
      <c r="AD16" s="637">
        <f t="shared" si="115"/>
        <v>0.82237878986454216</v>
      </c>
      <c r="AE16" s="629">
        <f t="shared" si="85"/>
        <v>-0.56750858776398272</v>
      </c>
      <c r="AF16" s="633">
        <f t="shared" si="86"/>
        <v>-4.0337684552552537E-2</v>
      </c>
      <c r="AG16" s="602">
        <f t="shared" si="87"/>
        <v>-85.934336964558838</v>
      </c>
      <c r="AH16" s="603">
        <f t="shared" si="88"/>
        <v>34.676366398965484</v>
      </c>
      <c r="AI16" s="585">
        <f t="shared" si="89"/>
        <v>-87.688193696103212</v>
      </c>
      <c r="AJ16" s="586">
        <f t="shared" si="90"/>
        <v>55.391151706930096</v>
      </c>
      <c r="AK16" s="635">
        <f t="shared" si="211"/>
        <v>0.85113559969550423</v>
      </c>
      <c r="AL16" s="629">
        <f t="shared" si="91"/>
        <v>-0.52339379260353591</v>
      </c>
      <c r="AM16" s="634">
        <f t="shared" si="92"/>
        <v>-4.0337684552552537E-2</v>
      </c>
      <c r="AN16" s="581">
        <f t="shared" si="93"/>
        <v>-85.59295611608205</v>
      </c>
      <c r="AO16" s="582">
        <f t="shared" si="94"/>
        <v>31.664600891226787</v>
      </c>
      <c r="AP16" s="585">
        <f t="shared" si="95"/>
        <v>-31.58884872910393</v>
      </c>
      <c r="AQ16" s="586">
        <f t="shared" si="9"/>
        <v>0.56343209859672183</v>
      </c>
      <c r="AS16" s="52">
        <f t="shared" si="116"/>
        <v>-3.019999563965996</v>
      </c>
      <c r="AT16" s="72">
        <f t="shared" si="10"/>
        <v>-1.7888081794512705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0.81751894938208214</v>
      </c>
      <c r="C17" s="708">
        <v>2.1087812582329724</v>
      </c>
      <c r="D17" s="709">
        <v>-0.20089999999999997</v>
      </c>
      <c r="E17" s="710">
        <v>-0.89762474539874315</v>
      </c>
      <c r="F17" s="708">
        <v>0.28428749539869458</v>
      </c>
      <c r="G17" s="711">
        <v>0.33682404369014235</v>
      </c>
      <c r="H17" s="710">
        <v>0.26600000000000001</v>
      </c>
      <c r="I17" s="708">
        <v>0.52</v>
      </c>
      <c r="J17" s="570">
        <v>1.2110000000000001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1.2110000000000001</v>
      </c>
      <c r="N17" s="632">
        <f t="shared" si="2"/>
        <v>0.81751894938208214</v>
      </c>
      <c r="O17" s="629">
        <f t="shared" si="3"/>
        <v>2.1087812582329724</v>
      </c>
      <c r="P17" s="633">
        <f t="shared" si="4"/>
        <v>-0.20089999999999997</v>
      </c>
      <c r="Q17" s="585">
        <f>IF(M17="","",IF(DEGREES(ATAN2(N17,O17))&lt;0,DEGREES(ATAN2(N17,O17))+360,IF(DEGREES(ATAN2(N17,O17))&gt;360,DEGREES(ATAN2(N17,O17))-360,DEGREES(ATAN2(N17,O17)))))</f>
        <v>68.809999999999988</v>
      </c>
      <c r="R17" s="629">
        <f>IF(M17="","",SQRT(N17^2+O17^2))</f>
        <v>2.2617019316597449</v>
      </c>
      <c r="S17" s="634">
        <f>IF(M17="","",P17)</f>
        <v>-0.20089999999999997</v>
      </c>
      <c r="T17" s="635">
        <f>IF(M17="","",X17*COS(RADIANS(W17)))</f>
        <v>2.1087812582329724</v>
      </c>
      <c r="U17" s="629">
        <f>IF(M17="","",X17*SIN(RADIANS(W17)))</f>
        <v>-0.81751894938208269</v>
      </c>
      <c r="V17" s="636">
        <f>IF(M17="","",Y17)</f>
        <v>-0.20089999999999997</v>
      </c>
      <c r="W17" s="585">
        <f t="shared" si="224"/>
        <v>338.81</v>
      </c>
      <c r="X17" s="629">
        <f>IF(M17="","",R17)</f>
        <v>2.2617019316597449</v>
      </c>
      <c r="Y17" s="630">
        <f t="shared" si="223"/>
        <v>-0.20089999999999997</v>
      </c>
      <c r="Z17" s="632">
        <f t="shared" si="6"/>
        <v>0.89762474539874315</v>
      </c>
      <c r="AA17" s="629">
        <f t="shared" si="7"/>
        <v>-0.28428749539869458</v>
      </c>
      <c r="AB17" s="629">
        <f t="shared" si="8"/>
        <v>-0.33682404369014235</v>
      </c>
      <c r="AC17" s="636">
        <f>IF(M17="","",SQRT(Z17^2+AA17^2+AB17^2))</f>
        <v>1</v>
      </c>
      <c r="AD17" s="637">
        <f>IF(M17="","",Z17*(1/SQRT(Z17^2+AA17^2+AB17^2)))</f>
        <v>0.89762474539874315</v>
      </c>
      <c r="AE17" s="629">
        <f>IF(M17="","",AA17*(1/SQRT(Z17^2+AA17^2+AB17^2)))</f>
        <v>-0.28428749539869458</v>
      </c>
      <c r="AF17" s="633">
        <f>IF(M17="","",AB17*(1/SQRT(Z17^2+AA17^2+AB17^2)))</f>
        <v>-0.33682404369014235</v>
      </c>
      <c r="AG17" s="602">
        <f>IF(M17="","",DEGREES(ATAN2(-AF17,AE17)))</f>
        <v>-40.165160777412481</v>
      </c>
      <c r="AH17" s="603">
        <f>IF(M17="","",DEGREES(ACOS(AD17)))</f>
        <v>26.152413958656457</v>
      </c>
      <c r="AI17" s="585">
        <f>IF(M17="","",DEGREES(-ACOS(-AF17)))</f>
        <v>-70.316504667624201</v>
      </c>
      <c r="AJ17" s="586">
        <f>IF(M17="","",DEGREES(ATAN2(-AE17,AD17)))</f>
        <v>72.426440491936205</v>
      </c>
      <c r="AK17" s="635">
        <f>IF(M17="","",(COS(RADIANS((90-$Q$8)-W17))*AD17)+(-SIN(RADIANS((90-$Q$8)-W17))*AE17))</f>
        <v>0.93969263802333458</v>
      </c>
      <c r="AL17" s="629">
        <f>IF(M17="","",(SIN(RADIANS((90-$Q$8)-W17))*AD17)+(COS(RADIANS((90-$Q$8)-W17))*AE17))</f>
        <v>5.9391157902229097E-2</v>
      </c>
      <c r="AM17" s="634">
        <f>IF(M17="","",AF17)</f>
        <v>-0.33682404369014235</v>
      </c>
      <c r="AN17" s="581">
        <f>IF(M17="","",DEGREES(ATAN2(-AM17,AL17)))</f>
        <v>9.9999985561788804</v>
      </c>
      <c r="AO17" s="582">
        <f t="shared" si="94"/>
        <v>19.999997112357679</v>
      </c>
      <c r="AP17" s="585">
        <f>IF(M17="","",DEGREES(ATAN2(AK17,AL17)))</f>
        <v>3.6164404919362174</v>
      </c>
      <c r="AQ17" s="586">
        <f t="shared" si="9"/>
        <v>1.0078655626218509</v>
      </c>
      <c r="AS17" s="52">
        <f t="shared" si="116"/>
        <v>-21.189999999999998</v>
      </c>
      <c r="AT17" s="72">
        <f t="shared" si="10"/>
        <v>-0.18618472222222218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1.2110000000000001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4.1109999999999998</v>
      </c>
      <c r="II17" s="734" cm="1">
        <f t="array" ref="II17">IFERROR(ROUND(VALUE(IF($IH17&lt;1,$IH17+LARGE((IF($M$9:$M$150="",0,$M$9:$M$150)-MOD(IF($M$9:$M$150="",0,$M$9:$M$150),1)),1),$IH17)),4),"")</f>
        <v>4.1109999999999998</v>
      </c>
      <c r="IJ17" s="533">
        <f t="shared" si="112"/>
        <v>1313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157.18998036403229</v>
      </c>
      <c r="IM17" s="759">
        <v>1.9782220953948101E-2</v>
      </c>
      <c r="IN17" s="5">
        <f t="shared" ref="IN17:IN80" si="226">IF(ISNUMBER($II17),(($IO17*12)/60)/$AS$3,"")</f>
        <v>0.1</v>
      </c>
      <c r="IO17" s="771">
        <v>50</v>
      </c>
      <c r="IP17" s="9">
        <f t="shared" ref="IP17:IP80" si="227">IF(ISNUMBER($II17),(INDEX($X$9:$X$150,MATCH($II17,$M$9:$M$150,0))*-1),"")</f>
        <v>-2.2629068249269841</v>
      </c>
      <c r="IQ17" s="5">
        <f t="shared" ref="IQ17:IQ80" si="228">IF(ISNUMBER($II17),INDEX($Y$9:$Y$150,MATCH($II17,$M$9:$M$150,0)),"")</f>
        <v>-0.15840047773584087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0.25693627239520717</v>
      </c>
      <c r="IT17" s="727">
        <f t="shared" ref="IT17:IT80" si="230">IF(ISNUMBER($II17),(-1*INDEX($AN$9:$AN$150,MATCH($II17,$M$9:$M$150,0))),"")</f>
        <v>-9.9999985561789817</v>
      </c>
      <c r="IU17" s="9">
        <f t="shared" ref="IU17:IU80" si="231">IF(ISNUMBER($II17),-$X17,"")</f>
        <v>-2.2617019316597449</v>
      </c>
      <c r="IV17" s="5">
        <f t="shared" ref="IV17:IV80" si="232">IF(ISNUMBER($II17),$Y17,"")</f>
        <v>-0.20089999999999997</v>
      </c>
      <c r="IW17" s="5">
        <f t="shared" si="76"/>
        <v>0.26600000000000001</v>
      </c>
      <c r="IX17" s="5">
        <f t="shared" ref="IX17:IX80" si="233">IF(ISNUMBER($II17),$IW17*COS(RADIANS($AO17)),"")</f>
        <v>0.24995824171420702</v>
      </c>
      <c r="IY17" s="762">
        <f t="shared" ref="IY17:IY80" si="234">IF(ISNUMBER($II17),(-1*$AN17),"")</f>
        <v>-9.9999985561788804</v>
      </c>
    </row>
    <row r="18" spans="1:269" ht="15" customHeight="1" x14ac:dyDescent="0.25">
      <c r="A18" s="79"/>
      <c r="B18" s="707">
        <v>0.92860724811712336</v>
      </c>
      <c r="C18" s="708">
        <v>2.8393991812354522</v>
      </c>
      <c r="D18" s="709">
        <v>-0.13362933024733065</v>
      </c>
      <c r="E18" s="710">
        <v>-0.84058614267560239</v>
      </c>
      <c r="F18" s="708">
        <v>0.43793677721633861</v>
      </c>
      <c r="G18" s="711">
        <v>0.31878882650293561</v>
      </c>
      <c r="H18" s="710">
        <v>0.26600000000000001</v>
      </c>
      <c r="I18" s="708">
        <v>0.52</v>
      </c>
      <c r="J18" s="570">
        <v>1.2150000000000001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1.2150000000000001</v>
      </c>
      <c r="N18" s="632">
        <f t="shared" si="2"/>
        <v>0.92860724811712336</v>
      </c>
      <c r="O18" s="629">
        <f t="shared" si="3"/>
        <v>2.8393991812354522</v>
      </c>
      <c r="P18" s="633">
        <f t="shared" si="4"/>
        <v>-0.13362933024733065</v>
      </c>
      <c r="Q18" s="585">
        <f t="shared" si="113"/>
        <v>71.89</v>
      </c>
      <c r="R18" s="629">
        <f>IF(M18="","",SQRT(N18^2+O18^2))</f>
        <v>2.9873900200101446</v>
      </c>
      <c r="S18" s="634">
        <f>IF(M18="","",P18)</f>
        <v>-0.13362933024733065</v>
      </c>
      <c r="T18" s="635">
        <f>IF(M18="","",X18*COS(RADIANS(W18)))</f>
        <v>2.8393991812354522</v>
      </c>
      <c r="U18" s="629">
        <f>IF(M18="","",X18*SIN(RADIANS(W18)))</f>
        <v>-0.92860724811712347</v>
      </c>
      <c r="V18" s="636">
        <f>IF(M18="","",Y18)</f>
        <v>-0.13362933024733065</v>
      </c>
      <c r="W18" s="585">
        <f t="shared" si="224"/>
        <v>341.89</v>
      </c>
      <c r="X18" s="629">
        <f>IF(M18="","",R18)</f>
        <v>2.9873900200101446</v>
      </c>
      <c r="Y18" s="630">
        <f t="shared" si="223"/>
        <v>-0.13362933024733065</v>
      </c>
      <c r="Z18" s="632">
        <f t="shared" si="6"/>
        <v>0.84058614267560239</v>
      </c>
      <c r="AA18" s="629">
        <f t="shared" si="7"/>
        <v>-0.43793677721633861</v>
      </c>
      <c r="AB18" s="629">
        <f t="shared" si="8"/>
        <v>-0.31878882650293561</v>
      </c>
      <c r="AC18" s="636">
        <f>IF(M18="","",SQRT(Z18^2+AA18^2+AB18^2))</f>
        <v>1</v>
      </c>
      <c r="AD18" s="637">
        <f>IF(M18="","",Z18*(1/SQRT(Z18^2+AA18^2+AB18^2)))</f>
        <v>0.84058614267560239</v>
      </c>
      <c r="AE18" s="629">
        <f>IF(M18="","",AA18*(1/SQRT(Z18^2+AA18^2+AB18^2)))</f>
        <v>-0.43793677721633861</v>
      </c>
      <c r="AF18" s="633">
        <f>IF(M18="","",AB18*(1/SQRT(Z18^2+AA18^2+AB18^2)))</f>
        <v>-0.31878882650293561</v>
      </c>
      <c r="AG18" s="602">
        <f>IF(M18="","",DEGREES(ATAN2(-AF18,AE18)))</f>
        <v>-53.947874341574121</v>
      </c>
      <c r="AH18" s="603">
        <f>IF(M18="","",DEGREES(ACOS(AD18)))</f>
        <v>32.797933308275184</v>
      </c>
      <c r="AI18" s="585">
        <f>IF(M18="","",DEGREES(-ACOS(-AF18)))</f>
        <v>-71.41030594494778</v>
      </c>
      <c r="AJ18" s="586">
        <f>IF(M18="","",DEGREES(ATAN2(-AE18,AD18)))</f>
        <v>62.480947467286974</v>
      </c>
      <c r="AK18" s="635">
        <f>IF(M18="","",(COS(RADIANS((90-$Q$8)-W18))*AD18)+(-SIN(RADIANS((90-$Q$8)-W18))*AE18))</f>
        <v>0.93507404527033677</v>
      </c>
      <c r="AL18" s="629">
        <f>IF(M18="","",(SIN(RADIANS((90-$Q$8)-W18))*AD18)+(COS(RADIANS((90-$Q$8)-W18))*AE18))</f>
        <v>-0.15495229575146457</v>
      </c>
      <c r="AM18" s="634">
        <f>IF(M18="","",AF18)</f>
        <v>-0.31878882650293561</v>
      </c>
      <c r="AN18" s="581">
        <f>IF(M18="","",DEGREES(ATAN2(-AM18,AL18)))</f>
        <v>-25.922794250382612</v>
      </c>
      <c r="AO18" s="582">
        <f t="shared" si="94"/>
        <v>20.759889227883182</v>
      </c>
      <c r="AP18" s="585">
        <f>IF(M18="","",DEGREES(ATAN2(AK18,AL18)))</f>
        <v>-9.4090525327130177</v>
      </c>
      <c r="AQ18" s="586">
        <f t="shared" si="9"/>
        <v>0.76307138623657456</v>
      </c>
      <c r="AS18" s="52">
        <f t="shared" si="116"/>
        <v>-18.110000000000014</v>
      </c>
      <c r="AT18" s="72">
        <f t="shared" si="10"/>
        <v>-0.12105294135844175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1.2150000000000001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0.115</v>
      </c>
      <c r="II18" s="734" cm="1">
        <f t="array" ref="II18">IFERROR(ROUND(VALUE(IF($IH18&lt;1,$IH18+LARGE((IF($M$9:$M$150="",0,$M$9:$M$150)-MOD(IF($M$9:$M$150="",0,$M$9:$M$150),1)),1),$IH18)),4),"")</f>
        <v>5.1150000000000002</v>
      </c>
      <c r="IJ18" s="533">
        <f t="shared" si="112"/>
        <v>1613</v>
      </c>
      <c r="IK18" s="533">
        <f t="shared" si="66"/>
        <v>1313</v>
      </c>
      <c r="IL18" s="727">
        <f t="shared" si="225"/>
        <v>85.939990206561106</v>
      </c>
      <c r="IM18" s="759">
        <v>3.0256607287434199E-2</v>
      </c>
      <c r="IN18" s="5">
        <f t="shared" si="226"/>
        <v>0.14000000000000001</v>
      </c>
      <c r="IO18" s="771">
        <v>70</v>
      </c>
      <c r="IP18" s="9">
        <f t="shared" si="227"/>
        <v>-2.9784089828814926</v>
      </c>
      <c r="IQ18" s="5">
        <f t="shared" si="228"/>
        <v>-0.15470046657660749</v>
      </c>
      <c r="IR18" s="5">
        <f t="shared" si="71"/>
        <v>0.314</v>
      </c>
      <c r="IS18" s="5">
        <f t="shared" si="229"/>
        <v>0.30180998841522183</v>
      </c>
      <c r="IT18" s="727">
        <f t="shared" si="230"/>
        <v>30.731305379144093</v>
      </c>
      <c r="IU18" s="9">
        <f t="shared" si="231"/>
        <v>-2.9873900200101446</v>
      </c>
      <c r="IV18" s="5">
        <f t="shared" si="232"/>
        <v>-0.13362933024733065</v>
      </c>
      <c r="IW18" s="5">
        <f t="shared" si="76"/>
        <v>0.26600000000000001</v>
      </c>
      <c r="IX18" s="5">
        <f t="shared" si="233"/>
        <v>0.24872969604190959</v>
      </c>
      <c r="IY18" s="762">
        <f t="shared" si="234"/>
        <v>25.922794250382612</v>
      </c>
    </row>
    <row r="19" spans="1:269" ht="15" customHeight="1" thickBot="1" x14ac:dyDescent="0.3">
      <c r="A19" s="79"/>
      <c r="B19" s="707">
        <v>1.0197562750338303</v>
      </c>
      <c r="C19" s="708">
        <v>3.5469651312183372</v>
      </c>
      <c r="D19" s="709">
        <v>-0.54809705278414123</v>
      </c>
      <c r="E19" s="710">
        <v>-0.78378449459473665</v>
      </c>
      <c r="F19" s="708">
        <v>0.57764917314159592</v>
      </c>
      <c r="G19" s="711">
        <v>0.22804231800633848</v>
      </c>
      <c r="H19" s="710">
        <v>0.26600000000000001</v>
      </c>
      <c r="I19" s="708">
        <v>0.52</v>
      </c>
      <c r="J19" s="570">
        <v>1.22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1.22</v>
      </c>
      <c r="N19" s="632">
        <f t="shared" si="2"/>
        <v>1.0197562750338303</v>
      </c>
      <c r="O19" s="629">
        <f t="shared" si="3"/>
        <v>3.5469651312183372</v>
      </c>
      <c r="P19" s="633">
        <f t="shared" si="4"/>
        <v>-0.54809705278414123</v>
      </c>
      <c r="Q19" s="585">
        <f t="shared" si="113"/>
        <v>73.959999999999994</v>
      </c>
      <c r="R19" s="629">
        <f>IF(M19="","",SQRT(N19^2+O19^2))</f>
        <v>3.6906455400850389</v>
      </c>
      <c r="S19" s="634">
        <f>IF(M19="","",P19)</f>
        <v>-0.54809705278414123</v>
      </c>
      <c r="T19" s="635">
        <f>IF(M19="","",X19*COS(RADIANS(W19)))</f>
        <v>3.5469651312183368</v>
      </c>
      <c r="U19" s="629">
        <f>IF(M19="","",X19*SIN(RADIANS(W19)))</f>
        <v>-1.019756275033832</v>
      </c>
      <c r="V19" s="636">
        <f>IF(M19="","",Y19)</f>
        <v>-0.54809705278414123</v>
      </c>
      <c r="W19" s="585">
        <f t="shared" si="224"/>
        <v>343.96</v>
      </c>
      <c r="X19" s="629">
        <f>IF(M19="","",R19)</f>
        <v>3.6906455400850389</v>
      </c>
      <c r="Y19" s="630">
        <f t="shared" si="223"/>
        <v>-0.54809705278414123</v>
      </c>
      <c r="Z19" s="632">
        <f t="shared" si="6"/>
        <v>0.78378449459473665</v>
      </c>
      <c r="AA19" s="629">
        <f t="shared" si="7"/>
        <v>-0.57764917314159592</v>
      </c>
      <c r="AB19" s="629">
        <f t="shared" si="8"/>
        <v>-0.22804231800633848</v>
      </c>
      <c r="AC19" s="636">
        <f>IF(M19="","",SQRT(Z19^2+AA19^2+AB19^2))</f>
        <v>1</v>
      </c>
      <c r="AD19" s="637">
        <f>IF(M19="","",Z19*(1/SQRT(Z19^2+AA19^2+AB19^2)))</f>
        <v>0.78378449459473665</v>
      </c>
      <c r="AE19" s="629">
        <f>IF(M19="","",AA19*(1/SQRT(Z19^2+AA19^2+AB19^2)))</f>
        <v>-0.57764917314159592</v>
      </c>
      <c r="AF19" s="633">
        <f>IF(M19="","",AB19*(1/SQRT(Z19^2+AA19^2+AB19^2)))</f>
        <v>-0.22804231800633848</v>
      </c>
      <c r="AG19" s="602">
        <f>IF(M19="","",DEGREES(ATAN2(-AF19,AE19)))</f>
        <v>-68.457058268463555</v>
      </c>
      <c r="AH19" s="603">
        <f>IF(M19="","",DEGREES(ACOS(AD19)))</f>
        <v>38.391601783300914</v>
      </c>
      <c r="AI19" s="585">
        <f>IF(M19="","",DEGREES(-ACOS(-AF19)))</f>
        <v>-76.818157826306901</v>
      </c>
      <c r="AJ19" s="586">
        <f>IF(M19="","",DEGREES(ATAN2(-AE19,AD19)))</f>
        <v>53.609785294255687</v>
      </c>
      <c r="AK19" s="635">
        <f>IF(M19="","",(COS(RADIANS((90-$Q$8)-W19))*AD19)+(-SIN(RADIANS((90-$Q$8)-W19))*AE19))</f>
        <v>0.91288030920431718</v>
      </c>
      <c r="AL19" s="629">
        <f>IF(M19="","",(SIN(RADIANS((90-$Q$8)-W19))*AD19)+(COS(RADIANS((90-$Q$8)-W19))*AE19))</f>
        <v>-0.33859451009330671</v>
      </c>
      <c r="AM19" s="634">
        <f>IF(M19="","",AF19)</f>
        <v>-0.22804231800633848</v>
      </c>
      <c r="AN19" s="581">
        <f>IF(M19="","",DEGREES(ATAN2(-AM19,AL19)))</f>
        <v>-56.039859792124865</v>
      </c>
      <c r="AO19" s="582">
        <f t="shared" si="94"/>
        <v>24.093526074136797</v>
      </c>
      <c r="AP19" s="585">
        <f>IF(M19="","",DEGREES(ATAN2(AK19,AL19)))</f>
        <v>-20.350214705744289</v>
      </c>
      <c r="AQ19" s="586">
        <f t="shared" si="9"/>
        <v>0.61768010221460445</v>
      </c>
      <c r="AS19" s="52">
        <f t="shared" si="116"/>
        <v>-16.04000000000002</v>
      </c>
      <c r="AT19" s="72">
        <f t="shared" si="10"/>
        <v>-0.53695816389525231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0.12</v>
      </c>
      <c r="II19" s="734" cm="1">
        <f t="array" ref="II19">IFERROR(ROUND(VALUE(IF($IH19&lt;1,$IH19+LARGE((IF($M$9:$M$150="",0,$M$9:$M$150)-MOD(IF($M$9:$M$150="",0,$M$9:$M$150),1)),1),$IH19)),4),"")</f>
        <v>5.12</v>
      </c>
      <c r="IJ19" s="533">
        <f t="shared" si="112"/>
        <v>1613</v>
      </c>
      <c r="IK19" s="533">
        <f t="shared" si="66"/>
        <v>1313</v>
      </c>
      <c r="IL19" s="727">
        <f t="shared" si="225"/>
        <v>82.729990371156703</v>
      </c>
      <c r="IM19" s="759">
        <v>1.9058789305040302E-2</v>
      </c>
      <c r="IN19" s="5">
        <f t="shared" si="226"/>
        <v>0.14000000000000001</v>
      </c>
      <c r="IO19" s="771">
        <v>70</v>
      </c>
      <c r="IP19" s="9">
        <f t="shared" si="227"/>
        <v>-3.6607110407044989</v>
      </c>
      <c r="IQ19" s="5">
        <f t="shared" si="228"/>
        <v>-0.56200169499711183</v>
      </c>
      <c r="IR19" s="5">
        <f t="shared" si="71"/>
        <v>0.314</v>
      </c>
      <c r="IS19" s="5">
        <f t="shared" si="229"/>
        <v>0.29590182180342955</v>
      </c>
      <c r="IT19" s="727">
        <f t="shared" si="230"/>
        <v>61.274577397728322</v>
      </c>
      <c r="IU19" s="9">
        <f t="shared" si="231"/>
        <v>-3.6906455400850389</v>
      </c>
      <c r="IV19" s="5">
        <f t="shared" si="232"/>
        <v>-0.54809705278414123</v>
      </c>
      <c r="IW19" s="5">
        <f t="shared" si="76"/>
        <v>0.26600000000000001</v>
      </c>
      <c r="IX19" s="5">
        <f t="shared" si="233"/>
        <v>0.24282616224834838</v>
      </c>
      <c r="IY19" s="762">
        <f t="shared" si="234"/>
        <v>56.039859792124865</v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1.0728927200561553</v>
      </c>
      <c r="C20" s="708">
        <v>3.8530532217116118</v>
      </c>
      <c r="D20" s="709">
        <v>-1.2843789227140228</v>
      </c>
      <c r="E20" s="710">
        <v>-0.71235333915711352</v>
      </c>
      <c r="F20" s="708">
        <v>0.69607076555962533</v>
      </c>
      <c r="G20" s="711">
        <v>8.9656062399301989E-2</v>
      </c>
      <c r="H20" s="710">
        <v>0.26600000000000001</v>
      </c>
      <c r="I20" s="708">
        <v>0.52</v>
      </c>
      <c r="J20" s="570">
        <v>1.2250000000000001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0</v>
      </c>
      <c r="M20" s="168">
        <f t="shared" si="1"/>
        <v>1.2250000000000001</v>
      </c>
      <c r="N20" s="632">
        <f t="shared" si="2"/>
        <v>1.0728927200561553</v>
      </c>
      <c r="O20" s="629">
        <f t="shared" si="3"/>
        <v>3.8530532217116118</v>
      </c>
      <c r="P20" s="633">
        <f t="shared" si="4"/>
        <v>-1.2843789227140228</v>
      </c>
      <c r="Q20" s="585">
        <f t="shared" si="113"/>
        <v>74.44</v>
      </c>
      <c r="R20" s="629">
        <f>IF(M20="","",SQRT(N20^2+O20^2))</f>
        <v>3.9996397235365744</v>
      </c>
      <c r="S20" s="634">
        <f>IF(M20="","",P20)</f>
        <v>-1.2843789227140228</v>
      </c>
      <c r="T20" s="635">
        <f>IF(M20="","",X20*COS(RADIANS(W20)))</f>
        <v>3.8530532217116114</v>
      </c>
      <c r="U20" s="629">
        <f>IF(M20="","",X20*SIN(RADIANS(W20)))</f>
        <v>-1.072892720056156</v>
      </c>
      <c r="V20" s="636">
        <f>IF(M20="","",Y20)</f>
        <v>-1.2843789227140228</v>
      </c>
      <c r="W20" s="585">
        <f t="shared" si="224"/>
        <v>344.44</v>
      </c>
      <c r="X20" s="629">
        <f>IF(M20="","",R20)</f>
        <v>3.9996397235365744</v>
      </c>
      <c r="Y20" s="630">
        <f t="shared" si="223"/>
        <v>-1.2843789227140228</v>
      </c>
      <c r="Z20" s="632">
        <f t="shared" si="6"/>
        <v>0.71235333915711352</v>
      </c>
      <c r="AA20" s="629">
        <f t="shared" si="7"/>
        <v>-0.69607076555962533</v>
      </c>
      <c r="AB20" s="629">
        <f t="shared" si="8"/>
        <v>-8.9656062399301989E-2</v>
      </c>
      <c r="AC20" s="636">
        <f>IF(M20="","",SQRT(Z20^2+AA20^2+AB20^2))</f>
        <v>1</v>
      </c>
      <c r="AD20" s="637">
        <f>IF(M20="","",Z20*(1/SQRT(Z20^2+AA20^2+AB20^2)))</f>
        <v>0.71235333915711352</v>
      </c>
      <c r="AE20" s="629">
        <f>IF(M20="","",AA20*(1/SQRT(Z20^2+AA20^2+AB20^2)))</f>
        <v>-0.69607076555962533</v>
      </c>
      <c r="AF20" s="633">
        <f>IF(M20="","",AB20*(1/SQRT(Z20^2+AA20^2+AB20^2)))</f>
        <v>-8.9656062399301989E-2</v>
      </c>
      <c r="AG20" s="602">
        <f>IF(M20="","",DEGREES(ATAN2(-AF20,AE20)))</f>
        <v>-82.660536594963645</v>
      </c>
      <c r="AH20" s="603">
        <f>IF(M20="","",DEGREES(ACOS(AD20)))</f>
        <v>44.573286519558131</v>
      </c>
      <c r="AI20" s="585">
        <f>IF(M20="","",DEGREES(-ACOS(-AF20)))</f>
        <v>-84.856179071894772</v>
      </c>
      <c r="AJ20" s="586">
        <f>IF(M20="","",DEGREES(ATAN2(-AE20,AD20)))</f>
        <v>45.6623581521131</v>
      </c>
      <c r="AK20" s="635">
        <f>IF(M20="","",(COS(RADIANS((90-$Q$8)-W20))*AD20)+(-SIN(RADIANS((90-$Q$8)-W20))*AE20))</f>
        <v>0.87296477352761992</v>
      </c>
      <c r="AL20" s="629">
        <f>IF(M20="","",(SIN(RADIANS((90-$Q$8)-W20))*AD20)+(COS(RADIANS((90-$Q$8)-W20))*AE20))</f>
        <v>-0.4794729342256181</v>
      </c>
      <c r="AM20" s="634">
        <f>IF(M20="","",AF20)</f>
        <v>-8.9656062399301989E-2</v>
      </c>
      <c r="AN20" s="581">
        <f>IF(M20="","",DEGREES(ATAN2(-AM20,AL20)))</f>
        <v>-79.408642919330987</v>
      </c>
      <c r="AO20" s="582">
        <f t="shared" si="94"/>
        <v>29.194985223926309</v>
      </c>
      <c r="AP20" s="585">
        <f>IF(M20="","",DEGREES(ATAN2(AK20,AL20)))</f>
        <v>-28.77764184788688</v>
      </c>
      <c r="AQ20" s="586">
        <f t="shared" si="9"/>
        <v>0.5699641943139484</v>
      </c>
      <c r="AS20" s="52">
        <f t="shared" si="116"/>
        <v>-15.560000000000002</v>
      </c>
      <c r="AT20" s="72">
        <f t="shared" si="10"/>
        <v>-1.2735733671584673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>Gage</v>
      </c>
      <c r="IG20" s="847">
        <f t="shared" si="210"/>
        <v>1.2250000000000001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0.125</v>
      </c>
      <c r="II20" s="734" cm="1">
        <f t="array" ref="II20">IFERROR(ROUND(VALUE(IF($IH20&lt;1,$IH20+LARGE((IF($M$9:$M$150="",0,$M$9:$M$150)-MOD(IF($M$9:$M$150="",0,$M$9:$M$150),1)),1),$IH20)),4),"")</f>
        <v>5.125</v>
      </c>
      <c r="IJ20" s="533">
        <f t="shared" si="112"/>
        <v>1613</v>
      </c>
      <c r="IK20" s="533">
        <f t="shared" si="66"/>
        <v>1313</v>
      </c>
      <c r="IL20" s="727">
        <f t="shared" si="225"/>
        <v>81.70999044912304</v>
      </c>
      <c r="IM20" s="759">
        <v>5.7695744861645699E-3</v>
      </c>
      <c r="IN20" s="5">
        <f t="shared" si="226"/>
        <v>0.12</v>
      </c>
      <c r="IO20" s="771">
        <v>60</v>
      </c>
      <c r="IP20" s="9">
        <f t="shared" si="227"/>
        <v>-3.9537119243951646</v>
      </c>
      <c r="IQ20" s="5">
        <f t="shared" si="228"/>
        <v>-1.2826038683332672</v>
      </c>
      <c r="IR20" s="5">
        <f t="shared" si="71"/>
        <v>0.314</v>
      </c>
      <c r="IS20" s="5">
        <f t="shared" si="229"/>
        <v>0.2855043855329738</v>
      </c>
      <c r="IT20" s="727">
        <f t="shared" si="230"/>
        <v>83.303844380406446</v>
      </c>
      <c r="IU20" s="9">
        <f t="shared" si="231"/>
        <v>-3.9996397235365744</v>
      </c>
      <c r="IV20" s="5">
        <f t="shared" si="232"/>
        <v>-1.2843789227140228</v>
      </c>
      <c r="IW20" s="5">
        <f t="shared" si="76"/>
        <v>0.26600000000000001</v>
      </c>
      <c r="IX20" s="5">
        <f t="shared" si="233"/>
        <v>0.23220862975834691</v>
      </c>
      <c r="IY20" s="762">
        <f t="shared" si="234"/>
        <v>79.408642919330987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0.7596423664768801</v>
      </c>
      <c r="C21" s="708">
        <v>0.59349766221393463</v>
      </c>
      <c r="D21" s="709">
        <v>-0.5494</v>
      </c>
      <c r="E21" s="710">
        <v>-0.20395216200781119</v>
      </c>
      <c r="F21" s="708">
        <v>-0.15934489267167218</v>
      </c>
      <c r="G21" s="711">
        <v>0.96592583607220739</v>
      </c>
      <c r="H21" s="710">
        <v>0.22499999999999998</v>
      </c>
      <c r="I21" s="708">
        <v>0.33200000000000002</v>
      </c>
      <c r="J21" s="570">
        <v>1.3029999999999999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1.3029999999999999</v>
      </c>
      <c r="N21" s="632">
        <f t="shared" si="2"/>
        <v>0.7596423664768801</v>
      </c>
      <c r="O21" s="629">
        <f t="shared" si="3"/>
        <v>0.59349766221393463</v>
      </c>
      <c r="P21" s="633">
        <f t="shared" si="4"/>
        <v>-0.5494</v>
      </c>
      <c r="Q21" s="585">
        <f t="shared" si="113"/>
        <v>37.999999999999993</v>
      </c>
      <c r="R21" s="629">
        <f>IF(M21="","",SQRT(N21^2+O21^2))</f>
        <v>0.96400000000000019</v>
      </c>
      <c r="S21" s="634">
        <f>IF(M21="","",P21)</f>
        <v>-0.5494</v>
      </c>
      <c r="T21" s="635">
        <f>IF(M21="","",X21*COS(RADIANS(W21)))</f>
        <v>0.59349766221393496</v>
      </c>
      <c r="U21" s="629">
        <f>IF(M21="","",X21*SIN(RADIANS(W21)))</f>
        <v>-0.75964236647687999</v>
      </c>
      <c r="V21" s="636">
        <f>IF(M21="","",Y21)</f>
        <v>-0.5494</v>
      </c>
      <c r="W21" s="585">
        <f t="shared" si="224"/>
        <v>308</v>
      </c>
      <c r="X21" s="629">
        <f>IF(M21="","",R21)</f>
        <v>0.96400000000000019</v>
      </c>
      <c r="Y21" s="630">
        <f t="shared" si="223"/>
        <v>-0.5494</v>
      </c>
      <c r="Z21" s="632">
        <f t="shared" si="6"/>
        <v>0.20395216200781119</v>
      </c>
      <c r="AA21" s="629">
        <f t="shared" si="7"/>
        <v>0.15934489267167218</v>
      </c>
      <c r="AB21" s="629">
        <f t="shared" si="8"/>
        <v>-0.96592583607220739</v>
      </c>
      <c r="AC21" s="636">
        <f>IF(M21="","",SQRT(Z21^2+AA21^2+AB21^2))</f>
        <v>1</v>
      </c>
      <c r="AD21" s="637">
        <f>IF(M21="","",Z21*(1/SQRT(Z21^2+AA21^2+AB21^2)))</f>
        <v>0.20395216200781119</v>
      </c>
      <c r="AE21" s="629">
        <f>IF(M21="","",AA21*(1/SQRT(Z21^2+AA21^2+AB21^2)))</f>
        <v>0.15934489267167218</v>
      </c>
      <c r="AF21" s="633">
        <f>IF(M21="","",AB21*(1/SQRT(Z21^2+AA21^2+AB21^2)))</f>
        <v>-0.96592583607220739</v>
      </c>
      <c r="AG21" s="602">
        <f>IF(M21="","",DEGREES(ATAN2(-AF21,AE21)))</f>
        <v>9.3674869966589007</v>
      </c>
      <c r="AH21" s="603">
        <f>IF(M21="","",DEGREES(ACOS(AD21)))</f>
        <v>78.231833510380937</v>
      </c>
      <c r="AI21" s="585">
        <f>IF(M21="","",DEGREES(-ACOS(-AF21)))</f>
        <v>-14.999997834268255</v>
      </c>
      <c r="AJ21" s="586">
        <f>IF(M21="","",DEGREES(ATAN2(-AE21,AD21)))</f>
        <v>127.99999999999997</v>
      </c>
      <c r="AK21" s="635">
        <f>IF(M21="","",(COS(RADIANS((90-$Q$8)-W21))*AD21)+(-SIN(RADIANS((90-$Q$8)-W21))*AE21))</f>
        <v>1.6653345369377348E-16</v>
      </c>
      <c r="AL21" s="629">
        <f>IF(M21="","",(SIN(RADIANS((90-$Q$8)-W21))*AD21)+(COS(RADIANS((90-$Q$8)-W21))*AE21))</f>
        <v>0.25881900859134593</v>
      </c>
      <c r="AM21" s="634">
        <f>IF(M21="","",AF21)</f>
        <v>-0.96592583607220739</v>
      </c>
      <c r="AN21" s="581">
        <f>IF(M21="","",DEGREES(ATAN2(-AM21,AL21)))</f>
        <v>14.999997834268267</v>
      </c>
      <c r="AO21" s="582">
        <f>IF(ROUND(IF(M21="",0,DEGREES(ACOS(AK21))),4)=90,0,IF(M21="","",DEGREES(ACOS(AK21))))</f>
        <v>0</v>
      </c>
      <c r="AP21" s="585">
        <f>IF(M21="","",DEGREES(ATAN2(AK21,AL21)))</f>
        <v>89.999999999999957</v>
      </c>
      <c r="AQ21" s="586">
        <f t="shared" si="9"/>
        <v>2.363520100694771</v>
      </c>
      <c r="AS21" s="52">
        <f t="shared" si="116"/>
        <v>-52</v>
      </c>
      <c r="AT21" s="72">
        <f t="shared" si="10"/>
        <v>-0.51328888888888891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1.3029999999999999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3.1030000000000002</v>
      </c>
      <c r="II21" s="734" cm="1">
        <f t="array" ref="II21">IFERROR(ROUND(VALUE(IF($IH21&lt;1,$IH21+LARGE((IF($M$9:$M$150="",0,$M$9:$M$150)-MOD(IF($M$9:$M$150="",0,$M$9:$M$150),1)),1),$IH21)),4),"")</f>
        <v>3.1030000000000002</v>
      </c>
      <c r="IJ21" s="533">
        <f t="shared" si="112"/>
        <v>1308</v>
      </c>
      <c r="IK21" s="533" t="str">
        <f t="shared" si="66"/>
        <v>Inactive</v>
      </c>
      <c r="IL21" s="727">
        <f t="shared" si="225"/>
        <v>273.99996794717038</v>
      </c>
      <c r="IM21" s="759">
        <v>7.5276302663758205E-4</v>
      </c>
      <c r="IN21" s="5">
        <f t="shared" si="226"/>
        <v>0</v>
      </c>
      <c r="IO21" s="771">
        <v>0</v>
      </c>
      <c r="IP21" s="9">
        <f t="shared" si="227"/>
        <v>-0.6926020888879002</v>
      </c>
      <c r="IQ21" s="5">
        <f t="shared" si="228"/>
        <v>-0.57200172515720316</v>
      </c>
      <c r="IR21" s="5">
        <f t="shared" si="71"/>
        <v>0.26600000000000001</v>
      </c>
      <c r="IS21" s="5">
        <f t="shared" si="229"/>
        <v>0.24995824171420702</v>
      </c>
      <c r="IT21" s="727">
        <f t="shared" si="230"/>
        <v>-14.999997834268262</v>
      </c>
      <c r="IU21" s="9">
        <f t="shared" si="231"/>
        <v>-0.96400000000000019</v>
      </c>
      <c r="IV21" s="5">
        <f t="shared" si="232"/>
        <v>-0.5494</v>
      </c>
      <c r="IW21" s="5">
        <f t="shared" si="76"/>
        <v>0.22499999999999998</v>
      </c>
      <c r="IX21" s="5">
        <f t="shared" si="233"/>
        <v>0.22499999999999998</v>
      </c>
      <c r="IY21" s="762">
        <f t="shared" si="234"/>
        <v>-14.999997834268267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0.80128628158241111</v>
      </c>
      <c r="C22" s="708">
        <v>1.1443554058717216</v>
      </c>
      <c r="D22" s="709">
        <v>-0.43680000000000013</v>
      </c>
      <c r="E22" s="710">
        <v>-0.148452484607735</v>
      </c>
      <c r="F22" s="708">
        <v>-0.21201211998845118</v>
      </c>
      <c r="G22" s="711">
        <v>0.96592583607220739</v>
      </c>
      <c r="H22" s="710">
        <v>0.22499999999999998</v>
      </c>
      <c r="I22" s="708">
        <v>0.33200000000000002</v>
      </c>
      <c r="J22" s="570">
        <v>1.306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 t="str">
        <f>IF($L21=$JH$22,$JH$30,IF($L21=$JI$22,$JI$30,""))</f>
        <v/>
      </c>
      <c r="M22" s="168">
        <f t="shared" si="1"/>
        <v>1.306</v>
      </c>
      <c r="N22" s="632">
        <f t="shared" si="2"/>
        <v>0.80128628158241111</v>
      </c>
      <c r="O22" s="629">
        <f t="shared" si="3"/>
        <v>1.1443554058717216</v>
      </c>
      <c r="P22" s="633">
        <f t="shared" si="4"/>
        <v>-0.43680000000000013</v>
      </c>
      <c r="Q22" s="585">
        <f t="shared" si="113"/>
        <v>55.000000000000014</v>
      </c>
      <c r="R22" s="629">
        <f t="shared" si="79"/>
        <v>1.3969999999999998</v>
      </c>
      <c r="S22" s="634">
        <f t="shared" si="80"/>
        <v>-0.43680000000000013</v>
      </c>
      <c r="T22" s="635">
        <f t="shared" si="81"/>
        <v>1.1443554058717211</v>
      </c>
      <c r="U22" s="629">
        <f t="shared" si="82"/>
        <v>-0.80128628158241189</v>
      </c>
      <c r="V22" s="636">
        <f t="shared" si="114"/>
        <v>-0.43680000000000013</v>
      </c>
      <c r="W22" s="585">
        <f t="shared" si="224"/>
        <v>325</v>
      </c>
      <c r="X22" s="629">
        <f t="shared" si="83"/>
        <v>1.3969999999999998</v>
      </c>
      <c r="Y22" s="630">
        <f t="shared" si="223"/>
        <v>-0.43680000000000013</v>
      </c>
      <c r="Z22" s="632">
        <f t="shared" si="6"/>
        <v>0.148452484607735</v>
      </c>
      <c r="AA22" s="629">
        <f t="shared" si="7"/>
        <v>0.21201211998845118</v>
      </c>
      <c r="AB22" s="629">
        <f t="shared" si="8"/>
        <v>-0.96592583607220739</v>
      </c>
      <c r="AC22" s="636">
        <f t="shared" si="84"/>
        <v>1</v>
      </c>
      <c r="AD22" s="637">
        <f t="shared" si="115"/>
        <v>0.148452484607735</v>
      </c>
      <c r="AE22" s="629">
        <f t="shared" si="85"/>
        <v>0.21201211998845118</v>
      </c>
      <c r="AF22" s="633">
        <f t="shared" si="86"/>
        <v>-0.96592583607220739</v>
      </c>
      <c r="AG22" s="602">
        <f t="shared" si="87"/>
        <v>12.379603582271065</v>
      </c>
      <c r="AH22" s="603">
        <f t="shared" si="88"/>
        <v>81.462743581188619</v>
      </c>
      <c r="AI22" s="585">
        <f t="shared" si="89"/>
        <v>-14.999997834268255</v>
      </c>
      <c r="AJ22" s="586">
        <f t="shared" si="90"/>
        <v>145</v>
      </c>
      <c r="AK22" s="635">
        <f t="shared" si="211"/>
        <v>-1.2490009027033011E-16</v>
      </c>
      <c r="AL22" s="629">
        <f t="shared" si="91"/>
        <v>0.25881900859134599</v>
      </c>
      <c r="AM22" s="634">
        <f t="shared" si="92"/>
        <v>-0.96592583607220739</v>
      </c>
      <c r="AN22" s="581">
        <f t="shared" si="93"/>
        <v>14.999997834268271</v>
      </c>
      <c r="AO22" s="582">
        <f t="shared" si="94"/>
        <v>0</v>
      </c>
      <c r="AP22" s="585">
        <f t="shared" si="95"/>
        <v>90.000000000000028</v>
      </c>
      <c r="AQ22" s="586">
        <f t="shared" si="9"/>
        <v>1.631431993129481</v>
      </c>
      <c r="AS22" s="52">
        <f t="shared" si="116"/>
        <v>-35</v>
      </c>
      <c r="AT22" s="72">
        <f t="shared" si="10"/>
        <v>-0.41249444444444455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1.306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3.1059999999999999</v>
      </c>
      <c r="II22" s="734" cm="1">
        <f t="array" ref="II22">IFERROR(ROUND(VALUE(IF($IH22&lt;1,$IH22+LARGE((IF($M$9:$M$150="",0,$M$9:$M$150)-MOD(IF($M$9:$M$150="",0,$M$9:$M$150),1)),1),$IH22)),4),"")</f>
        <v>3.1059999999999999</v>
      </c>
      <c r="IJ22" s="533">
        <f t="shared" si="112"/>
        <v>1308</v>
      </c>
      <c r="IK22" s="533" t="str">
        <f t="shared" si="66"/>
        <v>Inactive</v>
      </c>
      <c r="IL22" s="727">
        <f t="shared" si="225"/>
        <v>256.99996794717038</v>
      </c>
      <c r="IM22" s="759">
        <v>1.24014597344486E-4</v>
      </c>
      <c r="IN22" s="5">
        <f t="shared" si="226"/>
        <v>0</v>
      </c>
      <c r="IO22" s="771">
        <v>0</v>
      </c>
      <c r="IP22" s="9">
        <f t="shared" si="227"/>
        <v>-1.2825038680316658</v>
      </c>
      <c r="IQ22" s="5">
        <f t="shared" si="228"/>
        <v>-0.4211012700414305</v>
      </c>
      <c r="IR22" s="5">
        <f t="shared" si="71"/>
        <v>0.26600000000000001</v>
      </c>
      <c r="IS22" s="5">
        <f t="shared" si="229"/>
        <v>0.25693627239520717</v>
      </c>
      <c r="IT22" s="727">
        <f t="shared" si="230"/>
        <v>-14.999997834268299</v>
      </c>
      <c r="IU22" s="9">
        <f t="shared" si="231"/>
        <v>-1.3969999999999998</v>
      </c>
      <c r="IV22" s="5">
        <f t="shared" si="232"/>
        <v>-0.43680000000000013</v>
      </c>
      <c r="IW22" s="5">
        <f t="shared" si="76"/>
        <v>0.22499999999999998</v>
      </c>
      <c r="IX22" s="5">
        <f t="shared" si="233"/>
        <v>0.22499999999999998</v>
      </c>
      <c r="IY22" s="762">
        <f t="shared" si="234"/>
        <v>-14.999997834268271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2.4544853096476063</v>
      </c>
      <c r="C23" s="708">
        <v>0.90988817351701767</v>
      </c>
      <c r="D23" s="709">
        <v>-0.13160039690679703</v>
      </c>
      <c r="E23" s="710">
        <v>-0.26935369946132587</v>
      </c>
      <c r="F23" s="708">
        <v>0.92778709424256467</v>
      </c>
      <c r="G23" s="711">
        <v>0.25818538367505683</v>
      </c>
      <c r="H23" s="710">
        <v>0.314</v>
      </c>
      <c r="I23" s="708">
        <v>0.52</v>
      </c>
      <c r="J23" s="570">
        <v>2.113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2.113</v>
      </c>
      <c r="N23" s="632">
        <f t="shared" si="2"/>
        <v>2.4544853096476063</v>
      </c>
      <c r="O23" s="629">
        <f t="shared" si="3"/>
        <v>0.90988817351701767</v>
      </c>
      <c r="P23" s="633">
        <f t="shared" si="4"/>
        <v>-0.13160039690679703</v>
      </c>
      <c r="Q23" s="585">
        <f t="shared" si="113"/>
        <v>20.339958080096615</v>
      </c>
      <c r="R23" s="629">
        <f t="shared" si="79"/>
        <v>2.6177078950070114</v>
      </c>
      <c r="S23" s="634">
        <f t="shared" si="80"/>
        <v>-0.13160039690679703</v>
      </c>
      <c r="T23" s="635">
        <f t="shared" si="81"/>
        <v>0.9098881735170159</v>
      </c>
      <c r="U23" s="629">
        <f t="shared" si="82"/>
        <v>-2.4544853096476067</v>
      </c>
      <c r="V23" s="636">
        <f t="shared" si="114"/>
        <v>-0.13160039690679703</v>
      </c>
      <c r="W23" s="585">
        <f t="shared" si="224"/>
        <v>290.33995808009661</v>
      </c>
      <c r="X23" s="629">
        <f t="shared" si="83"/>
        <v>2.6177078950070114</v>
      </c>
      <c r="Y23" s="630">
        <f t="shared" si="223"/>
        <v>-0.13160039690679703</v>
      </c>
      <c r="Z23" s="632">
        <f t="shared" si="6"/>
        <v>0.26935369946132587</v>
      </c>
      <c r="AA23" s="629">
        <f t="shared" si="7"/>
        <v>-0.92778709424256467</v>
      </c>
      <c r="AB23" s="629">
        <f t="shared" si="8"/>
        <v>-0.25818538367505683</v>
      </c>
      <c r="AC23" s="636">
        <f t="shared" si="84"/>
        <v>1</v>
      </c>
      <c r="AD23" s="637">
        <f t="shared" si="115"/>
        <v>0.26935369946132587</v>
      </c>
      <c r="AE23" s="629">
        <f t="shared" si="85"/>
        <v>-0.92778709424256467</v>
      </c>
      <c r="AF23" s="633">
        <f t="shared" si="86"/>
        <v>-0.25818538367505683</v>
      </c>
      <c r="AG23" s="602">
        <f t="shared" si="87"/>
        <v>-74.449133169922078</v>
      </c>
      <c r="AH23" s="603">
        <f t="shared" si="88"/>
        <v>74.37418816725949</v>
      </c>
      <c r="AI23" s="585">
        <f t="shared" si="89"/>
        <v>-75.037583566657162</v>
      </c>
      <c r="AJ23" s="586">
        <f t="shared" si="90"/>
        <v>16.188987321092469</v>
      </c>
      <c r="AK23" s="635">
        <f t="shared" si="211"/>
        <v>0.96356111533413691</v>
      </c>
      <c r="AL23" s="629">
        <f t="shared" si="91"/>
        <v>-6.9930570372320144E-2</v>
      </c>
      <c r="AM23" s="634">
        <f t="shared" si="92"/>
        <v>-0.25818538367505683</v>
      </c>
      <c r="AN23" s="581">
        <f t="shared" si="93"/>
        <v>-15.155176708468353</v>
      </c>
      <c r="AO23" s="582">
        <f t="shared" si="94"/>
        <v>15.514859059452535</v>
      </c>
      <c r="AP23" s="585">
        <f t="shared" si="95"/>
        <v>-4.1509707590041085</v>
      </c>
      <c r="AQ23" s="586">
        <f t="shared" si="9"/>
        <v>0.87081950397539043</v>
      </c>
      <c r="AS23" s="52">
        <f t="shared" si="116"/>
        <v>-69.660041919903392</v>
      </c>
      <c r="AT23" s="72">
        <f t="shared" si="10"/>
        <v>-8.3225367795753014E-2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17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8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50</v>
      </c>
      <c r="JI23" s="801">
        <v>60</v>
      </c>
    </row>
    <row r="24" spans="1:269" ht="15" customHeight="1" x14ac:dyDescent="0.25">
      <c r="A24" s="79"/>
      <c r="B24" s="707">
        <v>3.2333357754410832</v>
      </c>
      <c r="C24" s="708">
        <v>1.1202722904146087</v>
      </c>
      <c r="D24" s="709">
        <v>-0.34780104896796399</v>
      </c>
      <c r="E24" s="710">
        <v>-9.7642756048131871E-2</v>
      </c>
      <c r="F24" s="708">
        <v>0.97911631527004728</v>
      </c>
      <c r="G24" s="711">
        <v>0.17831750717002104</v>
      </c>
      <c r="H24" s="710">
        <v>0.314</v>
      </c>
      <c r="I24" s="708">
        <v>0.52</v>
      </c>
      <c r="J24" s="570">
        <v>2.1179999999999999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2.1179999999999999</v>
      </c>
      <c r="N24" s="632">
        <f t="shared" si="2"/>
        <v>3.2333357754410832</v>
      </c>
      <c r="O24" s="629">
        <f t="shared" si="3"/>
        <v>1.1202722904146087</v>
      </c>
      <c r="P24" s="633">
        <f t="shared" si="4"/>
        <v>-0.34780104896796399</v>
      </c>
      <c r="Q24" s="585">
        <f t="shared" si="113"/>
        <v>19.109958257686621</v>
      </c>
      <c r="R24" s="629">
        <f t="shared" si="79"/>
        <v>3.4219103204815267</v>
      </c>
      <c r="S24" s="634">
        <f t="shared" si="80"/>
        <v>-0.34780104896796399</v>
      </c>
      <c r="T24" s="635">
        <f t="shared" si="81"/>
        <v>1.1202722904146083</v>
      </c>
      <c r="U24" s="629">
        <f t="shared" si="82"/>
        <v>-3.2333357754410832</v>
      </c>
      <c r="V24" s="636">
        <f t="shared" si="114"/>
        <v>-0.34780104896796399</v>
      </c>
      <c r="W24" s="585">
        <f t="shared" si="224"/>
        <v>289.10995825768663</v>
      </c>
      <c r="X24" s="629">
        <f t="shared" si="83"/>
        <v>3.4219103204815267</v>
      </c>
      <c r="Y24" s="630">
        <f t="shared" si="223"/>
        <v>-0.34780104896796399</v>
      </c>
      <c r="Z24" s="632">
        <f t="shared" si="6"/>
        <v>9.7642756048131871E-2</v>
      </c>
      <c r="AA24" s="629">
        <f t="shared" si="7"/>
        <v>-0.97911631527004728</v>
      </c>
      <c r="AB24" s="629">
        <f t="shared" si="8"/>
        <v>-0.17831750717002104</v>
      </c>
      <c r="AC24" s="636">
        <f t="shared" si="84"/>
        <v>1</v>
      </c>
      <c r="AD24" s="637">
        <f t="shared" si="115"/>
        <v>9.7642756048131871E-2</v>
      </c>
      <c r="AE24" s="629">
        <f t="shared" si="85"/>
        <v>-0.97911631527004728</v>
      </c>
      <c r="AF24" s="633">
        <f t="shared" si="86"/>
        <v>-0.17831750717002104</v>
      </c>
      <c r="AG24" s="602">
        <f t="shared" si="87"/>
        <v>-79.678367091857595</v>
      </c>
      <c r="AH24" s="603">
        <f t="shared" si="88"/>
        <v>84.39655403091767</v>
      </c>
      <c r="AI24" s="585">
        <f t="shared" si="89"/>
        <v>-79.728225327752725</v>
      </c>
      <c r="AJ24" s="586">
        <f t="shared" si="90"/>
        <v>5.6950144822843463</v>
      </c>
      <c r="AK24" s="635">
        <f>IF(M24="","",(COS(RADIANS((90-$Q$8)-W24))*AD24)+(-SIN(RADIANS((90-$Q$8)-W24))*AE24))</f>
        <v>0.95712569228881739</v>
      </c>
      <c r="AL24" s="629">
        <f t="shared" si="91"/>
        <v>-0.22828332351996655</v>
      </c>
      <c r="AM24" s="634">
        <f t="shared" si="92"/>
        <v>-0.17831750717002104</v>
      </c>
      <c r="AN24" s="581">
        <f t="shared" si="93"/>
        <v>-52.005762659276925</v>
      </c>
      <c r="AO24" s="582">
        <f t="shared" si="94"/>
        <v>16.838376123301963</v>
      </c>
      <c r="AP24" s="585">
        <f t="shared" si="95"/>
        <v>-13.41494377540227</v>
      </c>
      <c r="AQ24" s="586">
        <f t="shared" si="9"/>
        <v>0.66618458276399539</v>
      </c>
      <c r="AS24" s="52">
        <f t="shared" si="116"/>
        <v>-70.890041742313372</v>
      </c>
      <c r="AT24" s="72">
        <f t="shared" si="10"/>
        <v>-0.29857185331357972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2.1179999999999999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0</v>
      </c>
      <c r="JI24" s="803" t="str">
        <v/>
      </c>
    </row>
    <row r="25" spans="1:269" ht="15" customHeight="1" x14ac:dyDescent="0.25">
      <c r="A25" s="79"/>
      <c r="B25" s="707">
        <v>3.6959103130247208</v>
      </c>
      <c r="C25" s="708">
        <v>1.2201560326021905</v>
      </c>
      <c r="D25" s="709">
        <v>-0.97260293337044668</v>
      </c>
      <c r="E25" s="710">
        <v>5.7506726258297641E-2</v>
      </c>
      <c r="F25" s="708">
        <v>0.99376741632586707</v>
      </c>
      <c r="G25" s="711">
        <v>9.5495019158404332E-2</v>
      </c>
      <c r="H25" s="710">
        <v>0.314</v>
      </c>
      <c r="I25" s="708">
        <v>0.52</v>
      </c>
      <c r="J25" s="570">
        <v>2.1230000000000002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2.1230000000000002</v>
      </c>
      <c r="N25" s="632">
        <f t="shared" si="2"/>
        <v>3.6959103130247208</v>
      </c>
      <c r="O25" s="629">
        <f t="shared" si="3"/>
        <v>1.2201560326021905</v>
      </c>
      <c r="P25" s="633">
        <f t="shared" si="4"/>
        <v>-0.97260293337044668</v>
      </c>
      <c r="Q25" s="585">
        <f t="shared" si="113"/>
        <v>18.269958378967608</v>
      </c>
      <c r="R25" s="629">
        <f>IF(M25="","",SQRT(N25^2+O25^2))</f>
        <v>3.8921117386090045</v>
      </c>
      <c r="S25" s="634">
        <f>IF(M25="","",P25)</f>
        <v>-0.97260293337044668</v>
      </c>
      <c r="T25" s="635">
        <f>IF(M25="","",X25*COS(RADIANS(W25)))</f>
        <v>1.2201560326021887</v>
      </c>
      <c r="U25" s="629">
        <f>IF(M25="","",X25*SIN(RADIANS(W25)))</f>
        <v>-3.6959103130247213</v>
      </c>
      <c r="V25" s="636">
        <f>IF(M25="","",Y25)</f>
        <v>-0.97260293337044668</v>
      </c>
      <c r="W25" s="585">
        <f t="shared" si="224"/>
        <v>288.2699583789676</v>
      </c>
      <c r="X25" s="629">
        <f>IF(M25="","",R25)</f>
        <v>3.8921117386090045</v>
      </c>
      <c r="Y25" s="630">
        <f t="shared" si="223"/>
        <v>-0.97260293337044668</v>
      </c>
      <c r="Z25" s="632">
        <f t="shared" si="6"/>
        <v>-5.7506726258297641E-2</v>
      </c>
      <c r="AA25" s="629">
        <f t="shared" si="7"/>
        <v>-0.99376741632586707</v>
      </c>
      <c r="AB25" s="629">
        <f t="shared" si="8"/>
        <v>-9.5495019158404332E-2</v>
      </c>
      <c r="AC25" s="636">
        <f>IF(M25="","",SQRT(Z25^2+AA25^2+AB25^2))</f>
        <v>1</v>
      </c>
      <c r="AD25" s="637">
        <f>IF(M25="","",Z25*(1/SQRT(Z25^2+AA25^2+AB25^2)))</f>
        <v>-5.7506726258297641E-2</v>
      </c>
      <c r="AE25" s="629">
        <f>IF(M25="","",AA25*(1/SQRT(Z25^2+AA25^2+AB25^2)))</f>
        <v>-0.99376741632586707</v>
      </c>
      <c r="AF25" s="633">
        <f>IF(M25="","",AB25*(1/SQRT(Z25^2+AA25^2+AB25^2)))</f>
        <v>-9.5495019158404332E-2</v>
      </c>
      <c r="AG25" s="602">
        <f>IF(M25="","",DEGREES(ATAN2(-AF25,AE25)))</f>
        <v>-84.511076806758282</v>
      </c>
      <c r="AH25" s="603">
        <f>IF(M25="","",DEGREES(ACOS(AD25)))</f>
        <v>93.296711464089242</v>
      </c>
      <c r="AI25" s="585">
        <f>IF(M25="","",DEGREES(-ACOS(-AF25)))</f>
        <v>-84.520188143099674</v>
      </c>
      <c r="AJ25" s="586">
        <f>IF(M25="","",DEGREES(ATAN2(-AE25,AD25)))</f>
        <v>-3.3118637504487887</v>
      </c>
      <c r="AK25" s="635">
        <f>IF(M25="","",(COS(RADIANS((90-$Q$8)-W25))*AD25)+(-SIN(RADIANS((90-$Q$8)-W25))*AE25))</f>
        <v>0.92564353383004505</v>
      </c>
      <c r="AL25" s="629">
        <f>IF(M25="","",(SIN(RADIANS((90-$Q$8)-W25))*AD25)+(COS(RADIANS((90-$Q$8)-W25))*AE25))</f>
        <v>-0.36614853487971555</v>
      </c>
      <c r="AM25" s="634">
        <f>IF(M25="","",AF25)</f>
        <v>-9.5495019158404332E-2</v>
      </c>
      <c r="AN25" s="581">
        <f>IF(M25="","",DEGREES(ATAN2(-AM25,AL25)))</f>
        <v>-75.382347844056042</v>
      </c>
      <c r="AO25" s="582">
        <f>IF(ROUND(IF(M25="",0,DEGREES(ACOS(AK25))),4)=90,0,IF(M25="","",DEGREES(ACOS(AK25))))</f>
        <v>22.234404702348559</v>
      </c>
      <c r="AP25" s="585">
        <f>IF(M25="","",DEGREES(ATAN2(AK25,AL25)))</f>
        <v>-21.58182212941637</v>
      </c>
      <c r="AQ25" s="586">
        <f t="shared" si="9"/>
        <v>0.58570960276783768</v>
      </c>
      <c r="AS25" s="52">
        <f t="shared" si="116"/>
        <v>-71.730041621032399</v>
      </c>
      <c r="AT25" s="72">
        <f t="shared" si="10"/>
        <v>-0.92279040446695193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3.7652853922484231</v>
      </c>
      <c r="C26" s="708">
        <v>1.2335920929914468</v>
      </c>
      <c r="D26" s="709">
        <v>-1.7192051851228383</v>
      </c>
      <c r="E26" s="710">
        <v>0.15197513849577274</v>
      </c>
      <c r="F26" s="708">
        <v>0.98827818184161653</v>
      </c>
      <c r="G26" s="711">
        <v>1.4484218136286454E-2</v>
      </c>
      <c r="H26" s="710">
        <v>0.314</v>
      </c>
      <c r="I26" s="708">
        <v>0.52</v>
      </c>
      <c r="J26" s="570">
        <v>2.1280000000000001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843"/>
      <c r="M26" s="168">
        <f t="shared" si="1"/>
        <v>2.1280000000000001</v>
      </c>
      <c r="N26" s="632">
        <f t="shared" si="2"/>
        <v>3.7652853922484231</v>
      </c>
      <c r="O26" s="629">
        <f t="shared" si="3"/>
        <v>1.2335920929914468</v>
      </c>
      <c r="P26" s="633">
        <f t="shared" si="4"/>
        <v>-1.7192051851228383</v>
      </c>
      <c r="Q26" s="585">
        <f t="shared" si="113"/>
        <v>18.139958397737267</v>
      </c>
      <c r="R26" s="629">
        <f>IF(M26="","",SQRT(N26^2+O26^2))</f>
        <v>3.962211950031242</v>
      </c>
      <c r="S26" s="634">
        <f>IF(M26="","",P26)</f>
        <v>-1.7192051851228383</v>
      </c>
      <c r="T26" s="635">
        <f>IF(M26="","",X26*COS(RADIANS(W26)))</f>
        <v>1.2335920929914448</v>
      </c>
      <c r="U26" s="629">
        <f>IF(M26="","",X26*SIN(RADIANS(W26)))</f>
        <v>-3.7652853922484235</v>
      </c>
      <c r="V26" s="636">
        <f>IF(M26="","",Y26)</f>
        <v>-1.7192051851228383</v>
      </c>
      <c r="W26" s="585">
        <f t="shared" si="224"/>
        <v>288.13995839773725</v>
      </c>
      <c r="X26" s="629">
        <f>IF(M26="","",R26)</f>
        <v>3.962211950031242</v>
      </c>
      <c r="Y26" s="630">
        <f t="shared" si="223"/>
        <v>-1.7192051851228383</v>
      </c>
      <c r="Z26" s="632">
        <f t="shared" si="6"/>
        <v>-0.15197513849577274</v>
      </c>
      <c r="AA26" s="629">
        <f t="shared" si="7"/>
        <v>-0.98827818184161653</v>
      </c>
      <c r="AB26" s="629">
        <f t="shared" si="8"/>
        <v>-1.4484218136286454E-2</v>
      </c>
      <c r="AC26" s="636">
        <f>IF(M26="","",SQRT(Z26^2+AA26^2+AB26^2))</f>
        <v>1</v>
      </c>
      <c r="AD26" s="637">
        <f>IF(M26="","",Z26*(1/SQRT(Z26^2+AA26^2+AB26^2)))</f>
        <v>-0.15197513849577274</v>
      </c>
      <c r="AE26" s="629">
        <f>IF(M26="","",AA26*(1/SQRT(Z26^2+AA26^2+AB26^2)))</f>
        <v>-0.98827818184161653</v>
      </c>
      <c r="AF26" s="633">
        <f>IF(M26="","",AB26*(1/SQRT(Z26^2+AA26^2+AB26^2)))</f>
        <v>-1.4484218136286454E-2</v>
      </c>
      <c r="AG26" s="602">
        <f>IF(M26="","",DEGREES(ATAN2(-AF26,AE26)))</f>
        <v>-89.160332412191735</v>
      </c>
      <c r="AH26" s="603">
        <f>IF(M26="","",DEGREES(ACOS(AD26)))</f>
        <v>98.741406110927556</v>
      </c>
      <c r="AI26" s="585">
        <f>IF(M26="","",DEGREES(-ACOS(-AF26)))</f>
        <v>-89.170086411234067</v>
      </c>
      <c r="AJ26" s="586">
        <f>IF(M26="","",DEGREES(ATAN2(-AE26,AD26)))</f>
        <v>-8.7423303798096956</v>
      </c>
      <c r="AK26" s="635">
        <f>IF(M26="","",(COS(RADIANS((90-$Q$8)-W26))*AD26)+(-SIN(RADIANS((90-$Q$8)-W26))*AE26))</f>
        <v>0.89184377740280696</v>
      </c>
      <c r="AL26" s="629">
        <f>IF(M26="","",(SIN(RADIANS((90-$Q$8)-W26))*AD26)+(COS(RADIANS((90-$Q$8)-W26))*AE26))</f>
        <v>-0.45211158371896754</v>
      </c>
      <c r="AM26" s="634">
        <f>IF(M26="","",AF26)</f>
        <v>-1.4484218136286454E-2</v>
      </c>
      <c r="AN26" s="581">
        <f>IF(M26="","",DEGREES(ATAN2(-AM26,AL26)))</f>
        <v>-88.165052934260245</v>
      </c>
      <c r="AO26" s="582">
        <f t="shared" si="94"/>
        <v>26.894142645187767</v>
      </c>
      <c r="AP26" s="585">
        <f>IF(M26="","",DEGREES(ATAN2(AK26,AL26)))</f>
        <v>-26.882288777546933</v>
      </c>
      <c r="AQ26" s="586">
        <f t="shared" si="9"/>
        <v>0.57534781935022183</v>
      </c>
      <c r="AS26" s="52">
        <f t="shared" si="116"/>
        <v>-71.860041602262754</v>
      </c>
      <c r="AT26" s="72">
        <f t="shared" si="10"/>
        <v>-1.6693023784546002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2.1280000000000001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3.8484233746947676</v>
      </c>
      <c r="C27" s="708">
        <v>1.2489404605862451</v>
      </c>
      <c r="D27" s="709">
        <v>-2.3721071542751773</v>
      </c>
      <c r="E27" s="710">
        <v>0.23510142086784783</v>
      </c>
      <c r="F27" s="708">
        <v>0.97113345792988615</v>
      </c>
      <c r="G27" s="711">
        <v>4.0337684552552579E-2</v>
      </c>
      <c r="H27" s="710">
        <v>0.26600000000000001</v>
      </c>
      <c r="I27" s="708">
        <v>0.52</v>
      </c>
      <c r="J27" s="570">
        <v>2.133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2.133</v>
      </c>
      <c r="N27" s="632">
        <f t="shared" si="2"/>
        <v>3.8484233746947676</v>
      </c>
      <c r="O27" s="629">
        <f t="shared" si="3"/>
        <v>1.2489404605862451</v>
      </c>
      <c r="P27" s="633">
        <f t="shared" si="4"/>
        <v>-2.3721071542751773</v>
      </c>
      <c r="Q27" s="585">
        <f t="shared" si="113"/>
        <v>17.979958420838411</v>
      </c>
      <c r="R27" s="629">
        <f t="shared" si="79"/>
        <v>4.0460122027728049</v>
      </c>
      <c r="S27" s="634">
        <f t="shared" si="80"/>
        <v>-2.3721071542751773</v>
      </c>
      <c r="T27" s="635">
        <f t="shared" si="81"/>
        <v>1.2489404605862446</v>
      </c>
      <c r="U27" s="629">
        <f t="shared" si="82"/>
        <v>-3.8484233746947676</v>
      </c>
      <c r="V27" s="636">
        <f t="shared" si="114"/>
        <v>-2.3721071542751773</v>
      </c>
      <c r="W27" s="585">
        <f t="shared" si="224"/>
        <v>287.97995842083839</v>
      </c>
      <c r="X27" s="629">
        <f t="shared" si="83"/>
        <v>4.0460122027728049</v>
      </c>
      <c r="Y27" s="630">
        <f t="shared" si="223"/>
        <v>-2.3721071542751773</v>
      </c>
      <c r="Z27" s="632">
        <f t="shared" si="6"/>
        <v>-0.23510142086784783</v>
      </c>
      <c r="AA27" s="629">
        <f t="shared" si="7"/>
        <v>-0.97113345792988615</v>
      </c>
      <c r="AB27" s="629">
        <f t="shared" si="8"/>
        <v>-4.0337684552552579E-2</v>
      </c>
      <c r="AC27" s="636">
        <f t="shared" si="84"/>
        <v>1</v>
      </c>
      <c r="AD27" s="637">
        <f t="shared" si="115"/>
        <v>-0.23510142086784783</v>
      </c>
      <c r="AE27" s="629">
        <f t="shared" si="85"/>
        <v>-0.97113345792988615</v>
      </c>
      <c r="AF27" s="633">
        <f t="shared" si="86"/>
        <v>-4.0337684552552579E-2</v>
      </c>
      <c r="AG27" s="602">
        <f t="shared" si="87"/>
        <v>-87.621489324591892</v>
      </c>
      <c r="AH27" s="603">
        <f t="shared" si="88"/>
        <v>103.59760126023384</v>
      </c>
      <c r="AI27" s="585">
        <f t="shared" si="89"/>
        <v>-87.688193696103212</v>
      </c>
      <c r="AJ27" s="586">
        <f t="shared" si="90"/>
        <v>-13.60889030826548</v>
      </c>
      <c r="AK27" s="635">
        <f t="shared" si="211"/>
        <v>0.85113559969550467</v>
      </c>
      <c r="AL27" s="629">
        <f t="shared" si="91"/>
        <v>-0.52339379260353525</v>
      </c>
      <c r="AM27" s="634">
        <f t="shared" si="92"/>
        <v>-4.0337684552552579E-2</v>
      </c>
      <c r="AN27" s="581">
        <f t="shared" si="93"/>
        <v>-85.59295611608205</v>
      </c>
      <c r="AO27" s="582">
        <f t="shared" si="94"/>
        <v>31.664600891226737</v>
      </c>
      <c r="AP27" s="585">
        <f t="shared" si="95"/>
        <v>-31.588848729103887</v>
      </c>
      <c r="AQ27" s="586">
        <f t="shared" si="9"/>
        <v>0.56343209859672183</v>
      </c>
      <c r="AS27" s="52">
        <f t="shared" si="116"/>
        <v>-72.020041579161614</v>
      </c>
      <c r="AT27" s="72">
        <f t="shared" si="10"/>
        <v>-2.3220932365118707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2.133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2.8223929391574756</v>
      </c>
      <c r="C28" s="708">
        <v>5.6654594878439435E-2</v>
      </c>
      <c r="D28" s="709">
        <v>-0.11000000000000008</v>
      </c>
      <c r="E28" s="710">
        <v>9.6091561531104458E-2</v>
      </c>
      <c r="F28" s="708">
        <v>0.93831954184776989</v>
      </c>
      <c r="G28" s="711">
        <v>0.3321488358990668</v>
      </c>
      <c r="H28" s="710">
        <v>0.26600000000000001</v>
      </c>
      <c r="I28" s="708">
        <v>0.52</v>
      </c>
      <c r="J28" s="570">
        <v>2.214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2.214</v>
      </c>
      <c r="N28" s="632">
        <f t="shared" si="2"/>
        <v>2.8223929391574756</v>
      </c>
      <c r="O28" s="629">
        <f t="shared" si="3"/>
        <v>5.6654594878439435E-2</v>
      </c>
      <c r="P28" s="633">
        <f t="shared" si="4"/>
        <v>-0.11000000000000008</v>
      </c>
      <c r="Q28" s="585">
        <f t="shared" si="113"/>
        <v>1.149957984804417</v>
      </c>
      <c r="R28" s="629">
        <f t="shared" si="79"/>
        <v>2.8229615027709487</v>
      </c>
      <c r="S28" s="634">
        <f t="shared" si="80"/>
        <v>-0.11000000000000008</v>
      </c>
      <c r="T28" s="635">
        <f t="shared" si="81"/>
        <v>5.6654594878440351E-2</v>
      </c>
      <c r="U28" s="629">
        <f t="shared" si="82"/>
        <v>-2.8223929391574756</v>
      </c>
      <c r="V28" s="636">
        <f t="shared" si="114"/>
        <v>-0.11000000000000008</v>
      </c>
      <c r="W28" s="585">
        <f t="shared" si="224"/>
        <v>271.14995798480442</v>
      </c>
      <c r="X28" s="629">
        <f t="shared" si="83"/>
        <v>2.8229615027709487</v>
      </c>
      <c r="Y28" s="630">
        <f t="shared" si="223"/>
        <v>-0.11000000000000008</v>
      </c>
      <c r="Z28" s="632">
        <f t="shared" si="6"/>
        <v>-9.6091561531104458E-2</v>
      </c>
      <c r="AA28" s="629">
        <f t="shared" si="7"/>
        <v>-0.93831954184776989</v>
      </c>
      <c r="AB28" s="629">
        <f t="shared" si="8"/>
        <v>-0.3321488358990668</v>
      </c>
      <c r="AC28" s="636">
        <f t="shared" si="84"/>
        <v>1</v>
      </c>
      <c r="AD28" s="637">
        <f t="shared" si="115"/>
        <v>-9.6091561531104458E-2</v>
      </c>
      <c r="AE28" s="629">
        <f t="shared" si="85"/>
        <v>-0.93831954184776989</v>
      </c>
      <c r="AF28" s="633">
        <f t="shared" si="86"/>
        <v>-0.3321488358990668</v>
      </c>
      <c r="AG28" s="602">
        <f t="shared" si="87"/>
        <v>-70.506920425740546</v>
      </c>
      <c r="AH28" s="603">
        <f t="shared" si="88"/>
        <v>95.51414912625124</v>
      </c>
      <c r="AI28" s="585">
        <f t="shared" si="89"/>
        <v>-70.6007469142112</v>
      </c>
      <c r="AJ28" s="586">
        <f t="shared" si="90"/>
        <v>-5.847170624138772</v>
      </c>
      <c r="AK28" s="635">
        <f t="shared" si="211"/>
        <v>0.93620207661375243</v>
      </c>
      <c r="AL28" s="629">
        <f t="shared" si="91"/>
        <v>-0.11490353586810259</v>
      </c>
      <c r="AM28" s="634">
        <f t="shared" si="92"/>
        <v>-0.3321488358990668</v>
      </c>
      <c r="AN28" s="581">
        <f t="shared" si="93"/>
        <v>-19.082544831840952</v>
      </c>
      <c r="AO28" s="582">
        <f t="shared" si="94"/>
        <v>20.576775356644287</v>
      </c>
      <c r="AP28" s="585">
        <f t="shared" si="95"/>
        <v>-6.9971286089432088</v>
      </c>
      <c r="AQ28" s="586">
        <f t="shared" si="9"/>
        <v>0.80751214078924538</v>
      </c>
      <c r="AS28" s="52">
        <f t="shared" si="116"/>
        <v>-88.850042015195584</v>
      </c>
      <c r="AT28" s="72">
        <f t="shared" si="10"/>
        <v>-4.829858193389204E-2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2.214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1.1140000000000001</v>
      </c>
      <c r="II28" s="734" cm="1">
        <f t="array" ref="II28">IFERROR(ROUND(VALUE(IF($IH28&lt;1,$IH28+LARGE((IF($M$9:$M$150="",0,$M$9:$M$150)-MOD(IF($M$9:$M$150="",0,$M$9:$M$150),1)),1),$IH28)),4),"")</f>
        <v>1.1140000000000001</v>
      </c>
      <c r="IJ28" s="533">
        <f t="shared" si="112"/>
        <v>1613</v>
      </c>
      <c r="IK28" s="533">
        <f t="shared" si="66"/>
        <v>1313</v>
      </c>
      <c r="IL28" s="727">
        <f t="shared" si="225"/>
        <v>87.910042150914762</v>
      </c>
      <c r="IM28" s="759">
        <v>3.1757061075046597E-2</v>
      </c>
      <c r="IN28" s="5">
        <f t="shared" si="226"/>
        <v>0.14000000000000001</v>
      </c>
      <c r="IO28" s="771">
        <v>70</v>
      </c>
      <c r="IP28" s="9">
        <f t="shared" si="227"/>
        <v>-2.8184085003200376</v>
      </c>
      <c r="IQ28" s="5">
        <f t="shared" si="228"/>
        <v>-0.13110039539879251</v>
      </c>
      <c r="IR28" s="5">
        <f t="shared" si="71"/>
        <v>0.314</v>
      </c>
      <c r="IS28" s="5">
        <f t="shared" si="229"/>
        <v>0.30217407843398586</v>
      </c>
      <c r="IT28" s="727">
        <f t="shared" si="230"/>
        <v>23.366925865800152</v>
      </c>
      <c r="IU28" s="9">
        <f t="shared" si="231"/>
        <v>-2.8229615027709487</v>
      </c>
      <c r="IV28" s="5">
        <f t="shared" si="232"/>
        <v>-0.11000000000000008</v>
      </c>
      <c r="IW28" s="5">
        <f t="shared" si="76"/>
        <v>0.26600000000000001</v>
      </c>
      <c r="IX28" s="5">
        <f t="shared" si="233"/>
        <v>0.24902975237925817</v>
      </c>
      <c r="IY28" s="762">
        <f t="shared" si="234"/>
        <v>19.082544831840952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3.5621129766222537</v>
      </c>
      <c r="C29" s="708">
        <v>0.29410821904873269</v>
      </c>
      <c r="D29" s="709">
        <v>-0.43309999999999954</v>
      </c>
      <c r="E29" s="710">
        <v>0.21337753857712155</v>
      </c>
      <c r="F29" s="708">
        <v>0.95060804168749247</v>
      </c>
      <c r="G29" s="711">
        <v>0.22542044519040366</v>
      </c>
      <c r="H29" s="710">
        <v>0.26600000000000001</v>
      </c>
      <c r="I29" s="708">
        <v>0.52</v>
      </c>
      <c r="J29" s="570">
        <v>2.2189999999999999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2.2189999999999999</v>
      </c>
      <c r="N29" s="632">
        <f t="shared" si="2"/>
        <v>3.5621129766222537</v>
      </c>
      <c r="O29" s="629">
        <f t="shared" si="3"/>
        <v>0.29410821904873269</v>
      </c>
      <c r="P29" s="633">
        <f t="shared" si="4"/>
        <v>-0.43309999999999954</v>
      </c>
      <c r="Q29" s="585">
        <f t="shared" si="113"/>
        <v>4.7199579848044202</v>
      </c>
      <c r="R29" s="629">
        <f>IF(M29="","",SQRT(N29^2+O29^2))</f>
        <v>3.5742339742569551</v>
      </c>
      <c r="S29" s="634">
        <f>IF(M29="","",P29)</f>
        <v>-0.43309999999999954</v>
      </c>
      <c r="T29" s="635">
        <f>IF(M29="","",X29*COS(RADIANS(W29)))</f>
        <v>0.29410821904873247</v>
      </c>
      <c r="U29" s="629">
        <f>IF(M29="","",X29*SIN(RADIANS(W29)))</f>
        <v>-3.5621129766222537</v>
      </c>
      <c r="V29" s="636">
        <f>IF(M29="","",Y29)</f>
        <v>-0.43309999999999954</v>
      </c>
      <c r="W29" s="585">
        <f t="shared" si="224"/>
        <v>274.71995798480441</v>
      </c>
      <c r="X29" s="629">
        <f>IF(M29="","",R29)</f>
        <v>3.5742339742569551</v>
      </c>
      <c r="Y29" s="630">
        <f t="shared" si="223"/>
        <v>-0.43309999999999954</v>
      </c>
      <c r="Z29" s="632">
        <f t="shared" si="6"/>
        <v>-0.21337753857712155</v>
      </c>
      <c r="AA29" s="629">
        <f t="shared" si="7"/>
        <v>-0.95060804168749247</v>
      </c>
      <c r="AB29" s="629">
        <f t="shared" si="8"/>
        <v>-0.22542044519040366</v>
      </c>
      <c r="AC29" s="636">
        <f>IF(M29="","",SQRT(Z29^2+AA29^2+AB29^2))</f>
        <v>1</v>
      </c>
      <c r="AD29" s="637">
        <f>IF(M29="","",Z29*(1/SQRT(Z29^2+AA29^2+AB29^2)))</f>
        <v>-0.21337753857712155</v>
      </c>
      <c r="AE29" s="629">
        <f>IF(M29="","",AA29*(1/SQRT(Z29^2+AA29^2+AB29^2)))</f>
        <v>-0.95060804168749247</v>
      </c>
      <c r="AF29" s="633">
        <f>IF(M29="","",AB29*(1/SQRT(Z29^2+AA29^2+AB29^2)))</f>
        <v>-0.22542044519040366</v>
      </c>
      <c r="AG29" s="602">
        <f>IF(M29="","",DEGREES(ATAN2(-AF29,AE29)))</f>
        <v>-76.659693217779605</v>
      </c>
      <c r="AH29" s="603">
        <f>IF(M29="","",DEGREES(ACOS(AD29)))</f>
        <v>102.32035844919646</v>
      </c>
      <c r="AI29" s="585">
        <f>IF(M29="","",DEGREES(-ACOS(-AF29)))</f>
        <v>-76.972396923734209</v>
      </c>
      <c r="AJ29" s="586">
        <f>IF(M29="","",DEGREES(ATAN2(-AE29,AD29)))</f>
        <v>-12.651164045103357</v>
      </c>
      <c r="AK29" s="635">
        <f>IF(M29="","",(COS(RADIANS((90-$Q$8)-W29))*AD29)+(-SIN(RADIANS((90-$Q$8)-W29))*AE29))</f>
        <v>0.92982641233258057</v>
      </c>
      <c r="AL29" s="629">
        <f>IF(M29="","",(SIN(RADIANS((90-$Q$8)-W29))*AD29)+(COS(RADIANS((90-$Q$8)-W29))*AE29))</f>
        <v>-0.29087534412335869</v>
      </c>
      <c r="AM29" s="634">
        <f>IF(M29="","",AF29)</f>
        <v>-0.22542044519040366</v>
      </c>
      <c r="AN29" s="581">
        <f>IF(M29="","",DEGREES(ATAN2(-AM29,AL29)))</f>
        <v>-52.225293624662008</v>
      </c>
      <c r="AO29" s="582">
        <f t="shared" si="94"/>
        <v>21.592227998263162</v>
      </c>
      <c r="AP29" s="585">
        <f>IF(M29="","",DEGREES(ATAN2(AK29,AL29)))</f>
        <v>-17.371122029907774</v>
      </c>
      <c r="AQ29" s="586">
        <f t="shared" si="9"/>
        <v>0.63779609411793337</v>
      </c>
      <c r="AS29" s="52">
        <f t="shared" si="116"/>
        <v>-85.28004201519559</v>
      </c>
      <c r="AT29" s="72">
        <f t="shared" si="10"/>
        <v>-0.37387774860055817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2.2189999999999999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1.119</v>
      </c>
      <c r="II29" s="734" cm="1">
        <f t="array" ref="II29">IFERROR(ROUND(VALUE(IF($IH29&lt;1,$IH29+LARGE((IF($M$9:$M$150="",0,$M$9:$M$150)-MOD(IF($M$9:$M$150="",0,$M$9:$M$150),1)),1),$IH29)),4),"")</f>
        <v>1.119</v>
      </c>
      <c r="IJ29" s="533">
        <f t="shared" si="112"/>
        <v>1613</v>
      </c>
      <c r="IK29" s="533">
        <f t="shared" si="66"/>
        <v>1313</v>
      </c>
      <c r="IL29" s="727">
        <f t="shared" si="225"/>
        <v>83.170042319841855</v>
      </c>
      <c r="IM29" s="759">
        <v>2.17780017609417E-2</v>
      </c>
      <c r="IN29" s="5">
        <f t="shared" si="226"/>
        <v>0.14000000000000001</v>
      </c>
      <c r="IO29" s="771">
        <v>70</v>
      </c>
      <c r="IP29" s="9">
        <f t="shared" si="227"/>
        <v>-3.5483107017050761</v>
      </c>
      <c r="IQ29" s="5">
        <f t="shared" si="228"/>
        <v>-0.44890135388648339</v>
      </c>
      <c r="IR29" s="5">
        <f t="shared" si="71"/>
        <v>0.314</v>
      </c>
      <c r="IS29" s="5">
        <f t="shared" si="229"/>
        <v>0.30011623160081496</v>
      </c>
      <c r="IT29" s="727">
        <f t="shared" si="230"/>
        <v>58.537860967987612</v>
      </c>
      <c r="IU29" s="9">
        <f t="shared" si="231"/>
        <v>-3.5742339742569551</v>
      </c>
      <c r="IV29" s="5">
        <f t="shared" si="232"/>
        <v>-0.43309999999999954</v>
      </c>
      <c r="IW29" s="5">
        <f t="shared" si="76"/>
        <v>0.26600000000000001</v>
      </c>
      <c r="IX29" s="5">
        <f t="shared" si="233"/>
        <v>0.24733382568046644</v>
      </c>
      <c r="IY29" s="762">
        <f t="shared" si="234"/>
        <v>52.225293624662008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17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50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60</v>
      </c>
    </row>
    <row r="30" spans="1:269" ht="15" customHeight="1" x14ac:dyDescent="0.25">
      <c r="A30" s="79"/>
      <c r="B30" s="707">
        <v>3.9565405103149929</v>
      </c>
      <c r="C30" s="708">
        <v>0.37469699452390831</v>
      </c>
      <c r="D30" s="709">
        <v>-1.1211999999999995</v>
      </c>
      <c r="E30" s="710">
        <v>0.35194281685287043</v>
      </c>
      <c r="F30" s="708">
        <v>0.92958531989184112</v>
      </c>
      <c r="G30" s="711">
        <v>0.10957822186570816</v>
      </c>
      <c r="H30" s="710">
        <v>0.26600000000000001</v>
      </c>
      <c r="I30" s="708">
        <v>0.52</v>
      </c>
      <c r="J30" s="570">
        <v>2.2240000000000002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2.2240000000000002</v>
      </c>
      <c r="N30" s="632">
        <f t="shared" si="2"/>
        <v>3.9565405103149929</v>
      </c>
      <c r="O30" s="629">
        <f t="shared" si="3"/>
        <v>0.37469699452390831</v>
      </c>
      <c r="P30" s="633">
        <f t="shared" si="4"/>
        <v>-1.1211999999999995</v>
      </c>
      <c r="Q30" s="585">
        <f t="shared" si="113"/>
        <v>5.4099579848044232</v>
      </c>
      <c r="R30" s="629">
        <f>IF(M30="","",SQRT(N30^2+O30^2))</f>
        <v>3.9742434056646396</v>
      </c>
      <c r="S30" s="634">
        <f>IF(M30="","",P30)</f>
        <v>-1.1211999999999995</v>
      </c>
      <c r="T30" s="635">
        <f>IF(M30="","",X30*COS(RADIANS(W30)))</f>
        <v>0.37469699452390848</v>
      </c>
      <c r="U30" s="629">
        <f>IF(M30="","",X30*SIN(RADIANS(W30)))</f>
        <v>-3.9565405103149929</v>
      </c>
      <c r="V30" s="636">
        <f>IF(M30="","",Y30)</f>
        <v>-1.1211999999999995</v>
      </c>
      <c r="W30" s="585">
        <f t="shared" si="224"/>
        <v>275.40995798480441</v>
      </c>
      <c r="X30" s="629">
        <f>IF(M30="","",R30)</f>
        <v>3.9742434056646396</v>
      </c>
      <c r="Y30" s="630">
        <f t="shared" si="223"/>
        <v>-1.1211999999999995</v>
      </c>
      <c r="Z30" s="632">
        <f t="shared" si="6"/>
        <v>-0.35194281685287043</v>
      </c>
      <c r="AA30" s="629">
        <f t="shared" si="7"/>
        <v>-0.92958531989184112</v>
      </c>
      <c r="AB30" s="629">
        <f t="shared" si="8"/>
        <v>-0.10957822186570816</v>
      </c>
      <c r="AC30" s="636">
        <f>IF(M30="","",SQRT(Z30^2+AA30^2+AB30^2))</f>
        <v>1</v>
      </c>
      <c r="AD30" s="637">
        <f>IF(M30="","",Z30*(1/SQRT(Z30^2+AA30^2+AB30^2)))</f>
        <v>-0.35194281685287043</v>
      </c>
      <c r="AE30" s="629">
        <f>IF(M30="","",AA30*(1/SQRT(Z30^2+AA30^2+AB30^2)))</f>
        <v>-0.92958531989184112</v>
      </c>
      <c r="AF30" s="633">
        <f>IF(M30="","",AB30*(1/SQRT(Z30^2+AA30^2+AB30^2)))</f>
        <v>-0.10957822186570816</v>
      </c>
      <c r="AG30" s="602">
        <f>IF(M30="","",DEGREES(ATAN2(-AF30,AE30)))</f>
        <v>-83.277077971031943</v>
      </c>
      <c r="AH30" s="603">
        <f>IF(M30="","",DEGREES(ACOS(AD30)))</f>
        <v>110.60619260061401</v>
      </c>
      <c r="AI30" s="585">
        <f>IF(M30="","",DEGREES(-ACOS(-AF30)))</f>
        <v>-83.708997512732481</v>
      </c>
      <c r="AJ30" s="586">
        <f>IF(M30="","",DEGREES(ATAN2(-AE30,AD30)))</f>
        <v>-20.736763573939609</v>
      </c>
      <c r="AK30" s="635">
        <f>IF(M30="","",(COS(RADIANS((90-$Q$8)-W30))*AD30)+(-SIN(RADIANS((90-$Q$8)-W30))*AE30))</f>
        <v>0.89226292863008694</v>
      </c>
      <c r="AL30" s="629">
        <f>IF(M30="","",(SIN(RADIANS((90-$Q$8)-W30))*AD30)+(COS(RADIANS((90-$Q$8)-W30))*AE30))</f>
        <v>-0.43801767028877969</v>
      </c>
      <c r="AM30" s="634">
        <f>IF(M30="","",AF30)</f>
        <v>-0.10957822186570816</v>
      </c>
      <c r="AN30" s="581">
        <f>IF(M30="","",DEGREES(ATAN2(-AM30,AL30)))</f>
        <v>-75.954670663119515</v>
      </c>
      <c r="AO30" s="582">
        <f>IF(ROUND(IF(M30="",0,DEGREES(ACOS(AK30))),4)=90,0,IF(M30="","",DEGREES(ACOS(AK30))))</f>
        <v>26.841002552908915</v>
      </c>
      <c r="AP30" s="585">
        <f>IF(M30="","",DEGREES(ATAN2(AK30,AL30)))</f>
        <v>-26.146721558744037</v>
      </c>
      <c r="AQ30" s="586">
        <f t="shared" si="9"/>
        <v>0.57360615236280788</v>
      </c>
      <c r="AS30" s="52">
        <f t="shared" si="116"/>
        <v>-84.590042015195593</v>
      </c>
      <c r="AT30" s="72">
        <f t="shared" si="10"/>
        <v>-1.0624569152672247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2.2240000000000002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1.1240000000000001</v>
      </c>
      <c r="II30" s="734" cm="1">
        <f t="array" ref="II30">IFERROR(ROUND(VALUE(IF($IH30&lt;1,$IH30+LARGE((IF($M$9:$M$150="",0,$M$9:$M$150)-MOD(IF($M$9:$M$150="",0,$M$9:$M$150),1)),1),$IH30)),4),"")</f>
        <v>1.1240000000000001</v>
      </c>
      <c r="IJ30" s="533">
        <f t="shared" si="112"/>
        <v>1613</v>
      </c>
      <c r="IK30" s="533">
        <f t="shared" si="66"/>
        <v>1313</v>
      </c>
      <c r="IL30" s="727">
        <f t="shared" si="225"/>
        <v>81.780042420909353</v>
      </c>
      <c r="IM30" s="759">
        <v>8.6332171298585392E-3</v>
      </c>
      <c r="IN30" s="5">
        <f t="shared" si="226"/>
        <v>0.14000000000000001</v>
      </c>
      <c r="IO30" s="771">
        <v>70</v>
      </c>
      <c r="IP30" s="9">
        <f t="shared" si="227"/>
        <v>-3.9311118562333585</v>
      </c>
      <c r="IQ30" s="5">
        <f t="shared" si="228"/>
        <v>-1.1231033872798162</v>
      </c>
      <c r="IR30" s="5">
        <f t="shared" si="71"/>
        <v>0.314</v>
      </c>
      <c r="IS30" s="5">
        <f t="shared" si="229"/>
        <v>0.2904909438813843</v>
      </c>
      <c r="IT30" s="727">
        <f t="shared" si="230"/>
        <v>80.610892943545167</v>
      </c>
      <c r="IU30" s="9">
        <f t="shared" si="231"/>
        <v>-3.9742434056646396</v>
      </c>
      <c r="IV30" s="5">
        <f t="shared" si="232"/>
        <v>-1.1211999999999995</v>
      </c>
      <c r="IW30" s="5">
        <f t="shared" si="76"/>
        <v>0.26600000000000001</v>
      </c>
      <c r="IX30" s="5">
        <f t="shared" si="233"/>
        <v>0.23734193901560313</v>
      </c>
      <c r="IY30" s="762">
        <f t="shared" si="234"/>
        <v>75.954670663119515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0.46344096776356453</v>
      </c>
      <c r="C31" s="708">
        <v>-0.51470391773353885</v>
      </c>
      <c r="D31" s="709">
        <v>-0.57200172515720316</v>
      </c>
      <c r="E31" s="710">
        <v>0.63909579745522904</v>
      </c>
      <c r="F31" s="708">
        <v>0.6945608947858819</v>
      </c>
      <c r="G31" s="711">
        <v>0.33036604714967349</v>
      </c>
      <c r="H31" s="710">
        <v>0.26600000000000001</v>
      </c>
      <c r="I31" s="708">
        <v>0.315</v>
      </c>
      <c r="J31" s="570">
        <v>3.1030000000000002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1308</v>
      </c>
      <c r="L31" s="320"/>
      <c r="M31" s="168">
        <f t="shared" si="1"/>
        <v>3.1030000000000002</v>
      </c>
      <c r="N31" s="632">
        <f t="shared" si="2"/>
        <v>0.46344096776356453</v>
      </c>
      <c r="O31" s="629">
        <f t="shared" si="3"/>
        <v>-0.51470391773353885</v>
      </c>
      <c r="P31" s="633">
        <f t="shared" si="4"/>
        <v>-0.57200172515720316</v>
      </c>
      <c r="Q31" s="585">
        <f t="shared" si="113"/>
        <v>311.99996794717038</v>
      </c>
      <c r="R31" s="629">
        <f>IF(M31="","",SQRT(N31^2+O31^2))</f>
        <v>0.6926020888879002</v>
      </c>
      <c r="S31" s="634">
        <f>IF(M31="","",P31)</f>
        <v>-0.57200172515720316</v>
      </c>
      <c r="T31" s="635">
        <f>IF(M31="","",X31*COS(RADIANS(W31)))</f>
        <v>-0.51470391773353874</v>
      </c>
      <c r="U31" s="629">
        <f>IF(M31="","",X31*SIN(RADIANS(W31)))</f>
        <v>-0.46344096776356458</v>
      </c>
      <c r="V31" s="636">
        <f>IF(M31="","",Y31)</f>
        <v>-0.57200172515720316</v>
      </c>
      <c r="W31" s="585">
        <f t="shared" si="224"/>
        <v>221.99996794717038</v>
      </c>
      <c r="X31" s="629">
        <f>IF(M31="","",R31)</f>
        <v>0.6926020888879002</v>
      </c>
      <c r="Y31" s="630">
        <f t="shared" si="223"/>
        <v>-0.57200172515720316</v>
      </c>
      <c r="Z31" s="632">
        <f t="shared" si="6"/>
        <v>-0.63909579745522904</v>
      </c>
      <c r="AA31" s="629">
        <f t="shared" si="7"/>
        <v>-0.6945608947858819</v>
      </c>
      <c r="AB31" s="629">
        <f t="shared" si="8"/>
        <v>-0.33036604714967349</v>
      </c>
      <c r="AC31" s="636">
        <f>IF(M31="","",SQRT(Z31^2+AA31^2+AB31^2))</f>
        <v>1</v>
      </c>
      <c r="AD31" s="637">
        <f>IF(M31="","",Z31*(1/SQRT(Z31^2+AA31^2+AB31^2)))</f>
        <v>-0.63909579745522904</v>
      </c>
      <c r="AE31" s="629">
        <f>IF(M31="","",AA31*(1/SQRT(Z31^2+AA31^2+AB31^2)))</f>
        <v>-0.6945608947858819</v>
      </c>
      <c r="AF31" s="633">
        <f>IF(M31="","",AB31*(1/SQRT(Z31^2+AA31^2+AB31^2)))</f>
        <v>-0.33036604714967349</v>
      </c>
      <c r="AG31" s="602">
        <f>IF(M31="","",DEGREES(ATAN2(-AF31,AE31)))</f>
        <v>-64.562027153896167</v>
      </c>
      <c r="AH31" s="603">
        <f>IF(M31="","",DEGREES(ACOS(AD31)))</f>
        <v>129.72442839119842</v>
      </c>
      <c r="AI31" s="585">
        <f>IF(M31="","",DEGREES(-ACOS(-AF31)))</f>
        <v>-70.709005437865216</v>
      </c>
      <c r="AJ31" s="586">
        <f>IF(M31="","",DEGREES(ATAN2(-AE31,AD31)))</f>
        <v>-42.618513290590151</v>
      </c>
      <c r="AK31" s="635">
        <f>IF(M31="","",(COS(RADIANS((90-$Q$8)-W31))*AD31)+(-SIN(RADIANS((90-$Q$8)-W31))*AE31))</f>
        <v>0.93969263802333458</v>
      </c>
      <c r="AL31" s="629">
        <f>IF(M31="","",(SIN(RADIANS((90-$Q$8)-W31))*AD31)+(COS(RADIANS((90-$Q$8)-W31))*AE31))</f>
        <v>8.8521302156295556E-2</v>
      </c>
      <c r="AM31" s="634">
        <f>IF(M31="","",AF31)</f>
        <v>-0.33036604714967349</v>
      </c>
      <c r="AN31" s="581">
        <f>IF(M31="","",DEGREES(ATAN2(-AM31,AL31)))</f>
        <v>14.999997834268262</v>
      </c>
      <c r="AO31" s="582">
        <f t="shared" si="94"/>
        <v>19.999997112357679</v>
      </c>
      <c r="AP31" s="585">
        <f>IF(M31="","",DEGREES(ATAN2(AK31,AL31)))</f>
        <v>5.3815187622394776</v>
      </c>
      <c r="AQ31" s="586">
        <f t="shared" si="9"/>
        <v>3.2879249137511097</v>
      </c>
      <c r="AS31" s="52">
        <f t="shared" si="116"/>
        <v>-138.00003205282962</v>
      </c>
      <c r="AT31" s="72">
        <f t="shared" si="10"/>
        <v>-0.47616836956496034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3.1030000000000002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1308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0.8581620576909782</v>
      </c>
      <c r="C32" s="708">
        <v>-0.95308659326200307</v>
      </c>
      <c r="D32" s="709">
        <v>-0.4211012700414305</v>
      </c>
      <c r="E32" s="710">
        <v>0.67299993754098042</v>
      </c>
      <c r="F32" s="708">
        <v>0.69611141381056785</v>
      </c>
      <c r="G32" s="711">
        <v>0.2499999672649757</v>
      </c>
      <c r="H32" s="710">
        <v>0.26600000000000001</v>
      </c>
      <c r="I32" s="708">
        <v>0.315</v>
      </c>
      <c r="J32" s="570">
        <v>3.1059999999999999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1308</v>
      </c>
      <c r="L32" s="320"/>
      <c r="M32" s="168">
        <f t="shared" si="1"/>
        <v>3.1059999999999999</v>
      </c>
      <c r="N32" s="632">
        <f t="shared" si="2"/>
        <v>0.8581620576909782</v>
      </c>
      <c r="O32" s="629">
        <f t="shared" si="3"/>
        <v>-0.95308659326200307</v>
      </c>
      <c r="P32" s="633">
        <f t="shared" si="4"/>
        <v>-0.4211012700414305</v>
      </c>
      <c r="Q32" s="585">
        <f t="shared" si="113"/>
        <v>311.99996794717038</v>
      </c>
      <c r="R32" s="629">
        <f t="shared" si="79"/>
        <v>1.2825038680316658</v>
      </c>
      <c r="S32" s="634">
        <f t="shared" si="80"/>
        <v>-0.4211012700414305</v>
      </c>
      <c r="T32" s="635">
        <f t="shared" si="81"/>
        <v>-0.95308659326200307</v>
      </c>
      <c r="U32" s="629">
        <f t="shared" si="82"/>
        <v>-0.85816205769097809</v>
      </c>
      <c r="V32" s="636">
        <f t="shared" si="114"/>
        <v>-0.4211012700414305</v>
      </c>
      <c r="W32" s="585">
        <f t="shared" si="224"/>
        <v>221.99996794717038</v>
      </c>
      <c r="X32" s="629">
        <f t="shared" si="83"/>
        <v>1.2825038680316658</v>
      </c>
      <c r="Y32" s="630">
        <f t="shared" si="223"/>
        <v>-0.4211012700414305</v>
      </c>
      <c r="Z32" s="632">
        <f t="shared" si="6"/>
        <v>-0.67299993754098042</v>
      </c>
      <c r="AA32" s="629">
        <f t="shared" si="7"/>
        <v>-0.69611141381056785</v>
      </c>
      <c r="AB32" s="629">
        <f t="shared" si="8"/>
        <v>-0.2499999672649757</v>
      </c>
      <c r="AC32" s="636">
        <f t="shared" si="84"/>
        <v>1</v>
      </c>
      <c r="AD32" s="637">
        <f t="shared" si="115"/>
        <v>-0.67299993754098042</v>
      </c>
      <c r="AE32" s="629">
        <f t="shared" si="85"/>
        <v>-0.69611141381056785</v>
      </c>
      <c r="AF32" s="633">
        <f t="shared" si="86"/>
        <v>-0.2499999672649757</v>
      </c>
      <c r="AG32" s="602">
        <f t="shared" si="87"/>
        <v>-70.244865003432949</v>
      </c>
      <c r="AH32" s="603">
        <f t="shared" si="88"/>
        <v>132.29902580574813</v>
      </c>
      <c r="AI32" s="585">
        <f t="shared" si="89"/>
        <v>-75.522489751159455</v>
      </c>
      <c r="AJ32" s="586">
        <f t="shared" si="90"/>
        <v>-44.032902407743045</v>
      </c>
      <c r="AK32" s="635">
        <f t="shared" si="211"/>
        <v>0.96592583607220739</v>
      </c>
      <c r="AL32" s="629">
        <f t="shared" si="91"/>
        <v>6.6987279208207351E-2</v>
      </c>
      <c r="AM32" s="634">
        <f t="shared" si="92"/>
        <v>-0.2499999672649757</v>
      </c>
      <c r="AN32" s="581">
        <f t="shared" si="93"/>
        <v>14.999997834268299</v>
      </c>
      <c r="AO32" s="582">
        <f t="shared" si="94"/>
        <v>14.999997834268255</v>
      </c>
      <c r="AP32" s="585">
        <f t="shared" si="95"/>
        <v>3.9671296450865805</v>
      </c>
      <c r="AQ32" s="586">
        <f t="shared" si="9"/>
        <v>1.7769892901743634</v>
      </c>
      <c r="AS32" s="52">
        <f t="shared" si="116"/>
        <v>-138.00003205282962</v>
      </c>
      <c r="AT32" s="72">
        <f t="shared" si="10"/>
        <v>-0.32526791444918768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3.1059999999999999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1308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1.2518125360844303</v>
      </c>
      <c r="C33" s="708">
        <v>-1.3902802328846442</v>
      </c>
      <c r="D33" s="709">
        <v>-0.26350079471839705</v>
      </c>
      <c r="E33" s="710">
        <v>0.67299993754098064</v>
      </c>
      <c r="F33" s="708">
        <v>0.69611141381056774</v>
      </c>
      <c r="G33" s="711">
        <v>0.24999996726497578</v>
      </c>
      <c r="H33" s="710">
        <v>0.26600000000000001</v>
      </c>
      <c r="I33" s="708">
        <v>0.315</v>
      </c>
      <c r="J33" s="570">
        <v>3.109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1308</v>
      </c>
      <c r="L33" s="320"/>
      <c r="M33" s="168">
        <f t="shared" si="1"/>
        <v>3.109</v>
      </c>
      <c r="N33" s="632">
        <f t="shared" si="2"/>
        <v>1.2518125360844303</v>
      </c>
      <c r="O33" s="629">
        <f t="shared" si="3"/>
        <v>-1.3902802328846442</v>
      </c>
      <c r="P33" s="633">
        <f t="shared" si="4"/>
        <v>-0.26350079471839705</v>
      </c>
      <c r="Q33" s="585">
        <f t="shared" si="113"/>
        <v>311.99996794717038</v>
      </c>
      <c r="R33" s="629">
        <f t="shared" si="79"/>
        <v>1.8708056423498176</v>
      </c>
      <c r="S33" s="634">
        <f t="shared" si="80"/>
        <v>-0.26350079471839705</v>
      </c>
      <c r="T33" s="635">
        <f t="shared" si="81"/>
        <v>-1.390280232884644</v>
      </c>
      <c r="U33" s="629">
        <f t="shared" si="82"/>
        <v>-1.2518125360844305</v>
      </c>
      <c r="V33" s="636">
        <f t="shared" si="114"/>
        <v>-0.26350079471839705</v>
      </c>
      <c r="W33" s="585">
        <f t="shared" si="224"/>
        <v>221.99996794717038</v>
      </c>
      <c r="X33" s="629">
        <f t="shared" si="83"/>
        <v>1.8708056423498176</v>
      </c>
      <c r="Y33" s="630">
        <f t="shared" si="223"/>
        <v>-0.26350079471839705</v>
      </c>
      <c r="Z33" s="632">
        <f t="shared" si="6"/>
        <v>-0.67299993754098064</v>
      </c>
      <c r="AA33" s="629">
        <f t="shared" si="7"/>
        <v>-0.69611141381056774</v>
      </c>
      <c r="AB33" s="629">
        <f t="shared" si="8"/>
        <v>-0.24999996726497578</v>
      </c>
      <c r="AC33" s="636">
        <f t="shared" si="84"/>
        <v>1</v>
      </c>
      <c r="AD33" s="637">
        <f t="shared" si="115"/>
        <v>-0.67299993754098064</v>
      </c>
      <c r="AE33" s="629">
        <f t="shared" si="85"/>
        <v>-0.69611141381056774</v>
      </c>
      <c r="AF33" s="633">
        <f t="shared" si="86"/>
        <v>-0.24999996726497578</v>
      </c>
      <c r="AG33" s="602">
        <f t="shared" si="87"/>
        <v>-70.244865003432949</v>
      </c>
      <c r="AH33" s="603">
        <f t="shared" si="88"/>
        <v>132.29902580574816</v>
      </c>
      <c r="AI33" s="585">
        <f t="shared" si="89"/>
        <v>-75.522489751159455</v>
      </c>
      <c r="AJ33" s="586">
        <f t="shared" si="90"/>
        <v>-44.032902407743059</v>
      </c>
      <c r="AK33" s="635">
        <f t="shared" si="211"/>
        <v>0.96592583607220739</v>
      </c>
      <c r="AL33" s="629">
        <f t="shared" si="91"/>
        <v>6.6987279208207073E-2</v>
      </c>
      <c r="AM33" s="634">
        <f t="shared" si="92"/>
        <v>-0.24999996726497578</v>
      </c>
      <c r="AN33" s="581">
        <f t="shared" si="93"/>
        <v>14.999997834268234</v>
      </c>
      <c r="AO33" s="582">
        <f t="shared" si="94"/>
        <v>14.999997834268255</v>
      </c>
      <c r="AP33" s="585">
        <f t="shared" si="95"/>
        <v>3.9671296450865641</v>
      </c>
      <c r="AQ33" s="586">
        <f t="shared" si="9"/>
        <v>1.2183964694458147</v>
      </c>
      <c r="AS33" s="52">
        <f t="shared" si="116"/>
        <v>-138.00003205282962</v>
      </c>
      <c r="AT33" s="72">
        <f t="shared" si="10"/>
        <v>-0.16766743912615426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1308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1.6458644938031184</v>
      </c>
      <c r="C34" s="708">
        <v>-1.8279197609719682</v>
      </c>
      <c r="D34" s="709">
        <v>-0.10820032633218421</v>
      </c>
      <c r="E34" s="710">
        <v>0.70272920423664809</v>
      </c>
      <c r="F34" s="708">
        <v>0.66309368101614674</v>
      </c>
      <c r="G34" s="711">
        <v>0.25783412440827963</v>
      </c>
      <c r="H34" s="710">
        <v>0.26600000000000001</v>
      </c>
      <c r="I34" s="708">
        <v>0.52</v>
      </c>
      <c r="J34" s="570">
        <v>3.1120000000000001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3.1120000000000001</v>
      </c>
      <c r="N34" s="632">
        <f t="shared" si="2"/>
        <v>1.6458644938031184</v>
      </c>
      <c r="O34" s="629">
        <f t="shared" si="3"/>
        <v>-1.8279197609719682</v>
      </c>
      <c r="P34" s="633">
        <f t="shared" si="4"/>
        <v>-0.10820032633218421</v>
      </c>
      <c r="Q34" s="585">
        <f t="shared" si="113"/>
        <v>311.99996794717038</v>
      </c>
      <c r="R34" s="629">
        <f>IF(M34="","",SQRT(N34^2+O34^2))</f>
        <v>2.4597074184775742</v>
      </c>
      <c r="S34" s="634">
        <f>IF(M34="","",P34)</f>
        <v>-0.10820032633218421</v>
      </c>
      <c r="T34" s="635">
        <f>IF(M34="","",X34*COS(RADIANS(W34)))</f>
        <v>-1.8279197609719682</v>
      </c>
      <c r="U34" s="629">
        <f>IF(M34="","",X34*SIN(RADIANS(W34)))</f>
        <v>-1.6458644938031182</v>
      </c>
      <c r="V34" s="636">
        <f>IF(M34="","",Y34)</f>
        <v>-0.10820032633218421</v>
      </c>
      <c r="W34" s="585">
        <f t="shared" si="224"/>
        <v>221.99996794717038</v>
      </c>
      <c r="X34" s="629">
        <f>IF(M34="","",R34)</f>
        <v>2.4597074184775742</v>
      </c>
      <c r="Y34" s="630">
        <f t="shared" si="223"/>
        <v>-0.10820032633218421</v>
      </c>
      <c r="Z34" s="632">
        <f t="shared" si="6"/>
        <v>-0.70272920423664809</v>
      </c>
      <c r="AA34" s="629">
        <f t="shared" si="7"/>
        <v>-0.66309368101614674</v>
      </c>
      <c r="AB34" s="629">
        <f t="shared" si="8"/>
        <v>-0.25783412440827963</v>
      </c>
      <c r="AC34" s="636">
        <f>IF(M34="","",SQRT(Z34^2+AA34^2+AB34^2))</f>
        <v>1</v>
      </c>
      <c r="AD34" s="637">
        <f>IF(M34="","",Z34*(1/SQRT(Z34^2+AA34^2+AB34^2)))</f>
        <v>-0.70272920423664809</v>
      </c>
      <c r="AE34" s="629">
        <f>IF(M34="","",AA34*(1/SQRT(Z34^2+AA34^2+AB34^2)))</f>
        <v>-0.66309368101614674</v>
      </c>
      <c r="AF34" s="633">
        <f>IF(M34="","",AB34*(1/SQRT(Z34^2+AA34^2+AB34^2)))</f>
        <v>-0.25783412440827963</v>
      </c>
      <c r="AG34" s="602">
        <f>IF(M34="","",DEGREES(ATAN2(-AF34,AE34)))</f>
        <v>-68.752169560445708</v>
      </c>
      <c r="AH34" s="603">
        <f>IF(M34="","",DEGREES(ACOS(AD34)))</f>
        <v>134.64638063370916</v>
      </c>
      <c r="AI34" s="585">
        <f>IF(M34="","",DEGREES(-ACOS(-AF34)))</f>
        <v>-75.058414528502141</v>
      </c>
      <c r="AJ34" s="586">
        <f>IF(M34="","",DEGREES(ATAN2(-AE34,AD34)))</f>
        <v>-46.662229463279829</v>
      </c>
      <c r="AK34" s="635">
        <f>IF(M34="","",(COS(RADIANS((90-$Q$8)-W34))*AD34)+(-SIN(RADIANS((90-$Q$8)-W34))*AE34))</f>
        <v>0.96592583607220739</v>
      </c>
      <c r="AL34" s="629">
        <f>IF(M34="","",(SIN(RADIANS((90-$Q$8)-W34))*AD34)+(COS(RADIANS((90-$Q$8)-W34))*AE34))</f>
        <v>2.2557559682354789E-2</v>
      </c>
      <c r="AM34" s="634">
        <f>IF(M34="","",AF34)</f>
        <v>-0.25783412440827963</v>
      </c>
      <c r="AN34" s="581">
        <f>IF(M34="","",DEGREES(ATAN2(-AM34,AL34)))</f>
        <v>4.9999992780895051</v>
      </c>
      <c r="AO34" s="582">
        <f t="shared" si="94"/>
        <v>14.999997834268255</v>
      </c>
      <c r="AP34" s="585">
        <f>IF(M34="","",DEGREES(ATAN2(AK34,AL34)))</f>
        <v>1.3378025895498027</v>
      </c>
      <c r="AQ34" s="586">
        <f t="shared" si="9"/>
        <v>0.92674754767183543</v>
      </c>
      <c r="AS34" s="52">
        <f t="shared" si="116"/>
        <v>-138.00003205282962</v>
      </c>
      <c r="AT34" s="72">
        <f t="shared" si="10"/>
        <v>-1.2366970739941419E-2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3.1120000000000001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2.1251633587673169</v>
      </c>
      <c r="C35" s="708">
        <v>-2.5023658230322328</v>
      </c>
      <c r="D35" s="709">
        <v>-0.26410079652800245</v>
      </c>
      <c r="E35" s="710">
        <v>0.86120121326181587</v>
      </c>
      <c r="F35" s="708">
        <v>0.46671962224900559</v>
      </c>
      <c r="G35" s="711">
        <v>0.20125919726591848</v>
      </c>
      <c r="H35" s="710">
        <v>0.314</v>
      </c>
      <c r="I35" s="708">
        <v>0.52</v>
      </c>
      <c r="J35" s="570">
        <v>3.117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3.117</v>
      </c>
      <c r="N35" s="632">
        <f t="shared" si="2"/>
        <v>2.1251633587673169</v>
      </c>
      <c r="O35" s="629">
        <f t="shared" si="3"/>
        <v>-2.5023658230322328</v>
      </c>
      <c r="P35" s="633">
        <f t="shared" si="4"/>
        <v>-0.26410079652800245</v>
      </c>
      <c r="Q35" s="585">
        <f t="shared" si="113"/>
        <v>310.33996818684466</v>
      </c>
      <c r="R35" s="629">
        <f>IF(M35="","",SQRT(N35^2+O35^2))</f>
        <v>3.2830099015578629</v>
      </c>
      <c r="S35" s="634">
        <f>IF(M35="","",P35)</f>
        <v>-0.26410079652800245</v>
      </c>
      <c r="T35" s="635">
        <f>IF(M35="","",X35*COS(RADIANS(W35)))</f>
        <v>-2.5023658230322336</v>
      </c>
      <c r="U35" s="629">
        <f>IF(M35="","",X35*SIN(RADIANS(W35)))</f>
        <v>-2.125163358767316</v>
      </c>
      <c r="V35" s="636">
        <f>IF(M35="","",Y35)</f>
        <v>-0.26410079652800245</v>
      </c>
      <c r="W35" s="585">
        <f t="shared" si="224"/>
        <v>220.33996818684466</v>
      </c>
      <c r="X35" s="629">
        <f>IF(M35="","",R35)</f>
        <v>3.2830099015578629</v>
      </c>
      <c r="Y35" s="630">
        <f t="shared" si="223"/>
        <v>-0.26410079652800245</v>
      </c>
      <c r="Z35" s="632">
        <f t="shared" si="6"/>
        <v>-0.86120121326181587</v>
      </c>
      <c r="AA35" s="629">
        <f t="shared" si="7"/>
        <v>-0.46671962224900559</v>
      </c>
      <c r="AB35" s="629">
        <f t="shared" si="8"/>
        <v>-0.20125919726591848</v>
      </c>
      <c r="AC35" s="636">
        <f>IF(M35="","",SQRT(Z35^2+AA35^2+AB35^2))</f>
        <v>1</v>
      </c>
      <c r="AD35" s="637">
        <f>IF(M35="","",Z35*(1/SQRT(Z35^2+AA35^2+AB35^2)))</f>
        <v>-0.86120121326181587</v>
      </c>
      <c r="AE35" s="629">
        <f>IF(M35="","",AA35*(1/SQRT(Z35^2+AA35^2+AB35^2)))</f>
        <v>-0.46671962224900559</v>
      </c>
      <c r="AF35" s="633">
        <f>IF(M35="","",AB35*(1/SQRT(Z35^2+AA35^2+AB35^2)))</f>
        <v>-0.20125919726591848</v>
      </c>
      <c r="AG35" s="602">
        <f>IF(M35="","",DEGREES(ATAN2(-AF35,AE35)))</f>
        <v>-66.673290832157861</v>
      </c>
      <c r="AH35" s="603">
        <f>IF(M35="","",DEGREES(ACOS(AD35)))</f>
        <v>149.4517237555211</v>
      </c>
      <c r="AI35" s="585">
        <f>IF(M35="","",DEGREES(-ACOS(-AF35)))</f>
        <v>-78.389396879982826</v>
      </c>
      <c r="AJ35" s="586">
        <f>IF(M35="","",DEGREES(ATAN2(-AE35,AD35)))</f>
        <v>-61.544952335641142</v>
      </c>
      <c r="AK35" s="635">
        <f>IF(M35="","",(COS(RADIANS((90-$Q$8)-W35))*AD35)+(-SIN(RADIANS((90-$Q$8)-W35))*AE35))</f>
        <v>0.95853988175554949</v>
      </c>
      <c r="AL35" s="629">
        <f>IF(M35="","",(SIN(RADIANS((90-$Q$8)-W35))*AD35)+(COS(RADIANS((90-$Q$8)-W35))*AE35))</f>
        <v>-0.20173257198562528</v>
      </c>
      <c r="AM35" s="634">
        <f>IF(M35="","",AF35)</f>
        <v>-0.20125919726591848</v>
      </c>
      <c r="AN35" s="581">
        <f>IF(M35="","",DEGREES(ATAN2(-AM35,AL35)))</f>
        <v>-45.06730251871705</v>
      </c>
      <c r="AO35" s="582">
        <f t="shared" si="94"/>
        <v>16.556362532821868</v>
      </c>
      <c r="AP35" s="585">
        <f>IF(M35="","",DEGREES(ATAN2(AK35,AL35)))</f>
        <v>-11.884920522485803</v>
      </c>
      <c r="AQ35" s="586">
        <f t="shared" si="9"/>
        <v>0.69436739191384844</v>
      </c>
      <c r="AS35" s="52">
        <f t="shared" si="116"/>
        <v>-139.66003181315534</v>
      </c>
      <c r="AT35" s="72">
        <f t="shared" si="10"/>
        <v>-0.16711466332442235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3.117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2.4322012033551128</v>
      </c>
      <c r="C36" s="708">
        <v>-2.9641765261869093</v>
      </c>
      <c r="D36" s="709">
        <v>-0.82650249273151788</v>
      </c>
      <c r="E36" s="710">
        <v>0.94052233277460795</v>
      </c>
      <c r="F36" s="708">
        <v>0.31420801130297654</v>
      </c>
      <c r="G36" s="711">
        <v>0.12919391311218315</v>
      </c>
      <c r="H36" s="710">
        <v>0.314</v>
      </c>
      <c r="I36" s="708">
        <v>0.52</v>
      </c>
      <c r="J36" s="570">
        <v>3.1219999999999999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3.1219999999999999</v>
      </c>
      <c r="N36" s="632">
        <f t="shared" si="2"/>
        <v>2.4322012033551128</v>
      </c>
      <c r="O36" s="629">
        <f t="shared" si="3"/>
        <v>-2.9641765261869093</v>
      </c>
      <c r="P36" s="633">
        <f t="shared" si="4"/>
        <v>-0.82650249273151788</v>
      </c>
      <c r="Q36" s="585">
        <f t="shared" si="113"/>
        <v>309.36996832689533</v>
      </c>
      <c r="R36" s="629">
        <f>IF(M36="","",SQRT(N36^2+O36^2))</f>
        <v>3.8343115642836789</v>
      </c>
      <c r="S36" s="634">
        <f>IF(M36="","",P36)</f>
        <v>-0.82650249273151788</v>
      </c>
      <c r="T36" s="635">
        <f>IF(M36="","",X36*COS(RADIANS(W36)))</f>
        <v>-2.9641765261869097</v>
      </c>
      <c r="U36" s="629">
        <f>IF(M36="","",X36*SIN(RADIANS(W36)))</f>
        <v>-2.4322012033551128</v>
      </c>
      <c r="V36" s="636">
        <f>IF(M36="","",Y36)</f>
        <v>-0.82650249273151788</v>
      </c>
      <c r="W36" s="585">
        <f t="shared" si="224"/>
        <v>219.36996832689533</v>
      </c>
      <c r="X36" s="629">
        <f>IF(M36="","",R36)</f>
        <v>3.8343115642836789</v>
      </c>
      <c r="Y36" s="630">
        <f t="shared" si="223"/>
        <v>-0.82650249273151788</v>
      </c>
      <c r="Z36" s="632">
        <f t="shared" si="6"/>
        <v>-0.94052233277460795</v>
      </c>
      <c r="AA36" s="629">
        <f t="shared" si="7"/>
        <v>-0.31420801130297654</v>
      </c>
      <c r="AB36" s="629">
        <f t="shared" si="8"/>
        <v>-0.12919391311218315</v>
      </c>
      <c r="AC36" s="636">
        <f>IF(M36="","",SQRT(Z36^2+AA36^2+AB36^2))</f>
        <v>1</v>
      </c>
      <c r="AD36" s="637">
        <f>IF(M36="","",Z36*(1/SQRT(Z36^2+AA36^2+AB36^2)))</f>
        <v>-0.94052233277460795</v>
      </c>
      <c r="AE36" s="629">
        <f>IF(M36="","",AA36*(1/SQRT(Z36^2+AA36^2+AB36^2)))</f>
        <v>-0.31420801130297654</v>
      </c>
      <c r="AF36" s="633">
        <f>IF(M36="","",AB36*(1/SQRT(Z36^2+AA36^2+AB36^2)))</f>
        <v>-0.12919391311218315</v>
      </c>
      <c r="AG36" s="602">
        <f>IF(M36="","",DEGREES(ATAN2(-AF36,AE36)))</f>
        <v>-67.648848666431775</v>
      </c>
      <c r="AH36" s="603">
        <f>IF(M36="","",DEGREES(ACOS(AD36)))</f>
        <v>160.13946118519053</v>
      </c>
      <c r="AI36" s="585">
        <f>IF(M36="","",DEGREES(-ACOS(-AF36)))</f>
        <v>-82.576985866761248</v>
      </c>
      <c r="AJ36" s="586">
        <f>IF(M36="","",DEGREES(ATAN2(-AE36,AD36)))</f>
        <v>-71.526649637938988</v>
      </c>
      <c r="AK36" s="635">
        <f>IF(M36="","",(COS(RADIANS((90-$Q$8)-W36))*AD36)+(-SIN(RADIANS((90-$Q$8)-W36))*AE36))</f>
        <v>0.92639611174204606</v>
      </c>
      <c r="AL36" s="629">
        <f>IF(M36="","",(SIN(RADIANS((90-$Q$8)-W36))*AD36)+(COS(RADIANS((90-$Q$8)-W36))*AE36))</f>
        <v>-0.35369362019123324</v>
      </c>
      <c r="AM36" s="634">
        <f>IF(M36="","",AF36)</f>
        <v>-0.12919391311218315</v>
      </c>
      <c r="AN36" s="581">
        <f>IF(M36="","",DEGREES(ATAN2(-AM36,AL36)))</f>
        <v>-69.934232919663557</v>
      </c>
      <c r="AO36" s="582">
        <f t="shared" si="94"/>
        <v>22.120172799627657</v>
      </c>
      <c r="AP36" s="585">
        <f>IF(M36="","",DEGREES(ATAN2(AK36,AL36)))</f>
        <v>-20.896617964834316</v>
      </c>
      <c r="AQ36" s="586">
        <f t="shared" si="9"/>
        <v>0.59453822937077538</v>
      </c>
      <c r="AS36" s="52">
        <f t="shared" si="116"/>
        <v>-140.63003167310467</v>
      </c>
      <c r="AT36" s="72">
        <f t="shared" si="10"/>
        <v>-0.72884274851408404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3.1219999999999999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2.5004474750923995</v>
      </c>
      <c r="C37" s="708">
        <v>-3.0724183908216545</v>
      </c>
      <c r="D37" s="709">
        <v>-1.5865047848984306</v>
      </c>
      <c r="E37" s="710">
        <v>0.97708365723943991</v>
      </c>
      <c r="F37" s="708">
        <v>0.2123512147380299</v>
      </c>
      <c r="G37" s="711">
        <v>1.4645420952767284E-2</v>
      </c>
      <c r="H37" s="710">
        <v>0.314</v>
      </c>
      <c r="I37" s="708">
        <v>0.52</v>
      </c>
      <c r="J37" s="570">
        <v>3.1269999999999998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3.1269999999999998</v>
      </c>
      <c r="N37" s="632">
        <f t="shared" si="2"/>
        <v>2.5004474750923995</v>
      </c>
      <c r="O37" s="629">
        <f t="shared" si="3"/>
        <v>-3.0724183908216545</v>
      </c>
      <c r="P37" s="633">
        <f t="shared" si="4"/>
        <v>-1.5865047848984306</v>
      </c>
      <c r="Q37" s="585">
        <f t="shared" si="113"/>
        <v>309.13996836010324</v>
      </c>
      <c r="R37" s="629">
        <f t="shared" si="79"/>
        <v>3.9613119473168332</v>
      </c>
      <c r="S37" s="634">
        <f t="shared" si="80"/>
        <v>-1.5865047848984306</v>
      </c>
      <c r="T37" s="635">
        <f t="shared" si="81"/>
        <v>-3.072418390821654</v>
      </c>
      <c r="U37" s="629">
        <f t="shared" si="82"/>
        <v>-2.5004474750924</v>
      </c>
      <c r="V37" s="636">
        <f t="shared" si="114"/>
        <v>-1.5865047848984306</v>
      </c>
      <c r="W37" s="585">
        <f t="shared" si="224"/>
        <v>219.13996836010324</v>
      </c>
      <c r="X37" s="629">
        <f t="shared" si="83"/>
        <v>3.9613119473168332</v>
      </c>
      <c r="Y37" s="630">
        <f t="shared" si="223"/>
        <v>-1.5865047848984306</v>
      </c>
      <c r="Z37" s="632">
        <f t="shared" si="6"/>
        <v>-0.97708365723943991</v>
      </c>
      <c r="AA37" s="629">
        <f t="shared" si="7"/>
        <v>-0.2123512147380299</v>
      </c>
      <c r="AB37" s="629">
        <f t="shared" si="8"/>
        <v>-1.4645420952767284E-2</v>
      </c>
      <c r="AC37" s="636">
        <f t="shared" si="84"/>
        <v>1</v>
      </c>
      <c r="AD37" s="637">
        <f t="shared" si="115"/>
        <v>-0.97708365723943991</v>
      </c>
      <c r="AE37" s="629">
        <f t="shared" si="85"/>
        <v>-0.2123512147380299</v>
      </c>
      <c r="AF37" s="633">
        <f t="shared" si="86"/>
        <v>-1.4645420952767284E-2</v>
      </c>
      <c r="AG37" s="602">
        <f t="shared" si="87"/>
        <v>-86.054676925849066</v>
      </c>
      <c r="AH37" s="603">
        <f t="shared" si="88"/>
        <v>167.71024679736584</v>
      </c>
      <c r="AI37" s="585">
        <f t="shared" si="89"/>
        <v>-89.160849190377959</v>
      </c>
      <c r="AJ37" s="586">
        <f t="shared" si="90"/>
        <v>-77.738489381622088</v>
      </c>
      <c r="AK37" s="635">
        <f t="shared" si="211"/>
        <v>0.89187191101960261</v>
      </c>
      <c r="AL37" s="629">
        <f t="shared" si="91"/>
        <v>-0.45205088870541799</v>
      </c>
      <c r="AM37" s="634">
        <f t="shared" si="92"/>
        <v>-1.4645420952767284E-2</v>
      </c>
      <c r="AN37" s="581">
        <f t="shared" si="93"/>
        <v>-88.144396059046429</v>
      </c>
      <c r="AO37" s="582">
        <f t="shared" si="94"/>
        <v>26.890578901676861</v>
      </c>
      <c r="AP37" s="585">
        <f t="shared" si="95"/>
        <v>-26.878457741725327</v>
      </c>
      <c r="AQ37" s="586">
        <f t="shared" si="9"/>
        <v>0.57547852851559311</v>
      </c>
      <c r="AS37" s="52">
        <f t="shared" si="116"/>
        <v>-140.86003163989676</v>
      </c>
      <c r="AT37" s="72">
        <f t="shared" si="10"/>
        <v>-1.4886853184818356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3.1269999999999998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2.5451385085159695</v>
      </c>
      <c r="C38" s="708">
        <v>-3.1452320609862068</v>
      </c>
      <c r="D38" s="709">
        <v>-2.2394067540507701</v>
      </c>
      <c r="E38" s="710">
        <v>0.99088397962195329</v>
      </c>
      <c r="F38" s="708">
        <v>0.12853719358029866</v>
      </c>
      <c r="G38" s="711">
        <v>4.0337684552553779E-2</v>
      </c>
      <c r="H38" s="710">
        <v>0.26600000000000001</v>
      </c>
      <c r="I38" s="708">
        <v>0.52</v>
      </c>
      <c r="J38" s="570">
        <v>3.1320000000000001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3.1320000000000001</v>
      </c>
      <c r="N38" s="632">
        <f t="shared" si="2"/>
        <v>2.5451385085159695</v>
      </c>
      <c r="O38" s="629">
        <f t="shared" si="3"/>
        <v>-3.1452320609862068</v>
      </c>
      <c r="P38" s="633">
        <f t="shared" si="4"/>
        <v>-2.2394067540507701</v>
      </c>
      <c r="Q38" s="585">
        <f t="shared" si="113"/>
        <v>308.97996838320438</v>
      </c>
      <c r="R38" s="629">
        <f t="shared" si="79"/>
        <v>4.0460122027728032</v>
      </c>
      <c r="S38" s="634">
        <f t="shared" si="80"/>
        <v>-2.2394067540507701</v>
      </c>
      <c r="T38" s="635">
        <f t="shared" si="81"/>
        <v>-3.1452320609862063</v>
      </c>
      <c r="U38" s="629">
        <f t="shared" si="82"/>
        <v>-2.5451385085159695</v>
      </c>
      <c r="V38" s="636">
        <f t="shared" si="114"/>
        <v>-2.2394067540507701</v>
      </c>
      <c r="W38" s="585">
        <f t="shared" si="224"/>
        <v>218.97996838320438</v>
      </c>
      <c r="X38" s="629">
        <f t="shared" si="83"/>
        <v>4.0460122027728032</v>
      </c>
      <c r="Y38" s="630">
        <f t="shared" si="223"/>
        <v>-2.2394067540507701</v>
      </c>
      <c r="Z38" s="632">
        <f t="shared" si="6"/>
        <v>-0.99088397962195329</v>
      </c>
      <c r="AA38" s="629">
        <f t="shared" si="7"/>
        <v>-0.12853719358029866</v>
      </c>
      <c r="AB38" s="629">
        <f t="shared" si="8"/>
        <v>-4.0337684552553779E-2</v>
      </c>
      <c r="AC38" s="636">
        <f t="shared" si="84"/>
        <v>1</v>
      </c>
      <c r="AD38" s="637">
        <f t="shared" si="115"/>
        <v>-0.99088397962195329</v>
      </c>
      <c r="AE38" s="629">
        <f t="shared" si="85"/>
        <v>-0.12853719358029866</v>
      </c>
      <c r="AF38" s="633">
        <f t="shared" si="86"/>
        <v>-4.0337684552553779E-2</v>
      </c>
      <c r="AG38" s="602">
        <f t="shared" si="87"/>
        <v>-72.577041727402488</v>
      </c>
      <c r="AH38" s="603">
        <f t="shared" si="88"/>
        <v>172.25768661106173</v>
      </c>
      <c r="AI38" s="585">
        <f t="shared" si="89"/>
        <v>-87.688193696103156</v>
      </c>
      <c r="AJ38" s="586">
        <f t="shared" si="90"/>
        <v>-82.608880345899493</v>
      </c>
      <c r="AK38" s="635">
        <f t="shared" si="211"/>
        <v>0.85113559969550479</v>
      </c>
      <c r="AL38" s="629">
        <f t="shared" si="91"/>
        <v>-0.52339379260353502</v>
      </c>
      <c r="AM38" s="634">
        <f t="shared" si="92"/>
        <v>-4.0337684552553779E-2</v>
      </c>
      <c r="AN38" s="581">
        <f t="shared" si="93"/>
        <v>-85.592956116081908</v>
      </c>
      <c r="AO38" s="582">
        <f t="shared" si="94"/>
        <v>31.664600891226723</v>
      </c>
      <c r="AP38" s="585">
        <f t="shared" si="95"/>
        <v>-31.588848729103866</v>
      </c>
      <c r="AQ38" s="586">
        <f t="shared" si="9"/>
        <v>0.56343209859672205</v>
      </c>
      <c r="AS38" s="52">
        <f t="shared" si="116"/>
        <v>-141.02003161679562</v>
      </c>
      <c r="AT38" s="72">
        <f t="shared" si="10"/>
        <v>-2.1414761765391064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3.1320000000000001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0.97891460710327727</v>
      </c>
      <c r="C39" s="708">
        <v>-2.4277810477021755</v>
      </c>
      <c r="D39" s="709">
        <v>-0.11039999999999991</v>
      </c>
      <c r="E39" s="710">
        <v>0.89553113720838673</v>
      </c>
      <c r="F39" s="708">
        <v>0.28568915051857535</v>
      </c>
      <c r="G39" s="711">
        <v>0.34118278322070816</v>
      </c>
      <c r="H39" s="710">
        <v>0.26600000000000001</v>
      </c>
      <c r="I39" s="708">
        <v>0.52</v>
      </c>
      <c r="J39" s="570">
        <v>3.2130000000000001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3.2130000000000001</v>
      </c>
      <c r="N39" s="632">
        <f t="shared" si="2"/>
        <v>0.97891460710327727</v>
      </c>
      <c r="O39" s="629">
        <f t="shared" si="3"/>
        <v>-2.4277810477021755</v>
      </c>
      <c r="P39" s="633">
        <f t="shared" si="4"/>
        <v>-0.11039999999999991</v>
      </c>
      <c r="Q39" s="585">
        <f t="shared" si="113"/>
        <v>291.95996794717036</v>
      </c>
      <c r="R39" s="629">
        <f t="shared" si="79"/>
        <v>2.617707895007011</v>
      </c>
      <c r="S39" s="634">
        <f t="shared" si="80"/>
        <v>-0.11039999999999991</v>
      </c>
      <c r="T39" s="635">
        <f t="shared" si="81"/>
        <v>-2.427781047702176</v>
      </c>
      <c r="U39" s="629">
        <f t="shared" si="82"/>
        <v>-0.97891460710327616</v>
      </c>
      <c r="V39" s="636">
        <f t="shared" si="114"/>
        <v>-0.11039999999999991</v>
      </c>
      <c r="W39" s="585">
        <f t="shared" si="224"/>
        <v>201.95996794717036</v>
      </c>
      <c r="X39" s="629">
        <f t="shared" si="83"/>
        <v>2.617707895007011</v>
      </c>
      <c r="Y39" s="630">
        <f t="shared" si="223"/>
        <v>-0.11039999999999991</v>
      </c>
      <c r="Z39" s="632">
        <f t="shared" si="6"/>
        <v>-0.89553113720838673</v>
      </c>
      <c r="AA39" s="629">
        <f t="shared" si="7"/>
        <v>-0.28568915051857535</v>
      </c>
      <c r="AB39" s="629">
        <f t="shared" si="8"/>
        <v>-0.34118278322070816</v>
      </c>
      <c r="AC39" s="636">
        <f t="shared" si="84"/>
        <v>1</v>
      </c>
      <c r="AD39" s="637">
        <f t="shared" si="115"/>
        <v>-0.89553113720838673</v>
      </c>
      <c r="AE39" s="629">
        <f t="shared" si="85"/>
        <v>-0.28568915051857535</v>
      </c>
      <c r="AF39" s="633">
        <f t="shared" si="86"/>
        <v>-0.34118278322070816</v>
      </c>
      <c r="AG39" s="602">
        <f t="shared" si="87"/>
        <v>-39.941097268979291</v>
      </c>
      <c r="AH39" s="603">
        <f t="shared" si="88"/>
        <v>153.57673439458634</v>
      </c>
      <c r="AI39" s="585">
        <f t="shared" si="89"/>
        <v>-70.051047999566364</v>
      </c>
      <c r="AJ39" s="586">
        <f t="shared" si="90"/>
        <v>-72.30646246595191</v>
      </c>
      <c r="AK39" s="635">
        <f t="shared" si="211"/>
        <v>0.93739213980125391</v>
      </c>
      <c r="AL39" s="629">
        <f t="shared" si="91"/>
        <v>-6.9930570372320422E-2</v>
      </c>
      <c r="AM39" s="634">
        <f t="shared" si="92"/>
        <v>-0.34118278322070816</v>
      </c>
      <c r="AN39" s="581">
        <f t="shared" si="93"/>
        <v>-11.583208376846937</v>
      </c>
      <c r="AO39" s="582">
        <f t="shared" si="94"/>
        <v>20.381886580990404</v>
      </c>
      <c r="AP39" s="585">
        <f t="shared" si="95"/>
        <v>-4.2664304131222597</v>
      </c>
      <c r="AQ39" s="586">
        <f t="shared" si="9"/>
        <v>0.87081950397539065</v>
      </c>
      <c r="AS39" s="52">
        <f t="shared" si="116"/>
        <v>-158.04003205282964</v>
      </c>
      <c r="AT39" s="72">
        <f t="shared" si="10"/>
        <v>-6.4997774109043505E-4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3.2130000000000001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2.113</v>
      </c>
      <c r="II39" s="734" cm="1">
        <f t="array" ref="II39">IFERROR(ROUND(VALUE(IF($IH39&lt;1,$IH39+LARGE((IF($M$9:$M$150="",0,$M$9:$M$150)-MOD(IF($M$9:$M$150="",0,$M$9:$M$150),1)),1),$IH39)),4),"")</f>
        <v>2.113</v>
      </c>
      <c r="IJ39" s="533">
        <f t="shared" si="112"/>
        <v>1613</v>
      </c>
      <c r="IK39" s="533">
        <f t="shared" si="66"/>
        <v>1313</v>
      </c>
      <c r="IL39" s="727">
        <f t="shared" si="225"/>
        <v>88.379990132926252</v>
      </c>
      <c r="IM39" s="759">
        <v>3.2085550832670999E-2</v>
      </c>
      <c r="IN39" s="5">
        <f t="shared" si="226"/>
        <v>0.14000000000000001</v>
      </c>
      <c r="IO39" s="771">
        <v>70</v>
      </c>
      <c r="IP39" s="9">
        <f t="shared" si="227"/>
        <v>-2.6177078950070114</v>
      </c>
      <c r="IQ39" s="5">
        <f t="shared" si="228"/>
        <v>-0.13160039690679703</v>
      </c>
      <c r="IR39" s="5">
        <f t="shared" si="71"/>
        <v>0.314</v>
      </c>
      <c r="IS39" s="5">
        <f t="shared" si="229"/>
        <v>0.30255819021491903</v>
      </c>
      <c r="IT39" s="727">
        <f t="shared" si="230"/>
        <v>15.155176708468353</v>
      </c>
      <c r="IU39" s="9">
        <f t="shared" si="231"/>
        <v>-2.617707895007011</v>
      </c>
      <c r="IV39" s="5">
        <f t="shared" si="232"/>
        <v>-0.11039999999999991</v>
      </c>
      <c r="IW39" s="5">
        <f t="shared" si="76"/>
        <v>0.26600000000000001</v>
      </c>
      <c r="IX39" s="5">
        <f t="shared" si="233"/>
        <v>0.24934630918713355</v>
      </c>
      <c r="IY39" s="762">
        <f t="shared" si="234"/>
        <v>11.583208376846937</v>
      </c>
    </row>
    <row r="40" spans="1:267" ht="15" customHeight="1" x14ac:dyDescent="0.25">
      <c r="A40" s="79"/>
      <c r="B40" s="707">
        <v>1.4777274804425324</v>
      </c>
      <c r="C40" s="708">
        <v>-3.110690042820206</v>
      </c>
      <c r="D40" s="709">
        <v>-0.33011535511059609</v>
      </c>
      <c r="E40" s="710">
        <v>0.95356665805825047</v>
      </c>
      <c r="F40" s="708">
        <v>0.16269751666513083</v>
      </c>
      <c r="G40" s="711">
        <v>0.25345640001905495</v>
      </c>
      <c r="H40" s="710">
        <v>0.26600000000000001</v>
      </c>
      <c r="I40" s="708">
        <v>0.52</v>
      </c>
      <c r="J40" s="570">
        <v>3.218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3.218</v>
      </c>
      <c r="N40" s="632">
        <f t="shared" si="2"/>
        <v>1.4777274804425324</v>
      </c>
      <c r="O40" s="629">
        <f t="shared" si="3"/>
        <v>-3.110690042820206</v>
      </c>
      <c r="P40" s="633">
        <f t="shared" si="4"/>
        <v>-0.33011535511059609</v>
      </c>
      <c r="Q40" s="585">
        <f t="shared" si="113"/>
        <v>295.40996794717034</v>
      </c>
      <c r="R40" s="629">
        <f t="shared" si="79"/>
        <v>3.4438453869121086</v>
      </c>
      <c r="S40" s="634">
        <f t="shared" si="80"/>
        <v>-0.33011535511059609</v>
      </c>
      <c r="T40" s="635">
        <f t="shared" si="81"/>
        <v>-3.1106900428202073</v>
      </c>
      <c r="U40" s="629">
        <f t="shared" si="82"/>
        <v>-1.4777274804425302</v>
      </c>
      <c r="V40" s="636">
        <f t="shared" si="114"/>
        <v>-0.33011535511059609</v>
      </c>
      <c r="W40" s="585">
        <f t="shared" si="224"/>
        <v>205.40996794717034</v>
      </c>
      <c r="X40" s="629">
        <f t="shared" si="83"/>
        <v>3.4438453869121086</v>
      </c>
      <c r="Y40" s="630">
        <f t="shared" si="223"/>
        <v>-0.33011535511059609</v>
      </c>
      <c r="Z40" s="632">
        <f t="shared" si="6"/>
        <v>-0.95356665805825047</v>
      </c>
      <c r="AA40" s="629">
        <f t="shared" si="7"/>
        <v>-0.16269751666513083</v>
      </c>
      <c r="AB40" s="629">
        <f t="shared" si="8"/>
        <v>-0.25345640001905495</v>
      </c>
      <c r="AC40" s="636">
        <f t="shared" si="84"/>
        <v>1</v>
      </c>
      <c r="AD40" s="637">
        <f t="shared" si="115"/>
        <v>-0.95356665805825047</v>
      </c>
      <c r="AE40" s="629">
        <f t="shared" si="85"/>
        <v>-0.16269751666513083</v>
      </c>
      <c r="AF40" s="633">
        <f t="shared" si="86"/>
        <v>-0.25345640001905495</v>
      </c>
      <c r="AG40" s="602">
        <f t="shared" si="87"/>
        <v>-32.697022362551756</v>
      </c>
      <c r="AH40" s="603">
        <f t="shared" si="88"/>
        <v>162.47138624206403</v>
      </c>
      <c r="AI40" s="585">
        <f t="shared" si="89"/>
        <v>-75.317861160702222</v>
      </c>
      <c r="AJ40" s="586">
        <f t="shared" si="90"/>
        <v>-80.317434180003943</v>
      </c>
      <c r="AK40" s="635">
        <f t="shared" si="211"/>
        <v>0.931131493867149</v>
      </c>
      <c r="AL40" s="629">
        <f t="shared" si="91"/>
        <v>-0.26220982898837408</v>
      </c>
      <c r="AM40" s="634">
        <f t="shared" si="92"/>
        <v>-0.25345640001905495</v>
      </c>
      <c r="AN40" s="581">
        <f t="shared" si="93"/>
        <v>-45.972501870178576</v>
      </c>
      <c r="AO40" s="582">
        <f t="shared" si="94"/>
        <v>21.388113307032071</v>
      </c>
      <c r="AP40" s="585">
        <f t="shared" si="95"/>
        <v>-15.727402127174287</v>
      </c>
      <c r="AQ40" s="586">
        <f t="shared" si="9"/>
        <v>0.66194179685897536</v>
      </c>
      <c r="AS40" s="52">
        <f t="shared" si="116"/>
        <v>-154.59003205282966</v>
      </c>
      <c r="AT40" s="72">
        <f t="shared" si="10"/>
        <v>-0.22276116618501993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3.218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2.1179999999999999</v>
      </c>
      <c r="II40" s="734" cm="1">
        <f t="array" ref="II40">IFERROR(ROUND(VALUE(IF($IH40&lt;1,$IH40+LARGE((IF($M$9:$M$150="",0,$M$9:$M$150)-MOD(IF($M$9:$M$150="",0,$M$9:$M$150),1)),1),$IH40)),4),"")</f>
        <v>2.1179999999999999</v>
      </c>
      <c r="IJ40" s="533">
        <f t="shared" si="112"/>
        <v>1613</v>
      </c>
      <c r="IK40" s="533">
        <f t="shared" si="66"/>
        <v>1313</v>
      </c>
      <c r="IL40" s="727">
        <f t="shared" si="225"/>
        <v>83.699990310516284</v>
      </c>
      <c r="IM40" s="759">
        <v>2.4166410872346201E-2</v>
      </c>
      <c r="IN40" s="5">
        <f t="shared" si="226"/>
        <v>0.14000000000000001</v>
      </c>
      <c r="IO40" s="771">
        <v>70</v>
      </c>
      <c r="IP40" s="9">
        <f t="shared" si="227"/>
        <v>-3.4219103204815267</v>
      </c>
      <c r="IQ40" s="5">
        <f t="shared" si="228"/>
        <v>-0.34780104896796399</v>
      </c>
      <c r="IR40" s="5">
        <f t="shared" si="71"/>
        <v>0.314</v>
      </c>
      <c r="IS40" s="5">
        <f t="shared" si="229"/>
        <v>0.30053746737868864</v>
      </c>
      <c r="IT40" s="727">
        <f t="shared" si="230"/>
        <v>52.005762659276925</v>
      </c>
      <c r="IU40" s="9">
        <f t="shared" si="231"/>
        <v>-3.4438453869121086</v>
      </c>
      <c r="IV40" s="5">
        <f t="shared" si="232"/>
        <v>-0.33011535511059609</v>
      </c>
      <c r="IW40" s="5">
        <f t="shared" si="76"/>
        <v>0.26600000000000001</v>
      </c>
      <c r="IX40" s="5">
        <f t="shared" si="233"/>
        <v>0.24768097736866165</v>
      </c>
      <c r="IY40" s="762">
        <f t="shared" si="234"/>
        <v>45.972501870178576</v>
      </c>
    </row>
    <row r="41" spans="1:267" ht="15" customHeight="1" x14ac:dyDescent="0.25">
      <c r="A41" s="79"/>
      <c r="B41" s="707">
        <v>1.7460140463530838</v>
      </c>
      <c r="C41" s="708">
        <v>-3.523501757234933</v>
      </c>
      <c r="D41" s="709">
        <v>-0.96719999999999984</v>
      </c>
      <c r="E41" s="710">
        <v>0.98882412372083006</v>
      </c>
      <c r="F41" s="708">
        <v>1.5201184595332137E-2</v>
      </c>
      <c r="G41" s="711">
        <v>0.1483097310854255</v>
      </c>
      <c r="H41" s="710">
        <v>0.26600000000000001</v>
      </c>
      <c r="I41" s="708">
        <v>0.52</v>
      </c>
      <c r="J41" s="570">
        <v>3.2229999999999999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3.2229999999999999</v>
      </c>
      <c r="N41" s="632">
        <f t="shared" ref="N41:N72" si="240">IF(M41="","",B41)</f>
        <v>1.7460140463530838</v>
      </c>
      <c r="O41" s="629">
        <f t="shared" ref="O41:O72" si="241">IF(M41="","",C41)</f>
        <v>-3.523501757234933</v>
      </c>
      <c r="P41" s="633">
        <f t="shared" ref="P41:P72" si="242">IF(M41="","",D41)</f>
        <v>-0.96719999999999984</v>
      </c>
      <c r="Q41" s="585">
        <f t="shared" si="113"/>
        <v>296.35996794717039</v>
      </c>
      <c r="R41" s="629">
        <f t="shared" si="79"/>
        <v>3.9323821893732469</v>
      </c>
      <c r="S41" s="634">
        <f t="shared" si="80"/>
        <v>-0.96719999999999984</v>
      </c>
      <c r="T41" s="635">
        <f t="shared" si="81"/>
        <v>-3.523501757234933</v>
      </c>
      <c r="U41" s="629">
        <f t="shared" si="82"/>
        <v>-1.7460140463530844</v>
      </c>
      <c r="V41" s="636">
        <f t="shared" si="114"/>
        <v>-0.96719999999999984</v>
      </c>
      <c r="W41" s="585">
        <f t="shared" si="224"/>
        <v>206.35996794717039</v>
      </c>
      <c r="X41" s="629">
        <f t="shared" si="83"/>
        <v>3.9323821893732469</v>
      </c>
      <c r="Y41" s="630">
        <f t="shared" si="223"/>
        <v>-0.96719999999999984</v>
      </c>
      <c r="Z41" s="632">
        <f t="shared" ref="Z41:Z72" si="243">IF(M41="","",-E41)</f>
        <v>-0.98882412372083006</v>
      </c>
      <c r="AA41" s="629">
        <f t="shared" ref="AA41:AA72" si="244">IF(M41="","",-F41)</f>
        <v>-1.5201184595332137E-2</v>
      </c>
      <c r="AB41" s="629">
        <f t="shared" ref="AB41:AB72" si="245">IF(M41="","",-G41)</f>
        <v>-0.1483097310854255</v>
      </c>
      <c r="AC41" s="636">
        <f t="shared" si="84"/>
        <v>1</v>
      </c>
      <c r="AD41" s="637">
        <f t="shared" si="115"/>
        <v>-0.98882412372083006</v>
      </c>
      <c r="AE41" s="629">
        <f t="shared" si="85"/>
        <v>-1.5201184595332137E-2</v>
      </c>
      <c r="AF41" s="633">
        <f t="shared" si="86"/>
        <v>-0.1483097310854255</v>
      </c>
      <c r="AG41" s="602">
        <f t="shared" si="87"/>
        <v>-5.8521638099500093</v>
      </c>
      <c r="AH41" s="603">
        <f t="shared" si="88"/>
        <v>171.42599519334163</v>
      </c>
      <c r="AI41" s="585">
        <f t="shared" si="89"/>
        <v>-81.471014310408719</v>
      </c>
      <c r="AJ41" s="586">
        <f t="shared" si="90"/>
        <v>-89.119261860163462</v>
      </c>
      <c r="AK41" s="635">
        <f t="shared" si="211"/>
        <v>0.89275783743462445</v>
      </c>
      <c r="AL41" s="629">
        <f t="shared" si="91"/>
        <v>-0.42542645353153768</v>
      </c>
      <c r="AM41" s="634">
        <f t="shared" si="92"/>
        <v>-0.1483097310854255</v>
      </c>
      <c r="AN41" s="581">
        <f t="shared" si="93"/>
        <v>-70.780716325064134</v>
      </c>
      <c r="AO41" s="582">
        <f t="shared" si="94"/>
        <v>26.778132229103797</v>
      </c>
      <c r="AP41" s="585">
        <f t="shared" si="95"/>
        <v>-25.479229807333844</v>
      </c>
      <c r="AQ41" s="586">
        <f t="shared" ref="AQ41:AQ72" si="246">IF(M41="","",DEGREES(ATAN(($AS$5*SIN(RADIANS(90)))/(($X41*2*PI())-($AS$5*COS(RADIANS(90)))))))</f>
        <v>0.57971192234232372</v>
      </c>
      <c r="AS41" s="52">
        <f t="shared" si="116"/>
        <v>-153.64003205282961</v>
      </c>
      <c r="AT41" s="72">
        <f t="shared" ref="AT41:AT72" si="247">IF(M41="","",Y41+(((AS41-$AS$9)*$AS$6)*-1))</f>
        <v>-0.86050553329664592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3.2229999999999999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2.1230000000000002</v>
      </c>
      <c r="II41" s="734" cm="1">
        <f t="array" ref="II41">IFERROR(ROUND(VALUE(IF($IH41&lt;1,$IH41+LARGE((IF($M$9:$M$150="",0,$M$9:$M$150)-MOD(IF($M$9:$M$150="",0,$M$9:$M$150),1)),1),$IH41)),4),"")</f>
        <v>2.1230000000000002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81.909990431797212</v>
      </c>
      <c r="IM41" s="759">
        <v>1.1176809756922699E-2</v>
      </c>
      <c r="IN41" s="5">
        <f t="shared" si="226"/>
        <v>0.14000000000000001</v>
      </c>
      <c r="IO41" s="771">
        <v>70</v>
      </c>
      <c r="IP41" s="9">
        <f t="shared" si="227"/>
        <v>-3.8921117386090045</v>
      </c>
      <c r="IQ41" s="5">
        <f t="shared" si="228"/>
        <v>-0.97260293337044668</v>
      </c>
      <c r="IR41" s="5">
        <f t="shared" ref="IR41:IR72" si="383">IF(ISNUMBER($II41),INDEX($H$9:$H$150,MATCH($II41,$M$9:$M$150,0)),"")</f>
        <v>0.314</v>
      </c>
      <c r="IS41" s="5">
        <f t="shared" si="229"/>
        <v>0.29065206962263412</v>
      </c>
      <c r="IT41" s="727">
        <f t="shared" si="230"/>
        <v>75.382347844056042</v>
      </c>
      <c r="IU41" s="9">
        <f t="shared" si="231"/>
        <v>-3.9323821893732469</v>
      </c>
      <c r="IV41" s="5">
        <f t="shared" si="232"/>
        <v>-0.96719999999999984</v>
      </c>
      <c r="IW41" s="5">
        <f t="shared" ref="IW41:IW72" si="384">IF(ISNUMBER($II41),$H41,"")</f>
        <v>0.26600000000000001</v>
      </c>
      <c r="IX41" s="5">
        <f t="shared" si="233"/>
        <v>0.23747358475761013</v>
      </c>
      <c r="IY41" s="762">
        <f t="shared" si="234"/>
        <v>70.780716325064134</v>
      </c>
    </row>
    <row r="42" spans="1:267" ht="15" customHeight="1" x14ac:dyDescent="0.25">
      <c r="A42" s="79"/>
      <c r="B42" s="707">
        <v>0.10031561845182578</v>
      </c>
      <c r="C42" s="708">
        <v>-1.1466201536230853</v>
      </c>
      <c r="D42" s="709">
        <v>-0.50080000000000013</v>
      </c>
      <c r="E42" s="710">
        <v>-2.2557418691511111E-2</v>
      </c>
      <c r="F42" s="708">
        <v>0.25783413674333949</v>
      </c>
      <c r="G42" s="711">
        <v>0.96592583607220739</v>
      </c>
      <c r="H42" s="710">
        <v>0.22499999999999998</v>
      </c>
      <c r="I42" s="708">
        <v>0.33200000000000002</v>
      </c>
      <c r="J42" s="570">
        <v>3.3050000000000002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1314"/>
      <c r="M42" s="168">
        <f t="shared" si="239"/>
        <v>3.3050000000000002</v>
      </c>
      <c r="N42" s="632">
        <f t="shared" si="240"/>
        <v>0.10031561845182578</v>
      </c>
      <c r="O42" s="629">
        <f t="shared" si="241"/>
        <v>-1.1466201536230853</v>
      </c>
      <c r="P42" s="633">
        <f t="shared" si="242"/>
        <v>-0.50080000000000013</v>
      </c>
      <c r="Q42" s="585">
        <f t="shared" si="113"/>
        <v>274.99996794717038</v>
      </c>
      <c r="R42" s="629">
        <f t="shared" ref="R42:R47" si="385">IF(M42="","",SQRT(N42^2+O42^2))</f>
        <v>1.151</v>
      </c>
      <c r="S42" s="634">
        <f t="shared" ref="S42:S47" si="386">IF(M42="","",P42)</f>
        <v>-0.50080000000000013</v>
      </c>
      <c r="T42" s="635">
        <f t="shared" ref="T42:T47" si="387">IF(M42="","",X42*COS(RADIANS(W42)))</f>
        <v>-1.1466201536230853</v>
      </c>
      <c r="U42" s="629">
        <f t="shared" ref="U42:U47" si="388">IF(M42="","",X42*SIN(RADIANS(W42)))</f>
        <v>-0.10031561845182548</v>
      </c>
      <c r="V42" s="636">
        <f t="shared" ref="V42:V47" si="389">IF(M42="","",Y42)</f>
        <v>-0.50080000000000013</v>
      </c>
      <c r="W42" s="585">
        <f t="shared" si="224"/>
        <v>184.99996794717038</v>
      </c>
      <c r="X42" s="629">
        <f t="shared" ref="X42:X47" si="390">IF(M42="","",R42)</f>
        <v>1.151</v>
      </c>
      <c r="Y42" s="630">
        <f t="shared" si="223"/>
        <v>-0.50080000000000013</v>
      </c>
      <c r="Z42" s="632">
        <f t="shared" si="243"/>
        <v>2.2557418691511111E-2</v>
      </c>
      <c r="AA42" s="629">
        <f t="shared" si="244"/>
        <v>-0.25783413674333949</v>
      </c>
      <c r="AB42" s="629">
        <f t="shared" si="245"/>
        <v>-0.96592583607220739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2.2557418691511111E-2</v>
      </c>
      <c r="AE42" s="629">
        <f t="shared" ref="AE42:AE47" si="393">IF(M42="","",AA42*(1/SQRT(Z42^2+AA42^2+AB42^2)))</f>
        <v>-0.25783413674333949</v>
      </c>
      <c r="AF42" s="633">
        <f t="shared" ref="AF42:AF47" si="394">IF(M42="","",AB42*(1/SQRT(Z42^2+AA42^2+AB42^2)))</f>
        <v>-0.96592583607220739</v>
      </c>
      <c r="AG42" s="602">
        <f t="shared" ref="AG42:AG47" si="395">IF(M42="","",DEGREES(ATAN2(-AF42,AE42)))</f>
        <v>-14.945477724102231</v>
      </c>
      <c r="AH42" s="603">
        <f t="shared" ref="AH42:AH47" si="396">IF(M42="","",DEGREES(ACOS(AD42)))</f>
        <v>88.707445479835485</v>
      </c>
      <c r="AI42" s="585">
        <f t="shared" ref="AI42:AI47" si="397">IF(M42="","",DEGREES(-ACOS(-AF42)))</f>
        <v>-14.999997834268255</v>
      </c>
      <c r="AJ42" s="586">
        <f t="shared" ref="AJ42:AJ47" si="398">IF(M42="","",DEGREES(ATAN2(-AE42,AD42)))</f>
        <v>4.9999679471703811</v>
      </c>
      <c r="AK42" s="635">
        <f t="shared" ref="AK42:AK47" si="399">IF(M42="","",(COS(RADIANS((90-$Q$8)-W42))*AD42)+(-SIN(RADIANS((90-$Q$8)-W42))*AE42))</f>
        <v>-7.6327832942979512E-17</v>
      </c>
      <c r="AL42" s="629">
        <f t="shared" ref="AL42:AL47" si="400">IF(M42="","",(SIN(RADIANS((90-$Q$8)-W42))*AD42)+(COS(RADIANS((90-$Q$8)-W42))*AE42))</f>
        <v>0.25881900859134599</v>
      </c>
      <c r="AM42" s="634">
        <f t="shared" ref="AM42:AM47" si="401">IF(M42="","",AF42)</f>
        <v>-0.96592583607220739</v>
      </c>
      <c r="AN42" s="581">
        <f t="shared" ref="AN42:AN47" si="402">IF(M42="","",DEGREES(ATAN2(-AM42,AL42)))</f>
        <v>14.999997834268271</v>
      </c>
      <c r="AO42" s="582">
        <f t="shared" si="94"/>
        <v>0</v>
      </c>
      <c r="AP42" s="585">
        <f t="shared" ref="AP42:AP47" si="403">IF(M42="","",DEGREES(ATAN2(AK42,AL42)))</f>
        <v>90.000000000000014</v>
      </c>
      <c r="AQ42" s="586">
        <f t="shared" si="246"/>
        <v>1.9798602847802804</v>
      </c>
      <c r="AS42" s="52">
        <f t="shared" si="116"/>
        <v>-175.00003205282962</v>
      </c>
      <c r="AT42" s="72">
        <f t="shared" si="247"/>
        <v>-0.37927219996331291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3.3050000000000002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4.1050000000000004</v>
      </c>
      <c r="II42" s="734" cm="1">
        <f t="array" ref="II42">IFERROR(ROUND(VALUE(IF($IH42&lt;1,$IH42+LARGE((IF($M$9:$M$150="",0,$M$9:$M$150)-MOD(IF($M$9:$M$150="",0,$M$9:$M$150),1)),1),$IH42)),4),"")</f>
        <v>4.1050000000000004</v>
      </c>
      <c r="IJ42" s="533">
        <f t="shared" si="112"/>
        <v>1308</v>
      </c>
      <c r="IK42" s="533" t="str">
        <f t="shared" si="382"/>
        <v>Inactive</v>
      </c>
      <c r="IL42" s="727">
        <f t="shared" si="225"/>
        <v>311.00001241686192</v>
      </c>
      <c r="IM42" s="759">
        <v>2.05331106619434E-2</v>
      </c>
      <c r="IN42" s="5">
        <f t="shared" si="226"/>
        <v>0.04</v>
      </c>
      <c r="IO42" s="771">
        <v>20</v>
      </c>
      <c r="IP42" s="9">
        <f t="shared" si="227"/>
        <v>-1.0864032765922822</v>
      </c>
      <c r="IQ42" s="5">
        <f t="shared" si="228"/>
        <v>-0.473601428381908</v>
      </c>
      <c r="IR42" s="5">
        <f t="shared" si="383"/>
        <v>0.26600000000000001</v>
      </c>
      <c r="IS42" s="5">
        <f t="shared" si="229"/>
        <v>0.25693627239520717</v>
      </c>
      <c r="IT42" s="727">
        <f t="shared" si="230"/>
        <v>-14.999997834268214</v>
      </c>
      <c r="IU42" s="9">
        <f t="shared" si="231"/>
        <v>-1.151</v>
      </c>
      <c r="IV42" s="5">
        <f t="shared" si="232"/>
        <v>-0.50080000000000013</v>
      </c>
      <c r="IW42" s="5">
        <f t="shared" si="384"/>
        <v>0.22499999999999998</v>
      </c>
      <c r="IX42" s="5">
        <f t="shared" si="233"/>
        <v>0.22499999999999998</v>
      </c>
      <c r="IY42" s="762">
        <f t="shared" si="234"/>
        <v>-14.999997834268271</v>
      </c>
    </row>
    <row r="43" spans="1:267" ht="15" customHeight="1" x14ac:dyDescent="0.25">
      <c r="A43" s="79"/>
      <c r="B43" s="707">
        <v>0.43766209151042867</v>
      </c>
      <c r="C43" s="708">
        <v>-1.6333808170952411</v>
      </c>
      <c r="D43" s="709">
        <v>-0.36040000000000005</v>
      </c>
      <c r="E43" s="710">
        <v>-6.6987148801149615E-2</v>
      </c>
      <c r="F43" s="708">
        <v>0.25000000220739965</v>
      </c>
      <c r="G43" s="711">
        <v>0.96592583607220739</v>
      </c>
      <c r="H43" s="710">
        <v>0.22499999999999998</v>
      </c>
      <c r="I43" s="708">
        <v>0.33200000000000002</v>
      </c>
      <c r="J43" s="570">
        <v>3.3079999999999998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3.3079999999999998</v>
      </c>
      <c r="N43" s="632">
        <f t="shared" si="240"/>
        <v>0.43766209151042867</v>
      </c>
      <c r="O43" s="629">
        <f t="shared" si="241"/>
        <v>-1.6333808170952411</v>
      </c>
      <c r="P43" s="633">
        <f t="shared" si="242"/>
        <v>-0.36040000000000005</v>
      </c>
      <c r="Q43" s="585">
        <f t="shared" si="113"/>
        <v>284.99996794717038</v>
      </c>
      <c r="R43" s="629">
        <f t="shared" si="385"/>
        <v>1.6910000000000001</v>
      </c>
      <c r="S43" s="634">
        <f t="shared" si="386"/>
        <v>-0.36040000000000005</v>
      </c>
      <c r="T43" s="635">
        <f t="shared" si="387"/>
        <v>-1.6333808170952411</v>
      </c>
      <c r="U43" s="629">
        <f t="shared" si="388"/>
        <v>-0.43766209151042862</v>
      </c>
      <c r="V43" s="636">
        <f t="shared" si="389"/>
        <v>-0.36040000000000005</v>
      </c>
      <c r="W43" s="585">
        <f t="shared" si="224"/>
        <v>194.99996794717038</v>
      </c>
      <c r="X43" s="629">
        <f t="shared" si="390"/>
        <v>1.6910000000000001</v>
      </c>
      <c r="Y43" s="630">
        <f t="shared" si="223"/>
        <v>-0.36040000000000005</v>
      </c>
      <c r="Z43" s="632">
        <f t="shared" si="243"/>
        <v>6.6987148801149615E-2</v>
      </c>
      <c r="AA43" s="629">
        <f t="shared" si="244"/>
        <v>-0.25000000220739965</v>
      </c>
      <c r="AB43" s="629">
        <f t="shared" si="245"/>
        <v>-0.96592583607220739</v>
      </c>
      <c r="AC43" s="636">
        <f t="shared" si="391"/>
        <v>1</v>
      </c>
      <c r="AD43" s="637">
        <f t="shared" si="392"/>
        <v>6.6987148801149615E-2</v>
      </c>
      <c r="AE43" s="629">
        <f t="shared" si="393"/>
        <v>-0.25000000220739965</v>
      </c>
      <c r="AF43" s="633">
        <f t="shared" si="394"/>
        <v>-0.96592583607220739</v>
      </c>
      <c r="AG43" s="602">
        <f t="shared" si="395"/>
        <v>-14.510818681020885</v>
      </c>
      <c r="AH43" s="603">
        <f t="shared" si="396"/>
        <v>86.159042857640088</v>
      </c>
      <c r="AI43" s="585">
        <f t="shared" si="397"/>
        <v>-14.999997834268255</v>
      </c>
      <c r="AJ43" s="586">
        <f t="shared" si="398"/>
        <v>14.999967947170369</v>
      </c>
      <c r="AK43" s="635">
        <f t="shared" si="399"/>
        <v>2.7755575615628914E-17</v>
      </c>
      <c r="AL43" s="629">
        <f t="shared" si="400"/>
        <v>0.25881900859134593</v>
      </c>
      <c r="AM43" s="634">
        <f t="shared" si="401"/>
        <v>-0.96592583607220739</v>
      </c>
      <c r="AN43" s="581">
        <f t="shared" si="402"/>
        <v>14.999997834268267</v>
      </c>
      <c r="AO43" s="582">
        <f t="shared" si="94"/>
        <v>0</v>
      </c>
      <c r="AP43" s="585">
        <f t="shared" si="403"/>
        <v>90</v>
      </c>
      <c r="AQ43" s="586">
        <f t="shared" si="246"/>
        <v>1.3479042284299214</v>
      </c>
      <c r="AS43" s="52">
        <f t="shared" ref="AS43:AS74" si="406">IF(G43="","",IF(AND(W43&lt;(AS42+180),W43&gt;(AS42-180)),W43,IF(W43&gt;(AS42+180),W43-360,IF(W43&lt;(AS42-180),W43+360,"Error"))))</f>
        <v>-165.00003205282962</v>
      </c>
      <c r="AT43" s="72">
        <f t="shared" si="247"/>
        <v>-0.24581664440775725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3.3079999999999998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4.1079999999999997</v>
      </c>
      <c r="II43" s="734" cm="1">
        <f t="array" ref="II43">IFERROR(ROUND(VALUE(IF($IH43&lt;1,$IH43+LARGE((IF($M$9:$M$150="",0,$M$9:$M$150)-MOD(IF($M$9:$M$150="",0,$M$9:$M$150),1)),1),$IH43)),4),"")</f>
        <v>4.1079999999999997</v>
      </c>
      <c r="IJ43" s="533">
        <f t="shared" si="112"/>
        <v>1308</v>
      </c>
      <c r="IK43" s="533" t="str">
        <f t="shared" si="382"/>
        <v>Inactive</v>
      </c>
      <c r="IL43" s="727">
        <f t="shared" si="225"/>
        <v>301.00001241686192</v>
      </c>
      <c r="IM43" s="759">
        <v>6.1555532645301801E-2</v>
      </c>
      <c r="IN43" s="5">
        <f t="shared" si="226"/>
        <v>0.1</v>
      </c>
      <c r="IO43" s="771">
        <v>50</v>
      </c>
      <c r="IP43" s="9">
        <f t="shared" si="227"/>
        <v>-1.6747050509104338</v>
      </c>
      <c r="IQ43" s="5">
        <f t="shared" si="228"/>
        <v>-0.31600095305887455</v>
      </c>
      <c r="IR43" s="5">
        <f t="shared" si="383"/>
        <v>0.26600000000000001</v>
      </c>
      <c r="IS43" s="5">
        <f t="shared" si="229"/>
        <v>0.25693627239520717</v>
      </c>
      <c r="IT43" s="727">
        <f t="shared" si="230"/>
        <v>-14.999997834268299</v>
      </c>
      <c r="IU43" s="9">
        <f t="shared" si="231"/>
        <v>-1.6910000000000001</v>
      </c>
      <c r="IV43" s="5">
        <f t="shared" si="232"/>
        <v>-0.36040000000000005</v>
      </c>
      <c r="IW43" s="5">
        <f t="shared" si="384"/>
        <v>0.22499999999999998</v>
      </c>
      <c r="IX43" s="5">
        <f t="shared" si="233"/>
        <v>0.22499999999999998</v>
      </c>
      <c r="IY43" s="762">
        <f t="shared" si="234"/>
        <v>-14.999997834268267</v>
      </c>
    </row>
    <row r="44" spans="1:267" ht="15" customHeight="1" x14ac:dyDescent="0.25">
      <c r="A44" s="79"/>
      <c r="B44" s="707">
        <v>-0.34330132391104939</v>
      </c>
      <c r="C44" s="708">
        <v>-0.3554986838581855</v>
      </c>
      <c r="D44" s="709">
        <v>-0.61550185635359878</v>
      </c>
      <c r="E44" s="710">
        <v>0.72792595412603722</v>
      </c>
      <c r="F44" s="708">
        <v>-0.55089200234090552</v>
      </c>
      <c r="G44" s="711">
        <v>0.40821784266066369</v>
      </c>
      <c r="H44" s="710">
        <v>0.26600000000000001</v>
      </c>
      <c r="I44" s="708">
        <v>0.315</v>
      </c>
      <c r="J44" s="570">
        <v>4.1020000000000003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1308</v>
      </c>
      <c r="L44" s="320"/>
      <c r="M44" s="168">
        <f t="shared" si="239"/>
        <v>4.1020000000000003</v>
      </c>
      <c r="N44" s="632">
        <f t="shared" si="240"/>
        <v>-0.34330132391104939</v>
      </c>
      <c r="O44" s="629">
        <f t="shared" si="241"/>
        <v>-0.3554986838581855</v>
      </c>
      <c r="P44" s="633">
        <f t="shared" si="242"/>
        <v>-0.61550185635359878</v>
      </c>
      <c r="Q44" s="585">
        <f t="shared" si="113"/>
        <v>225.9999803640323</v>
      </c>
      <c r="R44" s="629">
        <f t="shared" si="385"/>
        <v>0.49420149051169543</v>
      </c>
      <c r="S44" s="634">
        <f t="shared" si="386"/>
        <v>-0.61550185635359878</v>
      </c>
      <c r="T44" s="635">
        <f t="shared" si="387"/>
        <v>-0.35549868385818539</v>
      </c>
      <c r="U44" s="629">
        <f t="shared" si="388"/>
        <v>0.34330132391104951</v>
      </c>
      <c r="V44" s="636">
        <f t="shared" si="389"/>
        <v>-0.61550185635359878</v>
      </c>
      <c r="W44" s="585">
        <f t="shared" si="224"/>
        <v>135.9999803640323</v>
      </c>
      <c r="X44" s="629">
        <f t="shared" si="390"/>
        <v>0.49420149051169543</v>
      </c>
      <c r="Y44" s="630">
        <f t="shared" si="223"/>
        <v>-0.61550185635359878</v>
      </c>
      <c r="Z44" s="632">
        <f t="shared" si="243"/>
        <v>-0.72792595412603722</v>
      </c>
      <c r="AA44" s="629">
        <f t="shared" si="244"/>
        <v>0.55089200234090552</v>
      </c>
      <c r="AB44" s="629">
        <f t="shared" si="245"/>
        <v>-0.40821784266066369</v>
      </c>
      <c r="AC44" s="636">
        <f t="shared" si="391"/>
        <v>1</v>
      </c>
      <c r="AD44" s="637">
        <f t="shared" si="392"/>
        <v>-0.72792595412603722</v>
      </c>
      <c r="AE44" s="629">
        <f t="shared" si="393"/>
        <v>0.55089200234090552</v>
      </c>
      <c r="AF44" s="633">
        <f t="shared" si="394"/>
        <v>-0.40821784266066369</v>
      </c>
      <c r="AG44" s="602">
        <f t="shared" si="395"/>
        <v>53.461093057123207</v>
      </c>
      <c r="AH44" s="603">
        <f t="shared" si="396"/>
        <v>136.7128001120183</v>
      </c>
      <c r="AI44" s="585">
        <f t="shared" si="397"/>
        <v>-65.907068471181361</v>
      </c>
      <c r="AJ44" s="586">
        <f t="shared" si="398"/>
        <v>-127.11831798700592</v>
      </c>
      <c r="AK44" s="635">
        <f t="shared" si="399"/>
        <v>0.90630781366099966</v>
      </c>
      <c r="AL44" s="629">
        <f t="shared" si="400"/>
        <v>0.10938162473876817</v>
      </c>
      <c r="AM44" s="634">
        <f t="shared" si="401"/>
        <v>-0.40821784266066369</v>
      </c>
      <c r="AN44" s="581">
        <f t="shared" si="402"/>
        <v>14.999997834268278</v>
      </c>
      <c r="AO44" s="582">
        <f t="shared" si="94"/>
        <v>24.999996390447087</v>
      </c>
      <c r="AP44" s="585">
        <f t="shared" si="403"/>
        <v>6.8817016489617595</v>
      </c>
      <c r="AQ44" s="586">
        <f t="shared" si="246"/>
        <v>4.6030211962192142</v>
      </c>
      <c r="AS44" s="52">
        <f t="shared" si="406"/>
        <v>-224.0000196359677</v>
      </c>
      <c r="AT44" s="72">
        <f t="shared" si="247"/>
        <v>-0.45994628716195451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4.1020000000000003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1308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-0.75467939760615965</v>
      </c>
      <c r="C45" s="708">
        <v>-0.78149285743329144</v>
      </c>
      <c r="D45" s="709">
        <v>-0.473601428381908</v>
      </c>
      <c r="E45" s="710">
        <v>0.74136195883649025</v>
      </c>
      <c r="F45" s="708">
        <v>-0.62280210529319291</v>
      </c>
      <c r="G45" s="711">
        <v>0.24999996726497573</v>
      </c>
      <c r="H45" s="710">
        <v>0.26600000000000001</v>
      </c>
      <c r="I45" s="708">
        <v>0.315</v>
      </c>
      <c r="J45" s="570">
        <v>4.1050000000000004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1308</v>
      </c>
      <c r="L45" s="320"/>
      <c r="M45" s="168">
        <f t="shared" si="239"/>
        <v>4.1050000000000004</v>
      </c>
      <c r="N45" s="632">
        <f t="shared" si="240"/>
        <v>-0.75467939760615965</v>
      </c>
      <c r="O45" s="629">
        <f t="shared" si="241"/>
        <v>-0.78149285743329144</v>
      </c>
      <c r="P45" s="633">
        <f t="shared" si="242"/>
        <v>-0.473601428381908</v>
      </c>
      <c r="Q45" s="585">
        <f t="shared" si="113"/>
        <v>225.9999803640323</v>
      </c>
      <c r="R45" s="629">
        <f t="shared" si="385"/>
        <v>1.0864032765922822</v>
      </c>
      <c r="S45" s="634">
        <f t="shared" si="386"/>
        <v>-0.473601428381908</v>
      </c>
      <c r="T45" s="635">
        <f t="shared" si="387"/>
        <v>-0.78149285743329133</v>
      </c>
      <c r="U45" s="629">
        <f t="shared" si="388"/>
        <v>0.75467939760615976</v>
      </c>
      <c r="V45" s="636">
        <f t="shared" si="389"/>
        <v>-0.473601428381908</v>
      </c>
      <c r="W45" s="585">
        <f t="shared" si="224"/>
        <v>135.9999803640323</v>
      </c>
      <c r="X45" s="629">
        <f t="shared" si="390"/>
        <v>1.0864032765922822</v>
      </c>
      <c r="Y45" s="630">
        <f t="shared" si="223"/>
        <v>-0.473601428381908</v>
      </c>
      <c r="Z45" s="632">
        <f t="shared" si="243"/>
        <v>-0.74136195883649025</v>
      </c>
      <c r="AA45" s="629">
        <f t="shared" si="244"/>
        <v>0.62280210529319291</v>
      </c>
      <c r="AB45" s="629">
        <f t="shared" si="245"/>
        <v>-0.24999996726497573</v>
      </c>
      <c r="AC45" s="636">
        <f t="shared" si="391"/>
        <v>1</v>
      </c>
      <c r="AD45" s="637">
        <f t="shared" si="392"/>
        <v>-0.74136195883649025</v>
      </c>
      <c r="AE45" s="629">
        <f t="shared" si="393"/>
        <v>0.62280210529319291</v>
      </c>
      <c r="AF45" s="633">
        <f t="shared" si="394"/>
        <v>-0.24999996726497573</v>
      </c>
      <c r="AG45" s="602">
        <f t="shared" si="395"/>
        <v>68.128903200436611</v>
      </c>
      <c r="AH45" s="603">
        <f t="shared" si="396"/>
        <v>137.847563154705</v>
      </c>
      <c r="AI45" s="585">
        <f t="shared" si="397"/>
        <v>-75.522489751159455</v>
      </c>
      <c r="AJ45" s="586">
        <f t="shared" si="398"/>
        <v>-130.03288999088116</v>
      </c>
      <c r="AK45" s="635">
        <f t="shared" si="399"/>
        <v>0.96592583607220739</v>
      </c>
      <c r="AL45" s="629">
        <f t="shared" si="400"/>
        <v>6.6987279208206962E-2</v>
      </c>
      <c r="AM45" s="634">
        <f t="shared" si="401"/>
        <v>-0.24999996726497573</v>
      </c>
      <c r="AN45" s="581">
        <f t="shared" si="402"/>
        <v>14.999997834268214</v>
      </c>
      <c r="AO45" s="582">
        <f t="shared" si="94"/>
        <v>14.999997834268255</v>
      </c>
      <c r="AP45" s="585">
        <f t="shared" si="403"/>
        <v>3.9671296450865574</v>
      </c>
      <c r="AQ45" s="586">
        <f t="shared" si="246"/>
        <v>2.0974790909899186</v>
      </c>
      <c r="AS45" s="52">
        <f t="shared" si="406"/>
        <v>-224.0000196359677</v>
      </c>
      <c r="AT45" s="72">
        <f t="shared" si="247"/>
        <v>-0.31804585919026374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1308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-1.1633482945241493</v>
      </c>
      <c r="C46" s="708">
        <v>-1.2046815982543568</v>
      </c>
      <c r="D46" s="709">
        <v>-0.31600095305887455</v>
      </c>
      <c r="E46" s="710">
        <v>0.74136195883649048</v>
      </c>
      <c r="F46" s="708">
        <v>-0.62280210529319269</v>
      </c>
      <c r="G46" s="711">
        <v>0.2499999672649757</v>
      </c>
      <c r="H46" s="710">
        <v>0.26600000000000001</v>
      </c>
      <c r="I46" s="708">
        <v>0.315</v>
      </c>
      <c r="J46" s="570">
        <v>4.1079999999999997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1308</v>
      </c>
      <c r="L46" s="320"/>
      <c r="M46" s="168">
        <f t="shared" si="239"/>
        <v>4.1079999999999997</v>
      </c>
      <c r="N46" s="632">
        <f t="shared" si="240"/>
        <v>-1.1633482945241493</v>
      </c>
      <c r="O46" s="629">
        <f t="shared" si="241"/>
        <v>-1.2046815982543568</v>
      </c>
      <c r="P46" s="633">
        <f t="shared" si="242"/>
        <v>-0.31600095305887455</v>
      </c>
      <c r="Q46" s="585">
        <f t="shared" si="113"/>
        <v>225.9999803640323</v>
      </c>
      <c r="R46" s="629">
        <f t="shared" si="385"/>
        <v>1.6747050509104338</v>
      </c>
      <c r="S46" s="634">
        <f t="shared" si="386"/>
        <v>-0.31600095305887455</v>
      </c>
      <c r="T46" s="635">
        <f t="shared" si="387"/>
        <v>-1.2046815982543568</v>
      </c>
      <c r="U46" s="629">
        <f t="shared" si="388"/>
        <v>1.1633482945241493</v>
      </c>
      <c r="V46" s="636">
        <f t="shared" si="389"/>
        <v>-0.31600095305887455</v>
      </c>
      <c r="W46" s="585">
        <f t="shared" si="224"/>
        <v>135.9999803640323</v>
      </c>
      <c r="X46" s="629">
        <f t="shared" si="390"/>
        <v>1.6747050509104338</v>
      </c>
      <c r="Y46" s="630">
        <f t="shared" si="223"/>
        <v>-0.31600095305887455</v>
      </c>
      <c r="Z46" s="632">
        <f t="shared" si="243"/>
        <v>-0.74136195883649048</v>
      </c>
      <c r="AA46" s="629">
        <f t="shared" si="244"/>
        <v>0.62280210529319269</v>
      </c>
      <c r="AB46" s="629">
        <f t="shared" si="245"/>
        <v>-0.2499999672649757</v>
      </c>
      <c r="AC46" s="636">
        <f t="shared" si="391"/>
        <v>1</v>
      </c>
      <c r="AD46" s="637">
        <f t="shared" si="392"/>
        <v>-0.74136195883649048</v>
      </c>
      <c r="AE46" s="629">
        <f t="shared" si="393"/>
        <v>0.62280210529319269</v>
      </c>
      <c r="AF46" s="633">
        <f t="shared" si="394"/>
        <v>-0.2499999672649757</v>
      </c>
      <c r="AG46" s="602">
        <f t="shared" si="395"/>
        <v>68.128903200436596</v>
      </c>
      <c r="AH46" s="603">
        <f t="shared" si="396"/>
        <v>137.84756315470506</v>
      </c>
      <c r="AI46" s="585">
        <f t="shared" si="397"/>
        <v>-75.522489751159455</v>
      </c>
      <c r="AJ46" s="586">
        <f t="shared" si="398"/>
        <v>-130.03288999088113</v>
      </c>
      <c r="AK46" s="635">
        <f t="shared" si="399"/>
        <v>0.96592583607220739</v>
      </c>
      <c r="AL46" s="629">
        <f t="shared" si="400"/>
        <v>6.6987279208207351E-2</v>
      </c>
      <c r="AM46" s="634">
        <f t="shared" si="401"/>
        <v>-0.2499999672649757</v>
      </c>
      <c r="AN46" s="581">
        <f t="shared" si="402"/>
        <v>14.999997834268299</v>
      </c>
      <c r="AO46" s="582">
        <f t="shared" si="94"/>
        <v>14.999997834268255</v>
      </c>
      <c r="AP46" s="585">
        <f t="shared" si="403"/>
        <v>3.9671296450865805</v>
      </c>
      <c r="AQ46" s="586">
        <f t="shared" si="246"/>
        <v>1.3610144827878499</v>
      </c>
      <c r="AS46" s="52">
        <f t="shared" si="406"/>
        <v>-224.0000196359677</v>
      </c>
      <c r="AT46" s="72">
        <f t="shared" si="247"/>
        <v>-0.16044538386723031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4.1079999999999997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1308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-1.5719477253709306</v>
      </c>
      <c r="C47" s="708">
        <v>-1.6277984049022414</v>
      </c>
      <c r="D47" s="709">
        <v>-0.15840047773584087</v>
      </c>
      <c r="E47" s="710">
        <v>0.72604901789940912</v>
      </c>
      <c r="F47" s="708">
        <v>-0.63865910895141631</v>
      </c>
      <c r="G47" s="711">
        <v>0.25488696742024008</v>
      </c>
      <c r="H47" s="710">
        <v>0.26600000000000001</v>
      </c>
      <c r="I47" s="708">
        <v>0.52</v>
      </c>
      <c r="J47" s="570">
        <v>4.1109999999999998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4.1109999999999998</v>
      </c>
      <c r="N47" s="632">
        <f t="shared" si="240"/>
        <v>-1.5719477253709306</v>
      </c>
      <c r="O47" s="629">
        <f t="shared" si="241"/>
        <v>-1.6277984049022414</v>
      </c>
      <c r="P47" s="633">
        <f t="shared" si="242"/>
        <v>-0.15840047773584087</v>
      </c>
      <c r="Q47" s="585">
        <f t="shared" si="113"/>
        <v>225.9999803640323</v>
      </c>
      <c r="R47" s="629">
        <f t="shared" si="385"/>
        <v>2.2629068249269841</v>
      </c>
      <c r="S47" s="634">
        <f t="shared" si="386"/>
        <v>-0.15840047773584087</v>
      </c>
      <c r="T47" s="635">
        <f t="shared" si="387"/>
        <v>-1.6277984049022414</v>
      </c>
      <c r="U47" s="629">
        <f t="shared" si="388"/>
        <v>1.5719477253709306</v>
      </c>
      <c r="V47" s="636">
        <f t="shared" si="389"/>
        <v>-0.15840047773584087</v>
      </c>
      <c r="W47" s="585">
        <f t="shared" si="224"/>
        <v>135.9999803640323</v>
      </c>
      <c r="X47" s="629">
        <f t="shared" si="390"/>
        <v>2.2629068249269841</v>
      </c>
      <c r="Y47" s="630">
        <f t="shared" si="223"/>
        <v>-0.15840047773584087</v>
      </c>
      <c r="Z47" s="632">
        <f t="shared" si="243"/>
        <v>-0.72604901789940912</v>
      </c>
      <c r="AA47" s="629">
        <f t="shared" si="244"/>
        <v>0.63865910895141631</v>
      </c>
      <c r="AB47" s="629">
        <f t="shared" si="245"/>
        <v>-0.25488696742024008</v>
      </c>
      <c r="AC47" s="636">
        <f t="shared" si="391"/>
        <v>1</v>
      </c>
      <c r="AD47" s="637">
        <f t="shared" si="392"/>
        <v>-0.72604901789940912</v>
      </c>
      <c r="AE47" s="629">
        <f t="shared" si="393"/>
        <v>0.63865910895141631</v>
      </c>
      <c r="AF47" s="633">
        <f t="shared" si="394"/>
        <v>-0.25488696742024008</v>
      </c>
      <c r="AG47" s="602">
        <f t="shared" si="395"/>
        <v>68.243203642887408</v>
      </c>
      <c r="AH47" s="603">
        <f t="shared" si="396"/>
        <v>136.55618384559187</v>
      </c>
      <c r="AI47" s="585">
        <f t="shared" si="397"/>
        <v>-75.233112454846463</v>
      </c>
      <c r="AJ47" s="586">
        <f t="shared" si="398"/>
        <v>-131.33603280172116</v>
      </c>
      <c r="AK47" s="635">
        <f t="shared" si="399"/>
        <v>0.96592583607220739</v>
      </c>
      <c r="AL47" s="629">
        <f t="shared" si="400"/>
        <v>4.4943442764442398E-2</v>
      </c>
      <c r="AM47" s="634">
        <f t="shared" si="401"/>
        <v>-0.25488696742024008</v>
      </c>
      <c r="AN47" s="581">
        <f t="shared" si="402"/>
        <v>9.9999985561789817</v>
      </c>
      <c r="AO47" s="582">
        <f t="shared" si="94"/>
        <v>14.999997834268255</v>
      </c>
      <c r="AP47" s="585">
        <f t="shared" si="403"/>
        <v>2.6639868342465518</v>
      </c>
      <c r="AQ47" s="586">
        <f t="shared" si="246"/>
        <v>1.0073290314108496</v>
      </c>
      <c r="AS47" s="52">
        <f t="shared" si="406"/>
        <v>-224.0000196359677</v>
      </c>
      <c r="AT47" s="72">
        <f t="shared" si="247"/>
        <v>-2.8449085441966393E-3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4.1109999999999998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-2.2321660001130237</v>
      </c>
      <c r="C48" s="708">
        <v>-2.2004448571528683</v>
      </c>
      <c r="D48" s="709">
        <v>-0.19940060139221372</v>
      </c>
      <c r="E48" s="710">
        <v>0.55089106324006554</v>
      </c>
      <c r="F48" s="708">
        <v>-0.80483860887574121</v>
      </c>
      <c r="G48" s="711">
        <v>0.2208027402574339</v>
      </c>
      <c r="H48" s="710">
        <v>0.314</v>
      </c>
      <c r="I48" s="708">
        <v>0.52</v>
      </c>
      <c r="J48" s="570">
        <v>4.1159999999999997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4.1159999999999997</v>
      </c>
      <c r="N48" s="632">
        <f t="shared" si="240"/>
        <v>-2.2321660001130237</v>
      </c>
      <c r="O48" s="629">
        <f t="shared" si="241"/>
        <v>-2.2004448571528683</v>
      </c>
      <c r="P48" s="633">
        <f t="shared" si="242"/>
        <v>-0.19940060139221372</v>
      </c>
      <c r="Q48" s="585">
        <f t="shared" si="113"/>
        <v>224.58998056761109</v>
      </c>
      <c r="R48" s="629">
        <f t="shared" si="79"/>
        <v>3.1344094533789106</v>
      </c>
      <c r="S48" s="634">
        <f t="shared" si="80"/>
        <v>-0.19940060139221372</v>
      </c>
      <c r="T48" s="635">
        <f t="shared" si="81"/>
        <v>-2.2004448571528683</v>
      </c>
      <c r="U48" s="629">
        <f t="shared" si="82"/>
        <v>2.2321660001130237</v>
      </c>
      <c r="V48" s="636">
        <f t="shared" si="114"/>
        <v>-0.19940060139221372</v>
      </c>
      <c r="W48" s="585">
        <f t="shared" si="224"/>
        <v>134.58998056761109</v>
      </c>
      <c r="X48" s="629">
        <f t="shared" si="83"/>
        <v>3.1344094533789106</v>
      </c>
      <c r="Y48" s="630">
        <f t="shared" si="223"/>
        <v>-0.19940060139221372</v>
      </c>
      <c r="Z48" s="632">
        <f t="shared" si="243"/>
        <v>-0.55089106324006554</v>
      </c>
      <c r="AA48" s="629">
        <f t="shared" si="244"/>
        <v>0.80483860887574121</v>
      </c>
      <c r="AB48" s="629">
        <f t="shared" si="245"/>
        <v>-0.2208027402574339</v>
      </c>
      <c r="AC48" s="636">
        <f t="shared" si="84"/>
        <v>1</v>
      </c>
      <c r="AD48" s="637">
        <f t="shared" si="115"/>
        <v>-0.55089106324006554</v>
      </c>
      <c r="AE48" s="629">
        <f t="shared" si="85"/>
        <v>0.80483860887574121</v>
      </c>
      <c r="AF48" s="633">
        <f t="shared" si="86"/>
        <v>-0.2208027402574339</v>
      </c>
      <c r="AG48" s="602">
        <f t="shared" si="87"/>
        <v>74.658691624270944</v>
      </c>
      <c r="AH48" s="603">
        <f t="shared" si="88"/>
        <v>123.42816512777418</v>
      </c>
      <c r="AI48" s="585">
        <f t="shared" si="89"/>
        <v>-77.243813844465038</v>
      </c>
      <c r="AJ48" s="586">
        <f t="shared" si="90"/>
        <v>-145.60937609405207</v>
      </c>
      <c r="AK48" s="635">
        <f t="shared" si="211"/>
        <v>0.95990610991341097</v>
      </c>
      <c r="AL48" s="629">
        <f t="shared" si="91"/>
        <v>-0.17270324271915305</v>
      </c>
      <c r="AM48" s="634">
        <f t="shared" si="92"/>
        <v>-0.2208027402574339</v>
      </c>
      <c r="AN48" s="581">
        <f t="shared" si="93"/>
        <v>-38.031123246916714</v>
      </c>
      <c r="AO48" s="582">
        <f t="shared" si="94"/>
        <v>16.279406197633254</v>
      </c>
      <c r="AP48" s="585">
        <f t="shared" si="95"/>
        <v>-10.199356661663145</v>
      </c>
      <c r="AQ48" s="586">
        <f t="shared" si="246"/>
        <v>0.72728347219474698</v>
      </c>
      <c r="AS48" s="52">
        <f t="shared" si="406"/>
        <v>-225.41001943238891</v>
      </c>
      <c r="AT48" s="72">
        <f t="shared" si="247"/>
        <v>-4.2865865675276976E-2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4.1159999999999997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-2.7227423967241307</v>
      </c>
      <c r="C49" s="708">
        <v>-2.585591213582815</v>
      </c>
      <c r="D49" s="709">
        <v>-0.69010208134787743</v>
      </c>
      <c r="E49" s="710">
        <v>0.42233087907300243</v>
      </c>
      <c r="F49" s="708">
        <v>-0.89695742685518054</v>
      </c>
      <c r="G49" s="711">
        <v>0.13078227322828817</v>
      </c>
      <c r="H49" s="710">
        <v>0.314</v>
      </c>
      <c r="I49" s="708">
        <v>0.52</v>
      </c>
      <c r="J49" s="570">
        <v>4.1210000000000004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4.1210000000000004</v>
      </c>
      <c r="N49" s="632">
        <f t="shared" si="240"/>
        <v>-2.7227423967241307</v>
      </c>
      <c r="O49" s="629">
        <f t="shared" si="241"/>
        <v>-2.585591213582815</v>
      </c>
      <c r="P49" s="633">
        <f t="shared" si="242"/>
        <v>-0.69010208134787743</v>
      </c>
      <c r="Q49" s="585">
        <f t="shared" si="113"/>
        <v>223.51998072209997</v>
      </c>
      <c r="R49" s="629">
        <f t="shared" si="79"/>
        <v>3.7548113245109556</v>
      </c>
      <c r="S49" s="634">
        <f t="shared" si="80"/>
        <v>-0.69010208134787743</v>
      </c>
      <c r="T49" s="635">
        <f t="shared" si="81"/>
        <v>-2.5855912135828154</v>
      </c>
      <c r="U49" s="629">
        <f t="shared" si="82"/>
        <v>2.7227423967241302</v>
      </c>
      <c r="V49" s="636">
        <f t="shared" si="114"/>
        <v>-0.69010208134787743</v>
      </c>
      <c r="W49" s="585">
        <f t="shared" si="224"/>
        <v>133.51998072209997</v>
      </c>
      <c r="X49" s="629">
        <f t="shared" si="83"/>
        <v>3.7548113245109556</v>
      </c>
      <c r="Y49" s="630">
        <f t="shared" si="223"/>
        <v>-0.69010208134787743</v>
      </c>
      <c r="Z49" s="632">
        <f t="shared" si="243"/>
        <v>-0.42233087907300243</v>
      </c>
      <c r="AA49" s="629">
        <f t="shared" si="244"/>
        <v>0.89695742685518054</v>
      </c>
      <c r="AB49" s="629">
        <f t="shared" si="245"/>
        <v>-0.13078227322828817</v>
      </c>
      <c r="AC49" s="636">
        <f t="shared" si="84"/>
        <v>1</v>
      </c>
      <c r="AD49" s="637">
        <f t="shared" si="115"/>
        <v>-0.42233087907300243</v>
      </c>
      <c r="AE49" s="629">
        <f t="shared" si="85"/>
        <v>0.89695742685518054</v>
      </c>
      <c r="AF49" s="633">
        <f t="shared" si="86"/>
        <v>-0.13078227322828817</v>
      </c>
      <c r="AG49" s="602">
        <f t="shared" si="87"/>
        <v>81.704357318348826</v>
      </c>
      <c r="AH49" s="603">
        <f t="shared" si="88"/>
        <v>114.9818333271333</v>
      </c>
      <c r="AI49" s="585">
        <f t="shared" si="89"/>
        <v>-82.48520078000027</v>
      </c>
      <c r="AJ49" s="586">
        <f t="shared" si="90"/>
        <v>-154.78667852178717</v>
      </c>
      <c r="AK49" s="635">
        <f t="shared" si="211"/>
        <v>0.94123478355369827</v>
      </c>
      <c r="AL49" s="629">
        <f t="shared" si="91"/>
        <v>-0.31140500836991086</v>
      </c>
      <c r="AM49" s="634">
        <f t="shared" si="92"/>
        <v>-0.13078227322828817</v>
      </c>
      <c r="AN49" s="581">
        <f t="shared" si="93"/>
        <v>-67.218818952285147</v>
      </c>
      <c r="AO49" s="582">
        <f t="shared" si="94"/>
        <v>19.740033072793238</v>
      </c>
      <c r="AP49" s="585">
        <f t="shared" si="95"/>
        <v>-18.306659243887154</v>
      </c>
      <c r="AQ49" s="586">
        <f t="shared" si="246"/>
        <v>0.60712539457587833</v>
      </c>
      <c r="AS49" s="52">
        <f t="shared" si="406"/>
        <v>-226.48001927790003</v>
      </c>
      <c r="AT49" s="72">
        <f t="shared" si="247"/>
        <v>-0.53282429018266908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4.1210000000000004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-2.885733898756722</v>
      </c>
      <c r="C50" s="708">
        <v>-2.7051475741212863</v>
      </c>
      <c r="D50" s="709">
        <v>-1.4336043237506406</v>
      </c>
      <c r="E50" s="710">
        <v>0.31825992645793522</v>
      </c>
      <c r="F50" s="708">
        <v>-0.94790572313196253</v>
      </c>
      <c r="G50" s="711">
        <v>1.3614670934732037E-2</v>
      </c>
      <c r="H50" s="710">
        <v>0.314</v>
      </c>
      <c r="I50" s="708">
        <v>0.52</v>
      </c>
      <c r="J50" s="570">
        <v>4.1260000000000003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4.1260000000000003</v>
      </c>
      <c r="N50" s="632">
        <f t="shared" si="240"/>
        <v>-2.885733898756722</v>
      </c>
      <c r="O50" s="629">
        <f t="shared" si="241"/>
        <v>-2.7051475741212863</v>
      </c>
      <c r="P50" s="633">
        <f t="shared" si="242"/>
        <v>-1.4336043237506406</v>
      </c>
      <c r="Q50" s="585">
        <f t="shared" si="113"/>
        <v>223.14998077552133</v>
      </c>
      <c r="R50" s="629">
        <f t="shared" si="79"/>
        <v>3.9554119295223793</v>
      </c>
      <c r="S50" s="634">
        <f t="shared" si="80"/>
        <v>-1.4336043237506406</v>
      </c>
      <c r="T50" s="635">
        <f t="shared" si="81"/>
        <v>-2.7051475741212863</v>
      </c>
      <c r="U50" s="629">
        <f t="shared" si="82"/>
        <v>2.8857338987567225</v>
      </c>
      <c r="V50" s="636">
        <f t="shared" si="114"/>
        <v>-1.4336043237506406</v>
      </c>
      <c r="W50" s="585">
        <f t="shared" si="224"/>
        <v>133.14998077552133</v>
      </c>
      <c r="X50" s="629">
        <f t="shared" si="83"/>
        <v>3.9554119295223793</v>
      </c>
      <c r="Y50" s="630">
        <f t="shared" si="223"/>
        <v>-1.4336043237506406</v>
      </c>
      <c r="Z50" s="632">
        <f t="shared" si="243"/>
        <v>-0.31825992645793522</v>
      </c>
      <c r="AA50" s="629">
        <f t="shared" si="244"/>
        <v>0.94790572313196253</v>
      </c>
      <c r="AB50" s="629">
        <f t="shared" si="245"/>
        <v>-1.3614670934732037E-2</v>
      </c>
      <c r="AC50" s="636">
        <f t="shared" si="84"/>
        <v>1</v>
      </c>
      <c r="AD50" s="637">
        <f t="shared" si="115"/>
        <v>-0.31825992645793522</v>
      </c>
      <c r="AE50" s="629">
        <f t="shared" si="85"/>
        <v>0.94790572313196253</v>
      </c>
      <c r="AF50" s="633">
        <f t="shared" si="86"/>
        <v>-1.3614670934732037E-2</v>
      </c>
      <c r="AG50" s="602">
        <f t="shared" si="87"/>
        <v>89.17712328224394</v>
      </c>
      <c r="AH50" s="603">
        <f t="shared" si="88"/>
        <v>108.5577252061164</v>
      </c>
      <c r="AI50" s="585">
        <f t="shared" si="89"/>
        <v>-89.219912715313725</v>
      </c>
      <c r="AJ50" s="586">
        <f t="shared" si="90"/>
        <v>-161.44049183386267</v>
      </c>
      <c r="AK50" s="635">
        <f t="shared" si="211"/>
        <v>0.90922103946310684</v>
      </c>
      <c r="AL50" s="629">
        <f t="shared" si="91"/>
        <v>-0.41609102625863814</v>
      </c>
      <c r="AM50" s="634">
        <f t="shared" si="92"/>
        <v>-1.3614670934732037E-2</v>
      </c>
      <c r="AN50" s="581">
        <f t="shared" si="93"/>
        <v>-88.125926952730836</v>
      </c>
      <c r="AO50" s="582">
        <f t="shared" si="94"/>
        <v>24.602074055406895</v>
      </c>
      <c r="AP50" s="585">
        <f t="shared" si="95"/>
        <v>-24.590472609383969</v>
      </c>
      <c r="AQ50" s="586">
        <f t="shared" si="246"/>
        <v>0.57633687266808176</v>
      </c>
      <c r="AS50" s="52">
        <f t="shared" si="406"/>
        <v>-226.85001922447867</v>
      </c>
      <c r="AT50" s="72">
        <f t="shared" si="247"/>
        <v>-1.2760695881780859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4.1260000000000003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-2.9600299484461585</v>
      </c>
      <c r="C51" s="708">
        <v>-2.7583396181921236</v>
      </c>
      <c r="D51" s="709">
        <v>-2.086406292601378</v>
      </c>
      <c r="E51" s="710">
        <v>0.19734486801827766</v>
      </c>
      <c r="F51" s="708">
        <v>-0.97950389191252696</v>
      </c>
      <c r="G51" s="711">
        <v>4.0337684552552731E-2</v>
      </c>
      <c r="H51" s="710">
        <v>0.26600000000000001</v>
      </c>
      <c r="I51" s="708">
        <v>0.52</v>
      </c>
      <c r="J51" s="570">
        <v>4.1310000000000002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4.1310000000000002</v>
      </c>
      <c r="N51" s="632">
        <f t="shared" si="240"/>
        <v>-2.9600299484461585</v>
      </c>
      <c r="O51" s="629">
        <f t="shared" si="241"/>
        <v>-2.7583396181921236</v>
      </c>
      <c r="P51" s="633">
        <f t="shared" si="242"/>
        <v>-2.086406292601378</v>
      </c>
      <c r="Q51" s="585">
        <f t="shared" si="113"/>
        <v>222.9799808000663</v>
      </c>
      <c r="R51" s="629">
        <f t="shared" si="79"/>
        <v>4.046012202772804</v>
      </c>
      <c r="S51" s="634">
        <f t="shared" si="80"/>
        <v>-2.086406292601378</v>
      </c>
      <c r="T51" s="635">
        <f t="shared" si="81"/>
        <v>-2.7583396181921249</v>
      </c>
      <c r="U51" s="629">
        <f t="shared" si="82"/>
        <v>2.9600299484461572</v>
      </c>
      <c r="V51" s="636">
        <f t="shared" si="114"/>
        <v>-2.086406292601378</v>
      </c>
      <c r="W51" s="585">
        <f t="shared" si="224"/>
        <v>132.9799808000663</v>
      </c>
      <c r="X51" s="629">
        <f t="shared" si="83"/>
        <v>4.046012202772804</v>
      </c>
      <c r="Y51" s="630">
        <f t="shared" si="223"/>
        <v>-2.086406292601378</v>
      </c>
      <c r="Z51" s="632">
        <f t="shared" si="243"/>
        <v>-0.19734486801827766</v>
      </c>
      <c r="AA51" s="629">
        <f t="shared" si="244"/>
        <v>0.97950389191252696</v>
      </c>
      <c r="AB51" s="629">
        <f t="shared" si="245"/>
        <v>-4.0337684552552731E-2</v>
      </c>
      <c r="AC51" s="636">
        <f t="shared" si="84"/>
        <v>1</v>
      </c>
      <c r="AD51" s="637">
        <f t="shared" si="115"/>
        <v>-0.19734486801827766</v>
      </c>
      <c r="AE51" s="629">
        <f t="shared" si="85"/>
        <v>0.97950389191252696</v>
      </c>
      <c r="AF51" s="633">
        <f t="shared" si="86"/>
        <v>-4.0337684552552731E-2</v>
      </c>
      <c r="AG51" s="602">
        <f t="shared" si="87"/>
        <v>87.641792044473533</v>
      </c>
      <c r="AH51" s="603">
        <f t="shared" si="88"/>
        <v>101.38173691837613</v>
      </c>
      <c r="AI51" s="585">
        <f t="shared" si="89"/>
        <v>-87.688193696103212</v>
      </c>
      <c r="AJ51" s="586">
        <f t="shared" si="90"/>
        <v>-168.60886792903759</v>
      </c>
      <c r="AK51" s="635">
        <f t="shared" si="211"/>
        <v>0.85113559969550434</v>
      </c>
      <c r="AL51" s="629">
        <f t="shared" si="91"/>
        <v>-0.5233937926035358</v>
      </c>
      <c r="AM51" s="634">
        <f t="shared" si="92"/>
        <v>-4.0337684552552731E-2</v>
      </c>
      <c r="AN51" s="581">
        <f t="shared" si="93"/>
        <v>-85.592956116082036</v>
      </c>
      <c r="AO51" s="582">
        <f t="shared" si="94"/>
        <v>31.664600891226776</v>
      </c>
      <c r="AP51" s="585">
        <f t="shared" si="95"/>
        <v>-31.588848729103919</v>
      </c>
      <c r="AQ51" s="586">
        <f t="shared" si="246"/>
        <v>0.56343209859672183</v>
      </c>
      <c r="AS51" s="52">
        <f t="shared" si="406"/>
        <v>-227.0200191999337</v>
      </c>
      <c r="AT51" s="72">
        <f t="shared" si="247"/>
        <v>-1.928753501490313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4.1310000000000002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-2.2315977259463429</v>
      </c>
      <c r="C52" s="708">
        <v>-1.0330331718207044</v>
      </c>
      <c r="D52" s="709">
        <v>-0.13805563730332743</v>
      </c>
      <c r="E52" s="710">
        <v>0.42180239174872824</v>
      </c>
      <c r="F52" s="708">
        <v>-0.8402342372335001</v>
      </c>
      <c r="G52" s="711">
        <v>0.34071860661796949</v>
      </c>
      <c r="H52" s="710">
        <v>0.26600000000000001</v>
      </c>
      <c r="I52" s="708">
        <v>0.52</v>
      </c>
      <c r="J52" s="570">
        <v>4.2119999999999997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4.2119999999999997</v>
      </c>
      <c r="N52" s="632">
        <f t="shared" si="240"/>
        <v>-2.2315977259463429</v>
      </c>
      <c r="O52" s="629">
        <f t="shared" si="241"/>
        <v>-1.0330331718207044</v>
      </c>
      <c r="P52" s="633">
        <f t="shared" si="242"/>
        <v>-0.13805563730332743</v>
      </c>
      <c r="Q52" s="585">
        <f t="shared" si="113"/>
        <v>204.8399803640323</v>
      </c>
      <c r="R52" s="629">
        <f t="shared" si="79"/>
        <v>2.4591026705956858</v>
      </c>
      <c r="S52" s="634">
        <f t="shared" si="80"/>
        <v>-0.13805563730332743</v>
      </c>
      <c r="T52" s="635">
        <f t="shared" si="81"/>
        <v>-1.0330331718207042</v>
      </c>
      <c r="U52" s="629">
        <f t="shared" si="82"/>
        <v>2.2315977259463429</v>
      </c>
      <c r="V52" s="636">
        <f t="shared" si="114"/>
        <v>-0.13805563730332743</v>
      </c>
      <c r="W52" s="585">
        <f t="shared" si="224"/>
        <v>114.8399803640323</v>
      </c>
      <c r="X52" s="629">
        <f t="shared" si="83"/>
        <v>2.4591026705956858</v>
      </c>
      <c r="Y52" s="630">
        <f t="shared" si="223"/>
        <v>-0.13805563730332743</v>
      </c>
      <c r="Z52" s="632">
        <f t="shared" si="243"/>
        <v>-0.42180239174872824</v>
      </c>
      <c r="AA52" s="629">
        <f t="shared" si="244"/>
        <v>0.8402342372335001</v>
      </c>
      <c r="AB52" s="629">
        <f t="shared" si="245"/>
        <v>-0.34071860661796949</v>
      </c>
      <c r="AC52" s="636">
        <f t="shared" si="84"/>
        <v>1</v>
      </c>
      <c r="AD52" s="637">
        <f t="shared" si="115"/>
        <v>-0.42180239174872824</v>
      </c>
      <c r="AE52" s="629">
        <f t="shared" si="85"/>
        <v>0.8402342372335001</v>
      </c>
      <c r="AF52" s="633">
        <f t="shared" si="86"/>
        <v>-0.34071860661796949</v>
      </c>
      <c r="AG52" s="602">
        <f t="shared" si="87"/>
        <v>67.927233567217755</v>
      </c>
      <c r="AH52" s="603">
        <f t="shared" si="88"/>
        <v>114.94843241241587</v>
      </c>
      <c r="AI52" s="585">
        <f t="shared" si="89"/>
        <v>-70.079338493247803</v>
      </c>
      <c r="AJ52" s="586">
        <f t="shared" si="90"/>
        <v>-153.34308724922573</v>
      </c>
      <c r="AK52" s="635">
        <f t="shared" si="211"/>
        <v>0.93969263802333447</v>
      </c>
      <c r="AL52" s="629">
        <f t="shared" si="91"/>
        <v>2.9809011205604141E-2</v>
      </c>
      <c r="AM52" s="634">
        <f t="shared" si="92"/>
        <v>-0.34071860661796949</v>
      </c>
      <c r="AN52" s="581">
        <f t="shared" si="93"/>
        <v>4.9999992780894607</v>
      </c>
      <c r="AO52" s="582">
        <f t="shared" si="94"/>
        <v>19.999997112357704</v>
      </c>
      <c r="AP52" s="585">
        <f t="shared" si="95"/>
        <v>1.816932386741964</v>
      </c>
      <c r="AQ52" s="586">
        <f t="shared" si="246"/>
        <v>0.92697541568281616</v>
      </c>
      <c r="AS52" s="52">
        <f t="shared" si="406"/>
        <v>-245.1600196359677</v>
      </c>
      <c r="AT52" s="72">
        <f t="shared" si="247"/>
        <v>3.219437633276126E-2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4.2119999999999997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3.1120000000000001</v>
      </c>
      <c r="II52" s="734" cm="1">
        <f t="array" ref="II52">IFERROR(ROUND(VALUE(IF($IH52&lt;1,$IH52+LARGE((IF($M$9:$M$150="",0,$M$9:$M$150)-MOD(IF($M$9:$M$150="",0,$M$9:$M$150),1)),1),$IH52)),4),"")</f>
        <v>3.1120000000000001</v>
      </c>
      <c r="IJ52" s="533">
        <f t="shared" si="112"/>
        <v>1313</v>
      </c>
      <c r="IK52" s="533">
        <f t="shared" si="382"/>
        <v>1313</v>
      </c>
      <c r="IL52" s="727">
        <f t="shared" si="225"/>
        <v>107.15998758313808</v>
      </c>
      <c r="IM52" s="759">
        <v>1.6356975129406499E-2</v>
      </c>
      <c r="IN52" s="5">
        <f t="shared" si="226"/>
        <v>0.12</v>
      </c>
      <c r="IO52" s="771">
        <v>60</v>
      </c>
      <c r="IP52" s="9">
        <f t="shared" si="227"/>
        <v>-2.4597074184775742</v>
      </c>
      <c r="IQ52" s="5">
        <f t="shared" si="228"/>
        <v>-0.10820032633218421</v>
      </c>
      <c r="IR52" s="5">
        <f t="shared" si="383"/>
        <v>0.26600000000000001</v>
      </c>
      <c r="IS52" s="5">
        <f t="shared" si="229"/>
        <v>0.25693627239520717</v>
      </c>
      <c r="IT52" s="727">
        <f t="shared" si="230"/>
        <v>-4.9999992780895051</v>
      </c>
      <c r="IU52" s="9">
        <f t="shared" si="231"/>
        <v>-2.4591026705956858</v>
      </c>
      <c r="IV52" s="5">
        <f t="shared" si="232"/>
        <v>-0.13805563730332743</v>
      </c>
      <c r="IW52" s="5">
        <f t="shared" si="384"/>
        <v>0.26600000000000001</v>
      </c>
      <c r="IX52" s="5">
        <f t="shared" si="233"/>
        <v>0.24995824171420697</v>
      </c>
      <c r="IY52" s="762">
        <f t="shared" si="234"/>
        <v>-4.9999992780894607</v>
      </c>
    </row>
    <row r="53" spans="1:259" ht="15" customHeight="1" x14ac:dyDescent="0.25">
      <c r="A53" s="79"/>
      <c r="B53" s="707">
        <v>-2.886591758296952</v>
      </c>
      <c r="C53" s="708">
        <v>-1.6007213134978615</v>
      </c>
      <c r="D53" s="709">
        <v>-0.24920000000000012</v>
      </c>
      <c r="E53" s="710">
        <v>0.25182432265221522</v>
      </c>
      <c r="F53" s="708">
        <v>-0.92664310888855816</v>
      </c>
      <c r="G53" s="711">
        <v>0.27913627365518245</v>
      </c>
      <c r="H53" s="710">
        <v>0.26600000000000001</v>
      </c>
      <c r="I53" s="708">
        <v>0.52</v>
      </c>
      <c r="J53" s="570">
        <v>4.2169999999999996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4.2169999999999996</v>
      </c>
      <c r="N53" s="632">
        <f t="shared" si="240"/>
        <v>-2.886591758296952</v>
      </c>
      <c r="O53" s="629">
        <f t="shared" si="241"/>
        <v>-1.6007213134978615</v>
      </c>
      <c r="P53" s="633">
        <f t="shared" si="242"/>
        <v>-0.24920000000000012</v>
      </c>
      <c r="Q53" s="585">
        <f t="shared" si="113"/>
        <v>209.00998036403229</v>
      </c>
      <c r="R53" s="629">
        <f t="shared" ref="R53:R58" si="410">IF(M53="","",SQRT(N53^2+O53^2))</f>
        <v>3.3007151804653199</v>
      </c>
      <c r="S53" s="634">
        <f t="shared" ref="S53:S58" si="411">IF(M53="","",P53)</f>
        <v>-0.24920000000000012</v>
      </c>
      <c r="T53" s="635">
        <f t="shared" ref="T53:T58" si="412">IF(M53="","",X53*COS(RADIANS(W53)))</f>
        <v>-1.6007213134978611</v>
      </c>
      <c r="U53" s="629">
        <f t="shared" ref="U53:U58" si="413">IF(M53="","",X53*SIN(RADIANS(W53)))</f>
        <v>2.886591758296952</v>
      </c>
      <c r="V53" s="636">
        <f t="shared" ref="V53:V58" si="414">IF(M53="","",Y53)</f>
        <v>-0.24920000000000012</v>
      </c>
      <c r="W53" s="585">
        <f t="shared" si="224"/>
        <v>119.00998036403229</v>
      </c>
      <c r="X53" s="629">
        <f t="shared" ref="X53:X58" si="415">IF(M53="","",R53)</f>
        <v>3.3007151804653199</v>
      </c>
      <c r="Y53" s="630">
        <f t="shared" si="223"/>
        <v>-0.24920000000000012</v>
      </c>
      <c r="Z53" s="632">
        <f t="shared" si="243"/>
        <v>-0.25182432265221522</v>
      </c>
      <c r="AA53" s="629">
        <f t="shared" si="244"/>
        <v>0.92664310888855816</v>
      </c>
      <c r="AB53" s="629">
        <f t="shared" si="245"/>
        <v>-0.27913627365518245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-0.25182432265221522</v>
      </c>
      <c r="AE53" s="629">
        <f t="shared" ref="AE53:AE58" si="418">IF(M53="","",AA53*(1/SQRT(Z53^2+AA53^2+AB53^2)))</f>
        <v>0.92664310888855816</v>
      </c>
      <c r="AF53" s="633">
        <f t="shared" ref="AF53:AF58" si="419">IF(M53="","",AB53*(1/SQRT(Z53^2+AA53^2+AB53^2)))</f>
        <v>-0.27913627365518245</v>
      </c>
      <c r="AG53" s="602">
        <f t="shared" ref="AG53:AG58" si="420">IF(M53="","",DEGREES(ATAN2(-AF53,AE53)))</f>
        <v>73.235920430316924</v>
      </c>
      <c r="AH53" s="603">
        <f t="shared" ref="AH53:AH58" si="421">IF(M53="","",DEGREES(ACOS(AD53)))</f>
        <v>104.58549249836894</v>
      </c>
      <c r="AI53" s="585">
        <f t="shared" ref="AI53:AI58" si="422">IF(M53="","",DEGREES(-ACOS(-AF53)))</f>
        <v>-73.791338405606936</v>
      </c>
      <c r="AJ53" s="586">
        <f t="shared" ref="AJ53:AJ58" si="423">IF(M53="","",DEGREES(ATAN2(-AE53,AD53)))</f>
        <v>-164.79648979507309</v>
      </c>
      <c r="AK53" s="635">
        <f t="shared" ref="AK53:AK58" si="424">IF(M53="","",(COS(RADIANS((90-$Q$8)-W53))*AD53)+(-SIN(RADIANS((90-$Q$8)-W53))*AE53))</f>
        <v>0.93250727592104032</v>
      </c>
      <c r="AL53" s="629">
        <f t="shared" ref="AL53:AL58" si="425">IF(M53="","",(SIN(RADIANS((90-$Q$8)-W53))*AD53)+(COS(RADIANS((90-$Q$8)-W53))*AE53))</f>
        <v>-0.22915741551217569</v>
      </c>
      <c r="AM53" s="634">
        <f t="shared" ref="AM53:AM58" si="426">IF(M53="","",AF53)</f>
        <v>-0.27913627365518245</v>
      </c>
      <c r="AN53" s="581">
        <f t="shared" ref="AN53:AN58" si="427">IF(M53="","",DEGREES(ATAN2(-AM53,AL53)))</f>
        <v>-39.38434439029669</v>
      </c>
      <c r="AO53" s="582">
        <f t="shared" si="94"/>
        <v>21.170911237861414</v>
      </c>
      <c r="AP53" s="585">
        <f t="shared" ref="AP53:AP58" si="428">IF(M53="","",DEGREES(ATAN2(AK53,AL53)))</f>
        <v>-13.806470159105377</v>
      </c>
      <c r="AQ53" s="586">
        <f t="shared" si="246"/>
        <v>0.69064311592398553</v>
      </c>
      <c r="AS53" s="52">
        <f t="shared" si="406"/>
        <v>-240.99001963596771</v>
      </c>
      <c r="AT53" s="72">
        <f t="shared" si="247"/>
        <v>-8.1845819697244748E-2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4.2169999999999996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3.117</v>
      </c>
      <c r="II53" s="734" cm="1">
        <f t="array" ref="II53">IFERROR(ROUND(VALUE(IF($IH53&lt;1,$IH53+LARGE((IF($M$9:$M$150="",0,$M$9:$M$150)-MOD(IF($M$9:$M$150="",0,$M$9:$M$150),1)),1),$IH53)),4),"")</f>
        <v>3.117</v>
      </c>
      <c r="IJ53" s="533">
        <f t="shared" si="112"/>
        <v>1613</v>
      </c>
      <c r="IK53" s="533">
        <f t="shared" si="382"/>
        <v>1313</v>
      </c>
      <c r="IL53" s="727">
        <f t="shared" si="225"/>
        <v>101.32998782281237</v>
      </c>
      <c r="IM53" s="759">
        <v>2.8679042264790299E-2</v>
      </c>
      <c r="IN53" s="5">
        <f t="shared" si="226"/>
        <v>0.12</v>
      </c>
      <c r="IO53" s="771">
        <v>60</v>
      </c>
      <c r="IP53" s="9">
        <f t="shared" si="227"/>
        <v>-3.2830099015578629</v>
      </c>
      <c r="IQ53" s="5">
        <f t="shared" si="228"/>
        <v>-0.26410079652800245</v>
      </c>
      <c r="IR53" s="5">
        <f t="shared" si="383"/>
        <v>0.314</v>
      </c>
      <c r="IS53" s="5">
        <f t="shared" si="229"/>
        <v>0.30098152287124252</v>
      </c>
      <c r="IT53" s="727">
        <f t="shared" si="230"/>
        <v>45.06730251871705</v>
      </c>
      <c r="IU53" s="9">
        <f t="shared" si="231"/>
        <v>-3.3007151804653199</v>
      </c>
      <c r="IV53" s="5">
        <f t="shared" si="232"/>
        <v>-0.24920000000000012</v>
      </c>
      <c r="IW53" s="5">
        <f t="shared" si="384"/>
        <v>0.26600000000000001</v>
      </c>
      <c r="IX53" s="5">
        <f t="shared" si="233"/>
        <v>0.24804693539499673</v>
      </c>
      <c r="IY53" s="762">
        <f t="shared" si="234"/>
        <v>39.38434439029669</v>
      </c>
    </row>
    <row r="54" spans="1:259" ht="15" customHeight="1" x14ac:dyDescent="0.25">
      <c r="A54" s="79"/>
      <c r="B54" s="707">
        <v>-3.3436056591745462</v>
      </c>
      <c r="C54" s="708">
        <v>-1.9514960551808693</v>
      </c>
      <c r="D54" s="709">
        <v>-0.82219999999999938</v>
      </c>
      <c r="E54" s="710">
        <v>9.7674097199397805E-2</v>
      </c>
      <c r="F54" s="708">
        <v>-0.97752449971653776</v>
      </c>
      <c r="G54" s="711">
        <v>0.18683046644007251</v>
      </c>
      <c r="H54" s="710">
        <v>0.26600000000000001</v>
      </c>
      <c r="I54" s="708">
        <v>0.52</v>
      </c>
      <c r="J54" s="570">
        <v>4.2220000000000004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4.2220000000000004</v>
      </c>
      <c r="N54" s="632">
        <f t="shared" si="240"/>
        <v>-3.3436056591745462</v>
      </c>
      <c r="O54" s="629">
        <f t="shared" si="241"/>
        <v>-1.9514960551808693</v>
      </c>
      <c r="P54" s="633">
        <f t="shared" si="242"/>
        <v>-0.82219999999999938</v>
      </c>
      <c r="Q54" s="585">
        <f t="shared" si="113"/>
        <v>210.26998036403228</v>
      </c>
      <c r="R54" s="629">
        <f t="shared" si="410"/>
        <v>3.8714384481030493</v>
      </c>
      <c r="S54" s="634">
        <f t="shared" si="411"/>
        <v>-0.82219999999999938</v>
      </c>
      <c r="T54" s="635">
        <f t="shared" si="412"/>
        <v>-1.9514960551808684</v>
      </c>
      <c r="U54" s="629">
        <f t="shared" si="413"/>
        <v>3.3436056591745467</v>
      </c>
      <c r="V54" s="636">
        <f t="shared" si="414"/>
        <v>-0.82219999999999938</v>
      </c>
      <c r="W54" s="585">
        <f t="shared" si="224"/>
        <v>120.26998036403228</v>
      </c>
      <c r="X54" s="629">
        <f t="shared" si="415"/>
        <v>3.8714384481030493</v>
      </c>
      <c r="Y54" s="630">
        <f t="shared" si="223"/>
        <v>-0.82219999999999938</v>
      </c>
      <c r="Z54" s="632">
        <f t="shared" si="243"/>
        <v>-9.7674097199397805E-2</v>
      </c>
      <c r="AA54" s="629">
        <f t="shared" si="244"/>
        <v>0.97752449971653776</v>
      </c>
      <c r="AB54" s="629">
        <f t="shared" si="245"/>
        <v>-0.18683046644007251</v>
      </c>
      <c r="AC54" s="636">
        <f t="shared" si="416"/>
        <v>1</v>
      </c>
      <c r="AD54" s="637">
        <f t="shared" si="417"/>
        <v>-9.7674097199397805E-2</v>
      </c>
      <c r="AE54" s="629">
        <f t="shared" si="418"/>
        <v>0.97752449971653776</v>
      </c>
      <c r="AF54" s="633">
        <f t="shared" si="419"/>
        <v>-0.18683046644007251</v>
      </c>
      <c r="AG54" s="602">
        <f t="shared" si="420"/>
        <v>79.179771865094111</v>
      </c>
      <c r="AH54" s="603">
        <f t="shared" si="421"/>
        <v>95.605250309537539</v>
      </c>
      <c r="AI54" s="585">
        <f t="shared" si="422"/>
        <v>-79.232128674764141</v>
      </c>
      <c r="AJ54" s="586">
        <f t="shared" si="423"/>
        <v>-174.29395393020252</v>
      </c>
      <c r="AK54" s="635">
        <f t="shared" si="424"/>
        <v>0.89348367821961761</v>
      </c>
      <c r="AL54" s="629">
        <f t="shared" si="425"/>
        <v>-0.40838865503944594</v>
      </c>
      <c r="AM54" s="634">
        <f t="shared" si="426"/>
        <v>-0.18683046644007251</v>
      </c>
      <c r="AN54" s="581">
        <f t="shared" si="427"/>
        <v>-65.416757233500888</v>
      </c>
      <c r="AO54" s="582">
        <f t="shared" si="94"/>
        <v>26.685677578284114</v>
      </c>
      <c r="AP54" s="585">
        <f t="shared" si="428"/>
        <v>-24.563934294234794</v>
      </c>
      <c r="AQ54" s="586">
        <f t="shared" si="246"/>
        <v>0.58883704354051458</v>
      </c>
      <c r="AS54" s="52">
        <f t="shared" si="406"/>
        <v>-239.73001963596772</v>
      </c>
      <c r="AT54" s="72">
        <f t="shared" si="247"/>
        <v>-0.65572081969724394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4.2220000000000004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3.1219999999999999</v>
      </c>
      <c r="II54" s="734" cm="1">
        <f t="array" ref="II54">IFERROR(ROUND(VALUE(IF($IH54&lt;1,$IH54+LARGE((IF($M$9:$M$150="",0,$M$9:$M$150)-MOD(IF($M$9:$M$150="",0,$M$9:$M$150),1)),1),$IH54)),4),"")</f>
        <v>3.1219999999999999</v>
      </c>
      <c r="IJ54" s="533">
        <f t="shared" si="112"/>
        <v>1613</v>
      </c>
      <c r="IK54" s="533">
        <f t="shared" si="382"/>
        <v>1313</v>
      </c>
      <c r="IL54" s="727">
        <f t="shared" si="225"/>
        <v>99.099987962863054</v>
      </c>
      <c r="IM54" s="759">
        <v>1.36827337295458E-2</v>
      </c>
      <c r="IN54" s="5">
        <f t="shared" si="226"/>
        <v>0.12</v>
      </c>
      <c r="IO54" s="771">
        <v>60</v>
      </c>
      <c r="IP54" s="9">
        <f t="shared" si="227"/>
        <v>-3.8343115642836789</v>
      </c>
      <c r="IQ54" s="5">
        <f t="shared" si="228"/>
        <v>-0.82650249273151788</v>
      </c>
      <c r="IR54" s="5">
        <f t="shared" si="383"/>
        <v>0.314</v>
      </c>
      <c r="IS54" s="5">
        <f t="shared" si="229"/>
        <v>0.29088837908700249</v>
      </c>
      <c r="IT54" s="727">
        <f t="shared" si="230"/>
        <v>69.934232919663557</v>
      </c>
      <c r="IU54" s="9">
        <f t="shared" si="231"/>
        <v>-3.8714384481030493</v>
      </c>
      <c r="IV54" s="5">
        <f t="shared" si="232"/>
        <v>-0.82219999999999938</v>
      </c>
      <c r="IW54" s="5">
        <f t="shared" si="384"/>
        <v>0.26600000000000001</v>
      </c>
      <c r="IX54" s="5">
        <f t="shared" si="233"/>
        <v>0.23766665840641829</v>
      </c>
      <c r="IY54" s="762">
        <f t="shared" si="234"/>
        <v>65.416757233500888</v>
      </c>
    </row>
    <row r="55" spans="1:259" ht="15" customHeight="1" x14ac:dyDescent="0.25">
      <c r="A55" s="79"/>
      <c r="B55" s="707">
        <v>-3.4572492725732387</v>
      </c>
      <c r="C55" s="708">
        <v>-2.032412100652691</v>
      </c>
      <c r="D55" s="709">
        <v>-1.5982999999999998</v>
      </c>
      <c r="E55" s="710">
        <v>-1.7297119869603059E-2</v>
      </c>
      <c r="F55" s="708">
        <v>-0.99875322191300664</v>
      </c>
      <c r="G55" s="711">
        <v>4.682746376438935E-2</v>
      </c>
      <c r="H55" s="710">
        <v>0.26600000000000001</v>
      </c>
      <c r="I55" s="708">
        <v>0.52</v>
      </c>
      <c r="J55" s="570">
        <v>4.2270000000000003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4.2270000000000003</v>
      </c>
      <c r="N55" s="632">
        <f t="shared" si="240"/>
        <v>-3.4572492725732387</v>
      </c>
      <c r="O55" s="629">
        <f t="shared" si="241"/>
        <v>-2.032412100652691</v>
      </c>
      <c r="P55" s="633">
        <f t="shared" si="242"/>
        <v>-1.5982999999999998</v>
      </c>
      <c r="Q55" s="585">
        <f t="shared" si="113"/>
        <v>210.44998036403231</v>
      </c>
      <c r="R55" s="629">
        <f t="shared" si="410"/>
        <v>4.0103954268360713</v>
      </c>
      <c r="S55" s="634">
        <f t="shared" si="411"/>
        <v>-1.5982999999999998</v>
      </c>
      <c r="T55" s="635">
        <f t="shared" si="412"/>
        <v>-2.0324121006526914</v>
      </c>
      <c r="U55" s="629">
        <f t="shared" si="413"/>
        <v>3.4572492725732387</v>
      </c>
      <c r="V55" s="636">
        <f t="shared" si="414"/>
        <v>-1.5982999999999998</v>
      </c>
      <c r="W55" s="585">
        <f t="shared" si="224"/>
        <v>120.44998036403231</v>
      </c>
      <c r="X55" s="629">
        <f t="shared" si="415"/>
        <v>4.0103954268360713</v>
      </c>
      <c r="Y55" s="630">
        <f t="shared" si="223"/>
        <v>-1.5982999999999998</v>
      </c>
      <c r="Z55" s="632">
        <f t="shared" si="243"/>
        <v>1.7297119869603059E-2</v>
      </c>
      <c r="AA55" s="629">
        <f t="shared" si="244"/>
        <v>0.99875322191300664</v>
      </c>
      <c r="AB55" s="629">
        <f t="shared" si="245"/>
        <v>-4.682746376438935E-2</v>
      </c>
      <c r="AC55" s="636">
        <f t="shared" si="416"/>
        <v>1</v>
      </c>
      <c r="AD55" s="637">
        <f t="shared" si="417"/>
        <v>1.7297119869603059E-2</v>
      </c>
      <c r="AE55" s="629">
        <f t="shared" si="418"/>
        <v>0.99875322191300664</v>
      </c>
      <c r="AF55" s="633">
        <f t="shared" si="419"/>
        <v>-4.682746376438935E-2</v>
      </c>
      <c r="AG55" s="602">
        <f t="shared" si="420"/>
        <v>87.315600536845949</v>
      </c>
      <c r="AH55" s="603">
        <f t="shared" si="421"/>
        <v>89.008898608220065</v>
      </c>
      <c r="AI55" s="585">
        <f t="shared" si="422"/>
        <v>-87.316002434144039</v>
      </c>
      <c r="AJ55" s="586">
        <f t="shared" si="423"/>
        <v>179.00781005988594</v>
      </c>
      <c r="AK55" s="635">
        <f t="shared" si="424"/>
        <v>0.85223116686672917</v>
      </c>
      <c r="AL55" s="629">
        <f t="shared" si="425"/>
        <v>-0.52106547271755421</v>
      </c>
      <c r="AM55" s="634">
        <f t="shared" si="426"/>
        <v>-4.682746376438935E-2</v>
      </c>
      <c r="AN55" s="581">
        <f t="shared" si="427"/>
        <v>-84.864699424552839</v>
      </c>
      <c r="AO55" s="582">
        <f>IF(ROUND(IF(M55="",0,DEGREES(ACOS(AK55))),4)=90,0,IF(M55="","",DEGREES(ACOS(AK55))))</f>
        <v>31.544820954724056</v>
      </c>
      <c r="AP55" s="585">
        <f t="shared" si="428"/>
        <v>-31.442170304146384</v>
      </c>
      <c r="AQ55" s="586">
        <f t="shared" si="246"/>
        <v>0.56843567597228706</v>
      </c>
      <c r="AS55" s="52">
        <f t="shared" si="406"/>
        <v>-239.55001963596769</v>
      </c>
      <c r="AT55" s="72">
        <f t="shared" si="247"/>
        <v>-1.4319458196972445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>Gage</v>
      </c>
      <c r="IG55" s="847">
        <f t="shared" si="210"/>
        <v>4.2270000000000003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3.1269999999999998</v>
      </c>
      <c r="II55" s="734" cm="1">
        <f t="array" ref="II55">IFERROR(ROUND(VALUE(IF($IH55&lt;1,$IH55+LARGE((IF($M$9:$M$150="",0,$M$9:$M$150)-MOD(IF($M$9:$M$150="",0,$M$9:$M$150),1)),1),$IH55)),4),"")</f>
        <v>3.1269999999999998</v>
      </c>
      <c r="IJ55" s="533">
        <f t="shared" si="112"/>
        <v>1613</v>
      </c>
      <c r="IK55" s="533">
        <f t="shared" si="382"/>
        <v>1313</v>
      </c>
      <c r="IL55" s="727">
        <f t="shared" si="225"/>
        <v>98.689987996070926</v>
      </c>
      <c r="IM55" s="759">
        <v>5.4323009306315399E-4</v>
      </c>
      <c r="IN55" s="5">
        <f t="shared" si="226"/>
        <v>0</v>
      </c>
      <c r="IO55" s="771">
        <v>0</v>
      </c>
      <c r="IP55" s="9">
        <f t="shared" si="227"/>
        <v>-3.9613119473168332</v>
      </c>
      <c r="IQ55" s="5">
        <f t="shared" si="228"/>
        <v>-1.5865047848984306</v>
      </c>
      <c r="IR55" s="5">
        <f t="shared" si="383"/>
        <v>0.314</v>
      </c>
      <c r="IS55" s="5">
        <f t="shared" si="229"/>
        <v>0.28004778006015524</v>
      </c>
      <c r="IT55" s="727">
        <f t="shared" si="230"/>
        <v>88.144396059046429</v>
      </c>
      <c r="IU55" s="9">
        <f t="shared" si="231"/>
        <v>-4.0103954268360713</v>
      </c>
      <c r="IV55" s="5">
        <f t="shared" si="232"/>
        <v>-1.5982999999999998</v>
      </c>
      <c r="IW55" s="5">
        <f t="shared" si="384"/>
        <v>0.26600000000000001</v>
      </c>
      <c r="IX55" s="5">
        <f t="shared" si="233"/>
        <v>0.22669349038654998</v>
      </c>
      <c r="IY55" s="762">
        <f t="shared" si="234"/>
        <v>84.864699424552839</v>
      </c>
    </row>
    <row r="56" spans="1:259" ht="15" customHeight="1" x14ac:dyDescent="0.25">
      <c r="A56" s="79"/>
      <c r="B56" s="707">
        <v>-1.0398416091829863</v>
      </c>
      <c r="C56" s="708">
        <v>-1.8150146328278757E-2</v>
      </c>
      <c r="D56" s="709">
        <v>-0.52969999999999995</v>
      </c>
      <c r="E56" s="710">
        <v>0.25877959075074064</v>
      </c>
      <c r="F56" s="708">
        <v>4.5169258446855313E-3</v>
      </c>
      <c r="G56" s="711">
        <v>0.96592583607220739</v>
      </c>
      <c r="H56" s="710">
        <v>0.22499999999999998</v>
      </c>
      <c r="I56" s="708">
        <v>0.33200000000000002</v>
      </c>
      <c r="J56" s="570">
        <v>4.3040000000000003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Inactive</v>
      </c>
      <c r="L56" s="320"/>
      <c r="M56" s="168">
        <f t="shared" si="239"/>
        <v>4.3040000000000003</v>
      </c>
      <c r="N56" s="632">
        <f t="shared" si="240"/>
        <v>-1.0398416091829863</v>
      </c>
      <c r="O56" s="629">
        <f t="shared" si="241"/>
        <v>-1.8150146328278757E-2</v>
      </c>
      <c r="P56" s="633">
        <f t="shared" si="242"/>
        <v>-0.52969999999999995</v>
      </c>
      <c r="Q56" s="585">
        <f t="shared" si="113"/>
        <v>180.9999803640323</v>
      </c>
      <c r="R56" s="629">
        <f t="shared" si="410"/>
        <v>1.0400000000000003</v>
      </c>
      <c r="S56" s="634">
        <f t="shared" si="411"/>
        <v>-0.52969999999999995</v>
      </c>
      <c r="T56" s="635">
        <f t="shared" si="412"/>
        <v>-1.8150146328278507E-2</v>
      </c>
      <c r="U56" s="629">
        <f t="shared" si="413"/>
        <v>1.0398416091829863</v>
      </c>
      <c r="V56" s="636">
        <f t="shared" si="414"/>
        <v>-0.52969999999999995</v>
      </c>
      <c r="W56" s="585">
        <f t="shared" si="224"/>
        <v>90.999980364032297</v>
      </c>
      <c r="X56" s="629">
        <f t="shared" si="415"/>
        <v>1.0400000000000003</v>
      </c>
      <c r="Y56" s="630">
        <f t="shared" si="223"/>
        <v>-0.52969999999999995</v>
      </c>
      <c r="Z56" s="632">
        <f t="shared" si="243"/>
        <v>-0.25877959075074064</v>
      </c>
      <c r="AA56" s="629">
        <f t="shared" si="244"/>
        <v>-4.5169258446855313E-3</v>
      </c>
      <c r="AB56" s="629">
        <f t="shared" si="245"/>
        <v>-0.96592583607220739</v>
      </c>
      <c r="AC56" s="636">
        <f t="shared" si="416"/>
        <v>1</v>
      </c>
      <c r="AD56" s="637">
        <f t="shared" si="417"/>
        <v>-0.25877959075074064</v>
      </c>
      <c r="AE56" s="629">
        <f t="shared" si="418"/>
        <v>-4.5169258446855313E-3</v>
      </c>
      <c r="AF56" s="633">
        <f t="shared" si="419"/>
        <v>-0.96592583607220739</v>
      </c>
      <c r="AG56" s="602">
        <f t="shared" si="420"/>
        <v>-0.26792833486313367</v>
      </c>
      <c r="AH56" s="603">
        <f t="shared" si="421"/>
        <v>104.99765970076682</v>
      </c>
      <c r="AI56" s="585">
        <f t="shared" si="422"/>
        <v>-14.999997834268255</v>
      </c>
      <c r="AJ56" s="586">
        <f t="shared" si="423"/>
        <v>-89.000019635967703</v>
      </c>
      <c r="AK56" s="635">
        <f t="shared" si="424"/>
        <v>-5.1174342541315809E-17</v>
      </c>
      <c r="AL56" s="629">
        <f t="shared" si="425"/>
        <v>0.25881900859134593</v>
      </c>
      <c r="AM56" s="634">
        <f t="shared" si="426"/>
        <v>-0.96592583607220739</v>
      </c>
      <c r="AN56" s="581">
        <f t="shared" si="427"/>
        <v>14.999997834268267</v>
      </c>
      <c r="AO56" s="582">
        <f t="shared" ref="AO56:AO119" si="461">IF(ROUND(IF(M56="",0,DEGREES(ACOS(AK56))),4)=90,0,IF(M56="","",DEGREES(ACOS(AK56))))</f>
        <v>0</v>
      </c>
      <c r="AP56" s="585">
        <f t="shared" si="428"/>
        <v>90.000000000000014</v>
      </c>
      <c r="AQ56" s="586">
        <f t="shared" si="246"/>
        <v>2.1909762742543264</v>
      </c>
      <c r="AS56" s="52">
        <f t="shared" si="406"/>
        <v>-269.0000196359677</v>
      </c>
      <c r="AT56" s="72">
        <f t="shared" si="247"/>
        <v>-0.34289443080835569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4.3040000000000003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1.1040000000000001</v>
      </c>
      <c r="II56" s="734" cm="1">
        <f t="array" ref="II56">IFERROR(ROUND(VALUE(IF($IH56&lt;1,$IH56+LARGE((IF($M$9:$M$150="",0,$M$9:$M$150)-MOD(IF($M$9:$M$150="",0,$M$9:$M$150),1)),1),$IH56)),4),"")</f>
        <v>1.1040000000000001</v>
      </c>
      <c r="IJ56" s="533">
        <f t="shared" si="112"/>
        <v>1308</v>
      </c>
      <c r="IK56" s="533" t="str">
        <f t="shared" si="382"/>
        <v>Inactive</v>
      </c>
      <c r="IL56" s="727">
        <f t="shared" si="225"/>
        <v>269.0000196359677</v>
      </c>
      <c r="IM56" s="759">
        <v>8.8037822613651904E-4</v>
      </c>
      <c r="IN56" s="5">
        <f t="shared" si="226"/>
        <v>0</v>
      </c>
      <c r="IO56" s="771">
        <v>0</v>
      </c>
      <c r="IP56" s="9">
        <f t="shared" si="227"/>
        <v>-0.89030268515289857</v>
      </c>
      <c r="IQ56" s="5">
        <f t="shared" si="228"/>
        <v>-0.52620158702398656</v>
      </c>
      <c r="IR56" s="5">
        <f t="shared" si="383"/>
        <v>0.26600000000000001</v>
      </c>
      <c r="IS56" s="5">
        <f t="shared" si="229"/>
        <v>0.25693627239520722</v>
      </c>
      <c r="IT56" s="727">
        <f t="shared" si="230"/>
        <v>-14.999997834268267</v>
      </c>
      <c r="IU56" s="9">
        <f t="shared" si="231"/>
        <v>-1.0400000000000003</v>
      </c>
      <c r="IV56" s="5">
        <f t="shared" si="232"/>
        <v>-0.52969999999999995</v>
      </c>
      <c r="IW56" s="5">
        <f t="shared" si="384"/>
        <v>0.22499999999999998</v>
      </c>
      <c r="IX56" s="5">
        <f t="shared" si="233"/>
        <v>0.22499999999999998</v>
      </c>
      <c r="IY56" s="762">
        <f t="shared" si="234"/>
        <v>-14.999997834268267</v>
      </c>
    </row>
    <row r="57" spans="1:259" ht="15" customHeight="1" x14ac:dyDescent="0.25">
      <c r="A57" s="79"/>
      <c r="B57" s="707">
        <v>-1.4446550091203094</v>
      </c>
      <c r="C57" s="708">
        <v>-0.46939631935454873</v>
      </c>
      <c r="D57" s="709">
        <v>-0.40510000000000002</v>
      </c>
      <c r="E57" s="710">
        <v>0.24615153207178433</v>
      </c>
      <c r="F57" s="708">
        <v>7.9979387762851309E-2</v>
      </c>
      <c r="G57" s="711">
        <v>0.96592583607220739</v>
      </c>
      <c r="H57" s="710">
        <v>0.22499999999999998</v>
      </c>
      <c r="I57" s="708">
        <v>0.33200000000000002</v>
      </c>
      <c r="J57" s="570">
        <v>4.3070000000000004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Inactive</v>
      </c>
      <c r="L57" s="320"/>
      <c r="M57" s="168">
        <f t="shared" si="239"/>
        <v>4.3070000000000004</v>
      </c>
      <c r="N57" s="632">
        <f t="shared" si="240"/>
        <v>-1.4446550091203094</v>
      </c>
      <c r="O57" s="629">
        <f t="shared" si="241"/>
        <v>-0.46939631935454873</v>
      </c>
      <c r="P57" s="633">
        <f t="shared" si="242"/>
        <v>-0.40510000000000002</v>
      </c>
      <c r="Q57" s="585">
        <f t="shared" si="113"/>
        <v>197.9999803640323</v>
      </c>
      <c r="R57" s="629">
        <f t="shared" si="410"/>
        <v>1.5189999999999995</v>
      </c>
      <c r="S57" s="634">
        <f t="shared" si="411"/>
        <v>-0.40510000000000002</v>
      </c>
      <c r="T57" s="635">
        <f t="shared" si="412"/>
        <v>-0.46939631935454867</v>
      </c>
      <c r="U57" s="629">
        <f t="shared" si="413"/>
        <v>1.4446550091203094</v>
      </c>
      <c r="V57" s="636">
        <f t="shared" si="414"/>
        <v>-0.40510000000000002</v>
      </c>
      <c r="W57" s="585">
        <f t="shared" si="224"/>
        <v>107.9999803640323</v>
      </c>
      <c r="X57" s="629">
        <f t="shared" si="415"/>
        <v>1.5189999999999995</v>
      </c>
      <c r="Y57" s="630">
        <f t="shared" si="223"/>
        <v>-0.40510000000000002</v>
      </c>
      <c r="Z57" s="632">
        <f t="shared" si="243"/>
        <v>-0.24615153207178433</v>
      </c>
      <c r="AA57" s="629">
        <f t="shared" si="244"/>
        <v>-7.9979387762851309E-2</v>
      </c>
      <c r="AB57" s="629">
        <f t="shared" si="245"/>
        <v>-0.96592583607220739</v>
      </c>
      <c r="AC57" s="636">
        <f t="shared" si="416"/>
        <v>1</v>
      </c>
      <c r="AD57" s="637">
        <f t="shared" si="417"/>
        <v>-0.24615153207178433</v>
      </c>
      <c r="AE57" s="629">
        <f t="shared" si="418"/>
        <v>-7.9979387762851309E-2</v>
      </c>
      <c r="AF57" s="633">
        <f t="shared" si="419"/>
        <v>-0.96592583607220739</v>
      </c>
      <c r="AG57" s="602">
        <f t="shared" si="420"/>
        <v>-4.7333362683588547</v>
      </c>
      <c r="AH57" s="603">
        <f t="shared" si="421"/>
        <v>104.24989590159407</v>
      </c>
      <c r="AI57" s="585">
        <f t="shared" si="422"/>
        <v>-14.999997834268255</v>
      </c>
      <c r="AJ57" s="586">
        <f t="shared" si="423"/>
        <v>-72.000019635967703</v>
      </c>
      <c r="AK57" s="635">
        <f t="shared" si="424"/>
        <v>0</v>
      </c>
      <c r="AL57" s="629">
        <f t="shared" si="425"/>
        <v>0.25881900859134593</v>
      </c>
      <c r="AM57" s="634">
        <f t="shared" si="426"/>
        <v>-0.96592583607220739</v>
      </c>
      <c r="AN57" s="581">
        <f t="shared" si="427"/>
        <v>14.999997834268267</v>
      </c>
      <c r="AO57" s="582">
        <f t="shared" si="461"/>
        <v>0</v>
      </c>
      <c r="AP57" s="585">
        <f t="shared" si="428"/>
        <v>90</v>
      </c>
      <c r="AQ57" s="586">
        <f t="shared" si="246"/>
        <v>1.5004644188459342</v>
      </c>
      <c r="AS57" s="52">
        <f t="shared" si="406"/>
        <v>-252.0000196359677</v>
      </c>
      <c r="AT57" s="72">
        <f t="shared" si="247"/>
        <v>-0.23009998636391132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4.3070000000000004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1.107</v>
      </c>
      <c r="II57" s="734" cm="1">
        <f t="array" ref="II57">IFERROR(ROUND(VALUE(IF($IH57&lt;1,$IH57+LARGE((IF($M$9:$M$150="",0,$M$9:$M$150)-MOD(IF($M$9:$M$150="",0,$M$9:$M$150),1)),1),$IH57)),4),"")</f>
        <v>1.107</v>
      </c>
      <c r="IJ57" s="533">
        <f t="shared" si="112"/>
        <v>1308</v>
      </c>
      <c r="IK57" s="533" t="str">
        <f t="shared" si="382"/>
        <v>Inactive</v>
      </c>
      <c r="IL57" s="727">
        <f t="shared" si="225"/>
        <v>252.0000196359677</v>
      </c>
      <c r="IM57" s="759">
        <v>4.1289353899627401E-2</v>
      </c>
      <c r="IN57" s="5">
        <f t="shared" si="226"/>
        <v>0.08</v>
      </c>
      <c r="IO57" s="771">
        <v>40</v>
      </c>
      <c r="IP57" s="9">
        <f t="shared" si="227"/>
        <v>-1.4786044594710497</v>
      </c>
      <c r="IQ57" s="5">
        <f t="shared" si="228"/>
        <v>-0.36850111139935204</v>
      </c>
      <c r="IR57" s="5">
        <f t="shared" si="383"/>
        <v>0.26600000000000001</v>
      </c>
      <c r="IS57" s="5">
        <f t="shared" si="229"/>
        <v>0.25693627239520722</v>
      </c>
      <c r="IT57" s="727">
        <f t="shared" si="230"/>
        <v>-14.999997834268262</v>
      </c>
      <c r="IU57" s="9">
        <f t="shared" si="231"/>
        <v>-1.5189999999999995</v>
      </c>
      <c r="IV57" s="5">
        <f t="shared" si="232"/>
        <v>-0.40510000000000002</v>
      </c>
      <c r="IW57" s="5">
        <f t="shared" si="384"/>
        <v>0.22499999999999998</v>
      </c>
      <c r="IX57" s="5">
        <f t="shared" si="233"/>
        <v>0.22499999999999998</v>
      </c>
      <c r="IY57" s="762">
        <f t="shared" si="234"/>
        <v>-14.999997834268267</v>
      </c>
    </row>
    <row r="58" spans="1:259" ht="15" customHeight="1" x14ac:dyDescent="0.25">
      <c r="A58" s="79"/>
      <c r="B58" s="707">
        <v>-2.7582099360574981</v>
      </c>
      <c r="C58" s="708">
        <v>1.1239208236983866</v>
      </c>
      <c r="D58" s="709">
        <v>-0.15470046657660749</v>
      </c>
      <c r="E58" s="710">
        <v>-0.49328462571375281</v>
      </c>
      <c r="F58" s="708">
        <v>-0.83690846402088659</v>
      </c>
      <c r="G58" s="711">
        <v>0.23718031302079728</v>
      </c>
      <c r="H58" s="710">
        <v>0.314</v>
      </c>
      <c r="I58" s="708">
        <v>0.52</v>
      </c>
      <c r="J58" s="570">
        <v>5.1150000000000002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5.1150000000000002</v>
      </c>
      <c r="N58" s="632">
        <f t="shared" si="240"/>
        <v>-2.7582099360574981</v>
      </c>
      <c r="O58" s="629">
        <f t="shared" si="241"/>
        <v>1.1239208236983866</v>
      </c>
      <c r="P58" s="633">
        <f t="shared" si="242"/>
        <v>-0.15470046657660749</v>
      </c>
      <c r="Q58" s="585">
        <f t="shared" si="113"/>
        <v>157.82999020656109</v>
      </c>
      <c r="R58" s="629">
        <f t="shared" si="410"/>
        <v>2.9784089828814926</v>
      </c>
      <c r="S58" s="634">
        <f t="shared" si="411"/>
        <v>-0.15470046657660749</v>
      </c>
      <c r="T58" s="635">
        <f t="shared" si="412"/>
        <v>1.1239208236983873</v>
      </c>
      <c r="U58" s="629">
        <f t="shared" si="413"/>
        <v>2.7582099360574976</v>
      </c>
      <c r="V58" s="636">
        <f t="shared" si="414"/>
        <v>-0.15470046657660749</v>
      </c>
      <c r="W58" s="585">
        <f t="shared" si="224"/>
        <v>67.829990206561092</v>
      </c>
      <c r="X58" s="629">
        <f t="shared" si="415"/>
        <v>2.9784089828814926</v>
      </c>
      <c r="Y58" s="630">
        <f t="shared" si="223"/>
        <v>-0.15470046657660749</v>
      </c>
      <c r="Z58" s="632">
        <f t="shared" si="243"/>
        <v>0.49328462571375281</v>
      </c>
      <c r="AA58" s="629">
        <f t="shared" si="244"/>
        <v>0.83690846402088659</v>
      </c>
      <c r="AB58" s="629">
        <f t="shared" si="245"/>
        <v>-0.23718031302079728</v>
      </c>
      <c r="AC58" s="636">
        <f t="shared" si="416"/>
        <v>1</v>
      </c>
      <c r="AD58" s="637">
        <f t="shared" si="417"/>
        <v>0.49328462571375281</v>
      </c>
      <c r="AE58" s="629">
        <f t="shared" si="418"/>
        <v>0.83690846402088659</v>
      </c>
      <c r="AF58" s="633">
        <f t="shared" si="419"/>
        <v>-0.23718031302079728</v>
      </c>
      <c r="AG58" s="602">
        <f t="shared" si="420"/>
        <v>74.177241456479479</v>
      </c>
      <c r="AH58" s="603">
        <f t="shared" si="421"/>
        <v>60.443299907466063</v>
      </c>
      <c r="AI58" s="585">
        <f t="shared" si="422"/>
        <v>-76.279820305462792</v>
      </c>
      <c r="AJ58" s="586">
        <f t="shared" si="423"/>
        <v>149.48435494834845</v>
      </c>
      <c r="AK58" s="635">
        <f t="shared" si="424"/>
        <v>0.96117830705484653</v>
      </c>
      <c r="AL58" s="629">
        <f t="shared" si="425"/>
        <v>-0.14100269913209557</v>
      </c>
      <c r="AM58" s="634">
        <f t="shared" si="426"/>
        <v>-0.23718031302079728</v>
      </c>
      <c r="AN58" s="581">
        <f t="shared" si="427"/>
        <v>-30.731305379144093</v>
      </c>
      <c r="AO58" s="582">
        <f t="shared" si="461"/>
        <v>16.017324623386632</v>
      </c>
      <c r="AP58" s="585">
        <f t="shared" si="428"/>
        <v>-8.3456352582126261</v>
      </c>
      <c r="AQ58" s="586">
        <f t="shared" si="246"/>
        <v>0.76537206370477007</v>
      </c>
      <c r="AS58" s="52">
        <f t="shared" si="406"/>
        <v>-292.17000979343891</v>
      </c>
      <c r="AT58" s="72">
        <f t="shared" si="247"/>
        <v>4.8195373557725102E-2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5.1150000000000002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-3.3619137940326724</v>
      </c>
      <c r="C59" s="708">
        <v>1.4485651400709105</v>
      </c>
      <c r="D59" s="709">
        <v>-0.56200169499711183</v>
      </c>
      <c r="E59" s="710">
        <v>-0.64236525594910376</v>
      </c>
      <c r="F59" s="708">
        <v>-0.74933773089012889</v>
      </c>
      <c r="G59" s="711">
        <v>0.16080995931183859</v>
      </c>
      <c r="H59" s="710">
        <v>0.314</v>
      </c>
      <c r="I59" s="708">
        <v>0.52</v>
      </c>
      <c r="J59" s="570">
        <v>5.12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5.12</v>
      </c>
      <c r="N59" s="632">
        <f t="shared" si="240"/>
        <v>-3.3619137940326724</v>
      </c>
      <c r="O59" s="629">
        <f t="shared" si="241"/>
        <v>1.4485651400709105</v>
      </c>
      <c r="P59" s="633">
        <f t="shared" si="242"/>
        <v>-0.56200169499711183</v>
      </c>
      <c r="Q59" s="585">
        <f t="shared" si="113"/>
        <v>156.68999037115671</v>
      </c>
      <c r="R59" s="629">
        <f t="shared" si="79"/>
        <v>3.6607110407044989</v>
      </c>
      <c r="S59" s="634">
        <f t="shared" si="80"/>
        <v>-0.56200169499711183</v>
      </c>
      <c r="T59" s="635">
        <f t="shared" si="81"/>
        <v>1.4485651400709112</v>
      </c>
      <c r="U59" s="629">
        <f t="shared" si="82"/>
        <v>3.361913794032672</v>
      </c>
      <c r="V59" s="636">
        <f t="shared" si="114"/>
        <v>-0.56200169499711183</v>
      </c>
      <c r="W59" s="585">
        <f t="shared" si="224"/>
        <v>66.689990371156711</v>
      </c>
      <c r="X59" s="629">
        <f t="shared" si="83"/>
        <v>3.6607110407044989</v>
      </c>
      <c r="Y59" s="630">
        <f t="shared" si="223"/>
        <v>-0.56200169499711183</v>
      </c>
      <c r="Z59" s="632">
        <f t="shared" si="243"/>
        <v>0.64236525594910376</v>
      </c>
      <c r="AA59" s="629">
        <f t="shared" si="244"/>
        <v>0.74933773089012889</v>
      </c>
      <c r="AB59" s="629">
        <f t="shared" si="245"/>
        <v>-0.16080995931183859</v>
      </c>
      <c r="AC59" s="636">
        <f t="shared" si="84"/>
        <v>1</v>
      </c>
      <c r="AD59" s="637">
        <f t="shared" si="115"/>
        <v>0.64236525594910376</v>
      </c>
      <c r="AE59" s="629">
        <f t="shared" si="85"/>
        <v>0.74933773089012889</v>
      </c>
      <c r="AF59" s="633">
        <f t="shared" si="86"/>
        <v>-0.16080995931183859</v>
      </c>
      <c r="AG59" s="602">
        <f t="shared" si="87"/>
        <v>77.887875144828996</v>
      </c>
      <c r="AH59" s="603">
        <f t="shared" si="88"/>
        <v>50.031582361843199</v>
      </c>
      <c r="AI59" s="585">
        <f t="shared" si="89"/>
        <v>-80.746087729763886</v>
      </c>
      <c r="AJ59" s="586">
        <f t="shared" si="90"/>
        <v>139.3953656268028</v>
      </c>
      <c r="AK59" s="635">
        <f t="shared" si="211"/>
        <v>0.94236248981983939</v>
      </c>
      <c r="AL59" s="629">
        <f t="shared" si="91"/>
        <v>-0.29341624830039309</v>
      </c>
      <c r="AM59" s="634">
        <f t="shared" si="92"/>
        <v>-0.16080995931183859</v>
      </c>
      <c r="AN59" s="581">
        <f t="shared" si="93"/>
        <v>-61.274577397728322</v>
      </c>
      <c r="AO59" s="582">
        <f t="shared" si="461"/>
        <v>19.547832379729993</v>
      </c>
      <c r="AP59" s="585">
        <f t="shared" si="95"/>
        <v>-17.294624744353889</v>
      </c>
      <c r="AQ59" s="586">
        <f t="shared" si="246"/>
        <v>0.6227306222481156</v>
      </c>
      <c r="AS59" s="52">
        <f t="shared" si="406"/>
        <v>-293.31000962884332</v>
      </c>
      <c r="AT59" s="72">
        <f t="shared" si="247"/>
        <v>-0.35831418831041506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-3.6160929673458115</v>
      </c>
      <c r="C60" s="708">
        <v>1.5986586979767379</v>
      </c>
      <c r="D60" s="709">
        <v>-1.2826038683332672</v>
      </c>
      <c r="E60" s="710">
        <v>-0.74575875034167194</v>
      </c>
      <c r="F60" s="708">
        <v>-0.66444569728230318</v>
      </c>
      <c r="G60" s="711">
        <v>4.8536601156878093E-2</v>
      </c>
      <c r="H60" s="710">
        <v>0.314</v>
      </c>
      <c r="I60" s="708">
        <v>0.52</v>
      </c>
      <c r="J60" s="570">
        <v>5.125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5.125</v>
      </c>
      <c r="N60" s="632">
        <f t="shared" si="240"/>
        <v>-3.6160929673458115</v>
      </c>
      <c r="O60" s="629">
        <f t="shared" si="241"/>
        <v>1.5986586979767379</v>
      </c>
      <c r="P60" s="633">
        <f t="shared" si="242"/>
        <v>-1.2826038683332672</v>
      </c>
      <c r="Q60" s="585">
        <f t="shared" si="113"/>
        <v>156.14999044912307</v>
      </c>
      <c r="R60" s="629">
        <f t="shared" si="79"/>
        <v>3.9537119243951646</v>
      </c>
      <c r="S60" s="634">
        <f t="shared" si="80"/>
        <v>-1.2826038683332672</v>
      </c>
      <c r="T60" s="635">
        <f t="shared" si="81"/>
        <v>1.5986586979767381</v>
      </c>
      <c r="U60" s="629">
        <f t="shared" si="82"/>
        <v>3.6160929673458115</v>
      </c>
      <c r="V60" s="636">
        <f t="shared" si="114"/>
        <v>-1.2826038683332672</v>
      </c>
      <c r="W60" s="585">
        <f t="shared" si="224"/>
        <v>66.149990449123067</v>
      </c>
      <c r="X60" s="629">
        <f t="shared" si="83"/>
        <v>3.9537119243951646</v>
      </c>
      <c r="Y60" s="630">
        <f t="shared" si="223"/>
        <v>-1.2826038683332672</v>
      </c>
      <c r="Z60" s="632">
        <f t="shared" si="243"/>
        <v>0.74575875034167194</v>
      </c>
      <c r="AA60" s="629">
        <f t="shared" si="244"/>
        <v>0.66444569728230318</v>
      </c>
      <c r="AB60" s="629">
        <f t="shared" si="245"/>
        <v>-4.8536601156878093E-2</v>
      </c>
      <c r="AC60" s="636">
        <f t="shared" si="84"/>
        <v>1</v>
      </c>
      <c r="AD60" s="637">
        <f t="shared" si="115"/>
        <v>0.74575875034167194</v>
      </c>
      <c r="AE60" s="629">
        <f t="shared" si="85"/>
        <v>0.66444569728230318</v>
      </c>
      <c r="AF60" s="633">
        <f t="shared" si="86"/>
        <v>-4.8536601156878093E-2</v>
      </c>
      <c r="AG60" s="602">
        <f t="shared" si="87"/>
        <v>85.822063756454483</v>
      </c>
      <c r="AH60" s="603">
        <f t="shared" si="88"/>
        <v>41.775688708922139</v>
      </c>
      <c r="AI60" s="585">
        <f t="shared" si="89"/>
        <v>-87.217964551200239</v>
      </c>
      <c r="AJ60" s="586">
        <f t="shared" si="90"/>
        <v>131.6999523694482</v>
      </c>
      <c r="AK60" s="635">
        <f t="shared" si="211"/>
        <v>0.90924963545533055</v>
      </c>
      <c r="AL60" s="629">
        <f t="shared" si="91"/>
        <v>-0.41341177870555007</v>
      </c>
      <c r="AM60" s="634">
        <f t="shared" si="92"/>
        <v>-4.8536601156878093E-2</v>
      </c>
      <c r="AN60" s="581">
        <f t="shared" si="93"/>
        <v>-83.303844380406446</v>
      </c>
      <c r="AO60" s="582">
        <f t="shared" si="461"/>
        <v>24.598138195122832</v>
      </c>
      <c r="AP60" s="585">
        <f t="shared" si="95"/>
        <v>-24.450038079674854</v>
      </c>
      <c r="AQ60" s="586">
        <f t="shared" si="246"/>
        <v>0.57658466753146354</v>
      </c>
      <c r="AS60" s="52">
        <f t="shared" si="406"/>
        <v>-293.85000955087696</v>
      </c>
      <c r="AT60" s="72">
        <f t="shared" si="247"/>
        <v>-1.0785413617007138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5.125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-3.6956299801459749</v>
      </c>
      <c r="C61" s="708">
        <v>1.6469471909706916</v>
      </c>
      <c r="D61" s="709">
        <v>-1.9439</v>
      </c>
      <c r="E61" s="710">
        <v>-0.82452920821097297</v>
      </c>
      <c r="F61" s="708">
        <v>-0.56437970907176038</v>
      </c>
      <c r="G61" s="711">
        <v>4.0337684552552849E-2</v>
      </c>
      <c r="H61" s="710">
        <v>0.26600000000000001</v>
      </c>
      <c r="I61" s="708">
        <v>0.52</v>
      </c>
      <c r="J61" s="570">
        <v>5.13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5.13</v>
      </c>
      <c r="N61" s="632">
        <f t="shared" si="240"/>
        <v>-3.6956299801459749</v>
      </c>
      <c r="O61" s="629">
        <f t="shared" si="241"/>
        <v>1.6469471909706916</v>
      </c>
      <c r="P61" s="633">
        <f t="shared" si="242"/>
        <v>-1.9439</v>
      </c>
      <c r="Q61" s="585">
        <f t="shared" si="113"/>
        <v>155.97999047366801</v>
      </c>
      <c r="R61" s="629">
        <f t="shared" si="79"/>
        <v>4.0459999999999985</v>
      </c>
      <c r="S61" s="634">
        <f t="shared" si="80"/>
        <v>-1.9439</v>
      </c>
      <c r="T61" s="635">
        <f t="shared" si="81"/>
        <v>1.6469471909706914</v>
      </c>
      <c r="U61" s="629">
        <f t="shared" si="82"/>
        <v>3.6956299801459744</v>
      </c>
      <c r="V61" s="636">
        <f t="shared" si="114"/>
        <v>-1.9439</v>
      </c>
      <c r="W61" s="585">
        <f t="shared" si="224"/>
        <v>65.979990473668011</v>
      </c>
      <c r="X61" s="629">
        <f t="shared" si="83"/>
        <v>4.0459999999999985</v>
      </c>
      <c r="Y61" s="630">
        <f t="shared" si="223"/>
        <v>-1.9439</v>
      </c>
      <c r="Z61" s="632">
        <f t="shared" si="243"/>
        <v>0.82452920821097297</v>
      </c>
      <c r="AA61" s="629">
        <f t="shared" si="244"/>
        <v>0.56437970907176038</v>
      </c>
      <c r="AB61" s="629">
        <f t="shared" si="245"/>
        <v>-4.0337684552552849E-2</v>
      </c>
      <c r="AC61" s="636">
        <f t="shared" si="84"/>
        <v>1</v>
      </c>
      <c r="AD61" s="637">
        <f t="shared" si="115"/>
        <v>0.82452920821097297</v>
      </c>
      <c r="AE61" s="629">
        <f t="shared" si="85"/>
        <v>0.56437970907176038</v>
      </c>
      <c r="AF61" s="633">
        <f t="shared" si="86"/>
        <v>-4.0337684552552849E-2</v>
      </c>
      <c r="AG61" s="602">
        <f t="shared" si="87"/>
        <v>85.91187344674519</v>
      </c>
      <c r="AH61" s="603">
        <f t="shared" si="88"/>
        <v>34.45921074398035</v>
      </c>
      <c r="AI61" s="585">
        <f t="shared" si="89"/>
        <v>-87.688193696103198</v>
      </c>
      <c r="AJ61" s="586">
        <f t="shared" si="90"/>
        <v>124.39114174456414</v>
      </c>
      <c r="AK61" s="635">
        <f t="shared" si="211"/>
        <v>0.85113559969550479</v>
      </c>
      <c r="AL61" s="629">
        <f t="shared" si="91"/>
        <v>-0.52339379260353514</v>
      </c>
      <c r="AM61" s="634">
        <f t="shared" si="92"/>
        <v>-4.0337684552552849E-2</v>
      </c>
      <c r="AN61" s="581">
        <f t="shared" si="93"/>
        <v>-85.592956116082007</v>
      </c>
      <c r="AO61" s="582">
        <f t="shared" si="461"/>
        <v>31.664600891226723</v>
      </c>
      <c r="AP61" s="585">
        <f t="shared" si="95"/>
        <v>-31.588848729103873</v>
      </c>
      <c r="AQ61" s="586">
        <f t="shared" si="246"/>
        <v>0.56343379780350622</v>
      </c>
      <c r="AS61" s="52">
        <f t="shared" si="406"/>
        <v>-294.02000952633199</v>
      </c>
      <c r="AT61" s="72">
        <f t="shared" si="247"/>
        <v>-1.739719437828936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5.13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1313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-2.4638712587357121</v>
      </c>
      <c r="C62" s="708">
        <v>1.9591503775802916</v>
      </c>
      <c r="D62" s="709">
        <v>-0.17859999999999976</v>
      </c>
      <c r="E62" s="710">
        <v>-0.73269027876684656</v>
      </c>
      <c r="F62" s="708">
        <v>-0.61047115918069972</v>
      </c>
      <c r="G62" s="711">
        <v>0.3008154238218741</v>
      </c>
      <c r="H62" s="710">
        <v>0.26600000000000001</v>
      </c>
      <c r="I62" s="708">
        <v>0.52</v>
      </c>
      <c r="J62" s="570">
        <v>5.2160000000000002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5.2160000000000002</v>
      </c>
      <c r="N62" s="632">
        <f t="shared" si="240"/>
        <v>-2.4638712587357121</v>
      </c>
      <c r="O62" s="629">
        <f t="shared" si="241"/>
        <v>1.9591503775802916</v>
      </c>
      <c r="P62" s="633">
        <f t="shared" si="242"/>
        <v>-0.17859999999999976</v>
      </c>
      <c r="Q62" s="585">
        <f t="shared" si="113"/>
        <v>141.50999003763403</v>
      </c>
      <c r="R62" s="629">
        <f t="shared" si="79"/>
        <v>3.1478455777875927</v>
      </c>
      <c r="S62" s="634">
        <f t="shared" si="80"/>
        <v>-0.17859999999999976</v>
      </c>
      <c r="T62" s="635">
        <f t="shared" si="81"/>
        <v>1.9591503775802916</v>
      </c>
      <c r="U62" s="629">
        <f t="shared" si="82"/>
        <v>2.4638712587357121</v>
      </c>
      <c r="V62" s="636">
        <f t="shared" si="114"/>
        <v>-0.17859999999999976</v>
      </c>
      <c r="W62" s="585">
        <f t="shared" si="224"/>
        <v>51.509990037634026</v>
      </c>
      <c r="X62" s="629">
        <f t="shared" si="83"/>
        <v>3.1478455777875927</v>
      </c>
      <c r="Y62" s="630">
        <f t="shared" si="223"/>
        <v>-0.17859999999999976</v>
      </c>
      <c r="Z62" s="632">
        <f t="shared" si="243"/>
        <v>0.73269027876684656</v>
      </c>
      <c r="AA62" s="629">
        <f t="shared" si="244"/>
        <v>0.61047115918069972</v>
      </c>
      <c r="AB62" s="629">
        <f t="shared" si="245"/>
        <v>-0.3008154238218741</v>
      </c>
      <c r="AC62" s="636">
        <f t="shared" si="84"/>
        <v>1</v>
      </c>
      <c r="AD62" s="637">
        <f t="shared" si="115"/>
        <v>0.73269027876684656</v>
      </c>
      <c r="AE62" s="629">
        <f t="shared" si="85"/>
        <v>0.61047115918069972</v>
      </c>
      <c r="AF62" s="633">
        <f t="shared" si="86"/>
        <v>-0.3008154238218741</v>
      </c>
      <c r="AG62" s="602">
        <f t="shared" si="87"/>
        <v>63.767792105953447</v>
      </c>
      <c r="AH62" s="603">
        <f t="shared" si="88"/>
        <v>42.88759368899521</v>
      </c>
      <c r="AI62" s="585">
        <f t="shared" si="89"/>
        <v>-72.493414057953856</v>
      </c>
      <c r="AJ62" s="586">
        <f t="shared" si="90"/>
        <v>129.80076774702559</v>
      </c>
      <c r="AK62" s="635">
        <f t="shared" si="211"/>
        <v>0.93383639922829476</v>
      </c>
      <c r="AL62" s="629">
        <f t="shared" si="91"/>
        <v>-0.19354498254204205</v>
      </c>
      <c r="AM62" s="634">
        <f t="shared" si="92"/>
        <v>-0.3008154238218741</v>
      </c>
      <c r="AN62" s="581">
        <f t="shared" si="93"/>
        <v>-32.757274681701077</v>
      </c>
      <c r="AO62" s="582">
        <f t="shared" si="461"/>
        <v>20.959036992902316</v>
      </c>
      <c r="AP62" s="585">
        <f t="shared" si="95"/>
        <v>-11.709222290608444</v>
      </c>
      <c r="AQ62" s="586">
        <f t="shared" si="246"/>
        <v>0.72417949899942691</v>
      </c>
      <c r="AS62" s="52">
        <f t="shared" si="406"/>
        <v>-308.490009962366</v>
      </c>
      <c r="AT62" s="72">
        <f t="shared" si="247"/>
        <v>3.5629173584976637E-2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5.2160000000000002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4.1159999999999997</v>
      </c>
      <c r="II62" s="734" cm="1">
        <f t="array" ref="II62">IFERROR(ROUND(VALUE(IF($IH62&lt;1,$IH62+LARGE((IF($M$9:$M$150="",0,$M$9:$M$150)-MOD(IF($M$9:$M$150="",0,$M$9:$M$150),1)),1),$IH62)),4),"")</f>
        <v>4.1159999999999997</v>
      </c>
      <c r="IJ62" s="533">
        <f t="shared" si="112"/>
        <v>1613</v>
      </c>
      <c r="IK62" s="533">
        <f t="shared" si="382"/>
        <v>1313</v>
      </c>
      <c r="IL62" s="727">
        <f t="shared" si="225"/>
        <v>83.079990529977067</v>
      </c>
      <c r="IM62" s="759">
        <v>2.8165626525140899E-2</v>
      </c>
      <c r="IN62" s="5">
        <f t="shared" si="226"/>
        <v>0.14000000000000001</v>
      </c>
      <c r="IO62" s="771">
        <v>70</v>
      </c>
      <c r="IP62" s="9">
        <f t="shared" si="227"/>
        <v>-3.1344094533789106</v>
      </c>
      <c r="IQ62" s="5">
        <f t="shared" si="228"/>
        <v>-0.19940060139221372</v>
      </c>
      <c r="IR62" s="5">
        <f t="shared" si="383"/>
        <v>0.314</v>
      </c>
      <c r="IS62" s="5">
        <f t="shared" si="229"/>
        <v>0.30141051851281103</v>
      </c>
      <c r="IT62" s="727">
        <f t="shared" si="230"/>
        <v>38.031123246916714</v>
      </c>
      <c r="IU62" s="9">
        <f t="shared" si="231"/>
        <v>-3.1478455777875927</v>
      </c>
      <c r="IV62" s="5">
        <f t="shared" si="232"/>
        <v>-0.17859999999999976</v>
      </c>
      <c r="IW62" s="5">
        <f t="shared" si="384"/>
        <v>0.26600000000000001</v>
      </c>
      <c r="IX62" s="5">
        <f t="shared" si="233"/>
        <v>0.24840048219472641</v>
      </c>
      <c r="IY62" s="762">
        <f t="shared" si="234"/>
        <v>32.757274681701077</v>
      </c>
    </row>
    <row r="63" spans="1:259" ht="15" customHeight="1" x14ac:dyDescent="0.25">
      <c r="A63" s="79"/>
      <c r="B63" s="707">
        <v>-3.0310869808258407</v>
      </c>
      <c r="C63" s="708">
        <v>2.2724980247287472</v>
      </c>
      <c r="D63" s="709">
        <v>-0.67826852512675295</v>
      </c>
      <c r="E63" s="710">
        <v>-0.8365763797791993</v>
      </c>
      <c r="F63" s="708">
        <v>-0.51238063975838788</v>
      </c>
      <c r="G63" s="711">
        <v>0.19392277018523182</v>
      </c>
      <c r="H63" s="710">
        <v>0.26600000000000001</v>
      </c>
      <c r="I63" s="708">
        <v>0.52</v>
      </c>
      <c r="J63" s="570">
        <v>5.2210000000000001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5.2210000000000001</v>
      </c>
      <c r="N63" s="632">
        <f t="shared" si="240"/>
        <v>-3.0310869808258407</v>
      </c>
      <c r="O63" s="629">
        <f t="shared" si="241"/>
        <v>2.2724980247287472</v>
      </c>
      <c r="P63" s="633">
        <f t="shared" si="242"/>
        <v>-0.67826852512675295</v>
      </c>
      <c r="Q63" s="585">
        <f t="shared" si="113"/>
        <v>143.13999003763402</v>
      </c>
      <c r="R63" s="629">
        <f t="shared" si="79"/>
        <v>3.788368455909215</v>
      </c>
      <c r="S63" s="634">
        <f t="shared" si="80"/>
        <v>-0.67826852512675295</v>
      </c>
      <c r="T63" s="635">
        <f t="shared" si="81"/>
        <v>2.2724980247287476</v>
      </c>
      <c r="U63" s="629">
        <f t="shared" si="82"/>
        <v>3.0310869808258403</v>
      </c>
      <c r="V63" s="636">
        <f t="shared" si="114"/>
        <v>-0.67826852512675295</v>
      </c>
      <c r="W63" s="585">
        <f t="shared" si="224"/>
        <v>53.139990037634021</v>
      </c>
      <c r="X63" s="629">
        <f t="shared" si="83"/>
        <v>3.788368455909215</v>
      </c>
      <c r="Y63" s="630">
        <f t="shared" si="223"/>
        <v>-0.67826852512675295</v>
      </c>
      <c r="Z63" s="632">
        <f t="shared" si="243"/>
        <v>0.8365763797791993</v>
      </c>
      <c r="AA63" s="629">
        <f t="shared" si="244"/>
        <v>0.51238063975838788</v>
      </c>
      <c r="AB63" s="629">
        <f t="shared" si="245"/>
        <v>-0.19392277018523182</v>
      </c>
      <c r="AC63" s="636">
        <f t="shared" si="84"/>
        <v>1</v>
      </c>
      <c r="AD63" s="637">
        <f t="shared" si="115"/>
        <v>0.8365763797791993</v>
      </c>
      <c r="AE63" s="629">
        <f t="shared" si="85"/>
        <v>0.51238063975838788</v>
      </c>
      <c r="AF63" s="633">
        <f t="shared" si="86"/>
        <v>-0.19392277018523182</v>
      </c>
      <c r="AG63" s="602">
        <f t="shared" si="87"/>
        <v>69.26964677327571</v>
      </c>
      <c r="AH63" s="603">
        <f t="shared" si="88"/>
        <v>33.219659801994723</v>
      </c>
      <c r="AI63" s="585">
        <f t="shared" si="89"/>
        <v>-78.818198301031359</v>
      </c>
      <c r="AJ63" s="586">
        <f t="shared" si="90"/>
        <v>121.48635409514063</v>
      </c>
      <c r="AK63" s="635">
        <f t="shared" si="211"/>
        <v>0.91178788367162933</v>
      </c>
      <c r="AL63" s="629">
        <f t="shared" si="91"/>
        <v>-0.36199007499280578</v>
      </c>
      <c r="AM63" s="634">
        <f t="shared" si="92"/>
        <v>-0.19392277018523182</v>
      </c>
      <c r="AN63" s="581">
        <f t="shared" si="93"/>
        <v>-61.821469448483924</v>
      </c>
      <c r="AO63" s="582">
        <f t="shared" si="461"/>
        <v>24.246395023617488</v>
      </c>
      <c r="AP63" s="585">
        <f t="shared" si="95"/>
        <v>-21.653635942493406</v>
      </c>
      <c r="AQ63" s="586">
        <f t="shared" si="246"/>
        <v>0.6017479129329264</v>
      </c>
      <c r="AS63" s="52">
        <f t="shared" si="406"/>
        <v>-306.86000996236601</v>
      </c>
      <c r="AT63" s="72">
        <f t="shared" si="247"/>
        <v>-0.46517129598622098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5.2210000000000001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4.1210000000000004</v>
      </c>
      <c r="II63" s="734" cm="1">
        <f t="array" ref="II63">IFERROR(ROUND(VALUE(IF($IH63&lt;1,$IH63+LARGE((IF($M$9:$M$150="",0,$M$9:$M$150)-MOD(IF($M$9:$M$150="",0,$M$9:$M$150),1)),1),$IH63)),4),"")</f>
        <v>4.1210000000000004</v>
      </c>
      <c r="IJ63" s="533">
        <f t="shared" si="112"/>
        <v>1613</v>
      </c>
      <c r="IK63" s="533">
        <f t="shared" si="382"/>
        <v>1313</v>
      </c>
      <c r="IL63" s="727">
        <f t="shared" si="225"/>
        <v>80.379990684465952</v>
      </c>
      <c r="IM63" s="759">
        <v>1.6465751286158899E-2</v>
      </c>
      <c r="IN63" s="5">
        <f t="shared" si="226"/>
        <v>0.14000000000000001</v>
      </c>
      <c r="IO63" s="771">
        <v>70</v>
      </c>
      <c r="IP63" s="9">
        <f t="shared" si="227"/>
        <v>-3.7548113245109556</v>
      </c>
      <c r="IQ63" s="5">
        <f t="shared" si="228"/>
        <v>-0.69010208134787743</v>
      </c>
      <c r="IR63" s="5">
        <f t="shared" si="383"/>
        <v>0.314</v>
      </c>
      <c r="IS63" s="5">
        <f t="shared" si="229"/>
        <v>0.29554772203586127</v>
      </c>
      <c r="IT63" s="727">
        <f t="shared" si="230"/>
        <v>67.218818952285147</v>
      </c>
      <c r="IU63" s="9">
        <f t="shared" si="231"/>
        <v>-3.788368455909215</v>
      </c>
      <c r="IV63" s="5">
        <f t="shared" si="232"/>
        <v>-0.67826852512675295</v>
      </c>
      <c r="IW63" s="5">
        <f t="shared" si="384"/>
        <v>0.26600000000000001</v>
      </c>
      <c r="IX63" s="5">
        <f t="shared" si="233"/>
        <v>0.24253557705665341</v>
      </c>
      <c r="IY63" s="762">
        <f t="shared" si="234"/>
        <v>61.821469448483924</v>
      </c>
    </row>
    <row r="64" spans="1:259" ht="15" customHeight="1" x14ac:dyDescent="0.25">
      <c r="A64" s="79"/>
      <c r="B64" s="707">
        <v>-3.2162180355441747</v>
      </c>
      <c r="C64" s="708">
        <v>2.3842232851310672</v>
      </c>
      <c r="D64" s="709">
        <v>-1.4388999999999998</v>
      </c>
      <c r="E64" s="710">
        <v>-0.90976240293097044</v>
      </c>
      <c r="F64" s="708">
        <v>-0.41222007866911853</v>
      </c>
      <c r="G64" s="711">
        <v>4.906095143077091E-2</v>
      </c>
      <c r="H64" s="710">
        <v>0.26600000000000001</v>
      </c>
      <c r="I64" s="708">
        <v>0.52</v>
      </c>
      <c r="J64" s="570">
        <v>5.226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5.226</v>
      </c>
      <c r="N64" s="632">
        <f t="shared" si="240"/>
        <v>-3.2162180355441747</v>
      </c>
      <c r="O64" s="629">
        <f t="shared" si="241"/>
        <v>2.3842232851310672</v>
      </c>
      <c r="P64" s="633">
        <f t="shared" si="242"/>
        <v>-1.4388999999999998</v>
      </c>
      <c r="Q64" s="585">
        <f t="shared" si="113"/>
        <v>143.44999003763402</v>
      </c>
      <c r="R64" s="629">
        <f t="shared" si="79"/>
        <v>4.0035707968663186</v>
      </c>
      <c r="S64" s="634">
        <f t="shared" si="80"/>
        <v>-1.4388999999999998</v>
      </c>
      <c r="T64" s="635">
        <f t="shared" si="81"/>
        <v>2.3842232851310676</v>
      </c>
      <c r="U64" s="629">
        <f t="shared" si="82"/>
        <v>3.2162180355441743</v>
      </c>
      <c r="V64" s="636">
        <f t="shared" si="114"/>
        <v>-1.4388999999999998</v>
      </c>
      <c r="W64" s="585">
        <f t="shared" si="224"/>
        <v>53.449990037634024</v>
      </c>
      <c r="X64" s="629">
        <f t="shared" si="83"/>
        <v>4.0035707968663186</v>
      </c>
      <c r="Y64" s="630">
        <f t="shared" si="223"/>
        <v>-1.4388999999999998</v>
      </c>
      <c r="Z64" s="632">
        <f t="shared" si="243"/>
        <v>0.90976240293097044</v>
      </c>
      <c r="AA64" s="629">
        <f t="shared" si="244"/>
        <v>0.41222007866911853</v>
      </c>
      <c r="AB64" s="629">
        <f t="shared" si="245"/>
        <v>-4.906095143077091E-2</v>
      </c>
      <c r="AC64" s="636">
        <f t="shared" si="84"/>
        <v>1</v>
      </c>
      <c r="AD64" s="637">
        <f t="shared" si="115"/>
        <v>0.90976240293097044</v>
      </c>
      <c r="AE64" s="629">
        <f t="shared" si="85"/>
        <v>0.41222007866911853</v>
      </c>
      <c r="AF64" s="633">
        <f t="shared" si="86"/>
        <v>-4.906095143077091E-2</v>
      </c>
      <c r="AG64" s="602">
        <f t="shared" si="87"/>
        <v>83.212788928124169</v>
      </c>
      <c r="AH64" s="603">
        <f t="shared" si="88"/>
        <v>24.527461999614204</v>
      </c>
      <c r="AI64" s="585">
        <f t="shared" si="89"/>
        <v>-87.187885658082351</v>
      </c>
      <c r="AJ64" s="586">
        <f t="shared" si="90"/>
        <v>114.37563207036911</v>
      </c>
      <c r="AK64" s="635">
        <f t="shared" si="211"/>
        <v>0.87293731869794267</v>
      </c>
      <c r="AL64" s="629">
        <f t="shared" si="91"/>
        <v>-0.485359104858613</v>
      </c>
      <c r="AM64" s="634">
        <f t="shared" si="92"/>
        <v>-4.906095143077091E-2</v>
      </c>
      <c r="AN64" s="581">
        <f t="shared" si="93"/>
        <v>-84.228046972558687</v>
      </c>
      <c r="AO64" s="582">
        <f t="shared" si="461"/>
        <v>29.19820994849897</v>
      </c>
      <c r="AP64" s="585">
        <f t="shared" si="95"/>
        <v>-29.074357967264916</v>
      </c>
      <c r="AQ64" s="586">
        <f t="shared" si="246"/>
        <v>0.56940458801177773</v>
      </c>
      <c r="AS64" s="52">
        <f t="shared" si="406"/>
        <v>-306.55000996236595</v>
      </c>
      <c r="AT64" s="72">
        <f t="shared" si="247"/>
        <v>-1.2260180486372456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>Gage</v>
      </c>
      <c r="IG64" s="847">
        <f t="shared" si="210"/>
        <v>5.226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4.1260000000000003</v>
      </c>
      <c r="II64" s="734" cm="1">
        <f t="array" ref="II64">IFERROR(ROUND(VALUE(IF($IH64&lt;1,$IH64+LARGE((IF($M$9:$M$150="",0,$M$9:$M$150)-MOD(IF($M$9:$M$150="",0,$M$9:$M$150),1)),1),$IH64)),4),"")</f>
        <v>4.1260000000000003</v>
      </c>
      <c r="IJ64" s="533">
        <f t="shared" si="112"/>
        <v>1613</v>
      </c>
      <c r="IK64" s="533">
        <f t="shared" si="382"/>
        <v>1313</v>
      </c>
      <c r="IL64" s="727">
        <f t="shared" si="225"/>
        <v>79.699990737887305</v>
      </c>
      <c r="IM64" s="759">
        <v>3.3992508659226798E-3</v>
      </c>
      <c r="IN64" s="5">
        <f t="shared" si="226"/>
        <v>0.12</v>
      </c>
      <c r="IO64" s="771">
        <v>60</v>
      </c>
      <c r="IP64" s="9">
        <f t="shared" si="227"/>
        <v>-3.9554119295223793</v>
      </c>
      <c r="IQ64" s="5">
        <f t="shared" si="228"/>
        <v>-1.4336043237506406</v>
      </c>
      <c r="IR64" s="5">
        <f t="shared" si="383"/>
        <v>0.314</v>
      </c>
      <c r="IS64" s="5">
        <f t="shared" si="229"/>
        <v>0.28549540639141557</v>
      </c>
      <c r="IT64" s="727">
        <f t="shared" si="230"/>
        <v>88.125926952730836</v>
      </c>
      <c r="IU64" s="9">
        <f t="shared" si="231"/>
        <v>-4.0035707968663186</v>
      </c>
      <c r="IV64" s="5">
        <f t="shared" si="232"/>
        <v>-1.4388999999999998</v>
      </c>
      <c r="IW64" s="5">
        <f t="shared" si="384"/>
        <v>0.26600000000000001</v>
      </c>
      <c r="IX64" s="5">
        <f t="shared" si="233"/>
        <v>0.23220132677365277</v>
      </c>
      <c r="IY64" s="762">
        <f t="shared" si="234"/>
        <v>84.228046972558687</v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0.86602544158358563</v>
      </c>
      <c r="F154" s="170">
        <f t="shared" si="929"/>
        <v>0.12940948735077989</v>
      </c>
      <c r="G154" s="170">
        <f t="shared" si="929"/>
        <v>-0.4829628547968921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0.9659258360722075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0.29580089213549071</v>
      </c>
      <c r="AN155">
        <v>-0.65900198754999462</v>
      </c>
      <c r="AO155">
        <v>-0.86602544158358563</v>
      </c>
      <c r="AP155">
        <v>-0.12940948735077989</v>
      </c>
      <c r="AQ155">
        <v>0.4829628547968921</v>
      </c>
      <c r="AR155">
        <v>0.26600000000000001</v>
      </c>
      <c r="AS155">
        <v>0.315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0.9659258360722075</v>
      </c>
      <c r="F156" s="170">
        <f t="shared" si="929"/>
        <v>6.6987279208207184E-2</v>
      </c>
      <c r="G156" s="170">
        <f t="shared" si="929"/>
        <v>-0.24999996726497567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-9.6041531027259255E-17</v>
      </c>
      <c r="AM156">
        <v>0.89030268515289857</v>
      </c>
      <c r="AN156">
        <v>-0.52620158702398656</v>
      </c>
      <c r="AO156">
        <v>-0.9659258360722075</v>
      </c>
      <c r="AP156">
        <v>-6.6987279208207198E-2</v>
      </c>
      <c r="AQ156">
        <v>0.24999996726497564</v>
      </c>
      <c r="AR156">
        <v>0.26600000000000001</v>
      </c>
      <c r="AS156">
        <v>0.315</v>
      </c>
      <c r="AT156">
        <v>1.1040000000000001</v>
      </c>
    </row>
    <row r="157" spans="1:259" x14ac:dyDescent="0.25">
      <c r="E157" s="170">
        <f t="shared" si="929"/>
        <v>0.9659258360722075</v>
      </c>
      <c r="F157" s="170">
        <f t="shared" si="929"/>
        <v>6.6987279208207184E-2</v>
      </c>
      <c r="G157" s="170">
        <f t="shared" si="929"/>
        <v>-0.24999996726497564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-8.1101737311907811E-17</v>
      </c>
      <c r="AM157">
        <v>1.4786044594710497</v>
      </c>
      <c r="AN157">
        <v>-0.36850111139935204</v>
      </c>
      <c r="AO157">
        <v>-0.9659258360722075</v>
      </c>
      <c r="AP157">
        <v>-6.6987279208207184E-2</v>
      </c>
      <c r="AQ157">
        <v>0.24999996726497567</v>
      </c>
      <c r="AR157">
        <v>0.26600000000000001</v>
      </c>
      <c r="AS157">
        <v>0.315</v>
      </c>
      <c r="AT157">
        <v>1.107</v>
      </c>
    </row>
    <row r="158" spans="1:259" x14ac:dyDescent="0.25">
      <c r="E158" s="170">
        <f t="shared" si="929"/>
        <v>0.9604394436418352</v>
      </c>
      <c r="F158" s="170">
        <f t="shared" si="929"/>
        <v>-0.12359613947801412</v>
      </c>
      <c r="G158" s="170">
        <f t="shared" si="929"/>
        <v>-0.24955975116811915</v>
      </c>
      <c r="H158" s="139"/>
      <c r="I158" s="86"/>
      <c r="J158" s="79">
        <f t="shared" si="930"/>
        <v>1.1140000000000001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-2.7745331185652675E-17</v>
      </c>
      <c r="AM158">
        <v>2.0668062334876005</v>
      </c>
      <c r="AN158">
        <v>-0.21090063607631834</v>
      </c>
      <c r="AO158">
        <v>-0.9659258360722075</v>
      </c>
      <c r="AP158">
        <v>-6.6987279208207184E-2</v>
      </c>
      <c r="AQ158">
        <v>0.24999996726497564</v>
      </c>
      <c r="AR158">
        <v>0.26600000000000001</v>
      </c>
      <c r="AS158">
        <v>0.52</v>
      </c>
      <c r="AT158">
        <v>1.1100000000000001</v>
      </c>
    </row>
    <row r="159" spans="1:259" x14ac:dyDescent="0.25">
      <c r="E159" s="170">
        <f t="shared" si="929"/>
        <v>0.9459008091065555</v>
      </c>
      <c r="F159" s="170">
        <f t="shared" si="929"/>
        <v>-0.2858566652391003</v>
      </c>
      <c r="G159" s="170">
        <f t="shared" si="929"/>
        <v>-0.15348493825110299</v>
      </c>
      <c r="H159" s="139"/>
      <c r="I159" s="86"/>
      <c r="J159" s="79">
        <f t="shared" si="930"/>
        <v>1.119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4.6236996585043204E-2</v>
      </c>
      <c r="AM159">
        <v>2.8180292075887077</v>
      </c>
      <c r="AN159">
        <v>-0.13110039539879251</v>
      </c>
      <c r="AO159">
        <v>-0.9604394436418352</v>
      </c>
      <c r="AP159">
        <v>0.12359613947801412</v>
      </c>
      <c r="AQ159">
        <v>0.24955975116811915</v>
      </c>
      <c r="AR159">
        <v>0.314</v>
      </c>
      <c r="AS159">
        <v>0.52</v>
      </c>
      <c r="AT159">
        <v>1.1140000000000001</v>
      </c>
    </row>
    <row r="160" spans="1:259" x14ac:dyDescent="0.25">
      <c r="E160" s="170">
        <f t="shared" si="929"/>
        <v>0.90565538491665287</v>
      </c>
      <c r="F160" s="170">
        <f t="shared" si="929"/>
        <v>-0.41946671918221712</v>
      </c>
      <c r="G160" s="170">
        <f t="shared" si="929"/>
        <v>-6.1935412083691382E-2</v>
      </c>
      <c r="H160" s="139"/>
      <c r="I160" s="86"/>
      <c r="J160" s="79">
        <f t="shared" si="930"/>
        <v>1.1240000000000001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0.13064212403880232</v>
      </c>
      <c r="AM160">
        <v>3.5459048875091672</v>
      </c>
      <c r="AN160">
        <v>-0.44890135388648339</v>
      </c>
      <c r="AO160">
        <v>-0.9459008091065555</v>
      </c>
      <c r="AP160">
        <v>0.2858566652391003</v>
      </c>
      <c r="AQ160">
        <v>0.15348493825110299</v>
      </c>
      <c r="AR160">
        <v>0.314</v>
      </c>
      <c r="AS160">
        <v>0.52</v>
      </c>
      <c r="AT160">
        <v>1.119</v>
      </c>
    </row>
    <row r="161" spans="5:46" x14ac:dyDescent="0.25">
      <c r="E161" s="170">
        <f t="shared" si="929"/>
        <v>0.82237878986454216</v>
      </c>
      <c r="F161" s="170">
        <f t="shared" si="929"/>
        <v>-0.56750858776398272</v>
      </c>
      <c r="G161" s="170">
        <f t="shared" si="929"/>
        <v>-4.0337684552552537E-2</v>
      </c>
      <c r="H161" s="139"/>
      <c r="I161" s="86"/>
      <c r="J161" s="79">
        <f t="shared" si="930"/>
        <v>1.129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0.1927191678188846</v>
      </c>
      <c r="AM161">
        <v>3.9263850739036892</v>
      </c>
      <c r="AN161">
        <v>-1.1231033872798162</v>
      </c>
      <c r="AO161">
        <v>-0.90565538491665287</v>
      </c>
      <c r="AP161">
        <v>0.41946671918221712</v>
      </c>
      <c r="AQ161">
        <v>6.1935412083691382E-2</v>
      </c>
      <c r="AR161">
        <v>0.314</v>
      </c>
      <c r="AS161">
        <v>0.52</v>
      </c>
      <c r="AT161">
        <v>1.1240000000000001</v>
      </c>
    </row>
    <row r="162" spans="5:46" x14ac:dyDescent="0.25">
      <c r="E162" s="170">
        <f t="shared" si="929"/>
        <v>0.89762474539874315</v>
      </c>
      <c r="F162" s="170">
        <f t="shared" si="929"/>
        <v>-0.28428749539869458</v>
      </c>
      <c r="G162" s="170">
        <f t="shared" si="929"/>
        <v>-0.33682404369014235</v>
      </c>
      <c r="H162" s="139"/>
      <c r="I162" s="86"/>
      <c r="J162" s="79">
        <f t="shared" si="930"/>
        <v>1.2110000000000001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0.21316226307349326</v>
      </c>
      <c r="AM162">
        <v>4.0403931237675161</v>
      </c>
      <c r="AN162">
        <v>-1.7909054013706913</v>
      </c>
      <c r="AO162">
        <v>-0.82237878986454216</v>
      </c>
      <c r="AP162">
        <v>0.56750858776398272</v>
      </c>
      <c r="AQ162">
        <v>4.0337684552552537E-2</v>
      </c>
      <c r="AR162">
        <v>0.26600000000000001</v>
      </c>
      <c r="AS162">
        <v>0.52</v>
      </c>
      <c r="AT162">
        <v>1.129</v>
      </c>
    </row>
    <row r="163" spans="5:46" x14ac:dyDescent="0.25">
      <c r="E163" s="170">
        <f t="shared" si="929"/>
        <v>0.84058614267560239</v>
      </c>
      <c r="F163" s="170">
        <f t="shared" si="929"/>
        <v>-0.43793677721633861</v>
      </c>
      <c r="G163" s="170">
        <f t="shared" si="929"/>
        <v>-0.31878882650293561</v>
      </c>
      <c r="H163" s="139"/>
      <c r="I163" s="86"/>
      <c r="J163" s="79">
        <f t="shared" si="930"/>
        <v>1.2150000000000001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0.81751894938208214</v>
      </c>
      <c r="AM163">
        <v>2.1087812582329724</v>
      </c>
      <c r="AN163">
        <v>-0.20089999999999997</v>
      </c>
      <c r="AO163">
        <v>-0.89762474539874315</v>
      </c>
      <c r="AP163">
        <v>0.28428749539869458</v>
      </c>
      <c r="AQ163">
        <v>0.33682404369014235</v>
      </c>
      <c r="AR163">
        <v>0.26600000000000001</v>
      </c>
      <c r="AS163">
        <v>0.52</v>
      </c>
      <c r="AT163">
        <v>1.2110000000000001</v>
      </c>
    </row>
    <row r="164" spans="5:46" x14ac:dyDescent="0.25">
      <c r="E164" s="170">
        <f t="shared" si="929"/>
        <v>0.78378449459473665</v>
      </c>
      <c r="F164" s="170">
        <f t="shared" si="929"/>
        <v>-0.57764917314159592</v>
      </c>
      <c r="G164" s="170">
        <f t="shared" si="929"/>
        <v>-0.22804231800633848</v>
      </c>
      <c r="H164" s="139"/>
      <c r="I164" s="86"/>
      <c r="J164" s="79">
        <f t="shared" si="930"/>
        <v>1.22</v>
      </c>
      <c r="AL164">
        <v>0.92860724811712336</v>
      </c>
      <c r="AM164">
        <v>2.8393991812354522</v>
      </c>
      <c r="AN164">
        <v>-0.13362933024733065</v>
      </c>
      <c r="AO164">
        <v>-0.84058614267560239</v>
      </c>
      <c r="AP164">
        <v>0.43793677721633861</v>
      </c>
      <c r="AQ164">
        <v>0.31878882650293561</v>
      </c>
      <c r="AR164">
        <v>0.26600000000000001</v>
      </c>
      <c r="AS164">
        <v>0.52</v>
      </c>
      <c r="AT164">
        <v>1.2150000000000001</v>
      </c>
    </row>
    <row r="165" spans="5:46" x14ac:dyDescent="0.25">
      <c r="E165" s="170">
        <f t="shared" si="929"/>
        <v>0.71235333915711352</v>
      </c>
      <c r="F165" s="170">
        <f t="shared" si="929"/>
        <v>-0.69607076555962533</v>
      </c>
      <c r="G165" s="170">
        <f t="shared" si="929"/>
        <v>-8.9656062399301989E-2</v>
      </c>
      <c r="H165" s="139"/>
      <c r="I165" s="86"/>
      <c r="J165" s="79">
        <f t="shared" si="930"/>
        <v>1.2250000000000001</v>
      </c>
      <c r="AL165">
        <v>1.0197562750338303</v>
      </c>
      <c r="AM165">
        <v>3.5469651312183372</v>
      </c>
      <c r="AN165">
        <v>-0.54809705278414123</v>
      </c>
      <c r="AO165">
        <v>-0.78378449459473665</v>
      </c>
      <c r="AP165">
        <v>0.57764917314159592</v>
      </c>
      <c r="AQ165">
        <v>0.22804231800633848</v>
      </c>
      <c r="AR165">
        <v>0.26600000000000001</v>
      </c>
      <c r="AS165">
        <v>0.52</v>
      </c>
      <c r="AT165">
        <v>1.22</v>
      </c>
    </row>
    <row r="166" spans="5:46" x14ac:dyDescent="0.25">
      <c r="E166" s="170">
        <f t="shared" si="929"/>
        <v>0.20395216200781119</v>
      </c>
      <c r="F166" s="170">
        <f t="shared" si="929"/>
        <v>0.15934489267167218</v>
      </c>
      <c r="G166" s="170">
        <f t="shared" si="929"/>
        <v>-0.96592583607220739</v>
      </c>
      <c r="H166" s="139"/>
      <c r="I166" s="86"/>
      <c r="J166" s="79">
        <f t="shared" si="930"/>
        <v>1.3029999999999999</v>
      </c>
      <c r="AL166">
        <v>1.0728927200561553</v>
      </c>
      <c r="AM166">
        <v>3.8530532217116118</v>
      </c>
      <c r="AN166">
        <v>-1.2843789227140228</v>
      </c>
      <c r="AO166">
        <v>-0.71235333915711352</v>
      </c>
      <c r="AP166">
        <v>0.69607076555962533</v>
      </c>
      <c r="AQ166">
        <v>8.9656062399301989E-2</v>
      </c>
      <c r="AR166">
        <v>0.26600000000000001</v>
      </c>
      <c r="AS166">
        <v>0.52</v>
      </c>
      <c r="AT166">
        <v>1.2250000000000001</v>
      </c>
    </row>
    <row r="167" spans="5:46" x14ac:dyDescent="0.25">
      <c r="E167" s="170">
        <f t="shared" si="929"/>
        <v>0.148452484607735</v>
      </c>
      <c r="F167" s="170">
        <f t="shared" si="929"/>
        <v>0.21201211998845118</v>
      </c>
      <c r="G167" s="170">
        <f t="shared" si="929"/>
        <v>-0.96592583607220739</v>
      </c>
      <c r="H167" s="139"/>
      <c r="I167" s="86"/>
      <c r="J167" s="79">
        <f t="shared" si="930"/>
        <v>1.306</v>
      </c>
      <c r="AL167">
        <v>0.7596423664768801</v>
      </c>
      <c r="AM167">
        <v>0.59349766221393463</v>
      </c>
      <c r="AN167">
        <v>-0.5494</v>
      </c>
      <c r="AO167">
        <v>-0.20395216200781119</v>
      </c>
      <c r="AP167">
        <v>-0.15934489267167218</v>
      </c>
      <c r="AQ167">
        <v>0.96592583607220739</v>
      </c>
      <c r="AR167">
        <v>0.22499999999999998</v>
      </c>
      <c r="AS167">
        <v>0.33389999999999997</v>
      </c>
      <c r="AT167">
        <v>1.3029999999999999</v>
      </c>
    </row>
    <row r="168" spans="5:46" x14ac:dyDescent="0.25">
      <c r="E168" s="170">
        <f t="shared" si="929"/>
        <v>0.26935369946132587</v>
      </c>
      <c r="F168" s="170">
        <f t="shared" si="929"/>
        <v>-0.92778709424256467</v>
      </c>
      <c r="G168" s="170">
        <f t="shared" si="929"/>
        <v>-0.25818538367505683</v>
      </c>
      <c r="H168" s="139"/>
      <c r="I168" s="86"/>
      <c r="J168" s="79">
        <f t="shared" si="930"/>
        <v>2.113</v>
      </c>
      <c r="AL168">
        <v>0.80128628158241111</v>
      </c>
      <c r="AM168">
        <v>1.1443554058717216</v>
      </c>
      <c r="AN168">
        <v>-0.43680000000000013</v>
      </c>
      <c r="AO168">
        <v>-0.148452484607735</v>
      </c>
      <c r="AP168">
        <v>-0.21201211998845118</v>
      </c>
      <c r="AQ168">
        <v>0.96592583607220739</v>
      </c>
      <c r="AR168">
        <v>0.22499999999999998</v>
      </c>
      <c r="AS168">
        <v>0.33389999999999997</v>
      </c>
      <c r="AT168">
        <v>1.306</v>
      </c>
    </row>
    <row r="169" spans="5:46" x14ac:dyDescent="0.25">
      <c r="E169" s="170">
        <f t="shared" si="929"/>
        <v>9.7642756048131871E-2</v>
      </c>
      <c r="F169" s="170">
        <f t="shared" si="929"/>
        <v>-0.97911631527004728</v>
      </c>
      <c r="G169" s="170">
        <f t="shared" si="929"/>
        <v>-0.17831750717002104</v>
      </c>
      <c r="H169" s="139"/>
      <c r="I169" s="86"/>
      <c r="J169" s="79">
        <f t="shared" si="930"/>
        <v>2.1179999999999999</v>
      </c>
      <c r="AL169">
        <v>2.4544853096476063</v>
      </c>
      <c r="AM169">
        <v>0.90988817351701767</v>
      </c>
      <c r="AN169">
        <v>-0.13160039690679703</v>
      </c>
      <c r="AO169">
        <v>-0.26935369946132587</v>
      </c>
      <c r="AP169">
        <v>0.92778709424256467</v>
      </c>
      <c r="AQ169">
        <v>0.25818538367505683</v>
      </c>
      <c r="AR169">
        <v>0.314</v>
      </c>
      <c r="AS169">
        <v>0.52</v>
      </c>
      <c r="AT169">
        <v>2.113</v>
      </c>
    </row>
    <row r="170" spans="5:46" x14ac:dyDescent="0.25">
      <c r="E170" s="170">
        <f t="shared" si="929"/>
        <v>-5.7506726258297641E-2</v>
      </c>
      <c r="F170" s="170">
        <f t="shared" si="929"/>
        <v>-0.99376741632586707</v>
      </c>
      <c r="G170" s="170">
        <f t="shared" si="929"/>
        <v>-9.5495019158404332E-2</v>
      </c>
      <c r="H170" s="139"/>
      <c r="I170" s="86"/>
      <c r="J170" s="79">
        <f t="shared" si="930"/>
        <v>2.1230000000000002</v>
      </c>
      <c r="AL170">
        <v>3.2333357754410832</v>
      </c>
      <c r="AM170">
        <v>1.1202722904146087</v>
      </c>
      <c r="AN170">
        <v>-0.34780104896796399</v>
      </c>
      <c r="AO170">
        <v>-9.7642756048131871E-2</v>
      </c>
      <c r="AP170">
        <v>0.97911631527004728</v>
      </c>
      <c r="AQ170">
        <v>0.17831750717002104</v>
      </c>
      <c r="AR170">
        <v>0.314</v>
      </c>
      <c r="AS170">
        <v>0.52</v>
      </c>
      <c r="AT170">
        <v>2.1179999999999999</v>
      </c>
    </row>
    <row r="171" spans="5:46" x14ac:dyDescent="0.25">
      <c r="E171" s="170">
        <f t="shared" si="929"/>
        <v>-0.15197513849577274</v>
      </c>
      <c r="F171" s="170">
        <f t="shared" si="929"/>
        <v>-0.98827818184161653</v>
      </c>
      <c r="G171" s="170">
        <f t="shared" si="929"/>
        <v>-1.4484218136286454E-2</v>
      </c>
      <c r="H171" s="139"/>
      <c r="I171" s="86"/>
      <c r="J171" s="79">
        <f t="shared" si="930"/>
        <v>2.1280000000000001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  <c r="AL171">
        <v>3.6959103130247208</v>
      </c>
      <c r="AM171">
        <v>1.2201560326021905</v>
      </c>
      <c r="AN171">
        <v>-0.97260293337044668</v>
      </c>
      <c r="AO171">
        <v>5.7506726258297641E-2</v>
      </c>
      <c r="AP171">
        <v>0.99376741632586707</v>
      </c>
      <c r="AQ171">
        <v>9.5495019158404332E-2</v>
      </c>
      <c r="AR171">
        <v>0.314</v>
      </c>
      <c r="AS171">
        <v>0.52</v>
      </c>
      <c r="AT171">
        <v>2.1230000000000002</v>
      </c>
    </row>
    <row r="172" spans="5:46" x14ac:dyDescent="0.25">
      <c r="E172" s="170">
        <f t="shared" si="929"/>
        <v>-0.23510142086784783</v>
      </c>
      <c r="F172" s="170">
        <f t="shared" si="929"/>
        <v>-0.97113345792988615</v>
      </c>
      <c r="G172" s="170">
        <f t="shared" si="929"/>
        <v>-4.0337684552552579E-2</v>
      </c>
      <c r="H172" s="139"/>
      <c r="I172" s="86"/>
      <c r="J172" s="79">
        <f t="shared" si="930"/>
        <v>2.133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3.7652853922484231</v>
      </c>
      <c r="AM172">
        <v>1.2335920929914468</v>
      </c>
      <c r="AN172">
        <v>-1.7192051851228383</v>
      </c>
      <c r="AO172">
        <v>0.15197513849577274</v>
      </c>
      <c r="AP172">
        <v>0.98827818184161653</v>
      </c>
      <c r="AQ172">
        <v>1.4484218136286454E-2</v>
      </c>
      <c r="AR172">
        <v>0.314</v>
      </c>
      <c r="AS172">
        <v>0.52</v>
      </c>
      <c r="AT172">
        <v>2.1280000000000001</v>
      </c>
    </row>
    <row r="173" spans="5:46" x14ac:dyDescent="0.25">
      <c r="E173" s="170">
        <f t="shared" si="929"/>
        <v>-9.6091561531104458E-2</v>
      </c>
      <c r="F173" s="170">
        <f t="shared" si="929"/>
        <v>-0.93831954184776989</v>
      </c>
      <c r="G173" s="170">
        <f t="shared" si="929"/>
        <v>-0.3321488358990668</v>
      </c>
      <c r="H173" s="139"/>
      <c r="I173" s="86"/>
      <c r="J173" s="79">
        <f t="shared" si="930"/>
        <v>2.214</v>
      </c>
      <c r="O173">
        <f>IF($J24="","",IFERROR(INDEX(Settings!$AK$14:$AK$32,MATCH((((ROUND($H24,6)*2)*1000000)+ROUND($I24,6)),Settings!$AI$14:$AI$32,0)),"Undefined"))</f>
        <v>1613</v>
      </c>
      <c r="AL173">
        <v>3.8484233746947676</v>
      </c>
      <c r="AM173">
        <v>1.2489404605862451</v>
      </c>
      <c r="AN173">
        <v>-2.3721071542751773</v>
      </c>
      <c r="AO173">
        <v>0.23510142086784783</v>
      </c>
      <c r="AP173">
        <v>0.97113345792988615</v>
      </c>
      <c r="AQ173">
        <v>4.0337684552552579E-2</v>
      </c>
      <c r="AR173">
        <v>0.26600000000000001</v>
      </c>
      <c r="AS173">
        <v>0.52</v>
      </c>
      <c r="AT173">
        <v>2.133</v>
      </c>
    </row>
    <row r="174" spans="5:46" x14ac:dyDescent="0.25">
      <c r="E174" s="170">
        <f t="shared" ref="E174:G193" si="933">E29*-1</f>
        <v>-0.21337753857712155</v>
      </c>
      <c r="F174" s="170">
        <f t="shared" si="933"/>
        <v>-0.95060804168749247</v>
      </c>
      <c r="G174" s="170">
        <f t="shared" si="933"/>
        <v>-0.22542044519040366</v>
      </c>
      <c r="H174" s="139"/>
      <c r="I174" s="86"/>
      <c r="J174" s="79">
        <f t="shared" si="930"/>
        <v>2.2189999999999999</v>
      </c>
      <c r="AL174">
        <v>2.8223929391574756</v>
      </c>
      <c r="AM174">
        <v>5.6654594878439435E-2</v>
      </c>
      <c r="AN174">
        <v>-0.11000000000000008</v>
      </c>
      <c r="AO174">
        <v>9.6091561531104458E-2</v>
      </c>
      <c r="AP174">
        <v>0.93831954184776989</v>
      </c>
      <c r="AQ174">
        <v>0.3321488358990668</v>
      </c>
      <c r="AR174">
        <v>0.26600000000000001</v>
      </c>
      <c r="AS174">
        <v>0.52</v>
      </c>
      <c r="AT174">
        <v>2.214</v>
      </c>
    </row>
    <row r="175" spans="5:46" x14ac:dyDescent="0.25">
      <c r="E175" s="170">
        <f t="shared" si="933"/>
        <v>-0.35194281685287043</v>
      </c>
      <c r="F175" s="170">
        <f t="shared" si="933"/>
        <v>-0.92958531989184112</v>
      </c>
      <c r="G175" s="170">
        <f t="shared" si="933"/>
        <v>-0.10957822186570816</v>
      </c>
      <c r="H175" s="139"/>
      <c r="I175" s="86"/>
      <c r="J175" s="79">
        <f t="shared" si="930"/>
        <v>2.2240000000000002</v>
      </c>
      <c r="AL175">
        <v>3.5621129766222537</v>
      </c>
      <c r="AM175">
        <v>0.29410821904873269</v>
      </c>
      <c r="AN175">
        <v>-0.43309999999999954</v>
      </c>
      <c r="AO175">
        <v>0.21337753857712155</v>
      </c>
      <c r="AP175">
        <v>0.95060804168749247</v>
      </c>
      <c r="AQ175">
        <v>0.22542044519040366</v>
      </c>
      <c r="AR175">
        <v>0.26600000000000001</v>
      </c>
      <c r="AS175">
        <v>0.52</v>
      </c>
      <c r="AT175">
        <v>2.2189999999999999</v>
      </c>
    </row>
    <row r="176" spans="5:46" x14ac:dyDescent="0.25">
      <c r="E176" s="170">
        <f t="shared" si="933"/>
        <v>-0.63909579745522904</v>
      </c>
      <c r="F176" s="170">
        <f t="shared" si="933"/>
        <v>-0.6945608947858819</v>
      </c>
      <c r="G176" s="170">
        <f t="shared" si="933"/>
        <v>-0.33036604714967349</v>
      </c>
      <c r="H176" s="139"/>
      <c r="I176" s="86"/>
      <c r="J176" s="79">
        <f t="shared" si="930"/>
        <v>3.1030000000000002</v>
      </c>
      <c r="AL176">
        <v>3.9565405103149929</v>
      </c>
      <c r="AM176">
        <v>0.37469699452390831</v>
      </c>
      <c r="AN176">
        <v>-1.1211999999999995</v>
      </c>
      <c r="AO176">
        <v>0.35194281685287043</v>
      </c>
      <c r="AP176">
        <v>0.92958531989184112</v>
      </c>
      <c r="AQ176">
        <v>0.10957822186570816</v>
      </c>
      <c r="AR176">
        <v>0.26600000000000001</v>
      </c>
      <c r="AS176">
        <v>0.52</v>
      </c>
      <c r="AT176">
        <v>2.2240000000000002</v>
      </c>
    </row>
    <row r="177" spans="5:46" x14ac:dyDescent="0.25">
      <c r="E177" s="170">
        <f t="shared" si="933"/>
        <v>-0.67299993754098042</v>
      </c>
      <c r="F177" s="170">
        <f t="shared" si="933"/>
        <v>-0.69611141381056785</v>
      </c>
      <c r="G177" s="170">
        <f t="shared" si="933"/>
        <v>-0.2499999672649757</v>
      </c>
      <c r="H177" s="139"/>
      <c r="I177" s="86"/>
      <c r="J177" s="79">
        <f t="shared" si="930"/>
        <v>3.1059999999999999</v>
      </c>
      <c r="AL177">
        <v>0.46344096776356453</v>
      </c>
      <c r="AM177">
        <v>-0.51470391773353885</v>
      </c>
      <c r="AN177">
        <v>-0.57200172515720316</v>
      </c>
      <c r="AO177">
        <v>0.63909579745522904</v>
      </c>
      <c r="AP177">
        <v>0.6945608947858819</v>
      </c>
      <c r="AQ177">
        <v>0.33036604714967349</v>
      </c>
      <c r="AR177">
        <v>0.26600000000000001</v>
      </c>
      <c r="AS177">
        <v>0.315</v>
      </c>
      <c r="AT177">
        <v>3.1030000000000002</v>
      </c>
    </row>
    <row r="178" spans="5:46" x14ac:dyDescent="0.25">
      <c r="E178" s="170">
        <f t="shared" si="933"/>
        <v>-0.67299993754098064</v>
      </c>
      <c r="F178" s="170">
        <f t="shared" si="933"/>
        <v>-0.69611141381056774</v>
      </c>
      <c r="G178" s="170">
        <f t="shared" si="933"/>
        <v>-0.24999996726497578</v>
      </c>
      <c r="H178" s="139"/>
      <c r="I178" s="86"/>
      <c r="J178" s="79">
        <f t="shared" si="930"/>
        <v>3.109</v>
      </c>
      <c r="AL178">
        <v>0.8581620576909782</v>
      </c>
      <c r="AM178">
        <v>-0.95308659326200307</v>
      </c>
      <c r="AN178">
        <v>-0.4211012700414305</v>
      </c>
      <c r="AO178">
        <v>0.67299993754098042</v>
      </c>
      <c r="AP178">
        <v>0.69611141381056785</v>
      </c>
      <c r="AQ178">
        <v>0.2499999672649757</v>
      </c>
      <c r="AR178">
        <v>0.26600000000000001</v>
      </c>
      <c r="AS178">
        <v>0.315</v>
      </c>
      <c r="AT178">
        <v>3.1059999999999999</v>
      </c>
    </row>
    <row r="179" spans="5:46" x14ac:dyDescent="0.25">
      <c r="E179" s="170">
        <f t="shared" si="933"/>
        <v>-0.70272920423664809</v>
      </c>
      <c r="F179" s="170">
        <f t="shared" si="933"/>
        <v>-0.66309368101614674</v>
      </c>
      <c r="G179" s="170">
        <f t="shared" si="933"/>
        <v>-0.25783412440827963</v>
      </c>
      <c r="H179" s="139"/>
      <c r="I179" s="86"/>
      <c r="J179" s="79">
        <f t="shared" si="930"/>
        <v>3.1120000000000001</v>
      </c>
      <c r="AL179">
        <v>1.2518125360844303</v>
      </c>
      <c r="AM179">
        <v>-1.3902802328846442</v>
      </c>
      <c r="AN179">
        <v>-0.26350079471839705</v>
      </c>
      <c r="AO179">
        <v>0.67299993754098064</v>
      </c>
      <c r="AP179">
        <v>0.69611141381056774</v>
      </c>
      <c r="AQ179">
        <v>0.24999996726497578</v>
      </c>
      <c r="AR179">
        <v>0.26600000000000001</v>
      </c>
      <c r="AS179">
        <v>0.315</v>
      </c>
      <c r="AT179">
        <v>3.109</v>
      </c>
    </row>
    <row r="180" spans="5:46" x14ac:dyDescent="0.25">
      <c r="E180" s="170">
        <f t="shared" si="933"/>
        <v>-0.86120121326181587</v>
      </c>
      <c r="F180" s="170">
        <f t="shared" si="933"/>
        <v>-0.46671962224900559</v>
      </c>
      <c r="G180" s="170">
        <f t="shared" si="933"/>
        <v>-0.20125919726591848</v>
      </c>
      <c r="H180" s="139"/>
      <c r="I180" s="86"/>
      <c r="J180" s="79">
        <f t="shared" si="930"/>
        <v>3.117</v>
      </c>
      <c r="AL180">
        <v>1.6458644938031184</v>
      </c>
      <c r="AM180">
        <v>-1.8279197609719682</v>
      </c>
      <c r="AN180">
        <v>-0.10820032633218421</v>
      </c>
      <c r="AO180">
        <v>0.70272920423664809</v>
      </c>
      <c r="AP180">
        <v>0.66309368101614674</v>
      </c>
      <c r="AQ180">
        <v>0.25783412440827963</v>
      </c>
      <c r="AR180">
        <v>0.26600000000000001</v>
      </c>
      <c r="AS180">
        <v>0.52</v>
      </c>
      <c r="AT180">
        <v>3.1120000000000001</v>
      </c>
    </row>
    <row r="181" spans="5:46" x14ac:dyDescent="0.25">
      <c r="E181" s="170">
        <f t="shared" si="933"/>
        <v>-0.94052233277460795</v>
      </c>
      <c r="F181" s="170">
        <f t="shared" si="933"/>
        <v>-0.31420801130297654</v>
      </c>
      <c r="G181" s="170">
        <f t="shared" si="933"/>
        <v>-0.12919391311218315</v>
      </c>
      <c r="H181" s="139"/>
      <c r="I181" s="86"/>
      <c r="J181" s="79">
        <f t="shared" si="930"/>
        <v>3.1219999999999999</v>
      </c>
      <c r="AL181">
        <v>2.1251633587673169</v>
      </c>
      <c r="AM181">
        <v>-2.5023658230322328</v>
      </c>
      <c r="AN181">
        <v>-0.26410079652800245</v>
      </c>
      <c r="AO181">
        <v>0.86120121326181587</v>
      </c>
      <c r="AP181">
        <v>0.46671962224900559</v>
      </c>
      <c r="AQ181">
        <v>0.20125919726591848</v>
      </c>
      <c r="AR181">
        <v>0.314</v>
      </c>
      <c r="AS181">
        <v>0.52</v>
      </c>
      <c r="AT181">
        <v>3.117</v>
      </c>
    </row>
    <row r="182" spans="5:46" x14ac:dyDescent="0.25">
      <c r="E182" s="170">
        <f t="shared" si="933"/>
        <v>-0.97708365723943991</v>
      </c>
      <c r="F182" s="170">
        <f t="shared" si="933"/>
        <v>-0.2123512147380299</v>
      </c>
      <c r="G182" s="170">
        <f t="shared" si="933"/>
        <v>-1.4645420952767284E-2</v>
      </c>
      <c r="H182" s="139"/>
      <c r="I182" s="86"/>
      <c r="J182" s="79">
        <f t="shared" si="930"/>
        <v>3.1269999999999998</v>
      </c>
      <c r="AL182">
        <v>2.4322012033551128</v>
      </c>
      <c r="AM182">
        <v>-2.9641765261869093</v>
      </c>
      <c r="AN182">
        <v>-0.82650249273151788</v>
      </c>
      <c r="AO182">
        <v>0.94052233277460795</v>
      </c>
      <c r="AP182">
        <v>0.31420801130297654</v>
      </c>
      <c r="AQ182">
        <v>0.12919391311218315</v>
      </c>
      <c r="AR182">
        <v>0.314</v>
      </c>
      <c r="AS182">
        <v>0.52</v>
      </c>
      <c r="AT182">
        <v>3.1219999999999999</v>
      </c>
    </row>
    <row r="183" spans="5:46" x14ac:dyDescent="0.25">
      <c r="E183" s="170">
        <f t="shared" si="933"/>
        <v>-0.99088397962195329</v>
      </c>
      <c r="F183" s="170">
        <f t="shared" si="933"/>
        <v>-0.12853719358029866</v>
      </c>
      <c r="G183" s="170">
        <f t="shared" si="933"/>
        <v>-4.0337684552553779E-2</v>
      </c>
      <c r="H183" s="139"/>
      <c r="I183" s="86"/>
      <c r="J183" s="79">
        <f t="shared" si="930"/>
        <v>3.1320000000000001</v>
      </c>
      <c r="AL183">
        <v>2.5004474750923995</v>
      </c>
      <c r="AM183">
        <v>-3.0724183908216545</v>
      </c>
      <c r="AN183">
        <v>-1.5865047848984306</v>
      </c>
      <c r="AO183">
        <v>0.97708365723943991</v>
      </c>
      <c r="AP183">
        <v>0.2123512147380299</v>
      </c>
      <c r="AQ183">
        <v>1.4645420952767284E-2</v>
      </c>
      <c r="AR183">
        <v>0.314</v>
      </c>
      <c r="AS183">
        <v>0.52</v>
      </c>
      <c r="AT183">
        <v>3.1269999999999998</v>
      </c>
    </row>
    <row r="184" spans="5:46" x14ac:dyDescent="0.25">
      <c r="E184" s="170">
        <f t="shared" si="933"/>
        <v>-0.89553113720838673</v>
      </c>
      <c r="F184" s="170">
        <f t="shared" si="933"/>
        <v>-0.28568915051857535</v>
      </c>
      <c r="G184" s="170">
        <f t="shared" si="933"/>
        <v>-0.34118278322070816</v>
      </c>
      <c r="H184" s="139"/>
      <c r="I184" s="86"/>
      <c r="J184" s="79">
        <f t="shared" si="930"/>
        <v>3.2130000000000001</v>
      </c>
      <c r="AL184">
        <v>2.5451385085159695</v>
      </c>
      <c r="AM184">
        <v>-3.1452320609862068</v>
      </c>
      <c r="AN184">
        <v>-2.2394067540507701</v>
      </c>
      <c r="AO184">
        <v>0.99088397962195329</v>
      </c>
      <c r="AP184">
        <v>0.12853719358029866</v>
      </c>
      <c r="AQ184">
        <v>4.0337684552553779E-2</v>
      </c>
      <c r="AR184">
        <v>0.26600000000000001</v>
      </c>
      <c r="AS184">
        <v>0.52</v>
      </c>
      <c r="AT184">
        <v>3.1320000000000001</v>
      </c>
    </row>
    <row r="185" spans="5:46" x14ac:dyDescent="0.25">
      <c r="E185" s="170">
        <f t="shared" si="933"/>
        <v>-0.95356665805825047</v>
      </c>
      <c r="F185" s="170">
        <f t="shared" si="933"/>
        <v>-0.16269751666513083</v>
      </c>
      <c r="G185" s="170">
        <f t="shared" si="933"/>
        <v>-0.25345640001905495</v>
      </c>
      <c r="H185" s="139"/>
      <c r="I185" s="86"/>
      <c r="J185" s="79">
        <f t="shared" si="930"/>
        <v>3.218</v>
      </c>
      <c r="AL185">
        <v>0.97891460710327727</v>
      </c>
      <c r="AM185">
        <v>-2.4277810477021755</v>
      </c>
      <c r="AN185">
        <v>-0.11039999999999991</v>
      </c>
      <c r="AO185">
        <v>0.89553113720838673</v>
      </c>
      <c r="AP185">
        <v>0.28568915051857535</v>
      </c>
      <c r="AQ185">
        <v>0.34118278322070816</v>
      </c>
      <c r="AR185">
        <v>0.26600000000000001</v>
      </c>
      <c r="AS185">
        <v>0.52</v>
      </c>
      <c r="AT185">
        <v>3.2130000000000001</v>
      </c>
    </row>
    <row r="186" spans="5:46" x14ac:dyDescent="0.25">
      <c r="E186" s="170">
        <f t="shared" si="933"/>
        <v>-0.98882412372083006</v>
      </c>
      <c r="F186" s="170">
        <f t="shared" si="933"/>
        <v>-1.5201184595332137E-2</v>
      </c>
      <c r="G186" s="170">
        <f t="shared" si="933"/>
        <v>-0.1483097310854255</v>
      </c>
      <c r="H186" s="139"/>
      <c r="I186" s="86"/>
      <c r="J186" s="79">
        <f t="shared" si="930"/>
        <v>3.2229999999999999</v>
      </c>
      <c r="AL186">
        <v>1.4777274804425324</v>
      </c>
      <c r="AM186">
        <v>-3.110690042820206</v>
      </c>
      <c r="AN186">
        <v>-0.33011535511059609</v>
      </c>
      <c r="AO186">
        <v>0.95356665805825047</v>
      </c>
      <c r="AP186">
        <v>0.16269751666513083</v>
      </c>
      <c r="AQ186">
        <v>0.25345640001905495</v>
      </c>
      <c r="AR186">
        <v>0.26600000000000001</v>
      </c>
      <c r="AS186">
        <v>0.52</v>
      </c>
      <c r="AT186">
        <v>3.218</v>
      </c>
    </row>
    <row r="187" spans="5:46" x14ac:dyDescent="0.25">
      <c r="E187" s="170">
        <f t="shared" si="933"/>
        <v>2.2557418691511111E-2</v>
      </c>
      <c r="F187" s="170">
        <f t="shared" si="933"/>
        <v>-0.25783413674333949</v>
      </c>
      <c r="G187" s="170">
        <f t="shared" si="933"/>
        <v>-0.96592583607220739</v>
      </c>
      <c r="H187" s="139"/>
      <c r="I187" s="86"/>
      <c r="J187" s="79">
        <f t="shared" si="930"/>
        <v>3.3050000000000002</v>
      </c>
      <c r="AL187">
        <v>1.7460140463530838</v>
      </c>
      <c r="AM187">
        <v>-3.523501757234933</v>
      </c>
      <c r="AN187">
        <v>-0.96719999999999984</v>
      </c>
      <c r="AO187">
        <v>0.98882412372083006</v>
      </c>
      <c r="AP187">
        <v>1.5201184595332137E-2</v>
      </c>
      <c r="AQ187">
        <v>0.1483097310854255</v>
      </c>
      <c r="AR187">
        <v>0.26600000000000001</v>
      </c>
      <c r="AS187">
        <v>0.52</v>
      </c>
      <c r="AT187">
        <v>3.2229999999999999</v>
      </c>
    </row>
    <row r="188" spans="5:46" x14ac:dyDescent="0.25">
      <c r="E188" s="170">
        <f t="shared" si="933"/>
        <v>6.6987148801149615E-2</v>
      </c>
      <c r="F188" s="170">
        <f t="shared" si="933"/>
        <v>-0.25000000220739965</v>
      </c>
      <c r="G188" s="170">
        <f t="shared" si="933"/>
        <v>-0.96592583607220739</v>
      </c>
      <c r="H188" s="139"/>
      <c r="I188" s="86"/>
      <c r="J188" s="79">
        <f t="shared" si="930"/>
        <v>3.3079999999999998</v>
      </c>
      <c r="AL188">
        <v>0.10031561845182578</v>
      </c>
      <c r="AM188">
        <v>-1.1466201536230853</v>
      </c>
      <c r="AN188">
        <v>-0.50080000000000013</v>
      </c>
      <c r="AO188">
        <v>-2.2557418691511111E-2</v>
      </c>
      <c r="AP188">
        <v>0.25783413674333949</v>
      </c>
      <c r="AQ188">
        <v>0.96592583607220739</v>
      </c>
      <c r="AR188">
        <v>0.22499999999999998</v>
      </c>
      <c r="AS188">
        <v>0.33389999999999997</v>
      </c>
      <c r="AT188">
        <v>3.3050000000000002</v>
      </c>
    </row>
    <row r="189" spans="5:46" x14ac:dyDescent="0.25">
      <c r="E189" s="170">
        <f t="shared" si="933"/>
        <v>-0.72792595412603722</v>
      </c>
      <c r="F189" s="170">
        <f t="shared" si="933"/>
        <v>0.55089200234090552</v>
      </c>
      <c r="G189" s="170">
        <f t="shared" si="933"/>
        <v>-0.40821784266066369</v>
      </c>
      <c r="H189" s="139"/>
      <c r="I189" s="86"/>
      <c r="J189" s="79">
        <f t="shared" si="930"/>
        <v>4.1020000000000003</v>
      </c>
      <c r="AL189">
        <v>0.43766209151042867</v>
      </c>
      <c r="AM189">
        <v>-1.6333808170952411</v>
      </c>
      <c r="AN189">
        <v>-0.36040000000000005</v>
      </c>
      <c r="AO189">
        <v>-6.6987148801149615E-2</v>
      </c>
      <c r="AP189">
        <v>0.25000000220739965</v>
      </c>
      <c r="AQ189">
        <v>0.96592583607220739</v>
      </c>
      <c r="AR189">
        <v>0.22499999999999998</v>
      </c>
      <c r="AS189">
        <v>0.33389999999999997</v>
      </c>
      <c r="AT189">
        <v>3.3079999999999998</v>
      </c>
    </row>
    <row r="190" spans="5:46" x14ac:dyDescent="0.25">
      <c r="E190" s="170">
        <f t="shared" si="933"/>
        <v>-0.74136195883649025</v>
      </c>
      <c r="F190" s="170">
        <f t="shared" si="933"/>
        <v>0.62280210529319291</v>
      </c>
      <c r="G190" s="170">
        <f t="shared" si="933"/>
        <v>-0.24999996726497573</v>
      </c>
      <c r="H190" s="139"/>
      <c r="I190" s="86"/>
      <c r="J190" s="79">
        <f t="shared" si="930"/>
        <v>4.1050000000000004</v>
      </c>
      <c r="AL190">
        <v>-0.34330132391104939</v>
      </c>
      <c r="AM190">
        <v>-0.3554986838581855</v>
      </c>
      <c r="AN190">
        <v>-0.61550185635359878</v>
      </c>
      <c r="AO190">
        <v>0.72792595412603722</v>
      </c>
      <c r="AP190">
        <v>-0.55089200234090552</v>
      </c>
      <c r="AQ190">
        <v>0.40821784266066369</v>
      </c>
      <c r="AR190">
        <v>0.26600000000000001</v>
      </c>
      <c r="AS190">
        <v>0.315</v>
      </c>
      <c r="AT190">
        <v>4.1020000000000003</v>
      </c>
    </row>
    <row r="191" spans="5:46" x14ac:dyDescent="0.25">
      <c r="E191" s="170">
        <f t="shared" si="933"/>
        <v>-0.74136195883649048</v>
      </c>
      <c r="F191" s="170">
        <f t="shared" si="933"/>
        <v>0.62280210529319269</v>
      </c>
      <c r="G191" s="170">
        <f t="shared" si="933"/>
        <v>-0.2499999672649757</v>
      </c>
      <c r="H191" s="139"/>
      <c r="I191" s="86"/>
      <c r="J191" s="79">
        <f t="shared" si="930"/>
        <v>4.1079999999999997</v>
      </c>
      <c r="AL191">
        <v>-0.75467939760615965</v>
      </c>
      <c r="AM191">
        <v>-0.78149285743329144</v>
      </c>
      <c r="AN191">
        <v>-0.473601428381908</v>
      </c>
      <c r="AO191">
        <v>0.74136195883649025</v>
      </c>
      <c r="AP191">
        <v>-0.62280210529319291</v>
      </c>
      <c r="AQ191">
        <v>0.24999996726497573</v>
      </c>
      <c r="AR191">
        <v>0.26600000000000001</v>
      </c>
      <c r="AS191">
        <v>0.315</v>
      </c>
      <c r="AT191">
        <v>4.1050000000000004</v>
      </c>
    </row>
    <row r="192" spans="5:46" x14ac:dyDescent="0.25">
      <c r="E192" s="170">
        <f t="shared" si="933"/>
        <v>-0.72604901789940912</v>
      </c>
      <c r="F192" s="170">
        <f t="shared" si="933"/>
        <v>0.63865910895141631</v>
      </c>
      <c r="G192" s="170">
        <f t="shared" si="933"/>
        <v>-0.25488696742024008</v>
      </c>
      <c r="H192" s="139"/>
      <c r="I192" s="86"/>
      <c r="J192" s="79">
        <f t="shared" si="930"/>
        <v>4.1109999999999998</v>
      </c>
      <c r="AL192">
        <v>-1.1633482945241493</v>
      </c>
      <c r="AM192">
        <v>-1.2046815982543568</v>
      </c>
      <c r="AN192">
        <v>-0.31600095305887455</v>
      </c>
      <c r="AO192">
        <v>0.74136195883649048</v>
      </c>
      <c r="AP192">
        <v>-0.62280210529319269</v>
      </c>
      <c r="AQ192">
        <v>0.2499999672649757</v>
      </c>
      <c r="AR192">
        <v>0.26600000000000001</v>
      </c>
      <c r="AS192">
        <v>0.315</v>
      </c>
      <c r="AT192">
        <v>4.1079999999999997</v>
      </c>
    </row>
    <row r="193" spans="5:46" x14ac:dyDescent="0.25">
      <c r="E193" s="170">
        <f t="shared" si="933"/>
        <v>-0.55089106324006554</v>
      </c>
      <c r="F193" s="170">
        <f t="shared" si="933"/>
        <v>0.80483860887574121</v>
      </c>
      <c r="G193" s="170">
        <f t="shared" si="933"/>
        <v>-0.2208027402574339</v>
      </c>
      <c r="H193" s="139"/>
      <c r="I193" s="86"/>
      <c r="J193" s="79">
        <f t="shared" si="930"/>
        <v>4.1159999999999997</v>
      </c>
      <c r="AL193">
        <v>-1.5719477253709306</v>
      </c>
      <c r="AM193">
        <v>-1.6277984049022414</v>
      </c>
      <c r="AN193">
        <v>-0.15840047773584087</v>
      </c>
      <c r="AO193">
        <v>0.72604901789940912</v>
      </c>
      <c r="AP193">
        <v>-0.63865910895141631</v>
      </c>
      <c r="AQ193">
        <v>0.25488696742024008</v>
      </c>
      <c r="AR193">
        <v>0.26600000000000001</v>
      </c>
      <c r="AS193">
        <v>0.52</v>
      </c>
      <c r="AT193">
        <v>4.1109999999999998</v>
      </c>
    </row>
    <row r="194" spans="5:46" x14ac:dyDescent="0.25">
      <c r="E194" s="170">
        <f t="shared" ref="E194:G213" si="934">E49*-1</f>
        <v>-0.42233087907300243</v>
      </c>
      <c r="F194" s="170">
        <f t="shared" si="934"/>
        <v>0.89695742685518054</v>
      </c>
      <c r="G194" s="170">
        <f t="shared" si="934"/>
        <v>-0.13078227322828817</v>
      </c>
      <c r="H194" s="139"/>
      <c r="I194" s="86"/>
      <c r="J194" s="79">
        <f t="shared" si="930"/>
        <v>4.1210000000000004</v>
      </c>
      <c r="AL194">
        <v>-2.2321660001130237</v>
      </c>
      <c r="AM194">
        <v>-2.2004448571528683</v>
      </c>
      <c r="AN194">
        <v>-0.19940060139221372</v>
      </c>
      <c r="AO194">
        <v>0.55089106324006554</v>
      </c>
      <c r="AP194">
        <v>-0.80483860887574121</v>
      </c>
      <c r="AQ194">
        <v>0.2208027402574339</v>
      </c>
      <c r="AR194">
        <v>0.314</v>
      </c>
      <c r="AS194">
        <v>0.52</v>
      </c>
      <c r="AT194">
        <v>4.1159999999999997</v>
      </c>
    </row>
    <row r="195" spans="5:46" x14ac:dyDescent="0.25">
      <c r="E195" s="170">
        <f t="shared" si="934"/>
        <v>-0.31825992645793522</v>
      </c>
      <c r="F195" s="170">
        <f t="shared" si="934"/>
        <v>0.94790572313196253</v>
      </c>
      <c r="G195" s="170">
        <f t="shared" si="934"/>
        <v>-1.3614670934732037E-2</v>
      </c>
      <c r="H195" s="139"/>
      <c r="I195" s="86"/>
      <c r="J195" s="79">
        <f t="shared" si="930"/>
        <v>4.1260000000000003</v>
      </c>
      <c r="AL195">
        <v>-2.7227423967241307</v>
      </c>
      <c r="AM195">
        <v>-2.585591213582815</v>
      </c>
      <c r="AN195">
        <v>-0.69010208134787743</v>
      </c>
      <c r="AO195">
        <v>0.42233087907300243</v>
      </c>
      <c r="AP195">
        <v>-0.89695742685518054</v>
      </c>
      <c r="AQ195">
        <v>0.13078227322828817</v>
      </c>
      <c r="AR195">
        <v>0.314</v>
      </c>
      <c r="AS195">
        <v>0.52</v>
      </c>
      <c r="AT195">
        <v>4.1210000000000004</v>
      </c>
    </row>
    <row r="196" spans="5:46" x14ac:dyDescent="0.25">
      <c r="E196" s="170">
        <f t="shared" si="934"/>
        <v>-0.19734486801827766</v>
      </c>
      <c r="F196" s="170">
        <f t="shared" si="934"/>
        <v>0.97950389191252696</v>
      </c>
      <c r="G196" s="170">
        <f t="shared" si="934"/>
        <v>-4.0337684552552731E-2</v>
      </c>
      <c r="H196" s="139"/>
      <c r="I196" s="86"/>
      <c r="J196" s="79">
        <f t="shared" si="930"/>
        <v>4.1310000000000002</v>
      </c>
      <c r="AL196">
        <v>-2.885733898756722</v>
      </c>
      <c r="AM196">
        <v>-2.7051475741212863</v>
      </c>
      <c r="AN196">
        <v>-1.4336043237506406</v>
      </c>
      <c r="AO196">
        <v>0.31825992645793522</v>
      </c>
      <c r="AP196">
        <v>-0.94790572313196253</v>
      </c>
      <c r="AQ196">
        <v>1.3614670934732037E-2</v>
      </c>
      <c r="AR196">
        <v>0.314</v>
      </c>
      <c r="AS196">
        <v>0.52</v>
      </c>
      <c r="AT196">
        <v>4.1260000000000003</v>
      </c>
    </row>
    <row r="197" spans="5:46" x14ac:dyDescent="0.25">
      <c r="E197" s="170">
        <f t="shared" si="934"/>
        <v>-0.42180239174872824</v>
      </c>
      <c r="F197" s="170">
        <f t="shared" si="934"/>
        <v>0.8402342372335001</v>
      </c>
      <c r="G197" s="170">
        <f t="shared" si="934"/>
        <v>-0.34071860661796949</v>
      </c>
      <c r="H197" s="139"/>
      <c r="I197" s="86"/>
      <c r="J197" s="79">
        <f t="shared" si="930"/>
        <v>4.2119999999999997</v>
      </c>
      <c r="AL197">
        <v>-2.9600299484461585</v>
      </c>
      <c r="AM197">
        <v>-2.7583396181921236</v>
      </c>
      <c r="AN197">
        <v>-2.086406292601378</v>
      </c>
      <c r="AO197">
        <v>0.19734486801827766</v>
      </c>
      <c r="AP197">
        <v>-0.97950389191252696</v>
      </c>
      <c r="AQ197">
        <v>4.0337684552552731E-2</v>
      </c>
      <c r="AR197">
        <v>0.26600000000000001</v>
      </c>
      <c r="AS197">
        <v>0.52</v>
      </c>
      <c r="AT197">
        <v>4.1310000000000002</v>
      </c>
    </row>
    <row r="198" spans="5:46" x14ac:dyDescent="0.25">
      <c r="E198" s="170">
        <f t="shared" si="934"/>
        <v>-0.25182432265221522</v>
      </c>
      <c r="F198" s="170">
        <f t="shared" si="934"/>
        <v>0.92664310888855816</v>
      </c>
      <c r="G198" s="170">
        <f t="shared" si="934"/>
        <v>-0.27913627365518245</v>
      </c>
      <c r="H198" s="139"/>
      <c r="I198" s="86"/>
      <c r="J198" s="79">
        <f t="shared" si="930"/>
        <v>4.2169999999999996</v>
      </c>
      <c r="AL198">
        <v>-2.2315977259463429</v>
      </c>
      <c r="AM198">
        <v>-1.0330331718207044</v>
      </c>
      <c r="AN198">
        <v>-0.13805563730332743</v>
      </c>
      <c r="AO198">
        <v>0.42180239174872824</v>
      </c>
      <c r="AP198">
        <v>-0.8402342372335001</v>
      </c>
      <c r="AQ198">
        <v>0.34071860661796949</v>
      </c>
      <c r="AR198">
        <v>0.26600000000000001</v>
      </c>
      <c r="AS198">
        <v>0.52</v>
      </c>
      <c r="AT198">
        <v>4.2119999999999997</v>
      </c>
    </row>
    <row r="199" spans="5:46" x14ac:dyDescent="0.25">
      <c r="E199" s="170">
        <f t="shared" si="934"/>
        <v>-9.7674097199397805E-2</v>
      </c>
      <c r="F199" s="170">
        <f t="shared" si="934"/>
        <v>0.97752449971653776</v>
      </c>
      <c r="G199" s="170">
        <f t="shared" si="934"/>
        <v>-0.18683046644007251</v>
      </c>
      <c r="H199" s="139"/>
      <c r="I199" s="86"/>
      <c r="J199" s="79">
        <f t="shared" si="930"/>
        <v>4.2220000000000004</v>
      </c>
      <c r="AL199">
        <v>-2.886591758296952</v>
      </c>
      <c r="AM199">
        <v>-1.6007213134978615</v>
      </c>
      <c r="AN199">
        <v>-0.24920000000000012</v>
      </c>
      <c r="AO199">
        <v>0.25182432265221522</v>
      </c>
      <c r="AP199">
        <v>-0.92664310888855816</v>
      </c>
      <c r="AQ199">
        <v>0.27913627365518245</v>
      </c>
      <c r="AR199">
        <v>0.26600000000000001</v>
      </c>
      <c r="AS199">
        <v>0.52</v>
      </c>
      <c r="AT199">
        <v>4.2169999999999996</v>
      </c>
    </row>
    <row r="200" spans="5:46" x14ac:dyDescent="0.25">
      <c r="E200" s="170">
        <f t="shared" si="934"/>
        <v>1.7297119869603059E-2</v>
      </c>
      <c r="F200" s="170">
        <f t="shared" si="934"/>
        <v>0.99875322191300664</v>
      </c>
      <c r="G200" s="170">
        <f t="shared" si="934"/>
        <v>-4.682746376438935E-2</v>
      </c>
      <c r="H200" s="139"/>
      <c r="I200" s="86"/>
      <c r="J200" s="79">
        <f t="shared" si="930"/>
        <v>4.2270000000000003</v>
      </c>
      <c r="AL200">
        <v>-3.3436056591745462</v>
      </c>
      <c r="AM200">
        <v>-1.9514960551808693</v>
      </c>
      <c r="AN200">
        <v>-0.82219999999999938</v>
      </c>
      <c r="AO200">
        <v>9.7674097199397805E-2</v>
      </c>
      <c r="AP200">
        <v>-0.97752449971653776</v>
      </c>
      <c r="AQ200">
        <v>0.18683046644007251</v>
      </c>
      <c r="AR200">
        <v>0.26600000000000001</v>
      </c>
      <c r="AS200">
        <v>0.52</v>
      </c>
      <c r="AT200">
        <v>4.2220000000000004</v>
      </c>
    </row>
    <row r="201" spans="5:46" x14ac:dyDescent="0.25">
      <c r="E201" s="170">
        <f t="shared" si="934"/>
        <v>-0.25877959075074064</v>
      </c>
      <c r="F201" s="170">
        <f t="shared" si="934"/>
        <v>-4.5169258446855313E-3</v>
      </c>
      <c r="G201" s="170">
        <f t="shared" si="934"/>
        <v>-0.96592583607220739</v>
      </c>
      <c r="H201" s="139"/>
      <c r="I201" s="86"/>
      <c r="J201" s="79">
        <f t="shared" si="930"/>
        <v>4.3040000000000003</v>
      </c>
      <c r="AL201">
        <v>-3.4572492725732387</v>
      </c>
      <c r="AM201">
        <v>-2.032412100652691</v>
      </c>
      <c r="AN201">
        <v>-1.5982999999999998</v>
      </c>
      <c r="AO201">
        <v>-1.7297119869603059E-2</v>
      </c>
      <c r="AP201">
        <v>-0.99875322191300664</v>
      </c>
      <c r="AQ201">
        <v>4.682746376438935E-2</v>
      </c>
      <c r="AR201">
        <v>0.26600000000000001</v>
      </c>
      <c r="AS201">
        <v>0.52</v>
      </c>
      <c r="AT201">
        <v>4.2270000000000003</v>
      </c>
    </row>
    <row r="202" spans="5:46" x14ac:dyDescent="0.25">
      <c r="E202" s="170">
        <f t="shared" si="934"/>
        <v>-0.24615153207178433</v>
      </c>
      <c r="F202" s="170">
        <f t="shared" si="934"/>
        <v>-7.9979387762851309E-2</v>
      </c>
      <c r="G202" s="170">
        <f t="shared" si="934"/>
        <v>-0.96592583607220739</v>
      </c>
      <c r="H202" s="139"/>
      <c r="I202" s="86"/>
      <c r="J202" s="79">
        <f t="shared" si="930"/>
        <v>4.3070000000000004</v>
      </c>
      <c r="AL202">
        <v>-1.0398416091829863</v>
      </c>
      <c r="AM202">
        <v>-1.8150146328278757E-2</v>
      </c>
      <c r="AN202">
        <v>-0.52969999999999995</v>
      </c>
      <c r="AO202">
        <v>0.25877959075074064</v>
      </c>
      <c r="AP202">
        <v>4.5169258446855313E-3</v>
      </c>
      <c r="AQ202">
        <v>0.96592583607220739</v>
      </c>
      <c r="AR202">
        <v>0.22499999999999998</v>
      </c>
      <c r="AS202">
        <v>0.33389999999999997</v>
      </c>
      <c r="AT202">
        <v>4.3040000000000003</v>
      </c>
    </row>
    <row r="203" spans="5:46" x14ac:dyDescent="0.25">
      <c r="E203" s="170">
        <f t="shared" si="934"/>
        <v>0.49328462571375281</v>
      </c>
      <c r="F203" s="170">
        <f t="shared" si="934"/>
        <v>0.83690846402088659</v>
      </c>
      <c r="G203" s="170">
        <f t="shared" si="934"/>
        <v>-0.23718031302079728</v>
      </c>
      <c r="H203" s="139"/>
      <c r="I203" s="86"/>
      <c r="J203" s="79">
        <f t="shared" si="930"/>
        <v>5.1150000000000002</v>
      </c>
      <c r="AL203">
        <v>-1.4446550091203094</v>
      </c>
      <c r="AM203">
        <v>-0.46939631935454873</v>
      </c>
      <c r="AN203">
        <v>-0.40510000000000002</v>
      </c>
      <c r="AO203">
        <v>0.24615153207178433</v>
      </c>
      <c r="AP203">
        <v>7.9979387762851309E-2</v>
      </c>
      <c r="AQ203">
        <v>0.96592583607220739</v>
      </c>
      <c r="AR203">
        <v>0.22499999999999998</v>
      </c>
      <c r="AS203">
        <v>0.33389999999999997</v>
      </c>
      <c r="AT203">
        <v>4.3070000000000004</v>
      </c>
    </row>
    <row r="204" spans="5:46" x14ac:dyDescent="0.25">
      <c r="E204" s="170">
        <f t="shared" si="934"/>
        <v>0.64236525594910376</v>
      </c>
      <c r="F204" s="170">
        <f t="shared" si="934"/>
        <v>0.74933773089012889</v>
      </c>
      <c r="G204" s="170">
        <f t="shared" si="934"/>
        <v>-0.16080995931183859</v>
      </c>
      <c r="H204" s="139"/>
      <c r="I204" s="86"/>
      <c r="J204" s="79">
        <f t="shared" si="930"/>
        <v>5.12</v>
      </c>
      <c r="AL204">
        <v>-2.7582099360574981</v>
      </c>
      <c r="AM204">
        <v>1.1239208236983866</v>
      </c>
      <c r="AN204">
        <v>-0.15470046657660749</v>
      </c>
      <c r="AO204">
        <v>-0.49328462571375281</v>
      </c>
      <c r="AP204">
        <v>-0.83690846402088659</v>
      </c>
      <c r="AQ204">
        <v>0.23718031302079728</v>
      </c>
      <c r="AR204">
        <v>0.314</v>
      </c>
      <c r="AS204">
        <v>0.52</v>
      </c>
      <c r="AT204">
        <v>5.1150000000000002</v>
      </c>
    </row>
    <row r="205" spans="5:46" x14ac:dyDescent="0.25">
      <c r="E205" s="170">
        <f t="shared" si="934"/>
        <v>0.74575875034167194</v>
      </c>
      <c r="F205" s="170">
        <f t="shared" si="934"/>
        <v>0.66444569728230318</v>
      </c>
      <c r="G205" s="170">
        <f t="shared" si="934"/>
        <v>-4.8536601156878093E-2</v>
      </c>
      <c r="H205" s="139"/>
      <c r="I205" s="86"/>
      <c r="J205" s="79">
        <f t="shared" si="930"/>
        <v>5.125</v>
      </c>
      <c r="AL205">
        <v>-3.3619137940326724</v>
      </c>
      <c r="AM205">
        <v>1.4485651400709105</v>
      </c>
      <c r="AN205">
        <v>-0.56200169499711183</v>
      </c>
      <c r="AO205">
        <v>-0.64236525594910376</v>
      </c>
      <c r="AP205">
        <v>-0.74933773089012889</v>
      </c>
      <c r="AQ205">
        <v>0.16080995931183859</v>
      </c>
      <c r="AR205">
        <v>0.314</v>
      </c>
      <c r="AS205">
        <v>0.52</v>
      </c>
      <c r="AT205">
        <v>5.12</v>
      </c>
    </row>
    <row r="206" spans="5:46" x14ac:dyDescent="0.25">
      <c r="E206" s="170">
        <f t="shared" si="934"/>
        <v>0.82452920821097297</v>
      </c>
      <c r="F206" s="170">
        <f t="shared" si="934"/>
        <v>0.56437970907176038</v>
      </c>
      <c r="G206" s="170">
        <f t="shared" si="934"/>
        <v>-4.0337684552552849E-2</v>
      </c>
      <c r="H206" s="139"/>
      <c r="I206" s="86"/>
      <c r="J206" s="79">
        <f t="shared" si="930"/>
        <v>5.13</v>
      </c>
      <c r="AL206">
        <v>-3.6160929673458115</v>
      </c>
      <c r="AM206">
        <v>1.5986586979767379</v>
      </c>
      <c r="AN206">
        <v>-1.2826038683332672</v>
      </c>
      <c r="AO206">
        <v>-0.74575875034167194</v>
      </c>
      <c r="AP206">
        <v>-0.66444569728230318</v>
      </c>
      <c r="AQ206">
        <v>4.8536601156878093E-2</v>
      </c>
      <c r="AR206">
        <v>0.314</v>
      </c>
      <c r="AS206">
        <v>0.52</v>
      </c>
      <c r="AT206">
        <v>5.125</v>
      </c>
    </row>
    <row r="207" spans="5:46" x14ac:dyDescent="0.25">
      <c r="E207" s="170">
        <f t="shared" si="934"/>
        <v>0.73269027876684656</v>
      </c>
      <c r="F207" s="170">
        <f t="shared" si="934"/>
        <v>0.61047115918069972</v>
      </c>
      <c r="G207" s="170">
        <f t="shared" si="934"/>
        <v>-0.3008154238218741</v>
      </c>
      <c r="H207" s="139"/>
      <c r="I207" s="86"/>
      <c r="J207" s="79">
        <f t="shared" si="930"/>
        <v>5.2160000000000002</v>
      </c>
      <c r="AL207">
        <v>-3.6956299801459749</v>
      </c>
      <c r="AM207">
        <v>1.6469471909706916</v>
      </c>
      <c r="AN207">
        <v>-1.9439</v>
      </c>
      <c r="AO207">
        <v>-0.82452920821097297</v>
      </c>
      <c r="AP207">
        <v>-0.56437970907176038</v>
      </c>
      <c r="AQ207">
        <v>4.0337684552552849E-2</v>
      </c>
      <c r="AR207">
        <v>0.26600000000000001</v>
      </c>
      <c r="AS207">
        <v>0.52</v>
      </c>
      <c r="AT207">
        <v>5.13</v>
      </c>
    </row>
    <row r="208" spans="5:46" x14ac:dyDescent="0.25">
      <c r="E208" s="170">
        <f t="shared" si="934"/>
        <v>0.8365763797791993</v>
      </c>
      <c r="F208" s="170">
        <f t="shared" si="934"/>
        <v>0.51238063975838788</v>
      </c>
      <c r="G208" s="170">
        <f t="shared" si="934"/>
        <v>-0.19392277018523182</v>
      </c>
      <c r="H208" s="139"/>
      <c r="I208" s="86"/>
      <c r="J208" s="79">
        <f t="shared" si="930"/>
        <v>5.2210000000000001</v>
      </c>
      <c r="AL208">
        <v>-2.4638712587357121</v>
      </c>
      <c r="AM208">
        <v>1.9591503775802916</v>
      </c>
      <c r="AN208">
        <v>-0.17859999999999976</v>
      </c>
      <c r="AO208">
        <v>-0.73269027876684656</v>
      </c>
      <c r="AP208">
        <v>-0.61047115918069972</v>
      </c>
      <c r="AQ208">
        <v>0.3008154238218741</v>
      </c>
      <c r="AR208">
        <v>0.26600000000000001</v>
      </c>
      <c r="AS208">
        <v>0.52</v>
      </c>
      <c r="AT208">
        <v>5.2160000000000002</v>
      </c>
    </row>
    <row r="209" spans="5:46" x14ac:dyDescent="0.25">
      <c r="E209" s="170">
        <f t="shared" si="934"/>
        <v>0.90976240293097044</v>
      </c>
      <c r="F209" s="170">
        <f t="shared" si="934"/>
        <v>0.41222007866911853</v>
      </c>
      <c r="G209" s="170">
        <f t="shared" si="934"/>
        <v>-4.906095143077091E-2</v>
      </c>
      <c r="H209" s="139"/>
      <c r="I209" s="86"/>
      <c r="J209" s="79">
        <f t="shared" si="930"/>
        <v>5.226</v>
      </c>
      <c r="AL209">
        <v>-3.0310869808258407</v>
      </c>
      <c r="AM209">
        <v>2.2724980247287472</v>
      </c>
      <c r="AN209">
        <v>-0.67826852512675295</v>
      </c>
      <c r="AO209">
        <v>-0.8365763797791993</v>
      </c>
      <c r="AP209">
        <v>-0.51238063975838788</v>
      </c>
      <c r="AQ209">
        <v>0.19392277018523182</v>
      </c>
      <c r="AR209">
        <v>0.26600000000000001</v>
      </c>
      <c r="AS209">
        <v>0.52</v>
      </c>
      <c r="AT209">
        <v>5.2210000000000001</v>
      </c>
    </row>
    <row r="210" spans="5:46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  <c r="AL210">
        <v>-3.2162180355441747</v>
      </c>
      <c r="AM210">
        <v>2.3842232851310672</v>
      </c>
      <c r="AN210">
        <v>-1.4388999999999998</v>
      </c>
      <c r="AO210">
        <v>-0.90976240293097044</v>
      </c>
      <c r="AP210">
        <v>-0.41222007866911853</v>
      </c>
      <c r="AQ210">
        <v>4.906095143077091E-2</v>
      </c>
      <c r="AR210">
        <v>0.26600000000000001</v>
      </c>
      <c r="AS210">
        <v>0.52</v>
      </c>
      <c r="AT210">
        <v>5.226</v>
      </c>
    </row>
    <row r="211" spans="5:46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46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46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46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46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46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46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46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46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46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46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46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46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46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F4FDE37-8FAC-4878-984F-76E8A173566A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34B613D-4C3C-495D-8142-B891066DB33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8.5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1308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1308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1308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1.1140000000000001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1.119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1.1240000000000001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1.2110000000000001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1.2150000000000001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1.2250000000000001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1.3029999999999999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1.306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2.113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2.1179999999999999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2.1230000000000002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2.1280000000000001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2.133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2.214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2.2189999999999999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2.2240000000000002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3.1030000000000002</v>
      </c>
      <c r="N186" s="869">
        <f>Assy.Model!K31</f>
        <v>1308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3.1059999999999999</v>
      </c>
      <c r="N187" s="869">
        <f>Assy.Model!K32</f>
        <v>1308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3.109</v>
      </c>
      <c r="N188" s="869">
        <f>Assy.Model!K33</f>
        <v>1308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3.1120000000000001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3.117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3.1219999999999999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3.1269999999999998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3.1320000000000001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3.2130000000000001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3.218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3.2229999999999999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3.3050000000000002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3.3079999999999998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4.1020000000000003</v>
      </c>
      <c r="N199" s="869">
        <f>Assy.Model!K44</f>
        <v>1308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4.1050000000000004</v>
      </c>
      <c r="N200" s="869">
        <f>Assy.Model!K45</f>
        <v>1308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4.1079999999999997</v>
      </c>
      <c r="N201" s="869">
        <f>Assy.Model!K46</f>
        <v>1308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4.1109999999999998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4.1159999999999997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4.1210000000000004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4.1260000000000003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4.1310000000000002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4.2119999999999997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4.2169999999999996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4.2220000000000004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4.2270000000000003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4.3040000000000003</v>
      </c>
      <c r="N211" s="869" t="str">
        <f>Assy.Model!K56</f>
        <v>Inactive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4.3070000000000004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5.1150000000000002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5.125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5.13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5.2160000000000002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5.2210000000000001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5.226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2023-03-29T14:09:08Z</dcterms:modified>
</cp:coreProperties>
</file>